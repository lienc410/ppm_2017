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queryTables/queryTable1.xml" ContentType="application/vnd.openxmlformats-officedocument.spreadsheetml.queryTable+xml"/>
  <Override PartName="/xl/tables/table1.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60" windowWidth="1980" windowHeight="8955"/>
  </bookViews>
  <sheets>
    <sheet name="OAS and Media Effect" sheetId="2" r:id="rId1"/>
    <sheet name="Disclaimer" sheetId="3" r:id="rId2"/>
    <sheet name="Refi Universe" sheetId="4" r:id="rId3"/>
    <sheet name="Daily Refi" sheetId="5" r:id="rId4"/>
  </sheets>
  <externalReferences>
    <externalReference r:id="rId5"/>
  </externalReferences>
  <definedNames>
    <definedName name="Query_from_Agency_8" localSheetId="3" hidden="1">'Daily Refi'!$B$2:$D$1292</definedName>
    <definedName name="temp" localSheetId="2">'Refi Universe'!$E$1:$F$1262</definedName>
  </definedNames>
  <calcPr calcId="145621"/>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2" i="2"/>
  <c r="E3" i="5" l="1"/>
  <c r="E4" i="5"/>
  <c r="E5" i="5"/>
  <c r="F5" i="5" s="1"/>
  <c r="E6" i="5"/>
  <c r="F6" i="5" s="1"/>
  <c r="E7" i="5"/>
  <c r="F7" i="5" s="1"/>
  <c r="E8" i="5"/>
  <c r="E9" i="5"/>
  <c r="E10" i="5"/>
  <c r="E11" i="5"/>
  <c r="F11" i="5" s="1"/>
  <c r="E12" i="5"/>
  <c r="F12" i="5" s="1"/>
  <c r="E13" i="5"/>
  <c r="F13" i="5" s="1"/>
  <c r="E14" i="5"/>
  <c r="F14" i="5" s="1"/>
  <c r="E15" i="5"/>
  <c r="E16" i="5"/>
  <c r="F16" i="5" s="1"/>
  <c r="E17" i="5"/>
  <c r="E18" i="5"/>
  <c r="E19" i="5"/>
  <c r="F19" i="5" s="1"/>
  <c r="E20" i="5"/>
  <c r="F20" i="5" s="1"/>
  <c r="E21" i="5"/>
  <c r="F21" i="5" s="1"/>
  <c r="E22" i="5"/>
  <c r="F22" i="5" s="1"/>
  <c r="E23" i="5"/>
  <c r="F23" i="5" s="1"/>
  <c r="E24" i="5"/>
  <c r="E25" i="5"/>
  <c r="E26" i="5"/>
  <c r="E27" i="5"/>
  <c r="F27" i="5" s="1"/>
  <c r="E28" i="5"/>
  <c r="F28" i="5" s="1"/>
  <c r="E29" i="5"/>
  <c r="F29" i="5" s="1"/>
  <c r="E30" i="5"/>
  <c r="F30" i="5" s="1"/>
  <c r="E31" i="5"/>
  <c r="F31" i="5" s="1"/>
  <c r="E32" i="5"/>
  <c r="E33" i="5"/>
  <c r="E34" i="5"/>
  <c r="E35" i="5"/>
  <c r="F35" i="5" s="1"/>
  <c r="E36" i="5"/>
  <c r="E37" i="5"/>
  <c r="E38" i="5"/>
  <c r="F38" i="5" s="1"/>
  <c r="E39" i="5"/>
  <c r="F39" i="5" s="1"/>
  <c r="E40" i="5"/>
  <c r="E41" i="5"/>
  <c r="E42" i="5"/>
  <c r="E43" i="5"/>
  <c r="F43" i="5" s="1"/>
  <c r="E44" i="5"/>
  <c r="E45" i="5"/>
  <c r="F45" i="5" s="1"/>
  <c r="E46" i="5"/>
  <c r="F46" i="5" s="1"/>
  <c r="E47" i="5"/>
  <c r="E48" i="5"/>
  <c r="E49" i="5"/>
  <c r="E50" i="5"/>
  <c r="E51" i="5"/>
  <c r="F51" i="5" s="1"/>
  <c r="E52" i="5"/>
  <c r="F52" i="5" s="1"/>
  <c r="E53" i="5"/>
  <c r="F53" i="5" s="1"/>
  <c r="E54" i="5"/>
  <c r="F54" i="5" s="1"/>
  <c r="E55" i="5"/>
  <c r="F55" i="5" s="1"/>
  <c r="E56" i="5"/>
  <c r="E57" i="5"/>
  <c r="E58" i="5"/>
  <c r="E59" i="5"/>
  <c r="F59" i="5" s="1"/>
  <c r="E60" i="5"/>
  <c r="E61" i="5"/>
  <c r="F61" i="5" s="1"/>
  <c r="E62" i="5"/>
  <c r="F62" i="5" s="1"/>
  <c r="E63" i="5"/>
  <c r="F63" i="5" s="1"/>
  <c r="E64" i="5"/>
  <c r="E65" i="5"/>
  <c r="E66" i="5"/>
  <c r="E67" i="5"/>
  <c r="F67" i="5" s="1"/>
  <c r="E68" i="5"/>
  <c r="F68" i="5" s="1"/>
  <c r="E69" i="5"/>
  <c r="F69" i="5" s="1"/>
  <c r="E70" i="5"/>
  <c r="F70" i="5" s="1"/>
  <c r="E71" i="5"/>
  <c r="F71" i="5" s="1"/>
  <c r="E72" i="5"/>
  <c r="E73" i="5"/>
  <c r="E74" i="5"/>
  <c r="E75" i="5"/>
  <c r="F75" i="5" s="1"/>
  <c r="E76" i="5"/>
  <c r="F76" i="5" s="1"/>
  <c r="E77" i="5"/>
  <c r="F77" i="5" s="1"/>
  <c r="E78" i="5"/>
  <c r="F78" i="5" s="1"/>
  <c r="E79" i="5"/>
  <c r="E80" i="5"/>
  <c r="E81" i="5"/>
  <c r="E82" i="5"/>
  <c r="E83" i="5"/>
  <c r="F83" i="5" s="1"/>
  <c r="E84" i="5"/>
  <c r="E85" i="5"/>
  <c r="F85" i="5" s="1"/>
  <c r="E86" i="5"/>
  <c r="F86" i="5" s="1"/>
  <c r="E87" i="5"/>
  <c r="F87" i="5" s="1"/>
  <c r="E88" i="5"/>
  <c r="E89" i="5"/>
  <c r="E90" i="5"/>
  <c r="E91" i="5"/>
  <c r="F91" i="5" s="1"/>
  <c r="E92" i="5"/>
  <c r="E93" i="5"/>
  <c r="F93" i="5" s="1"/>
  <c r="E94" i="5"/>
  <c r="F94" i="5" s="1"/>
  <c r="E95" i="5"/>
  <c r="F95" i="5" s="1"/>
  <c r="E96" i="5"/>
  <c r="E97" i="5"/>
  <c r="E98" i="5"/>
  <c r="E99" i="5"/>
  <c r="F99" i="5" s="1"/>
  <c r="E100" i="5"/>
  <c r="E101" i="5"/>
  <c r="F101" i="5" s="1"/>
  <c r="E102" i="5"/>
  <c r="F102" i="5" s="1"/>
  <c r="E103" i="5"/>
  <c r="F103" i="5" s="1"/>
  <c r="E104" i="5"/>
  <c r="E105" i="5"/>
  <c r="E106" i="5"/>
  <c r="E107" i="5"/>
  <c r="F107" i="5" s="1"/>
  <c r="E108" i="5"/>
  <c r="E109" i="5"/>
  <c r="F109" i="5" s="1"/>
  <c r="E110" i="5"/>
  <c r="F110" i="5" s="1"/>
  <c r="E111" i="5"/>
  <c r="E112" i="5"/>
  <c r="E113" i="5"/>
  <c r="E114" i="5"/>
  <c r="E115" i="5"/>
  <c r="F115" i="5" s="1"/>
  <c r="E116" i="5"/>
  <c r="F116" i="5" s="1"/>
  <c r="E117" i="5"/>
  <c r="F117" i="5" s="1"/>
  <c r="E118" i="5"/>
  <c r="F118" i="5" s="1"/>
  <c r="E119" i="5"/>
  <c r="F119" i="5" s="1"/>
  <c r="E120" i="5"/>
  <c r="E121" i="5"/>
  <c r="E122" i="5"/>
  <c r="E123" i="5"/>
  <c r="F123" i="5" s="1"/>
  <c r="E124" i="5"/>
  <c r="F124" i="5" s="1"/>
  <c r="E125" i="5"/>
  <c r="F125" i="5" s="1"/>
  <c r="E126" i="5"/>
  <c r="F126" i="5" s="1"/>
  <c r="E127" i="5"/>
  <c r="F127" i="5" s="1"/>
  <c r="E128" i="5"/>
  <c r="E129" i="5"/>
  <c r="E130" i="5"/>
  <c r="E131" i="5"/>
  <c r="F131" i="5" s="1"/>
  <c r="E132" i="5"/>
  <c r="F132" i="5" s="1"/>
  <c r="E133" i="5"/>
  <c r="F133" i="5" s="1"/>
  <c r="E134" i="5"/>
  <c r="F134" i="5" s="1"/>
  <c r="E135" i="5"/>
  <c r="F135" i="5" s="1"/>
  <c r="E136" i="5"/>
  <c r="E137" i="5"/>
  <c r="E138" i="5"/>
  <c r="E139" i="5"/>
  <c r="F139" i="5" s="1"/>
  <c r="E140" i="5"/>
  <c r="E141" i="5"/>
  <c r="E142" i="5"/>
  <c r="E143" i="5"/>
  <c r="E144" i="5"/>
  <c r="E145" i="5"/>
  <c r="E146" i="5"/>
  <c r="E147" i="5"/>
  <c r="F147" i="5" s="1"/>
  <c r="E148" i="5"/>
  <c r="F148" i="5" s="1"/>
  <c r="E149" i="5"/>
  <c r="F149" i="5" s="1"/>
  <c r="E150" i="5"/>
  <c r="F150" i="5" s="1"/>
  <c r="E151" i="5"/>
  <c r="F151" i="5" s="1"/>
  <c r="E152" i="5"/>
  <c r="E153" i="5"/>
  <c r="E154" i="5"/>
  <c r="E155" i="5"/>
  <c r="F155" i="5" s="1"/>
  <c r="E156" i="5"/>
  <c r="E157" i="5"/>
  <c r="F157" i="5" s="1"/>
  <c r="E158" i="5"/>
  <c r="F158" i="5" s="1"/>
  <c r="E159" i="5"/>
  <c r="F159" i="5" s="1"/>
  <c r="E160" i="5"/>
  <c r="E161" i="5"/>
  <c r="E162" i="5"/>
  <c r="E163" i="5"/>
  <c r="F163" i="5" s="1"/>
  <c r="E164" i="5"/>
  <c r="F164" i="5" s="1"/>
  <c r="E165" i="5"/>
  <c r="F165" i="5" s="1"/>
  <c r="E166" i="5"/>
  <c r="F166" i="5" s="1"/>
  <c r="E167" i="5"/>
  <c r="E168" i="5"/>
  <c r="E169" i="5"/>
  <c r="E170" i="5"/>
  <c r="E171" i="5"/>
  <c r="F171" i="5" s="1"/>
  <c r="E172" i="5"/>
  <c r="F172" i="5" s="1"/>
  <c r="E173" i="5"/>
  <c r="F173" i="5" s="1"/>
  <c r="E174" i="5"/>
  <c r="F174" i="5" s="1"/>
  <c r="E175" i="5"/>
  <c r="E176" i="5"/>
  <c r="E177" i="5"/>
  <c r="E178" i="5"/>
  <c r="E179" i="5"/>
  <c r="F179" i="5" s="1"/>
  <c r="E180" i="5"/>
  <c r="E181" i="5"/>
  <c r="F181" i="5" s="1"/>
  <c r="E182" i="5"/>
  <c r="F182" i="5" s="1"/>
  <c r="E183" i="5"/>
  <c r="F183" i="5" s="1"/>
  <c r="E184" i="5"/>
  <c r="E185" i="5"/>
  <c r="E186" i="5"/>
  <c r="E187" i="5"/>
  <c r="F187" i="5" s="1"/>
  <c r="E188" i="5"/>
  <c r="E189" i="5"/>
  <c r="F189" i="5" s="1"/>
  <c r="E190" i="5"/>
  <c r="F190" i="5" s="1"/>
  <c r="E191" i="5"/>
  <c r="F191" i="5" s="1"/>
  <c r="E192" i="5"/>
  <c r="E193" i="5"/>
  <c r="E194" i="5"/>
  <c r="E195" i="5"/>
  <c r="F195" i="5" s="1"/>
  <c r="E196" i="5"/>
  <c r="E197" i="5"/>
  <c r="F197" i="5" s="1"/>
  <c r="E198" i="5"/>
  <c r="F198" i="5" s="1"/>
  <c r="E199" i="5"/>
  <c r="F199" i="5" s="1"/>
  <c r="E200" i="5"/>
  <c r="E201" i="5"/>
  <c r="E202" i="5"/>
  <c r="E203" i="5"/>
  <c r="F203" i="5" s="1"/>
  <c r="E204" i="5"/>
  <c r="F204" i="5" s="1"/>
  <c r="E205" i="5"/>
  <c r="F205" i="5" s="1"/>
  <c r="E206" i="5"/>
  <c r="F206" i="5" s="1"/>
  <c r="E207" i="5"/>
  <c r="E208" i="5"/>
  <c r="E209" i="5"/>
  <c r="E210" i="5"/>
  <c r="E211" i="5"/>
  <c r="F211" i="5" s="1"/>
  <c r="E212" i="5"/>
  <c r="E213" i="5"/>
  <c r="F213" i="5" s="1"/>
  <c r="E214" i="5"/>
  <c r="F214" i="5" s="1"/>
  <c r="E215" i="5"/>
  <c r="F215" i="5" s="1"/>
  <c r="E216" i="5"/>
  <c r="E217" i="5"/>
  <c r="E218" i="5"/>
  <c r="E219" i="5"/>
  <c r="F219" i="5" s="1"/>
  <c r="E220" i="5"/>
  <c r="F220" i="5" s="1"/>
  <c r="E221" i="5"/>
  <c r="F221" i="5" s="1"/>
  <c r="E222" i="5"/>
  <c r="F222" i="5" s="1"/>
  <c r="E223" i="5"/>
  <c r="E224" i="5"/>
  <c r="E225" i="5"/>
  <c r="E226" i="5"/>
  <c r="E227" i="5"/>
  <c r="F227" i="5" s="1"/>
  <c r="E228" i="5"/>
  <c r="F228" i="5" s="1"/>
  <c r="E229" i="5"/>
  <c r="F229" i="5" s="1"/>
  <c r="E230" i="5"/>
  <c r="F230" i="5" s="1"/>
  <c r="E231" i="5"/>
  <c r="F231" i="5" s="1"/>
  <c r="E232" i="5"/>
  <c r="E233" i="5"/>
  <c r="E234" i="5"/>
  <c r="E235" i="5"/>
  <c r="E236" i="5"/>
  <c r="E237" i="5"/>
  <c r="F237" i="5" s="1"/>
  <c r="E238" i="5"/>
  <c r="F238" i="5" s="1"/>
  <c r="E239" i="5"/>
  <c r="E240" i="5"/>
  <c r="E241" i="5"/>
  <c r="E242" i="5"/>
  <c r="E243" i="5"/>
  <c r="F243" i="5" s="1"/>
  <c r="E244" i="5"/>
  <c r="E245" i="5"/>
  <c r="F245" i="5" s="1"/>
  <c r="E246" i="5"/>
  <c r="F246" i="5" s="1"/>
  <c r="E247" i="5"/>
  <c r="F247" i="5" s="1"/>
  <c r="E248" i="5"/>
  <c r="E249" i="5"/>
  <c r="E250" i="5"/>
  <c r="E251" i="5"/>
  <c r="E252" i="5"/>
  <c r="F252" i="5" s="1"/>
  <c r="E253" i="5"/>
  <c r="F253" i="5" s="1"/>
  <c r="E254" i="5"/>
  <c r="F254" i="5" s="1"/>
  <c r="E255" i="5"/>
  <c r="F255" i="5" s="1"/>
  <c r="E256" i="5"/>
  <c r="E257" i="5"/>
  <c r="E258" i="5"/>
  <c r="E259" i="5"/>
  <c r="F259" i="5" s="1"/>
  <c r="E260" i="5"/>
  <c r="E261" i="5"/>
  <c r="F261" i="5" s="1"/>
  <c r="E262" i="5"/>
  <c r="F262" i="5" s="1"/>
  <c r="E263" i="5"/>
  <c r="F263" i="5" s="1"/>
  <c r="E264" i="5"/>
  <c r="E265" i="5"/>
  <c r="E266" i="5"/>
  <c r="E267" i="5"/>
  <c r="F267" i="5" s="1"/>
  <c r="E268" i="5"/>
  <c r="F268" i="5" s="1"/>
  <c r="E269" i="5"/>
  <c r="F269" i="5" s="1"/>
  <c r="E270" i="5"/>
  <c r="F270" i="5" s="1"/>
  <c r="E271" i="5"/>
  <c r="E272" i="5"/>
  <c r="E273" i="5"/>
  <c r="F273" i="5" s="1"/>
  <c r="E274" i="5"/>
  <c r="E275" i="5"/>
  <c r="F275" i="5" s="1"/>
  <c r="E276" i="5"/>
  <c r="F276" i="5" s="1"/>
  <c r="E277" i="5"/>
  <c r="F277" i="5" s="1"/>
  <c r="E278" i="5"/>
  <c r="F278" i="5" s="1"/>
  <c r="E279" i="5"/>
  <c r="E280" i="5"/>
  <c r="E281" i="5"/>
  <c r="E282" i="5"/>
  <c r="E283" i="5"/>
  <c r="F283" i="5" s="1"/>
  <c r="E284" i="5"/>
  <c r="F284" i="5" s="1"/>
  <c r="E285" i="5"/>
  <c r="F285" i="5" s="1"/>
  <c r="E286" i="5"/>
  <c r="F286" i="5" s="1"/>
  <c r="E287" i="5"/>
  <c r="F287" i="5" s="1"/>
  <c r="E288" i="5"/>
  <c r="E289" i="5"/>
  <c r="E290" i="5"/>
  <c r="E291" i="5"/>
  <c r="F291" i="5" s="1"/>
  <c r="E292" i="5"/>
  <c r="E293" i="5"/>
  <c r="F293" i="5" s="1"/>
  <c r="E294" i="5"/>
  <c r="F294" i="5" s="1"/>
  <c r="E295" i="5"/>
  <c r="E296" i="5"/>
  <c r="E297" i="5"/>
  <c r="E298" i="5"/>
  <c r="E299" i="5"/>
  <c r="F299" i="5" s="1"/>
  <c r="E300" i="5"/>
  <c r="E301" i="5"/>
  <c r="F301" i="5" s="1"/>
  <c r="E302" i="5"/>
  <c r="F302" i="5" s="1"/>
  <c r="E303" i="5"/>
  <c r="E304" i="5"/>
  <c r="E305" i="5"/>
  <c r="E306" i="5"/>
  <c r="E307" i="5"/>
  <c r="F307" i="5" s="1"/>
  <c r="E308" i="5"/>
  <c r="E309" i="5"/>
  <c r="F309" i="5" s="1"/>
  <c r="E310" i="5"/>
  <c r="F310" i="5" s="1"/>
  <c r="E311" i="5"/>
  <c r="F311" i="5" s="1"/>
  <c r="E312" i="5"/>
  <c r="E313" i="5"/>
  <c r="E314" i="5"/>
  <c r="E315" i="5"/>
  <c r="F315" i="5" s="1"/>
  <c r="E316" i="5"/>
  <c r="F316" i="5" s="1"/>
  <c r="E317" i="5"/>
  <c r="F317" i="5" s="1"/>
  <c r="E318" i="5"/>
  <c r="F318" i="5" s="1"/>
  <c r="E319" i="5"/>
  <c r="F319" i="5" s="1"/>
  <c r="E320" i="5"/>
  <c r="E321" i="5"/>
  <c r="E322" i="5"/>
  <c r="E323" i="5"/>
  <c r="F323" i="5" s="1"/>
  <c r="E324" i="5"/>
  <c r="E325" i="5"/>
  <c r="F325" i="5" s="1"/>
  <c r="E326" i="5"/>
  <c r="F326" i="5" s="1"/>
  <c r="E327" i="5"/>
  <c r="F327" i="5" s="1"/>
  <c r="E328" i="5"/>
  <c r="E329" i="5"/>
  <c r="E330" i="5"/>
  <c r="E331" i="5"/>
  <c r="F331" i="5" s="1"/>
  <c r="E332" i="5"/>
  <c r="F332" i="5" s="1"/>
  <c r="E333" i="5"/>
  <c r="F333" i="5" s="1"/>
  <c r="E334" i="5"/>
  <c r="F334" i="5" s="1"/>
  <c r="E335" i="5"/>
  <c r="E336" i="5"/>
  <c r="E337" i="5"/>
  <c r="E338" i="5"/>
  <c r="E339" i="5"/>
  <c r="E340" i="5"/>
  <c r="F340" i="5" s="1"/>
  <c r="E341" i="5"/>
  <c r="F341" i="5" s="1"/>
  <c r="E342" i="5"/>
  <c r="F342" i="5" s="1"/>
  <c r="E343" i="5"/>
  <c r="F343" i="5" s="1"/>
  <c r="E344" i="5"/>
  <c r="E345" i="5"/>
  <c r="E346" i="5"/>
  <c r="E347" i="5"/>
  <c r="F347" i="5" s="1"/>
  <c r="E348" i="5"/>
  <c r="E349" i="5"/>
  <c r="F349" i="5" s="1"/>
  <c r="E350" i="5"/>
  <c r="F350" i="5" s="1"/>
  <c r="E351" i="5"/>
  <c r="E352" i="5"/>
  <c r="E353" i="5"/>
  <c r="E354" i="5"/>
  <c r="E355" i="5"/>
  <c r="F355" i="5" s="1"/>
  <c r="E356" i="5"/>
  <c r="E357" i="5"/>
  <c r="F357" i="5" s="1"/>
  <c r="E358" i="5"/>
  <c r="F358" i="5" s="1"/>
  <c r="E359" i="5"/>
  <c r="F359" i="5" s="1"/>
  <c r="E360" i="5"/>
  <c r="E361" i="5"/>
  <c r="E362" i="5"/>
  <c r="E363" i="5"/>
  <c r="F363" i="5" s="1"/>
  <c r="E364" i="5"/>
  <c r="E365" i="5"/>
  <c r="F365" i="5" s="1"/>
  <c r="E366" i="5"/>
  <c r="F366" i="5" s="1"/>
  <c r="E367" i="5"/>
  <c r="E368" i="5"/>
  <c r="E369" i="5"/>
  <c r="E370" i="5"/>
  <c r="E371" i="5"/>
  <c r="F371" i="5" s="1"/>
  <c r="E372" i="5"/>
  <c r="F372" i="5" s="1"/>
  <c r="E373" i="5"/>
  <c r="E374" i="5"/>
  <c r="F374" i="5" s="1"/>
  <c r="E375" i="5"/>
  <c r="F375" i="5" s="1"/>
  <c r="E376" i="5"/>
  <c r="E377" i="5"/>
  <c r="E378" i="5"/>
  <c r="E379" i="5"/>
  <c r="E380" i="5"/>
  <c r="F380" i="5" s="1"/>
  <c r="E381" i="5"/>
  <c r="F381" i="5" s="1"/>
  <c r="E382" i="5"/>
  <c r="F382" i="5" s="1"/>
  <c r="E383" i="5"/>
  <c r="F383" i="5" s="1"/>
  <c r="E384" i="5"/>
  <c r="E385" i="5"/>
  <c r="E386" i="5"/>
  <c r="E387" i="5"/>
  <c r="F387" i="5" s="1"/>
  <c r="E388" i="5"/>
  <c r="F388" i="5" s="1"/>
  <c r="E389" i="5"/>
  <c r="F389" i="5" s="1"/>
  <c r="E390" i="5"/>
  <c r="F390" i="5" s="1"/>
  <c r="E391" i="5"/>
  <c r="F391" i="5" s="1"/>
  <c r="E392" i="5"/>
  <c r="E393" i="5"/>
  <c r="E394" i="5"/>
  <c r="E395" i="5"/>
  <c r="F395" i="5" s="1"/>
  <c r="E396" i="5"/>
  <c r="E397" i="5"/>
  <c r="E398" i="5"/>
  <c r="E399" i="5"/>
  <c r="E400" i="5"/>
  <c r="E401" i="5"/>
  <c r="E402" i="5"/>
  <c r="E403" i="5"/>
  <c r="F403" i="5" s="1"/>
  <c r="E404" i="5"/>
  <c r="F404" i="5" s="1"/>
  <c r="E405" i="5"/>
  <c r="F405" i="5" s="1"/>
  <c r="E406" i="5"/>
  <c r="F406" i="5" s="1"/>
  <c r="E407" i="5"/>
  <c r="F407" i="5" s="1"/>
  <c r="E408" i="5"/>
  <c r="E409" i="5"/>
  <c r="E410" i="5"/>
  <c r="E411" i="5"/>
  <c r="F411" i="5" s="1"/>
  <c r="E412" i="5"/>
  <c r="E413" i="5"/>
  <c r="F413" i="5" s="1"/>
  <c r="E414" i="5"/>
  <c r="F414" i="5" s="1"/>
  <c r="E415" i="5"/>
  <c r="F415" i="5" s="1"/>
  <c r="E416" i="5"/>
  <c r="E417" i="5"/>
  <c r="E418" i="5"/>
  <c r="E419" i="5"/>
  <c r="F419" i="5" s="1"/>
  <c r="E420" i="5"/>
  <c r="F420" i="5" s="1"/>
  <c r="E421" i="5"/>
  <c r="F421" i="5" s="1"/>
  <c r="E422" i="5"/>
  <c r="F422" i="5" s="1"/>
  <c r="E423" i="5"/>
  <c r="F423" i="5" s="1"/>
  <c r="E424" i="5"/>
  <c r="E425" i="5"/>
  <c r="E426" i="5"/>
  <c r="E427" i="5"/>
  <c r="F427" i="5" s="1"/>
  <c r="E428" i="5"/>
  <c r="F428" i="5" s="1"/>
  <c r="E429" i="5"/>
  <c r="F429" i="5" s="1"/>
  <c r="E430" i="5"/>
  <c r="F430" i="5" s="1"/>
  <c r="E431" i="5"/>
  <c r="E432" i="5"/>
  <c r="E433" i="5"/>
  <c r="E434" i="5"/>
  <c r="E435" i="5"/>
  <c r="F435" i="5" s="1"/>
  <c r="E436" i="5"/>
  <c r="E437" i="5"/>
  <c r="F437" i="5" s="1"/>
  <c r="E438" i="5"/>
  <c r="F438" i="5" s="1"/>
  <c r="E439" i="5"/>
  <c r="F439" i="5" s="1"/>
  <c r="E440" i="5"/>
  <c r="E441" i="5"/>
  <c r="E442" i="5"/>
  <c r="E443" i="5"/>
  <c r="F443" i="5" s="1"/>
  <c r="E444" i="5"/>
  <c r="E445" i="5"/>
  <c r="F445" i="5" s="1"/>
  <c r="E446" i="5"/>
  <c r="F446" i="5" s="1"/>
  <c r="E447" i="5"/>
  <c r="F447" i="5" s="1"/>
  <c r="E448" i="5"/>
  <c r="E449" i="5"/>
  <c r="E450" i="5"/>
  <c r="E451" i="5"/>
  <c r="E452" i="5"/>
  <c r="F452" i="5" s="1"/>
  <c r="E453" i="5"/>
  <c r="F453" i="5" s="1"/>
  <c r="E454" i="5"/>
  <c r="F454" i="5" s="1"/>
  <c r="E455" i="5"/>
  <c r="E456" i="5"/>
  <c r="E457" i="5"/>
  <c r="E458" i="5"/>
  <c r="E459" i="5"/>
  <c r="F459" i="5" s="1"/>
  <c r="E460" i="5"/>
  <c r="E461" i="5"/>
  <c r="F461" i="5" s="1"/>
  <c r="E462" i="5"/>
  <c r="F462" i="5" s="1"/>
  <c r="E463" i="5"/>
  <c r="E464" i="5"/>
  <c r="E465" i="5"/>
  <c r="E466" i="5"/>
  <c r="E467" i="5"/>
  <c r="E468" i="5"/>
  <c r="F468" i="5" s="1"/>
  <c r="E469" i="5"/>
  <c r="F469" i="5" s="1"/>
  <c r="E470" i="5"/>
  <c r="F470" i="5" s="1"/>
  <c r="E471" i="5"/>
  <c r="F471" i="5" s="1"/>
  <c r="E472" i="5"/>
  <c r="E473" i="5"/>
  <c r="E474" i="5"/>
  <c r="E475" i="5"/>
  <c r="F475" i="5" s="1"/>
  <c r="E476" i="5"/>
  <c r="F476" i="5" s="1"/>
  <c r="E477" i="5"/>
  <c r="F477" i="5" s="1"/>
  <c r="E478" i="5"/>
  <c r="F478" i="5" s="1"/>
  <c r="E479" i="5"/>
  <c r="E480" i="5"/>
  <c r="E481" i="5"/>
  <c r="E482" i="5"/>
  <c r="E483" i="5"/>
  <c r="F483" i="5" s="1"/>
  <c r="E484" i="5"/>
  <c r="E485" i="5"/>
  <c r="F485" i="5" s="1"/>
  <c r="E486" i="5"/>
  <c r="F486" i="5" s="1"/>
  <c r="E487" i="5"/>
  <c r="F487" i="5" s="1"/>
  <c r="E488" i="5"/>
  <c r="E489" i="5"/>
  <c r="E490" i="5"/>
  <c r="E491" i="5"/>
  <c r="F491" i="5" s="1"/>
  <c r="E492" i="5"/>
  <c r="E493" i="5"/>
  <c r="F493" i="5" s="1"/>
  <c r="E494" i="5"/>
  <c r="F494" i="5" s="1"/>
  <c r="E495" i="5"/>
  <c r="E496" i="5"/>
  <c r="E497" i="5"/>
  <c r="E498" i="5"/>
  <c r="E499" i="5"/>
  <c r="F499" i="5" s="1"/>
  <c r="E500" i="5"/>
  <c r="E501" i="5"/>
  <c r="F501" i="5" s="1"/>
  <c r="E502" i="5"/>
  <c r="F502" i="5" s="1"/>
  <c r="E503" i="5"/>
  <c r="F503" i="5" s="1"/>
  <c r="E504" i="5"/>
  <c r="E505" i="5"/>
  <c r="E506" i="5"/>
  <c r="E507" i="5"/>
  <c r="F507" i="5" s="1"/>
  <c r="E508" i="5"/>
  <c r="F508" i="5" s="1"/>
  <c r="E509" i="5"/>
  <c r="F509" i="5" s="1"/>
  <c r="E510" i="5"/>
  <c r="F510" i="5" s="1"/>
  <c r="E511" i="5"/>
  <c r="F511" i="5" s="1"/>
  <c r="E512" i="5"/>
  <c r="E513" i="5"/>
  <c r="E514" i="5"/>
  <c r="E515" i="5"/>
  <c r="F515" i="5" s="1"/>
  <c r="E516" i="5"/>
  <c r="E517" i="5"/>
  <c r="F517" i="5" s="1"/>
  <c r="E518" i="5"/>
  <c r="F518" i="5" s="1"/>
  <c r="E519" i="5"/>
  <c r="F519" i="5" s="1"/>
  <c r="E520" i="5"/>
  <c r="E521" i="5"/>
  <c r="E522" i="5"/>
  <c r="E523" i="5"/>
  <c r="E524" i="5"/>
  <c r="F524" i="5" s="1"/>
  <c r="E525" i="5"/>
  <c r="F525" i="5" s="1"/>
  <c r="E526" i="5"/>
  <c r="F526" i="5" s="1"/>
  <c r="E527" i="5"/>
  <c r="F527" i="5" s="1"/>
  <c r="E528" i="5"/>
  <c r="E529" i="5"/>
  <c r="E530" i="5"/>
  <c r="E531" i="5"/>
  <c r="F531" i="5" s="1"/>
  <c r="E532" i="5"/>
  <c r="F532" i="5" s="1"/>
  <c r="E533" i="5"/>
  <c r="F533" i="5" s="1"/>
  <c r="E534" i="5"/>
  <c r="F534" i="5" s="1"/>
  <c r="E535" i="5"/>
  <c r="F535" i="5" s="1"/>
  <c r="E536" i="5"/>
  <c r="E537" i="5"/>
  <c r="E538" i="5"/>
  <c r="E539" i="5"/>
  <c r="F539" i="5" s="1"/>
  <c r="E540" i="5"/>
  <c r="E541" i="5"/>
  <c r="E542" i="5"/>
  <c r="F542" i="5" s="1"/>
  <c r="E543" i="5"/>
  <c r="E544" i="5"/>
  <c r="E545" i="5"/>
  <c r="E546" i="5"/>
  <c r="E547" i="5"/>
  <c r="F547" i="5" s="1"/>
  <c r="E548" i="5"/>
  <c r="E549" i="5"/>
  <c r="F549" i="5" s="1"/>
  <c r="E550" i="5"/>
  <c r="F550" i="5" s="1"/>
  <c r="E551" i="5"/>
  <c r="F551" i="5" s="1"/>
  <c r="E552" i="5"/>
  <c r="E553" i="5"/>
  <c r="E554" i="5"/>
  <c r="E555" i="5"/>
  <c r="F555" i="5" s="1"/>
  <c r="E556" i="5"/>
  <c r="F556" i="5" s="1"/>
  <c r="E557" i="5"/>
  <c r="F557" i="5" s="1"/>
  <c r="E558" i="5"/>
  <c r="F558" i="5" s="1"/>
  <c r="E559" i="5"/>
  <c r="F559" i="5" s="1"/>
  <c r="E560" i="5"/>
  <c r="E561" i="5"/>
  <c r="E562" i="5"/>
  <c r="E563" i="5"/>
  <c r="F563" i="5" s="1"/>
  <c r="E564" i="5"/>
  <c r="E565" i="5"/>
  <c r="F565" i="5" s="1"/>
  <c r="E566" i="5"/>
  <c r="F566" i="5" s="1"/>
  <c r="E567" i="5"/>
  <c r="F567" i="5" s="1"/>
  <c r="E568" i="5"/>
  <c r="E569" i="5"/>
  <c r="E570" i="5"/>
  <c r="E571" i="5"/>
  <c r="F571" i="5" s="1"/>
  <c r="E572" i="5"/>
  <c r="F572" i="5" s="1"/>
  <c r="E573" i="5"/>
  <c r="F573" i="5" s="1"/>
  <c r="E574" i="5"/>
  <c r="F574" i="5" s="1"/>
  <c r="E575" i="5"/>
  <c r="F575" i="5" s="1"/>
  <c r="E576" i="5"/>
  <c r="E577" i="5"/>
  <c r="E578" i="5"/>
  <c r="E579" i="5"/>
  <c r="E580" i="5"/>
  <c r="F580" i="5" s="1"/>
  <c r="E581" i="5"/>
  <c r="F581" i="5" s="1"/>
  <c r="E582" i="5"/>
  <c r="F582" i="5" s="1"/>
  <c r="E583" i="5"/>
  <c r="F583" i="5" s="1"/>
  <c r="E584" i="5"/>
  <c r="E585" i="5"/>
  <c r="E586" i="5"/>
  <c r="E587" i="5"/>
  <c r="F587" i="5" s="1"/>
  <c r="E588" i="5"/>
  <c r="E589" i="5"/>
  <c r="F589" i="5" s="1"/>
  <c r="E590" i="5"/>
  <c r="F590" i="5" s="1"/>
  <c r="E591" i="5"/>
  <c r="E592" i="5"/>
  <c r="E593" i="5"/>
  <c r="E594" i="5"/>
  <c r="E595" i="5"/>
  <c r="F595" i="5" s="1"/>
  <c r="E596" i="5"/>
  <c r="E597" i="5"/>
  <c r="E598" i="5"/>
  <c r="F598" i="5" s="1"/>
  <c r="E599" i="5"/>
  <c r="F599" i="5" s="1"/>
  <c r="E600" i="5"/>
  <c r="E601" i="5"/>
  <c r="E602" i="5"/>
  <c r="E603" i="5"/>
  <c r="F603" i="5" s="1"/>
  <c r="E604" i="5"/>
  <c r="E605" i="5"/>
  <c r="F605" i="5" s="1"/>
  <c r="E606" i="5"/>
  <c r="F606" i="5" s="1"/>
  <c r="E607" i="5"/>
  <c r="F607" i="5" s="1"/>
  <c r="E608" i="5"/>
  <c r="E609" i="5"/>
  <c r="E610" i="5"/>
  <c r="E611" i="5"/>
  <c r="F611" i="5" s="1"/>
  <c r="E612" i="5"/>
  <c r="F612" i="5" s="1"/>
  <c r="E613" i="5"/>
  <c r="F613" i="5" s="1"/>
  <c r="E614" i="5"/>
  <c r="F614" i="5" s="1"/>
  <c r="E615" i="5"/>
  <c r="E616" i="5"/>
  <c r="E617" i="5"/>
  <c r="E618" i="5"/>
  <c r="E619" i="5"/>
  <c r="E620" i="5"/>
  <c r="F620" i="5" s="1"/>
  <c r="E621" i="5"/>
  <c r="F621" i="5" s="1"/>
  <c r="E622" i="5"/>
  <c r="F622" i="5" s="1"/>
  <c r="E623" i="5"/>
  <c r="F623" i="5" s="1"/>
  <c r="E624" i="5"/>
  <c r="E625" i="5"/>
  <c r="E626" i="5"/>
  <c r="E627" i="5"/>
  <c r="F627" i="5" s="1"/>
  <c r="E628" i="5"/>
  <c r="F628" i="5" s="1"/>
  <c r="E629" i="5"/>
  <c r="E630" i="5"/>
  <c r="F630" i="5" s="1"/>
  <c r="E631" i="5"/>
  <c r="F631" i="5" s="1"/>
  <c r="E632" i="5"/>
  <c r="E633" i="5"/>
  <c r="E634" i="5"/>
  <c r="E635" i="5"/>
  <c r="F635" i="5" s="1"/>
  <c r="E636" i="5"/>
  <c r="F636" i="5" s="1"/>
  <c r="E637" i="5"/>
  <c r="E638" i="5"/>
  <c r="F638" i="5" s="1"/>
  <c r="E639" i="5"/>
  <c r="E640" i="5"/>
  <c r="E641" i="5"/>
  <c r="E642" i="5"/>
  <c r="E643" i="5"/>
  <c r="F643" i="5" s="1"/>
  <c r="E644" i="5"/>
  <c r="E645" i="5"/>
  <c r="F645" i="5" s="1"/>
  <c r="E646" i="5"/>
  <c r="F646" i="5" s="1"/>
  <c r="E647" i="5"/>
  <c r="F647" i="5" s="1"/>
  <c r="E648" i="5"/>
  <c r="E649" i="5"/>
  <c r="E650" i="5"/>
  <c r="E651" i="5"/>
  <c r="F651" i="5" s="1"/>
  <c r="E652" i="5"/>
  <c r="E653" i="5"/>
  <c r="F653" i="5" s="1"/>
  <c r="E654" i="5"/>
  <c r="F654" i="5" s="1"/>
  <c r="E655" i="5"/>
  <c r="F655" i="5" s="1"/>
  <c r="E656" i="5"/>
  <c r="E657" i="5"/>
  <c r="E658" i="5"/>
  <c r="E659" i="5"/>
  <c r="F659" i="5" s="1"/>
  <c r="E660" i="5"/>
  <c r="F660" i="5" s="1"/>
  <c r="E661" i="5"/>
  <c r="F661" i="5" s="1"/>
  <c r="E662" i="5"/>
  <c r="F662" i="5" s="1"/>
  <c r="E663" i="5"/>
  <c r="F663" i="5" s="1"/>
  <c r="E664" i="5"/>
  <c r="E665" i="5"/>
  <c r="E666" i="5"/>
  <c r="E667" i="5"/>
  <c r="F667" i="5" s="1"/>
  <c r="E668" i="5"/>
  <c r="E669" i="5"/>
  <c r="F669" i="5" s="1"/>
  <c r="E670" i="5"/>
  <c r="F670" i="5" s="1"/>
  <c r="E671" i="5"/>
  <c r="F671" i="5" s="1"/>
  <c r="E672" i="5"/>
  <c r="E673" i="5"/>
  <c r="E674" i="5"/>
  <c r="E675" i="5"/>
  <c r="F675" i="5" s="1"/>
  <c r="E676" i="5"/>
  <c r="F676" i="5" s="1"/>
  <c r="E677" i="5"/>
  <c r="F677" i="5" s="1"/>
  <c r="E678" i="5"/>
  <c r="F678" i="5" s="1"/>
  <c r="E679" i="5"/>
  <c r="E680" i="5"/>
  <c r="E681" i="5"/>
  <c r="E682" i="5"/>
  <c r="E683" i="5"/>
  <c r="F683" i="5" s="1"/>
  <c r="E684" i="5"/>
  <c r="F684" i="5" s="1"/>
  <c r="E685" i="5"/>
  <c r="F685" i="5" s="1"/>
  <c r="E686" i="5"/>
  <c r="F686" i="5" s="1"/>
  <c r="E687" i="5"/>
  <c r="E688" i="5"/>
  <c r="E689" i="5"/>
  <c r="E690" i="5"/>
  <c r="E691" i="5"/>
  <c r="F691" i="5" s="1"/>
  <c r="E692" i="5"/>
  <c r="F692" i="5" s="1"/>
  <c r="E693" i="5"/>
  <c r="E694" i="5"/>
  <c r="F694" i="5" s="1"/>
  <c r="E695" i="5"/>
  <c r="F695" i="5" s="1"/>
  <c r="E696" i="5"/>
  <c r="E697" i="5"/>
  <c r="F697" i="5" s="1"/>
  <c r="E698" i="5"/>
  <c r="E699" i="5"/>
  <c r="E700" i="5"/>
  <c r="E701" i="5"/>
  <c r="E702" i="5"/>
  <c r="F702" i="5" s="1"/>
  <c r="E703" i="5"/>
  <c r="E704" i="5"/>
  <c r="E705" i="5"/>
  <c r="E706" i="5"/>
  <c r="E707" i="5"/>
  <c r="F707" i="5" s="1"/>
  <c r="E708" i="5"/>
  <c r="F708" i="5" s="1"/>
  <c r="E709" i="5"/>
  <c r="F709" i="5" s="1"/>
  <c r="E710" i="5"/>
  <c r="F710" i="5" s="1"/>
  <c r="E711" i="5"/>
  <c r="E712" i="5"/>
  <c r="E713" i="5"/>
  <c r="E714" i="5"/>
  <c r="E715" i="5"/>
  <c r="F715" i="5" s="1"/>
  <c r="E716" i="5"/>
  <c r="E717" i="5"/>
  <c r="F717" i="5" s="1"/>
  <c r="E718" i="5"/>
  <c r="F718" i="5" s="1"/>
  <c r="E719" i="5"/>
  <c r="F719" i="5" s="1"/>
  <c r="E720" i="5"/>
  <c r="E721" i="5"/>
  <c r="E722" i="5"/>
  <c r="E723" i="5"/>
  <c r="F723" i="5" s="1"/>
  <c r="E724" i="5"/>
  <c r="F724" i="5" s="1"/>
  <c r="E725" i="5"/>
  <c r="F725" i="5" s="1"/>
  <c r="E726" i="5"/>
  <c r="F726" i="5" s="1"/>
  <c r="E727" i="5"/>
  <c r="F727" i="5" s="1"/>
  <c r="E728" i="5"/>
  <c r="E729" i="5"/>
  <c r="E730" i="5"/>
  <c r="E731" i="5"/>
  <c r="F731" i="5" s="1"/>
  <c r="E732" i="5"/>
  <c r="F732" i="5" s="1"/>
  <c r="E733" i="5"/>
  <c r="F733" i="5" s="1"/>
  <c r="E734" i="5"/>
  <c r="F734" i="5" s="1"/>
  <c r="E735" i="5"/>
  <c r="F735" i="5" s="1"/>
  <c r="E736" i="5"/>
  <c r="E737" i="5"/>
  <c r="E738" i="5"/>
  <c r="E739" i="5"/>
  <c r="F739" i="5" s="1"/>
  <c r="E740" i="5"/>
  <c r="F740" i="5" s="1"/>
  <c r="E741" i="5"/>
  <c r="F741" i="5" s="1"/>
  <c r="E742" i="5"/>
  <c r="F742" i="5" s="1"/>
  <c r="E743" i="5"/>
  <c r="E744" i="5"/>
  <c r="E745" i="5"/>
  <c r="E746" i="5"/>
  <c r="E747" i="5"/>
  <c r="F747" i="5" s="1"/>
  <c r="E748" i="5"/>
  <c r="E749" i="5"/>
  <c r="F749" i="5" s="1"/>
  <c r="E750" i="5"/>
  <c r="F750" i="5" s="1"/>
  <c r="E751" i="5"/>
  <c r="F751" i="5" s="1"/>
  <c r="E752" i="5"/>
  <c r="E753" i="5"/>
  <c r="E754" i="5"/>
  <c r="E755" i="5"/>
  <c r="E756" i="5"/>
  <c r="E757" i="5"/>
  <c r="E758" i="5"/>
  <c r="F758" i="5" s="1"/>
  <c r="E759" i="5"/>
  <c r="E760" i="5"/>
  <c r="E761" i="5"/>
  <c r="E762" i="5"/>
  <c r="E763" i="5"/>
  <c r="F763" i="5" s="1"/>
  <c r="E764" i="5"/>
  <c r="F764" i="5" s="1"/>
  <c r="E765" i="5"/>
  <c r="E766" i="5"/>
  <c r="F766" i="5" s="1"/>
  <c r="E767" i="5"/>
  <c r="F767" i="5" s="1"/>
  <c r="E768" i="5"/>
  <c r="E769" i="5"/>
  <c r="E770" i="5"/>
  <c r="E771" i="5"/>
  <c r="F771" i="5" s="1"/>
  <c r="E772" i="5"/>
  <c r="E773" i="5"/>
  <c r="F773" i="5" s="1"/>
  <c r="E774" i="5"/>
  <c r="F774" i="5" s="1"/>
  <c r="E775" i="5"/>
  <c r="E776" i="5"/>
  <c r="E777" i="5"/>
  <c r="E778" i="5"/>
  <c r="E779" i="5"/>
  <c r="F779" i="5" s="1"/>
  <c r="E780" i="5"/>
  <c r="F780" i="5" s="1"/>
  <c r="E781" i="5"/>
  <c r="F781" i="5" s="1"/>
  <c r="E782" i="5"/>
  <c r="F782" i="5" s="1"/>
  <c r="E783" i="5"/>
  <c r="F783" i="5" s="1"/>
  <c r="E784" i="5"/>
  <c r="E785" i="5"/>
  <c r="E786" i="5"/>
  <c r="E787" i="5"/>
  <c r="F787" i="5" s="1"/>
  <c r="E788" i="5"/>
  <c r="F788" i="5" s="1"/>
  <c r="E789" i="5"/>
  <c r="F789" i="5" s="1"/>
  <c r="E790" i="5"/>
  <c r="F790" i="5" s="1"/>
  <c r="E791" i="5"/>
  <c r="F791" i="5" s="1"/>
  <c r="E792" i="5"/>
  <c r="E793" i="5"/>
  <c r="E794" i="5"/>
  <c r="E795" i="5"/>
  <c r="F795" i="5" s="1"/>
  <c r="E796" i="5"/>
  <c r="F796" i="5" s="1"/>
  <c r="E797" i="5"/>
  <c r="F797" i="5" s="1"/>
  <c r="E798" i="5"/>
  <c r="F798" i="5" s="1"/>
  <c r="E799" i="5"/>
  <c r="F799" i="5" s="1"/>
  <c r="E800" i="5"/>
  <c r="E801" i="5"/>
  <c r="E802" i="5"/>
  <c r="E803" i="5"/>
  <c r="F803" i="5" s="1"/>
  <c r="E804" i="5"/>
  <c r="E805" i="5"/>
  <c r="F805" i="5" s="1"/>
  <c r="E806" i="5"/>
  <c r="F806" i="5" s="1"/>
  <c r="E807" i="5"/>
  <c r="F807" i="5" s="1"/>
  <c r="E808" i="5"/>
  <c r="E809" i="5"/>
  <c r="E810" i="5"/>
  <c r="E811" i="5"/>
  <c r="F811" i="5" s="1"/>
  <c r="E812" i="5"/>
  <c r="E813" i="5"/>
  <c r="F813" i="5" s="1"/>
  <c r="E814" i="5"/>
  <c r="F814" i="5" s="1"/>
  <c r="E815" i="5"/>
  <c r="E816" i="5"/>
  <c r="E817" i="5"/>
  <c r="E818" i="5"/>
  <c r="E819" i="5"/>
  <c r="F819" i="5" s="1"/>
  <c r="E820" i="5"/>
  <c r="E821" i="5"/>
  <c r="F821" i="5" s="1"/>
  <c r="E822" i="5"/>
  <c r="F822" i="5" s="1"/>
  <c r="E823" i="5"/>
  <c r="E824" i="5"/>
  <c r="E825" i="5"/>
  <c r="E826" i="5"/>
  <c r="E827" i="5"/>
  <c r="F827" i="5" s="1"/>
  <c r="E828" i="5"/>
  <c r="F828" i="5" s="1"/>
  <c r="E829" i="5"/>
  <c r="F829" i="5" s="1"/>
  <c r="E830" i="5"/>
  <c r="F830" i="5" s="1"/>
  <c r="E831" i="5"/>
  <c r="F831" i="5" s="1"/>
  <c r="E832" i="5"/>
  <c r="E833" i="5"/>
  <c r="E834" i="5"/>
  <c r="E835" i="5"/>
  <c r="F835" i="5" s="1"/>
  <c r="E836" i="5"/>
  <c r="E837" i="5"/>
  <c r="F837" i="5" s="1"/>
  <c r="E838" i="5"/>
  <c r="F838" i="5" s="1"/>
  <c r="E839" i="5"/>
  <c r="F839" i="5" s="1"/>
  <c r="E840" i="5"/>
  <c r="E841" i="5"/>
  <c r="E842" i="5"/>
  <c r="E843" i="5"/>
  <c r="F843" i="5" s="1"/>
  <c r="E844" i="5"/>
  <c r="F844" i="5" s="1"/>
  <c r="E845" i="5"/>
  <c r="F845" i="5" s="1"/>
  <c r="E846" i="5"/>
  <c r="F846" i="5" s="1"/>
  <c r="E847" i="5"/>
  <c r="F847" i="5" s="1"/>
  <c r="E848" i="5"/>
  <c r="E849" i="5"/>
  <c r="E850" i="5"/>
  <c r="E851" i="5"/>
  <c r="F851" i="5" s="1"/>
  <c r="E852" i="5"/>
  <c r="F852" i="5" s="1"/>
  <c r="E853" i="5"/>
  <c r="F853" i="5" s="1"/>
  <c r="E854" i="5"/>
  <c r="F854" i="5" s="1"/>
  <c r="E855" i="5"/>
  <c r="F855" i="5" s="1"/>
  <c r="E856" i="5"/>
  <c r="E857" i="5"/>
  <c r="E858" i="5"/>
  <c r="E859" i="5"/>
  <c r="F859" i="5" s="1"/>
  <c r="E860" i="5"/>
  <c r="F860" i="5" s="1"/>
  <c r="E861" i="5"/>
  <c r="F861" i="5" s="1"/>
  <c r="E862" i="5"/>
  <c r="F862" i="5" s="1"/>
  <c r="E863" i="5"/>
  <c r="E864" i="5"/>
  <c r="E865" i="5"/>
  <c r="E866" i="5"/>
  <c r="E867" i="5"/>
  <c r="F867" i="5" s="1"/>
  <c r="E868" i="5"/>
  <c r="E869" i="5"/>
  <c r="E870" i="5"/>
  <c r="F870" i="5" s="1"/>
  <c r="E871" i="5"/>
  <c r="F871" i="5" s="1"/>
  <c r="E872" i="5"/>
  <c r="E873" i="5"/>
  <c r="E874" i="5"/>
  <c r="E875" i="5"/>
  <c r="F875" i="5" s="1"/>
  <c r="E876" i="5"/>
  <c r="E877" i="5"/>
  <c r="E878" i="5"/>
  <c r="F878" i="5" s="1"/>
  <c r="E879" i="5"/>
  <c r="E880" i="5"/>
  <c r="F880" i="5" s="1"/>
  <c r="E881" i="5"/>
  <c r="E882" i="5"/>
  <c r="E883" i="5"/>
  <c r="F883" i="5" s="1"/>
  <c r="E884" i="5"/>
  <c r="F884" i="5" s="1"/>
  <c r="E885" i="5"/>
  <c r="F885" i="5" s="1"/>
  <c r="E886" i="5"/>
  <c r="F886" i="5" s="1"/>
  <c r="E887" i="5"/>
  <c r="E888" i="5"/>
  <c r="E889" i="5"/>
  <c r="E890" i="5"/>
  <c r="E891" i="5"/>
  <c r="F891" i="5" s="1"/>
  <c r="E892" i="5"/>
  <c r="E893" i="5"/>
  <c r="F893" i="5" s="1"/>
  <c r="E894" i="5"/>
  <c r="F894" i="5" s="1"/>
  <c r="E895" i="5"/>
  <c r="E896" i="5"/>
  <c r="E897" i="5"/>
  <c r="E898" i="5"/>
  <c r="E899" i="5"/>
  <c r="F899" i="5" s="1"/>
  <c r="E900" i="5"/>
  <c r="F900" i="5" s="1"/>
  <c r="E901" i="5"/>
  <c r="F901" i="5" s="1"/>
  <c r="E902" i="5"/>
  <c r="F902" i="5" s="1"/>
  <c r="E903" i="5"/>
  <c r="E904" i="5"/>
  <c r="E905" i="5"/>
  <c r="E906" i="5"/>
  <c r="E907" i="5"/>
  <c r="F907" i="5" s="1"/>
  <c r="E908" i="5"/>
  <c r="F908" i="5" s="1"/>
  <c r="E909" i="5"/>
  <c r="F909" i="5" s="1"/>
  <c r="E910" i="5"/>
  <c r="F910" i="5" s="1"/>
  <c r="E911" i="5"/>
  <c r="E912" i="5"/>
  <c r="E913" i="5"/>
  <c r="E914" i="5"/>
  <c r="E915" i="5"/>
  <c r="F915" i="5" s="1"/>
  <c r="E916" i="5"/>
  <c r="E917" i="5"/>
  <c r="F917" i="5" s="1"/>
  <c r="E918" i="5"/>
  <c r="F918" i="5" s="1"/>
  <c r="E919" i="5"/>
  <c r="E920" i="5"/>
  <c r="E921" i="5"/>
  <c r="E922" i="5"/>
  <c r="E923" i="5"/>
  <c r="F923" i="5" s="1"/>
  <c r="E924" i="5"/>
  <c r="E925" i="5"/>
  <c r="E926" i="5"/>
  <c r="F926" i="5" s="1"/>
  <c r="E927" i="5"/>
  <c r="E928" i="5"/>
  <c r="E929" i="5"/>
  <c r="E930" i="5"/>
  <c r="E931" i="5"/>
  <c r="F931" i="5" s="1"/>
  <c r="E932" i="5"/>
  <c r="E933" i="5"/>
  <c r="E934" i="5"/>
  <c r="F934" i="5" s="1"/>
  <c r="E935" i="5"/>
  <c r="E936" i="5"/>
  <c r="E937" i="5"/>
  <c r="E938" i="5"/>
  <c r="E939" i="5"/>
  <c r="F939" i="5" s="1"/>
  <c r="E940" i="5"/>
  <c r="F940" i="5" s="1"/>
  <c r="E941" i="5"/>
  <c r="E942" i="5"/>
  <c r="F942" i="5" s="1"/>
  <c r="E943" i="5"/>
  <c r="E944" i="5"/>
  <c r="E945" i="5"/>
  <c r="E946" i="5"/>
  <c r="E947" i="5"/>
  <c r="F947" i="5" s="1"/>
  <c r="E948" i="5"/>
  <c r="E949" i="5"/>
  <c r="F949" i="5" s="1"/>
  <c r="E950" i="5"/>
  <c r="F950" i="5" s="1"/>
  <c r="E951" i="5"/>
  <c r="E952" i="5"/>
  <c r="E953" i="5"/>
  <c r="E954" i="5"/>
  <c r="E955" i="5"/>
  <c r="F955" i="5" s="1"/>
  <c r="E956" i="5"/>
  <c r="F956" i="5" s="1"/>
  <c r="E957" i="5"/>
  <c r="F957" i="5" s="1"/>
  <c r="E958" i="5"/>
  <c r="F958" i="5" s="1"/>
  <c r="E959" i="5"/>
  <c r="E960" i="5"/>
  <c r="E961" i="5"/>
  <c r="E962" i="5"/>
  <c r="E963" i="5"/>
  <c r="F963" i="5" s="1"/>
  <c r="E964" i="5"/>
  <c r="F964" i="5" s="1"/>
  <c r="E965" i="5"/>
  <c r="F965" i="5" s="1"/>
  <c r="E966" i="5"/>
  <c r="F966" i="5" s="1"/>
  <c r="E967" i="5"/>
  <c r="E968" i="5"/>
  <c r="E969" i="5"/>
  <c r="E970" i="5"/>
  <c r="E971" i="5"/>
  <c r="F971" i="5" s="1"/>
  <c r="E972" i="5"/>
  <c r="F972" i="5" s="1"/>
  <c r="E973" i="5"/>
  <c r="F973" i="5" s="1"/>
  <c r="E974" i="5"/>
  <c r="F974" i="5" s="1"/>
  <c r="E975" i="5"/>
  <c r="E976" i="5"/>
  <c r="E977" i="5"/>
  <c r="E978" i="5"/>
  <c r="E979" i="5"/>
  <c r="F979" i="5" s="1"/>
  <c r="E980" i="5"/>
  <c r="E981" i="5"/>
  <c r="F981" i="5" s="1"/>
  <c r="E982" i="5"/>
  <c r="F982" i="5" s="1"/>
  <c r="E983" i="5"/>
  <c r="E984" i="5"/>
  <c r="E985" i="5"/>
  <c r="E986" i="5"/>
  <c r="E987" i="5"/>
  <c r="F987" i="5" s="1"/>
  <c r="E988" i="5"/>
  <c r="E989" i="5"/>
  <c r="E990" i="5"/>
  <c r="F990" i="5" s="1"/>
  <c r="E991" i="5"/>
  <c r="E992" i="5"/>
  <c r="E993" i="5"/>
  <c r="E994" i="5"/>
  <c r="E995" i="5"/>
  <c r="F995" i="5" s="1"/>
  <c r="E996" i="5"/>
  <c r="F996" i="5" s="1"/>
  <c r="E997" i="5"/>
  <c r="E998" i="5"/>
  <c r="F998" i="5" s="1"/>
  <c r="E999" i="5"/>
  <c r="E1000" i="5"/>
  <c r="E1001" i="5"/>
  <c r="E1002" i="5"/>
  <c r="E1003" i="5"/>
  <c r="F1003" i="5" s="1"/>
  <c r="E1004" i="5"/>
  <c r="E1005" i="5"/>
  <c r="E1006" i="5"/>
  <c r="F1006" i="5" s="1"/>
  <c r="E1007" i="5"/>
  <c r="E1008" i="5"/>
  <c r="E1009" i="5"/>
  <c r="E1010" i="5"/>
  <c r="E1011" i="5"/>
  <c r="F1011" i="5" s="1"/>
  <c r="E1012" i="5"/>
  <c r="F1012" i="5" s="1"/>
  <c r="E1013" i="5"/>
  <c r="F1013" i="5" s="1"/>
  <c r="E1014" i="5"/>
  <c r="F1014" i="5" s="1"/>
  <c r="E1015" i="5"/>
  <c r="E1016" i="5"/>
  <c r="E1017" i="5"/>
  <c r="E1018" i="5"/>
  <c r="E1019" i="5"/>
  <c r="F1019" i="5" s="1"/>
  <c r="E1020" i="5"/>
  <c r="F1020" i="5" s="1"/>
  <c r="E1021" i="5"/>
  <c r="F1021" i="5" s="1"/>
  <c r="E1022" i="5"/>
  <c r="F1022" i="5" s="1"/>
  <c r="E1023" i="5"/>
  <c r="F1023" i="5" s="1"/>
  <c r="E1024" i="5"/>
  <c r="E1025" i="5"/>
  <c r="E1026" i="5"/>
  <c r="E1027" i="5"/>
  <c r="F1027" i="5" s="1"/>
  <c r="E1028" i="5"/>
  <c r="F1028" i="5" s="1"/>
  <c r="E1029" i="5"/>
  <c r="F1029" i="5" s="1"/>
  <c r="E1030" i="5"/>
  <c r="F1030" i="5" s="1"/>
  <c r="E1031" i="5"/>
  <c r="E1032" i="5"/>
  <c r="E1033" i="5"/>
  <c r="E1034" i="5"/>
  <c r="E1035" i="5"/>
  <c r="F1035" i="5" s="1"/>
  <c r="E1036" i="5"/>
  <c r="E1037" i="5"/>
  <c r="F1037" i="5" s="1"/>
  <c r="E1038" i="5"/>
  <c r="F1038" i="5" s="1"/>
  <c r="E1039" i="5"/>
  <c r="E1040" i="5"/>
  <c r="E1041" i="5"/>
  <c r="E1042" i="5"/>
  <c r="E1043" i="5"/>
  <c r="F1043" i="5" s="1"/>
  <c r="E1044" i="5"/>
  <c r="E1045" i="5"/>
  <c r="F1045" i="5" s="1"/>
  <c r="E1046" i="5"/>
  <c r="F1046" i="5" s="1"/>
  <c r="E1047" i="5"/>
  <c r="E1048" i="5"/>
  <c r="E1049" i="5"/>
  <c r="E1050" i="5"/>
  <c r="E1051" i="5"/>
  <c r="F1051" i="5" s="1"/>
  <c r="E1052" i="5"/>
  <c r="F1052" i="5" s="1"/>
  <c r="E1053" i="5"/>
  <c r="E1054" i="5"/>
  <c r="F1054" i="5" s="1"/>
  <c r="E1055" i="5"/>
  <c r="E1056" i="5"/>
  <c r="E1057" i="5"/>
  <c r="E1058" i="5"/>
  <c r="E1059" i="5"/>
  <c r="F1059" i="5" s="1"/>
  <c r="E1060" i="5"/>
  <c r="E1061" i="5"/>
  <c r="E1062" i="5"/>
  <c r="F1062" i="5" s="1"/>
  <c r="E1063" i="5"/>
  <c r="E1064" i="5"/>
  <c r="E1065" i="5"/>
  <c r="E1066" i="5"/>
  <c r="E1067" i="5"/>
  <c r="E1068" i="5"/>
  <c r="E1069" i="5"/>
  <c r="E1070" i="5"/>
  <c r="F1070" i="5" s="1"/>
  <c r="E1071" i="5"/>
  <c r="E1072" i="5"/>
  <c r="E1073" i="5"/>
  <c r="E1074" i="5"/>
  <c r="E1075" i="5"/>
  <c r="F1075" i="5" s="1"/>
  <c r="E1076" i="5"/>
  <c r="F1076" i="5" s="1"/>
  <c r="E1077" i="5"/>
  <c r="F1077" i="5" s="1"/>
  <c r="E1078" i="5"/>
  <c r="F1078" i="5" s="1"/>
  <c r="E1079" i="5"/>
  <c r="E1080" i="5"/>
  <c r="E1081" i="5"/>
  <c r="E1082" i="5"/>
  <c r="E1083" i="5"/>
  <c r="F1083" i="5" s="1"/>
  <c r="E1084" i="5"/>
  <c r="F1084" i="5" s="1"/>
  <c r="E1085" i="5"/>
  <c r="F1085" i="5" s="1"/>
  <c r="E1086" i="5"/>
  <c r="F1086" i="5" s="1"/>
  <c r="E1087" i="5"/>
  <c r="E1088" i="5"/>
  <c r="E1089" i="5"/>
  <c r="E1090" i="5"/>
  <c r="E1091" i="5"/>
  <c r="F1091" i="5" s="1"/>
  <c r="E1092" i="5"/>
  <c r="F1092" i="5" s="1"/>
  <c r="E1093" i="5"/>
  <c r="F1093" i="5" s="1"/>
  <c r="E1094" i="5"/>
  <c r="F1094" i="5" s="1"/>
  <c r="E1095" i="5"/>
  <c r="E1096" i="5"/>
  <c r="E1097" i="5"/>
  <c r="E1098" i="5"/>
  <c r="E1099" i="5"/>
  <c r="F1099" i="5" s="1"/>
  <c r="E1100" i="5"/>
  <c r="E1101" i="5"/>
  <c r="F1101" i="5" s="1"/>
  <c r="E1102" i="5"/>
  <c r="F1102" i="5" s="1"/>
  <c r="E1103" i="5"/>
  <c r="E1104" i="5"/>
  <c r="E1105" i="5"/>
  <c r="E1106" i="5"/>
  <c r="E1107" i="5"/>
  <c r="E1108" i="5"/>
  <c r="F1108" i="5" s="1"/>
  <c r="E1109" i="5"/>
  <c r="F1109" i="5" s="1"/>
  <c r="E1110" i="5"/>
  <c r="F1110" i="5" s="1"/>
  <c r="E1111" i="5"/>
  <c r="E1112" i="5"/>
  <c r="E1113" i="5"/>
  <c r="E1114" i="5"/>
  <c r="E1115" i="5"/>
  <c r="F1115" i="5" s="1"/>
  <c r="E1116" i="5"/>
  <c r="E1117" i="5"/>
  <c r="E1118" i="5"/>
  <c r="F1118" i="5" s="1"/>
  <c r="E1119" i="5"/>
  <c r="E1120" i="5"/>
  <c r="E1121" i="5"/>
  <c r="E1122" i="5"/>
  <c r="E1123" i="5"/>
  <c r="F1123" i="5" s="1"/>
  <c r="E1124" i="5"/>
  <c r="F1124" i="5" s="1"/>
  <c r="E1125" i="5"/>
  <c r="E1126" i="5"/>
  <c r="F1126" i="5" s="1"/>
  <c r="E1127" i="5"/>
  <c r="E1128" i="5"/>
  <c r="E1129" i="5"/>
  <c r="E1130" i="5"/>
  <c r="E1131" i="5"/>
  <c r="F1131" i="5" s="1"/>
  <c r="E1132" i="5"/>
  <c r="F1132" i="5" s="1"/>
  <c r="E1133" i="5"/>
  <c r="E1134" i="5"/>
  <c r="F1134" i="5" s="1"/>
  <c r="E1135" i="5"/>
  <c r="E1136" i="5"/>
  <c r="E1137" i="5"/>
  <c r="E1138" i="5"/>
  <c r="E1139" i="5"/>
  <c r="F1139" i="5" s="1"/>
  <c r="E1140" i="5"/>
  <c r="F1140" i="5" s="1"/>
  <c r="E1141" i="5"/>
  <c r="F1141" i="5" s="1"/>
  <c r="E1142" i="5"/>
  <c r="F1142" i="5" s="1"/>
  <c r="E1143" i="5"/>
  <c r="E1144" i="5"/>
  <c r="E1145" i="5"/>
  <c r="E1146" i="5"/>
  <c r="E1147" i="5"/>
  <c r="F1147" i="5" s="1"/>
  <c r="E1148" i="5"/>
  <c r="E1149" i="5"/>
  <c r="F1149" i="5" s="1"/>
  <c r="E1150" i="5"/>
  <c r="F1150" i="5" s="1"/>
  <c r="E1151" i="5"/>
  <c r="E1152" i="5"/>
  <c r="E1153" i="5"/>
  <c r="E1154" i="5"/>
  <c r="E1155" i="5"/>
  <c r="F1155" i="5" s="1"/>
  <c r="E1156" i="5"/>
  <c r="F1156" i="5" s="1"/>
  <c r="E1157" i="5"/>
  <c r="F1157" i="5" s="1"/>
  <c r="E1158" i="5"/>
  <c r="F1158" i="5" s="1"/>
  <c r="E1159" i="5"/>
  <c r="E1160" i="5"/>
  <c r="E1161" i="5"/>
  <c r="E1162" i="5"/>
  <c r="E1163" i="5"/>
  <c r="F1163" i="5" s="1"/>
  <c r="E1164" i="5"/>
  <c r="E1165" i="5"/>
  <c r="F1165" i="5" s="1"/>
  <c r="E1166" i="5"/>
  <c r="F1166" i="5" s="1"/>
  <c r="E1167" i="5"/>
  <c r="E1168" i="5"/>
  <c r="E1169" i="5"/>
  <c r="E1170" i="5"/>
  <c r="E1171" i="5"/>
  <c r="E1172" i="5"/>
  <c r="F1172" i="5" s="1"/>
  <c r="E1173" i="5"/>
  <c r="F1173" i="5" s="1"/>
  <c r="E1174" i="5"/>
  <c r="F1174" i="5" s="1"/>
  <c r="E1175" i="5"/>
  <c r="E1176" i="5"/>
  <c r="E1177" i="5"/>
  <c r="E1178" i="5"/>
  <c r="E1179" i="5"/>
  <c r="F1179" i="5" s="1"/>
  <c r="E1180" i="5"/>
  <c r="E1181" i="5"/>
  <c r="E1182" i="5"/>
  <c r="F1182" i="5" s="1"/>
  <c r="E1183" i="5"/>
  <c r="E1184" i="5"/>
  <c r="E1185" i="5"/>
  <c r="E1186" i="5"/>
  <c r="E1187" i="5"/>
  <c r="F1187" i="5" s="1"/>
  <c r="E1188" i="5"/>
  <c r="F1188" i="5" s="1"/>
  <c r="E1189" i="5"/>
  <c r="E1190" i="5"/>
  <c r="F1190" i="5" s="1"/>
  <c r="E1191" i="5"/>
  <c r="E1192" i="5"/>
  <c r="E1193" i="5"/>
  <c r="E1194" i="5"/>
  <c r="E1195" i="5"/>
  <c r="F1195" i="5" s="1"/>
  <c r="E1196" i="5"/>
  <c r="F1196" i="5" s="1"/>
  <c r="E1197" i="5"/>
  <c r="E1198" i="5"/>
  <c r="F1198" i="5" s="1"/>
  <c r="E1199" i="5"/>
  <c r="E1200" i="5"/>
  <c r="E1201" i="5"/>
  <c r="E1202" i="5"/>
  <c r="E1203" i="5"/>
  <c r="F1203" i="5" s="1"/>
  <c r="E1204" i="5"/>
  <c r="F1204" i="5" s="1"/>
  <c r="E1205" i="5"/>
  <c r="F1205" i="5" s="1"/>
  <c r="E1206" i="5"/>
  <c r="F1206" i="5" s="1"/>
  <c r="E1207" i="5"/>
  <c r="E1208" i="5"/>
  <c r="E1209" i="5"/>
  <c r="E1210" i="5"/>
  <c r="E1211" i="5"/>
  <c r="F1211" i="5" s="1"/>
  <c r="E1212" i="5"/>
  <c r="F1212" i="5" s="1"/>
  <c r="E1213" i="5"/>
  <c r="E1214" i="5"/>
  <c r="F1214" i="5" s="1"/>
  <c r="E1215" i="5"/>
  <c r="E1216" i="5"/>
  <c r="E1217" i="5"/>
  <c r="E1218" i="5"/>
  <c r="E1219" i="5"/>
  <c r="F1219" i="5" s="1"/>
  <c r="E1220" i="5"/>
  <c r="F1220" i="5" s="1"/>
  <c r="E1221" i="5"/>
  <c r="F1221" i="5" s="1"/>
  <c r="E1222" i="5"/>
  <c r="F1222" i="5" s="1"/>
  <c r="E1223" i="5"/>
  <c r="E1224" i="5"/>
  <c r="E1225" i="5"/>
  <c r="E1226" i="5"/>
  <c r="E1227" i="5"/>
  <c r="F1227" i="5" s="1"/>
  <c r="E1228" i="5"/>
  <c r="E1229" i="5"/>
  <c r="E1230" i="5"/>
  <c r="F1230" i="5" s="1"/>
  <c r="E1231" i="5"/>
  <c r="F1231" i="5" s="1"/>
  <c r="E1232" i="5"/>
  <c r="E1233" i="5"/>
  <c r="E1234" i="5"/>
  <c r="E1235" i="5"/>
  <c r="E1236" i="5"/>
  <c r="E1237" i="5"/>
  <c r="F1237" i="5" s="1"/>
  <c r="E1238" i="5"/>
  <c r="F1238" i="5" s="1"/>
  <c r="E1239" i="5"/>
  <c r="E1240" i="5"/>
  <c r="E1241" i="5"/>
  <c r="E1242" i="5"/>
  <c r="E1243" i="5"/>
  <c r="F1243" i="5" s="1"/>
  <c r="E1244" i="5"/>
  <c r="F1244" i="5" s="1"/>
  <c r="E1245" i="5"/>
  <c r="E1246" i="5"/>
  <c r="F1246" i="5" s="1"/>
  <c r="E1247" i="5"/>
  <c r="E1248" i="5"/>
  <c r="E1249" i="5"/>
  <c r="E1250" i="5"/>
  <c r="E1251" i="5"/>
  <c r="F1251" i="5" s="1"/>
  <c r="E1252" i="5"/>
  <c r="E1253" i="5"/>
  <c r="E1254" i="5"/>
  <c r="F1254" i="5" s="1"/>
  <c r="E1255" i="5"/>
  <c r="E1256" i="5"/>
  <c r="E1257" i="5"/>
  <c r="E1258" i="5"/>
  <c r="E1259" i="5"/>
  <c r="F1259" i="5" s="1"/>
  <c r="E1260" i="5"/>
  <c r="F1260" i="5" s="1"/>
  <c r="E1261" i="5"/>
  <c r="E1262" i="5"/>
  <c r="F1262" i="5" s="1"/>
  <c r="E1263" i="5"/>
  <c r="E1264" i="5"/>
  <c r="E1265" i="5"/>
  <c r="E1266" i="5"/>
  <c r="E1267" i="5"/>
  <c r="F1267" i="5" s="1"/>
  <c r="E1268" i="5"/>
  <c r="F1268" i="5" s="1"/>
  <c r="E1269" i="5"/>
  <c r="F1269" i="5" s="1"/>
  <c r="E1270" i="5"/>
  <c r="F1270" i="5" s="1"/>
  <c r="E1271" i="5"/>
  <c r="E1272" i="5"/>
  <c r="E1273" i="5"/>
  <c r="E1274" i="5"/>
  <c r="E1275" i="5"/>
  <c r="F1275" i="5" s="1"/>
  <c r="E1276" i="5"/>
  <c r="F1276" i="5" s="1"/>
  <c r="E1277" i="5"/>
  <c r="E1278" i="5"/>
  <c r="F1278" i="5" s="1"/>
  <c r="E1279" i="5"/>
  <c r="E1280" i="5"/>
  <c r="E1281" i="5"/>
  <c r="E1282" i="5"/>
  <c r="E1283" i="5"/>
  <c r="F1283" i="5" s="1"/>
  <c r="E1284" i="5"/>
  <c r="F1284" i="5" s="1"/>
  <c r="E1285" i="5"/>
  <c r="F1285" i="5" s="1"/>
  <c r="E1286" i="5"/>
  <c r="F1286" i="5" s="1"/>
  <c r="E1287" i="5"/>
  <c r="F4" i="5"/>
  <c r="F36" i="5"/>
  <c r="F37" i="5"/>
  <c r="F44" i="5"/>
  <c r="F60" i="5"/>
  <c r="F84" i="5"/>
  <c r="F92" i="5"/>
  <c r="F100" i="5"/>
  <c r="F108" i="5"/>
  <c r="F140" i="5"/>
  <c r="F141" i="5"/>
  <c r="F142" i="5"/>
  <c r="F156" i="5"/>
  <c r="F180" i="5"/>
  <c r="F188" i="5"/>
  <c r="F196" i="5"/>
  <c r="F212" i="5"/>
  <c r="F235" i="5"/>
  <c r="F236" i="5"/>
  <c r="F244" i="5"/>
  <c r="F251" i="5"/>
  <c r="F260" i="5"/>
  <c r="F292" i="5"/>
  <c r="F300" i="5"/>
  <c r="F308" i="5"/>
  <c r="F324" i="5"/>
  <c r="F339" i="5"/>
  <c r="F348" i="5"/>
  <c r="F356" i="5"/>
  <c r="F364" i="5"/>
  <c r="F373" i="5"/>
  <c r="F379" i="5"/>
  <c r="F396" i="5"/>
  <c r="F397" i="5"/>
  <c r="F398" i="5"/>
  <c r="F412" i="5"/>
  <c r="F436" i="5"/>
  <c r="F444" i="5"/>
  <c r="F451" i="5"/>
  <c r="F460" i="5"/>
  <c r="F467" i="5"/>
  <c r="F484" i="5"/>
  <c r="F492" i="5"/>
  <c r="F500" i="5"/>
  <c r="F516" i="5"/>
  <c r="F523" i="5"/>
  <c r="F540" i="5"/>
  <c r="F541" i="5"/>
  <c r="F548" i="5"/>
  <c r="F564" i="5"/>
  <c r="F579" i="5"/>
  <c r="F588" i="5"/>
  <c r="F596" i="5"/>
  <c r="F604" i="5"/>
  <c r="F619" i="5"/>
  <c r="F644" i="5"/>
  <c r="F652" i="5"/>
  <c r="F668" i="5"/>
  <c r="F699" i="5"/>
  <c r="F700" i="5"/>
  <c r="F701" i="5"/>
  <c r="F716" i="5"/>
  <c r="F748" i="5"/>
  <c r="F755" i="5"/>
  <c r="F756" i="5"/>
  <c r="F772" i="5"/>
  <c r="F804" i="5"/>
  <c r="F812" i="5"/>
  <c r="F820" i="5"/>
  <c r="F836" i="5"/>
  <c r="F868" i="5"/>
  <c r="F876" i="5"/>
  <c r="F892" i="5"/>
  <c r="F916" i="5"/>
  <c r="F924" i="5"/>
  <c r="F932" i="5"/>
  <c r="F948" i="5"/>
  <c r="F980" i="5"/>
  <c r="F988" i="5"/>
  <c r="F1004" i="5"/>
  <c r="F1036" i="5"/>
  <c r="F1044" i="5"/>
  <c r="F1060" i="5"/>
  <c r="F1067" i="5"/>
  <c r="F1068" i="5"/>
  <c r="F1100" i="5"/>
  <c r="F1107" i="5"/>
  <c r="F1116" i="5"/>
  <c r="F1148" i="5"/>
  <c r="F1164" i="5"/>
  <c r="F1171" i="5"/>
  <c r="F1180" i="5"/>
  <c r="F1228" i="5"/>
  <c r="F1235" i="5"/>
  <c r="F1236" i="5"/>
  <c r="F1252" i="5"/>
  <c r="G3" i="5" l="1"/>
  <c r="F3" i="5"/>
  <c r="F1266" i="5"/>
  <c r="F1234" i="5"/>
  <c r="F1202" i="5"/>
  <c r="F1170" i="5"/>
  <c r="F1138" i="5"/>
  <c r="F1106" i="5"/>
  <c r="F1074" i="5"/>
  <c r="F1042" i="5"/>
  <c r="F1010" i="5"/>
  <c r="F978" i="5"/>
  <c r="F946" i="5"/>
  <c r="F914" i="5"/>
  <c r="F882" i="5"/>
  <c r="F850" i="5"/>
  <c r="F818" i="5"/>
  <c r="F786" i="5"/>
  <c r="F754" i="5"/>
  <c r="F722" i="5"/>
  <c r="F690" i="5"/>
  <c r="F658" i="5"/>
  <c r="F626" i="5"/>
  <c r="F594" i="5"/>
  <c r="F570" i="5"/>
  <c r="F530" i="5"/>
  <c r="F506" i="5"/>
  <c r="F482" i="5"/>
  <c r="F458" i="5"/>
  <c r="F426" i="5"/>
  <c r="F402" i="5"/>
  <c r="F378" i="5"/>
  <c r="F354" i="5"/>
  <c r="F330" i="5"/>
  <c r="F306" i="5"/>
  <c r="F282" i="5"/>
  <c r="F258" i="5"/>
  <c r="F234" i="5"/>
  <c r="F210" i="5"/>
  <c r="F186" i="5"/>
  <c r="F162" i="5"/>
  <c r="F138" i="5"/>
  <c r="F114" i="5"/>
  <c r="F98" i="5"/>
  <c r="F74" i="5"/>
  <c r="F58" i="5"/>
  <c r="F50" i="5"/>
  <c r="F26" i="5"/>
  <c r="F1274" i="5"/>
  <c r="F1242" i="5"/>
  <c r="F1210" i="5"/>
  <c r="F1178" i="5"/>
  <c r="F1146" i="5"/>
  <c r="F1114" i="5"/>
  <c r="F1082" i="5"/>
  <c r="F1050" i="5"/>
  <c r="F1018" i="5"/>
  <c r="F986" i="5"/>
  <c r="F954" i="5"/>
  <c r="F922" i="5"/>
  <c r="F890" i="5"/>
  <c r="F858" i="5"/>
  <c r="F826" i="5"/>
  <c r="F794" i="5"/>
  <c r="F762" i="5"/>
  <c r="F730" i="5"/>
  <c r="F698" i="5"/>
  <c r="F666" i="5"/>
  <c r="F642" i="5"/>
  <c r="F610" i="5"/>
  <c r="F578" i="5"/>
  <c r="F554" i="5"/>
  <c r="F522" i="5"/>
  <c r="F498" i="5"/>
  <c r="F474" i="5"/>
  <c r="F450" i="5"/>
  <c r="F434" i="5"/>
  <c r="F410" i="5"/>
  <c r="F386" i="5"/>
  <c r="F362" i="5"/>
  <c r="F338" i="5"/>
  <c r="F314" i="5"/>
  <c r="F290" i="5"/>
  <c r="F266" i="5"/>
  <c r="F242" i="5"/>
  <c r="F218" i="5"/>
  <c r="F194" i="5"/>
  <c r="F170" i="5"/>
  <c r="F146" i="5"/>
  <c r="F130" i="5"/>
  <c r="F106" i="5"/>
  <c r="F82" i="5"/>
  <c r="F66" i="5"/>
  <c r="F42" i="5"/>
  <c r="F18" i="5"/>
  <c r="F1258" i="5"/>
  <c r="F1226" i="5"/>
  <c r="F1194" i="5"/>
  <c r="F1162" i="5"/>
  <c r="F1130" i="5"/>
  <c r="F1098" i="5"/>
  <c r="F1066" i="5"/>
  <c r="F1034" i="5"/>
  <c r="F1002" i="5"/>
  <c r="F970" i="5"/>
  <c r="F938" i="5"/>
  <c r="F906" i="5"/>
  <c r="F874" i="5"/>
  <c r="F842" i="5"/>
  <c r="F810" i="5"/>
  <c r="F778" i="5"/>
  <c r="F738" i="5"/>
  <c r="F706" i="5"/>
  <c r="F674" i="5"/>
  <c r="F634" i="5"/>
  <c r="F602" i="5"/>
  <c r="F546" i="5"/>
  <c r="F10" i="5"/>
  <c r="F1282" i="5"/>
  <c r="F1250" i="5"/>
  <c r="F1218" i="5"/>
  <c r="F1186" i="5"/>
  <c r="F1154" i="5"/>
  <c r="F1122" i="5"/>
  <c r="F1090" i="5"/>
  <c r="F1058" i="5"/>
  <c r="F1026" i="5"/>
  <c r="F994" i="5"/>
  <c r="F962" i="5"/>
  <c r="F930" i="5"/>
  <c r="F898" i="5"/>
  <c r="F866" i="5"/>
  <c r="F834" i="5"/>
  <c r="F802" i="5"/>
  <c r="F770" i="5"/>
  <c r="F746" i="5"/>
  <c r="F714" i="5"/>
  <c r="F682" i="5"/>
  <c r="F650" i="5"/>
  <c r="F618" i="5"/>
  <c r="F586" i="5"/>
  <c r="F562" i="5"/>
  <c r="F538" i="5"/>
  <c r="F514" i="5"/>
  <c r="F490" i="5"/>
  <c r="F466" i="5"/>
  <c r="F442" i="5"/>
  <c r="F418" i="5"/>
  <c r="F394" i="5"/>
  <c r="F370" i="5"/>
  <c r="F346" i="5"/>
  <c r="F322" i="5"/>
  <c r="F298" i="5"/>
  <c r="F274" i="5"/>
  <c r="F250" i="5"/>
  <c r="F226" i="5"/>
  <c r="F202" i="5"/>
  <c r="F178" i="5"/>
  <c r="F154" i="5"/>
  <c r="F122" i="5"/>
  <c r="F90" i="5"/>
  <c r="F34" i="5"/>
  <c r="F1265" i="5"/>
  <c r="F1233" i="5"/>
  <c r="F1201" i="5"/>
  <c r="F1169" i="5"/>
  <c r="F1137" i="5"/>
  <c r="F1105" i="5"/>
  <c r="F1073" i="5"/>
  <c r="F1041" i="5"/>
  <c r="F1009" i="5"/>
  <c r="F977" i="5"/>
  <c r="F945" i="5"/>
  <c r="F905" i="5"/>
  <c r="F873" i="5"/>
  <c r="F841" i="5"/>
  <c r="F809" i="5"/>
  <c r="F777" i="5"/>
  <c r="F753" i="5"/>
  <c r="F721" i="5"/>
  <c r="F689" i="5"/>
  <c r="F649" i="5"/>
  <c r="F617" i="5"/>
  <c r="F585" i="5"/>
  <c r="F553" i="5"/>
  <c r="F521" i="5"/>
  <c r="F489" i="5"/>
  <c r="F457" i="5"/>
  <c r="F425" i="5"/>
  <c r="F393" i="5"/>
  <c r="F361" i="5"/>
  <c r="F337" i="5"/>
  <c r="F305" i="5"/>
  <c r="F281" i="5"/>
  <c r="F249" i="5"/>
  <c r="F217" i="5"/>
  <c r="F185" i="5"/>
  <c r="F33" i="5"/>
  <c r="F1000" i="5"/>
  <c r="F976" i="5"/>
  <c r="F952" i="5"/>
  <c r="F928" i="5"/>
  <c r="F904" i="5"/>
  <c r="F888" i="5"/>
  <c r="F864" i="5"/>
  <c r="F848" i="5"/>
  <c r="F824" i="5"/>
  <c r="F800" i="5"/>
  <c r="F776" i="5"/>
  <c r="F760" i="5"/>
  <c r="F752" i="5"/>
  <c r="F744" i="5"/>
  <c r="F736" i="5"/>
  <c r="F728" i="5"/>
  <c r="F720" i="5"/>
  <c r="F712" i="5"/>
  <c r="F704" i="5"/>
  <c r="F696" i="5"/>
  <c r="F688" i="5"/>
  <c r="F680" i="5"/>
  <c r="F672" i="5"/>
  <c r="F664" i="5"/>
  <c r="F656" i="5"/>
  <c r="F648" i="5"/>
  <c r="F624" i="5"/>
  <c r="F616" i="5"/>
  <c r="F608" i="5"/>
  <c r="F600" i="5"/>
  <c r="F592" i="5"/>
  <c r="F584" i="5"/>
  <c r="F576" i="5"/>
  <c r="F568" i="5"/>
  <c r="F560" i="5"/>
  <c r="F552" i="5"/>
  <c r="F544" i="5"/>
  <c r="F536" i="5"/>
  <c r="F528" i="5"/>
  <c r="F520" i="5"/>
  <c r="F512" i="5"/>
  <c r="F504" i="5"/>
  <c r="F496" i="5"/>
  <c r="F488" i="5"/>
  <c r="F480" i="5"/>
  <c r="F472" i="5"/>
  <c r="F464" i="5"/>
  <c r="F456" i="5"/>
  <c r="F448" i="5"/>
  <c r="F440" i="5"/>
  <c r="F432" i="5"/>
  <c r="F424" i="5"/>
  <c r="F416" i="5"/>
  <c r="F408" i="5"/>
  <c r="F400" i="5"/>
  <c r="F392" i="5"/>
  <c r="F384" i="5"/>
  <c r="F376" i="5"/>
  <c r="F368" i="5"/>
  <c r="F360" i="5"/>
  <c r="F352" i="5"/>
  <c r="F344" i="5"/>
  <c r="F336" i="5"/>
  <c r="F328" i="5"/>
  <c r="F320" i="5"/>
  <c r="F312" i="5"/>
  <c r="F304" i="5"/>
  <c r="F296" i="5"/>
  <c r="F288" i="5"/>
  <c r="F280" i="5"/>
  <c r="F272" i="5"/>
  <c r="F264" i="5"/>
  <c r="F256" i="5"/>
  <c r="F248" i="5"/>
  <c r="F240" i="5"/>
  <c r="F232" i="5"/>
  <c r="F224" i="5"/>
  <c r="F216" i="5"/>
  <c r="F208" i="5"/>
  <c r="F200" i="5"/>
  <c r="F192" i="5"/>
  <c r="F184" i="5"/>
  <c r="F176" i="5"/>
  <c r="F168" i="5"/>
  <c r="F160" i="5"/>
  <c r="F152" i="5"/>
  <c r="F144" i="5"/>
  <c r="F136" i="5"/>
  <c r="F128" i="5"/>
  <c r="F120" i="5"/>
  <c r="F112" i="5"/>
  <c r="F104" i="5"/>
  <c r="F96" i="5"/>
  <c r="F88" i="5"/>
  <c r="F80" i="5"/>
  <c r="F72" i="5"/>
  <c r="F64" i="5"/>
  <c r="F56" i="5"/>
  <c r="F48" i="5"/>
  <c r="F40" i="5"/>
  <c r="F32" i="5"/>
  <c r="F24" i="5"/>
  <c r="F8" i="5"/>
  <c r="F1257" i="5"/>
  <c r="F1225" i="5"/>
  <c r="F1193" i="5"/>
  <c r="F1161" i="5"/>
  <c r="F1129" i="5"/>
  <c r="F1097" i="5"/>
  <c r="F1065" i="5"/>
  <c r="F1033" i="5"/>
  <c r="F1001" i="5"/>
  <c r="F969" i="5"/>
  <c r="F937" i="5"/>
  <c r="F913" i="5"/>
  <c r="F881" i="5"/>
  <c r="F849" i="5"/>
  <c r="F817" i="5"/>
  <c r="F785" i="5"/>
  <c r="F761" i="5"/>
  <c r="F729" i="5"/>
  <c r="F705" i="5"/>
  <c r="F673" i="5"/>
  <c r="F641" i="5"/>
  <c r="F609" i="5"/>
  <c r="F577" i="5"/>
  <c r="F545" i="5"/>
  <c r="F513" i="5"/>
  <c r="F481" i="5"/>
  <c r="F449" i="5"/>
  <c r="F409" i="5"/>
  <c r="F369" i="5"/>
  <c r="F329" i="5"/>
  <c r="F241" i="5"/>
  <c r="F201" i="5"/>
  <c r="F25" i="5"/>
  <c r="F1281" i="5"/>
  <c r="F1249" i="5"/>
  <c r="F1217" i="5"/>
  <c r="F1185" i="5"/>
  <c r="F1153" i="5"/>
  <c r="F1121" i="5"/>
  <c r="F1089" i="5"/>
  <c r="F1057" i="5"/>
  <c r="F1025" i="5"/>
  <c r="F993" i="5"/>
  <c r="F961" i="5"/>
  <c r="F929" i="5"/>
  <c r="F897" i="5"/>
  <c r="F865" i="5"/>
  <c r="F833" i="5"/>
  <c r="F801" i="5"/>
  <c r="F769" i="5"/>
  <c r="F737" i="5"/>
  <c r="F713" i="5"/>
  <c r="F681" i="5"/>
  <c r="F657" i="5"/>
  <c r="F625" i="5"/>
  <c r="F593" i="5"/>
  <c r="F561" i="5"/>
  <c r="F529" i="5"/>
  <c r="F497" i="5"/>
  <c r="F465" i="5"/>
  <c r="F433" i="5"/>
  <c r="F401" i="5"/>
  <c r="F377" i="5"/>
  <c r="F345" i="5"/>
  <c r="F313" i="5"/>
  <c r="F289" i="5"/>
  <c r="F265" i="5"/>
  <c r="F233" i="5"/>
  <c r="F209" i="5"/>
  <c r="F177" i="5"/>
  <c r="F161" i="5"/>
  <c r="F145" i="5"/>
  <c r="F129" i="5"/>
  <c r="F113" i="5"/>
  <c r="F97" i="5"/>
  <c r="F81" i="5"/>
  <c r="F65" i="5"/>
  <c r="F49" i="5"/>
  <c r="F41" i="5"/>
  <c r="F9" i="5"/>
  <c r="I3" i="5"/>
  <c r="H3" i="5"/>
  <c r="F1272" i="5"/>
  <c r="F1256" i="5"/>
  <c r="F1240" i="5"/>
  <c r="F1224" i="5"/>
  <c r="F1208" i="5"/>
  <c r="F1192" i="5"/>
  <c r="F1184" i="5"/>
  <c r="F1176" i="5"/>
  <c r="F1168" i="5"/>
  <c r="F1160" i="5"/>
  <c r="F1152" i="5"/>
  <c r="F1136" i="5"/>
  <c r="F1120" i="5"/>
  <c r="F1104" i="5"/>
  <c r="F1088" i="5"/>
  <c r="F1072" i="5"/>
  <c r="F1056" i="5"/>
  <c r="F1040" i="5"/>
  <c r="F1024" i="5"/>
  <c r="F1008" i="5"/>
  <c r="F984" i="5"/>
  <c r="F960" i="5"/>
  <c r="F936" i="5"/>
  <c r="F920" i="5"/>
  <c r="F896" i="5"/>
  <c r="F872" i="5"/>
  <c r="F840" i="5"/>
  <c r="F808" i="5"/>
  <c r="F784" i="5"/>
  <c r="F640" i="5"/>
  <c r="F1273" i="5"/>
  <c r="F1241" i="5"/>
  <c r="F1209" i="5"/>
  <c r="F1177" i="5"/>
  <c r="F1145" i="5"/>
  <c r="F1113" i="5"/>
  <c r="F1081" i="5"/>
  <c r="F1049" i="5"/>
  <c r="F1017" i="5"/>
  <c r="F985" i="5"/>
  <c r="F953" i="5"/>
  <c r="F921" i="5"/>
  <c r="F889" i="5"/>
  <c r="F857" i="5"/>
  <c r="F825" i="5"/>
  <c r="F793" i="5"/>
  <c r="F745" i="5"/>
  <c r="F665" i="5"/>
  <c r="F633" i="5"/>
  <c r="F601" i="5"/>
  <c r="F569" i="5"/>
  <c r="F537" i="5"/>
  <c r="F505" i="5"/>
  <c r="F473" i="5"/>
  <c r="F441" i="5"/>
  <c r="F417" i="5"/>
  <c r="F385" i="5"/>
  <c r="F353" i="5"/>
  <c r="F321" i="5"/>
  <c r="F297" i="5"/>
  <c r="F257" i="5"/>
  <c r="F225" i="5"/>
  <c r="F193" i="5"/>
  <c r="F169" i="5"/>
  <c r="F153" i="5"/>
  <c r="F137" i="5"/>
  <c r="F121" i="5"/>
  <c r="F105" i="5"/>
  <c r="F89" i="5"/>
  <c r="F73" i="5"/>
  <c r="F57" i="5"/>
  <c r="F17" i="5"/>
  <c r="F1280" i="5"/>
  <c r="F1264" i="5"/>
  <c r="F1248" i="5"/>
  <c r="F1232" i="5"/>
  <c r="F1216" i="5"/>
  <c r="F1200" i="5"/>
  <c r="F1144" i="5"/>
  <c r="F1128" i="5"/>
  <c r="F1112" i="5"/>
  <c r="F1096" i="5"/>
  <c r="F1080" i="5"/>
  <c r="F1064" i="5"/>
  <c r="F1048" i="5"/>
  <c r="F1032" i="5"/>
  <c r="F1016" i="5"/>
  <c r="F992" i="5"/>
  <c r="F968" i="5"/>
  <c r="F944" i="5"/>
  <c r="F912" i="5"/>
  <c r="F856" i="5"/>
  <c r="F832" i="5"/>
  <c r="F816" i="5"/>
  <c r="F792" i="5"/>
  <c r="F768" i="5"/>
  <c r="F632" i="5"/>
  <c r="F1287" i="5"/>
  <c r="F1279" i="5"/>
  <c r="F1271" i="5"/>
  <c r="F1263" i="5"/>
  <c r="F1255" i="5"/>
  <c r="F1247" i="5"/>
  <c r="F1239" i="5"/>
  <c r="F1223" i="5"/>
  <c r="F1215" i="5"/>
  <c r="F1207" i="5"/>
  <c r="F1199" i="5"/>
  <c r="F1191" i="5"/>
  <c r="F1183" i="5"/>
  <c r="F1175" i="5"/>
  <c r="F1159" i="5"/>
  <c r="F1151" i="5"/>
  <c r="F1143" i="5"/>
  <c r="F1135" i="5"/>
  <c r="F1127" i="5"/>
  <c r="F1119" i="5"/>
  <c r="F1111" i="5"/>
  <c r="F1103" i="5"/>
  <c r="F1095" i="5"/>
  <c r="F1087" i="5"/>
  <c r="F1071" i="5"/>
  <c r="F1063" i="5"/>
  <c r="F1055" i="5"/>
  <c r="F1047" i="5"/>
  <c r="F1039" i="5"/>
  <c r="F1031" i="5"/>
  <c r="F1015" i="5"/>
  <c r="F1007" i="5"/>
  <c r="F999" i="5"/>
  <c r="F991" i="5"/>
  <c r="F983" i="5"/>
  <c r="F975" i="5"/>
  <c r="F967" i="5"/>
  <c r="F959" i="5"/>
  <c r="F951" i="5"/>
  <c r="F943" i="5"/>
  <c r="F935" i="5"/>
  <c r="F927" i="5"/>
  <c r="F919" i="5"/>
  <c r="F911" i="5"/>
  <c r="F903" i="5"/>
  <c r="F895" i="5"/>
  <c r="F887" i="5"/>
  <c r="F879" i="5"/>
  <c r="F863" i="5"/>
  <c r="F1167" i="5"/>
  <c r="F1079" i="5"/>
  <c r="F823" i="5"/>
  <c r="F815" i="5"/>
  <c r="F775" i="5"/>
  <c r="F759" i="5"/>
  <c r="F743" i="5"/>
  <c r="F711" i="5"/>
  <c r="F703" i="5"/>
  <c r="F687" i="5"/>
  <c r="F679" i="5"/>
  <c r="F639" i="5"/>
  <c r="F1277" i="5"/>
  <c r="F1261" i="5"/>
  <c r="F1253" i="5"/>
  <c r="F1245" i="5"/>
  <c r="F1229" i="5"/>
  <c r="F1213" i="5"/>
  <c r="F1197" i="5"/>
  <c r="F1189" i="5"/>
  <c r="F1181" i="5"/>
  <c r="F615" i="5"/>
  <c r="F591" i="5"/>
  <c r="F543" i="5"/>
  <c r="F495" i="5"/>
  <c r="F479" i="5"/>
  <c r="F463" i="5"/>
  <c r="F1133" i="5"/>
  <c r="F1125" i="5"/>
  <c r="F1117" i="5"/>
  <c r="F1069" i="5"/>
  <c r="F1061" i="5"/>
  <c r="F1053" i="5"/>
  <c r="F1005" i="5"/>
  <c r="F989" i="5"/>
  <c r="F941" i="5"/>
  <c r="F933" i="5"/>
  <c r="F925" i="5"/>
  <c r="F877" i="5"/>
  <c r="F997" i="5"/>
  <c r="F455" i="5"/>
  <c r="F431" i="5"/>
  <c r="F399" i="5"/>
  <c r="F367" i="5"/>
  <c r="F351" i="5"/>
  <c r="F335" i="5"/>
  <c r="F303" i="5"/>
  <c r="F295" i="5"/>
  <c r="F279" i="5"/>
  <c r="F271" i="5"/>
  <c r="F239" i="5"/>
  <c r="F223" i="5"/>
  <c r="F207" i="5"/>
  <c r="F175" i="5"/>
  <c r="F167" i="5"/>
  <c r="F765" i="5"/>
  <c r="F757" i="5"/>
  <c r="F693" i="5"/>
  <c r="F637" i="5"/>
  <c r="F629" i="5"/>
  <c r="F597" i="5"/>
  <c r="F869" i="5"/>
  <c r="F143" i="5"/>
  <c r="F111" i="5"/>
  <c r="F79" i="5"/>
  <c r="F47" i="5"/>
  <c r="F15" i="5"/>
  <c r="G4" i="5" l="1"/>
  <c r="G5" i="5" l="1"/>
  <c r="J4" i="5" s="1"/>
  <c r="K4" i="5" s="1"/>
  <c r="I4" i="5"/>
  <c r="H4" i="5"/>
  <c r="J3" i="5"/>
  <c r="K3" i="5" s="1"/>
  <c r="L3" i="5" s="1"/>
  <c r="M3" i="5" s="1"/>
  <c r="L4" i="5" l="1"/>
  <c r="M4" i="5" s="1"/>
  <c r="G6" i="5"/>
  <c r="I5" i="5"/>
  <c r="H5" i="5"/>
  <c r="H6" i="5" l="1"/>
  <c r="I6" i="5"/>
  <c r="G7" i="5"/>
  <c r="J6" i="5" s="1"/>
  <c r="K6" i="5" s="1"/>
  <c r="J5" i="5"/>
  <c r="K5" i="5" s="1"/>
  <c r="L5" i="5" s="1"/>
  <c r="M5" i="5" s="1"/>
  <c r="L6" i="5" l="1"/>
  <c r="M6" i="5" s="1"/>
  <c r="G8" i="5"/>
  <c r="G9" i="5" s="1"/>
  <c r="H7" i="5"/>
  <c r="I7" i="5"/>
  <c r="J7" i="5" l="1"/>
  <c r="K7" i="5" s="1"/>
  <c r="L7" i="5" s="1"/>
  <c r="M7" i="5" s="1"/>
  <c r="I8" i="5"/>
  <c r="H8" i="5"/>
  <c r="H9" i="5"/>
  <c r="G10" i="5"/>
  <c r="J9" i="5" s="1"/>
  <c r="K9" i="5" s="1"/>
  <c r="I9" i="5"/>
  <c r="J8" i="5" l="1"/>
  <c r="K8" i="5" s="1"/>
  <c r="L8" i="5" s="1"/>
  <c r="M8" i="5" s="1"/>
  <c r="G11" i="5"/>
  <c r="J10" i="5" s="1"/>
  <c r="K10" i="5" s="1"/>
  <c r="I10" i="5"/>
  <c r="H10" i="5"/>
  <c r="L9" i="5" l="1"/>
  <c r="M9" i="5" s="1"/>
  <c r="I11" i="5"/>
  <c r="H11" i="5"/>
  <c r="G12" i="5"/>
  <c r="J11" i="5" s="1"/>
  <c r="K11" i="5" s="1"/>
  <c r="L10" i="5" l="1"/>
  <c r="M10" i="5" s="1"/>
  <c r="H12" i="5"/>
  <c r="I12" i="5"/>
  <c r="G13" i="5"/>
  <c r="L11" i="5" l="1"/>
  <c r="M11" i="5" s="1"/>
  <c r="J12" i="5"/>
  <c r="K12" i="5" s="1"/>
  <c r="L12" i="5" s="1"/>
  <c r="M12" i="5" s="1"/>
  <c r="G14" i="5"/>
  <c r="H13" i="5"/>
  <c r="I13" i="5"/>
  <c r="J13" i="5" l="1"/>
  <c r="K13" i="5" s="1"/>
  <c r="L13" i="5" s="1"/>
  <c r="M13" i="5" s="1"/>
  <c r="H14" i="5"/>
  <c r="I14" i="5"/>
  <c r="G15" i="5"/>
  <c r="J14" i="5" s="1"/>
  <c r="K14" i="5" s="1"/>
  <c r="L14" i="5" s="1"/>
  <c r="M14" i="5" s="1"/>
  <c r="I15" i="5" l="1"/>
  <c r="H15" i="5"/>
  <c r="G16" i="5"/>
  <c r="J15" i="5" s="1"/>
  <c r="K15" i="5" s="1"/>
  <c r="L15" i="5" s="1"/>
  <c r="M15" i="5" s="1"/>
  <c r="H16" i="5" l="1"/>
  <c r="G17" i="5"/>
  <c r="J16" i="5" s="1"/>
  <c r="K16" i="5" s="1"/>
  <c r="L16" i="5" s="1"/>
  <c r="M16" i="5" s="1"/>
  <c r="I16" i="5"/>
  <c r="H17" i="5" l="1"/>
  <c r="I17" i="5"/>
  <c r="G18" i="5"/>
  <c r="J17" i="5" s="1"/>
  <c r="K17" i="5" s="1"/>
  <c r="L17" i="5" s="1"/>
  <c r="M17" i="5" s="1"/>
  <c r="H18" i="5" l="1"/>
  <c r="I18" i="5"/>
  <c r="G19" i="5"/>
  <c r="J18" i="5"/>
  <c r="K18" i="5" s="1"/>
  <c r="L18" i="5" s="1"/>
  <c r="M18" i="5" s="1"/>
  <c r="I19" i="5" l="1"/>
  <c r="H19" i="5"/>
  <c r="G20" i="5"/>
  <c r="J19" i="5" l="1"/>
  <c r="K19" i="5" s="1"/>
  <c r="L19" i="5" s="1"/>
  <c r="M19" i="5" s="1"/>
  <c r="I20" i="5"/>
  <c r="H20" i="5"/>
  <c r="G21" i="5"/>
  <c r="I21" i="5" l="1"/>
  <c r="G22" i="5"/>
  <c r="J21" i="5" s="1"/>
  <c r="K21" i="5" s="1"/>
  <c r="H21" i="5"/>
  <c r="J20" i="5"/>
  <c r="K20" i="5" s="1"/>
  <c r="L20" i="5" s="1"/>
  <c r="M20" i="5" s="1"/>
  <c r="L21" i="5" l="1"/>
  <c r="M21" i="5" s="1"/>
  <c r="G23" i="5"/>
  <c r="H22" i="5"/>
  <c r="I22" i="5"/>
  <c r="J22" i="5" l="1"/>
  <c r="K22" i="5" s="1"/>
  <c r="L22" i="5" s="1"/>
  <c r="M22" i="5" s="1"/>
  <c r="H23" i="5"/>
  <c r="I23" i="5"/>
  <c r="G24" i="5"/>
  <c r="J23" i="5" s="1"/>
  <c r="K23" i="5" s="1"/>
  <c r="L23" i="5" s="1"/>
  <c r="M23" i="5" s="1"/>
  <c r="H24" i="5" l="1"/>
  <c r="G25" i="5"/>
  <c r="J24" i="5" s="1"/>
  <c r="K24" i="5" s="1"/>
  <c r="L24" i="5" s="1"/>
  <c r="M24" i="5" s="1"/>
  <c r="I24" i="5"/>
  <c r="H25" i="5" l="1"/>
  <c r="I25" i="5"/>
  <c r="G26" i="5"/>
  <c r="J25" i="5" s="1"/>
  <c r="K25" i="5" s="1"/>
  <c r="L25" i="5" s="1"/>
  <c r="M25" i="5" s="1"/>
  <c r="G27" i="5" l="1"/>
  <c r="H26" i="5"/>
  <c r="I26" i="5"/>
  <c r="J26" i="5"/>
  <c r="K26" i="5" s="1"/>
  <c r="L26" i="5" s="1"/>
  <c r="M26" i="5" s="1"/>
  <c r="I27" i="5" l="1"/>
  <c r="H27" i="5"/>
  <c r="G28" i="5"/>
  <c r="J27" i="5" l="1"/>
  <c r="K27" i="5" s="1"/>
  <c r="L27" i="5" s="1"/>
  <c r="M27" i="5" s="1"/>
  <c r="I28" i="5"/>
  <c r="H28" i="5"/>
  <c r="G29" i="5"/>
  <c r="G30" i="5" l="1"/>
  <c r="I29" i="5"/>
  <c r="H29" i="5"/>
  <c r="J28" i="5"/>
  <c r="K28" i="5" s="1"/>
  <c r="L28" i="5" s="1"/>
  <c r="M28" i="5" s="1"/>
  <c r="J29" i="5" l="1"/>
  <c r="K29" i="5" s="1"/>
  <c r="L29" i="5" s="1"/>
  <c r="M29" i="5" s="1"/>
  <c r="H30" i="5"/>
  <c r="I30" i="5"/>
  <c r="G31" i="5"/>
  <c r="J30" i="5" s="1"/>
  <c r="K30" i="5" s="1"/>
  <c r="L30" i="5" l="1"/>
  <c r="M30" i="5" s="1"/>
  <c r="I31" i="5"/>
  <c r="H31" i="5"/>
  <c r="G32" i="5"/>
  <c r="J31" i="5" s="1"/>
  <c r="K31" i="5" s="1"/>
  <c r="L31" i="5" l="1"/>
  <c r="M31" i="5" s="1"/>
  <c r="H32" i="5"/>
  <c r="I32" i="5"/>
  <c r="G33" i="5"/>
  <c r="J32" i="5" s="1"/>
  <c r="K32" i="5" s="1"/>
  <c r="L32" i="5" s="1"/>
  <c r="M32" i="5" s="1"/>
  <c r="H33" i="5" l="1"/>
  <c r="G34" i="5"/>
  <c r="I33" i="5"/>
  <c r="H34" i="5" l="1"/>
  <c r="G35" i="5"/>
  <c r="I34" i="5"/>
  <c r="J34" i="5"/>
  <c r="K34" i="5" s="1"/>
  <c r="J33" i="5"/>
  <c r="K33" i="5" s="1"/>
  <c r="L33" i="5" s="1"/>
  <c r="M33" i="5" s="1"/>
  <c r="L34" i="5" l="1"/>
  <c r="M34" i="5" s="1"/>
  <c r="I35" i="5"/>
  <c r="H35" i="5"/>
  <c r="G36" i="5"/>
  <c r="G1243" i="2"/>
  <c r="G1244" i="2"/>
  <c r="J35" i="5" l="1"/>
  <c r="K35" i="5" s="1"/>
  <c r="L35" i="5" s="1"/>
  <c r="M35" i="5" s="1"/>
  <c r="G37" i="5"/>
  <c r="H36" i="5"/>
  <c r="I36" i="5"/>
  <c r="G1183" i="2"/>
  <c r="G1184" i="2" s="1"/>
  <c r="G1185" i="2" s="1"/>
  <c r="G1186" i="2" s="1"/>
  <c r="G1187" i="2" s="1"/>
  <c r="G1188" i="2"/>
  <c r="G1189" i="2" s="1"/>
  <c r="G1190" i="2" s="1"/>
  <c r="G1191" i="2" s="1"/>
  <c r="G1192" i="2" s="1"/>
  <c r="G1193" i="2"/>
  <c r="G1194" i="2" s="1"/>
  <c r="G1195" i="2" s="1"/>
  <c r="G1196" i="2" s="1"/>
  <c r="G1197" i="2"/>
  <c r="G1198" i="2" s="1"/>
  <c r="G1199" i="2" s="1"/>
  <c r="G1200" i="2" s="1"/>
  <c r="G1201" i="2" s="1"/>
  <c r="G1202" i="2"/>
  <c r="G1203" i="2" s="1"/>
  <c r="G1204" i="2" s="1"/>
  <c r="G1205" i="2" s="1"/>
  <c r="G1206" i="2"/>
  <c r="G1207" i="2" s="1"/>
  <c r="G1208" i="2" s="1"/>
  <c r="G1209" i="2" s="1"/>
  <c r="G1210" i="2" s="1"/>
  <c r="G1211" i="2"/>
  <c r="G1212" i="2" s="1"/>
  <c r="G1213" i="2" s="1"/>
  <c r="G1214" i="2" s="1"/>
  <c r="G1215" i="2" s="1"/>
  <c r="G1216" i="2"/>
  <c r="G1217" i="2"/>
  <c r="G1218" i="2"/>
  <c r="G1219" i="2" s="1"/>
  <c r="G1220" i="2" s="1"/>
  <c r="G1221" i="2"/>
  <c r="G1222" i="2" s="1"/>
  <c r="G1223" i="2" s="1"/>
  <c r="G1224" i="2" s="1"/>
  <c r="G1225" i="2" s="1"/>
  <c r="G1226" i="2"/>
  <c r="G1227" i="2"/>
  <c r="G1228" i="2"/>
  <c r="G1229" i="2" s="1"/>
  <c r="G1230" i="2"/>
  <c r="G1231" i="2"/>
  <c r="G1232" i="2" s="1"/>
  <c r="G1233" i="2" s="1"/>
  <c r="G1234" i="2"/>
  <c r="G1235" i="2" s="1"/>
  <c r="G1236" i="2" s="1"/>
  <c r="G1237" i="2" s="1"/>
  <c r="G1238" i="2" s="1"/>
  <c r="G1239" i="2"/>
  <c r="G1240" i="2" s="1"/>
  <c r="G1241" i="2" s="1"/>
  <c r="G1242" i="2" s="1"/>
  <c r="G1180" i="2"/>
  <c r="G1181" i="2" s="1"/>
  <c r="G1182" i="2" s="1"/>
  <c r="J36" i="5" l="1"/>
  <c r="K36" i="5" s="1"/>
  <c r="L36" i="5" s="1"/>
  <c r="M36" i="5" s="1"/>
  <c r="I37" i="5"/>
  <c r="G38" i="5"/>
  <c r="H37" i="5"/>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J37" i="5" l="1"/>
  <c r="K37" i="5" s="1"/>
  <c r="L37" i="5" s="1"/>
  <c r="M37" i="5" s="1"/>
  <c r="H38" i="5"/>
  <c r="G39" i="5"/>
  <c r="J38" i="5" s="1"/>
  <c r="K38" i="5" s="1"/>
  <c r="I38" i="5"/>
  <c r="L38" i="5" l="1"/>
  <c r="M38" i="5" s="1"/>
  <c r="H39" i="5"/>
  <c r="I39" i="5"/>
  <c r="G40" i="5"/>
  <c r="J39" i="5" s="1"/>
  <c r="K39" i="5" s="1"/>
  <c r="L39" i="5" s="1"/>
  <c r="M39" i="5" s="1"/>
  <c r="H40" i="5" l="1"/>
  <c r="I40" i="5"/>
  <c r="G41" i="5"/>
  <c r="J40" i="5" l="1"/>
  <c r="K40" i="5" s="1"/>
  <c r="L40" i="5" s="1"/>
  <c r="M40" i="5" s="1"/>
  <c r="G42" i="5"/>
  <c r="I41" i="5"/>
  <c r="H41" i="5"/>
  <c r="J41" i="5" l="1"/>
  <c r="K41" i="5" s="1"/>
  <c r="L41" i="5" s="1"/>
  <c r="M41" i="5" s="1"/>
  <c r="H42" i="5"/>
  <c r="I42" i="5"/>
  <c r="G43" i="5"/>
  <c r="I43" i="5" l="1"/>
  <c r="H43" i="5"/>
  <c r="G44" i="5"/>
  <c r="J43" i="5" s="1"/>
  <c r="K43" i="5" s="1"/>
  <c r="J42" i="5"/>
  <c r="K42" i="5" s="1"/>
  <c r="L42" i="5" s="1"/>
  <c r="M42" i="5" s="1"/>
  <c r="L43" i="5" l="1"/>
  <c r="M43" i="5" s="1"/>
  <c r="G45" i="5"/>
  <c r="I44" i="5"/>
  <c r="H44" i="5"/>
  <c r="J44" i="5"/>
  <c r="K44" i="5" s="1"/>
  <c r="L44" i="5" l="1"/>
  <c r="M44" i="5" s="1"/>
  <c r="I45" i="5"/>
  <c r="G46" i="5"/>
  <c r="H45" i="5"/>
  <c r="H46" i="5" l="1"/>
  <c r="I46" i="5"/>
  <c r="G47" i="5"/>
  <c r="J45" i="5"/>
  <c r="K45" i="5" s="1"/>
  <c r="L45" i="5" s="1"/>
  <c r="M45" i="5" s="1"/>
  <c r="J46" i="5" l="1"/>
  <c r="K46" i="5" s="1"/>
  <c r="L46" i="5" s="1"/>
  <c r="M46" i="5" s="1"/>
  <c r="I47" i="5"/>
  <c r="H47" i="5"/>
  <c r="G48" i="5"/>
  <c r="I48" i="5" l="1"/>
  <c r="H48" i="5"/>
  <c r="G49" i="5"/>
  <c r="J48" i="5" s="1"/>
  <c r="K48" i="5" s="1"/>
  <c r="J47" i="5"/>
  <c r="K47" i="5" s="1"/>
  <c r="L47" i="5" s="1"/>
  <c r="M47" i="5" s="1"/>
  <c r="L48" i="5" l="1"/>
  <c r="M48" i="5" s="1"/>
  <c r="H49" i="5"/>
  <c r="I49" i="5"/>
  <c r="G50" i="5"/>
  <c r="I50" i="5" l="1"/>
  <c r="H50" i="5"/>
  <c r="G51" i="5"/>
  <c r="J50" i="5" s="1"/>
  <c r="K50" i="5" s="1"/>
  <c r="J49" i="5"/>
  <c r="K49" i="5" s="1"/>
  <c r="L49" i="5" s="1"/>
  <c r="M49" i="5" s="1"/>
  <c r="L50" i="5" l="1"/>
  <c r="M50" i="5" s="1"/>
  <c r="I51" i="5"/>
  <c r="H51" i="5"/>
  <c r="G52" i="5"/>
  <c r="J51" i="5" l="1"/>
  <c r="K51" i="5" s="1"/>
  <c r="L51" i="5" s="1"/>
  <c r="M51" i="5" s="1"/>
  <c r="H52" i="5"/>
  <c r="G53" i="5"/>
  <c r="J52" i="5" s="1"/>
  <c r="K52" i="5" s="1"/>
  <c r="L52" i="5" s="1"/>
  <c r="M52" i="5" s="1"/>
  <c r="I52" i="5"/>
  <c r="H53" i="5" l="1"/>
  <c r="G54" i="5"/>
  <c r="J53" i="5" s="1"/>
  <c r="K53" i="5" s="1"/>
  <c r="L53" i="5" s="1"/>
  <c r="M53" i="5" s="1"/>
  <c r="I53" i="5"/>
  <c r="H54" i="5" l="1"/>
  <c r="G55" i="5"/>
  <c r="I54" i="5"/>
  <c r="H55" i="5" l="1"/>
  <c r="I55" i="5"/>
  <c r="G56" i="5"/>
  <c r="J55" i="5" s="1"/>
  <c r="K55" i="5" s="1"/>
  <c r="J54" i="5"/>
  <c r="K54" i="5" s="1"/>
  <c r="L54" i="5" s="1"/>
  <c r="M54" i="5" s="1"/>
  <c r="L55" i="5" l="1"/>
  <c r="M55" i="5" s="1"/>
  <c r="I56" i="5"/>
  <c r="H56" i="5"/>
  <c r="G57" i="5"/>
  <c r="G58" i="5" l="1"/>
  <c r="J57" i="5" s="1"/>
  <c r="K57" i="5" s="1"/>
  <c r="H57" i="5"/>
  <c r="I57" i="5"/>
  <c r="J56" i="5"/>
  <c r="K56" i="5" s="1"/>
  <c r="L56" i="5" s="1"/>
  <c r="M56" i="5" s="1"/>
  <c r="L57" i="5" l="1"/>
  <c r="M57" i="5" s="1"/>
  <c r="H58" i="5"/>
  <c r="G59" i="5"/>
  <c r="I58" i="5"/>
  <c r="I59" i="5" l="1"/>
  <c r="H59" i="5"/>
  <c r="G60" i="5"/>
  <c r="J58" i="5"/>
  <c r="K58" i="5" s="1"/>
  <c r="L58" i="5" s="1"/>
  <c r="M58" i="5" s="1"/>
  <c r="J59" i="5" l="1"/>
  <c r="K59" i="5" s="1"/>
  <c r="L59" i="5" s="1"/>
  <c r="M59" i="5" s="1"/>
  <c r="G61" i="5"/>
  <c r="H60" i="5"/>
  <c r="I60" i="5"/>
  <c r="J60" i="5" l="1"/>
  <c r="K60" i="5" s="1"/>
  <c r="L60" i="5" s="1"/>
  <c r="M60" i="5" s="1"/>
  <c r="G62" i="5"/>
  <c r="I61" i="5"/>
  <c r="H61" i="5"/>
  <c r="J61" i="5" l="1"/>
  <c r="K61" i="5" s="1"/>
  <c r="L61" i="5" s="1"/>
  <c r="M61" i="5" s="1"/>
  <c r="I62" i="5"/>
  <c r="H62" i="5"/>
  <c r="G63" i="5"/>
  <c r="J62" i="5" l="1"/>
  <c r="K62" i="5" s="1"/>
  <c r="L62" i="5" s="1"/>
  <c r="M62" i="5" s="1"/>
  <c r="I63" i="5"/>
  <c r="G64" i="5"/>
  <c r="H63" i="5"/>
  <c r="J63" i="5" l="1"/>
  <c r="K63" i="5" s="1"/>
  <c r="L63" i="5" s="1"/>
  <c r="M63" i="5" s="1"/>
  <c r="H64" i="5"/>
  <c r="I64" i="5"/>
  <c r="G65" i="5"/>
  <c r="H65" i="5" l="1"/>
  <c r="G66" i="5"/>
  <c r="I65" i="5"/>
  <c r="J64" i="5"/>
  <c r="K64" i="5" s="1"/>
  <c r="L64" i="5" s="1"/>
  <c r="M64" i="5" s="1"/>
  <c r="H66" i="5" l="1"/>
  <c r="G67" i="5"/>
  <c r="J66" i="5" s="1"/>
  <c r="K66" i="5" s="1"/>
  <c r="I66" i="5"/>
  <c r="J65" i="5"/>
  <c r="K65" i="5" s="1"/>
  <c r="L65" i="5" s="1"/>
  <c r="M65" i="5" s="1"/>
  <c r="I67" i="5" l="1"/>
  <c r="G68" i="5"/>
  <c r="H67" i="5"/>
  <c r="L66" i="5"/>
  <c r="M66" i="5" s="1"/>
  <c r="G69" i="5" l="1"/>
  <c r="H68" i="5"/>
  <c r="I68" i="5"/>
  <c r="J67" i="5"/>
  <c r="K67" i="5" s="1"/>
  <c r="L67" i="5" s="1"/>
  <c r="M67" i="5" s="1"/>
  <c r="H69" i="5" l="1"/>
  <c r="I69" i="5"/>
  <c r="G70" i="5"/>
  <c r="J69" i="5" s="1"/>
  <c r="K69" i="5" s="1"/>
  <c r="J68" i="5"/>
  <c r="K68" i="5" s="1"/>
  <c r="L68" i="5" s="1"/>
  <c r="M68" i="5" s="1"/>
  <c r="L69" i="5" l="1"/>
  <c r="M69" i="5" s="1"/>
  <c r="H70" i="5"/>
  <c r="G71" i="5"/>
  <c r="I70" i="5"/>
  <c r="H71" i="5" l="1"/>
  <c r="I71" i="5"/>
  <c r="G72" i="5"/>
  <c r="J71" i="5" s="1"/>
  <c r="K71" i="5" s="1"/>
  <c r="J70" i="5"/>
  <c r="K70" i="5" s="1"/>
  <c r="L70" i="5" s="1"/>
  <c r="M70" i="5" s="1"/>
  <c r="L71" i="5" l="1"/>
  <c r="M71" i="5" s="1"/>
  <c r="I72" i="5"/>
  <c r="G73" i="5"/>
  <c r="J72" i="5" s="1"/>
  <c r="K72" i="5" s="1"/>
  <c r="H72" i="5"/>
  <c r="L72" i="5" l="1"/>
  <c r="M72" i="5" s="1"/>
  <c r="G74" i="5"/>
  <c r="I73" i="5"/>
  <c r="H73" i="5"/>
  <c r="J73" i="5"/>
  <c r="K73" i="5" s="1"/>
  <c r="L73" i="5" l="1"/>
  <c r="M73" i="5" s="1"/>
  <c r="H74" i="5"/>
  <c r="I74" i="5"/>
  <c r="G75" i="5"/>
  <c r="J74" i="5" l="1"/>
  <c r="K74" i="5" s="1"/>
  <c r="L74" i="5" s="1"/>
  <c r="M74" i="5" s="1"/>
  <c r="I75" i="5"/>
  <c r="H75" i="5"/>
  <c r="G76" i="5"/>
  <c r="J75" i="5" l="1"/>
  <c r="K75" i="5" s="1"/>
  <c r="L75" i="5" s="1"/>
  <c r="M75" i="5" s="1"/>
  <c r="I76" i="5"/>
  <c r="G77" i="5"/>
  <c r="J76" i="5" s="1"/>
  <c r="K76" i="5" s="1"/>
  <c r="H76" i="5"/>
  <c r="L76" i="5" l="1"/>
  <c r="M76" i="5" s="1"/>
  <c r="H77" i="5"/>
  <c r="I77" i="5"/>
  <c r="G78" i="5"/>
  <c r="H78" i="5" l="1"/>
  <c r="I78" i="5"/>
  <c r="G79" i="5"/>
  <c r="J78" i="5" s="1"/>
  <c r="K78" i="5" s="1"/>
  <c r="J77" i="5"/>
  <c r="K77" i="5" s="1"/>
  <c r="L77" i="5" s="1"/>
  <c r="M77" i="5" s="1"/>
  <c r="L78" i="5" l="1"/>
  <c r="M78" i="5" s="1"/>
  <c r="I79" i="5"/>
  <c r="H79" i="5"/>
  <c r="G80" i="5"/>
  <c r="H80" i="5" l="1"/>
  <c r="G81" i="5"/>
  <c r="I80" i="5"/>
  <c r="J80" i="5" s="1"/>
  <c r="K80" i="5" s="1"/>
  <c r="L80" i="5" s="1"/>
  <c r="M80" i="5" s="1"/>
  <c r="J79" i="5"/>
  <c r="K79" i="5" s="1"/>
  <c r="L79" i="5" s="1"/>
  <c r="M79" i="5" s="1"/>
  <c r="I81" i="5" l="1"/>
  <c r="H81" i="5"/>
  <c r="G82" i="5"/>
  <c r="J81" i="5" s="1"/>
  <c r="K81" i="5" s="1"/>
  <c r="L81" i="5" s="1"/>
  <c r="M81" i="5" s="1"/>
  <c r="G83" i="5" l="1"/>
  <c r="J82" i="5" s="1"/>
  <c r="K82" i="5" s="1"/>
  <c r="L82" i="5" s="1"/>
  <c r="M82" i="5" s="1"/>
  <c r="I82" i="5"/>
  <c r="H82" i="5"/>
  <c r="I83" i="5" l="1"/>
  <c r="H83" i="5"/>
  <c r="G84" i="5"/>
  <c r="G85" i="5" l="1"/>
  <c r="I84" i="5"/>
  <c r="H84" i="5"/>
  <c r="J83" i="5"/>
  <c r="K83" i="5" s="1"/>
  <c r="L83" i="5" s="1"/>
  <c r="M83" i="5" s="1"/>
  <c r="H85" i="5" l="1"/>
  <c r="I85" i="5"/>
  <c r="G86" i="5"/>
  <c r="J84" i="5"/>
  <c r="K84" i="5" s="1"/>
  <c r="L84" i="5" s="1"/>
  <c r="M84" i="5" s="1"/>
  <c r="J85" i="5" l="1"/>
  <c r="K85" i="5" s="1"/>
  <c r="L85" i="5" s="1"/>
  <c r="M85" i="5" s="1"/>
  <c r="H86" i="5"/>
  <c r="I86" i="5"/>
  <c r="G87" i="5"/>
  <c r="J86" i="5" s="1"/>
  <c r="K86" i="5" s="1"/>
  <c r="L86" i="5" s="1"/>
  <c r="M86" i="5" s="1"/>
  <c r="G88" i="5" l="1"/>
  <c r="H87" i="5"/>
  <c r="I87" i="5"/>
  <c r="J87" i="5"/>
  <c r="K87" i="5" s="1"/>
  <c r="L87" i="5" s="1"/>
  <c r="M87" i="5" s="1"/>
  <c r="G89" i="5" l="1"/>
  <c r="I88" i="5"/>
  <c r="H88" i="5"/>
  <c r="J88" i="5"/>
  <c r="K88" i="5" s="1"/>
  <c r="L88" i="5" s="1"/>
  <c r="M88" i="5" s="1"/>
  <c r="G90" i="5" l="1"/>
  <c r="H89" i="5"/>
  <c r="I89" i="5"/>
  <c r="J89" i="5"/>
  <c r="K89" i="5" s="1"/>
  <c r="L89" i="5" s="1"/>
  <c r="M89" i="5" s="1"/>
  <c r="H90" i="5" l="1"/>
  <c r="I90" i="5"/>
  <c r="G91" i="5"/>
  <c r="J90" i="5" l="1"/>
  <c r="K90" i="5" s="1"/>
  <c r="L90" i="5" s="1"/>
  <c r="M90" i="5" s="1"/>
  <c r="I91" i="5"/>
  <c r="H91" i="5"/>
  <c r="G92" i="5"/>
  <c r="J91" i="5" s="1"/>
  <c r="K91" i="5" s="1"/>
  <c r="L91" i="5" s="1"/>
  <c r="M91" i="5" s="1"/>
  <c r="I92" i="5" l="1"/>
  <c r="G93" i="5"/>
  <c r="J92" i="5" s="1"/>
  <c r="K92" i="5" s="1"/>
  <c r="L92" i="5" s="1"/>
  <c r="M92" i="5" s="1"/>
  <c r="H92" i="5"/>
  <c r="H93" i="5" l="1"/>
  <c r="I93" i="5"/>
  <c r="G94" i="5"/>
  <c r="J93" i="5" l="1"/>
  <c r="K93" i="5" s="1"/>
  <c r="L93" i="5" s="1"/>
  <c r="M93" i="5" s="1"/>
  <c r="H94" i="5"/>
  <c r="I94" i="5"/>
  <c r="G95" i="5"/>
  <c r="J94" i="5" s="1"/>
  <c r="K94" i="5" s="1"/>
  <c r="L94" i="5" s="1"/>
  <c r="M94" i="5" s="1"/>
  <c r="I95" i="5" l="1"/>
  <c r="H95" i="5"/>
  <c r="G96" i="5"/>
  <c r="J95" i="5" l="1"/>
  <c r="K95" i="5" s="1"/>
  <c r="L95" i="5" s="1"/>
  <c r="M95" i="5" s="1"/>
  <c r="H96" i="5"/>
  <c r="I96" i="5"/>
  <c r="G97" i="5"/>
  <c r="J96" i="5" s="1"/>
  <c r="K96" i="5" s="1"/>
  <c r="L96" i="5" s="1"/>
  <c r="M96" i="5" s="1"/>
  <c r="H97" i="5" l="1"/>
  <c r="G98" i="5"/>
  <c r="I97" i="5"/>
  <c r="G99" i="5" l="1"/>
  <c r="H98" i="5"/>
  <c r="I98" i="5"/>
  <c r="J97" i="5"/>
  <c r="K97" i="5" s="1"/>
  <c r="L97" i="5" s="1"/>
  <c r="M97" i="5" s="1"/>
  <c r="J98" i="5" l="1"/>
  <c r="K98" i="5" s="1"/>
  <c r="L98" i="5" s="1"/>
  <c r="M98" i="5" s="1"/>
  <c r="H99" i="5"/>
  <c r="I99" i="5"/>
  <c r="G100" i="5"/>
  <c r="H100" i="5" l="1"/>
  <c r="I100" i="5"/>
  <c r="G101" i="5"/>
  <c r="J99" i="5"/>
  <c r="K99" i="5" s="1"/>
  <c r="L99" i="5" s="1"/>
  <c r="M99" i="5" s="1"/>
  <c r="J100" i="5" l="1"/>
  <c r="K100" i="5" s="1"/>
  <c r="L100" i="5" s="1"/>
  <c r="M100" i="5" s="1"/>
  <c r="G102" i="5"/>
  <c r="H101" i="5"/>
  <c r="I101" i="5"/>
  <c r="H102" i="5" l="1"/>
  <c r="I102" i="5"/>
  <c r="G103" i="5"/>
  <c r="J101" i="5"/>
  <c r="K101" i="5" s="1"/>
  <c r="L101" i="5" s="1"/>
  <c r="M101" i="5" s="1"/>
  <c r="I103" i="5" l="1"/>
  <c r="H103" i="5"/>
  <c r="G104" i="5"/>
  <c r="J102" i="5"/>
  <c r="K102" i="5" s="1"/>
  <c r="L102" i="5" s="1"/>
  <c r="M102" i="5" s="1"/>
  <c r="H104" i="5" l="1"/>
  <c r="I104" i="5"/>
  <c r="G105" i="5"/>
  <c r="J103" i="5"/>
  <c r="K103" i="5" s="1"/>
  <c r="L103" i="5" s="1"/>
  <c r="M103" i="5" s="1"/>
  <c r="J104" i="5" l="1"/>
  <c r="K104" i="5" s="1"/>
  <c r="L104" i="5" s="1"/>
  <c r="M104" i="5" s="1"/>
  <c r="I105" i="5"/>
  <c r="H105" i="5"/>
  <c r="G106" i="5"/>
  <c r="I106" i="5" l="1"/>
  <c r="H106" i="5"/>
  <c r="G107" i="5"/>
  <c r="J105" i="5"/>
  <c r="K105" i="5" s="1"/>
  <c r="L105" i="5" s="1"/>
  <c r="M105" i="5" s="1"/>
  <c r="J106" i="5" l="1"/>
  <c r="K106" i="5" s="1"/>
  <c r="L106" i="5" s="1"/>
  <c r="M106" i="5" s="1"/>
  <c r="H107" i="5"/>
  <c r="I107" i="5"/>
  <c r="G108" i="5"/>
  <c r="H108" i="5" l="1"/>
  <c r="G109" i="5"/>
  <c r="I108" i="5"/>
  <c r="J107" i="5"/>
  <c r="K107" i="5" s="1"/>
  <c r="L107" i="5" s="1"/>
  <c r="M107" i="5" s="1"/>
  <c r="G110" i="5" l="1"/>
  <c r="H109" i="5"/>
  <c r="I109" i="5"/>
  <c r="J108" i="5"/>
  <c r="K108" i="5" s="1"/>
  <c r="L108" i="5" s="1"/>
  <c r="M108" i="5" s="1"/>
  <c r="J109" i="5" l="1"/>
  <c r="K109" i="5" s="1"/>
  <c r="L109" i="5" s="1"/>
  <c r="M109" i="5" s="1"/>
  <c r="I110" i="5"/>
  <c r="H110" i="5"/>
  <c r="G111" i="5"/>
  <c r="J110" i="5" s="1"/>
  <c r="K110" i="5" s="1"/>
  <c r="L110" i="5" s="1"/>
  <c r="M110" i="5" s="1"/>
  <c r="H111" i="5" l="1"/>
  <c r="G112" i="5"/>
  <c r="I111" i="5"/>
  <c r="H112" i="5" l="1"/>
  <c r="I112" i="5"/>
  <c r="G113" i="5"/>
  <c r="J112" i="5" s="1"/>
  <c r="K112" i="5" s="1"/>
  <c r="J111" i="5"/>
  <c r="K111" i="5" s="1"/>
  <c r="L111" i="5" s="1"/>
  <c r="M111" i="5" s="1"/>
  <c r="L112" i="5" l="1"/>
  <c r="M112" i="5" s="1"/>
  <c r="I113" i="5"/>
  <c r="G114" i="5"/>
  <c r="H113" i="5"/>
  <c r="J113" i="5"/>
  <c r="K113" i="5" s="1"/>
  <c r="L113" i="5" s="1"/>
  <c r="M113" i="5" s="1"/>
  <c r="G115" i="5" l="1"/>
  <c r="H114" i="5"/>
  <c r="I114" i="5"/>
  <c r="J114" i="5" l="1"/>
  <c r="K114" i="5" s="1"/>
  <c r="L114" i="5" s="1"/>
  <c r="M114" i="5" s="1"/>
  <c r="H115" i="5"/>
  <c r="I115" i="5"/>
  <c r="G116" i="5"/>
  <c r="J115" i="5" s="1"/>
  <c r="K115" i="5" s="1"/>
  <c r="L115" i="5" l="1"/>
  <c r="M115" i="5" s="1"/>
  <c r="I116" i="5"/>
  <c r="H116" i="5"/>
  <c r="G117" i="5"/>
  <c r="G118" i="5" l="1"/>
  <c r="J117" i="5" s="1"/>
  <c r="K117" i="5" s="1"/>
  <c r="I117" i="5"/>
  <c r="H117" i="5"/>
  <c r="J116" i="5"/>
  <c r="K116" i="5" s="1"/>
  <c r="L116" i="5" s="1"/>
  <c r="M116" i="5" s="1"/>
  <c r="L117" i="5" l="1"/>
  <c r="M117" i="5" s="1"/>
  <c r="G119" i="5"/>
  <c r="I118" i="5"/>
  <c r="H118" i="5"/>
  <c r="J118" i="5" l="1"/>
  <c r="K118" i="5" s="1"/>
  <c r="L118" i="5" s="1"/>
  <c r="M118" i="5" s="1"/>
  <c r="H119" i="5"/>
  <c r="I119" i="5"/>
  <c r="G120" i="5"/>
  <c r="J119" i="5" s="1"/>
  <c r="K119" i="5" s="1"/>
  <c r="L119" i="5" s="1"/>
  <c r="M119" i="5" s="1"/>
  <c r="H120" i="5" l="1"/>
  <c r="I120" i="5"/>
  <c r="G121" i="5"/>
  <c r="J120" i="5" s="1"/>
  <c r="K120" i="5" s="1"/>
  <c r="L120" i="5" s="1"/>
  <c r="M120" i="5" s="1"/>
  <c r="H121" i="5" l="1"/>
  <c r="I121" i="5"/>
  <c r="G122" i="5"/>
  <c r="J121" i="5" s="1"/>
  <c r="K121" i="5" s="1"/>
  <c r="L121" i="5" s="1"/>
  <c r="M121" i="5" s="1"/>
  <c r="H122" i="5" l="1"/>
  <c r="I122" i="5"/>
  <c r="G123" i="5"/>
  <c r="J122" i="5" s="1"/>
  <c r="K122" i="5" s="1"/>
  <c r="L122" i="5" s="1"/>
  <c r="M122" i="5" s="1"/>
  <c r="H123" i="5" l="1"/>
  <c r="I123" i="5"/>
  <c r="G124" i="5"/>
  <c r="J123" i="5" l="1"/>
  <c r="K123" i="5" s="1"/>
  <c r="L123" i="5" s="1"/>
  <c r="M123" i="5" s="1"/>
  <c r="I124" i="5"/>
  <c r="G125" i="5"/>
  <c r="H124" i="5"/>
  <c r="J124" i="5" l="1"/>
  <c r="K124" i="5" s="1"/>
  <c r="L124" i="5" s="1"/>
  <c r="M124" i="5" s="1"/>
  <c r="I125" i="5"/>
  <c r="H125" i="5"/>
  <c r="G126" i="5"/>
  <c r="J125" i="5" l="1"/>
  <c r="K125" i="5" s="1"/>
  <c r="L125" i="5" s="1"/>
  <c r="M125" i="5" s="1"/>
  <c r="H126" i="5"/>
  <c r="I126" i="5"/>
  <c r="G127" i="5"/>
  <c r="H127" i="5" l="1"/>
  <c r="G128" i="5"/>
  <c r="J127" i="5" s="1"/>
  <c r="K127" i="5" s="1"/>
  <c r="I127" i="5"/>
  <c r="J126" i="5"/>
  <c r="K126" i="5" s="1"/>
  <c r="L126" i="5" s="1"/>
  <c r="M126" i="5" s="1"/>
  <c r="G129" i="5" l="1"/>
  <c r="H128" i="5"/>
  <c r="I128" i="5"/>
  <c r="L127" i="5"/>
  <c r="M127" i="5" s="1"/>
  <c r="J128" i="5" l="1"/>
  <c r="K128" i="5" s="1"/>
  <c r="L128" i="5" s="1"/>
  <c r="M128" i="5" s="1"/>
  <c r="H129" i="5"/>
  <c r="I129" i="5"/>
  <c r="G130" i="5"/>
  <c r="J129" i="5" s="1"/>
  <c r="K129" i="5" s="1"/>
  <c r="L129" i="5" l="1"/>
  <c r="M129" i="5" s="1"/>
  <c r="I130" i="5"/>
  <c r="H130" i="5"/>
  <c r="G131" i="5"/>
  <c r="J130" i="5" s="1"/>
  <c r="K130" i="5" s="1"/>
  <c r="L130" i="5" s="1"/>
  <c r="M130" i="5" s="1"/>
  <c r="I131" i="5" l="1"/>
  <c r="G132" i="5"/>
  <c r="H131" i="5"/>
  <c r="H132" i="5" l="1"/>
  <c r="G133" i="5"/>
  <c r="J132" i="5" s="1"/>
  <c r="K132" i="5" s="1"/>
  <c r="I132" i="5"/>
  <c r="J131" i="5"/>
  <c r="K131" i="5" s="1"/>
  <c r="L131" i="5" s="1"/>
  <c r="M131" i="5" s="1"/>
  <c r="L132" i="5" l="1"/>
  <c r="M132" i="5" s="1"/>
  <c r="I133" i="5"/>
  <c r="G134" i="5"/>
  <c r="H133" i="5"/>
  <c r="J133" i="5" l="1"/>
  <c r="K133" i="5" s="1"/>
  <c r="L133" i="5" s="1"/>
  <c r="M133" i="5" s="1"/>
  <c r="H134" i="5"/>
  <c r="I134" i="5"/>
  <c r="G135" i="5"/>
  <c r="J134" i="5" l="1"/>
  <c r="K134" i="5" s="1"/>
  <c r="L134" i="5" s="1"/>
  <c r="M134" i="5" s="1"/>
  <c r="G136" i="5"/>
  <c r="H135" i="5"/>
  <c r="I135" i="5"/>
  <c r="J135" i="5"/>
  <c r="K135" i="5" s="1"/>
  <c r="L135" i="5" l="1"/>
  <c r="M135" i="5" s="1"/>
  <c r="I136" i="5"/>
  <c r="G137" i="5"/>
  <c r="H136" i="5"/>
  <c r="J136" i="5"/>
  <c r="K136" i="5" s="1"/>
  <c r="L136" i="5" l="1"/>
  <c r="M136" i="5" s="1"/>
  <c r="G138" i="5"/>
  <c r="J137" i="5" s="1"/>
  <c r="K137" i="5" s="1"/>
  <c r="L137" i="5" s="1"/>
  <c r="M137" i="5" s="1"/>
  <c r="H137" i="5"/>
  <c r="I137" i="5"/>
  <c r="G139" i="5" l="1"/>
  <c r="I138" i="5"/>
  <c r="H138" i="5"/>
  <c r="J138" i="5" l="1"/>
  <c r="K138" i="5" s="1"/>
  <c r="L138" i="5" s="1"/>
  <c r="M138" i="5" s="1"/>
  <c r="H139" i="5"/>
  <c r="G140" i="5"/>
  <c r="J139" i="5" s="1"/>
  <c r="K139" i="5" s="1"/>
  <c r="L139" i="5" s="1"/>
  <c r="M139" i="5" s="1"/>
  <c r="I139" i="5"/>
  <c r="H140" i="5" l="1"/>
  <c r="G141" i="5"/>
  <c r="I140" i="5"/>
  <c r="J140" i="5" l="1"/>
  <c r="K140" i="5" s="1"/>
  <c r="L140" i="5" s="1"/>
  <c r="M140" i="5" s="1"/>
  <c r="H141" i="5"/>
  <c r="I141" i="5"/>
  <c r="G142" i="5"/>
  <c r="J141" i="5" s="1"/>
  <c r="K141" i="5" s="1"/>
  <c r="L141" i="5" s="1"/>
  <c r="M141" i="5" s="1"/>
  <c r="H142" i="5" l="1"/>
  <c r="G143" i="5"/>
  <c r="J142" i="5" s="1"/>
  <c r="K142" i="5" s="1"/>
  <c r="L142" i="5" s="1"/>
  <c r="M142" i="5" s="1"/>
  <c r="I142" i="5"/>
  <c r="H143" i="5" l="1"/>
  <c r="I143" i="5"/>
  <c r="G144" i="5"/>
  <c r="I144" i="5" l="1"/>
  <c r="G145" i="5"/>
  <c r="J144" i="5" s="1"/>
  <c r="K144" i="5" s="1"/>
  <c r="H144" i="5"/>
  <c r="J143" i="5"/>
  <c r="K143" i="5" s="1"/>
  <c r="L143" i="5" s="1"/>
  <c r="M143" i="5" s="1"/>
  <c r="L144" i="5" l="1"/>
  <c r="M144" i="5" s="1"/>
  <c r="H145" i="5"/>
  <c r="I145" i="5"/>
  <c r="G146" i="5"/>
  <c r="J145" i="5" s="1"/>
  <c r="K145" i="5" s="1"/>
  <c r="L145" i="5" l="1"/>
  <c r="M145" i="5" s="1"/>
  <c r="H146" i="5"/>
  <c r="I146" i="5"/>
  <c r="G147" i="5"/>
  <c r="J146" i="5" s="1"/>
  <c r="K146" i="5" s="1"/>
  <c r="L146" i="5" s="1"/>
  <c r="M146" i="5" s="1"/>
  <c r="H147" i="5" l="1"/>
  <c r="I147" i="5"/>
  <c r="G148" i="5"/>
  <c r="J147" i="5" s="1"/>
  <c r="K147" i="5" s="1"/>
  <c r="L147" i="5" s="1"/>
  <c r="M147" i="5" s="1"/>
  <c r="I148" i="5" l="1"/>
  <c r="G149" i="5"/>
  <c r="H148" i="5"/>
  <c r="J148" i="5" l="1"/>
  <c r="K148" i="5" s="1"/>
  <c r="L148" i="5" s="1"/>
  <c r="M148" i="5" s="1"/>
  <c r="I149" i="5"/>
  <c r="G150" i="5"/>
  <c r="H149" i="5"/>
  <c r="I150" i="5" l="1"/>
  <c r="H150" i="5"/>
  <c r="G151" i="5"/>
  <c r="J150" i="5" s="1"/>
  <c r="K150" i="5" s="1"/>
  <c r="J149" i="5"/>
  <c r="K149" i="5" s="1"/>
  <c r="L149" i="5" s="1"/>
  <c r="M149" i="5" s="1"/>
  <c r="L150" i="5" l="1"/>
  <c r="M150" i="5" s="1"/>
  <c r="I151" i="5"/>
  <c r="H151" i="5"/>
  <c r="G152" i="5"/>
  <c r="J151" i="5" s="1"/>
  <c r="K151" i="5" s="1"/>
  <c r="L151" i="5" l="1"/>
  <c r="M151" i="5" s="1"/>
  <c r="I152" i="5"/>
  <c r="H152" i="5"/>
  <c r="G153" i="5"/>
  <c r="H153" i="5" l="1"/>
  <c r="G154" i="5"/>
  <c r="I153" i="5"/>
  <c r="J152" i="5"/>
  <c r="K152" i="5" s="1"/>
  <c r="L152" i="5" s="1"/>
  <c r="M152" i="5" s="1"/>
  <c r="H154" i="5" l="1"/>
  <c r="I154" i="5"/>
  <c r="G155" i="5"/>
  <c r="J154" i="5" s="1"/>
  <c r="K154" i="5" s="1"/>
  <c r="J153" i="5"/>
  <c r="K153" i="5" s="1"/>
  <c r="L153" i="5" s="1"/>
  <c r="M153" i="5" s="1"/>
  <c r="L154" i="5" l="1"/>
  <c r="M154" i="5" s="1"/>
  <c r="G156" i="5"/>
  <c r="I155" i="5"/>
  <c r="H155" i="5"/>
  <c r="H156" i="5" l="1"/>
  <c r="I156" i="5"/>
  <c r="G157" i="5"/>
  <c r="J155" i="5"/>
  <c r="K155" i="5" s="1"/>
  <c r="L155" i="5" s="1"/>
  <c r="M155" i="5" s="1"/>
  <c r="J156" i="5" l="1"/>
  <c r="K156" i="5" s="1"/>
  <c r="L156" i="5" s="1"/>
  <c r="M156" i="5" s="1"/>
  <c r="H157" i="5"/>
  <c r="I157" i="5"/>
  <c r="G158" i="5"/>
  <c r="J157" i="5" l="1"/>
  <c r="K157" i="5" s="1"/>
  <c r="L157" i="5" s="1"/>
  <c r="M157" i="5" s="1"/>
  <c r="G159" i="5"/>
  <c r="H158" i="5"/>
  <c r="I158" i="5"/>
  <c r="J158" i="5" l="1"/>
  <c r="K158" i="5" s="1"/>
  <c r="L158" i="5" s="1"/>
  <c r="M158" i="5" s="1"/>
  <c r="G160" i="5"/>
  <c r="I159" i="5"/>
  <c r="H159" i="5"/>
  <c r="J159" i="5"/>
  <c r="K159" i="5" s="1"/>
  <c r="L159" i="5" s="1"/>
  <c r="M159" i="5" s="1"/>
  <c r="I160" i="5" l="1"/>
  <c r="G161" i="5"/>
  <c r="J160" i="5" s="1"/>
  <c r="K160" i="5" s="1"/>
  <c r="L160" i="5" s="1"/>
  <c r="M160" i="5" s="1"/>
  <c r="H160" i="5"/>
  <c r="H161" i="5" l="1"/>
  <c r="I161" i="5"/>
  <c r="G162" i="5"/>
  <c r="J161" i="5" s="1"/>
  <c r="K161" i="5" s="1"/>
  <c r="L161" i="5" s="1"/>
  <c r="M161" i="5" s="1"/>
  <c r="H162" i="5" l="1"/>
  <c r="I162" i="5"/>
  <c r="G163" i="5"/>
  <c r="J162" i="5" l="1"/>
  <c r="K162" i="5" s="1"/>
  <c r="L162" i="5" s="1"/>
  <c r="M162" i="5" s="1"/>
  <c r="H163" i="5"/>
  <c r="G164" i="5"/>
  <c r="J163" i="5" s="1"/>
  <c r="K163" i="5" s="1"/>
  <c r="I163" i="5"/>
  <c r="L163" i="5" l="1"/>
  <c r="M163" i="5" s="1"/>
  <c r="H164" i="5"/>
  <c r="I164" i="5"/>
  <c r="G165" i="5"/>
  <c r="H165" i="5" l="1"/>
  <c r="G166" i="5"/>
  <c r="I165" i="5"/>
  <c r="J164" i="5"/>
  <c r="K164" i="5" s="1"/>
  <c r="L164" i="5" s="1"/>
  <c r="M164" i="5" s="1"/>
  <c r="I166" i="5" l="1"/>
  <c r="H166" i="5"/>
  <c r="G167" i="5"/>
  <c r="J165" i="5"/>
  <c r="K165" i="5" s="1"/>
  <c r="L165" i="5" s="1"/>
  <c r="M165" i="5" s="1"/>
  <c r="J166" i="5" l="1"/>
  <c r="K166" i="5" s="1"/>
  <c r="L166" i="5" s="1"/>
  <c r="M166" i="5" s="1"/>
  <c r="I167" i="5"/>
  <c r="H167" i="5"/>
  <c r="G168" i="5"/>
  <c r="J167" i="5" s="1"/>
  <c r="K167" i="5" s="1"/>
  <c r="L167" i="5" s="1"/>
  <c r="M167" i="5" s="1"/>
  <c r="H168" i="5" l="1"/>
  <c r="I168" i="5"/>
  <c r="G169" i="5"/>
  <c r="J168" i="5" s="1"/>
  <c r="K168" i="5" s="1"/>
  <c r="L168" i="5" s="1"/>
  <c r="M168" i="5" s="1"/>
  <c r="H169" i="5" l="1"/>
  <c r="G170" i="5"/>
  <c r="J169" i="5" s="1"/>
  <c r="K169" i="5" s="1"/>
  <c r="L169" i="5" s="1"/>
  <c r="M169" i="5" s="1"/>
  <c r="I169" i="5"/>
  <c r="I170" i="5" l="1"/>
  <c r="H170" i="5"/>
  <c r="G171" i="5"/>
  <c r="J170" i="5" s="1"/>
  <c r="K170" i="5" s="1"/>
  <c r="L170" i="5" s="1"/>
  <c r="M170" i="5" s="1"/>
  <c r="G172" i="5" l="1"/>
  <c r="J171" i="5" s="1"/>
  <c r="K171" i="5" s="1"/>
  <c r="L171" i="5" s="1"/>
  <c r="M171" i="5" s="1"/>
  <c r="I171" i="5"/>
  <c r="H171" i="5"/>
  <c r="G173" i="5" l="1"/>
  <c r="I172" i="5"/>
  <c r="H172" i="5"/>
  <c r="J172" i="5" l="1"/>
  <c r="K172" i="5" s="1"/>
  <c r="L172" i="5" s="1"/>
  <c r="M172" i="5" s="1"/>
  <c r="H173" i="5"/>
  <c r="I173" i="5"/>
  <c r="G174" i="5"/>
  <c r="J173" i="5" l="1"/>
  <c r="K173" i="5" s="1"/>
  <c r="L173" i="5" s="1"/>
  <c r="M173" i="5" s="1"/>
  <c r="H174" i="5"/>
  <c r="G175" i="5"/>
  <c r="J174" i="5" s="1"/>
  <c r="K174" i="5" s="1"/>
  <c r="L174" i="5" s="1"/>
  <c r="M174" i="5" s="1"/>
  <c r="I174" i="5"/>
  <c r="G176" i="5" l="1"/>
  <c r="J175" i="5" s="1"/>
  <c r="K175" i="5" s="1"/>
  <c r="L175" i="5" s="1"/>
  <c r="M175" i="5" s="1"/>
  <c r="I175" i="5"/>
  <c r="H175" i="5"/>
  <c r="I176" i="5" l="1"/>
  <c r="G177" i="5"/>
  <c r="J176" i="5" s="1"/>
  <c r="K176" i="5" s="1"/>
  <c r="L176" i="5" s="1"/>
  <c r="M176" i="5" s="1"/>
  <c r="H176" i="5"/>
  <c r="I177" i="5" l="1"/>
  <c r="G178" i="5"/>
  <c r="J177" i="5" s="1"/>
  <c r="K177" i="5" s="1"/>
  <c r="L177" i="5" s="1"/>
  <c r="M177" i="5" s="1"/>
  <c r="H177" i="5"/>
  <c r="I178" i="5" l="1"/>
  <c r="H178" i="5"/>
  <c r="G179" i="5"/>
  <c r="J178" i="5" s="1"/>
  <c r="K178" i="5" s="1"/>
  <c r="L178" i="5" s="1"/>
  <c r="M178" i="5" s="1"/>
  <c r="G180" i="5" l="1"/>
  <c r="I179" i="5"/>
  <c r="H179" i="5"/>
  <c r="J179" i="5" l="1"/>
  <c r="K179" i="5" s="1"/>
  <c r="L179" i="5" s="1"/>
  <c r="M179" i="5" s="1"/>
  <c r="I180" i="5"/>
  <c r="H180" i="5"/>
  <c r="G181" i="5"/>
  <c r="J180" i="5" l="1"/>
  <c r="K180" i="5" s="1"/>
  <c r="L180" i="5" s="1"/>
  <c r="M180" i="5" s="1"/>
  <c r="I181" i="5"/>
  <c r="G182" i="5"/>
  <c r="H181" i="5"/>
  <c r="J181" i="5" l="1"/>
  <c r="K181" i="5" s="1"/>
  <c r="L181" i="5" s="1"/>
  <c r="M181" i="5" s="1"/>
  <c r="H182" i="5"/>
  <c r="I182" i="5"/>
  <c r="G183" i="5"/>
  <c r="J182" i="5" l="1"/>
  <c r="K182" i="5" s="1"/>
  <c r="L182" i="5" s="1"/>
  <c r="M182" i="5" s="1"/>
  <c r="I183" i="5"/>
  <c r="G184" i="5"/>
  <c r="J183" i="5" s="1"/>
  <c r="K183" i="5" s="1"/>
  <c r="H183" i="5"/>
  <c r="L183" i="5" l="1"/>
  <c r="M183" i="5" s="1"/>
  <c r="H184" i="5"/>
  <c r="I184" i="5"/>
  <c r="G185" i="5"/>
  <c r="J184" i="5" l="1"/>
  <c r="K184" i="5" s="1"/>
  <c r="L184" i="5" s="1"/>
  <c r="M184" i="5" s="1"/>
  <c r="H185" i="5"/>
  <c r="I185" i="5"/>
  <c r="G186" i="5"/>
  <c r="H186" i="5" l="1"/>
  <c r="G187" i="5"/>
  <c r="I186" i="5"/>
  <c r="J185" i="5"/>
  <c r="K185" i="5" s="1"/>
  <c r="L185" i="5" s="1"/>
  <c r="M185" i="5" s="1"/>
  <c r="J186" i="5" l="1"/>
  <c r="K186" i="5" s="1"/>
  <c r="L186" i="5" s="1"/>
  <c r="M186" i="5" s="1"/>
  <c r="I187" i="5"/>
  <c r="G188" i="5"/>
  <c r="H187" i="5"/>
  <c r="J187" i="5" l="1"/>
  <c r="K187" i="5" s="1"/>
  <c r="L187" i="5" s="1"/>
  <c r="M187" i="5" s="1"/>
  <c r="I188" i="5"/>
  <c r="G189" i="5"/>
  <c r="J188" i="5" s="1"/>
  <c r="K188" i="5" s="1"/>
  <c r="L188" i="5" s="1"/>
  <c r="M188" i="5" s="1"/>
  <c r="H188" i="5"/>
  <c r="G190" i="5" l="1"/>
  <c r="J189" i="5" s="1"/>
  <c r="K189" i="5" s="1"/>
  <c r="L189" i="5" s="1"/>
  <c r="M189" i="5" s="1"/>
  <c r="H189" i="5"/>
  <c r="I189" i="5"/>
  <c r="G191" i="5" l="1"/>
  <c r="H190" i="5"/>
  <c r="I190" i="5"/>
  <c r="J190" i="5" l="1"/>
  <c r="K190" i="5" s="1"/>
  <c r="L190" i="5" s="1"/>
  <c r="M190" i="5" s="1"/>
  <c r="H191" i="5"/>
  <c r="I191" i="5"/>
  <c r="G192" i="5"/>
  <c r="J191" i="5" s="1"/>
  <c r="K191" i="5" s="1"/>
  <c r="L191" i="5" s="1"/>
  <c r="M191" i="5" s="1"/>
  <c r="I192" i="5" l="1"/>
  <c r="H192" i="5"/>
  <c r="G193" i="5"/>
  <c r="J192" i="5" s="1"/>
  <c r="K192" i="5" s="1"/>
  <c r="L192" i="5" s="1"/>
  <c r="M192" i="5" s="1"/>
  <c r="H193" i="5" l="1"/>
  <c r="I193" i="5"/>
  <c r="G194" i="5"/>
  <c r="J193" i="5" s="1"/>
  <c r="K193" i="5" s="1"/>
  <c r="L193" i="5" s="1"/>
  <c r="M193" i="5" s="1"/>
  <c r="I194" i="5" l="1"/>
  <c r="H194" i="5"/>
  <c r="G195" i="5"/>
  <c r="G196" i="5" l="1"/>
  <c r="I195" i="5"/>
  <c r="J195" i="5"/>
  <c r="K195" i="5" s="1"/>
  <c r="H195" i="5"/>
  <c r="J194" i="5"/>
  <c r="K194" i="5" s="1"/>
  <c r="L194" i="5" s="1"/>
  <c r="M194" i="5" s="1"/>
  <c r="L195" i="5" l="1"/>
  <c r="M195" i="5" s="1"/>
  <c r="H196" i="5"/>
  <c r="G197" i="5"/>
  <c r="I196" i="5"/>
  <c r="J196" i="5" l="1"/>
  <c r="K196" i="5" s="1"/>
  <c r="L196" i="5" s="1"/>
  <c r="M196" i="5" s="1"/>
  <c r="G198" i="5"/>
  <c r="J197" i="5" s="1"/>
  <c r="K197" i="5" s="1"/>
  <c r="H197" i="5"/>
  <c r="I197" i="5"/>
  <c r="L197" i="5" l="1"/>
  <c r="M197" i="5" s="1"/>
  <c r="G199" i="5"/>
  <c r="J198" i="5" s="1"/>
  <c r="K198" i="5" s="1"/>
  <c r="L198" i="5" s="1"/>
  <c r="M198" i="5" s="1"/>
  <c r="H198" i="5"/>
  <c r="I198" i="5"/>
  <c r="H199" i="5" l="1"/>
  <c r="I199" i="5"/>
  <c r="G200" i="5"/>
  <c r="J199" i="5" l="1"/>
  <c r="K199" i="5" s="1"/>
  <c r="L199" i="5" s="1"/>
  <c r="M199" i="5" s="1"/>
  <c r="H200" i="5"/>
  <c r="I200" i="5"/>
  <c r="G201" i="5"/>
  <c r="J200" i="5" s="1"/>
  <c r="K200" i="5" s="1"/>
  <c r="L200" i="5" s="1"/>
  <c r="M200" i="5" s="1"/>
  <c r="I201" i="5" l="1"/>
  <c r="H201" i="5"/>
  <c r="G202" i="5"/>
  <c r="J201" i="5" s="1"/>
  <c r="K201" i="5" s="1"/>
  <c r="L201" i="5" s="1"/>
  <c r="M201" i="5" s="1"/>
  <c r="I202" i="5" l="1"/>
  <c r="H202" i="5"/>
  <c r="G203" i="5"/>
  <c r="H203" i="5" l="1"/>
  <c r="I203" i="5"/>
  <c r="G204" i="5"/>
  <c r="J202" i="5"/>
  <c r="K202" i="5" s="1"/>
  <c r="L202" i="5" s="1"/>
  <c r="M202" i="5" s="1"/>
  <c r="H204" i="5" l="1"/>
  <c r="I204" i="5"/>
  <c r="G205" i="5"/>
  <c r="J203" i="5"/>
  <c r="K203" i="5" s="1"/>
  <c r="L203" i="5" s="1"/>
  <c r="M203" i="5" s="1"/>
  <c r="H205" i="5" l="1"/>
  <c r="G206" i="5"/>
  <c r="I205" i="5"/>
  <c r="J204" i="5"/>
  <c r="K204" i="5" s="1"/>
  <c r="L204" i="5" s="1"/>
  <c r="M204" i="5" s="1"/>
  <c r="I206" i="5" l="1"/>
  <c r="G207" i="5"/>
  <c r="H206" i="5"/>
  <c r="J205" i="5"/>
  <c r="K205" i="5" s="1"/>
  <c r="L205" i="5" s="1"/>
  <c r="M205" i="5" s="1"/>
  <c r="I207" i="5" l="1"/>
  <c r="H207" i="5"/>
  <c r="G208" i="5"/>
  <c r="J206" i="5"/>
  <c r="K206" i="5" s="1"/>
  <c r="L206" i="5" s="1"/>
  <c r="M206" i="5" s="1"/>
  <c r="H208" i="5" l="1"/>
  <c r="I208" i="5"/>
  <c r="G209" i="5"/>
  <c r="J208" i="5" s="1"/>
  <c r="K208" i="5" s="1"/>
  <c r="J207" i="5"/>
  <c r="K207" i="5" s="1"/>
  <c r="L207" i="5" s="1"/>
  <c r="M207" i="5" s="1"/>
  <c r="L208" i="5" l="1"/>
  <c r="M208" i="5" s="1"/>
  <c r="H209" i="5"/>
  <c r="G210" i="5"/>
  <c r="J209" i="5" s="1"/>
  <c r="K209" i="5" s="1"/>
  <c r="L209" i="5" s="1"/>
  <c r="M209" i="5" s="1"/>
  <c r="I209" i="5"/>
  <c r="H210" i="5" l="1"/>
  <c r="I210" i="5"/>
  <c r="G211" i="5"/>
  <c r="J210" i="5" s="1"/>
  <c r="K210" i="5" s="1"/>
  <c r="L210" i="5" s="1"/>
  <c r="M210" i="5" s="1"/>
  <c r="G212" i="5" l="1"/>
  <c r="I211" i="5"/>
  <c r="H211" i="5"/>
  <c r="J211" i="5" l="1"/>
  <c r="K211" i="5" s="1"/>
  <c r="L211" i="5" s="1"/>
  <c r="M211" i="5" s="1"/>
  <c r="I212" i="5"/>
  <c r="G213" i="5"/>
  <c r="J212" i="5" s="1"/>
  <c r="K212" i="5" s="1"/>
  <c r="H212" i="5"/>
  <c r="L212" i="5" l="1"/>
  <c r="M212" i="5" s="1"/>
  <c r="H213" i="5"/>
  <c r="I213" i="5"/>
  <c r="G214" i="5"/>
  <c r="J213" i="5" s="1"/>
  <c r="K213" i="5" s="1"/>
  <c r="L213" i="5" s="1"/>
  <c r="M213" i="5" s="1"/>
  <c r="G215" i="5" l="1"/>
  <c r="J214" i="5" s="1"/>
  <c r="K214" i="5" s="1"/>
  <c r="L214" i="5" s="1"/>
  <c r="M214" i="5" s="1"/>
  <c r="I214" i="5"/>
  <c r="H214" i="5"/>
  <c r="H215" i="5" l="1"/>
  <c r="I215" i="5"/>
  <c r="G216" i="5"/>
  <c r="J215" i="5" s="1"/>
  <c r="K215" i="5" s="1"/>
  <c r="L215" i="5" s="1"/>
  <c r="M215" i="5" s="1"/>
  <c r="H216" i="5" l="1"/>
  <c r="G217" i="5"/>
  <c r="I216" i="5"/>
  <c r="J216" i="5" l="1"/>
  <c r="K216" i="5" s="1"/>
  <c r="L216" i="5" s="1"/>
  <c r="M216" i="5" s="1"/>
  <c r="G218" i="5"/>
  <c r="H217" i="5"/>
  <c r="I217" i="5"/>
  <c r="J217" i="5"/>
  <c r="K217" i="5" s="1"/>
  <c r="L217" i="5" l="1"/>
  <c r="M217" i="5" s="1"/>
  <c r="H218" i="5"/>
  <c r="G219" i="5"/>
  <c r="J218" i="5" s="1"/>
  <c r="K218" i="5" s="1"/>
  <c r="L218" i="5" s="1"/>
  <c r="M218" i="5" s="1"/>
  <c r="I218" i="5"/>
  <c r="I219" i="5" l="1"/>
  <c r="G220" i="5"/>
  <c r="H219" i="5"/>
  <c r="J219" i="5" l="1"/>
  <c r="K219" i="5" s="1"/>
  <c r="L219" i="5" s="1"/>
  <c r="M219" i="5" s="1"/>
  <c r="I220" i="5"/>
  <c r="G221" i="5"/>
  <c r="H220" i="5"/>
  <c r="J220" i="5" l="1"/>
  <c r="K220" i="5" s="1"/>
  <c r="L220" i="5" s="1"/>
  <c r="M220" i="5" s="1"/>
  <c r="H221" i="5"/>
  <c r="I221" i="5"/>
  <c r="G222" i="5"/>
  <c r="J221" i="5" l="1"/>
  <c r="K221" i="5" s="1"/>
  <c r="L221" i="5" s="1"/>
  <c r="M221" i="5" s="1"/>
  <c r="I222" i="5"/>
  <c r="H222" i="5"/>
  <c r="G223" i="5"/>
  <c r="J222" i="5" s="1"/>
  <c r="K222" i="5" s="1"/>
  <c r="L222" i="5" l="1"/>
  <c r="M222" i="5" s="1"/>
  <c r="G224" i="5"/>
  <c r="H223" i="5"/>
  <c r="I223" i="5"/>
  <c r="J223" i="5" l="1"/>
  <c r="K223" i="5" s="1"/>
  <c r="L223" i="5" s="1"/>
  <c r="M223" i="5" s="1"/>
  <c r="G225" i="5"/>
  <c r="H224" i="5"/>
  <c r="I224" i="5"/>
  <c r="J224" i="5"/>
  <c r="K224" i="5" s="1"/>
  <c r="L224" i="5" l="1"/>
  <c r="M224" i="5" s="1"/>
  <c r="I225" i="5"/>
  <c r="G226" i="5"/>
  <c r="H225" i="5"/>
  <c r="J225" i="5" l="1"/>
  <c r="K225" i="5" s="1"/>
  <c r="L225" i="5" s="1"/>
  <c r="M225" i="5" s="1"/>
  <c r="H226" i="5"/>
  <c r="G227" i="5"/>
  <c r="J226" i="5" s="1"/>
  <c r="K226" i="5" s="1"/>
  <c r="I226" i="5"/>
  <c r="L226" i="5" l="1"/>
  <c r="M226" i="5" s="1"/>
  <c r="H227" i="5"/>
  <c r="I227" i="5"/>
  <c r="G228" i="5"/>
  <c r="J227" i="5" l="1"/>
  <c r="K227" i="5" s="1"/>
  <c r="L227" i="5" s="1"/>
  <c r="M227" i="5" s="1"/>
  <c r="H228" i="5"/>
  <c r="G229" i="5"/>
  <c r="J228" i="5" s="1"/>
  <c r="K228" i="5" s="1"/>
  <c r="L228" i="5" s="1"/>
  <c r="M228" i="5" s="1"/>
  <c r="I228" i="5"/>
  <c r="H229" i="5" l="1"/>
  <c r="I229" i="5"/>
  <c r="G230" i="5"/>
  <c r="J229" i="5" l="1"/>
  <c r="K229" i="5" s="1"/>
  <c r="L229" i="5" s="1"/>
  <c r="M229" i="5" s="1"/>
  <c r="G231" i="5"/>
  <c r="I230" i="5"/>
  <c r="H230" i="5"/>
  <c r="J230" i="5" l="1"/>
  <c r="K230" i="5" s="1"/>
  <c r="L230" i="5" s="1"/>
  <c r="M230" i="5" s="1"/>
  <c r="H231" i="5"/>
  <c r="I231" i="5"/>
  <c r="G232" i="5"/>
  <c r="J231" i="5" s="1"/>
  <c r="K231" i="5" s="1"/>
  <c r="L231" i="5" s="1"/>
  <c r="M231" i="5" s="1"/>
  <c r="H232" i="5" l="1"/>
  <c r="I232" i="5"/>
  <c r="G233" i="5"/>
  <c r="H233" i="5" l="1"/>
  <c r="I233" i="5"/>
  <c r="G234" i="5"/>
  <c r="J233" i="5" s="1"/>
  <c r="K233" i="5" s="1"/>
  <c r="J232" i="5"/>
  <c r="K232" i="5" s="1"/>
  <c r="L232" i="5" s="1"/>
  <c r="M232" i="5" s="1"/>
  <c r="L233" i="5" l="1"/>
  <c r="M233" i="5" s="1"/>
  <c r="I234" i="5"/>
  <c r="G235" i="5"/>
  <c r="J234" i="5" s="1"/>
  <c r="K234" i="5" s="1"/>
  <c r="L234" i="5" s="1"/>
  <c r="M234" i="5" s="1"/>
  <c r="H234" i="5"/>
  <c r="G236" i="5" l="1"/>
  <c r="I235" i="5"/>
  <c r="H235" i="5"/>
  <c r="J235" i="5" l="1"/>
  <c r="K235" i="5" s="1"/>
  <c r="L235" i="5" s="1"/>
  <c r="M235" i="5" s="1"/>
  <c r="G237" i="5"/>
  <c r="J236" i="5" s="1"/>
  <c r="K236" i="5" s="1"/>
  <c r="H236" i="5"/>
  <c r="I236" i="5"/>
  <c r="L236" i="5" l="1"/>
  <c r="M236" i="5" s="1"/>
  <c r="H237" i="5"/>
  <c r="G238" i="5"/>
  <c r="I237" i="5"/>
  <c r="I238" i="5" l="1"/>
  <c r="G239" i="5"/>
  <c r="H238" i="5"/>
  <c r="J238" i="5"/>
  <c r="K238" i="5" s="1"/>
  <c r="J237" i="5"/>
  <c r="K237" i="5" s="1"/>
  <c r="L237" i="5" s="1"/>
  <c r="M237" i="5" s="1"/>
  <c r="L238" i="5" l="1"/>
  <c r="M238" i="5" s="1"/>
  <c r="G240" i="5"/>
  <c r="J239" i="5" s="1"/>
  <c r="K239" i="5" s="1"/>
  <c r="L239" i="5" s="1"/>
  <c r="M239" i="5" s="1"/>
  <c r="H239" i="5"/>
  <c r="I239" i="5"/>
  <c r="H240" i="5" l="1"/>
  <c r="G241" i="5"/>
  <c r="I240" i="5"/>
  <c r="J240" i="5" l="1"/>
  <c r="K240" i="5" s="1"/>
  <c r="L240" i="5" s="1"/>
  <c r="M240" i="5" s="1"/>
  <c r="I241" i="5"/>
  <c r="H241" i="5"/>
  <c r="G242" i="5"/>
  <c r="J241" i="5" s="1"/>
  <c r="K241" i="5" s="1"/>
  <c r="L241" i="5" s="1"/>
  <c r="M241" i="5" s="1"/>
  <c r="I242" i="5" l="1"/>
  <c r="H242" i="5"/>
  <c r="G243" i="5"/>
  <c r="J242" i="5" s="1"/>
  <c r="K242" i="5" s="1"/>
  <c r="L242" i="5" s="1"/>
  <c r="M242" i="5" s="1"/>
  <c r="I243" i="5" l="1"/>
  <c r="H243" i="5"/>
  <c r="G244" i="5"/>
  <c r="J243" i="5" s="1"/>
  <c r="K243" i="5" s="1"/>
  <c r="L243" i="5" s="1"/>
  <c r="M243" i="5" s="1"/>
  <c r="I244" i="5" l="1"/>
  <c r="H244" i="5"/>
  <c r="G245" i="5"/>
  <c r="J244" i="5" l="1"/>
  <c r="K244" i="5" s="1"/>
  <c r="L244" i="5" s="1"/>
  <c r="M244" i="5" s="1"/>
  <c r="H245" i="5"/>
  <c r="I245" i="5"/>
  <c r="G246" i="5"/>
  <c r="J245" i="5" s="1"/>
  <c r="K245" i="5" s="1"/>
  <c r="L245" i="5" s="1"/>
  <c r="M245" i="5" s="1"/>
  <c r="I246" i="5" l="1"/>
  <c r="H246" i="5"/>
  <c r="G247" i="5"/>
  <c r="J246" i="5" l="1"/>
  <c r="K246" i="5" s="1"/>
  <c r="L246" i="5" s="1"/>
  <c r="M246" i="5" s="1"/>
  <c r="H247" i="5"/>
  <c r="G248" i="5"/>
  <c r="I247" i="5"/>
  <c r="J247" i="5" l="1"/>
  <c r="K247" i="5" s="1"/>
  <c r="L247" i="5" s="1"/>
  <c r="M247" i="5" s="1"/>
  <c r="H248" i="5"/>
  <c r="I248" i="5"/>
  <c r="G249" i="5"/>
  <c r="J248" i="5" s="1"/>
  <c r="K248" i="5" s="1"/>
  <c r="L248" i="5" s="1"/>
  <c r="M248" i="5" s="1"/>
  <c r="I249" i="5" l="1"/>
  <c r="G250" i="5"/>
  <c r="H249" i="5"/>
  <c r="J249" i="5" l="1"/>
  <c r="K249" i="5" s="1"/>
  <c r="L249" i="5" s="1"/>
  <c r="M249" i="5" s="1"/>
  <c r="H250" i="5"/>
  <c r="I250" i="5"/>
  <c r="G251" i="5"/>
  <c r="J250" i="5" s="1"/>
  <c r="K250" i="5" s="1"/>
  <c r="L250" i="5" s="1"/>
  <c r="M250" i="5" s="1"/>
  <c r="I251" i="5" l="1"/>
  <c r="H251" i="5"/>
  <c r="G252" i="5"/>
  <c r="J251" i="5" s="1"/>
  <c r="K251" i="5" s="1"/>
  <c r="L251" i="5" s="1"/>
  <c r="M251" i="5" s="1"/>
  <c r="G253" i="5" l="1"/>
  <c r="I252" i="5"/>
  <c r="H252" i="5"/>
  <c r="J252" i="5"/>
  <c r="K252" i="5" s="1"/>
  <c r="L252" i="5" s="1"/>
  <c r="M252" i="5" s="1"/>
  <c r="H253" i="5" l="1"/>
  <c r="G254" i="5"/>
  <c r="I253" i="5"/>
  <c r="J253" i="5" l="1"/>
  <c r="K253" i="5" s="1"/>
  <c r="L253" i="5" s="1"/>
  <c r="M253" i="5" s="1"/>
  <c r="H254" i="5"/>
  <c r="I254" i="5"/>
  <c r="G255" i="5"/>
  <c r="J254" i="5" s="1"/>
  <c r="K254" i="5" s="1"/>
  <c r="L254" i="5" l="1"/>
  <c r="M254" i="5" s="1"/>
  <c r="I255" i="5"/>
  <c r="H255" i="5"/>
  <c r="G256" i="5"/>
  <c r="J255" i="5" s="1"/>
  <c r="K255" i="5" s="1"/>
  <c r="L255" i="5" s="1"/>
  <c r="M255" i="5" s="1"/>
  <c r="H256" i="5" l="1"/>
  <c r="I256" i="5"/>
  <c r="G257" i="5"/>
  <c r="H257" i="5" l="1"/>
  <c r="I257" i="5"/>
  <c r="G258" i="5"/>
  <c r="J257" i="5" s="1"/>
  <c r="K257" i="5" s="1"/>
  <c r="J256" i="5"/>
  <c r="K256" i="5" s="1"/>
  <c r="L256" i="5" s="1"/>
  <c r="M256" i="5" s="1"/>
  <c r="L257" i="5" l="1"/>
  <c r="M257" i="5" s="1"/>
  <c r="H258" i="5"/>
  <c r="I258" i="5"/>
  <c r="G259" i="5"/>
  <c r="J258" i="5" l="1"/>
  <c r="K258" i="5" s="1"/>
  <c r="L258" i="5" s="1"/>
  <c r="M258" i="5" s="1"/>
  <c r="G260" i="5"/>
  <c r="I259" i="5"/>
  <c r="J259" i="5"/>
  <c r="K259" i="5" s="1"/>
  <c r="H259" i="5"/>
  <c r="L259" i="5" l="1"/>
  <c r="M259" i="5" s="1"/>
  <c r="I260" i="5"/>
  <c r="G261" i="5"/>
  <c r="H260" i="5"/>
  <c r="G262" i="5" l="1"/>
  <c r="H261" i="5"/>
  <c r="I261" i="5"/>
  <c r="J260" i="5"/>
  <c r="K260" i="5" s="1"/>
  <c r="L260" i="5" s="1"/>
  <c r="M260" i="5" s="1"/>
  <c r="H262" i="5" l="1"/>
  <c r="G263" i="5"/>
  <c r="I262" i="5"/>
  <c r="J261" i="5"/>
  <c r="K261" i="5" s="1"/>
  <c r="L261" i="5" s="1"/>
  <c r="M261" i="5" s="1"/>
  <c r="J262" i="5" l="1"/>
  <c r="K262" i="5" s="1"/>
  <c r="L262" i="5" s="1"/>
  <c r="M262" i="5" s="1"/>
  <c r="I263" i="5"/>
  <c r="G264" i="5"/>
  <c r="H263" i="5"/>
  <c r="J263" i="5" l="1"/>
  <c r="K263" i="5" s="1"/>
  <c r="L263" i="5" s="1"/>
  <c r="M263" i="5" s="1"/>
  <c r="H264" i="5"/>
  <c r="I264" i="5"/>
  <c r="G265" i="5"/>
  <c r="J264" i="5" s="1"/>
  <c r="K264" i="5" s="1"/>
  <c r="L264" i="5" l="1"/>
  <c r="M264" i="5" s="1"/>
  <c r="H265" i="5"/>
  <c r="G266" i="5"/>
  <c r="J265" i="5" s="1"/>
  <c r="K265" i="5" s="1"/>
  <c r="L265" i="5" s="1"/>
  <c r="M265" i="5" s="1"/>
  <c r="I265" i="5"/>
  <c r="I266" i="5" l="1"/>
  <c r="H266" i="5"/>
  <c r="G267" i="5"/>
  <c r="G268" i="5" l="1"/>
  <c r="I267" i="5"/>
  <c r="H267" i="5"/>
  <c r="J267" i="5"/>
  <c r="K267" i="5" s="1"/>
  <c r="J266" i="5"/>
  <c r="K266" i="5" s="1"/>
  <c r="L266" i="5" s="1"/>
  <c r="M266" i="5" s="1"/>
  <c r="L267" i="5" l="1"/>
  <c r="M267" i="5" s="1"/>
  <c r="I268" i="5"/>
  <c r="H268" i="5"/>
  <c r="G269" i="5"/>
  <c r="J268" i="5" l="1"/>
  <c r="K268" i="5" s="1"/>
  <c r="L268" i="5" s="1"/>
  <c r="M268" i="5" s="1"/>
  <c r="I269" i="5"/>
  <c r="H269" i="5"/>
  <c r="G270" i="5"/>
  <c r="J269" i="5" s="1"/>
  <c r="K269" i="5" s="1"/>
  <c r="L269" i="5" l="1"/>
  <c r="M269" i="5" s="1"/>
  <c r="G271" i="5"/>
  <c r="I270" i="5"/>
  <c r="H270" i="5"/>
  <c r="J270" i="5"/>
  <c r="K270" i="5" s="1"/>
  <c r="L270" i="5" l="1"/>
  <c r="M270" i="5" s="1"/>
  <c r="G272" i="5"/>
  <c r="J271" i="5" s="1"/>
  <c r="K271" i="5" s="1"/>
  <c r="L271" i="5" s="1"/>
  <c r="M271" i="5" s="1"/>
  <c r="H271" i="5"/>
  <c r="I271" i="5"/>
  <c r="I272" i="5" l="1"/>
  <c r="H272" i="5"/>
  <c r="G273" i="5"/>
  <c r="J272" i="5" l="1"/>
  <c r="K272" i="5" s="1"/>
  <c r="L272" i="5" s="1"/>
  <c r="M272" i="5" s="1"/>
  <c r="G274" i="5"/>
  <c r="J273" i="5" s="1"/>
  <c r="K273" i="5" s="1"/>
  <c r="L273" i="5" s="1"/>
  <c r="M273" i="5" s="1"/>
  <c r="I273" i="5"/>
  <c r="H273" i="5"/>
  <c r="G275" i="5" l="1"/>
  <c r="J274" i="5" s="1"/>
  <c r="K274" i="5" s="1"/>
  <c r="L274" i="5" s="1"/>
  <c r="M274" i="5" s="1"/>
  <c r="H274" i="5"/>
  <c r="I274" i="5"/>
  <c r="I275" i="5" l="1"/>
  <c r="G276" i="5"/>
  <c r="H275" i="5"/>
  <c r="J275" i="5" l="1"/>
  <c r="K275" i="5" s="1"/>
  <c r="L275" i="5" s="1"/>
  <c r="M275" i="5" s="1"/>
  <c r="I276" i="5"/>
  <c r="H276" i="5"/>
  <c r="G277" i="5"/>
  <c r="J276" i="5" s="1"/>
  <c r="K276" i="5" s="1"/>
  <c r="L276" i="5" s="1"/>
  <c r="M276" i="5" s="1"/>
  <c r="I277" i="5" l="1"/>
  <c r="H277" i="5"/>
  <c r="G278" i="5"/>
  <c r="J277" i="5" l="1"/>
  <c r="K277" i="5" s="1"/>
  <c r="L277" i="5" s="1"/>
  <c r="M277" i="5" s="1"/>
  <c r="I278" i="5"/>
  <c r="H278" i="5"/>
  <c r="G279" i="5"/>
  <c r="J278" i="5" l="1"/>
  <c r="K278" i="5" s="1"/>
  <c r="L278" i="5" s="1"/>
  <c r="M278" i="5" s="1"/>
  <c r="I279" i="5"/>
  <c r="G280" i="5"/>
  <c r="H279" i="5"/>
  <c r="J279" i="5" l="1"/>
  <c r="K279" i="5" s="1"/>
  <c r="L279" i="5" s="1"/>
  <c r="M279" i="5" s="1"/>
  <c r="H280" i="5"/>
  <c r="G281" i="5"/>
  <c r="J280" i="5" s="1"/>
  <c r="K280" i="5" s="1"/>
  <c r="L280" i="5" s="1"/>
  <c r="M280" i="5" s="1"/>
  <c r="I280" i="5"/>
  <c r="H281" i="5" l="1"/>
  <c r="I281" i="5"/>
  <c r="G282" i="5"/>
  <c r="H282" i="5" l="1"/>
  <c r="I282" i="5"/>
  <c r="G283" i="5"/>
  <c r="J282" i="5" s="1"/>
  <c r="K282" i="5" s="1"/>
  <c r="J281" i="5"/>
  <c r="K281" i="5" s="1"/>
  <c r="L281" i="5" s="1"/>
  <c r="M281" i="5" s="1"/>
  <c r="G284" i="5" l="1"/>
  <c r="J283" i="5" s="1"/>
  <c r="K283" i="5" s="1"/>
  <c r="I283" i="5"/>
  <c r="H283" i="5"/>
  <c r="L282" i="5"/>
  <c r="M282" i="5" s="1"/>
  <c r="L283" i="5" l="1"/>
  <c r="M283" i="5" s="1"/>
  <c r="H284" i="5"/>
  <c r="I284" i="5"/>
  <c r="G285" i="5"/>
  <c r="I285" i="5" l="1"/>
  <c r="G286" i="5"/>
  <c r="H285" i="5"/>
  <c r="J284" i="5"/>
  <c r="K284" i="5" s="1"/>
  <c r="L284" i="5" s="1"/>
  <c r="M284" i="5" s="1"/>
  <c r="G287" i="5" l="1"/>
  <c r="J286" i="5" s="1"/>
  <c r="K286" i="5" s="1"/>
  <c r="H286" i="5"/>
  <c r="I286" i="5"/>
  <c r="J285" i="5"/>
  <c r="K285" i="5" s="1"/>
  <c r="L285" i="5" s="1"/>
  <c r="M285" i="5" s="1"/>
  <c r="L286" i="5" l="1"/>
  <c r="M286" i="5" s="1"/>
  <c r="I287" i="5"/>
  <c r="H287" i="5"/>
  <c r="G288" i="5"/>
  <c r="J287" i="5" s="1"/>
  <c r="K287" i="5" s="1"/>
  <c r="L287" i="5" s="1"/>
  <c r="M287" i="5" s="1"/>
  <c r="H288" i="5" l="1"/>
  <c r="I288" i="5"/>
  <c r="G289" i="5"/>
  <c r="I289" i="5" l="1"/>
  <c r="H289" i="5"/>
  <c r="G290" i="5"/>
  <c r="J288" i="5"/>
  <c r="K288" i="5" s="1"/>
  <c r="L288" i="5" s="1"/>
  <c r="M288" i="5" s="1"/>
  <c r="I290" i="5" l="1"/>
  <c r="H290" i="5"/>
  <c r="G291" i="5"/>
  <c r="J289" i="5"/>
  <c r="K289" i="5" s="1"/>
  <c r="L289" i="5" s="1"/>
  <c r="M289" i="5" s="1"/>
  <c r="J290" i="5" l="1"/>
  <c r="K290" i="5" s="1"/>
  <c r="L290" i="5" s="1"/>
  <c r="M290" i="5" s="1"/>
  <c r="H291" i="5"/>
  <c r="G292" i="5"/>
  <c r="I291" i="5"/>
  <c r="H292" i="5" l="1"/>
  <c r="G293" i="5"/>
  <c r="J292" i="5" s="1"/>
  <c r="K292" i="5" s="1"/>
  <c r="I292" i="5"/>
  <c r="J291" i="5"/>
  <c r="K291" i="5" s="1"/>
  <c r="L291" i="5" s="1"/>
  <c r="M291" i="5" s="1"/>
  <c r="L292" i="5" l="1"/>
  <c r="M292" i="5" s="1"/>
  <c r="H293" i="5"/>
  <c r="I293" i="5"/>
  <c r="G294" i="5"/>
  <c r="J293" i="5" l="1"/>
  <c r="K293" i="5" s="1"/>
  <c r="L293" i="5" s="1"/>
  <c r="M293" i="5" s="1"/>
  <c r="I294" i="5"/>
  <c r="H294" i="5"/>
  <c r="G295" i="5"/>
  <c r="J294" i="5" s="1"/>
  <c r="K294" i="5" s="1"/>
  <c r="L294" i="5" s="1"/>
  <c r="M294" i="5" s="1"/>
  <c r="I295" i="5" l="1"/>
  <c r="H295" i="5"/>
  <c r="G296" i="5"/>
  <c r="H296" i="5" l="1"/>
  <c r="I296" i="5"/>
  <c r="G297" i="5"/>
  <c r="J295" i="5"/>
  <c r="K295" i="5" s="1"/>
  <c r="L295" i="5" s="1"/>
  <c r="M295" i="5" s="1"/>
  <c r="H297" i="5" l="1"/>
  <c r="I297" i="5"/>
  <c r="G298" i="5"/>
  <c r="J296" i="5"/>
  <c r="K296" i="5" s="1"/>
  <c r="L296" i="5" s="1"/>
  <c r="M296" i="5" s="1"/>
  <c r="G299" i="5" l="1"/>
  <c r="I298" i="5"/>
  <c r="H298" i="5"/>
  <c r="J297" i="5"/>
  <c r="K297" i="5" s="1"/>
  <c r="L297" i="5" s="1"/>
  <c r="M297" i="5" s="1"/>
  <c r="G300" i="5" l="1"/>
  <c r="J299" i="5" s="1"/>
  <c r="K299" i="5" s="1"/>
  <c r="I299" i="5"/>
  <c r="H299" i="5"/>
  <c r="J298" i="5"/>
  <c r="K298" i="5" s="1"/>
  <c r="L298" i="5" s="1"/>
  <c r="M298" i="5" s="1"/>
  <c r="L299" i="5" l="1"/>
  <c r="M299" i="5" s="1"/>
  <c r="G301" i="5"/>
  <c r="I300" i="5"/>
  <c r="H300" i="5"/>
  <c r="J300" i="5" l="1"/>
  <c r="K300" i="5" s="1"/>
  <c r="L300" i="5" s="1"/>
  <c r="M300" i="5" s="1"/>
  <c r="G302" i="5"/>
  <c r="H301" i="5"/>
  <c r="I301" i="5"/>
  <c r="G303" i="5" l="1"/>
  <c r="I302" i="5"/>
  <c r="H302" i="5"/>
  <c r="J302" i="5"/>
  <c r="K302" i="5" s="1"/>
  <c r="J301" i="5"/>
  <c r="K301" i="5" s="1"/>
  <c r="L301" i="5" s="1"/>
  <c r="M301" i="5" s="1"/>
  <c r="L302" i="5" l="1"/>
  <c r="M302" i="5" s="1"/>
  <c r="H303" i="5"/>
  <c r="I303" i="5"/>
  <c r="G304" i="5"/>
  <c r="J303" i="5" s="1"/>
  <c r="K303" i="5" s="1"/>
  <c r="L303" i="5" s="1"/>
  <c r="M303" i="5" s="1"/>
  <c r="H304" i="5" l="1"/>
  <c r="I304" i="5"/>
  <c r="G305" i="5"/>
  <c r="J304" i="5" s="1"/>
  <c r="K304" i="5" s="1"/>
  <c r="L304" i="5" s="1"/>
  <c r="M304" i="5" s="1"/>
  <c r="H305" i="5" l="1"/>
  <c r="I305" i="5"/>
  <c r="G306" i="5"/>
  <c r="J305" i="5" l="1"/>
  <c r="K305" i="5" s="1"/>
  <c r="L305" i="5" s="1"/>
  <c r="M305" i="5" s="1"/>
  <c r="I306" i="5"/>
  <c r="G307" i="5"/>
  <c r="J306" i="5" s="1"/>
  <c r="K306" i="5" s="1"/>
  <c r="H306" i="5"/>
  <c r="L306" i="5" l="1"/>
  <c r="M306" i="5" s="1"/>
  <c r="G308" i="5"/>
  <c r="J307" i="5" s="1"/>
  <c r="K307" i="5" s="1"/>
  <c r="L307" i="5" s="1"/>
  <c r="M307" i="5" s="1"/>
  <c r="H307" i="5"/>
  <c r="I307" i="5"/>
  <c r="I308" i="5" l="1"/>
  <c r="H308" i="5"/>
  <c r="G309" i="5"/>
  <c r="G310" i="5" l="1"/>
  <c r="I309" i="5"/>
  <c r="H309" i="5"/>
  <c r="J308" i="5"/>
  <c r="K308" i="5" s="1"/>
  <c r="L308" i="5" s="1"/>
  <c r="M308" i="5" s="1"/>
  <c r="J309" i="5" l="1"/>
  <c r="K309" i="5" s="1"/>
  <c r="L309" i="5" s="1"/>
  <c r="M309" i="5" s="1"/>
  <c r="I310" i="5"/>
  <c r="H310" i="5"/>
  <c r="G311" i="5"/>
  <c r="J310" i="5" l="1"/>
  <c r="K310" i="5" s="1"/>
  <c r="L310" i="5" s="1"/>
  <c r="M310" i="5" s="1"/>
  <c r="H311" i="5"/>
  <c r="I311" i="5"/>
  <c r="G312" i="5"/>
  <c r="J311" i="5" s="1"/>
  <c r="K311" i="5" s="1"/>
  <c r="L311" i="5" s="1"/>
  <c r="M311" i="5" s="1"/>
  <c r="H312" i="5" l="1"/>
  <c r="G313" i="5"/>
  <c r="I312" i="5"/>
  <c r="I313" i="5" l="1"/>
  <c r="G314" i="5"/>
  <c r="J313" i="5" s="1"/>
  <c r="K313" i="5" s="1"/>
  <c r="H313" i="5"/>
  <c r="J312" i="5"/>
  <c r="K312" i="5" s="1"/>
  <c r="L312" i="5" s="1"/>
  <c r="M312" i="5" s="1"/>
  <c r="L313" i="5" l="1"/>
  <c r="M313" i="5" s="1"/>
  <c r="H314" i="5"/>
  <c r="I314" i="5"/>
  <c r="G315" i="5"/>
  <c r="I315" i="5" l="1"/>
  <c r="G316" i="5"/>
  <c r="H315" i="5"/>
  <c r="J314" i="5"/>
  <c r="K314" i="5" s="1"/>
  <c r="L314" i="5" s="1"/>
  <c r="M314" i="5" s="1"/>
  <c r="J315" i="5" l="1"/>
  <c r="K315" i="5" s="1"/>
  <c r="L315" i="5" s="1"/>
  <c r="M315" i="5" s="1"/>
  <c r="H316" i="5"/>
  <c r="I316" i="5"/>
  <c r="G317" i="5"/>
  <c r="J316" i="5" l="1"/>
  <c r="K316" i="5" s="1"/>
  <c r="L316" i="5" s="1"/>
  <c r="M316" i="5" s="1"/>
  <c r="G318" i="5"/>
  <c r="J317" i="5" s="1"/>
  <c r="K317" i="5" s="1"/>
  <c r="L317" i="5" s="1"/>
  <c r="M317" i="5" s="1"/>
  <c r="I317" i="5"/>
  <c r="H317" i="5"/>
  <c r="G319" i="5" l="1"/>
  <c r="I318" i="5"/>
  <c r="H318" i="5"/>
  <c r="J318" i="5"/>
  <c r="K318" i="5" s="1"/>
  <c r="L318" i="5" s="1"/>
  <c r="M318" i="5" s="1"/>
  <c r="H319" i="5" l="1"/>
  <c r="I319" i="5"/>
  <c r="G320" i="5"/>
  <c r="J319" i="5" l="1"/>
  <c r="K319" i="5" s="1"/>
  <c r="L319" i="5" s="1"/>
  <c r="M319" i="5" s="1"/>
  <c r="H320" i="5"/>
  <c r="I320" i="5"/>
  <c r="G321" i="5"/>
  <c r="J320" i="5" s="1"/>
  <c r="K320" i="5" s="1"/>
  <c r="L320" i="5" l="1"/>
  <c r="M320" i="5" s="1"/>
  <c r="H321" i="5"/>
  <c r="G322" i="5"/>
  <c r="J321" i="5" s="1"/>
  <c r="K321" i="5" s="1"/>
  <c r="I321" i="5"/>
  <c r="L321" i="5" l="1"/>
  <c r="M321" i="5" s="1"/>
  <c r="I322" i="5"/>
  <c r="H322" i="5"/>
  <c r="G323" i="5"/>
  <c r="J322" i="5" s="1"/>
  <c r="K322" i="5" s="1"/>
  <c r="L322" i="5" s="1"/>
  <c r="M322" i="5" s="1"/>
  <c r="H323" i="5" l="1"/>
  <c r="I323" i="5"/>
  <c r="G324" i="5"/>
  <c r="J323" i="5" l="1"/>
  <c r="K323" i="5" s="1"/>
  <c r="L323" i="5" s="1"/>
  <c r="M323" i="5" s="1"/>
  <c r="G325" i="5"/>
  <c r="I324" i="5"/>
  <c r="H324" i="5"/>
  <c r="J324" i="5" s="1"/>
  <c r="K324" i="5" s="1"/>
  <c r="L324" i="5" s="1"/>
  <c r="M324" i="5" s="1"/>
  <c r="I325" i="5" l="1"/>
  <c r="G326" i="5"/>
  <c r="J325" i="5" s="1"/>
  <c r="K325" i="5" s="1"/>
  <c r="L325" i="5" s="1"/>
  <c r="M325" i="5" s="1"/>
  <c r="H325" i="5"/>
  <c r="G327" i="5" l="1"/>
  <c r="H326" i="5"/>
  <c r="I326" i="5"/>
  <c r="H327" i="5" l="1"/>
  <c r="I327" i="5"/>
  <c r="G328" i="5"/>
  <c r="J327" i="5" s="1"/>
  <c r="K327" i="5" s="1"/>
  <c r="J326" i="5"/>
  <c r="K326" i="5" s="1"/>
  <c r="L326" i="5" s="1"/>
  <c r="M326" i="5" s="1"/>
  <c r="L327" i="5" l="1"/>
  <c r="M327" i="5" s="1"/>
  <c r="H328" i="5"/>
  <c r="G329" i="5"/>
  <c r="J328" i="5" s="1"/>
  <c r="K328" i="5" s="1"/>
  <c r="L328" i="5" s="1"/>
  <c r="M328" i="5" s="1"/>
  <c r="I328" i="5"/>
  <c r="H329" i="5" l="1"/>
  <c r="I329" i="5"/>
  <c r="G330" i="5"/>
  <c r="J329" i="5" s="1"/>
  <c r="K329" i="5" s="1"/>
  <c r="L329" i="5" s="1"/>
  <c r="M329" i="5" s="1"/>
  <c r="I330" i="5" l="1"/>
  <c r="H330" i="5"/>
  <c r="G331" i="5"/>
  <c r="J330" i="5" s="1"/>
  <c r="K330" i="5" s="1"/>
  <c r="L330" i="5" s="1"/>
  <c r="M330" i="5" s="1"/>
  <c r="H331" i="5" l="1"/>
  <c r="I331" i="5"/>
  <c r="G332" i="5"/>
  <c r="H332" i="5" l="1"/>
  <c r="I332" i="5"/>
  <c r="G333" i="5"/>
  <c r="J331" i="5"/>
  <c r="K331" i="5" s="1"/>
  <c r="L331" i="5" s="1"/>
  <c r="M331" i="5" s="1"/>
  <c r="H333" i="5" l="1"/>
  <c r="G334" i="5"/>
  <c r="I333" i="5"/>
  <c r="J332" i="5"/>
  <c r="K332" i="5" s="1"/>
  <c r="L332" i="5" s="1"/>
  <c r="M332" i="5" s="1"/>
  <c r="J333" i="5" l="1"/>
  <c r="K333" i="5" s="1"/>
  <c r="L333" i="5" s="1"/>
  <c r="M333" i="5" s="1"/>
  <c r="H334" i="5"/>
  <c r="I334" i="5"/>
  <c r="G335" i="5"/>
  <c r="J334" i="5" l="1"/>
  <c r="K334" i="5" s="1"/>
  <c r="L334" i="5" s="1"/>
  <c r="M334" i="5" s="1"/>
  <c r="G336" i="5"/>
  <c r="H335" i="5"/>
  <c r="I335" i="5"/>
  <c r="J335" i="5" l="1"/>
  <c r="K335" i="5" s="1"/>
  <c r="L335" i="5" s="1"/>
  <c r="M335" i="5" s="1"/>
  <c r="H336" i="5"/>
  <c r="I336" i="5"/>
  <c r="G337" i="5"/>
  <c r="J336" i="5" s="1"/>
  <c r="K336" i="5" s="1"/>
  <c r="L336" i="5" s="1"/>
  <c r="M336" i="5" s="1"/>
  <c r="H337" i="5" l="1"/>
  <c r="G338" i="5"/>
  <c r="I337" i="5"/>
  <c r="H338" i="5" l="1"/>
  <c r="I338" i="5"/>
  <c r="G339" i="5"/>
  <c r="J338" i="5" s="1"/>
  <c r="K338" i="5" s="1"/>
  <c r="J337" i="5"/>
  <c r="K337" i="5" s="1"/>
  <c r="L337" i="5" s="1"/>
  <c r="M337" i="5" s="1"/>
  <c r="L338" i="5" l="1"/>
  <c r="M338" i="5" s="1"/>
  <c r="I339" i="5"/>
  <c r="H339" i="5"/>
  <c r="G340" i="5"/>
  <c r="J339" i="5" l="1"/>
  <c r="K339" i="5" s="1"/>
  <c r="L339" i="5" s="1"/>
  <c r="M339" i="5" s="1"/>
  <c r="I340" i="5"/>
  <c r="H340" i="5"/>
  <c r="G341" i="5"/>
  <c r="I341" i="5" l="1"/>
  <c r="H341" i="5"/>
  <c r="G342" i="5"/>
  <c r="J340" i="5"/>
  <c r="K340" i="5" s="1"/>
  <c r="L340" i="5" s="1"/>
  <c r="M340" i="5" s="1"/>
  <c r="G343" i="5" l="1"/>
  <c r="I342" i="5"/>
  <c r="H342" i="5"/>
  <c r="J341" i="5"/>
  <c r="K341" i="5" s="1"/>
  <c r="L341" i="5" s="1"/>
  <c r="M341" i="5" s="1"/>
  <c r="J342" i="5" l="1"/>
  <c r="K342" i="5" s="1"/>
  <c r="L342" i="5" s="1"/>
  <c r="M342" i="5" s="1"/>
  <c r="H343" i="5"/>
  <c r="I343" i="5"/>
  <c r="G344" i="5"/>
  <c r="J343" i="5" s="1"/>
  <c r="K343" i="5" s="1"/>
  <c r="L343" i="5" s="1"/>
  <c r="M343" i="5" s="1"/>
  <c r="H344" i="5" l="1"/>
  <c r="G345" i="5"/>
  <c r="I344" i="5"/>
  <c r="J344" i="5" l="1"/>
  <c r="K344" i="5" s="1"/>
  <c r="L344" i="5" s="1"/>
  <c r="M344" i="5" s="1"/>
  <c r="H345" i="5"/>
  <c r="G346" i="5"/>
  <c r="J345" i="5" s="1"/>
  <c r="K345" i="5" s="1"/>
  <c r="I345" i="5"/>
  <c r="L345" i="5" l="1"/>
  <c r="M345" i="5" s="1"/>
  <c r="I346" i="5"/>
  <c r="H346" i="5"/>
  <c r="G347" i="5"/>
  <c r="H347" i="5" l="1"/>
  <c r="G348" i="5"/>
  <c r="I347" i="5"/>
  <c r="J346" i="5"/>
  <c r="K346" i="5" s="1"/>
  <c r="L346" i="5" s="1"/>
  <c r="M346" i="5" s="1"/>
  <c r="J347" i="5" l="1"/>
  <c r="K347" i="5" s="1"/>
  <c r="L347" i="5" s="1"/>
  <c r="M347" i="5" s="1"/>
  <c r="G349" i="5"/>
  <c r="I348" i="5"/>
  <c r="H348" i="5"/>
  <c r="I349" i="5" l="1"/>
  <c r="H349" i="5"/>
  <c r="G350" i="5"/>
  <c r="J348" i="5"/>
  <c r="K348" i="5" s="1"/>
  <c r="L348" i="5" s="1"/>
  <c r="M348" i="5" s="1"/>
  <c r="I350" i="5" l="1"/>
  <c r="G351" i="5"/>
  <c r="H350" i="5"/>
  <c r="J349" i="5"/>
  <c r="K349" i="5" s="1"/>
  <c r="L349" i="5" s="1"/>
  <c r="M349" i="5" s="1"/>
  <c r="J350" i="5" l="1"/>
  <c r="K350" i="5" s="1"/>
  <c r="L350" i="5" s="1"/>
  <c r="M350" i="5" s="1"/>
  <c r="I351" i="5"/>
  <c r="G352" i="5"/>
  <c r="J351" i="5" s="1"/>
  <c r="K351" i="5" s="1"/>
  <c r="L351" i="5" s="1"/>
  <c r="M351" i="5" s="1"/>
  <c r="H351" i="5"/>
  <c r="H352" i="5" l="1"/>
  <c r="G353" i="5"/>
  <c r="J352" i="5" s="1"/>
  <c r="K352" i="5" s="1"/>
  <c r="L352" i="5" s="1"/>
  <c r="M352" i="5" s="1"/>
  <c r="I352" i="5"/>
  <c r="H353" i="5" l="1"/>
  <c r="I353" i="5"/>
  <c r="G354" i="5"/>
  <c r="J353" i="5" s="1"/>
  <c r="K353" i="5" s="1"/>
  <c r="L353" i="5" s="1"/>
  <c r="M353" i="5" s="1"/>
  <c r="H354" i="5" l="1"/>
  <c r="I354" i="5"/>
  <c r="G355" i="5"/>
  <c r="I355" i="5" l="1"/>
  <c r="G356" i="5"/>
  <c r="H355" i="5"/>
  <c r="J354" i="5"/>
  <c r="K354" i="5" s="1"/>
  <c r="L354" i="5" s="1"/>
  <c r="M354" i="5" s="1"/>
  <c r="J355" i="5" l="1"/>
  <c r="K355" i="5" s="1"/>
  <c r="L355" i="5" s="1"/>
  <c r="M355" i="5" s="1"/>
  <c r="H356" i="5"/>
  <c r="G357" i="5"/>
  <c r="J356" i="5" s="1"/>
  <c r="K356" i="5" s="1"/>
  <c r="L356" i="5" s="1"/>
  <c r="M356" i="5" s="1"/>
  <c r="I356" i="5"/>
  <c r="H357" i="5" l="1"/>
  <c r="I357" i="5"/>
  <c r="G358" i="5"/>
  <c r="G359" i="5" l="1"/>
  <c r="I358" i="5"/>
  <c r="H358" i="5"/>
  <c r="J357" i="5"/>
  <c r="K357" i="5" s="1"/>
  <c r="L357" i="5" s="1"/>
  <c r="M357" i="5" s="1"/>
  <c r="J358" i="5" l="1"/>
  <c r="K358" i="5" s="1"/>
  <c r="L358" i="5" s="1"/>
  <c r="M358" i="5" s="1"/>
  <c r="H359" i="5"/>
  <c r="G360" i="5"/>
  <c r="I359" i="5"/>
  <c r="J359" i="5" l="1"/>
  <c r="K359" i="5" s="1"/>
  <c r="L359" i="5" s="1"/>
  <c r="M359" i="5" s="1"/>
  <c r="H360" i="5"/>
  <c r="G361" i="5"/>
  <c r="J360" i="5" s="1"/>
  <c r="K360" i="5" s="1"/>
  <c r="L360" i="5" s="1"/>
  <c r="M360" i="5" s="1"/>
  <c r="I360" i="5"/>
  <c r="H361" i="5" l="1"/>
  <c r="I361" i="5"/>
  <c r="G362" i="5"/>
  <c r="J361" i="5" s="1"/>
  <c r="K361" i="5" s="1"/>
  <c r="L361" i="5" s="1"/>
  <c r="M361" i="5" s="1"/>
  <c r="G363" i="5" l="1"/>
  <c r="J362" i="5" s="1"/>
  <c r="K362" i="5" s="1"/>
  <c r="L362" i="5" s="1"/>
  <c r="M362" i="5" s="1"/>
  <c r="I362" i="5"/>
  <c r="H362" i="5"/>
  <c r="I363" i="5" l="1"/>
  <c r="G364" i="5"/>
  <c r="J363" i="5" s="1"/>
  <c r="K363" i="5" s="1"/>
  <c r="L363" i="5" s="1"/>
  <c r="M363" i="5" s="1"/>
  <c r="H363" i="5"/>
  <c r="G365" i="5" l="1"/>
  <c r="I364" i="5"/>
  <c r="H364" i="5"/>
  <c r="I365" i="5" l="1"/>
  <c r="H365" i="5"/>
  <c r="G366" i="5"/>
  <c r="J364" i="5"/>
  <c r="K364" i="5" s="1"/>
  <c r="L364" i="5" s="1"/>
  <c r="M364" i="5" s="1"/>
  <c r="I366" i="5" l="1"/>
  <c r="H366" i="5"/>
  <c r="G367" i="5"/>
  <c r="J366" i="5" s="1"/>
  <c r="K366" i="5" s="1"/>
  <c r="J365" i="5"/>
  <c r="K365" i="5" s="1"/>
  <c r="L365" i="5" s="1"/>
  <c r="M365" i="5" s="1"/>
  <c r="L366" i="5" l="1"/>
  <c r="M366" i="5" s="1"/>
  <c r="H367" i="5"/>
  <c r="I367" i="5"/>
  <c r="G368" i="5"/>
  <c r="J367" i="5" s="1"/>
  <c r="K367" i="5" s="1"/>
  <c r="L367" i="5" s="1"/>
  <c r="M367" i="5" s="1"/>
  <c r="H368" i="5" l="1"/>
  <c r="I368" i="5"/>
  <c r="G369" i="5"/>
  <c r="J368" i="5" s="1"/>
  <c r="K368" i="5" s="1"/>
  <c r="L368" i="5" s="1"/>
  <c r="M368" i="5" s="1"/>
  <c r="H369" i="5" l="1"/>
  <c r="I369" i="5"/>
  <c r="G370" i="5"/>
  <c r="J369" i="5" l="1"/>
  <c r="K369" i="5" s="1"/>
  <c r="L369" i="5" s="1"/>
  <c r="M369" i="5" s="1"/>
  <c r="H370" i="5"/>
  <c r="G371" i="5"/>
  <c r="J370" i="5" s="1"/>
  <c r="K370" i="5" s="1"/>
  <c r="L370" i="5" s="1"/>
  <c r="M370" i="5" s="1"/>
  <c r="I370" i="5"/>
  <c r="I371" i="5" l="1"/>
  <c r="G372" i="5"/>
  <c r="H371" i="5"/>
  <c r="J371" i="5" l="1"/>
  <c r="K371" i="5" s="1"/>
  <c r="L371" i="5" s="1"/>
  <c r="M371" i="5" s="1"/>
  <c r="I372" i="5"/>
  <c r="G373" i="5"/>
  <c r="J372" i="5" s="1"/>
  <c r="K372" i="5" s="1"/>
  <c r="H372" i="5"/>
  <c r="L372" i="5" l="1"/>
  <c r="M372" i="5" s="1"/>
  <c r="H373" i="5"/>
  <c r="I373" i="5"/>
  <c r="G374" i="5"/>
  <c r="J373" i="5" s="1"/>
  <c r="K373" i="5" s="1"/>
  <c r="L373" i="5" s="1"/>
  <c r="M373" i="5" s="1"/>
  <c r="H374" i="5" l="1"/>
  <c r="I374" i="5"/>
  <c r="G375" i="5"/>
  <c r="J374" i="5" s="1"/>
  <c r="K374" i="5" s="1"/>
  <c r="L374" i="5" s="1"/>
  <c r="M374" i="5" s="1"/>
  <c r="H375" i="5" l="1"/>
  <c r="I375" i="5"/>
  <c r="G376" i="5"/>
  <c r="H376" i="5" l="1"/>
  <c r="I376" i="5"/>
  <c r="G377" i="5"/>
  <c r="J375" i="5"/>
  <c r="K375" i="5" s="1"/>
  <c r="L375" i="5" s="1"/>
  <c r="M375" i="5" s="1"/>
  <c r="H377" i="5" l="1"/>
  <c r="I377" i="5"/>
  <c r="G378" i="5"/>
  <c r="J376" i="5"/>
  <c r="K376" i="5" s="1"/>
  <c r="L376" i="5" s="1"/>
  <c r="M376" i="5" s="1"/>
  <c r="J377" i="5" l="1"/>
  <c r="K377" i="5" s="1"/>
  <c r="L377" i="5" s="1"/>
  <c r="M377" i="5" s="1"/>
  <c r="I378" i="5"/>
  <c r="H378" i="5"/>
  <c r="G379" i="5"/>
  <c r="J378" i="5" l="1"/>
  <c r="K378" i="5" s="1"/>
  <c r="L378" i="5" s="1"/>
  <c r="M378" i="5" s="1"/>
  <c r="H379" i="5"/>
  <c r="G380" i="5"/>
  <c r="I379" i="5"/>
  <c r="J379" i="5" l="1"/>
  <c r="K379" i="5" s="1"/>
  <c r="L379" i="5" s="1"/>
  <c r="M379" i="5" s="1"/>
  <c r="I380" i="5"/>
  <c r="H380" i="5"/>
  <c r="G381" i="5"/>
  <c r="G382" i="5" l="1"/>
  <c r="H381" i="5"/>
  <c r="I381" i="5"/>
  <c r="J380" i="5"/>
  <c r="K380" i="5" s="1"/>
  <c r="L380" i="5" s="1"/>
  <c r="M380" i="5" s="1"/>
  <c r="H382" i="5" l="1"/>
  <c r="I382" i="5"/>
  <c r="G383" i="5"/>
  <c r="J382" i="5" s="1"/>
  <c r="K382" i="5" s="1"/>
  <c r="J381" i="5"/>
  <c r="K381" i="5" s="1"/>
  <c r="L381" i="5" s="1"/>
  <c r="M381" i="5" s="1"/>
  <c r="L382" i="5" l="1"/>
  <c r="M382" i="5" s="1"/>
  <c r="H383" i="5"/>
  <c r="G384" i="5"/>
  <c r="I383" i="5"/>
  <c r="J383" i="5" l="1"/>
  <c r="K383" i="5" s="1"/>
  <c r="L383" i="5" s="1"/>
  <c r="M383" i="5" s="1"/>
  <c r="H384" i="5"/>
  <c r="I384" i="5"/>
  <c r="G385" i="5"/>
  <c r="J384" i="5" s="1"/>
  <c r="K384" i="5" s="1"/>
  <c r="L384" i="5" l="1"/>
  <c r="M384" i="5" s="1"/>
  <c r="G386" i="5"/>
  <c r="H385" i="5"/>
  <c r="I385" i="5"/>
  <c r="J385" i="5"/>
  <c r="K385" i="5" s="1"/>
  <c r="L385" i="5" s="1"/>
  <c r="M385" i="5" s="1"/>
  <c r="I386" i="5" l="1"/>
  <c r="G387" i="5"/>
  <c r="H386" i="5"/>
  <c r="H387" i="5" l="1"/>
  <c r="G388" i="5"/>
  <c r="I387" i="5"/>
  <c r="J386" i="5"/>
  <c r="K386" i="5" s="1"/>
  <c r="L386" i="5" s="1"/>
  <c r="M386" i="5" s="1"/>
  <c r="G389" i="5" l="1"/>
  <c r="I388" i="5"/>
  <c r="H388" i="5"/>
  <c r="J387" i="5"/>
  <c r="K387" i="5" s="1"/>
  <c r="L387" i="5" s="1"/>
  <c r="M387" i="5" s="1"/>
  <c r="J388" i="5" l="1"/>
  <c r="K388" i="5" s="1"/>
  <c r="L388" i="5" s="1"/>
  <c r="M388" i="5" s="1"/>
  <c r="I389" i="5"/>
  <c r="G390" i="5"/>
  <c r="J389" i="5" s="1"/>
  <c r="K389" i="5" s="1"/>
  <c r="H389" i="5"/>
  <c r="L389" i="5" l="1"/>
  <c r="M389" i="5" s="1"/>
  <c r="G391" i="5"/>
  <c r="J390" i="5" s="1"/>
  <c r="K390" i="5" s="1"/>
  <c r="L390" i="5" s="1"/>
  <c r="M390" i="5" s="1"/>
  <c r="H390" i="5"/>
  <c r="I390" i="5"/>
  <c r="H391" i="5" l="1"/>
  <c r="G392" i="5"/>
  <c r="I391" i="5"/>
  <c r="H392" i="5" l="1"/>
  <c r="G393" i="5"/>
  <c r="I392" i="5"/>
  <c r="J392" i="5"/>
  <c r="K392" i="5" s="1"/>
  <c r="J391" i="5"/>
  <c r="K391" i="5" s="1"/>
  <c r="L391" i="5" s="1"/>
  <c r="M391" i="5" s="1"/>
  <c r="I393" i="5" l="1"/>
  <c r="H393" i="5"/>
  <c r="G394" i="5"/>
  <c r="L392" i="5"/>
  <c r="M392" i="5" s="1"/>
  <c r="H394" i="5" l="1"/>
  <c r="I394" i="5"/>
  <c r="G395" i="5"/>
  <c r="J394" i="5" s="1"/>
  <c r="K394" i="5" s="1"/>
  <c r="J393" i="5"/>
  <c r="K393" i="5" s="1"/>
  <c r="L393" i="5" s="1"/>
  <c r="M393" i="5" s="1"/>
  <c r="L394" i="5" l="1"/>
  <c r="M394" i="5" s="1"/>
  <c r="H395" i="5"/>
  <c r="I395" i="5"/>
  <c r="G396" i="5"/>
  <c r="J395" i="5" l="1"/>
  <c r="K395" i="5" s="1"/>
  <c r="L395" i="5" s="1"/>
  <c r="M395" i="5" s="1"/>
  <c r="I396" i="5"/>
  <c r="H396" i="5"/>
  <c r="G397" i="5"/>
  <c r="J396" i="5" l="1"/>
  <c r="K396" i="5" s="1"/>
  <c r="L396" i="5" s="1"/>
  <c r="M396" i="5" s="1"/>
  <c r="H397" i="5"/>
  <c r="G398" i="5"/>
  <c r="I397" i="5"/>
  <c r="I398" i="5" l="1"/>
  <c r="H398" i="5"/>
  <c r="G399" i="5"/>
  <c r="J397" i="5"/>
  <c r="K397" i="5" s="1"/>
  <c r="L397" i="5" s="1"/>
  <c r="M397" i="5" s="1"/>
  <c r="H399" i="5" l="1"/>
  <c r="I399" i="5"/>
  <c r="G400" i="5"/>
  <c r="J399" i="5"/>
  <c r="K399" i="5" s="1"/>
  <c r="J398" i="5"/>
  <c r="K398" i="5" s="1"/>
  <c r="L398" i="5" s="1"/>
  <c r="M398" i="5" s="1"/>
  <c r="L399" i="5" l="1"/>
  <c r="M399" i="5" s="1"/>
  <c r="H400" i="5"/>
  <c r="G401" i="5"/>
  <c r="I400" i="5"/>
  <c r="J400" i="5" l="1"/>
  <c r="K400" i="5" s="1"/>
  <c r="L400" i="5" s="1"/>
  <c r="M400" i="5" s="1"/>
  <c r="H401" i="5"/>
  <c r="G402" i="5"/>
  <c r="I401" i="5"/>
  <c r="G403" i="5" l="1"/>
  <c r="H402" i="5"/>
  <c r="I402" i="5"/>
  <c r="J402" i="5" s="1"/>
  <c r="K402" i="5" s="1"/>
  <c r="L402" i="5" s="1"/>
  <c r="M402" i="5" s="1"/>
  <c r="J401" i="5"/>
  <c r="K401" i="5" s="1"/>
  <c r="L401" i="5" s="1"/>
  <c r="M401" i="5" s="1"/>
  <c r="I403" i="5" l="1"/>
  <c r="G404" i="5"/>
  <c r="H403" i="5"/>
  <c r="H404" i="5" l="1"/>
  <c r="G405" i="5"/>
  <c r="I404" i="5"/>
  <c r="J403" i="5"/>
  <c r="K403" i="5" s="1"/>
  <c r="L403" i="5" s="1"/>
  <c r="M403" i="5" s="1"/>
  <c r="J404" i="5" l="1"/>
  <c r="K404" i="5" s="1"/>
  <c r="L404" i="5" s="1"/>
  <c r="M404" i="5" s="1"/>
  <c r="G406" i="5"/>
  <c r="I405" i="5"/>
  <c r="H405" i="5"/>
  <c r="J405" i="5" l="1"/>
  <c r="K405" i="5" s="1"/>
  <c r="L405" i="5" s="1"/>
  <c r="M405" i="5" s="1"/>
  <c r="H406" i="5"/>
  <c r="I406" i="5"/>
  <c r="G407" i="5"/>
  <c r="I407" i="5" l="1"/>
  <c r="H407" i="5"/>
  <c r="G408" i="5"/>
  <c r="J406" i="5"/>
  <c r="K406" i="5" s="1"/>
  <c r="L406" i="5" s="1"/>
  <c r="M406" i="5" s="1"/>
  <c r="J407" i="5" l="1"/>
  <c r="K407" i="5" s="1"/>
  <c r="L407" i="5" s="1"/>
  <c r="M407" i="5" s="1"/>
  <c r="G409" i="5"/>
  <c r="J408" i="5" s="1"/>
  <c r="K408" i="5" s="1"/>
  <c r="H408" i="5"/>
  <c r="I408" i="5"/>
  <c r="L408" i="5" l="1"/>
  <c r="M408" i="5" s="1"/>
  <c r="H409" i="5"/>
  <c r="I409" i="5"/>
  <c r="G410" i="5"/>
  <c r="I410" i="5" l="1"/>
  <c r="H410" i="5"/>
  <c r="G411" i="5"/>
  <c r="J410" i="5" s="1"/>
  <c r="K410" i="5" s="1"/>
  <c r="J409" i="5"/>
  <c r="K409" i="5" s="1"/>
  <c r="L409" i="5" s="1"/>
  <c r="M409" i="5" s="1"/>
  <c r="L410" i="5" l="1"/>
  <c r="M410" i="5" s="1"/>
  <c r="I411" i="5"/>
  <c r="G412" i="5"/>
  <c r="J411" i="5" s="1"/>
  <c r="K411" i="5" s="1"/>
  <c r="H411" i="5"/>
  <c r="L411" i="5" l="1"/>
  <c r="M411" i="5" s="1"/>
  <c r="I412" i="5"/>
  <c r="H412" i="5"/>
  <c r="G413" i="5"/>
  <c r="J412" i="5" l="1"/>
  <c r="K412" i="5" s="1"/>
  <c r="L412" i="5" s="1"/>
  <c r="M412" i="5" s="1"/>
  <c r="G414" i="5"/>
  <c r="H413" i="5"/>
  <c r="I413" i="5"/>
  <c r="J413" i="5" l="1"/>
  <c r="K413" i="5" s="1"/>
  <c r="L413" i="5" s="1"/>
  <c r="M413" i="5" s="1"/>
  <c r="H414" i="5"/>
  <c r="I414" i="5"/>
  <c r="G415" i="5"/>
  <c r="J414" i="5" s="1"/>
  <c r="K414" i="5" s="1"/>
  <c r="L414" i="5" s="1"/>
  <c r="M414" i="5" s="1"/>
  <c r="I415" i="5" l="1"/>
  <c r="H415" i="5"/>
  <c r="G416" i="5"/>
  <c r="J415" i="5" l="1"/>
  <c r="K415" i="5" s="1"/>
  <c r="L415" i="5" s="1"/>
  <c r="M415" i="5" s="1"/>
  <c r="H416" i="5"/>
  <c r="I416" i="5"/>
  <c r="G417" i="5"/>
  <c r="J416" i="5" s="1"/>
  <c r="K416" i="5" s="1"/>
  <c r="L416" i="5" l="1"/>
  <c r="M416" i="5" s="1"/>
  <c r="G418" i="5"/>
  <c r="H417" i="5"/>
  <c r="I417" i="5"/>
  <c r="J417" i="5" l="1"/>
  <c r="K417" i="5" s="1"/>
  <c r="L417" i="5" s="1"/>
  <c r="M417" i="5" s="1"/>
  <c r="I418" i="5"/>
  <c r="H418" i="5"/>
  <c r="G419" i="5"/>
  <c r="J418" i="5" l="1"/>
  <c r="K418" i="5" s="1"/>
  <c r="L418" i="5" s="1"/>
  <c r="M418" i="5" s="1"/>
  <c r="I419" i="5"/>
  <c r="H419" i="5"/>
  <c r="G420" i="5"/>
  <c r="I420" i="5" l="1"/>
  <c r="G421" i="5"/>
  <c r="H420" i="5"/>
  <c r="J419" i="5"/>
  <c r="K419" i="5" s="1"/>
  <c r="L419" i="5" s="1"/>
  <c r="M419" i="5" s="1"/>
  <c r="H421" i="5" l="1"/>
  <c r="G422" i="5"/>
  <c r="I421" i="5"/>
  <c r="J420" i="5"/>
  <c r="K420" i="5" s="1"/>
  <c r="L420" i="5" s="1"/>
  <c r="M420" i="5" s="1"/>
  <c r="H422" i="5" l="1"/>
  <c r="G423" i="5"/>
  <c r="I422" i="5"/>
  <c r="J421" i="5"/>
  <c r="K421" i="5" s="1"/>
  <c r="L421" i="5" s="1"/>
  <c r="M421" i="5" s="1"/>
  <c r="J422" i="5" l="1"/>
  <c r="K422" i="5" s="1"/>
  <c r="L422" i="5" s="1"/>
  <c r="M422" i="5" s="1"/>
  <c r="I423" i="5"/>
  <c r="H423" i="5"/>
  <c r="G424" i="5"/>
  <c r="J423" i="5" s="1"/>
  <c r="K423" i="5" s="1"/>
  <c r="L423" i="5" s="1"/>
  <c r="M423" i="5" s="1"/>
  <c r="H424" i="5" l="1"/>
  <c r="I424" i="5"/>
  <c r="G425" i="5"/>
  <c r="J424" i="5" s="1"/>
  <c r="K424" i="5" s="1"/>
  <c r="L424" i="5" s="1"/>
  <c r="M424" i="5" s="1"/>
  <c r="I425" i="5" l="1"/>
  <c r="H425" i="5"/>
  <c r="G426" i="5"/>
  <c r="J425" i="5" s="1"/>
  <c r="K425" i="5" s="1"/>
  <c r="L425" i="5" s="1"/>
  <c r="M425" i="5" s="1"/>
  <c r="I426" i="5" l="1"/>
  <c r="G427" i="5"/>
  <c r="J426" i="5" s="1"/>
  <c r="K426" i="5" s="1"/>
  <c r="L426" i="5" s="1"/>
  <c r="M426" i="5" s="1"/>
  <c r="H426" i="5"/>
  <c r="I427" i="5" l="1"/>
  <c r="G428" i="5"/>
  <c r="H427" i="5"/>
  <c r="J427" i="5" l="1"/>
  <c r="K427" i="5" s="1"/>
  <c r="L427" i="5" s="1"/>
  <c r="M427" i="5" s="1"/>
  <c r="G429" i="5"/>
  <c r="H428" i="5"/>
  <c r="I428" i="5"/>
  <c r="J428" i="5" l="1"/>
  <c r="K428" i="5" s="1"/>
  <c r="L428" i="5" s="1"/>
  <c r="M428" i="5" s="1"/>
  <c r="I429" i="5"/>
  <c r="H429" i="5"/>
  <c r="G430" i="5"/>
  <c r="J429" i="5" s="1"/>
  <c r="K429" i="5" s="1"/>
  <c r="L429" i="5" l="1"/>
  <c r="M429" i="5" s="1"/>
  <c r="I430" i="5"/>
  <c r="H430" i="5"/>
  <c r="G431" i="5"/>
  <c r="G432" i="5" l="1"/>
  <c r="H431" i="5"/>
  <c r="I431" i="5"/>
  <c r="J431" i="5"/>
  <c r="K431" i="5" s="1"/>
  <c r="J430" i="5"/>
  <c r="K430" i="5" s="1"/>
  <c r="L430" i="5" s="1"/>
  <c r="M430" i="5" s="1"/>
  <c r="L431" i="5" l="1"/>
  <c r="M431" i="5" s="1"/>
  <c r="H432" i="5"/>
  <c r="I432" i="5"/>
  <c r="G433" i="5"/>
  <c r="H433" i="5" l="1"/>
  <c r="I433" i="5"/>
  <c r="G434" i="5"/>
  <c r="J432" i="5"/>
  <c r="K432" i="5" s="1"/>
  <c r="L432" i="5" s="1"/>
  <c r="M432" i="5" s="1"/>
  <c r="J433" i="5" l="1"/>
  <c r="K433" i="5" s="1"/>
  <c r="L433" i="5" s="1"/>
  <c r="M433" i="5" s="1"/>
  <c r="G435" i="5"/>
  <c r="J434" i="5" s="1"/>
  <c r="K434" i="5" s="1"/>
  <c r="I434" i="5"/>
  <c r="H434" i="5"/>
  <c r="L434" i="5" l="1"/>
  <c r="M434" i="5" s="1"/>
  <c r="I435" i="5"/>
  <c r="H435" i="5"/>
  <c r="G436" i="5"/>
  <c r="J435" i="5" s="1"/>
  <c r="K435" i="5" s="1"/>
  <c r="L435" i="5" l="1"/>
  <c r="M435" i="5" s="1"/>
  <c r="H436" i="5"/>
  <c r="G437" i="5"/>
  <c r="I436" i="5"/>
  <c r="H437" i="5" l="1"/>
  <c r="I437" i="5"/>
  <c r="G438" i="5"/>
  <c r="J436" i="5"/>
  <c r="K436" i="5" s="1"/>
  <c r="L436" i="5" s="1"/>
  <c r="M436" i="5" s="1"/>
  <c r="H438" i="5" l="1"/>
  <c r="G439" i="5"/>
  <c r="I438" i="5"/>
  <c r="J437" i="5"/>
  <c r="K437" i="5" s="1"/>
  <c r="L437" i="5" s="1"/>
  <c r="M437" i="5" s="1"/>
  <c r="J438" i="5" l="1"/>
  <c r="K438" i="5" s="1"/>
  <c r="L438" i="5" s="1"/>
  <c r="M438" i="5" s="1"/>
  <c r="H439" i="5"/>
  <c r="I439" i="5"/>
  <c r="G440" i="5"/>
  <c r="J439" i="5" s="1"/>
  <c r="K439" i="5" s="1"/>
  <c r="L439" i="5" s="1"/>
  <c r="M439" i="5" s="1"/>
  <c r="G441" i="5" l="1"/>
  <c r="J440" i="5" s="1"/>
  <c r="K440" i="5" s="1"/>
  <c r="L440" i="5" s="1"/>
  <c r="M440" i="5" s="1"/>
  <c r="H440" i="5"/>
  <c r="I440" i="5"/>
  <c r="H441" i="5" l="1"/>
  <c r="I441" i="5"/>
  <c r="G442" i="5"/>
  <c r="J441" i="5" s="1"/>
  <c r="K441" i="5" s="1"/>
  <c r="L441" i="5" s="1"/>
  <c r="M441" i="5" s="1"/>
  <c r="H442" i="5" l="1"/>
  <c r="G443" i="5"/>
  <c r="J442" i="5" s="1"/>
  <c r="K442" i="5" s="1"/>
  <c r="L442" i="5" s="1"/>
  <c r="M442" i="5" s="1"/>
  <c r="I442" i="5"/>
  <c r="I443" i="5" l="1"/>
  <c r="G444" i="5"/>
  <c r="J443" i="5" s="1"/>
  <c r="K443" i="5" s="1"/>
  <c r="L443" i="5" s="1"/>
  <c r="M443" i="5" s="1"/>
  <c r="H443" i="5"/>
  <c r="H444" i="5" l="1"/>
  <c r="I444" i="5"/>
  <c r="G445" i="5"/>
  <c r="J444" i="5" s="1"/>
  <c r="K444" i="5" s="1"/>
  <c r="L444" i="5" s="1"/>
  <c r="M444" i="5" s="1"/>
  <c r="G446" i="5" l="1"/>
  <c r="H445" i="5"/>
  <c r="I445" i="5"/>
  <c r="J445" i="5"/>
  <c r="K445" i="5" s="1"/>
  <c r="L445" i="5" s="1"/>
  <c r="M445" i="5" s="1"/>
  <c r="G447" i="5" l="1"/>
  <c r="I446" i="5"/>
  <c r="H446" i="5"/>
  <c r="J446" i="5" l="1"/>
  <c r="K446" i="5" s="1"/>
  <c r="L446" i="5" s="1"/>
  <c r="M446" i="5" s="1"/>
  <c r="I447" i="5"/>
  <c r="H447" i="5"/>
  <c r="G448" i="5"/>
  <c r="J447" i="5" s="1"/>
  <c r="K447" i="5" s="1"/>
  <c r="L447" i="5" l="1"/>
  <c r="M447" i="5" s="1"/>
  <c r="H448" i="5"/>
  <c r="I448" i="5"/>
  <c r="G449" i="5"/>
  <c r="J448" i="5" s="1"/>
  <c r="K448" i="5" s="1"/>
  <c r="L448" i="5" s="1"/>
  <c r="M448" i="5" s="1"/>
  <c r="I449" i="5" l="1"/>
  <c r="G450" i="5"/>
  <c r="J449" i="5" s="1"/>
  <c r="K449" i="5" s="1"/>
  <c r="L449" i="5" s="1"/>
  <c r="M449" i="5" s="1"/>
  <c r="H449" i="5"/>
  <c r="I450" i="5" l="1"/>
  <c r="H450" i="5"/>
  <c r="G451" i="5"/>
  <c r="J450" i="5" s="1"/>
  <c r="K450" i="5" s="1"/>
  <c r="L450" i="5" s="1"/>
  <c r="M450" i="5" s="1"/>
  <c r="H451" i="5" l="1"/>
  <c r="G452" i="5"/>
  <c r="I451" i="5"/>
  <c r="J451" i="5" l="1"/>
  <c r="K451" i="5" s="1"/>
  <c r="L451" i="5" s="1"/>
  <c r="M451" i="5" s="1"/>
  <c r="G453" i="5"/>
  <c r="J452" i="5" s="1"/>
  <c r="K452" i="5" s="1"/>
  <c r="L452" i="5" s="1"/>
  <c r="M452" i="5" s="1"/>
  <c r="H452" i="5"/>
  <c r="I452" i="5"/>
  <c r="G454" i="5" l="1"/>
  <c r="J453" i="5" s="1"/>
  <c r="K453" i="5" s="1"/>
  <c r="L453" i="5" s="1"/>
  <c r="M453" i="5" s="1"/>
  <c r="H453" i="5"/>
  <c r="I453" i="5"/>
  <c r="H454" i="5" l="1"/>
  <c r="I454" i="5"/>
  <c r="G455" i="5"/>
  <c r="J454" i="5" s="1"/>
  <c r="K454" i="5" s="1"/>
  <c r="L454" i="5" s="1"/>
  <c r="M454" i="5" s="1"/>
  <c r="I455" i="5" l="1"/>
  <c r="H455" i="5"/>
  <c r="G456" i="5"/>
  <c r="J455" i="5" s="1"/>
  <c r="K455" i="5" s="1"/>
  <c r="L455" i="5" s="1"/>
  <c r="M455" i="5" s="1"/>
  <c r="H456" i="5" l="1"/>
  <c r="I456" i="5"/>
  <c r="G457" i="5"/>
  <c r="G458" i="5" l="1"/>
  <c r="J457" i="5" s="1"/>
  <c r="K457" i="5" s="1"/>
  <c r="I457" i="5"/>
  <c r="H457" i="5"/>
  <c r="J456" i="5"/>
  <c r="K456" i="5" s="1"/>
  <c r="L456" i="5" s="1"/>
  <c r="M456" i="5" s="1"/>
  <c r="L457" i="5" l="1"/>
  <c r="M457" i="5" s="1"/>
  <c r="I458" i="5"/>
  <c r="H458" i="5"/>
  <c r="G459" i="5"/>
  <c r="J458" i="5" s="1"/>
  <c r="K458" i="5" s="1"/>
  <c r="L458" i="5" s="1"/>
  <c r="M458" i="5" s="1"/>
  <c r="G460" i="5" l="1"/>
  <c r="J459" i="5" s="1"/>
  <c r="K459" i="5" s="1"/>
  <c r="L459" i="5" s="1"/>
  <c r="M459" i="5" s="1"/>
  <c r="H459" i="5"/>
  <c r="I459" i="5"/>
  <c r="I460" i="5" l="1"/>
  <c r="H460" i="5"/>
  <c r="G461" i="5"/>
  <c r="J460" i="5" s="1"/>
  <c r="K460" i="5" s="1"/>
  <c r="L460" i="5" s="1"/>
  <c r="M460" i="5" s="1"/>
  <c r="H461" i="5" l="1"/>
  <c r="G462" i="5"/>
  <c r="I461" i="5"/>
  <c r="J461" i="5" l="1"/>
  <c r="K461" i="5" s="1"/>
  <c r="L461" i="5" s="1"/>
  <c r="M461" i="5" s="1"/>
  <c r="H462" i="5"/>
  <c r="G463" i="5"/>
  <c r="J462" i="5" s="1"/>
  <c r="K462" i="5" s="1"/>
  <c r="I462" i="5"/>
  <c r="L462" i="5" l="1"/>
  <c r="M462" i="5" s="1"/>
  <c r="G464" i="5"/>
  <c r="J463" i="5" s="1"/>
  <c r="K463" i="5" s="1"/>
  <c r="L463" i="5" s="1"/>
  <c r="M463" i="5" s="1"/>
  <c r="H463" i="5"/>
  <c r="I463" i="5"/>
  <c r="I464" i="5" l="1"/>
  <c r="H464" i="5"/>
  <c r="G465" i="5"/>
  <c r="I465" i="5" l="1"/>
  <c r="H465" i="5"/>
  <c r="G466" i="5"/>
  <c r="J464" i="5"/>
  <c r="K464" i="5" s="1"/>
  <c r="L464" i="5" s="1"/>
  <c r="M464" i="5" s="1"/>
  <c r="I466" i="5" l="1"/>
  <c r="H466" i="5"/>
  <c r="G467" i="5"/>
  <c r="J465" i="5"/>
  <c r="K465" i="5" s="1"/>
  <c r="L465" i="5" s="1"/>
  <c r="M465" i="5" s="1"/>
  <c r="J466" i="5" l="1"/>
  <c r="K466" i="5" s="1"/>
  <c r="L466" i="5" s="1"/>
  <c r="M466" i="5" s="1"/>
  <c r="I467" i="5"/>
  <c r="G468" i="5"/>
  <c r="J467" i="5" s="1"/>
  <c r="K467" i="5" s="1"/>
  <c r="H467" i="5"/>
  <c r="L467" i="5" l="1"/>
  <c r="M467" i="5" s="1"/>
  <c r="G469" i="5"/>
  <c r="H468" i="5"/>
  <c r="I468" i="5"/>
  <c r="I469" i="5" l="1"/>
  <c r="H469" i="5"/>
  <c r="G470" i="5"/>
  <c r="J468" i="5"/>
  <c r="K468" i="5" s="1"/>
  <c r="L468" i="5" s="1"/>
  <c r="M468" i="5" s="1"/>
  <c r="I470" i="5" l="1"/>
  <c r="H470" i="5"/>
  <c r="G471" i="5"/>
  <c r="J469" i="5"/>
  <c r="K469" i="5" s="1"/>
  <c r="L469" i="5" s="1"/>
  <c r="M469" i="5" s="1"/>
  <c r="H471" i="5" l="1"/>
  <c r="I471" i="5"/>
  <c r="G472" i="5"/>
  <c r="J470" i="5"/>
  <c r="K470" i="5" s="1"/>
  <c r="L470" i="5" s="1"/>
  <c r="M470" i="5" s="1"/>
  <c r="H472" i="5" l="1"/>
  <c r="G473" i="5"/>
  <c r="J472" i="5" s="1"/>
  <c r="K472" i="5" s="1"/>
  <c r="I472" i="5"/>
  <c r="J471" i="5"/>
  <c r="K471" i="5" s="1"/>
  <c r="L471" i="5" s="1"/>
  <c r="M471" i="5" s="1"/>
  <c r="L472" i="5" l="1"/>
  <c r="M472" i="5" s="1"/>
  <c r="I473" i="5"/>
  <c r="G474" i="5"/>
  <c r="J473" i="5" s="1"/>
  <c r="K473" i="5" s="1"/>
  <c r="L473" i="5" s="1"/>
  <c r="M473" i="5" s="1"/>
  <c r="H473" i="5"/>
  <c r="H474" i="5" l="1"/>
  <c r="I474" i="5"/>
  <c r="G475" i="5"/>
  <c r="J474" i="5" s="1"/>
  <c r="K474" i="5" s="1"/>
  <c r="L474" i="5" s="1"/>
  <c r="M474" i="5" s="1"/>
  <c r="I475" i="5" l="1"/>
  <c r="H475" i="5"/>
  <c r="G476" i="5"/>
  <c r="J475" i="5" s="1"/>
  <c r="K475" i="5" s="1"/>
  <c r="L475" i="5" s="1"/>
  <c r="M475" i="5" s="1"/>
  <c r="I476" i="5" l="1"/>
  <c r="G477" i="5"/>
  <c r="J476" i="5" s="1"/>
  <c r="K476" i="5" s="1"/>
  <c r="L476" i="5" s="1"/>
  <c r="M476" i="5" s="1"/>
  <c r="H476" i="5"/>
  <c r="I477" i="5" l="1"/>
  <c r="G478" i="5"/>
  <c r="H477" i="5"/>
  <c r="J477" i="5" l="1"/>
  <c r="K477" i="5" s="1"/>
  <c r="L477" i="5" s="1"/>
  <c r="M477" i="5" s="1"/>
  <c r="G479" i="5"/>
  <c r="H478" i="5"/>
  <c r="I478" i="5"/>
  <c r="J478" i="5"/>
  <c r="K478" i="5" s="1"/>
  <c r="L478" i="5" s="1"/>
  <c r="M478" i="5" s="1"/>
  <c r="I479" i="5" l="1"/>
  <c r="G480" i="5"/>
  <c r="H479" i="5"/>
  <c r="I480" i="5" l="1"/>
  <c r="G481" i="5"/>
  <c r="H480" i="5"/>
  <c r="J479" i="5"/>
  <c r="K479" i="5" s="1"/>
  <c r="L479" i="5" s="1"/>
  <c r="M479" i="5" s="1"/>
  <c r="J480" i="5" l="1"/>
  <c r="K480" i="5" s="1"/>
  <c r="L480" i="5" s="1"/>
  <c r="M480" i="5" s="1"/>
  <c r="H481" i="5"/>
  <c r="G482" i="5"/>
  <c r="J481" i="5" s="1"/>
  <c r="K481" i="5" s="1"/>
  <c r="L481" i="5" s="1"/>
  <c r="M481" i="5" s="1"/>
  <c r="I481" i="5"/>
  <c r="H482" i="5" l="1"/>
  <c r="I482" i="5"/>
  <c r="G483" i="5"/>
  <c r="J482" i="5" s="1"/>
  <c r="K482" i="5" s="1"/>
  <c r="L482" i="5" s="1"/>
  <c r="M482" i="5" s="1"/>
  <c r="I483" i="5" l="1"/>
  <c r="H483" i="5"/>
  <c r="G484" i="5"/>
  <c r="J483" i="5" l="1"/>
  <c r="K483" i="5" s="1"/>
  <c r="L483" i="5" s="1"/>
  <c r="M483" i="5" s="1"/>
  <c r="H484" i="5"/>
  <c r="G485" i="5"/>
  <c r="I484" i="5"/>
  <c r="J484" i="5" l="1"/>
  <c r="K484" i="5" s="1"/>
  <c r="L484" i="5" s="1"/>
  <c r="M484" i="5" s="1"/>
  <c r="H485" i="5"/>
  <c r="G486" i="5"/>
  <c r="I485" i="5"/>
  <c r="J485" i="5" l="1"/>
  <c r="K485" i="5" s="1"/>
  <c r="L485" i="5" s="1"/>
  <c r="M485" i="5" s="1"/>
  <c r="I486" i="5"/>
  <c r="H486" i="5"/>
  <c r="G487" i="5"/>
  <c r="J486" i="5" s="1"/>
  <c r="K486" i="5" s="1"/>
  <c r="L486" i="5" s="1"/>
  <c r="M486" i="5" s="1"/>
  <c r="I487" i="5" l="1"/>
  <c r="H487" i="5"/>
  <c r="G488" i="5"/>
  <c r="J487" i="5" l="1"/>
  <c r="K487" i="5" s="1"/>
  <c r="L487" i="5" s="1"/>
  <c r="M487" i="5" s="1"/>
  <c r="H488" i="5"/>
  <c r="I488" i="5"/>
  <c r="G489" i="5"/>
  <c r="J488" i="5" s="1"/>
  <c r="K488" i="5" s="1"/>
  <c r="L488" i="5" s="1"/>
  <c r="M488" i="5" s="1"/>
  <c r="H489" i="5" l="1"/>
  <c r="I489" i="5"/>
  <c r="G490" i="5"/>
  <c r="J489" i="5" s="1"/>
  <c r="K489" i="5" s="1"/>
  <c r="L489" i="5" s="1"/>
  <c r="M489" i="5" s="1"/>
  <c r="I490" i="5" l="1"/>
  <c r="H490" i="5"/>
  <c r="G491" i="5"/>
  <c r="J490" i="5" s="1"/>
  <c r="K490" i="5" s="1"/>
  <c r="L490" i="5" s="1"/>
  <c r="M490" i="5" s="1"/>
  <c r="G492" i="5" l="1"/>
  <c r="I491" i="5"/>
  <c r="H491" i="5"/>
  <c r="H492" i="5" l="1"/>
  <c r="I492" i="5"/>
  <c r="G493" i="5"/>
  <c r="J492" i="5" s="1"/>
  <c r="K492" i="5" s="1"/>
  <c r="J491" i="5"/>
  <c r="K491" i="5" s="1"/>
  <c r="L491" i="5" s="1"/>
  <c r="M491" i="5" s="1"/>
  <c r="L492" i="5" l="1"/>
  <c r="M492" i="5" s="1"/>
  <c r="G494" i="5"/>
  <c r="H493" i="5"/>
  <c r="I493" i="5"/>
  <c r="J493" i="5" l="1"/>
  <c r="K493" i="5" s="1"/>
  <c r="L493" i="5" s="1"/>
  <c r="M493" i="5" s="1"/>
  <c r="G495" i="5"/>
  <c r="J494" i="5" s="1"/>
  <c r="K494" i="5" s="1"/>
  <c r="L494" i="5" s="1"/>
  <c r="M494" i="5" s="1"/>
  <c r="H494" i="5"/>
  <c r="I494" i="5"/>
  <c r="H495" i="5" l="1"/>
  <c r="I495" i="5"/>
  <c r="G496" i="5"/>
  <c r="J495" i="5" l="1"/>
  <c r="K495" i="5" s="1"/>
  <c r="L495" i="5" s="1"/>
  <c r="M495" i="5" s="1"/>
  <c r="H496" i="5"/>
  <c r="I496" i="5"/>
  <c r="G497" i="5"/>
  <c r="J496" i="5" s="1"/>
  <c r="K496" i="5" s="1"/>
  <c r="L496" i="5" s="1"/>
  <c r="M496" i="5" s="1"/>
  <c r="H497" i="5" l="1"/>
  <c r="G498" i="5"/>
  <c r="J497" i="5" s="1"/>
  <c r="K497" i="5" s="1"/>
  <c r="L497" i="5" s="1"/>
  <c r="M497" i="5" s="1"/>
  <c r="I497" i="5"/>
  <c r="H498" i="5" l="1"/>
  <c r="G499" i="5"/>
  <c r="I498" i="5"/>
  <c r="J498" i="5" l="1"/>
  <c r="K498" i="5" s="1"/>
  <c r="L498" i="5" s="1"/>
  <c r="M498" i="5" s="1"/>
  <c r="H499" i="5"/>
  <c r="I499" i="5"/>
  <c r="G500" i="5"/>
  <c r="J499" i="5" s="1"/>
  <c r="K499" i="5" s="1"/>
  <c r="L499" i="5" l="1"/>
  <c r="M499" i="5" s="1"/>
  <c r="I500" i="5"/>
  <c r="G501" i="5"/>
  <c r="J500" i="5" s="1"/>
  <c r="K500" i="5" s="1"/>
  <c r="L500" i="5" s="1"/>
  <c r="M500" i="5" s="1"/>
  <c r="H500" i="5"/>
  <c r="H501" i="5" l="1"/>
  <c r="G502" i="5"/>
  <c r="I501" i="5"/>
  <c r="H502" i="5" l="1"/>
  <c r="I502" i="5"/>
  <c r="G503" i="5"/>
  <c r="J501" i="5"/>
  <c r="K501" i="5" s="1"/>
  <c r="L501" i="5" s="1"/>
  <c r="M501" i="5" s="1"/>
  <c r="J502" i="5" l="1"/>
  <c r="K502" i="5" s="1"/>
  <c r="L502" i="5" s="1"/>
  <c r="M502" i="5" s="1"/>
  <c r="H503" i="5"/>
  <c r="I503" i="5"/>
  <c r="G504" i="5"/>
  <c r="H504" i="5" l="1"/>
  <c r="I504" i="5"/>
  <c r="G505" i="5"/>
  <c r="J504" i="5" s="1"/>
  <c r="K504" i="5" s="1"/>
  <c r="J503" i="5"/>
  <c r="K503" i="5" s="1"/>
  <c r="L503" i="5" s="1"/>
  <c r="M503" i="5" s="1"/>
  <c r="G506" i="5" l="1"/>
  <c r="I505" i="5"/>
  <c r="H505" i="5"/>
  <c r="L504" i="5"/>
  <c r="M504" i="5" s="1"/>
  <c r="J505" i="5" l="1"/>
  <c r="K505" i="5" s="1"/>
  <c r="L505" i="5" s="1"/>
  <c r="M505" i="5" s="1"/>
  <c r="H506" i="5"/>
  <c r="I506" i="5"/>
  <c r="G507" i="5"/>
  <c r="J506" i="5" l="1"/>
  <c r="K506" i="5" s="1"/>
  <c r="L506" i="5" s="1"/>
  <c r="M506" i="5" s="1"/>
  <c r="I507" i="5"/>
  <c r="G508" i="5"/>
  <c r="H507" i="5"/>
  <c r="G509" i="5" l="1"/>
  <c r="J508" i="5" s="1"/>
  <c r="K508" i="5" s="1"/>
  <c r="I508" i="5"/>
  <c r="H508" i="5"/>
  <c r="J507" i="5"/>
  <c r="K507" i="5" s="1"/>
  <c r="L507" i="5" s="1"/>
  <c r="M507" i="5" s="1"/>
  <c r="L508" i="5" l="1"/>
  <c r="M508" i="5" s="1"/>
  <c r="I509" i="5"/>
  <c r="G510" i="5"/>
  <c r="H509" i="5"/>
  <c r="J509" i="5" l="1"/>
  <c r="K509" i="5" s="1"/>
  <c r="L509" i="5" s="1"/>
  <c r="M509" i="5" s="1"/>
  <c r="H510" i="5"/>
  <c r="I510" i="5"/>
  <c r="G511" i="5"/>
  <c r="H511" i="5" l="1"/>
  <c r="G512" i="5"/>
  <c r="J511" i="5" s="1"/>
  <c r="K511" i="5" s="1"/>
  <c r="I511" i="5"/>
  <c r="J510" i="5"/>
  <c r="K510" i="5" s="1"/>
  <c r="L510" i="5" s="1"/>
  <c r="M510" i="5" s="1"/>
  <c r="L511" i="5" l="1"/>
  <c r="M511" i="5" s="1"/>
  <c r="H512" i="5"/>
  <c r="I512" i="5"/>
  <c r="G513" i="5"/>
  <c r="J512" i="5" s="1"/>
  <c r="K512" i="5" s="1"/>
  <c r="L512" i="5" s="1"/>
  <c r="M512" i="5" s="1"/>
  <c r="H513" i="5" l="1"/>
  <c r="I513" i="5"/>
  <c r="G514" i="5"/>
  <c r="J513" i="5"/>
  <c r="K513" i="5" s="1"/>
  <c r="L513" i="5" s="1"/>
  <c r="M513" i="5" s="1"/>
  <c r="I514" i="5" l="1"/>
  <c r="H514" i="5"/>
  <c r="G515" i="5"/>
  <c r="J514" i="5" s="1"/>
  <c r="K514" i="5" s="1"/>
  <c r="L514" i="5" s="1"/>
  <c r="M514" i="5" s="1"/>
  <c r="I515" i="5" l="1"/>
  <c r="G516" i="5"/>
  <c r="H515" i="5"/>
  <c r="J515" i="5" l="1"/>
  <c r="K515" i="5" s="1"/>
  <c r="L515" i="5" s="1"/>
  <c r="M515" i="5" s="1"/>
  <c r="G517" i="5"/>
  <c r="H516" i="5"/>
  <c r="I516" i="5"/>
  <c r="J516" i="5" l="1"/>
  <c r="K516" i="5" s="1"/>
  <c r="L516" i="5" s="1"/>
  <c r="M516" i="5" s="1"/>
  <c r="G518" i="5"/>
  <c r="H517" i="5"/>
  <c r="I517" i="5"/>
  <c r="J517" i="5" s="1"/>
  <c r="K517" i="5" s="1"/>
  <c r="L517" i="5" s="1"/>
  <c r="M517" i="5" s="1"/>
  <c r="H518" i="5" l="1"/>
  <c r="I518" i="5"/>
  <c r="G519" i="5"/>
  <c r="J518" i="5" s="1"/>
  <c r="K518" i="5" s="1"/>
  <c r="L518" i="5" s="1"/>
  <c r="M518" i="5" s="1"/>
  <c r="I519" i="5" l="1"/>
  <c r="H519" i="5"/>
  <c r="G520" i="5"/>
  <c r="I520" i="5" l="1"/>
  <c r="G521" i="5"/>
  <c r="J520" i="5" s="1"/>
  <c r="K520" i="5" s="1"/>
  <c r="H520" i="5"/>
  <c r="J519" i="5"/>
  <c r="K519" i="5" s="1"/>
  <c r="L519" i="5" s="1"/>
  <c r="M519" i="5" s="1"/>
  <c r="L520" i="5" l="1"/>
  <c r="M520" i="5" s="1"/>
  <c r="H521" i="5"/>
  <c r="I521" i="5"/>
  <c r="G522" i="5"/>
  <c r="J521" i="5" s="1"/>
  <c r="K521" i="5" s="1"/>
  <c r="L521" i="5" s="1"/>
  <c r="M521" i="5" s="1"/>
  <c r="H522" i="5" l="1"/>
  <c r="I522" i="5"/>
  <c r="G523" i="5"/>
  <c r="J522" i="5" s="1"/>
  <c r="K522" i="5" s="1"/>
  <c r="L522" i="5" s="1"/>
  <c r="M522" i="5" s="1"/>
  <c r="I523" i="5" l="1"/>
  <c r="H523" i="5"/>
  <c r="G524" i="5"/>
  <c r="I524" i="5" l="1"/>
  <c r="G525" i="5"/>
  <c r="J524" i="5" s="1"/>
  <c r="K524" i="5" s="1"/>
  <c r="H524" i="5"/>
  <c r="J523" i="5"/>
  <c r="K523" i="5" s="1"/>
  <c r="L523" i="5" s="1"/>
  <c r="M523" i="5" s="1"/>
  <c r="L524" i="5" l="1"/>
  <c r="M524" i="5" s="1"/>
  <c r="H525" i="5"/>
  <c r="I525" i="5"/>
  <c r="G526" i="5"/>
  <c r="J525" i="5" l="1"/>
  <c r="K525" i="5" s="1"/>
  <c r="L525" i="5" s="1"/>
  <c r="M525" i="5" s="1"/>
  <c r="I526" i="5"/>
  <c r="G527" i="5"/>
  <c r="H526" i="5"/>
  <c r="J526" i="5" l="1"/>
  <c r="K526" i="5" s="1"/>
  <c r="L526" i="5" s="1"/>
  <c r="M526" i="5" s="1"/>
  <c r="H527" i="5"/>
  <c r="I527" i="5"/>
  <c r="G528" i="5"/>
  <c r="J527" i="5" s="1"/>
  <c r="K527" i="5" s="1"/>
  <c r="L527" i="5" s="1"/>
  <c r="M527" i="5" s="1"/>
  <c r="I528" i="5" l="1"/>
  <c r="G529" i="5"/>
  <c r="H528" i="5"/>
  <c r="J528" i="5"/>
  <c r="K528" i="5" s="1"/>
  <c r="L528" i="5" s="1"/>
  <c r="M528" i="5" s="1"/>
  <c r="H529" i="5" l="1"/>
  <c r="G530" i="5"/>
  <c r="I529" i="5"/>
  <c r="J529" i="5"/>
  <c r="K529" i="5" s="1"/>
  <c r="L529" i="5" s="1"/>
  <c r="M529" i="5" s="1"/>
  <c r="I530" i="5" l="1"/>
  <c r="G531" i="5"/>
  <c r="H530" i="5"/>
  <c r="J530" i="5" l="1"/>
  <c r="K530" i="5" s="1"/>
  <c r="L530" i="5" s="1"/>
  <c r="M530" i="5" s="1"/>
  <c r="I531" i="5"/>
  <c r="G532" i="5"/>
  <c r="H531" i="5"/>
  <c r="J531" i="5" l="1"/>
  <c r="K531" i="5" s="1"/>
  <c r="L531" i="5" s="1"/>
  <c r="M531" i="5" s="1"/>
  <c r="I532" i="5"/>
  <c r="H532" i="5"/>
  <c r="G533" i="5"/>
  <c r="J532" i="5" s="1"/>
  <c r="K532" i="5" s="1"/>
  <c r="L532" i="5" l="1"/>
  <c r="M532" i="5" s="1"/>
  <c r="I533" i="5"/>
  <c r="G534" i="5"/>
  <c r="J533" i="5" s="1"/>
  <c r="K533" i="5" s="1"/>
  <c r="L533" i="5" s="1"/>
  <c r="M533" i="5" s="1"/>
  <c r="H533" i="5"/>
  <c r="H534" i="5" l="1"/>
  <c r="G535" i="5"/>
  <c r="J534" i="5" s="1"/>
  <c r="K534" i="5" s="1"/>
  <c r="L534" i="5" s="1"/>
  <c r="M534" i="5" s="1"/>
  <c r="I534" i="5"/>
  <c r="I535" i="5" l="1"/>
  <c r="H535" i="5"/>
  <c r="G536" i="5"/>
  <c r="J535" i="5" l="1"/>
  <c r="K535" i="5" s="1"/>
  <c r="L535" i="5" s="1"/>
  <c r="M535" i="5" s="1"/>
  <c r="H536" i="5"/>
  <c r="I536" i="5"/>
  <c r="G537" i="5"/>
  <c r="J536" i="5" s="1"/>
  <c r="K536" i="5" s="1"/>
  <c r="L536" i="5" l="1"/>
  <c r="M536" i="5" s="1"/>
  <c r="H537" i="5"/>
  <c r="I537" i="5"/>
  <c r="G538" i="5"/>
  <c r="J537" i="5" l="1"/>
  <c r="K537" i="5" s="1"/>
  <c r="L537" i="5" s="1"/>
  <c r="M537" i="5" s="1"/>
  <c r="G539" i="5"/>
  <c r="J538" i="5" s="1"/>
  <c r="K538" i="5" s="1"/>
  <c r="L538" i="5" s="1"/>
  <c r="M538" i="5" s="1"/>
  <c r="H538" i="5"/>
  <c r="I538" i="5"/>
  <c r="I539" i="5" l="1"/>
  <c r="H539" i="5"/>
  <c r="G540" i="5"/>
  <c r="J539" i="5" l="1"/>
  <c r="K539" i="5" s="1"/>
  <c r="L539" i="5" s="1"/>
  <c r="M539" i="5" s="1"/>
  <c r="H540" i="5"/>
  <c r="I540" i="5"/>
  <c r="G541" i="5"/>
  <c r="J540" i="5" s="1"/>
  <c r="K540" i="5" s="1"/>
  <c r="L540" i="5" l="1"/>
  <c r="M540" i="5" s="1"/>
  <c r="I541" i="5"/>
  <c r="H541" i="5"/>
  <c r="G542" i="5"/>
  <c r="H542" i="5" l="1"/>
  <c r="G543" i="5"/>
  <c r="I542" i="5"/>
  <c r="J541" i="5"/>
  <c r="K541" i="5" s="1"/>
  <c r="L541" i="5" s="1"/>
  <c r="M541" i="5" s="1"/>
  <c r="J542" i="5" l="1"/>
  <c r="K542" i="5" s="1"/>
  <c r="L542" i="5" s="1"/>
  <c r="M542" i="5" s="1"/>
  <c r="I543" i="5"/>
  <c r="G544" i="5"/>
  <c r="J543" i="5" s="1"/>
  <c r="K543" i="5" s="1"/>
  <c r="H543" i="5"/>
  <c r="L543" i="5" l="1"/>
  <c r="M543" i="5" s="1"/>
  <c r="G545" i="5"/>
  <c r="H544" i="5"/>
  <c r="I544" i="5"/>
  <c r="J544" i="5" s="1"/>
  <c r="K544" i="5" s="1"/>
  <c r="L544" i="5" s="1"/>
  <c r="M544" i="5" s="1"/>
  <c r="H545" i="5" l="1"/>
  <c r="I545" i="5"/>
  <c r="G546" i="5"/>
  <c r="J545" i="5" s="1"/>
  <c r="K545" i="5" s="1"/>
  <c r="L545" i="5" s="1"/>
  <c r="M545" i="5" s="1"/>
  <c r="I546" i="5" l="1"/>
  <c r="H546" i="5"/>
  <c r="G547" i="5"/>
  <c r="J546" i="5" l="1"/>
  <c r="K546" i="5" s="1"/>
  <c r="L546" i="5" s="1"/>
  <c r="M546" i="5" s="1"/>
  <c r="I547" i="5"/>
  <c r="G548" i="5"/>
  <c r="J547" i="5" s="1"/>
  <c r="K547" i="5" s="1"/>
  <c r="L547" i="5" s="1"/>
  <c r="M547" i="5" s="1"/>
  <c r="H547" i="5"/>
  <c r="H548" i="5" l="1"/>
  <c r="I548" i="5"/>
  <c r="G549" i="5"/>
  <c r="J548" i="5" l="1"/>
  <c r="K548" i="5" s="1"/>
  <c r="L548" i="5" s="1"/>
  <c r="M548" i="5" s="1"/>
  <c r="I549" i="5"/>
  <c r="H549" i="5"/>
  <c r="G550" i="5"/>
  <c r="J549" i="5" l="1"/>
  <c r="K549" i="5" s="1"/>
  <c r="L549" i="5" s="1"/>
  <c r="M549" i="5" s="1"/>
  <c r="G551" i="5"/>
  <c r="H550" i="5"/>
  <c r="I550" i="5"/>
  <c r="J550" i="5" l="1"/>
  <c r="K550" i="5" s="1"/>
  <c r="L550" i="5" s="1"/>
  <c r="M550" i="5" s="1"/>
  <c r="G552" i="5"/>
  <c r="J551" i="5" s="1"/>
  <c r="K551" i="5" s="1"/>
  <c r="L551" i="5" s="1"/>
  <c r="M551" i="5" s="1"/>
  <c r="I551" i="5"/>
  <c r="H551" i="5"/>
  <c r="H552" i="5" l="1"/>
  <c r="I552" i="5"/>
  <c r="G553" i="5"/>
  <c r="J552" i="5" s="1"/>
  <c r="K552" i="5" s="1"/>
  <c r="L552" i="5" s="1"/>
  <c r="M552" i="5" s="1"/>
  <c r="H553" i="5" l="1"/>
  <c r="I553" i="5"/>
  <c r="G554" i="5"/>
  <c r="J553" i="5" s="1"/>
  <c r="K553" i="5" s="1"/>
  <c r="L553" i="5" s="1"/>
  <c r="M553" i="5" s="1"/>
  <c r="H554" i="5" l="1"/>
  <c r="I554" i="5"/>
  <c r="G555" i="5"/>
  <c r="J554" i="5" l="1"/>
  <c r="K554" i="5" s="1"/>
  <c r="L554" i="5" s="1"/>
  <c r="M554" i="5" s="1"/>
  <c r="H555" i="5"/>
  <c r="G556" i="5"/>
  <c r="J555" i="5" s="1"/>
  <c r="K555" i="5" s="1"/>
  <c r="I555" i="5"/>
  <c r="L555" i="5" l="1"/>
  <c r="M555" i="5" s="1"/>
  <c r="H556" i="5"/>
  <c r="I556" i="5"/>
  <c r="G557" i="5"/>
  <c r="J556" i="5" l="1"/>
  <c r="K556" i="5" s="1"/>
  <c r="L556" i="5" s="1"/>
  <c r="M556" i="5" s="1"/>
  <c r="H557" i="5"/>
  <c r="G558" i="5"/>
  <c r="J557" i="5" s="1"/>
  <c r="K557" i="5" s="1"/>
  <c r="I557" i="5"/>
  <c r="L557" i="5" l="1"/>
  <c r="M557" i="5" s="1"/>
  <c r="I558" i="5"/>
  <c r="H558" i="5"/>
  <c r="G559" i="5"/>
  <c r="J558" i="5" l="1"/>
  <c r="K558" i="5" s="1"/>
  <c r="L558" i="5" s="1"/>
  <c r="M558" i="5" s="1"/>
  <c r="I559" i="5"/>
  <c r="G560" i="5"/>
  <c r="J559" i="5" s="1"/>
  <c r="K559" i="5" s="1"/>
  <c r="L559" i="5" s="1"/>
  <c r="M559" i="5" s="1"/>
  <c r="H559" i="5"/>
  <c r="H560" i="5" l="1"/>
  <c r="I560" i="5"/>
  <c r="G561" i="5"/>
  <c r="J560" i="5" l="1"/>
  <c r="K560" i="5" s="1"/>
  <c r="L560" i="5" s="1"/>
  <c r="M560" i="5" s="1"/>
  <c r="H561" i="5"/>
  <c r="I561" i="5"/>
  <c r="G562" i="5"/>
  <c r="H562" i="5" l="1"/>
  <c r="I562" i="5"/>
  <c r="G563" i="5"/>
  <c r="J562" i="5" s="1"/>
  <c r="K562" i="5" s="1"/>
  <c r="J561" i="5"/>
  <c r="K561" i="5" s="1"/>
  <c r="L561" i="5" s="1"/>
  <c r="M561" i="5" s="1"/>
  <c r="L562" i="5" l="1"/>
  <c r="M562" i="5" s="1"/>
  <c r="G564" i="5"/>
  <c r="H563" i="5"/>
  <c r="I563" i="5"/>
  <c r="J563" i="5" l="1"/>
  <c r="K563" i="5" s="1"/>
  <c r="L563" i="5" s="1"/>
  <c r="M563" i="5" s="1"/>
  <c r="I564" i="5"/>
  <c r="H564" i="5"/>
  <c r="G565" i="5"/>
  <c r="J564" i="5" l="1"/>
  <c r="K564" i="5" s="1"/>
  <c r="L564" i="5" s="1"/>
  <c r="M564" i="5" s="1"/>
  <c r="H565" i="5"/>
  <c r="G566" i="5"/>
  <c r="J565" i="5" s="1"/>
  <c r="K565" i="5" s="1"/>
  <c r="I565" i="5"/>
  <c r="L565" i="5" l="1"/>
  <c r="M565" i="5" s="1"/>
  <c r="H566" i="5"/>
  <c r="I566" i="5"/>
  <c r="G567" i="5"/>
  <c r="I567" i="5" l="1"/>
  <c r="G568" i="5"/>
  <c r="J567" i="5" s="1"/>
  <c r="K567" i="5" s="1"/>
  <c r="H567" i="5"/>
  <c r="J566" i="5"/>
  <c r="K566" i="5" s="1"/>
  <c r="L566" i="5" s="1"/>
  <c r="M566" i="5" s="1"/>
  <c r="H568" i="5" l="1"/>
  <c r="I568" i="5"/>
  <c r="G569" i="5"/>
  <c r="L567" i="5"/>
  <c r="M567" i="5" s="1"/>
  <c r="J568" i="5" l="1"/>
  <c r="K568" i="5" s="1"/>
  <c r="L568" i="5" s="1"/>
  <c r="M568" i="5" s="1"/>
  <c r="G570" i="5"/>
  <c r="J569" i="5" s="1"/>
  <c r="K569" i="5" s="1"/>
  <c r="H569" i="5"/>
  <c r="I569" i="5"/>
  <c r="L569" i="5" l="1"/>
  <c r="M569" i="5" s="1"/>
  <c r="H570" i="5"/>
  <c r="I570" i="5"/>
  <c r="G571" i="5"/>
  <c r="J570" i="5" s="1"/>
  <c r="K570" i="5" s="1"/>
  <c r="L570" i="5" s="1"/>
  <c r="M570" i="5" s="1"/>
  <c r="G572" i="5" l="1"/>
  <c r="J571" i="5" s="1"/>
  <c r="K571" i="5" s="1"/>
  <c r="L571" i="5" s="1"/>
  <c r="M571" i="5" s="1"/>
  <c r="H571" i="5"/>
  <c r="I571" i="5"/>
  <c r="H572" i="5" l="1"/>
  <c r="I572" i="5"/>
  <c r="G573" i="5"/>
  <c r="J572" i="5" s="1"/>
  <c r="K572" i="5" s="1"/>
  <c r="L572" i="5" s="1"/>
  <c r="M572" i="5" s="1"/>
  <c r="I573" i="5" l="1"/>
  <c r="G574" i="5"/>
  <c r="H573" i="5"/>
  <c r="I574" i="5" l="1"/>
  <c r="H574" i="5"/>
  <c r="G575" i="5"/>
  <c r="J573" i="5"/>
  <c r="K573" i="5" s="1"/>
  <c r="L573" i="5" s="1"/>
  <c r="M573" i="5" s="1"/>
  <c r="H575" i="5" l="1"/>
  <c r="I575" i="5"/>
  <c r="G576" i="5"/>
  <c r="J574" i="5"/>
  <c r="K574" i="5" s="1"/>
  <c r="L574" i="5" s="1"/>
  <c r="M574" i="5" s="1"/>
  <c r="H576" i="5" l="1"/>
  <c r="I576" i="5"/>
  <c r="G577" i="5"/>
  <c r="J576" i="5" s="1"/>
  <c r="K576" i="5" s="1"/>
  <c r="J575" i="5"/>
  <c r="K575" i="5" s="1"/>
  <c r="L575" i="5" s="1"/>
  <c r="M575" i="5" s="1"/>
  <c r="L576" i="5" l="1"/>
  <c r="M576" i="5" s="1"/>
  <c r="I577" i="5"/>
  <c r="G578" i="5"/>
  <c r="J577" i="5" s="1"/>
  <c r="K577" i="5" s="1"/>
  <c r="H577" i="5"/>
  <c r="L577" i="5" l="1"/>
  <c r="M577" i="5" s="1"/>
  <c r="H578" i="5"/>
  <c r="I578" i="5"/>
  <c r="G579" i="5"/>
  <c r="J578" i="5" s="1"/>
  <c r="K578" i="5" s="1"/>
  <c r="L578" i="5" s="1"/>
  <c r="M578" i="5" s="1"/>
  <c r="G580" i="5" l="1"/>
  <c r="H579" i="5"/>
  <c r="I579" i="5"/>
  <c r="I580" i="5" l="1"/>
  <c r="H580" i="5"/>
  <c r="G581" i="5"/>
  <c r="J579" i="5"/>
  <c r="K579" i="5" s="1"/>
  <c r="L579" i="5" s="1"/>
  <c r="M579" i="5" s="1"/>
  <c r="H581" i="5" l="1"/>
  <c r="G582" i="5"/>
  <c r="I581" i="5"/>
  <c r="J580" i="5"/>
  <c r="K580" i="5" s="1"/>
  <c r="L580" i="5" s="1"/>
  <c r="M580" i="5" s="1"/>
  <c r="J581" i="5" l="1"/>
  <c r="K581" i="5" s="1"/>
  <c r="L581" i="5" s="1"/>
  <c r="M581" i="5" s="1"/>
  <c r="G583" i="5"/>
  <c r="J582" i="5" s="1"/>
  <c r="K582" i="5" s="1"/>
  <c r="H582" i="5"/>
  <c r="I582" i="5"/>
  <c r="L582" i="5" l="1"/>
  <c r="M582" i="5" s="1"/>
  <c r="H583" i="5"/>
  <c r="G584" i="5"/>
  <c r="I583" i="5"/>
  <c r="J583" i="5" l="1"/>
  <c r="K583" i="5" s="1"/>
  <c r="L583" i="5" s="1"/>
  <c r="M583" i="5" s="1"/>
  <c r="I584" i="5"/>
  <c r="G585" i="5"/>
  <c r="J584" i="5" s="1"/>
  <c r="K584" i="5" s="1"/>
  <c r="L584" i="5" s="1"/>
  <c r="M584" i="5" s="1"/>
  <c r="H584" i="5"/>
  <c r="H585" i="5" l="1"/>
  <c r="I585" i="5"/>
  <c r="G586" i="5"/>
  <c r="J585" i="5" s="1"/>
  <c r="K585" i="5" s="1"/>
  <c r="L585" i="5" s="1"/>
  <c r="M585" i="5" s="1"/>
  <c r="G587" i="5" l="1"/>
  <c r="J586" i="5" s="1"/>
  <c r="K586" i="5" s="1"/>
  <c r="L586" i="5" s="1"/>
  <c r="M586" i="5" s="1"/>
  <c r="I586" i="5"/>
  <c r="H586" i="5"/>
  <c r="I587" i="5" l="1"/>
  <c r="G588" i="5"/>
  <c r="H587" i="5"/>
  <c r="G589" i="5" l="1"/>
  <c r="H588" i="5"/>
  <c r="I588" i="5"/>
  <c r="J587" i="5"/>
  <c r="K587" i="5" s="1"/>
  <c r="L587" i="5" s="1"/>
  <c r="M587" i="5" s="1"/>
  <c r="J588" i="5" l="1"/>
  <c r="K588" i="5" s="1"/>
  <c r="L588" i="5" s="1"/>
  <c r="M588" i="5" s="1"/>
  <c r="H589" i="5"/>
  <c r="I589" i="5"/>
  <c r="G590" i="5"/>
  <c r="I590" i="5" l="1"/>
  <c r="H590" i="5"/>
  <c r="G591" i="5"/>
  <c r="J589" i="5"/>
  <c r="K589" i="5" s="1"/>
  <c r="L589" i="5" s="1"/>
  <c r="M589" i="5" s="1"/>
  <c r="G592" i="5" l="1"/>
  <c r="J591" i="5" s="1"/>
  <c r="K591" i="5" s="1"/>
  <c r="H591" i="5"/>
  <c r="I591" i="5"/>
  <c r="J590" i="5"/>
  <c r="K590" i="5" s="1"/>
  <c r="L590" i="5" s="1"/>
  <c r="M590" i="5" s="1"/>
  <c r="L591" i="5" l="1"/>
  <c r="M591" i="5" s="1"/>
  <c r="H592" i="5"/>
  <c r="G593" i="5"/>
  <c r="I592" i="5"/>
  <c r="J592" i="5" l="1"/>
  <c r="K592" i="5" s="1"/>
  <c r="L592" i="5" s="1"/>
  <c r="M592" i="5" s="1"/>
  <c r="I593" i="5"/>
  <c r="H593" i="5"/>
  <c r="G594" i="5"/>
  <c r="J593" i="5" s="1"/>
  <c r="K593" i="5" s="1"/>
  <c r="L593" i="5" l="1"/>
  <c r="M593" i="5" s="1"/>
  <c r="I594" i="5"/>
  <c r="H594" i="5"/>
  <c r="G595" i="5"/>
  <c r="J594" i="5" s="1"/>
  <c r="K594" i="5" s="1"/>
  <c r="L594" i="5" l="1"/>
  <c r="M594" i="5" s="1"/>
  <c r="G596" i="5"/>
  <c r="J595" i="5" s="1"/>
  <c r="K595" i="5" s="1"/>
  <c r="L595" i="5" s="1"/>
  <c r="M595" i="5" s="1"/>
  <c r="I595" i="5"/>
  <c r="H595" i="5"/>
  <c r="H596" i="5" l="1"/>
  <c r="G597" i="5"/>
  <c r="I596" i="5"/>
  <c r="J596" i="5" l="1"/>
  <c r="K596" i="5" s="1"/>
  <c r="L596" i="5" s="1"/>
  <c r="M596" i="5" s="1"/>
  <c r="H597" i="5"/>
  <c r="I597" i="5"/>
  <c r="G598" i="5"/>
  <c r="J597" i="5" s="1"/>
  <c r="K597" i="5" s="1"/>
  <c r="L597" i="5" s="1"/>
  <c r="M597" i="5" s="1"/>
  <c r="G599" i="5" l="1"/>
  <c r="I598" i="5"/>
  <c r="H598" i="5"/>
  <c r="J598" i="5"/>
  <c r="K598" i="5" s="1"/>
  <c r="L598" i="5" s="1"/>
  <c r="M598" i="5" s="1"/>
  <c r="G600" i="5" l="1"/>
  <c r="I599" i="5"/>
  <c r="H599" i="5"/>
  <c r="J599" i="5"/>
  <c r="K599" i="5" s="1"/>
  <c r="L599" i="5" s="1"/>
  <c r="M599" i="5" s="1"/>
  <c r="H600" i="5" l="1"/>
  <c r="I600" i="5"/>
  <c r="G601" i="5"/>
  <c r="J600" i="5" s="1"/>
  <c r="K600" i="5" s="1"/>
  <c r="L600" i="5" s="1"/>
  <c r="M600" i="5" s="1"/>
  <c r="H601" i="5" l="1"/>
  <c r="I601" i="5"/>
  <c r="G602" i="5"/>
  <c r="J601" i="5" s="1"/>
  <c r="K601" i="5" s="1"/>
  <c r="L601" i="5" s="1"/>
  <c r="M601" i="5" s="1"/>
  <c r="H602" i="5" l="1"/>
  <c r="I602" i="5"/>
  <c r="G603" i="5"/>
  <c r="J602" i="5" l="1"/>
  <c r="K602" i="5" s="1"/>
  <c r="L602" i="5" s="1"/>
  <c r="M602" i="5" s="1"/>
  <c r="I603" i="5"/>
  <c r="H603" i="5"/>
  <c r="G604" i="5"/>
  <c r="J603" i="5" l="1"/>
  <c r="K603" i="5" s="1"/>
  <c r="L603" i="5" s="1"/>
  <c r="M603" i="5" s="1"/>
  <c r="G605" i="5"/>
  <c r="H604" i="5"/>
  <c r="I604" i="5"/>
  <c r="H605" i="5" l="1"/>
  <c r="G606" i="5"/>
  <c r="J605" i="5" s="1"/>
  <c r="K605" i="5" s="1"/>
  <c r="I605" i="5"/>
  <c r="J604" i="5"/>
  <c r="K604" i="5" s="1"/>
  <c r="L604" i="5" s="1"/>
  <c r="M604" i="5" s="1"/>
  <c r="L605" i="5" l="1"/>
  <c r="M605" i="5" s="1"/>
  <c r="H606" i="5"/>
  <c r="G607" i="5"/>
  <c r="J606" i="5" s="1"/>
  <c r="K606" i="5" s="1"/>
  <c r="L606" i="5" s="1"/>
  <c r="M606" i="5" s="1"/>
  <c r="I606" i="5"/>
  <c r="H607" i="5" l="1"/>
  <c r="I607" i="5"/>
  <c r="G608" i="5"/>
  <c r="J607" i="5" l="1"/>
  <c r="K607" i="5" s="1"/>
  <c r="L607" i="5" s="1"/>
  <c r="M607" i="5" s="1"/>
  <c r="H608" i="5"/>
  <c r="I608" i="5"/>
  <c r="G609" i="5"/>
  <c r="J608" i="5" s="1"/>
  <c r="K608" i="5" s="1"/>
  <c r="L608" i="5" s="1"/>
  <c r="M608" i="5" s="1"/>
  <c r="H609" i="5" l="1"/>
  <c r="I609" i="5"/>
  <c r="G610" i="5"/>
  <c r="J609" i="5" s="1"/>
  <c r="K609" i="5" s="1"/>
  <c r="L609" i="5" s="1"/>
  <c r="M609" i="5" s="1"/>
  <c r="H610" i="5" l="1"/>
  <c r="I610" i="5"/>
  <c r="G611" i="5"/>
  <c r="J610" i="5" s="1"/>
  <c r="K610" i="5" s="1"/>
  <c r="L610" i="5" s="1"/>
  <c r="M610" i="5" s="1"/>
  <c r="H611" i="5" l="1"/>
  <c r="I611" i="5"/>
  <c r="G612" i="5"/>
  <c r="J611" i="5" l="1"/>
  <c r="K611" i="5" s="1"/>
  <c r="L611" i="5" s="1"/>
  <c r="M611" i="5" s="1"/>
  <c r="H612" i="5"/>
  <c r="I612" i="5"/>
  <c r="G613" i="5"/>
  <c r="J612" i="5" s="1"/>
  <c r="K612" i="5" s="1"/>
  <c r="L612" i="5" s="1"/>
  <c r="M612" i="5" s="1"/>
  <c r="H613" i="5" l="1"/>
  <c r="I613" i="5"/>
  <c r="G614" i="5"/>
  <c r="J613" i="5" s="1"/>
  <c r="K613" i="5" s="1"/>
  <c r="L613" i="5" s="1"/>
  <c r="M613" i="5" s="1"/>
  <c r="H614" i="5" l="1"/>
  <c r="I614" i="5"/>
  <c r="G615" i="5"/>
  <c r="H615" i="5" l="1"/>
  <c r="I615" i="5"/>
  <c r="G616" i="5"/>
  <c r="J614" i="5"/>
  <c r="K614" i="5" s="1"/>
  <c r="L614" i="5" s="1"/>
  <c r="M614" i="5" s="1"/>
  <c r="H616" i="5" l="1"/>
  <c r="I616" i="5"/>
  <c r="G617" i="5"/>
  <c r="J615" i="5"/>
  <c r="K615" i="5" s="1"/>
  <c r="L615" i="5" s="1"/>
  <c r="M615" i="5" s="1"/>
  <c r="H617" i="5" l="1"/>
  <c r="I617" i="5"/>
  <c r="G618" i="5"/>
  <c r="J616" i="5"/>
  <c r="K616" i="5" s="1"/>
  <c r="L616" i="5" s="1"/>
  <c r="M616" i="5" s="1"/>
  <c r="J617" i="5" l="1"/>
  <c r="K617" i="5" s="1"/>
  <c r="L617" i="5" s="1"/>
  <c r="M617" i="5" s="1"/>
  <c r="G619" i="5"/>
  <c r="H618" i="5"/>
  <c r="I618" i="5"/>
  <c r="J618" i="5" l="1"/>
  <c r="K618" i="5" s="1"/>
  <c r="L618" i="5" s="1"/>
  <c r="M618" i="5" s="1"/>
  <c r="I619" i="5"/>
  <c r="H619" i="5"/>
  <c r="G620" i="5"/>
  <c r="H620" i="5" l="1"/>
  <c r="G621" i="5"/>
  <c r="J620" i="5" s="1"/>
  <c r="K620" i="5" s="1"/>
  <c r="I620" i="5"/>
  <c r="J619" i="5"/>
  <c r="K619" i="5" s="1"/>
  <c r="L619" i="5" s="1"/>
  <c r="M619" i="5" s="1"/>
  <c r="L620" i="5" l="1"/>
  <c r="M620" i="5" s="1"/>
  <c r="I621" i="5"/>
  <c r="H621" i="5"/>
  <c r="G622" i="5"/>
  <c r="J621" i="5" s="1"/>
  <c r="K621" i="5" s="1"/>
  <c r="L621" i="5" s="1"/>
  <c r="M621" i="5" s="1"/>
  <c r="I622" i="5" l="1"/>
  <c r="G623" i="5"/>
  <c r="H622" i="5"/>
  <c r="J622" i="5" l="1"/>
  <c r="K622" i="5" s="1"/>
  <c r="L622" i="5" s="1"/>
  <c r="M622" i="5" s="1"/>
  <c r="H623" i="5"/>
  <c r="G624" i="5"/>
  <c r="J623" i="5" s="1"/>
  <c r="K623" i="5" s="1"/>
  <c r="I623" i="5"/>
  <c r="L623" i="5" l="1"/>
  <c r="M623" i="5" s="1"/>
  <c r="I624" i="5"/>
  <c r="H624" i="5"/>
  <c r="G625" i="5"/>
  <c r="G626" i="5" l="1"/>
  <c r="J625" i="5" s="1"/>
  <c r="K625" i="5" s="1"/>
  <c r="I625" i="5"/>
  <c r="H625" i="5"/>
  <c r="J624" i="5"/>
  <c r="K624" i="5" s="1"/>
  <c r="L624" i="5" s="1"/>
  <c r="M624" i="5" s="1"/>
  <c r="L625" i="5" l="1"/>
  <c r="M625" i="5" s="1"/>
  <c r="I626" i="5"/>
  <c r="H626" i="5"/>
  <c r="G627" i="5"/>
  <c r="J626" i="5" s="1"/>
  <c r="K626" i="5" s="1"/>
  <c r="L626" i="5" s="1"/>
  <c r="M626" i="5" s="1"/>
  <c r="G628" i="5" l="1"/>
  <c r="I627" i="5"/>
  <c r="H627" i="5"/>
  <c r="J627" i="5" l="1"/>
  <c r="K627" i="5" s="1"/>
  <c r="L627" i="5" s="1"/>
  <c r="M627" i="5" s="1"/>
  <c r="G629" i="5"/>
  <c r="I628" i="5"/>
  <c r="H628" i="5"/>
  <c r="J628" i="5"/>
  <c r="K628" i="5" s="1"/>
  <c r="L628" i="5" s="1"/>
  <c r="M628" i="5" s="1"/>
  <c r="H629" i="5" l="1"/>
  <c r="I629" i="5"/>
  <c r="G630" i="5"/>
  <c r="I630" i="5" l="1"/>
  <c r="G631" i="5"/>
  <c r="H630" i="5"/>
  <c r="J629" i="5"/>
  <c r="K629" i="5" s="1"/>
  <c r="L629" i="5" s="1"/>
  <c r="M629" i="5" s="1"/>
  <c r="J630" i="5" l="1"/>
  <c r="K630" i="5" s="1"/>
  <c r="L630" i="5" s="1"/>
  <c r="M630" i="5" s="1"/>
  <c r="I631" i="5"/>
  <c r="G632" i="5"/>
  <c r="H631" i="5"/>
  <c r="J631" i="5" l="1"/>
  <c r="K631" i="5" s="1"/>
  <c r="L631" i="5" s="1"/>
  <c r="M631" i="5" s="1"/>
  <c r="I632" i="5"/>
  <c r="G633" i="5"/>
  <c r="H632" i="5"/>
  <c r="G634" i="5" l="1"/>
  <c r="I633" i="5"/>
  <c r="H633" i="5"/>
  <c r="J633" i="5"/>
  <c r="K633" i="5" s="1"/>
  <c r="J632" i="5"/>
  <c r="K632" i="5" s="1"/>
  <c r="L632" i="5" s="1"/>
  <c r="M632" i="5" s="1"/>
  <c r="L633" i="5" l="1"/>
  <c r="M633" i="5" s="1"/>
  <c r="G635" i="5"/>
  <c r="J634" i="5" s="1"/>
  <c r="K634" i="5" s="1"/>
  <c r="L634" i="5" s="1"/>
  <c r="M634" i="5" s="1"/>
  <c r="I634" i="5"/>
  <c r="H634" i="5"/>
  <c r="I635" i="5" l="1"/>
  <c r="H635" i="5"/>
  <c r="G636" i="5"/>
  <c r="H636" i="5" l="1"/>
  <c r="G637" i="5"/>
  <c r="I636" i="5"/>
  <c r="J635" i="5"/>
  <c r="K635" i="5" s="1"/>
  <c r="L635" i="5" s="1"/>
  <c r="M635" i="5" s="1"/>
  <c r="G638" i="5" l="1"/>
  <c r="J637" i="5" s="1"/>
  <c r="K637" i="5" s="1"/>
  <c r="I637" i="5"/>
  <c r="H637" i="5"/>
  <c r="J636" i="5"/>
  <c r="K636" i="5" s="1"/>
  <c r="L636" i="5" s="1"/>
  <c r="M636" i="5" s="1"/>
  <c r="L637" i="5" l="1"/>
  <c r="M637" i="5" s="1"/>
  <c r="H638" i="5"/>
  <c r="G639" i="5"/>
  <c r="J638" i="5" s="1"/>
  <c r="K638" i="5" s="1"/>
  <c r="L638" i="5" s="1"/>
  <c r="M638" i="5" s="1"/>
  <c r="I638" i="5"/>
  <c r="H639" i="5" l="1"/>
  <c r="G640" i="5"/>
  <c r="J639" i="5" s="1"/>
  <c r="K639" i="5" s="1"/>
  <c r="L639" i="5" s="1"/>
  <c r="M639" i="5" s="1"/>
  <c r="I639" i="5"/>
  <c r="I640" i="5" l="1"/>
  <c r="G641" i="5"/>
  <c r="J640" i="5" s="1"/>
  <c r="K640" i="5" s="1"/>
  <c r="L640" i="5" s="1"/>
  <c r="M640" i="5" s="1"/>
  <c r="H640" i="5"/>
  <c r="H641" i="5" l="1"/>
  <c r="G642" i="5"/>
  <c r="I641" i="5"/>
  <c r="J641" i="5" l="1"/>
  <c r="K641" i="5" s="1"/>
  <c r="L641" i="5" s="1"/>
  <c r="M641" i="5" s="1"/>
  <c r="H642" i="5"/>
  <c r="I642" i="5"/>
  <c r="G643" i="5"/>
  <c r="J642" i="5" s="1"/>
  <c r="K642" i="5" s="1"/>
  <c r="L642" i="5" s="1"/>
  <c r="M642" i="5" s="1"/>
  <c r="H643" i="5" l="1"/>
  <c r="I643" i="5"/>
  <c r="G644" i="5"/>
  <c r="J643" i="5" s="1"/>
  <c r="K643" i="5" s="1"/>
  <c r="L643" i="5" s="1"/>
  <c r="M643" i="5" s="1"/>
  <c r="H644" i="5" l="1"/>
  <c r="I644" i="5"/>
  <c r="G645" i="5"/>
  <c r="G646" i="5" l="1"/>
  <c r="H645" i="5"/>
  <c r="I645" i="5"/>
  <c r="J644" i="5"/>
  <c r="K644" i="5" s="1"/>
  <c r="L644" i="5" s="1"/>
  <c r="M644" i="5" s="1"/>
  <c r="H646" i="5" l="1"/>
  <c r="I646" i="5"/>
  <c r="G647" i="5"/>
  <c r="J645" i="5"/>
  <c r="K645" i="5" s="1"/>
  <c r="L645" i="5" s="1"/>
  <c r="M645" i="5" s="1"/>
  <c r="I647" i="5" l="1"/>
  <c r="H647" i="5"/>
  <c r="G648" i="5"/>
  <c r="J646" i="5"/>
  <c r="K646" i="5" s="1"/>
  <c r="L646" i="5" s="1"/>
  <c r="M646" i="5" s="1"/>
  <c r="J647" i="5" l="1"/>
  <c r="K647" i="5" s="1"/>
  <c r="L647" i="5" s="1"/>
  <c r="M647" i="5" s="1"/>
  <c r="H648" i="5"/>
  <c r="I648" i="5"/>
  <c r="G649" i="5"/>
  <c r="J648" i="5" s="1"/>
  <c r="K648" i="5" s="1"/>
  <c r="L648" i="5" s="1"/>
  <c r="M648" i="5" s="1"/>
  <c r="H649" i="5" l="1"/>
  <c r="I649" i="5"/>
  <c r="G650" i="5"/>
  <c r="J649" i="5" s="1"/>
  <c r="K649" i="5" s="1"/>
  <c r="L649" i="5" s="1"/>
  <c r="M649" i="5" s="1"/>
  <c r="I650" i="5" l="1"/>
  <c r="G651" i="5"/>
  <c r="J650" i="5" s="1"/>
  <c r="K650" i="5" s="1"/>
  <c r="L650" i="5" s="1"/>
  <c r="M650" i="5" s="1"/>
  <c r="H650" i="5"/>
  <c r="H651" i="5" l="1"/>
  <c r="I651" i="5"/>
  <c r="G652" i="5"/>
  <c r="J651" i="5" s="1"/>
  <c r="K651" i="5" s="1"/>
  <c r="L651" i="5" s="1"/>
  <c r="M651" i="5" s="1"/>
  <c r="I652" i="5" l="1"/>
  <c r="H652" i="5"/>
  <c r="G653" i="5"/>
  <c r="I653" i="5" l="1"/>
  <c r="H653" i="5"/>
  <c r="G654" i="5"/>
  <c r="J652" i="5"/>
  <c r="K652" i="5" s="1"/>
  <c r="L652" i="5" s="1"/>
  <c r="M652" i="5" s="1"/>
  <c r="J653" i="5" l="1"/>
  <c r="K653" i="5" s="1"/>
  <c r="L653" i="5" s="1"/>
  <c r="M653" i="5" s="1"/>
  <c r="G655" i="5"/>
  <c r="H654" i="5"/>
  <c r="I654" i="5"/>
  <c r="J654" i="5" l="1"/>
  <c r="K654" i="5" s="1"/>
  <c r="L654" i="5" s="1"/>
  <c r="M654" i="5" s="1"/>
  <c r="H655" i="5"/>
  <c r="I655" i="5"/>
  <c r="G656" i="5"/>
  <c r="J655" i="5" s="1"/>
  <c r="K655" i="5" s="1"/>
  <c r="L655" i="5" s="1"/>
  <c r="M655" i="5" s="1"/>
  <c r="I656" i="5" l="1"/>
  <c r="H656" i="5"/>
  <c r="G657" i="5"/>
  <c r="I657" i="5" l="1"/>
  <c r="H657" i="5"/>
  <c r="G658" i="5"/>
  <c r="J656" i="5"/>
  <c r="K656" i="5" s="1"/>
  <c r="L656" i="5" s="1"/>
  <c r="M656" i="5" s="1"/>
  <c r="H658" i="5" l="1"/>
  <c r="I658" i="5"/>
  <c r="G659" i="5"/>
  <c r="J658" i="5" s="1"/>
  <c r="K658" i="5" s="1"/>
  <c r="J657" i="5"/>
  <c r="K657" i="5" s="1"/>
  <c r="L657" i="5" s="1"/>
  <c r="M657" i="5" s="1"/>
  <c r="L658" i="5" l="1"/>
  <c r="M658" i="5" s="1"/>
  <c r="G660" i="5"/>
  <c r="I659" i="5"/>
  <c r="H659" i="5"/>
  <c r="J659" i="5"/>
  <c r="K659" i="5" s="1"/>
  <c r="L659" i="5" l="1"/>
  <c r="M659" i="5" s="1"/>
  <c r="H660" i="5"/>
  <c r="I660" i="5"/>
  <c r="G661" i="5"/>
  <c r="J660" i="5" l="1"/>
  <c r="K660" i="5" s="1"/>
  <c r="L660" i="5" s="1"/>
  <c r="M660" i="5" s="1"/>
  <c r="H661" i="5"/>
  <c r="I661" i="5"/>
  <c r="G662" i="5"/>
  <c r="H662" i="5" l="1"/>
  <c r="I662" i="5"/>
  <c r="G663" i="5"/>
  <c r="J661" i="5"/>
  <c r="K661" i="5" s="1"/>
  <c r="L661" i="5" s="1"/>
  <c r="M661" i="5" s="1"/>
  <c r="H663" i="5" l="1"/>
  <c r="G664" i="5"/>
  <c r="I663" i="5"/>
  <c r="J662" i="5"/>
  <c r="K662" i="5" s="1"/>
  <c r="L662" i="5" s="1"/>
  <c r="M662" i="5" s="1"/>
  <c r="J663" i="5" l="1"/>
  <c r="K663" i="5" s="1"/>
  <c r="L663" i="5" s="1"/>
  <c r="M663" i="5" s="1"/>
  <c r="I664" i="5"/>
  <c r="H664" i="5"/>
  <c r="G665" i="5"/>
  <c r="J664" i="5" s="1"/>
  <c r="K664" i="5" s="1"/>
  <c r="L664" i="5" s="1"/>
  <c r="M664" i="5" s="1"/>
  <c r="H665" i="5" l="1"/>
  <c r="I665" i="5"/>
  <c r="G666" i="5"/>
  <c r="J665" i="5" l="1"/>
  <c r="K665" i="5" s="1"/>
  <c r="L665" i="5" s="1"/>
  <c r="M665" i="5" s="1"/>
  <c r="H666" i="5"/>
  <c r="I666" i="5"/>
  <c r="G667" i="5"/>
  <c r="J666" i="5" l="1"/>
  <c r="K666" i="5" s="1"/>
  <c r="L666" i="5" s="1"/>
  <c r="M666" i="5" s="1"/>
  <c r="G668" i="5"/>
  <c r="I667" i="5"/>
  <c r="H667" i="5"/>
  <c r="J667" i="5" l="1"/>
  <c r="K667" i="5" s="1"/>
  <c r="L667" i="5" s="1"/>
  <c r="M667" i="5" s="1"/>
  <c r="I668" i="5"/>
  <c r="G669" i="5"/>
  <c r="H668" i="5"/>
  <c r="J668" i="5" l="1"/>
  <c r="K668" i="5" s="1"/>
  <c r="L668" i="5" s="1"/>
  <c r="M668" i="5" s="1"/>
  <c r="H669" i="5"/>
  <c r="I669" i="5"/>
  <c r="G670" i="5"/>
  <c r="J669" i="5" l="1"/>
  <c r="K669" i="5" s="1"/>
  <c r="L669" i="5" s="1"/>
  <c r="M669" i="5" s="1"/>
  <c r="G671" i="5"/>
  <c r="I670" i="5"/>
  <c r="H670" i="5"/>
  <c r="J670" i="5" s="1"/>
  <c r="K670" i="5" s="1"/>
  <c r="L670" i="5" s="1"/>
  <c r="M670" i="5" s="1"/>
  <c r="G672" i="5" l="1"/>
  <c r="J671" i="5" s="1"/>
  <c r="K671" i="5" s="1"/>
  <c r="L671" i="5" s="1"/>
  <c r="M671" i="5" s="1"/>
  <c r="I671" i="5"/>
  <c r="H671" i="5"/>
  <c r="H672" i="5" l="1"/>
  <c r="I672" i="5"/>
  <c r="G673" i="5"/>
  <c r="J672" i="5" s="1"/>
  <c r="K672" i="5" s="1"/>
  <c r="L672" i="5" s="1"/>
  <c r="M672" i="5" s="1"/>
  <c r="H673" i="5" l="1"/>
  <c r="I673" i="5"/>
  <c r="G674" i="5"/>
  <c r="J673" i="5" s="1"/>
  <c r="K673" i="5" s="1"/>
  <c r="L673" i="5" s="1"/>
  <c r="M673" i="5" s="1"/>
  <c r="H674" i="5" l="1"/>
  <c r="I674" i="5"/>
  <c r="G675" i="5"/>
  <c r="J674" i="5" s="1"/>
  <c r="K674" i="5" s="1"/>
  <c r="L674" i="5" s="1"/>
  <c r="M674" i="5" s="1"/>
  <c r="H675" i="5" l="1"/>
  <c r="I675" i="5"/>
  <c r="G676" i="5"/>
  <c r="J675" i="5" l="1"/>
  <c r="K675" i="5" s="1"/>
  <c r="L675" i="5" s="1"/>
  <c r="M675" i="5" s="1"/>
  <c r="I676" i="5"/>
  <c r="H676" i="5"/>
  <c r="G677" i="5"/>
  <c r="I677" i="5" l="1"/>
  <c r="H677" i="5"/>
  <c r="G678" i="5"/>
  <c r="J676" i="5"/>
  <c r="K676" i="5" s="1"/>
  <c r="L676" i="5" s="1"/>
  <c r="M676" i="5" s="1"/>
  <c r="I678" i="5" l="1"/>
  <c r="G679" i="5"/>
  <c r="J678" i="5" s="1"/>
  <c r="K678" i="5" s="1"/>
  <c r="H678" i="5"/>
  <c r="J677" i="5"/>
  <c r="K677" i="5" s="1"/>
  <c r="L677" i="5" s="1"/>
  <c r="M677" i="5" s="1"/>
  <c r="L678" i="5" l="1"/>
  <c r="M678" i="5" s="1"/>
  <c r="H679" i="5"/>
  <c r="I679" i="5"/>
  <c r="G680" i="5"/>
  <c r="J679" i="5" s="1"/>
  <c r="K679" i="5" s="1"/>
  <c r="L679" i="5" l="1"/>
  <c r="M679" i="5" s="1"/>
  <c r="I680" i="5"/>
  <c r="G681" i="5"/>
  <c r="H680" i="5"/>
  <c r="J680" i="5" l="1"/>
  <c r="K680" i="5" s="1"/>
  <c r="L680" i="5" s="1"/>
  <c r="M680" i="5" s="1"/>
  <c r="G682" i="5"/>
  <c r="J681" i="5" s="1"/>
  <c r="K681" i="5" s="1"/>
  <c r="L681" i="5" s="1"/>
  <c r="M681" i="5" s="1"/>
  <c r="H681" i="5"/>
  <c r="I681" i="5"/>
  <c r="I682" i="5" l="1"/>
  <c r="H682" i="5"/>
  <c r="G683" i="5"/>
  <c r="J682" i="5" s="1"/>
  <c r="K682" i="5" s="1"/>
  <c r="L682" i="5" s="1"/>
  <c r="M682" i="5" s="1"/>
  <c r="I683" i="5" l="1"/>
  <c r="H683" i="5"/>
  <c r="G684" i="5"/>
  <c r="J683" i="5" l="1"/>
  <c r="K683" i="5" s="1"/>
  <c r="L683" i="5" s="1"/>
  <c r="M683" i="5" s="1"/>
  <c r="G685" i="5"/>
  <c r="H684" i="5"/>
  <c r="I684" i="5"/>
  <c r="J684" i="5" l="1"/>
  <c r="K684" i="5" s="1"/>
  <c r="L684" i="5" s="1"/>
  <c r="M684" i="5" s="1"/>
  <c r="H685" i="5"/>
  <c r="I685" i="5"/>
  <c r="G686" i="5"/>
  <c r="H686" i="5" l="1"/>
  <c r="I686" i="5"/>
  <c r="G687" i="5"/>
  <c r="J685" i="5"/>
  <c r="K685" i="5" s="1"/>
  <c r="L685" i="5" s="1"/>
  <c r="M685" i="5" s="1"/>
  <c r="H687" i="5" l="1"/>
  <c r="I687" i="5"/>
  <c r="G688" i="5"/>
  <c r="J687" i="5" s="1"/>
  <c r="K687" i="5" s="1"/>
  <c r="J686" i="5"/>
  <c r="K686" i="5" s="1"/>
  <c r="L686" i="5" s="1"/>
  <c r="M686" i="5" s="1"/>
  <c r="L687" i="5" l="1"/>
  <c r="M687" i="5" s="1"/>
  <c r="H688" i="5"/>
  <c r="I688" i="5"/>
  <c r="G689" i="5"/>
  <c r="H689" i="5" l="1"/>
  <c r="I689" i="5"/>
  <c r="G690" i="5"/>
  <c r="J688" i="5"/>
  <c r="K688" i="5" s="1"/>
  <c r="L688" i="5" s="1"/>
  <c r="M688" i="5" s="1"/>
  <c r="I690" i="5" l="1"/>
  <c r="H690" i="5"/>
  <c r="G691" i="5"/>
  <c r="J689" i="5"/>
  <c r="K689" i="5" s="1"/>
  <c r="L689" i="5" s="1"/>
  <c r="M689" i="5" s="1"/>
  <c r="G692" i="5" l="1"/>
  <c r="I691" i="5"/>
  <c r="H691" i="5"/>
  <c r="J690" i="5"/>
  <c r="K690" i="5" s="1"/>
  <c r="L690" i="5" s="1"/>
  <c r="M690" i="5" s="1"/>
  <c r="G693" i="5" l="1"/>
  <c r="I692" i="5"/>
  <c r="H692" i="5"/>
  <c r="J692" i="5"/>
  <c r="K692" i="5" s="1"/>
  <c r="J691" i="5"/>
  <c r="K691" i="5" s="1"/>
  <c r="L691" i="5" s="1"/>
  <c r="M691" i="5" s="1"/>
  <c r="L692" i="5" l="1"/>
  <c r="M692" i="5" s="1"/>
  <c r="H693" i="5"/>
  <c r="I693" i="5"/>
  <c r="G694" i="5"/>
  <c r="G695" i="5" l="1"/>
  <c r="H694" i="5"/>
  <c r="I694" i="5"/>
  <c r="J693" i="5"/>
  <c r="K693" i="5" s="1"/>
  <c r="L693" i="5" s="1"/>
  <c r="M693" i="5" s="1"/>
  <c r="J694" i="5" l="1"/>
  <c r="K694" i="5" s="1"/>
  <c r="L694" i="5" s="1"/>
  <c r="M694" i="5" s="1"/>
  <c r="G696" i="5"/>
  <c r="H695" i="5"/>
  <c r="I695" i="5"/>
  <c r="J695" i="5"/>
  <c r="K695" i="5" s="1"/>
  <c r="L695" i="5" s="1"/>
  <c r="M695" i="5" s="1"/>
  <c r="I696" i="5" l="1"/>
  <c r="H696" i="5"/>
  <c r="G697" i="5"/>
  <c r="H697" i="5" l="1"/>
  <c r="G698" i="5"/>
  <c r="I697" i="5"/>
  <c r="J696" i="5"/>
  <c r="K696" i="5" s="1"/>
  <c r="L696" i="5" s="1"/>
  <c r="M696" i="5" s="1"/>
  <c r="G699" i="5" l="1"/>
  <c r="H698" i="5"/>
  <c r="I698" i="5"/>
  <c r="J698" i="5"/>
  <c r="K698" i="5" s="1"/>
  <c r="J697" i="5"/>
  <c r="K697" i="5" s="1"/>
  <c r="L697" i="5" s="1"/>
  <c r="M697" i="5" s="1"/>
  <c r="L698" i="5" l="1"/>
  <c r="M698" i="5" s="1"/>
  <c r="I699" i="5"/>
  <c r="H699" i="5"/>
  <c r="G700" i="5"/>
  <c r="J699" i="5" l="1"/>
  <c r="K699" i="5" s="1"/>
  <c r="L699" i="5" s="1"/>
  <c r="M699" i="5" s="1"/>
  <c r="G701" i="5"/>
  <c r="J700" i="5" s="1"/>
  <c r="K700" i="5" s="1"/>
  <c r="L700" i="5" s="1"/>
  <c r="M700" i="5" s="1"/>
  <c r="I700" i="5"/>
  <c r="H700" i="5"/>
  <c r="G702" i="5" l="1"/>
  <c r="J701" i="5" s="1"/>
  <c r="K701" i="5" s="1"/>
  <c r="L701" i="5" s="1"/>
  <c r="M701" i="5" s="1"/>
  <c r="H701" i="5"/>
  <c r="I701" i="5"/>
  <c r="I702" i="5" l="1"/>
  <c r="G703" i="5"/>
  <c r="H702" i="5"/>
  <c r="H703" i="5" l="1"/>
  <c r="I703" i="5"/>
  <c r="G704" i="5"/>
  <c r="J702" i="5"/>
  <c r="K702" i="5" s="1"/>
  <c r="L702" i="5" s="1"/>
  <c r="M702" i="5" s="1"/>
  <c r="J703" i="5" l="1"/>
  <c r="K703" i="5" s="1"/>
  <c r="L703" i="5" s="1"/>
  <c r="M703" i="5" s="1"/>
  <c r="I704" i="5"/>
  <c r="G705" i="5"/>
  <c r="H704" i="5"/>
  <c r="J704" i="5" l="1"/>
  <c r="K704" i="5" s="1"/>
  <c r="L704" i="5" s="1"/>
  <c r="M704" i="5" s="1"/>
  <c r="I705" i="5"/>
  <c r="H705" i="5"/>
  <c r="G706" i="5"/>
  <c r="G707" i="5" l="1"/>
  <c r="J706" i="5" s="1"/>
  <c r="K706" i="5" s="1"/>
  <c r="I706" i="5"/>
  <c r="H706" i="5"/>
  <c r="J705" i="5"/>
  <c r="K705" i="5" s="1"/>
  <c r="L705" i="5" s="1"/>
  <c r="M705" i="5" s="1"/>
  <c r="L706" i="5" l="1"/>
  <c r="M706" i="5" s="1"/>
  <c r="G708" i="5"/>
  <c r="I707" i="5"/>
  <c r="H707" i="5"/>
  <c r="J707" i="5" l="1"/>
  <c r="K707" i="5" s="1"/>
  <c r="L707" i="5" s="1"/>
  <c r="M707" i="5" s="1"/>
  <c r="H708" i="5"/>
  <c r="I708" i="5"/>
  <c r="G709" i="5"/>
  <c r="G710" i="5" l="1"/>
  <c r="H709" i="5"/>
  <c r="I709" i="5"/>
  <c r="J709" i="5" s="1"/>
  <c r="K709" i="5" s="1"/>
  <c r="L709" i="5" s="1"/>
  <c r="M709" i="5" s="1"/>
  <c r="J708" i="5"/>
  <c r="K708" i="5" s="1"/>
  <c r="L708" i="5" s="1"/>
  <c r="M708" i="5" s="1"/>
  <c r="G711" i="5" l="1"/>
  <c r="J710" i="5" s="1"/>
  <c r="K710" i="5" s="1"/>
  <c r="L710" i="5" s="1"/>
  <c r="M710" i="5" s="1"/>
  <c r="I710" i="5"/>
  <c r="H710" i="5"/>
  <c r="I711" i="5" l="1"/>
  <c r="G712" i="5"/>
  <c r="J711" i="5" s="1"/>
  <c r="K711" i="5" s="1"/>
  <c r="L711" i="5" s="1"/>
  <c r="M711" i="5" s="1"/>
  <c r="H711" i="5"/>
  <c r="H712" i="5" l="1"/>
  <c r="I712" i="5"/>
  <c r="G713" i="5"/>
  <c r="J712" i="5" s="1"/>
  <c r="K712" i="5" s="1"/>
  <c r="L712" i="5" s="1"/>
  <c r="M712" i="5" s="1"/>
  <c r="I713" i="5" l="1"/>
  <c r="H713" i="5"/>
  <c r="G714" i="5"/>
  <c r="J713" i="5" s="1"/>
  <c r="K713" i="5" s="1"/>
  <c r="L713" i="5" s="1"/>
  <c r="M713" i="5" s="1"/>
  <c r="I714" i="5" l="1"/>
  <c r="H714" i="5"/>
  <c r="G715" i="5"/>
  <c r="I715" i="5" l="1"/>
  <c r="G716" i="5"/>
  <c r="H715" i="5"/>
  <c r="J714" i="5"/>
  <c r="K714" i="5" s="1"/>
  <c r="L714" i="5" s="1"/>
  <c r="M714" i="5" s="1"/>
  <c r="H716" i="5" l="1"/>
  <c r="G717" i="5"/>
  <c r="J716" i="5" s="1"/>
  <c r="K716" i="5" s="1"/>
  <c r="I716" i="5"/>
  <c r="J715" i="5"/>
  <c r="K715" i="5" s="1"/>
  <c r="L715" i="5" s="1"/>
  <c r="M715" i="5" s="1"/>
  <c r="L716" i="5" l="1"/>
  <c r="M716" i="5" s="1"/>
  <c r="I717" i="5"/>
  <c r="H717" i="5"/>
  <c r="G718" i="5"/>
  <c r="J717" i="5" l="1"/>
  <c r="K717" i="5" s="1"/>
  <c r="L717" i="5" s="1"/>
  <c r="M717" i="5" s="1"/>
  <c r="I718" i="5"/>
  <c r="G719" i="5"/>
  <c r="J718" i="5" s="1"/>
  <c r="K718" i="5" s="1"/>
  <c r="H718" i="5"/>
  <c r="L718" i="5" l="1"/>
  <c r="M718" i="5" s="1"/>
  <c r="G720" i="5"/>
  <c r="I719" i="5"/>
  <c r="H719" i="5"/>
  <c r="J719" i="5" s="1"/>
  <c r="K719" i="5" s="1"/>
  <c r="L719" i="5" s="1"/>
  <c r="M719" i="5" s="1"/>
  <c r="H720" i="5" l="1"/>
  <c r="I720" i="5"/>
  <c r="G721" i="5"/>
  <c r="J720" i="5" s="1"/>
  <c r="K720" i="5" s="1"/>
  <c r="L720" i="5" s="1"/>
  <c r="M720" i="5" s="1"/>
  <c r="H721" i="5" l="1"/>
  <c r="I721" i="5"/>
  <c r="G722" i="5"/>
  <c r="J721" i="5" s="1"/>
  <c r="K721" i="5" s="1"/>
  <c r="L721" i="5" s="1"/>
  <c r="M721" i="5" s="1"/>
  <c r="I722" i="5" l="1"/>
  <c r="G723" i="5"/>
  <c r="H722" i="5"/>
  <c r="H723" i="5" l="1"/>
  <c r="I723" i="5"/>
  <c r="G724" i="5"/>
  <c r="J722" i="5"/>
  <c r="K722" i="5" s="1"/>
  <c r="L722" i="5" s="1"/>
  <c r="M722" i="5" s="1"/>
  <c r="J723" i="5" l="1"/>
  <c r="K723" i="5" s="1"/>
  <c r="L723" i="5" s="1"/>
  <c r="M723" i="5" s="1"/>
  <c r="H724" i="5"/>
  <c r="I724" i="5"/>
  <c r="G725" i="5"/>
  <c r="G726" i="5" l="1"/>
  <c r="H725" i="5"/>
  <c r="I725" i="5"/>
  <c r="J725" i="5"/>
  <c r="K725" i="5" s="1"/>
  <c r="J724" i="5"/>
  <c r="K724" i="5" s="1"/>
  <c r="L724" i="5" s="1"/>
  <c r="M724" i="5" s="1"/>
  <c r="L725" i="5" l="1"/>
  <c r="M725" i="5" s="1"/>
  <c r="H726" i="5"/>
  <c r="I726" i="5"/>
  <c r="G727" i="5"/>
  <c r="J726" i="5" l="1"/>
  <c r="K726" i="5" s="1"/>
  <c r="L726" i="5" s="1"/>
  <c r="M726" i="5" s="1"/>
  <c r="I727" i="5"/>
  <c r="G728" i="5"/>
  <c r="J727" i="5" s="1"/>
  <c r="K727" i="5" s="1"/>
  <c r="L727" i="5" s="1"/>
  <c r="M727" i="5" s="1"/>
  <c r="H727" i="5"/>
  <c r="G729" i="5" l="1"/>
  <c r="I728" i="5"/>
  <c r="H728" i="5"/>
  <c r="J728" i="5" s="1"/>
  <c r="K728" i="5" s="1"/>
  <c r="L728" i="5" s="1"/>
  <c r="M728" i="5" s="1"/>
  <c r="H729" i="5" l="1"/>
  <c r="I729" i="5"/>
  <c r="G730" i="5"/>
  <c r="J729" i="5" s="1"/>
  <c r="K729" i="5" s="1"/>
  <c r="L729" i="5" s="1"/>
  <c r="M729" i="5" s="1"/>
  <c r="H730" i="5" l="1"/>
  <c r="I730" i="5"/>
  <c r="G731" i="5"/>
  <c r="J730" i="5" s="1"/>
  <c r="K730" i="5" s="1"/>
  <c r="L730" i="5" s="1"/>
  <c r="M730" i="5" s="1"/>
  <c r="I731" i="5" l="1"/>
  <c r="H731" i="5"/>
  <c r="G732" i="5"/>
  <c r="G733" i="5" l="1"/>
  <c r="J732" i="5" s="1"/>
  <c r="K732" i="5" s="1"/>
  <c r="H732" i="5"/>
  <c r="I732" i="5"/>
  <c r="J731" i="5"/>
  <c r="K731" i="5" s="1"/>
  <c r="L731" i="5" s="1"/>
  <c r="M731" i="5" s="1"/>
  <c r="L732" i="5" l="1"/>
  <c r="M732" i="5" s="1"/>
  <c r="H733" i="5"/>
  <c r="I733" i="5"/>
  <c r="G734" i="5"/>
  <c r="G735" i="5" l="1"/>
  <c r="I734" i="5"/>
  <c r="H734" i="5"/>
  <c r="J734" i="5"/>
  <c r="K734" i="5" s="1"/>
  <c r="J733" i="5"/>
  <c r="K733" i="5" s="1"/>
  <c r="L733" i="5" s="1"/>
  <c r="M733" i="5" s="1"/>
  <c r="L734" i="5" l="1"/>
  <c r="M734" i="5" s="1"/>
  <c r="H735" i="5"/>
  <c r="G736" i="5"/>
  <c r="J735" i="5" s="1"/>
  <c r="K735" i="5" s="1"/>
  <c r="I735" i="5"/>
  <c r="L735" i="5" l="1"/>
  <c r="M735" i="5" s="1"/>
  <c r="H736" i="5"/>
  <c r="I736" i="5"/>
  <c r="G737" i="5"/>
  <c r="J736" i="5" s="1"/>
  <c r="K736" i="5" s="1"/>
  <c r="L736" i="5" s="1"/>
  <c r="M736" i="5" s="1"/>
  <c r="H737" i="5" l="1"/>
  <c r="I737" i="5"/>
  <c r="G738" i="5"/>
  <c r="J737" i="5" s="1"/>
  <c r="K737" i="5" s="1"/>
  <c r="L737" i="5" s="1"/>
  <c r="M737" i="5" s="1"/>
  <c r="I738" i="5" l="1"/>
  <c r="H738" i="5"/>
  <c r="G739" i="5"/>
  <c r="J738" i="5" s="1"/>
  <c r="K738" i="5" s="1"/>
  <c r="L738" i="5" s="1"/>
  <c r="M738" i="5" s="1"/>
  <c r="I739" i="5" l="1"/>
  <c r="G740" i="5"/>
  <c r="H739" i="5"/>
  <c r="H740" i="5" l="1"/>
  <c r="I740" i="5"/>
  <c r="G741" i="5"/>
  <c r="J739" i="5"/>
  <c r="K739" i="5" s="1"/>
  <c r="L739" i="5" s="1"/>
  <c r="M739" i="5" s="1"/>
  <c r="H741" i="5" l="1"/>
  <c r="I741" i="5"/>
  <c r="G742" i="5"/>
  <c r="J741" i="5" s="1"/>
  <c r="K741" i="5" s="1"/>
  <c r="J740" i="5"/>
  <c r="K740" i="5" s="1"/>
  <c r="L740" i="5" s="1"/>
  <c r="M740" i="5" s="1"/>
  <c r="L741" i="5" l="1"/>
  <c r="M741" i="5" s="1"/>
  <c r="G743" i="5"/>
  <c r="H742" i="5"/>
  <c r="I742" i="5"/>
  <c r="J742" i="5" l="1"/>
  <c r="K742" i="5" s="1"/>
  <c r="L742" i="5" s="1"/>
  <c r="M742" i="5" s="1"/>
  <c r="I743" i="5"/>
  <c r="H743" i="5"/>
  <c r="G744" i="5"/>
  <c r="J743" i="5" s="1"/>
  <c r="K743" i="5" s="1"/>
  <c r="L743" i="5" l="1"/>
  <c r="M743" i="5" s="1"/>
  <c r="I744" i="5"/>
  <c r="H744" i="5"/>
  <c r="G745" i="5"/>
  <c r="J744" i="5" s="1"/>
  <c r="K744" i="5" s="1"/>
  <c r="L744" i="5" s="1"/>
  <c r="M744" i="5" s="1"/>
  <c r="H745" i="5" l="1"/>
  <c r="G746" i="5"/>
  <c r="I745" i="5"/>
  <c r="H746" i="5" l="1"/>
  <c r="I746" i="5"/>
  <c r="G747" i="5"/>
  <c r="J746" i="5" s="1"/>
  <c r="K746" i="5" s="1"/>
  <c r="J745" i="5"/>
  <c r="K745" i="5" s="1"/>
  <c r="L745" i="5" s="1"/>
  <c r="M745" i="5" s="1"/>
  <c r="L746" i="5" l="1"/>
  <c r="M746" i="5" s="1"/>
  <c r="I747" i="5"/>
  <c r="G748" i="5"/>
  <c r="H747" i="5"/>
  <c r="I748" i="5" l="1"/>
  <c r="G749" i="5"/>
  <c r="J748" i="5" s="1"/>
  <c r="K748" i="5" s="1"/>
  <c r="H748" i="5"/>
  <c r="J747" i="5"/>
  <c r="K747" i="5" s="1"/>
  <c r="L747" i="5" s="1"/>
  <c r="M747" i="5" s="1"/>
  <c r="L748" i="5" l="1"/>
  <c r="M748" i="5" s="1"/>
  <c r="H749" i="5"/>
  <c r="G750" i="5"/>
  <c r="I749" i="5"/>
  <c r="J749" i="5" l="1"/>
  <c r="K749" i="5" s="1"/>
  <c r="L749" i="5" s="1"/>
  <c r="M749" i="5" s="1"/>
  <c r="H750" i="5"/>
  <c r="I750" i="5"/>
  <c r="G751" i="5"/>
  <c r="J750" i="5" s="1"/>
  <c r="K750" i="5" s="1"/>
  <c r="L750" i="5" s="1"/>
  <c r="M750" i="5" s="1"/>
  <c r="H751" i="5" l="1"/>
  <c r="I751" i="5"/>
  <c r="G752" i="5"/>
  <c r="J751" i="5" s="1"/>
  <c r="K751" i="5" s="1"/>
  <c r="L751" i="5" s="1"/>
  <c r="M751" i="5" s="1"/>
  <c r="H752" i="5" l="1"/>
  <c r="I752" i="5"/>
  <c r="G753" i="5"/>
  <c r="J752" i="5" l="1"/>
  <c r="K752" i="5" s="1"/>
  <c r="L752" i="5" s="1"/>
  <c r="M752" i="5" s="1"/>
  <c r="I753" i="5"/>
  <c r="H753" i="5"/>
  <c r="G754" i="5"/>
  <c r="J753" i="5" s="1"/>
  <c r="K753" i="5" s="1"/>
  <c r="L753" i="5" s="1"/>
  <c r="M753" i="5" s="1"/>
  <c r="G755" i="5" l="1"/>
  <c r="H754" i="5"/>
  <c r="I754" i="5"/>
  <c r="J754" i="5"/>
  <c r="K754" i="5" s="1"/>
  <c r="L754" i="5" s="1"/>
  <c r="M754" i="5" s="1"/>
  <c r="I755" i="5" l="1"/>
  <c r="H755" i="5"/>
  <c r="G756" i="5"/>
  <c r="J755" i="5" s="1"/>
  <c r="K755" i="5" s="1"/>
  <c r="L755" i="5" s="1"/>
  <c r="M755" i="5" s="1"/>
  <c r="H756" i="5" l="1"/>
  <c r="I756" i="5"/>
  <c r="G757" i="5"/>
  <c r="H757" i="5" l="1"/>
  <c r="G758" i="5"/>
  <c r="J757" i="5" s="1"/>
  <c r="K757" i="5" s="1"/>
  <c r="I757" i="5"/>
  <c r="J756" i="5"/>
  <c r="K756" i="5" s="1"/>
  <c r="L756" i="5" s="1"/>
  <c r="M756" i="5" s="1"/>
  <c r="L757" i="5" l="1"/>
  <c r="M757" i="5" s="1"/>
  <c r="I758" i="5"/>
  <c r="H758" i="5"/>
  <c r="G759" i="5"/>
  <c r="I759" i="5" l="1"/>
  <c r="H759" i="5"/>
  <c r="G760" i="5"/>
  <c r="J758" i="5"/>
  <c r="K758" i="5" s="1"/>
  <c r="L758" i="5" s="1"/>
  <c r="M758" i="5" s="1"/>
  <c r="G761" i="5" l="1"/>
  <c r="J760" i="5" s="1"/>
  <c r="K760" i="5" s="1"/>
  <c r="H760" i="5"/>
  <c r="I760" i="5"/>
  <c r="J759" i="5"/>
  <c r="K759" i="5" s="1"/>
  <c r="L759" i="5" s="1"/>
  <c r="M759" i="5" s="1"/>
  <c r="L760" i="5" l="1"/>
  <c r="M760" i="5" s="1"/>
  <c r="H761" i="5"/>
  <c r="I761" i="5"/>
  <c r="G762" i="5"/>
  <c r="I762" i="5" l="1"/>
  <c r="H762" i="5"/>
  <c r="G763" i="5"/>
  <c r="J762" i="5" s="1"/>
  <c r="K762" i="5" s="1"/>
  <c r="J761" i="5"/>
  <c r="K761" i="5" s="1"/>
  <c r="L761" i="5" s="1"/>
  <c r="M761" i="5" s="1"/>
  <c r="L762" i="5" l="1"/>
  <c r="M762" i="5" s="1"/>
  <c r="G764" i="5"/>
  <c r="I763" i="5"/>
  <c r="H763" i="5"/>
  <c r="J763" i="5" l="1"/>
  <c r="K763" i="5" s="1"/>
  <c r="L763" i="5" s="1"/>
  <c r="M763" i="5" s="1"/>
  <c r="H764" i="5"/>
  <c r="I764" i="5"/>
  <c r="G765" i="5"/>
  <c r="J764" i="5" l="1"/>
  <c r="K764" i="5" s="1"/>
  <c r="L764" i="5" s="1"/>
  <c r="M764" i="5" s="1"/>
  <c r="H765" i="5"/>
  <c r="G766" i="5"/>
  <c r="J765" i="5" s="1"/>
  <c r="K765" i="5" s="1"/>
  <c r="L765" i="5" s="1"/>
  <c r="M765" i="5" s="1"/>
  <c r="I765" i="5"/>
  <c r="I766" i="5" l="1"/>
  <c r="G767" i="5"/>
  <c r="H766" i="5"/>
  <c r="J766" i="5" l="1"/>
  <c r="K766" i="5" s="1"/>
  <c r="L766" i="5" s="1"/>
  <c r="M766" i="5" s="1"/>
  <c r="G768" i="5"/>
  <c r="J767" i="5" s="1"/>
  <c r="K767" i="5" s="1"/>
  <c r="L767" i="5" s="1"/>
  <c r="M767" i="5" s="1"/>
  <c r="H767" i="5"/>
  <c r="I767" i="5"/>
  <c r="I768" i="5" l="1"/>
  <c r="H768" i="5"/>
  <c r="G769" i="5"/>
  <c r="J768" i="5" s="1"/>
  <c r="K768" i="5" s="1"/>
  <c r="L768" i="5" s="1"/>
  <c r="M768" i="5" s="1"/>
  <c r="H769" i="5" l="1"/>
  <c r="I769" i="5"/>
  <c r="G770" i="5"/>
  <c r="J769" i="5" s="1"/>
  <c r="K769" i="5" s="1"/>
  <c r="L769" i="5" s="1"/>
  <c r="M769" i="5" s="1"/>
  <c r="H770" i="5" l="1"/>
  <c r="I770" i="5"/>
  <c r="G771" i="5"/>
  <c r="J770" i="5" s="1"/>
  <c r="K770" i="5" s="1"/>
  <c r="L770" i="5" s="1"/>
  <c r="M770" i="5" s="1"/>
  <c r="H771" i="5" l="1"/>
  <c r="I771" i="5"/>
  <c r="G772" i="5"/>
  <c r="J771" i="5" s="1"/>
  <c r="K771" i="5" s="1"/>
  <c r="L771" i="5" s="1"/>
  <c r="M771" i="5" s="1"/>
  <c r="H772" i="5" l="1"/>
  <c r="I772" i="5"/>
  <c r="G773" i="5"/>
  <c r="J772" i="5" s="1"/>
  <c r="K772" i="5" s="1"/>
  <c r="L772" i="5" s="1"/>
  <c r="M772" i="5" s="1"/>
  <c r="G774" i="5" l="1"/>
  <c r="J773" i="5" s="1"/>
  <c r="K773" i="5" s="1"/>
  <c r="L773" i="5" s="1"/>
  <c r="M773" i="5" s="1"/>
  <c r="H773" i="5"/>
  <c r="I773" i="5"/>
  <c r="G775" i="5" l="1"/>
  <c r="I774" i="5"/>
  <c r="H774" i="5"/>
  <c r="J774" i="5" l="1"/>
  <c r="K774" i="5" s="1"/>
  <c r="L774" i="5" s="1"/>
  <c r="M774" i="5" s="1"/>
  <c r="H775" i="5"/>
  <c r="G776" i="5"/>
  <c r="J775" i="5" s="1"/>
  <c r="K775" i="5" s="1"/>
  <c r="L775" i="5" s="1"/>
  <c r="M775" i="5" s="1"/>
  <c r="I775" i="5"/>
  <c r="I776" i="5" l="1"/>
  <c r="H776" i="5"/>
  <c r="G777" i="5"/>
  <c r="J776" i="5" s="1"/>
  <c r="K776" i="5" s="1"/>
  <c r="L776" i="5" s="1"/>
  <c r="M776" i="5" s="1"/>
  <c r="G778" i="5" l="1"/>
  <c r="J777" i="5" s="1"/>
  <c r="K777" i="5" s="1"/>
  <c r="L777" i="5" s="1"/>
  <c r="M777" i="5" s="1"/>
  <c r="I777" i="5"/>
  <c r="H777" i="5"/>
  <c r="I778" i="5" l="1"/>
  <c r="H778" i="5"/>
  <c r="G779" i="5"/>
  <c r="G780" i="5" l="1"/>
  <c r="H779" i="5"/>
  <c r="I779" i="5"/>
  <c r="J778" i="5"/>
  <c r="K778" i="5" s="1"/>
  <c r="L778" i="5" s="1"/>
  <c r="M778" i="5" s="1"/>
  <c r="J779" i="5" l="1"/>
  <c r="K779" i="5" s="1"/>
  <c r="L779" i="5" s="1"/>
  <c r="M779" i="5" s="1"/>
  <c r="H780" i="5"/>
  <c r="I780" i="5"/>
  <c r="G781" i="5"/>
  <c r="J780" i="5" s="1"/>
  <c r="K780" i="5" s="1"/>
  <c r="L780" i="5" l="1"/>
  <c r="M780" i="5" s="1"/>
  <c r="I781" i="5"/>
  <c r="H781" i="5"/>
  <c r="G782" i="5"/>
  <c r="H782" i="5" l="1"/>
  <c r="I782" i="5"/>
  <c r="G783" i="5"/>
  <c r="J782" i="5" s="1"/>
  <c r="K782" i="5" s="1"/>
  <c r="J781" i="5"/>
  <c r="K781" i="5" s="1"/>
  <c r="L781" i="5" s="1"/>
  <c r="M781" i="5" s="1"/>
  <c r="L782" i="5" l="1"/>
  <c r="M782" i="5" s="1"/>
  <c r="I783" i="5"/>
  <c r="G784" i="5"/>
  <c r="J783" i="5" s="1"/>
  <c r="K783" i="5" s="1"/>
  <c r="H783" i="5"/>
  <c r="L783" i="5" l="1"/>
  <c r="M783" i="5" s="1"/>
  <c r="H784" i="5"/>
  <c r="I784" i="5"/>
  <c r="G785" i="5"/>
  <c r="J784" i="5" s="1"/>
  <c r="K784" i="5" s="1"/>
  <c r="L784" i="5" s="1"/>
  <c r="M784" i="5" s="1"/>
  <c r="H785" i="5" l="1"/>
  <c r="G786" i="5"/>
  <c r="J785" i="5" s="1"/>
  <c r="K785" i="5" s="1"/>
  <c r="L785" i="5" s="1"/>
  <c r="M785" i="5" s="1"/>
  <c r="I785" i="5"/>
  <c r="G787" i="5" l="1"/>
  <c r="I786" i="5"/>
  <c r="H786" i="5"/>
  <c r="J786" i="5" l="1"/>
  <c r="K786" i="5" s="1"/>
  <c r="L786" i="5" s="1"/>
  <c r="M786" i="5" s="1"/>
  <c r="H787" i="5"/>
  <c r="I787" i="5"/>
  <c r="G788" i="5"/>
  <c r="J787" i="5" l="1"/>
  <c r="K787" i="5" s="1"/>
  <c r="L787" i="5" s="1"/>
  <c r="M787" i="5" s="1"/>
  <c r="I788" i="5"/>
  <c r="H788" i="5"/>
  <c r="G789" i="5"/>
  <c r="G790" i="5" l="1"/>
  <c r="J789" i="5" s="1"/>
  <c r="K789" i="5" s="1"/>
  <c r="I789" i="5"/>
  <c r="H789" i="5"/>
  <c r="J788" i="5"/>
  <c r="K788" i="5" s="1"/>
  <c r="L788" i="5" s="1"/>
  <c r="M788" i="5" s="1"/>
  <c r="L789" i="5" l="1"/>
  <c r="M789" i="5" s="1"/>
  <c r="I790" i="5"/>
  <c r="G791" i="5"/>
  <c r="J790" i="5" s="1"/>
  <c r="K790" i="5" s="1"/>
  <c r="L790" i="5" s="1"/>
  <c r="M790" i="5" s="1"/>
  <c r="H790" i="5"/>
  <c r="I791" i="5" l="1"/>
  <c r="H791" i="5"/>
  <c r="G792" i="5"/>
  <c r="J791" i="5" s="1"/>
  <c r="K791" i="5" s="1"/>
  <c r="L791" i="5" s="1"/>
  <c r="M791" i="5" s="1"/>
  <c r="H792" i="5" l="1"/>
  <c r="I792" i="5"/>
  <c r="G793" i="5"/>
  <c r="J792" i="5" s="1"/>
  <c r="K792" i="5" s="1"/>
  <c r="L792" i="5" s="1"/>
  <c r="M792" i="5" s="1"/>
  <c r="I793" i="5" l="1"/>
  <c r="G794" i="5"/>
  <c r="H793" i="5"/>
  <c r="J793" i="5" l="1"/>
  <c r="K793" i="5" s="1"/>
  <c r="L793" i="5" s="1"/>
  <c r="M793" i="5" s="1"/>
  <c r="H794" i="5"/>
  <c r="G795" i="5"/>
  <c r="J794" i="5" s="1"/>
  <c r="K794" i="5" s="1"/>
  <c r="L794" i="5" s="1"/>
  <c r="M794" i="5" s="1"/>
  <c r="I794" i="5"/>
  <c r="H795" i="5" l="1"/>
  <c r="I795" i="5"/>
  <c r="G796" i="5"/>
  <c r="H796" i="5" l="1"/>
  <c r="I796" i="5"/>
  <c r="G797" i="5"/>
  <c r="J795" i="5"/>
  <c r="K795" i="5" s="1"/>
  <c r="L795" i="5" s="1"/>
  <c r="M795" i="5" s="1"/>
  <c r="I797" i="5" l="1"/>
  <c r="G798" i="5"/>
  <c r="H797" i="5"/>
  <c r="J796" i="5"/>
  <c r="K796" i="5" s="1"/>
  <c r="L796" i="5" s="1"/>
  <c r="M796" i="5" s="1"/>
  <c r="J797" i="5" l="1"/>
  <c r="K797" i="5" s="1"/>
  <c r="L797" i="5" s="1"/>
  <c r="M797" i="5" s="1"/>
  <c r="I798" i="5"/>
  <c r="H798" i="5"/>
  <c r="G799" i="5"/>
  <c r="J798" i="5" s="1"/>
  <c r="K798" i="5" s="1"/>
  <c r="L798" i="5" s="1"/>
  <c r="M798" i="5" s="1"/>
  <c r="H799" i="5" l="1"/>
  <c r="I799" i="5"/>
  <c r="G800" i="5"/>
  <c r="J799" i="5" l="1"/>
  <c r="K799" i="5" s="1"/>
  <c r="L799" i="5" s="1"/>
  <c r="M799" i="5" s="1"/>
  <c r="I800" i="5"/>
  <c r="H800" i="5"/>
  <c r="G801" i="5"/>
  <c r="J800" i="5" s="1"/>
  <c r="K800" i="5" s="1"/>
  <c r="L800" i="5" s="1"/>
  <c r="M800" i="5" s="1"/>
  <c r="H801" i="5" l="1"/>
  <c r="I801" i="5"/>
  <c r="G802" i="5"/>
  <c r="J801" i="5" s="1"/>
  <c r="K801" i="5" s="1"/>
  <c r="L801" i="5" s="1"/>
  <c r="M801" i="5" s="1"/>
  <c r="H802" i="5" l="1"/>
  <c r="I802" i="5"/>
  <c r="G803" i="5"/>
  <c r="J802" i="5" s="1"/>
  <c r="K802" i="5" s="1"/>
  <c r="L802" i="5" s="1"/>
  <c r="M802" i="5" s="1"/>
  <c r="I803" i="5" l="1"/>
  <c r="G804" i="5"/>
  <c r="H803" i="5"/>
  <c r="J803" i="5" l="1"/>
  <c r="K803" i="5" s="1"/>
  <c r="L803" i="5" s="1"/>
  <c r="M803" i="5" s="1"/>
  <c r="H804" i="5"/>
  <c r="G805" i="5"/>
  <c r="J804" i="5" s="1"/>
  <c r="K804" i="5" s="1"/>
  <c r="I804" i="5"/>
  <c r="L804" i="5" l="1"/>
  <c r="M804" i="5" s="1"/>
  <c r="G806" i="5"/>
  <c r="I805" i="5"/>
  <c r="H805" i="5"/>
  <c r="J805" i="5"/>
  <c r="K805" i="5" s="1"/>
  <c r="L805" i="5" s="1"/>
  <c r="M805" i="5" s="1"/>
  <c r="G807" i="5" l="1"/>
  <c r="H806" i="5"/>
  <c r="I806" i="5"/>
  <c r="J806" i="5" l="1"/>
  <c r="K806" i="5" s="1"/>
  <c r="L806" i="5" s="1"/>
  <c r="M806" i="5" s="1"/>
  <c r="I807" i="5"/>
  <c r="G808" i="5"/>
  <c r="H807" i="5"/>
  <c r="J807" i="5" l="1"/>
  <c r="K807" i="5" s="1"/>
  <c r="L807" i="5" s="1"/>
  <c r="M807" i="5" s="1"/>
  <c r="I808" i="5"/>
  <c r="H808" i="5"/>
  <c r="G809" i="5"/>
  <c r="H809" i="5" l="1"/>
  <c r="I809" i="5"/>
  <c r="G810" i="5"/>
  <c r="J808" i="5"/>
  <c r="K808" i="5" s="1"/>
  <c r="L808" i="5" s="1"/>
  <c r="M808" i="5" s="1"/>
  <c r="G811" i="5" l="1"/>
  <c r="J810" i="5" s="1"/>
  <c r="K810" i="5" s="1"/>
  <c r="H810" i="5"/>
  <c r="I810" i="5"/>
  <c r="J809" i="5"/>
  <c r="K809" i="5" s="1"/>
  <c r="L809" i="5" s="1"/>
  <c r="M809" i="5" s="1"/>
  <c r="L810" i="5" l="1"/>
  <c r="M810" i="5" s="1"/>
  <c r="G812" i="5"/>
  <c r="H811" i="5"/>
  <c r="I811" i="5"/>
  <c r="J811" i="5" l="1"/>
  <c r="K811" i="5" s="1"/>
  <c r="L811" i="5" s="1"/>
  <c r="M811" i="5" s="1"/>
  <c r="H812" i="5"/>
  <c r="I812" i="5"/>
  <c r="G813" i="5"/>
  <c r="J812" i="5" l="1"/>
  <c r="K812" i="5" s="1"/>
  <c r="L812" i="5" s="1"/>
  <c r="M812" i="5" s="1"/>
  <c r="G814" i="5"/>
  <c r="H813" i="5"/>
  <c r="I813" i="5"/>
  <c r="J813" i="5"/>
  <c r="K813" i="5" s="1"/>
  <c r="L813" i="5" l="1"/>
  <c r="M813" i="5" s="1"/>
  <c r="H814" i="5"/>
  <c r="I814" i="5"/>
  <c r="G815" i="5"/>
  <c r="I815" i="5" l="1"/>
  <c r="G816" i="5"/>
  <c r="J815" i="5" s="1"/>
  <c r="K815" i="5" s="1"/>
  <c r="H815" i="5"/>
  <c r="J814" i="5"/>
  <c r="K814" i="5" s="1"/>
  <c r="L814" i="5" s="1"/>
  <c r="M814" i="5" s="1"/>
  <c r="L815" i="5" l="1"/>
  <c r="M815" i="5" s="1"/>
  <c r="H816" i="5"/>
  <c r="G817" i="5"/>
  <c r="J816" i="5" s="1"/>
  <c r="K816" i="5" s="1"/>
  <c r="L816" i="5" s="1"/>
  <c r="M816" i="5" s="1"/>
  <c r="I816" i="5"/>
  <c r="H817" i="5" l="1"/>
  <c r="I817" i="5"/>
  <c r="G818" i="5"/>
  <c r="I818" i="5" l="1"/>
  <c r="H818" i="5"/>
  <c r="G819" i="5"/>
  <c r="J818" i="5" s="1"/>
  <c r="K818" i="5" s="1"/>
  <c r="J817" i="5"/>
  <c r="K817" i="5" s="1"/>
  <c r="L817" i="5" s="1"/>
  <c r="M817" i="5" s="1"/>
  <c r="L818" i="5" l="1"/>
  <c r="M818" i="5" s="1"/>
  <c r="H819" i="5"/>
  <c r="G820" i="5"/>
  <c r="J819" i="5" s="1"/>
  <c r="K819" i="5" s="1"/>
  <c r="L819" i="5" s="1"/>
  <c r="M819" i="5" s="1"/>
  <c r="I819" i="5"/>
  <c r="I820" i="5" l="1"/>
  <c r="H820" i="5"/>
  <c r="G821" i="5"/>
  <c r="I821" i="5" l="1"/>
  <c r="H821" i="5"/>
  <c r="G822" i="5"/>
  <c r="J820" i="5"/>
  <c r="K820" i="5" s="1"/>
  <c r="L820" i="5" s="1"/>
  <c r="M820" i="5" s="1"/>
  <c r="H822" i="5" l="1"/>
  <c r="I822" i="5"/>
  <c r="G823" i="5"/>
  <c r="J821" i="5"/>
  <c r="K821" i="5" s="1"/>
  <c r="L821" i="5" s="1"/>
  <c r="M821" i="5" s="1"/>
  <c r="J822" i="5" l="1"/>
  <c r="K822" i="5" s="1"/>
  <c r="L822" i="5" s="1"/>
  <c r="M822" i="5" s="1"/>
  <c r="H823" i="5"/>
  <c r="I823" i="5"/>
  <c r="G824" i="5"/>
  <c r="J823" i="5" l="1"/>
  <c r="K823" i="5" s="1"/>
  <c r="L823" i="5" s="1"/>
  <c r="M823" i="5" s="1"/>
  <c r="H824" i="5"/>
  <c r="G825" i="5"/>
  <c r="J824" i="5" s="1"/>
  <c r="K824" i="5" s="1"/>
  <c r="L824" i="5" s="1"/>
  <c r="M824" i="5" s="1"/>
  <c r="I824" i="5"/>
  <c r="H825" i="5" l="1"/>
  <c r="I825" i="5"/>
  <c r="G826" i="5"/>
  <c r="J825" i="5" s="1"/>
  <c r="K825" i="5" s="1"/>
  <c r="L825" i="5" s="1"/>
  <c r="M825" i="5" s="1"/>
  <c r="H826" i="5" l="1"/>
  <c r="I826" i="5"/>
  <c r="G827" i="5"/>
  <c r="J826" i="5" s="1"/>
  <c r="K826" i="5" s="1"/>
  <c r="L826" i="5" s="1"/>
  <c r="M826" i="5" s="1"/>
  <c r="I827" i="5" l="1"/>
  <c r="H827" i="5"/>
  <c r="G828" i="5"/>
  <c r="J827" i="5" l="1"/>
  <c r="K827" i="5" s="1"/>
  <c r="L827" i="5" s="1"/>
  <c r="M827" i="5" s="1"/>
  <c r="G829" i="5"/>
  <c r="H828" i="5"/>
  <c r="I828" i="5"/>
  <c r="J828" i="5"/>
  <c r="K828" i="5" s="1"/>
  <c r="L828" i="5" s="1"/>
  <c r="M828" i="5" s="1"/>
  <c r="I829" i="5" l="1"/>
  <c r="G830" i="5"/>
  <c r="H829" i="5"/>
  <c r="G831" i="5" l="1"/>
  <c r="H830" i="5"/>
  <c r="I830" i="5"/>
  <c r="J829" i="5"/>
  <c r="K829" i="5" s="1"/>
  <c r="L829" i="5" s="1"/>
  <c r="M829" i="5" s="1"/>
  <c r="J830" i="5" l="1"/>
  <c r="K830" i="5" s="1"/>
  <c r="L830" i="5" s="1"/>
  <c r="M830" i="5" s="1"/>
  <c r="I831" i="5"/>
  <c r="G832" i="5"/>
  <c r="J831" i="5" s="1"/>
  <c r="K831" i="5" s="1"/>
  <c r="H831" i="5"/>
  <c r="L831" i="5" l="1"/>
  <c r="M831" i="5" s="1"/>
  <c r="G833" i="5"/>
  <c r="H832" i="5"/>
  <c r="I832" i="5"/>
  <c r="J832" i="5" s="1"/>
  <c r="K832" i="5" s="1"/>
  <c r="L832" i="5" s="1"/>
  <c r="M832" i="5" s="1"/>
  <c r="H833" i="5" l="1"/>
  <c r="I833" i="5"/>
  <c r="G834" i="5"/>
  <c r="J833" i="5" s="1"/>
  <c r="K833" i="5" s="1"/>
  <c r="L833" i="5" s="1"/>
  <c r="M833" i="5" s="1"/>
  <c r="H834" i="5" l="1"/>
  <c r="G835" i="5"/>
  <c r="J834" i="5" s="1"/>
  <c r="K834" i="5" s="1"/>
  <c r="L834" i="5" s="1"/>
  <c r="M834" i="5" s="1"/>
  <c r="I834" i="5"/>
  <c r="G836" i="5" l="1"/>
  <c r="H835" i="5"/>
  <c r="I835" i="5"/>
  <c r="J835" i="5" l="1"/>
  <c r="K835" i="5" s="1"/>
  <c r="L835" i="5" s="1"/>
  <c r="M835" i="5" s="1"/>
  <c r="I836" i="5"/>
  <c r="G837" i="5"/>
  <c r="H836" i="5"/>
  <c r="H837" i="5" l="1"/>
  <c r="G838" i="5"/>
  <c r="I837" i="5"/>
  <c r="J836" i="5"/>
  <c r="K836" i="5" s="1"/>
  <c r="L836" i="5" s="1"/>
  <c r="M836" i="5" s="1"/>
  <c r="J837" i="5" l="1"/>
  <c r="K837" i="5" s="1"/>
  <c r="L837" i="5" s="1"/>
  <c r="M837" i="5" s="1"/>
  <c r="G839" i="5"/>
  <c r="J838" i="5" s="1"/>
  <c r="K838" i="5" s="1"/>
  <c r="L838" i="5" s="1"/>
  <c r="M838" i="5" s="1"/>
  <c r="H838" i="5"/>
  <c r="I838" i="5"/>
  <c r="I839" i="5" l="1"/>
  <c r="G840" i="5"/>
  <c r="H839" i="5"/>
  <c r="J839" i="5" l="1"/>
  <c r="K839" i="5" s="1"/>
  <c r="L839" i="5" s="1"/>
  <c r="M839" i="5" s="1"/>
  <c r="G841" i="5"/>
  <c r="J840" i="5" s="1"/>
  <c r="K840" i="5" s="1"/>
  <c r="L840" i="5" s="1"/>
  <c r="M840" i="5" s="1"/>
  <c r="I840" i="5"/>
  <c r="H840" i="5"/>
  <c r="H841" i="5" l="1"/>
  <c r="I841" i="5"/>
  <c r="G842" i="5"/>
  <c r="J841" i="5" s="1"/>
  <c r="K841" i="5" s="1"/>
  <c r="L841" i="5" s="1"/>
  <c r="M841" i="5" s="1"/>
  <c r="I842" i="5" l="1"/>
  <c r="G843" i="5"/>
  <c r="J842" i="5" s="1"/>
  <c r="K842" i="5" s="1"/>
  <c r="L842" i="5" s="1"/>
  <c r="M842" i="5" s="1"/>
  <c r="H842" i="5"/>
  <c r="I843" i="5" l="1"/>
  <c r="H843" i="5"/>
  <c r="G844" i="5"/>
  <c r="J843" i="5" l="1"/>
  <c r="K843" i="5" s="1"/>
  <c r="L843" i="5" s="1"/>
  <c r="M843" i="5" s="1"/>
  <c r="H844" i="5"/>
  <c r="G845" i="5"/>
  <c r="J844" i="5" s="1"/>
  <c r="K844" i="5" s="1"/>
  <c r="L844" i="5" s="1"/>
  <c r="M844" i="5" s="1"/>
  <c r="I844" i="5"/>
  <c r="G846" i="5" l="1"/>
  <c r="H845" i="5"/>
  <c r="I845" i="5"/>
  <c r="J845" i="5" l="1"/>
  <c r="K845" i="5" s="1"/>
  <c r="L845" i="5" s="1"/>
  <c r="M845" i="5" s="1"/>
  <c r="I846" i="5"/>
  <c r="G847" i="5"/>
  <c r="J846" i="5" s="1"/>
  <c r="K846" i="5" s="1"/>
  <c r="L846" i="5" s="1"/>
  <c r="M846" i="5" s="1"/>
  <c r="H846" i="5"/>
  <c r="I847" i="5" l="1"/>
  <c r="G848" i="5"/>
  <c r="H847" i="5"/>
  <c r="J847" i="5" l="1"/>
  <c r="K847" i="5" s="1"/>
  <c r="L847" i="5" s="1"/>
  <c r="M847" i="5" s="1"/>
  <c r="H848" i="5"/>
  <c r="I848" i="5"/>
  <c r="G849" i="5"/>
  <c r="J848" i="5" s="1"/>
  <c r="K848" i="5" s="1"/>
  <c r="L848" i="5" s="1"/>
  <c r="M848" i="5" s="1"/>
  <c r="G850" i="5" l="1"/>
  <c r="H849" i="5"/>
  <c r="I849" i="5"/>
  <c r="J849" i="5"/>
  <c r="K849" i="5" s="1"/>
  <c r="L849" i="5" s="1"/>
  <c r="M849" i="5" s="1"/>
  <c r="G851" i="5" l="1"/>
  <c r="I850" i="5"/>
  <c r="H850" i="5"/>
  <c r="J850" i="5"/>
  <c r="K850" i="5" s="1"/>
  <c r="L850" i="5" s="1"/>
  <c r="M850" i="5" s="1"/>
  <c r="H851" i="5" l="1"/>
  <c r="I851" i="5"/>
  <c r="G852" i="5"/>
  <c r="J851" i="5" l="1"/>
  <c r="K851" i="5" s="1"/>
  <c r="L851" i="5" s="1"/>
  <c r="M851" i="5" s="1"/>
  <c r="H852" i="5"/>
  <c r="G853" i="5"/>
  <c r="J852" i="5" s="1"/>
  <c r="K852" i="5" s="1"/>
  <c r="I852" i="5"/>
  <c r="L852" i="5" l="1"/>
  <c r="M852" i="5" s="1"/>
  <c r="I853" i="5"/>
  <c r="G854" i="5"/>
  <c r="H853" i="5"/>
  <c r="I854" i="5" l="1"/>
  <c r="H854" i="5"/>
  <c r="G855" i="5"/>
  <c r="J853" i="5"/>
  <c r="K853" i="5" s="1"/>
  <c r="L853" i="5" s="1"/>
  <c r="M853" i="5" s="1"/>
  <c r="J854" i="5" l="1"/>
  <c r="K854" i="5" s="1"/>
  <c r="L854" i="5" s="1"/>
  <c r="M854" i="5" s="1"/>
  <c r="I855" i="5"/>
  <c r="G856" i="5"/>
  <c r="J855" i="5" s="1"/>
  <c r="K855" i="5" s="1"/>
  <c r="H855" i="5"/>
  <c r="L855" i="5" l="1"/>
  <c r="M855" i="5" s="1"/>
  <c r="G857" i="5"/>
  <c r="H856" i="5"/>
  <c r="I856" i="5"/>
  <c r="J856" i="5" l="1"/>
  <c r="K856" i="5" s="1"/>
  <c r="L856" i="5" s="1"/>
  <c r="M856" i="5" s="1"/>
  <c r="H857" i="5"/>
  <c r="I857" i="5"/>
  <c r="G858" i="5"/>
  <c r="J857" i="5" s="1"/>
  <c r="K857" i="5" s="1"/>
  <c r="L857" i="5" s="1"/>
  <c r="M857" i="5" s="1"/>
  <c r="I858" i="5" l="1"/>
  <c r="G859" i="5"/>
  <c r="J858" i="5" s="1"/>
  <c r="K858" i="5" s="1"/>
  <c r="L858" i="5" s="1"/>
  <c r="M858" i="5" s="1"/>
  <c r="H858" i="5"/>
  <c r="I859" i="5" l="1"/>
  <c r="H859" i="5"/>
  <c r="G860" i="5"/>
  <c r="G861" i="5" l="1"/>
  <c r="H860" i="5"/>
  <c r="I860" i="5"/>
  <c r="J860" i="5"/>
  <c r="K860" i="5" s="1"/>
  <c r="J859" i="5"/>
  <c r="K859" i="5" s="1"/>
  <c r="L859" i="5" s="1"/>
  <c r="M859" i="5" s="1"/>
  <c r="L860" i="5" l="1"/>
  <c r="M860" i="5" s="1"/>
  <c r="I861" i="5"/>
  <c r="H861" i="5"/>
  <c r="G862" i="5"/>
  <c r="J861" i="5" l="1"/>
  <c r="K861" i="5" s="1"/>
  <c r="L861" i="5" s="1"/>
  <c r="M861" i="5" s="1"/>
  <c r="H862" i="5"/>
  <c r="G863" i="5"/>
  <c r="I862" i="5"/>
  <c r="I863" i="5" l="1"/>
  <c r="G864" i="5"/>
  <c r="J863" i="5" s="1"/>
  <c r="K863" i="5" s="1"/>
  <c r="H863" i="5"/>
  <c r="J862" i="5"/>
  <c r="K862" i="5" s="1"/>
  <c r="L862" i="5" s="1"/>
  <c r="M862" i="5" s="1"/>
  <c r="L863" i="5" l="1"/>
  <c r="M863" i="5" s="1"/>
  <c r="I864" i="5"/>
  <c r="G865" i="5"/>
  <c r="J864" i="5" s="1"/>
  <c r="K864" i="5" s="1"/>
  <c r="H864" i="5"/>
  <c r="L864" i="5" l="1"/>
  <c r="M864" i="5" s="1"/>
  <c r="H865" i="5"/>
  <c r="I865" i="5"/>
  <c r="G866" i="5"/>
  <c r="H866" i="5" l="1"/>
  <c r="I866" i="5"/>
  <c r="G867" i="5"/>
  <c r="J865" i="5"/>
  <c r="K865" i="5" s="1"/>
  <c r="L865" i="5" s="1"/>
  <c r="M865" i="5" s="1"/>
  <c r="I867" i="5" l="1"/>
  <c r="H867" i="5"/>
  <c r="G868" i="5"/>
  <c r="J866" i="5"/>
  <c r="K866" i="5" s="1"/>
  <c r="L866" i="5" s="1"/>
  <c r="M866" i="5" s="1"/>
  <c r="H868" i="5" l="1"/>
  <c r="I868" i="5"/>
  <c r="G869" i="5"/>
  <c r="J868" i="5" s="1"/>
  <c r="K868" i="5" s="1"/>
  <c r="J867" i="5"/>
  <c r="K867" i="5" s="1"/>
  <c r="L867" i="5" s="1"/>
  <c r="M867" i="5" s="1"/>
  <c r="L868" i="5" l="1"/>
  <c r="M868" i="5" s="1"/>
  <c r="H869" i="5"/>
  <c r="I869" i="5"/>
  <c r="G870" i="5"/>
  <c r="J869" i="5" s="1"/>
  <c r="K869" i="5" s="1"/>
  <c r="L869" i="5" l="1"/>
  <c r="M869" i="5" s="1"/>
  <c r="H870" i="5"/>
  <c r="I870" i="5"/>
  <c r="G871" i="5"/>
  <c r="J870" i="5" l="1"/>
  <c r="K870" i="5" s="1"/>
  <c r="L870" i="5" s="1"/>
  <c r="M870" i="5" s="1"/>
  <c r="G872" i="5"/>
  <c r="H871" i="5"/>
  <c r="I871" i="5"/>
  <c r="J871" i="5" l="1"/>
  <c r="K871" i="5" s="1"/>
  <c r="L871" i="5" s="1"/>
  <c r="M871" i="5" s="1"/>
  <c r="H872" i="5"/>
  <c r="G873" i="5"/>
  <c r="J872" i="5" s="1"/>
  <c r="K872" i="5" s="1"/>
  <c r="I872" i="5"/>
  <c r="L872" i="5" l="1"/>
  <c r="M872" i="5" s="1"/>
  <c r="I873" i="5"/>
  <c r="G874" i="5"/>
  <c r="J873" i="5" s="1"/>
  <c r="K873" i="5" s="1"/>
  <c r="L873" i="5" s="1"/>
  <c r="M873" i="5" s="1"/>
  <c r="H873" i="5"/>
  <c r="H874" i="5" l="1"/>
  <c r="I874" i="5"/>
  <c r="G875" i="5"/>
  <c r="J874" i="5" s="1"/>
  <c r="K874" i="5" s="1"/>
  <c r="L874" i="5" s="1"/>
  <c r="M874" i="5" s="1"/>
  <c r="H875" i="5" l="1"/>
  <c r="I875" i="5"/>
  <c r="G876" i="5"/>
  <c r="J875" i="5" l="1"/>
  <c r="K875" i="5" s="1"/>
  <c r="L875" i="5" s="1"/>
  <c r="M875" i="5" s="1"/>
  <c r="H876" i="5"/>
  <c r="I876" i="5"/>
  <c r="G877" i="5"/>
  <c r="J876" i="5" l="1"/>
  <c r="K876" i="5" s="1"/>
  <c r="L876" i="5" s="1"/>
  <c r="M876" i="5" s="1"/>
  <c r="I877" i="5"/>
  <c r="G878" i="5"/>
  <c r="J877" i="5" s="1"/>
  <c r="K877" i="5" s="1"/>
  <c r="L877" i="5" s="1"/>
  <c r="M877" i="5" s="1"/>
  <c r="H877" i="5"/>
  <c r="I878" i="5" l="1"/>
  <c r="H878" i="5"/>
  <c r="G879" i="5"/>
  <c r="I879" i="5" l="1"/>
  <c r="G880" i="5"/>
  <c r="J879" i="5" s="1"/>
  <c r="K879" i="5" s="1"/>
  <c r="H879" i="5"/>
  <c r="J878" i="5"/>
  <c r="K878" i="5" s="1"/>
  <c r="L878" i="5" s="1"/>
  <c r="M878" i="5" s="1"/>
  <c r="L879" i="5" l="1"/>
  <c r="M879" i="5" s="1"/>
  <c r="G881" i="5"/>
  <c r="H880" i="5"/>
  <c r="I880" i="5"/>
  <c r="J880" i="5" l="1"/>
  <c r="K880" i="5" s="1"/>
  <c r="L880" i="5" s="1"/>
  <c r="M880" i="5" s="1"/>
  <c r="H881" i="5"/>
  <c r="I881" i="5"/>
  <c r="G882" i="5"/>
  <c r="J881" i="5" s="1"/>
  <c r="K881" i="5" s="1"/>
  <c r="L881" i="5" s="1"/>
  <c r="M881" i="5" s="1"/>
  <c r="I882" i="5" l="1"/>
  <c r="H882" i="5"/>
  <c r="G883" i="5"/>
  <c r="G884" i="5" l="1"/>
  <c r="H883" i="5"/>
  <c r="I883" i="5"/>
  <c r="J882" i="5"/>
  <c r="K882" i="5" s="1"/>
  <c r="L882" i="5" s="1"/>
  <c r="M882" i="5" s="1"/>
  <c r="J883" i="5" l="1"/>
  <c r="K883" i="5" s="1"/>
  <c r="L883" i="5" s="1"/>
  <c r="M883" i="5" s="1"/>
  <c r="H884" i="5"/>
  <c r="G885" i="5"/>
  <c r="J884" i="5" s="1"/>
  <c r="K884" i="5" s="1"/>
  <c r="L884" i="5" s="1"/>
  <c r="M884" i="5" s="1"/>
  <c r="I884" i="5"/>
  <c r="I885" i="5" l="1"/>
  <c r="H885" i="5"/>
  <c r="G886" i="5"/>
  <c r="J885" i="5" s="1"/>
  <c r="K885" i="5" s="1"/>
  <c r="L885" i="5" s="1"/>
  <c r="M885" i="5" s="1"/>
  <c r="H886" i="5" l="1"/>
  <c r="G887" i="5"/>
  <c r="J886" i="5" s="1"/>
  <c r="K886" i="5" s="1"/>
  <c r="L886" i="5" s="1"/>
  <c r="M886" i="5" s="1"/>
  <c r="I886" i="5"/>
  <c r="G888" i="5" l="1"/>
  <c r="H887" i="5"/>
  <c r="I887" i="5"/>
  <c r="J887" i="5"/>
  <c r="K887" i="5" s="1"/>
  <c r="L887" i="5" s="1"/>
  <c r="M887" i="5" s="1"/>
  <c r="I888" i="5" l="1"/>
  <c r="G889" i="5"/>
  <c r="J888" i="5" s="1"/>
  <c r="K888" i="5" s="1"/>
  <c r="L888" i="5" s="1"/>
  <c r="M888" i="5" s="1"/>
  <c r="H888" i="5"/>
  <c r="H889" i="5" l="1"/>
  <c r="I889" i="5"/>
  <c r="G890" i="5"/>
  <c r="J889" i="5" s="1"/>
  <c r="K889" i="5" s="1"/>
  <c r="L889" i="5" s="1"/>
  <c r="M889" i="5" s="1"/>
  <c r="I890" i="5" l="1"/>
  <c r="G891" i="5"/>
  <c r="J890" i="5" s="1"/>
  <c r="K890" i="5" s="1"/>
  <c r="L890" i="5" s="1"/>
  <c r="M890" i="5" s="1"/>
  <c r="H890" i="5"/>
  <c r="H891" i="5" l="1"/>
  <c r="G892" i="5"/>
  <c r="I891" i="5"/>
  <c r="J891" i="5"/>
  <c r="K891" i="5" s="1"/>
  <c r="L891" i="5" s="1"/>
  <c r="M891" i="5" s="1"/>
  <c r="H892" i="5" l="1"/>
  <c r="I892" i="5"/>
  <c r="G893" i="5"/>
  <c r="J892" i="5" s="1"/>
  <c r="K892" i="5" s="1"/>
  <c r="L892" i="5" s="1"/>
  <c r="M892" i="5" s="1"/>
  <c r="I893" i="5" l="1"/>
  <c r="G894" i="5"/>
  <c r="J893" i="5" s="1"/>
  <c r="K893" i="5" s="1"/>
  <c r="L893" i="5" s="1"/>
  <c r="M893" i="5" s="1"/>
  <c r="H893" i="5"/>
  <c r="H894" i="5" l="1"/>
  <c r="I894" i="5"/>
  <c r="G895" i="5"/>
  <c r="J894" i="5" s="1"/>
  <c r="K894" i="5" s="1"/>
  <c r="L894" i="5" s="1"/>
  <c r="M894" i="5" s="1"/>
  <c r="G896" i="5" l="1"/>
  <c r="I895" i="5"/>
  <c r="J895" i="5" s="1"/>
  <c r="K895" i="5" s="1"/>
  <c r="L895" i="5" s="1"/>
  <c r="M895" i="5" s="1"/>
  <c r="H895" i="5"/>
  <c r="I896" i="5" l="1"/>
  <c r="H896" i="5"/>
  <c r="G897" i="5"/>
  <c r="J896" i="5" s="1"/>
  <c r="K896" i="5" s="1"/>
  <c r="L896" i="5" s="1"/>
  <c r="M896" i="5" s="1"/>
  <c r="I897" i="5" l="1"/>
  <c r="H897" i="5"/>
  <c r="G898" i="5"/>
  <c r="I898" i="5" l="1"/>
  <c r="H898" i="5"/>
  <c r="G899" i="5"/>
  <c r="J897" i="5"/>
  <c r="K897" i="5" s="1"/>
  <c r="L897" i="5" s="1"/>
  <c r="M897" i="5" s="1"/>
  <c r="G900" i="5" l="1"/>
  <c r="H899" i="5"/>
  <c r="I899" i="5"/>
  <c r="J899" i="5"/>
  <c r="K899" i="5" s="1"/>
  <c r="J898" i="5"/>
  <c r="K898" i="5" s="1"/>
  <c r="L898" i="5" s="1"/>
  <c r="M898" i="5" s="1"/>
  <c r="L899" i="5" l="1"/>
  <c r="M899" i="5" s="1"/>
  <c r="G901" i="5"/>
  <c r="H900" i="5"/>
  <c r="I900" i="5"/>
  <c r="J900" i="5" s="1"/>
  <c r="K900" i="5" s="1"/>
  <c r="L900" i="5" s="1"/>
  <c r="M900" i="5" s="1"/>
  <c r="G902" i="5" l="1"/>
  <c r="H901" i="5"/>
  <c r="I901" i="5"/>
  <c r="J901" i="5" l="1"/>
  <c r="K901" i="5" s="1"/>
  <c r="L901" i="5" s="1"/>
  <c r="M901" i="5" s="1"/>
  <c r="H902" i="5"/>
  <c r="I902" i="5"/>
  <c r="G903" i="5"/>
  <c r="J902" i="5" s="1"/>
  <c r="K902" i="5" s="1"/>
  <c r="L902" i="5" s="1"/>
  <c r="M902" i="5" s="1"/>
  <c r="H903" i="5" l="1"/>
  <c r="G904" i="5"/>
  <c r="J903" i="5" s="1"/>
  <c r="K903" i="5" s="1"/>
  <c r="L903" i="5" s="1"/>
  <c r="M903" i="5" s="1"/>
  <c r="I903" i="5"/>
  <c r="I904" i="5" l="1"/>
  <c r="H904" i="5"/>
  <c r="G905" i="5"/>
  <c r="H905" i="5" l="1"/>
  <c r="I905" i="5"/>
  <c r="G906" i="5"/>
  <c r="J905" i="5" s="1"/>
  <c r="K905" i="5" s="1"/>
  <c r="J904" i="5"/>
  <c r="K904" i="5" s="1"/>
  <c r="L904" i="5" s="1"/>
  <c r="M904" i="5" s="1"/>
  <c r="L905" i="5" l="1"/>
  <c r="M905" i="5" s="1"/>
  <c r="H906" i="5"/>
  <c r="G907" i="5"/>
  <c r="J906" i="5" s="1"/>
  <c r="K906" i="5" s="1"/>
  <c r="L906" i="5" s="1"/>
  <c r="M906" i="5" s="1"/>
  <c r="I906" i="5"/>
  <c r="G908" i="5" l="1"/>
  <c r="I907" i="5"/>
  <c r="H907" i="5"/>
  <c r="I908" i="5" l="1"/>
  <c r="G909" i="5"/>
  <c r="H908" i="5"/>
  <c r="J907" i="5"/>
  <c r="K907" i="5" s="1"/>
  <c r="L907" i="5" s="1"/>
  <c r="M907" i="5" s="1"/>
  <c r="J908" i="5" l="1"/>
  <c r="K908" i="5" s="1"/>
  <c r="L908" i="5" s="1"/>
  <c r="M908" i="5" s="1"/>
  <c r="I909" i="5"/>
  <c r="H909" i="5"/>
  <c r="G910" i="5"/>
  <c r="J909" i="5" l="1"/>
  <c r="K909" i="5" s="1"/>
  <c r="L909" i="5" s="1"/>
  <c r="M909" i="5" s="1"/>
  <c r="H910" i="5"/>
  <c r="I910" i="5"/>
  <c r="G911" i="5"/>
  <c r="J910" i="5" s="1"/>
  <c r="K910" i="5" s="1"/>
  <c r="L910" i="5" l="1"/>
  <c r="M910" i="5" s="1"/>
  <c r="G912" i="5"/>
  <c r="J911" i="5" s="1"/>
  <c r="K911" i="5" s="1"/>
  <c r="H911" i="5"/>
  <c r="I911" i="5"/>
  <c r="L911" i="5" l="1"/>
  <c r="M911" i="5" s="1"/>
  <c r="I912" i="5"/>
  <c r="G913" i="5"/>
  <c r="H912" i="5"/>
  <c r="J912" i="5" l="1"/>
  <c r="K912" i="5" s="1"/>
  <c r="L912" i="5" s="1"/>
  <c r="M912" i="5" s="1"/>
  <c r="H913" i="5"/>
  <c r="G914" i="5"/>
  <c r="J913" i="5" s="1"/>
  <c r="K913" i="5" s="1"/>
  <c r="L913" i="5" s="1"/>
  <c r="M913" i="5" s="1"/>
  <c r="I913" i="5"/>
  <c r="I914" i="5" l="1"/>
  <c r="H914" i="5"/>
  <c r="G915" i="5"/>
  <c r="J914" i="5" s="1"/>
  <c r="K914" i="5" s="1"/>
  <c r="L914" i="5" s="1"/>
  <c r="M914" i="5" s="1"/>
  <c r="G916" i="5" l="1"/>
  <c r="J915" i="5" s="1"/>
  <c r="K915" i="5" s="1"/>
  <c r="L915" i="5" s="1"/>
  <c r="M915" i="5" s="1"/>
  <c r="I915" i="5"/>
  <c r="H915" i="5"/>
  <c r="G917" i="5" l="1"/>
  <c r="I916" i="5"/>
  <c r="H916" i="5"/>
  <c r="J916" i="5" l="1"/>
  <c r="K916" i="5" s="1"/>
  <c r="L916" i="5" s="1"/>
  <c r="M916" i="5" s="1"/>
  <c r="I917" i="5"/>
  <c r="H917" i="5"/>
  <c r="G918" i="5"/>
  <c r="J917" i="5" l="1"/>
  <c r="K917" i="5" s="1"/>
  <c r="L917" i="5" s="1"/>
  <c r="M917" i="5" s="1"/>
  <c r="H918" i="5"/>
  <c r="I918" i="5"/>
  <c r="G919" i="5"/>
  <c r="G920" i="5" l="1"/>
  <c r="I919" i="5"/>
  <c r="H919" i="5"/>
  <c r="J918" i="5"/>
  <c r="K918" i="5" s="1"/>
  <c r="L918" i="5" s="1"/>
  <c r="M918" i="5" s="1"/>
  <c r="J919" i="5" l="1"/>
  <c r="K919" i="5" s="1"/>
  <c r="L919" i="5" s="1"/>
  <c r="M919" i="5" s="1"/>
  <c r="G921" i="5"/>
  <c r="J920" i="5" s="1"/>
  <c r="K920" i="5" s="1"/>
  <c r="L920" i="5" s="1"/>
  <c r="M920" i="5" s="1"/>
  <c r="H920" i="5"/>
  <c r="I920" i="5"/>
  <c r="H921" i="5" l="1"/>
  <c r="G922" i="5"/>
  <c r="J921" i="5" s="1"/>
  <c r="K921" i="5" s="1"/>
  <c r="L921" i="5" s="1"/>
  <c r="M921" i="5" s="1"/>
  <c r="I921" i="5"/>
  <c r="H922" i="5" l="1"/>
  <c r="I922" i="5"/>
  <c r="G923" i="5"/>
  <c r="G924" i="5" l="1"/>
  <c r="H923" i="5"/>
  <c r="I923" i="5"/>
  <c r="J922" i="5"/>
  <c r="K922" i="5" s="1"/>
  <c r="L922" i="5" s="1"/>
  <c r="M922" i="5" s="1"/>
  <c r="G925" i="5" l="1"/>
  <c r="I924" i="5"/>
  <c r="H924" i="5"/>
  <c r="J924" i="5" s="1"/>
  <c r="K924" i="5" s="1"/>
  <c r="L924" i="5" s="1"/>
  <c r="M924" i="5" s="1"/>
  <c r="J923" i="5"/>
  <c r="K923" i="5" s="1"/>
  <c r="L923" i="5" s="1"/>
  <c r="M923" i="5" s="1"/>
  <c r="G926" i="5" l="1"/>
  <c r="H925" i="5"/>
  <c r="I925" i="5"/>
  <c r="J925" i="5"/>
  <c r="K925" i="5" s="1"/>
  <c r="L925" i="5" s="1"/>
  <c r="M925" i="5" s="1"/>
  <c r="G927" i="5" l="1"/>
  <c r="I926" i="5"/>
  <c r="H926" i="5"/>
  <c r="J926" i="5"/>
  <c r="K926" i="5" s="1"/>
  <c r="L926" i="5" s="1"/>
  <c r="M926" i="5" s="1"/>
  <c r="H927" i="5" l="1"/>
  <c r="I927" i="5"/>
  <c r="G928" i="5"/>
  <c r="J927" i="5" s="1"/>
  <c r="K927" i="5" s="1"/>
  <c r="L927" i="5" s="1"/>
  <c r="M927" i="5" s="1"/>
  <c r="H928" i="5" l="1"/>
  <c r="G929" i="5"/>
  <c r="I928" i="5"/>
  <c r="J928" i="5" l="1"/>
  <c r="K928" i="5" s="1"/>
  <c r="L928" i="5" s="1"/>
  <c r="M928" i="5" s="1"/>
  <c r="G930" i="5"/>
  <c r="H929" i="5"/>
  <c r="I929" i="5"/>
  <c r="J929" i="5" l="1"/>
  <c r="K929" i="5" s="1"/>
  <c r="L929" i="5" s="1"/>
  <c r="M929" i="5" s="1"/>
  <c r="I930" i="5"/>
  <c r="G931" i="5"/>
  <c r="J930" i="5" s="1"/>
  <c r="K930" i="5" s="1"/>
  <c r="H930" i="5"/>
  <c r="L930" i="5" l="1"/>
  <c r="M930" i="5" s="1"/>
  <c r="H931" i="5"/>
  <c r="G932" i="5"/>
  <c r="J931" i="5" s="1"/>
  <c r="K931" i="5" s="1"/>
  <c r="L931" i="5" s="1"/>
  <c r="M931" i="5" s="1"/>
  <c r="I931" i="5"/>
  <c r="I932" i="5" l="1"/>
  <c r="G933" i="5"/>
  <c r="J932" i="5" s="1"/>
  <c r="K932" i="5" s="1"/>
  <c r="L932" i="5" s="1"/>
  <c r="M932" i="5" s="1"/>
  <c r="H932" i="5"/>
  <c r="G934" i="5" l="1"/>
  <c r="H933" i="5"/>
  <c r="I933" i="5"/>
  <c r="J933" i="5"/>
  <c r="K933" i="5" s="1"/>
  <c r="L933" i="5" s="1"/>
  <c r="M933" i="5" s="1"/>
  <c r="H934" i="5" l="1"/>
  <c r="I934" i="5"/>
  <c r="G935" i="5"/>
  <c r="J934" i="5" s="1"/>
  <c r="K934" i="5" s="1"/>
  <c r="L934" i="5" s="1"/>
  <c r="M934" i="5" s="1"/>
  <c r="G936" i="5" l="1"/>
  <c r="H935" i="5"/>
  <c r="I935" i="5"/>
  <c r="J935" i="5"/>
  <c r="K935" i="5" s="1"/>
  <c r="L935" i="5" s="1"/>
  <c r="M935" i="5" s="1"/>
  <c r="G937" i="5" l="1"/>
  <c r="H936" i="5"/>
  <c r="I936" i="5"/>
  <c r="J936" i="5"/>
  <c r="K936" i="5" s="1"/>
  <c r="L936" i="5" s="1"/>
  <c r="M936" i="5" s="1"/>
  <c r="G938" i="5" l="1"/>
  <c r="I937" i="5"/>
  <c r="H937" i="5"/>
  <c r="J937" i="5"/>
  <c r="K937" i="5" s="1"/>
  <c r="L937" i="5" s="1"/>
  <c r="M937" i="5" s="1"/>
  <c r="G939" i="5" l="1"/>
  <c r="J938" i="5" s="1"/>
  <c r="K938" i="5" s="1"/>
  <c r="L938" i="5" s="1"/>
  <c r="M938" i="5" s="1"/>
  <c r="I938" i="5"/>
  <c r="H938" i="5"/>
  <c r="I939" i="5" l="1"/>
  <c r="H939" i="5"/>
  <c r="G940" i="5"/>
  <c r="J939" i="5" l="1"/>
  <c r="K939" i="5" s="1"/>
  <c r="L939" i="5" s="1"/>
  <c r="M939" i="5" s="1"/>
  <c r="H940" i="5"/>
  <c r="I940" i="5"/>
  <c r="G941" i="5"/>
  <c r="J940" i="5" l="1"/>
  <c r="K940" i="5" s="1"/>
  <c r="L940" i="5" s="1"/>
  <c r="M940" i="5" s="1"/>
  <c r="G942" i="5"/>
  <c r="H941" i="5"/>
  <c r="I941" i="5"/>
  <c r="J941" i="5"/>
  <c r="K941" i="5" s="1"/>
  <c r="L941" i="5" s="1"/>
  <c r="M941" i="5" s="1"/>
  <c r="I942" i="5" l="1"/>
  <c r="H942" i="5"/>
  <c r="G943" i="5"/>
  <c r="J942" i="5" s="1"/>
  <c r="K942" i="5" s="1"/>
  <c r="L942" i="5" s="1"/>
  <c r="M942" i="5" s="1"/>
  <c r="I943" i="5" l="1"/>
  <c r="G944" i="5"/>
  <c r="H943" i="5"/>
  <c r="J943" i="5" l="1"/>
  <c r="K943" i="5" s="1"/>
  <c r="L943" i="5" s="1"/>
  <c r="M943" i="5" s="1"/>
  <c r="G945" i="5"/>
  <c r="J944" i="5" s="1"/>
  <c r="K944" i="5" s="1"/>
  <c r="L944" i="5" s="1"/>
  <c r="M944" i="5" s="1"/>
  <c r="H944" i="5"/>
  <c r="I944" i="5"/>
  <c r="H945" i="5" l="1"/>
  <c r="I945" i="5"/>
  <c r="G946" i="5"/>
  <c r="J945" i="5" l="1"/>
  <c r="K945" i="5" s="1"/>
  <c r="L945" i="5" s="1"/>
  <c r="M945" i="5" s="1"/>
  <c r="G947" i="5"/>
  <c r="J946" i="5" s="1"/>
  <c r="K946" i="5" s="1"/>
  <c r="L946" i="5" s="1"/>
  <c r="M946" i="5" s="1"/>
  <c r="H946" i="5"/>
  <c r="I946" i="5"/>
  <c r="G948" i="5" l="1"/>
  <c r="I947" i="5"/>
  <c r="H947" i="5"/>
  <c r="J947" i="5"/>
  <c r="K947" i="5" s="1"/>
  <c r="L947" i="5" s="1"/>
  <c r="M947" i="5" s="1"/>
  <c r="H948" i="5" l="1"/>
  <c r="G949" i="5"/>
  <c r="I948" i="5"/>
  <c r="J948" i="5" l="1"/>
  <c r="K948" i="5" s="1"/>
  <c r="L948" i="5" s="1"/>
  <c r="M948" i="5" s="1"/>
  <c r="H949" i="5"/>
  <c r="I949" i="5"/>
  <c r="G950" i="5"/>
  <c r="J949" i="5" l="1"/>
  <c r="K949" i="5" s="1"/>
  <c r="L949" i="5" s="1"/>
  <c r="M949" i="5" s="1"/>
  <c r="I950" i="5"/>
  <c r="H950" i="5"/>
  <c r="G951" i="5"/>
  <c r="J950" i="5" s="1"/>
  <c r="K950" i="5" s="1"/>
  <c r="L950" i="5" s="1"/>
  <c r="M950" i="5" s="1"/>
  <c r="I951" i="5" l="1"/>
  <c r="H951" i="5"/>
  <c r="G952" i="5"/>
  <c r="J951" i="5" s="1"/>
  <c r="K951" i="5" s="1"/>
  <c r="L951" i="5" s="1"/>
  <c r="M951" i="5" s="1"/>
  <c r="I952" i="5" l="1"/>
  <c r="H952" i="5"/>
  <c r="G953" i="5"/>
  <c r="G954" i="5" l="1"/>
  <c r="H953" i="5"/>
  <c r="I953" i="5"/>
  <c r="J952" i="5"/>
  <c r="K952" i="5" s="1"/>
  <c r="L952" i="5" s="1"/>
  <c r="M952" i="5" s="1"/>
  <c r="J953" i="5" l="1"/>
  <c r="K953" i="5" s="1"/>
  <c r="L953" i="5" s="1"/>
  <c r="M953" i="5" s="1"/>
  <c r="G955" i="5"/>
  <c r="H954" i="5"/>
  <c r="I954" i="5"/>
  <c r="J954" i="5"/>
  <c r="K954" i="5" s="1"/>
  <c r="L954" i="5" s="1"/>
  <c r="M954" i="5" s="1"/>
  <c r="H955" i="5" l="1"/>
  <c r="I955" i="5"/>
  <c r="G956" i="5"/>
  <c r="J955" i="5" l="1"/>
  <c r="K955" i="5" s="1"/>
  <c r="L955" i="5" s="1"/>
  <c r="M955" i="5" s="1"/>
  <c r="H956" i="5"/>
  <c r="G957" i="5"/>
  <c r="J956" i="5" s="1"/>
  <c r="K956" i="5" s="1"/>
  <c r="I956" i="5"/>
  <c r="L956" i="5" l="1"/>
  <c r="M956" i="5" s="1"/>
  <c r="I957" i="5"/>
  <c r="H957" i="5"/>
  <c r="G958" i="5"/>
  <c r="J957" i="5" s="1"/>
  <c r="K957" i="5" s="1"/>
  <c r="L957" i="5" s="1"/>
  <c r="M957" i="5" s="1"/>
  <c r="G959" i="5" l="1"/>
  <c r="H958" i="5"/>
  <c r="I958" i="5"/>
  <c r="J958" i="5" s="1"/>
  <c r="K958" i="5" s="1"/>
  <c r="L958" i="5" s="1"/>
  <c r="M958" i="5" s="1"/>
  <c r="I959" i="5" l="1"/>
  <c r="G960" i="5"/>
  <c r="J959" i="5" s="1"/>
  <c r="K959" i="5" s="1"/>
  <c r="L959" i="5" s="1"/>
  <c r="M959" i="5" s="1"/>
  <c r="H959" i="5"/>
  <c r="H960" i="5" l="1"/>
  <c r="G961" i="5"/>
  <c r="I960" i="5"/>
  <c r="J960" i="5" l="1"/>
  <c r="K960" i="5" s="1"/>
  <c r="L960" i="5" s="1"/>
  <c r="M960" i="5" s="1"/>
  <c r="G962" i="5"/>
  <c r="J961" i="5" s="1"/>
  <c r="K961" i="5" s="1"/>
  <c r="I961" i="5"/>
  <c r="H961" i="5"/>
  <c r="L961" i="5" l="1"/>
  <c r="M961" i="5" s="1"/>
  <c r="H962" i="5"/>
  <c r="I962" i="5"/>
  <c r="G963" i="5"/>
  <c r="J962" i="5" s="1"/>
  <c r="K962" i="5" s="1"/>
  <c r="L962" i="5" s="1"/>
  <c r="M962" i="5" s="1"/>
  <c r="G964" i="5" l="1"/>
  <c r="H963" i="5"/>
  <c r="I963" i="5"/>
  <c r="J963" i="5" l="1"/>
  <c r="K963" i="5" s="1"/>
  <c r="L963" i="5" s="1"/>
  <c r="M963" i="5" s="1"/>
  <c r="G965" i="5"/>
  <c r="J964" i="5" s="1"/>
  <c r="K964" i="5" s="1"/>
  <c r="H964" i="5"/>
  <c r="I964" i="5"/>
  <c r="L964" i="5" l="1"/>
  <c r="M964" i="5" s="1"/>
  <c r="H965" i="5"/>
  <c r="G966" i="5"/>
  <c r="I965" i="5"/>
  <c r="J965" i="5" l="1"/>
  <c r="K965" i="5" s="1"/>
  <c r="L965" i="5" s="1"/>
  <c r="M965" i="5" s="1"/>
  <c r="H966" i="5"/>
  <c r="I966" i="5"/>
  <c r="G967" i="5"/>
  <c r="J966" i="5" s="1"/>
  <c r="K966" i="5" s="1"/>
  <c r="L966" i="5" l="1"/>
  <c r="M966" i="5" s="1"/>
  <c r="G968" i="5"/>
  <c r="I967" i="5"/>
  <c r="H967" i="5"/>
  <c r="J967" i="5" l="1"/>
  <c r="K967" i="5" s="1"/>
  <c r="L967" i="5" s="1"/>
  <c r="M967" i="5" s="1"/>
  <c r="I968" i="5"/>
  <c r="G969" i="5"/>
  <c r="H968" i="5"/>
  <c r="J968" i="5" l="1"/>
  <c r="K968" i="5" s="1"/>
  <c r="L968" i="5" s="1"/>
  <c r="M968" i="5" s="1"/>
  <c r="I969" i="5"/>
  <c r="G970" i="5"/>
  <c r="H969" i="5"/>
  <c r="J969" i="5" l="1"/>
  <c r="K969" i="5" s="1"/>
  <c r="L969" i="5" s="1"/>
  <c r="M969" i="5" s="1"/>
  <c r="H970" i="5"/>
  <c r="I970" i="5"/>
  <c r="G971" i="5"/>
  <c r="J970" i="5" s="1"/>
  <c r="K970" i="5" s="1"/>
  <c r="L970" i="5" l="1"/>
  <c r="M970" i="5" s="1"/>
  <c r="I971" i="5"/>
  <c r="H971" i="5"/>
  <c r="G972" i="5"/>
  <c r="I972" i="5" l="1"/>
  <c r="G973" i="5"/>
  <c r="H972" i="5"/>
  <c r="J971" i="5"/>
  <c r="K971" i="5" s="1"/>
  <c r="L971" i="5" s="1"/>
  <c r="M971" i="5" s="1"/>
  <c r="J972" i="5" l="1"/>
  <c r="K972" i="5" s="1"/>
  <c r="L972" i="5" s="1"/>
  <c r="M972" i="5" s="1"/>
  <c r="I973" i="5"/>
  <c r="H973" i="5"/>
  <c r="G974" i="5"/>
  <c r="J973" i="5" s="1"/>
  <c r="K973" i="5" s="1"/>
  <c r="L973" i="5" s="1"/>
  <c r="M973" i="5" s="1"/>
  <c r="H974" i="5" l="1"/>
  <c r="G975" i="5"/>
  <c r="J974" i="5" s="1"/>
  <c r="K974" i="5" s="1"/>
  <c r="L974" i="5" s="1"/>
  <c r="M974" i="5" s="1"/>
  <c r="I974" i="5"/>
  <c r="I975" i="5" l="1"/>
  <c r="H975" i="5"/>
  <c r="G976" i="5"/>
  <c r="J975" i="5" s="1"/>
  <c r="K975" i="5" s="1"/>
  <c r="L975" i="5" s="1"/>
  <c r="M975" i="5" s="1"/>
  <c r="H976" i="5" l="1"/>
  <c r="I976" i="5"/>
  <c r="G977" i="5"/>
  <c r="J976" i="5" s="1"/>
  <c r="K976" i="5" s="1"/>
  <c r="L976" i="5" s="1"/>
  <c r="M976" i="5" s="1"/>
  <c r="H977" i="5" l="1"/>
  <c r="I977" i="5"/>
  <c r="G978" i="5"/>
  <c r="J977" i="5" l="1"/>
  <c r="K977" i="5" s="1"/>
  <c r="L977" i="5" s="1"/>
  <c r="M977" i="5" s="1"/>
  <c r="H978" i="5"/>
  <c r="I978" i="5"/>
  <c r="G979" i="5"/>
  <c r="G980" i="5" l="1"/>
  <c r="I979" i="5"/>
  <c r="H979" i="5"/>
  <c r="J978" i="5"/>
  <c r="K978" i="5" s="1"/>
  <c r="L978" i="5" s="1"/>
  <c r="M978" i="5" s="1"/>
  <c r="J979" i="5" l="1"/>
  <c r="K979" i="5" s="1"/>
  <c r="L979" i="5" s="1"/>
  <c r="M979" i="5" s="1"/>
  <c r="H980" i="5"/>
  <c r="G981" i="5"/>
  <c r="I980" i="5"/>
  <c r="J980" i="5" l="1"/>
  <c r="K980" i="5" s="1"/>
  <c r="L980" i="5" s="1"/>
  <c r="M980" i="5" s="1"/>
  <c r="H981" i="5"/>
  <c r="I981" i="5"/>
  <c r="G982" i="5"/>
  <c r="J981" i="5" l="1"/>
  <c r="K981" i="5" s="1"/>
  <c r="L981" i="5" s="1"/>
  <c r="M981" i="5" s="1"/>
  <c r="I982" i="5"/>
  <c r="H982" i="5"/>
  <c r="G983" i="5"/>
  <c r="J982" i="5" s="1"/>
  <c r="K982" i="5" s="1"/>
  <c r="L982" i="5" s="1"/>
  <c r="M982" i="5" s="1"/>
  <c r="H983" i="5" l="1"/>
  <c r="I983" i="5"/>
  <c r="G984" i="5"/>
  <c r="J983" i="5" s="1"/>
  <c r="K983" i="5" s="1"/>
  <c r="L983" i="5" s="1"/>
  <c r="M983" i="5" s="1"/>
  <c r="H984" i="5" l="1"/>
  <c r="I984" i="5"/>
  <c r="G985" i="5"/>
  <c r="J984" i="5" s="1"/>
  <c r="K984" i="5" s="1"/>
  <c r="L984" i="5" s="1"/>
  <c r="M984" i="5" s="1"/>
  <c r="H985" i="5" l="1"/>
  <c r="I985" i="5"/>
  <c r="G986" i="5"/>
  <c r="J985" i="5" s="1"/>
  <c r="K985" i="5" s="1"/>
  <c r="L985" i="5" s="1"/>
  <c r="M985" i="5" s="1"/>
  <c r="H986" i="5" l="1"/>
  <c r="I986" i="5"/>
  <c r="G987" i="5"/>
  <c r="J986" i="5" s="1"/>
  <c r="K986" i="5" s="1"/>
  <c r="L986" i="5" s="1"/>
  <c r="M986" i="5" s="1"/>
  <c r="I987" i="5" l="1"/>
  <c r="H987" i="5"/>
  <c r="G988" i="5"/>
  <c r="G989" i="5" l="1"/>
  <c r="J988" i="5" s="1"/>
  <c r="K988" i="5" s="1"/>
  <c r="I988" i="5"/>
  <c r="H988" i="5"/>
  <c r="J987" i="5"/>
  <c r="K987" i="5" s="1"/>
  <c r="L987" i="5" s="1"/>
  <c r="M987" i="5" s="1"/>
  <c r="L988" i="5" l="1"/>
  <c r="M988" i="5" s="1"/>
  <c r="H989" i="5"/>
  <c r="G990" i="5"/>
  <c r="I989" i="5"/>
  <c r="J989" i="5" l="1"/>
  <c r="K989" i="5" s="1"/>
  <c r="L989" i="5" s="1"/>
  <c r="M989" i="5" s="1"/>
  <c r="H990" i="5"/>
  <c r="G991" i="5"/>
  <c r="I990" i="5"/>
  <c r="J990" i="5"/>
  <c r="K990" i="5" s="1"/>
  <c r="L990" i="5" l="1"/>
  <c r="M990" i="5" s="1"/>
  <c r="H991" i="5"/>
  <c r="I991" i="5"/>
  <c r="G992" i="5"/>
  <c r="J991" i="5" l="1"/>
  <c r="K991" i="5" s="1"/>
  <c r="L991" i="5" s="1"/>
  <c r="M991" i="5" s="1"/>
  <c r="G993" i="5"/>
  <c r="J992" i="5" s="1"/>
  <c r="K992" i="5" s="1"/>
  <c r="I992" i="5"/>
  <c r="H992" i="5"/>
  <c r="L992" i="5" l="1"/>
  <c r="M992" i="5" s="1"/>
  <c r="H993" i="5"/>
  <c r="G994" i="5"/>
  <c r="J993" i="5" s="1"/>
  <c r="K993" i="5" s="1"/>
  <c r="L993" i="5" s="1"/>
  <c r="M993" i="5" s="1"/>
  <c r="I993" i="5"/>
  <c r="G995" i="5" l="1"/>
  <c r="J994" i="5" s="1"/>
  <c r="K994" i="5" s="1"/>
  <c r="L994" i="5" s="1"/>
  <c r="M994" i="5" s="1"/>
  <c r="H994" i="5"/>
  <c r="I994" i="5"/>
  <c r="I995" i="5" l="1"/>
  <c r="G996" i="5"/>
  <c r="H995" i="5"/>
  <c r="J995" i="5" l="1"/>
  <c r="K995" i="5" s="1"/>
  <c r="L995" i="5" s="1"/>
  <c r="M995" i="5" s="1"/>
  <c r="G997" i="5"/>
  <c r="H996" i="5"/>
  <c r="I996" i="5"/>
  <c r="J996" i="5" l="1"/>
  <c r="K996" i="5" s="1"/>
  <c r="L996" i="5" s="1"/>
  <c r="M996" i="5" s="1"/>
  <c r="H997" i="5"/>
  <c r="I997" i="5"/>
  <c r="G998" i="5"/>
  <c r="I998" i="5" l="1"/>
  <c r="H998" i="5"/>
  <c r="G999" i="5"/>
  <c r="J998" i="5" s="1"/>
  <c r="K998" i="5" s="1"/>
  <c r="J997" i="5"/>
  <c r="K997" i="5" s="1"/>
  <c r="L997" i="5" s="1"/>
  <c r="M997" i="5" s="1"/>
  <c r="L998" i="5" l="1"/>
  <c r="M998" i="5" s="1"/>
  <c r="H999" i="5"/>
  <c r="I999" i="5"/>
  <c r="G1000" i="5"/>
  <c r="J999" i="5" s="1"/>
  <c r="K999" i="5" s="1"/>
  <c r="L999" i="5" s="1"/>
  <c r="M999" i="5" s="1"/>
  <c r="H1000" i="5" l="1"/>
  <c r="I1000" i="5"/>
  <c r="G1001" i="5"/>
  <c r="H1001" i="5" l="1"/>
  <c r="G1002" i="5"/>
  <c r="I1001" i="5"/>
  <c r="J1000" i="5"/>
  <c r="K1000" i="5" s="1"/>
  <c r="L1000" i="5" s="1"/>
  <c r="M1000" i="5" s="1"/>
  <c r="J1001" i="5" l="1"/>
  <c r="K1001" i="5" s="1"/>
  <c r="L1001" i="5" s="1"/>
  <c r="M1001" i="5" s="1"/>
  <c r="I1002" i="5"/>
  <c r="H1002" i="5"/>
  <c r="G1003" i="5"/>
  <c r="J1002" i="5" s="1"/>
  <c r="K1002" i="5" s="1"/>
  <c r="L1002" i="5" s="1"/>
  <c r="M1002" i="5" s="1"/>
  <c r="H1003" i="5" l="1"/>
  <c r="I1003" i="5"/>
  <c r="G1004" i="5"/>
  <c r="J1003" i="5" l="1"/>
  <c r="K1003" i="5" s="1"/>
  <c r="L1003" i="5" s="1"/>
  <c r="M1003" i="5" s="1"/>
  <c r="I1004" i="5"/>
  <c r="H1004" i="5"/>
  <c r="G1005" i="5"/>
  <c r="J1004" i="5" l="1"/>
  <c r="K1004" i="5" s="1"/>
  <c r="L1004" i="5" s="1"/>
  <c r="M1004" i="5" s="1"/>
  <c r="H1005" i="5"/>
  <c r="I1005" i="5"/>
  <c r="G1006" i="5"/>
  <c r="J1005" i="5" s="1"/>
  <c r="K1005" i="5" s="1"/>
  <c r="L1005" i="5" s="1"/>
  <c r="M1005" i="5" s="1"/>
  <c r="H1006" i="5" l="1"/>
  <c r="I1006" i="5"/>
  <c r="G1007" i="5"/>
  <c r="J1006" i="5" s="1"/>
  <c r="K1006" i="5" s="1"/>
  <c r="L1006" i="5" s="1"/>
  <c r="M1006" i="5" s="1"/>
  <c r="G1008" i="5" l="1"/>
  <c r="H1007" i="5"/>
  <c r="I1007" i="5"/>
  <c r="J1007" i="5"/>
  <c r="K1007" i="5" s="1"/>
  <c r="L1007" i="5" s="1"/>
  <c r="M1007" i="5" s="1"/>
  <c r="H1008" i="5" l="1"/>
  <c r="G1009" i="5"/>
  <c r="I1008" i="5"/>
  <c r="J1008" i="5" l="1"/>
  <c r="K1008" i="5" s="1"/>
  <c r="L1008" i="5" s="1"/>
  <c r="M1008" i="5" s="1"/>
  <c r="H1009" i="5"/>
  <c r="G1010" i="5"/>
  <c r="J1009" i="5" s="1"/>
  <c r="K1009" i="5" s="1"/>
  <c r="I1009" i="5"/>
  <c r="L1009" i="5" l="1"/>
  <c r="M1009" i="5" s="1"/>
  <c r="I1010" i="5"/>
  <c r="H1010" i="5"/>
  <c r="G1011" i="5"/>
  <c r="J1010" i="5" s="1"/>
  <c r="K1010" i="5" s="1"/>
  <c r="L1010" i="5" s="1"/>
  <c r="M1010" i="5" s="1"/>
  <c r="H1011" i="5" l="1"/>
  <c r="I1011" i="5"/>
  <c r="G1012" i="5"/>
  <c r="G1013" i="5" l="1"/>
  <c r="J1012" i="5" s="1"/>
  <c r="K1012" i="5" s="1"/>
  <c r="I1012" i="5"/>
  <c r="H1012" i="5"/>
  <c r="J1011" i="5"/>
  <c r="K1011" i="5" s="1"/>
  <c r="L1011" i="5" s="1"/>
  <c r="M1011" i="5" s="1"/>
  <c r="L1012" i="5" l="1"/>
  <c r="M1012" i="5" s="1"/>
  <c r="G1014" i="5"/>
  <c r="J1013" i="5" s="1"/>
  <c r="K1013" i="5" s="1"/>
  <c r="L1013" i="5" s="1"/>
  <c r="M1013" i="5" s="1"/>
  <c r="H1013" i="5"/>
  <c r="I1013" i="5"/>
  <c r="I1014" i="5" l="1"/>
  <c r="H1014" i="5"/>
  <c r="G1015" i="5"/>
  <c r="J1014" i="5" s="1"/>
  <c r="K1014" i="5" s="1"/>
  <c r="L1014" i="5" s="1"/>
  <c r="M1014" i="5" s="1"/>
  <c r="G1016" i="5" l="1"/>
  <c r="I1015" i="5"/>
  <c r="H1015" i="5"/>
  <c r="J1015" i="5" l="1"/>
  <c r="K1015" i="5" s="1"/>
  <c r="L1015" i="5" s="1"/>
  <c r="M1015" i="5" s="1"/>
  <c r="H1016" i="5"/>
  <c r="I1016" i="5"/>
  <c r="G1017" i="5"/>
  <c r="H1017" i="5" l="1"/>
  <c r="I1017" i="5"/>
  <c r="G1018" i="5"/>
  <c r="J1017" i="5" s="1"/>
  <c r="K1017" i="5" s="1"/>
  <c r="J1016" i="5"/>
  <c r="K1016" i="5" s="1"/>
  <c r="L1016" i="5" s="1"/>
  <c r="M1016" i="5" s="1"/>
  <c r="L1017" i="5" l="1"/>
  <c r="M1017" i="5" s="1"/>
  <c r="G1019" i="5"/>
  <c r="J1018" i="5" s="1"/>
  <c r="K1018" i="5" s="1"/>
  <c r="L1018" i="5" s="1"/>
  <c r="M1018" i="5" s="1"/>
  <c r="H1018" i="5"/>
  <c r="I1018" i="5"/>
  <c r="G1020" i="5" l="1"/>
  <c r="I1019" i="5"/>
  <c r="H1019" i="5"/>
  <c r="J1019" i="5"/>
  <c r="K1019" i="5" s="1"/>
  <c r="L1019" i="5" s="1"/>
  <c r="M1019" i="5" s="1"/>
  <c r="I1020" i="5" l="1"/>
  <c r="G1021" i="5"/>
  <c r="H1020" i="5"/>
  <c r="J1020" i="5" l="1"/>
  <c r="K1020" i="5" s="1"/>
  <c r="L1020" i="5" s="1"/>
  <c r="M1020" i="5" s="1"/>
  <c r="H1021" i="5"/>
  <c r="I1021" i="5"/>
  <c r="G1022" i="5"/>
  <c r="J1021" i="5" l="1"/>
  <c r="K1021" i="5" s="1"/>
  <c r="L1021" i="5" s="1"/>
  <c r="M1021" i="5" s="1"/>
  <c r="I1022" i="5"/>
  <c r="H1022" i="5"/>
  <c r="G1023" i="5"/>
  <c r="J1022" i="5" s="1"/>
  <c r="K1022" i="5" s="1"/>
  <c r="L1022" i="5" s="1"/>
  <c r="M1022" i="5" s="1"/>
  <c r="G1024" i="5" l="1"/>
  <c r="H1023" i="5"/>
  <c r="I1023" i="5"/>
  <c r="J1023" i="5"/>
  <c r="K1023" i="5" s="1"/>
  <c r="L1023" i="5" s="1"/>
  <c r="M1023" i="5" s="1"/>
  <c r="H1024" i="5" l="1"/>
  <c r="G1025" i="5"/>
  <c r="J1024" i="5" s="1"/>
  <c r="K1024" i="5" s="1"/>
  <c r="L1024" i="5" s="1"/>
  <c r="M1024" i="5" s="1"/>
  <c r="I1024" i="5"/>
  <c r="G1026" i="5" l="1"/>
  <c r="J1025" i="5" s="1"/>
  <c r="K1025" i="5" s="1"/>
  <c r="L1025" i="5" s="1"/>
  <c r="M1025" i="5" s="1"/>
  <c r="H1025" i="5"/>
  <c r="I1025" i="5"/>
  <c r="G1027" i="5" l="1"/>
  <c r="J1026" i="5" s="1"/>
  <c r="K1026" i="5" s="1"/>
  <c r="L1026" i="5" s="1"/>
  <c r="M1026" i="5" s="1"/>
  <c r="I1026" i="5"/>
  <c r="H1026" i="5"/>
  <c r="H1027" i="5" l="1"/>
  <c r="I1027" i="5"/>
  <c r="G1028" i="5"/>
  <c r="J1027" i="5" l="1"/>
  <c r="K1027" i="5" s="1"/>
  <c r="L1027" i="5" s="1"/>
  <c r="M1027" i="5" s="1"/>
  <c r="H1028" i="5"/>
  <c r="I1028" i="5"/>
  <c r="G1029" i="5"/>
  <c r="I1029" i="5" l="1"/>
  <c r="H1029" i="5"/>
  <c r="G1030" i="5"/>
  <c r="J1029" i="5" s="1"/>
  <c r="K1029" i="5" s="1"/>
  <c r="J1028" i="5"/>
  <c r="K1028" i="5" s="1"/>
  <c r="L1028" i="5" s="1"/>
  <c r="M1028" i="5" s="1"/>
  <c r="L1029" i="5" l="1"/>
  <c r="M1029" i="5" s="1"/>
  <c r="I1030" i="5"/>
  <c r="H1030" i="5"/>
  <c r="G1031" i="5"/>
  <c r="J1030" i="5" s="1"/>
  <c r="K1030" i="5" s="1"/>
  <c r="L1030" i="5" s="1"/>
  <c r="M1030" i="5" s="1"/>
  <c r="I1031" i="5" l="1"/>
  <c r="H1031" i="5"/>
  <c r="G1032" i="5"/>
  <c r="J1031" i="5" s="1"/>
  <c r="K1031" i="5" s="1"/>
  <c r="L1031" i="5" s="1"/>
  <c r="M1031" i="5" s="1"/>
  <c r="H1032" i="5" l="1"/>
  <c r="I1032" i="5"/>
  <c r="G1033" i="5"/>
  <c r="J1032" i="5"/>
  <c r="K1032" i="5" s="1"/>
  <c r="L1032" i="5" s="1"/>
  <c r="M1032" i="5" s="1"/>
  <c r="G1034" i="5" l="1"/>
  <c r="I1033" i="5"/>
  <c r="H1033" i="5"/>
  <c r="J1033" i="5" s="1"/>
  <c r="K1033" i="5" s="1"/>
  <c r="L1033" i="5" s="1"/>
  <c r="M1033" i="5" s="1"/>
  <c r="H1034" i="5" l="1"/>
  <c r="I1034" i="5"/>
  <c r="G1035" i="5"/>
  <c r="J1034" i="5" s="1"/>
  <c r="K1034" i="5" s="1"/>
  <c r="L1034" i="5" s="1"/>
  <c r="M1034" i="5" s="1"/>
  <c r="I1035" i="5" l="1"/>
  <c r="H1035" i="5"/>
  <c r="G1036" i="5"/>
  <c r="J1035" i="5" l="1"/>
  <c r="K1035" i="5" s="1"/>
  <c r="L1035" i="5" s="1"/>
  <c r="M1035" i="5" s="1"/>
  <c r="G1037" i="5"/>
  <c r="I1036" i="5"/>
  <c r="H1036" i="5"/>
  <c r="I1037" i="5" l="1"/>
  <c r="H1037" i="5"/>
  <c r="G1038" i="5"/>
  <c r="J1036" i="5"/>
  <c r="K1036" i="5" s="1"/>
  <c r="L1036" i="5" s="1"/>
  <c r="M1036" i="5" s="1"/>
  <c r="J1037" i="5" l="1"/>
  <c r="K1037" i="5" s="1"/>
  <c r="L1037" i="5" s="1"/>
  <c r="M1037" i="5" s="1"/>
  <c r="H1038" i="5"/>
  <c r="I1038" i="5"/>
  <c r="G1039" i="5"/>
  <c r="J1038" i="5" s="1"/>
  <c r="K1038" i="5" s="1"/>
  <c r="L1038" i="5" l="1"/>
  <c r="M1038" i="5" s="1"/>
  <c r="H1039" i="5"/>
  <c r="I1039" i="5"/>
  <c r="G1040" i="5"/>
  <c r="J1039" i="5" s="1"/>
  <c r="K1039" i="5" s="1"/>
  <c r="L1039" i="5" s="1"/>
  <c r="M1039" i="5" s="1"/>
  <c r="H1040" i="5" l="1"/>
  <c r="I1040" i="5"/>
  <c r="G1041" i="5"/>
  <c r="J1040" i="5" l="1"/>
  <c r="K1040" i="5" s="1"/>
  <c r="L1040" i="5" s="1"/>
  <c r="M1040" i="5" s="1"/>
  <c r="G1042" i="5"/>
  <c r="J1041" i="5" s="1"/>
  <c r="K1041" i="5" s="1"/>
  <c r="L1041" i="5" s="1"/>
  <c r="M1041" i="5" s="1"/>
  <c r="H1041" i="5"/>
  <c r="I1041" i="5"/>
  <c r="I1042" i="5" l="1"/>
  <c r="H1042" i="5"/>
  <c r="G1043" i="5"/>
  <c r="J1042" i="5" l="1"/>
  <c r="K1042" i="5" s="1"/>
  <c r="L1042" i="5" s="1"/>
  <c r="M1042" i="5" s="1"/>
  <c r="I1043" i="5"/>
  <c r="H1043" i="5"/>
  <c r="G1044" i="5"/>
  <c r="I1044" i="5" l="1"/>
  <c r="H1044" i="5"/>
  <c r="G1045" i="5"/>
  <c r="J1044" i="5" s="1"/>
  <c r="K1044" i="5" s="1"/>
  <c r="J1043" i="5"/>
  <c r="K1043" i="5" s="1"/>
  <c r="L1043" i="5" s="1"/>
  <c r="M1043" i="5" s="1"/>
  <c r="L1044" i="5" l="1"/>
  <c r="M1044" i="5" s="1"/>
  <c r="I1045" i="5"/>
  <c r="G1046" i="5"/>
  <c r="J1045" i="5" s="1"/>
  <c r="K1045" i="5" s="1"/>
  <c r="L1045" i="5" s="1"/>
  <c r="M1045" i="5" s="1"/>
  <c r="H1045" i="5"/>
  <c r="H1046" i="5" l="1"/>
  <c r="I1046" i="5"/>
  <c r="G1047" i="5"/>
  <c r="I1047" i="5" l="1"/>
  <c r="H1047" i="5"/>
  <c r="G1048" i="5"/>
  <c r="J1047" i="5" s="1"/>
  <c r="K1047" i="5" s="1"/>
  <c r="L1047" i="5" s="1"/>
  <c r="M1047" i="5" s="1"/>
  <c r="J1046" i="5"/>
  <c r="K1046" i="5" s="1"/>
  <c r="L1046" i="5" s="1"/>
  <c r="M1046" i="5" s="1"/>
  <c r="G1049" i="5" l="1"/>
  <c r="I1048" i="5"/>
  <c r="H1048" i="5"/>
  <c r="J1048" i="5"/>
  <c r="K1048" i="5" s="1"/>
  <c r="L1048" i="5" s="1"/>
  <c r="M1048" i="5" s="1"/>
  <c r="H1049" i="5" l="1"/>
  <c r="I1049" i="5"/>
  <c r="G1050" i="5"/>
  <c r="J1049" i="5" l="1"/>
  <c r="K1049" i="5" s="1"/>
  <c r="L1049" i="5" s="1"/>
  <c r="M1049" i="5" s="1"/>
  <c r="H1050" i="5"/>
  <c r="I1050" i="5"/>
  <c r="G1051" i="5"/>
  <c r="J1050" i="5" s="1"/>
  <c r="K1050" i="5" s="1"/>
  <c r="L1050" i="5" l="1"/>
  <c r="M1050" i="5" s="1"/>
  <c r="H1051" i="5"/>
  <c r="I1051" i="5"/>
  <c r="G1052" i="5"/>
  <c r="J1051" i="5" l="1"/>
  <c r="K1051" i="5" s="1"/>
  <c r="L1051" i="5" s="1"/>
  <c r="M1051" i="5" s="1"/>
  <c r="G1053" i="5"/>
  <c r="H1052" i="5"/>
  <c r="I1052" i="5"/>
  <c r="J1052" i="5" s="1"/>
  <c r="K1052" i="5" s="1"/>
  <c r="L1052" i="5" s="1"/>
  <c r="M1052" i="5" s="1"/>
  <c r="H1053" i="5" l="1"/>
  <c r="G1054" i="5"/>
  <c r="I1053" i="5"/>
  <c r="H1054" i="5" l="1"/>
  <c r="I1054" i="5"/>
  <c r="G1055" i="5"/>
  <c r="J1053" i="5"/>
  <c r="K1053" i="5" s="1"/>
  <c r="L1053" i="5" s="1"/>
  <c r="M1053" i="5" s="1"/>
  <c r="H1055" i="5" l="1"/>
  <c r="I1055" i="5"/>
  <c r="G1056" i="5"/>
  <c r="J1054" i="5"/>
  <c r="K1054" i="5" s="1"/>
  <c r="L1054" i="5" s="1"/>
  <c r="M1054" i="5" s="1"/>
  <c r="I1056" i="5" l="1"/>
  <c r="H1056" i="5"/>
  <c r="G1057" i="5"/>
  <c r="J1055" i="5"/>
  <c r="K1055" i="5" s="1"/>
  <c r="L1055" i="5" s="1"/>
  <c r="M1055" i="5" s="1"/>
  <c r="H1057" i="5" l="1"/>
  <c r="I1057" i="5"/>
  <c r="G1058" i="5"/>
  <c r="J1057" i="5" s="1"/>
  <c r="K1057" i="5" s="1"/>
  <c r="J1056" i="5"/>
  <c r="K1056" i="5" s="1"/>
  <c r="L1056" i="5" s="1"/>
  <c r="M1056" i="5" s="1"/>
  <c r="L1057" i="5" l="1"/>
  <c r="M1057" i="5" s="1"/>
  <c r="I1058" i="5"/>
  <c r="H1058" i="5"/>
  <c r="G1059" i="5"/>
  <c r="I1059" i="5" l="1"/>
  <c r="G1060" i="5"/>
  <c r="H1059" i="5"/>
  <c r="J1058" i="5"/>
  <c r="K1058" i="5" s="1"/>
  <c r="L1058" i="5" s="1"/>
  <c r="M1058" i="5" s="1"/>
  <c r="G1061" i="5" l="1"/>
  <c r="H1060" i="5"/>
  <c r="I1060" i="5"/>
  <c r="J1060" i="5"/>
  <c r="K1060" i="5" s="1"/>
  <c r="J1059" i="5"/>
  <c r="K1059" i="5" s="1"/>
  <c r="L1059" i="5" s="1"/>
  <c r="M1059" i="5" s="1"/>
  <c r="L1060" i="5" l="1"/>
  <c r="M1060" i="5" s="1"/>
  <c r="H1061" i="5"/>
  <c r="I1061" i="5"/>
  <c r="G1062" i="5"/>
  <c r="J1061" i="5" s="1"/>
  <c r="K1061" i="5" s="1"/>
  <c r="L1061" i="5" s="1"/>
  <c r="M1061" i="5" s="1"/>
  <c r="H1062" i="5" l="1"/>
  <c r="I1062" i="5"/>
  <c r="G1063" i="5"/>
  <c r="J1062" i="5" l="1"/>
  <c r="K1062" i="5" s="1"/>
  <c r="L1062" i="5" s="1"/>
  <c r="M1062" i="5" s="1"/>
  <c r="H1063" i="5"/>
  <c r="G1064" i="5"/>
  <c r="J1063" i="5" s="1"/>
  <c r="K1063" i="5" s="1"/>
  <c r="I1063" i="5"/>
  <c r="L1063" i="5" l="1"/>
  <c r="M1063" i="5" s="1"/>
  <c r="H1064" i="5"/>
  <c r="I1064" i="5"/>
  <c r="G1065" i="5"/>
  <c r="J1064" i="5" l="1"/>
  <c r="K1064" i="5" s="1"/>
  <c r="L1064" i="5" s="1"/>
  <c r="M1064" i="5" s="1"/>
  <c r="H1065" i="5"/>
  <c r="I1065" i="5"/>
  <c r="G1066" i="5"/>
  <c r="J1065" i="5" s="1"/>
  <c r="K1065" i="5" s="1"/>
  <c r="L1065" i="5" s="1"/>
  <c r="M1065" i="5" s="1"/>
  <c r="I1066" i="5" l="1"/>
  <c r="G1067" i="5"/>
  <c r="H1066" i="5"/>
  <c r="J1066" i="5" l="1"/>
  <c r="K1066" i="5" s="1"/>
  <c r="L1066" i="5" s="1"/>
  <c r="M1066" i="5" s="1"/>
  <c r="G1068" i="5"/>
  <c r="I1067" i="5"/>
  <c r="H1067" i="5"/>
  <c r="J1067" i="5"/>
  <c r="K1067" i="5" s="1"/>
  <c r="L1067" i="5" s="1"/>
  <c r="M1067" i="5" s="1"/>
  <c r="G1069" i="5" l="1"/>
  <c r="H1068" i="5"/>
  <c r="I1068" i="5"/>
  <c r="J1068" i="5"/>
  <c r="K1068" i="5" s="1"/>
  <c r="L1068" i="5" s="1"/>
  <c r="M1068" i="5" s="1"/>
  <c r="G1070" i="5" l="1"/>
  <c r="J1069" i="5" s="1"/>
  <c r="K1069" i="5" s="1"/>
  <c r="L1069" i="5" s="1"/>
  <c r="M1069" i="5" s="1"/>
  <c r="I1069" i="5"/>
  <c r="H1069" i="5"/>
  <c r="H1070" i="5" l="1"/>
  <c r="I1070" i="5"/>
  <c r="G1071" i="5"/>
  <c r="J1070" i="5" s="1"/>
  <c r="K1070" i="5" s="1"/>
  <c r="L1070" i="5" s="1"/>
  <c r="M1070" i="5" s="1"/>
  <c r="I1071" i="5" l="1"/>
  <c r="H1071" i="5"/>
  <c r="G1072" i="5"/>
  <c r="H1072" i="5" l="1"/>
  <c r="I1072" i="5"/>
  <c r="G1073" i="5"/>
  <c r="J1072" i="5" s="1"/>
  <c r="K1072" i="5" s="1"/>
  <c r="J1071" i="5"/>
  <c r="K1071" i="5" s="1"/>
  <c r="L1071" i="5" s="1"/>
  <c r="M1071" i="5" s="1"/>
  <c r="L1072" i="5" l="1"/>
  <c r="M1072" i="5" s="1"/>
  <c r="I1073" i="5"/>
  <c r="H1073" i="5"/>
  <c r="G1074" i="5"/>
  <c r="J1073" i="5" s="1"/>
  <c r="K1073" i="5" s="1"/>
  <c r="L1073" i="5" s="1"/>
  <c r="M1073" i="5" s="1"/>
  <c r="G1075" i="5" l="1"/>
  <c r="J1074" i="5" s="1"/>
  <c r="K1074" i="5" s="1"/>
  <c r="L1074" i="5" s="1"/>
  <c r="M1074" i="5" s="1"/>
  <c r="I1074" i="5"/>
  <c r="H1074" i="5"/>
  <c r="G1076" i="5" l="1"/>
  <c r="I1075" i="5"/>
  <c r="H1075" i="5"/>
  <c r="J1075" i="5" l="1"/>
  <c r="K1075" i="5" s="1"/>
  <c r="L1075" i="5" s="1"/>
  <c r="M1075" i="5" s="1"/>
  <c r="G1077" i="5"/>
  <c r="I1076" i="5"/>
  <c r="H1076" i="5"/>
  <c r="J1076" i="5" l="1"/>
  <c r="K1076" i="5" s="1"/>
  <c r="L1076" i="5" s="1"/>
  <c r="M1076" i="5" s="1"/>
  <c r="H1077" i="5"/>
  <c r="I1077" i="5"/>
  <c r="G1078" i="5"/>
  <c r="J1077" i="5" l="1"/>
  <c r="K1077" i="5" s="1"/>
  <c r="L1077" i="5" s="1"/>
  <c r="M1077" i="5" s="1"/>
  <c r="G1079" i="5"/>
  <c r="I1078" i="5"/>
  <c r="H1078" i="5"/>
  <c r="J1078" i="5"/>
  <c r="K1078" i="5" s="1"/>
  <c r="L1078" i="5" l="1"/>
  <c r="M1078" i="5" s="1"/>
  <c r="G1080" i="5"/>
  <c r="J1079" i="5" s="1"/>
  <c r="K1079" i="5" s="1"/>
  <c r="L1079" i="5" s="1"/>
  <c r="M1079" i="5" s="1"/>
  <c r="H1079" i="5"/>
  <c r="I1079" i="5"/>
  <c r="H1080" i="5" l="1"/>
  <c r="G1081" i="5"/>
  <c r="J1080" i="5" s="1"/>
  <c r="K1080" i="5" s="1"/>
  <c r="L1080" i="5" s="1"/>
  <c r="M1080" i="5" s="1"/>
  <c r="I1080" i="5"/>
  <c r="H1081" i="5" l="1"/>
  <c r="I1081" i="5"/>
  <c r="G1082" i="5"/>
  <c r="J1081" i="5" s="1"/>
  <c r="K1081" i="5" s="1"/>
  <c r="L1081" i="5" s="1"/>
  <c r="M1081" i="5" s="1"/>
  <c r="H1082" i="5" l="1"/>
  <c r="I1082" i="5"/>
  <c r="G1083" i="5"/>
  <c r="H1083" i="5" l="1"/>
  <c r="I1083" i="5"/>
  <c r="G1084" i="5"/>
  <c r="J1082" i="5"/>
  <c r="K1082" i="5" s="1"/>
  <c r="L1082" i="5" s="1"/>
  <c r="M1082" i="5" s="1"/>
  <c r="H1084" i="5" l="1"/>
  <c r="G1085" i="5"/>
  <c r="J1084" i="5" s="1"/>
  <c r="K1084" i="5" s="1"/>
  <c r="I1084" i="5"/>
  <c r="J1083" i="5"/>
  <c r="K1083" i="5" s="1"/>
  <c r="L1083" i="5" s="1"/>
  <c r="M1083" i="5" s="1"/>
  <c r="L1084" i="5" l="1"/>
  <c r="M1084" i="5" s="1"/>
  <c r="I1085" i="5"/>
  <c r="H1085" i="5"/>
  <c r="G1086" i="5"/>
  <c r="J1085" i="5" s="1"/>
  <c r="K1085" i="5" s="1"/>
  <c r="L1085" i="5" s="1"/>
  <c r="M1085" i="5" s="1"/>
  <c r="I1086" i="5" l="1"/>
  <c r="G1087" i="5"/>
  <c r="J1086" i="5" s="1"/>
  <c r="K1086" i="5" s="1"/>
  <c r="L1086" i="5" s="1"/>
  <c r="M1086" i="5" s="1"/>
  <c r="H1086" i="5"/>
  <c r="G1088" i="5" l="1"/>
  <c r="H1087" i="5"/>
  <c r="I1087" i="5"/>
  <c r="J1087" i="5"/>
  <c r="K1087" i="5" s="1"/>
  <c r="L1087" i="5" s="1"/>
  <c r="M1087" i="5" s="1"/>
  <c r="H1088" i="5" l="1"/>
  <c r="I1088" i="5"/>
  <c r="G1089" i="5"/>
  <c r="J1088" i="5" l="1"/>
  <c r="K1088" i="5" s="1"/>
  <c r="L1088" i="5" s="1"/>
  <c r="M1088" i="5" s="1"/>
  <c r="G1090" i="5"/>
  <c r="H1089" i="5"/>
  <c r="I1089" i="5"/>
  <c r="J1089" i="5"/>
  <c r="K1089" i="5" s="1"/>
  <c r="L1089" i="5" s="1"/>
  <c r="M1089" i="5" s="1"/>
  <c r="I1090" i="5" l="1"/>
  <c r="H1090" i="5"/>
  <c r="G1091" i="5"/>
  <c r="J1090" i="5" s="1"/>
  <c r="K1090" i="5" s="1"/>
  <c r="L1090" i="5" s="1"/>
  <c r="M1090" i="5" s="1"/>
  <c r="H1091" i="5" l="1"/>
  <c r="I1091" i="5"/>
  <c r="G1092" i="5"/>
  <c r="J1091" i="5" l="1"/>
  <c r="K1091" i="5" s="1"/>
  <c r="L1091" i="5" s="1"/>
  <c r="M1091" i="5" s="1"/>
  <c r="I1092" i="5"/>
  <c r="G1093" i="5"/>
  <c r="H1092" i="5"/>
  <c r="H1093" i="5" l="1"/>
  <c r="I1093" i="5"/>
  <c r="G1094" i="5"/>
  <c r="J1092" i="5"/>
  <c r="K1092" i="5" s="1"/>
  <c r="L1092" i="5" s="1"/>
  <c r="M1092" i="5" s="1"/>
  <c r="I1094" i="5" l="1"/>
  <c r="G1095" i="5"/>
  <c r="J1094" i="5" s="1"/>
  <c r="K1094" i="5" s="1"/>
  <c r="H1094" i="5"/>
  <c r="J1093" i="5"/>
  <c r="K1093" i="5" s="1"/>
  <c r="L1093" i="5" s="1"/>
  <c r="M1093" i="5" s="1"/>
  <c r="L1094" i="5" l="1"/>
  <c r="M1094" i="5" s="1"/>
  <c r="G1096" i="5"/>
  <c r="H1095" i="5"/>
  <c r="I1095" i="5"/>
  <c r="J1095" i="5"/>
  <c r="K1095" i="5" s="1"/>
  <c r="L1095" i="5" s="1"/>
  <c r="M1095" i="5" s="1"/>
  <c r="H1096" i="5" l="1"/>
  <c r="I1096" i="5"/>
  <c r="G1097" i="5"/>
  <c r="I1097" i="5" l="1"/>
  <c r="H1097" i="5"/>
  <c r="G1098" i="5"/>
  <c r="J1096" i="5"/>
  <c r="K1096" i="5" s="1"/>
  <c r="L1096" i="5" s="1"/>
  <c r="M1096" i="5" s="1"/>
  <c r="I1098" i="5" l="1"/>
  <c r="H1098" i="5"/>
  <c r="G1099" i="5"/>
  <c r="J1097" i="5"/>
  <c r="K1097" i="5" s="1"/>
  <c r="L1097" i="5" s="1"/>
  <c r="M1097" i="5" s="1"/>
  <c r="I1099" i="5" l="1"/>
  <c r="H1099" i="5"/>
  <c r="G1100" i="5"/>
  <c r="J1098" i="5"/>
  <c r="K1098" i="5" s="1"/>
  <c r="L1098" i="5" s="1"/>
  <c r="M1098" i="5" s="1"/>
  <c r="G1101" i="5" l="1"/>
  <c r="I1100" i="5"/>
  <c r="H1100" i="5"/>
  <c r="J1100" i="5"/>
  <c r="K1100" i="5" s="1"/>
  <c r="J1099" i="5"/>
  <c r="K1099" i="5" s="1"/>
  <c r="L1099" i="5" s="1"/>
  <c r="M1099" i="5" s="1"/>
  <c r="L1100" i="5" l="1"/>
  <c r="M1100" i="5" s="1"/>
  <c r="G1102" i="5"/>
  <c r="H1101" i="5"/>
  <c r="I1101" i="5"/>
  <c r="J1101" i="5" l="1"/>
  <c r="K1101" i="5" s="1"/>
  <c r="L1101" i="5" s="1"/>
  <c r="M1101" i="5" s="1"/>
  <c r="I1102" i="5"/>
  <c r="H1102" i="5"/>
  <c r="G1103" i="5"/>
  <c r="H1103" i="5" l="1"/>
  <c r="I1103" i="5"/>
  <c r="G1104" i="5"/>
  <c r="J1102" i="5"/>
  <c r="K1102" i="5" s="1"/>
  <c r="L1102" i="5" s="1"/>
  <c r="M1102" i="5" s="1"/>
  <c r="H1104" i="5" l="1"/>
  <c r="I1104" i="5"/>
  <c r="G1105" i="5"/>
  <c r="J1103" i="5"/>
  <c r="K1103" i="5" s="1"/>
  <c r="L1103" i="5" s="1"/>
  <c r="M1103" i="5" s="1"/>
  <c r="H1105" i="5" l="1"/>
  <c r="I1105" i="5"/>
  <c r="G1106" i="5"/>
  <c r="J1105" i="5" s="1"/>
  <c r="K1105" i="5" s="1"/>
  <c r="J1104" i="5"/>
  <c r="K1104" i="5" s="1"/>
  <c r="L1104" i="5" s="1"/>
  <c r="M1104" i="5" s="1"/>
  <c r="L1105" i="5" l="1"/>
  <c r="M1105" i="5" s="1"/>
  <c r="I1106" i="5"/>
  <c r="H1106" i="5"/>
  <c r="G1107" i="5"/>
  <c r="J1106" i="5" s="1"/>
  <c r="K1106" i="5" s="1"/>
  <c r="L1106" i="5" s="1"/>
  <c r="M1106" i="5" s="1"/>
  <c r="I1107" i="5" l="1"/>
  <c r="H1107" i="5"/>
  <c r="G1108" i="5"/>
  <c r="J1107" i="5" s="1"/>
  <c r="K1107" i="5" s="1"/>
  <c r="L1107" i="5" s="1"/>
  <c r="M1107" i="5" s="1"/>
  <c r="H1108" i="5" l="1"/>
  <c r="I1108" i="5"/>
  <c r="G1109" i="5"/>
  <c r="J1108" i="5" l="1"/>
  <c r="K1108" i="5" s="1"/>
  <c r="L1108" i="5" s="1"/>
  <c r="M1108" i="5" s="1"/>
  <c r="G1110" i="5"/>
  <c r="H1109" i="5"/>
  <c r="I1109" i="5"/>
  <c r="H1110" i="5" l="1"/>
  <c r="I1110" i="5"/>
  <c r="G1111" i="5"/>
  <c r="J1109" i="5"/>
  <c r="K1109" i="5" s="1"/>
  <c r="L1109" i="5" s="1"/>
  <c r="M1109" i="5" s="1"/>
  <c r="G1112" i="5" l="1"/>
  <c r="I1111" i="5"/>
  <c r="J1111" i="5" s="1"/>
  <c r="K1111" i="5" s="1"/>
  <c r="L1111" i="5" s="1"/>
  <c r="M1111" i="5" s="1"/>
  <c r="H1111" i="5"/>
  <c r="J1110" i="5"/>
  <c r="K1110" i="5" s="1"/>
  <c r="L1110" i="5" s="1"/>
  <c r="M1110" i="5" s="1"/>
  <c r="I1112" i="5" l="1"/>
  <c r="G1113" i="5"/>
  <c r="H1112" i="5"/>
  <c r="G1114" i="5" l="1"/>
  <c r="H1113" i="5"/>
  <c r="I1113" i="5"/>
  <c r="J1113" i="5"/>
  <c r="K1113" i="5" s="1"/>
  <c r="J1112" i="5"/>
  <c r="K1112" i="5" s="1"/>
  <c r="L1112" i="5" s="1"/>
  <c r="M1112" i="5" s="1"/>
  <c r="L1113" i="5" l="1"/>
  <c r="M1113" i="5" s="1"/>
  <c r="H1114" i="5"/>
  <c r="I1114" i="5"/>
  <c r="G1115" i="5"/>
  <c r="J1114" i="5" s="1"/>
  <c r="K1114" i="5" s="1"/>
  <c r="L1114" i="5" s="1"/>
  <c r="M1114" i="5" s="1"/>
  <c r="G1116" i="5" l="1"/>
  <c r="H1115" i="5"/>
  <c r="I1115" i="5"/>
  <c r="J1115" i="5" l="1"/>
  <c r="K1115" i="5" s="1"/>
  <c r="L1115" i="5" s="1"/>
  <c r="M1115" i="5" s="1"/>
  <c r="G1117" i="5"/>
  <c r="I1116" i="5"/>
  <c r="H1116" i="5"/>
  <c r="J1116" i="5" s="1"/>
  <c r="K1116" i="5" s="1"/>
  <c r="L1116" i="5" s="1"/>
  <c r="M1116" i="5" s="1"/>
  <c r="H1117" i="5" l="1"/>
  <c r="G1118" i="5"/>
  <c r="I1117" i="5"/>
  <c r="J1117" i="5" l="1"/>
  <c r="K1117" i="5" s="1"/>
  <c r="L1117" i="5" s="1"/>
  <c r="M1117" i="5" s="1"/>
  <c r="G1119" i="5"/>
  <c r="H1118" i="5"/>
  <c r="I1118" i="5"/>
  <c r="J1118" i="5"/>
  <c r="K1118" i="5" s="1"/>
  <c r="L1118" i="5" s="1"/>
  <c r="M1118" i="5" s="1"/>
  <c r="G1120" i="5" l="1"/>
  <c r="I1119" i="5"/>
  <c r="H1119" i="5"/>
  <c r="J1119" i="5"/>
  <c r="K1119" i="5" s="1"/>
  <c r="L1119" i="5" s="1"/>
  <c r="M1119" i="5" s="1"/>
  <c r="G1121" i="5" l="1"/>
  <c r="H1120" i="5"/>
  <c r="I1120" i="5"/>
  <c r="J1120" i="5"/>
  <c r="K1120" i="5" s="1"/>
  <c r="L1120" i="5" s="1"/>
  <c r="M1120" i="5" s="1"/>
  <c r="I1121" i="5" l="1"/>
  <c r="H1121" i="5"/>
  <c r="G1122" i="5"/>
  <c r="G1123" i="5" l="1"/>
  <c r="H1122" i="5"/>
  <c r="I1122" i="5"/>
  <c r="J1122" i="5"/>
  <c r="K1122" i="5" s="1"/>
  <c r="J1121" i="5"/>
  <c r="K1121" i="5" s="1"/>
  <c r="L1121" i="5" s="1"/>
  <c r="M1121" i="5" s="1"/>
  <c r="L1122" i="5" l="1"/>
  <c r="M1122" i="5" s="1"/>
  <c r="G1124" i="5"/>
  <c r="I1123" i="5"/>
  <c r="H1123" i="5"/>
  <c r="H1124" i="5" l="1"/>
  <c r="G1125" i="5"/>
  <c r="J1124" i="5" s="1"/>
  <c r="K1124" i="5" s="1"/>
  <c r="I1124" i="5"/>
  <c r="J1123" i="5"/>
  <c r="K1123" i="5" s="1"/>
  <c r="L1123" i="5" s="1"/>
  <c r="M1123" i="5" s="1"/>
  <c r="L1124" i="5" l="1"/>
  <c r="M1124" i="5" s="1"/>
  <c r="I1125" i="5"/>
  <c r="G1126" i="5"/>
  <c r="H1125" i="5"/>
  <c r="J1125" i="5" l="1"/>
  <c r="K1125" i="5" s="1"/>
  <c r="L1125" i="5" s="1"/>
  <c r="M1125" i="5" s="1"/>
  <c r="G1127" i="5"/>
  <c r="I1126" i="5"/>
  <c r="H1126" i="5"/>
  <c r="J1126" i="5"/>
  <c r="K1126" i="5" s="1"/>
  <c r="L1126" i="5" s="1"/>
  <c r="M1126" i="5" s="1"/>
  <c r="I1127" i="5" l="1"/>
  <c r="H1127" i="5"/>
  <c r="G1128" i="5"/>
  <c r="H1128" i="5" l="1"/>
  <c r="I1128" i="5"/>
  <c r="G1129" i="5"/>
  <c r="J1127" i="5"/>
  <c r="K1127" i="5" s="1"/>
  <c r="L1127" i="5" s="1"/>
  <c r="M1127" i="5" s="1"/>
  <c r="I1129" i="5" l="1"/>
  <c r="H1129" i="5"/>
  <c r="G1130" i="5"/>
  <c r="J1129" i="5" s="1"/>
  <c r="K1129" i="5" s="1"/>
  <c r="J1128" i="5"/>
  <c r="K1128" i="5" s="1"/>
  <c r="L1128" i="5" s="1"/>
  <c r="M1128" i="5" s="1"/>
  <c r="L1129" i="5" l="1"/>
  <c r="M1129" i="5" s="1"/>
  <c r="H1130" i="5"/>
  <c r="G1131" i="5"/>
  <c r="I1130" i="5"/>
  <c r="J1130" i="5" l="1"/>
  <c r="K1130" i="5" s="1"/>
  <c r="L1130" i="5" s="1"/>
  <c r="M1130" i="5" s="1"/>
  <c r="G1132" i="5"/>
  <c r="J1131" i="5" s="1"/>
  <c r="K1131" i="5" s="1"/>
  <c r="L1131" i="5" s="1"/>
  <c r="M1131" i="5" s="1"/>
  <c r="I1131" i="5"/>
  <c r="H1131" i="5"/>
  <c r="G1133" i="5" l="1"/>
  <c r="H1132" i="5"/>
  <c r="I1132" i="5"/>
  <c r="J1132" i="5" l="1"/>
  <c r="K1132" i="5" s="1"/>
  <c r="L1132" i="5" s="1"/>
  <c r="M1132" i="5" s="1"/>
  <c r="G1134" i="5"/>
  <c r="H1133" i="5"/>
  <c r="I1133" i="5"/>
  <c r="J1133" i="5" l="1"/>
  <c r="K1133" i="5" s="1"/>
  <c r="L1133" i="5" s="1"/>
  <c r="M1133" i="5" s="1"/>
  <c r="H1134" i="5"/>
  <c r="G1135" i="5"/>
  <c r="J1134" i="5" s="1"/>
  <c r="K1134" i="5" s="1"/>
  <c r="L1134" i="5" s="1"/>
  <c r="M1134" i="5" s="1"/>
  <c r="I1134" i="5"/>
  <c r="I1135" i="5" l="1"/>
  <c r="G1136" i="5"/>
  <c r="H1135" i="5"/>
  <c r="H1136" i="5" l="1"/>
  <c r="I1136" i="5"/>
  <c r="G1137" i="5"/>
  <c r="J1136" i="5" s="1"/>
  <c r="K1136" i="5" s="1"/>
  <c r="J1135" i="5"/>
  <c r="K1135" i="5" s="1"/>
  <c r="L1135" i="5" s="1"/>
  <c r="M1135" i="5" s="1"/>
  <c r="L1136" i="5" l="1"/>
  <c r="M1136" i="5" s="1"/>
  <c r="G1138" i="5"/>
  <c r="H1137" i="5"/>
  <c r="I1137" i="5"/>
  <c r="J1137" i="5"/>
  <c r="K1137" i="5" s="1"/>
  <c r="L1137" i="5" s="1"/>
  <c r="M1137" i="5" s="1"/>
  <c r="H1138" i="5" l="1"/>
  <c r="I1138" i="5"/>
  <c r="G1139" i="5"/>
  <c r="I1139" i="5" l="1"/>
  <c r="G1140" i="5"/>
  <c r="H1139" i="5"/>
  <c r="J1138" i="5"/>
  <c r="K1138" i="5" s="1"/>
  <c r="L1138" i="5" s="1"/>
  <c r="M1138" i="5" s="1"/>
  <c r="J1139" i="5" l="1"/>
  <c r="K1139" i="5" s="1"/>
  <c r="L1139" i="5" s="1"/>
  <c r="M1139" i="5" s="1"/>
  <c r="I1140" i="5"/>
  <c r="H1140" i="5"/>
  <c r="G1141" i="5"/>
  <c r="J1140" i="5" s="1"/>
  <c r="K1140" i="5" s="1"/>
  <c r="L1140" i="5" s="1"/>
  <c r="M1140" i="5" s="1"/>
  <c r="I1141" i="5" l="1"/>
  <c r="H1141" i="5"/>
  <c r="G1142" i="5"/>
  <c r="I1142" i="5" l="1"/>
  <c r="H1142" i="5"/>
  <c r="G1143" i="5"/>
  <c r="J1141" i="5"/>
  <c r="K1141" i="5" s="1"/>
  <c r="L1141" i="5" s="1"/>
  <c r="M1141" i="5" s="1"/>
  <c r="J1142" i="5" l="1"/>
  <c r="K1142" i="5" s="1"/>
  <c r="L1142" i="5" s="1"/>
  <c r="M1142" i="5" s="1"/>
  <c r="G1144" i="5"/>
  <c r="I1143" i="5"/>
  <c r="H1143" i="5"/>
  <c r="J1143" i="5"/>
  <c r="K1143" i="5" s="1"/>
  <c r="L1143" i="5" s="1"/>
  <c r="M1143" i="5" s="1"/>
  <c r="H1144" i="5" l="1"/>
  <c r="G1145" i="5"/>
  <c r="I1144" i="5"/>
  <c r="H1145" i="5" l="1"/>
  <c r="I1145" i="5"/>
  <c r="G1146" i="5"/>
  <c r="J1144" i="5"/>
  <c r="K1144" i="5" s="1"/>
  <c r="L1144" i="5" s="1"/>
  <c r="M1144" i="5" s="1"/>
  <c r="G1147" i="5" l="1"/>
  <c r="J1146" i="5" s="1"/>
  <c r="K1146" i="5" s="1"/>
  <c r="I1146" i="5"/>
  <c r="H1146" i="5"/>
  <c r="J1145" i="5"/>
  <c r="K1145" i="5" s="1"/>
  <c r="L1145" i="5" s="1"/>
  <c r="M1145" i="5" s="1"/>
  <c r="L1146" i="5" l="1"/>
  <c r="M1146" i="5" s="1"/>
  <c r="I1147" i="5"/>
  <c r="G1148" i="5"/>
  <c r="H1147" i="5"/>
  <c r="J1147" i="5" l="1"/>
  <c r="K1147" i="5" s="1"/>
  <c r="L1147" i="5" s="1"/>
  <c r="M1147" i="5" s="1"/>
  <c r="G1149" i="5"/>
  <c r="J1148" i="5" s="1"/>
  <c r="K1148" i="5" s="1"/>
  <c r="L1148" i="5" s="1"/>
  <c r="M1148" i="5" s="1"/>
  <c r="I1148" i="5"/>
  <c r="H1148" i="5"/>
  <c r="G1150" i="5" l="1"/>
  <c r="I1149" i="5"/>
  <c r="H1149" i="5"/>
  <c r="G1151" i="5" l="1"/>
  <c r="H1150" i="5"/>
  <c r="I1150" i="5"/>
  <c r="J1150" i="5" s="1"/>
  <c r="K1150" i="5" s="1"/>
  <c r="L1150" i="5" s="1"/>
  <c r="M1150" i="5" s="1"/>
  <c r="J1149" i="5"/>
  <c r="K1149" i="5" s="1"/>
  <c r="L1149" i="5" s="1"/>
  <c r="M1149" i="5" s="1"/>
  <c r="H1151" i="5" l="1"/>
  <c r="I1151" i="5"/>
  <c r="G1152" i="5"/>
  <c r="J1151" i="5" s="1"/>
  <c r="K1151" i="5" s="1"/>
  <c r="L1151" i="5" s="1"/>
  <c r="M1151" i="5" s="1"/>
  <c r="I1152" i="5" l="1"/>
  <c r="G1153" i="5"/>
  <c r="J1152" i="5" s="1"/>
  <c r="K1152" i="5" s="1"/>
  <c r="L1152" i="5" s="1"/>
  <c r="M1152" i="5" s="1"/>
  <c r="H1152" i="5"/>
  <c r="I1153" i="5" l="1"/>
  <c r="H1153" i="5"/>
  <c r="G1154" i="5"/>
  <c r="G1155" i="5" l="1"/>
  <c r="I1154" i="5"/>
  <c r="H1154" i="5"/>
  <c r="J1153" i="5"/>
  <c r="K1153" i="5" s="1"/>
  <c r="L1153" i="5" s="1"/>
  <c r="M1153" i="5" s="1"/>
  <c r="J1154" i="5" l="1"/>
  <c r="K1154" i="5" s="1"/>
  <c r="L1154" i="5" s="1"/>
  <c r="M1154" i="5" s="1"/>
  <c r="I1155" i="5"/>
  <c r="G1156" i="5"/>
  <c r="H1155" i="5"/>
  <c r="J1155" i="5" l="1"/>
  <c r="K1155" i="5" s="1"/>
  <c r="L1155" i="5" s="1"/>
  <c r="M1155" i="5" s="1"/>
  <c r="H1156" i="5"/>
  <c r="I1156" i="5"/>
  <c r="G1157" i="5"/>
  <c r="H1157" i="5" l="1"/>
  <c r="G1158" i="5"/>
  <c r="I1157" i="5"/>
  <c r="J1156" i="5"/>
  <c r="K1156" i="5" s="1"/>
  <c r="L1156" i="5" s="1"/>
  <c r="M1156" i="5" s="1"/>
  <c r="J1157" i="5" l="1"/>
  <c r="K1157" i="5" s="1"/>
  <c r="L1157" i="5" s="1"/>
  <c r="M1157" i="5" s="1"/>
  <c r="I1158" i="5"/>
  <c r="H1158" i="5"/>
  <c r="G1159" i="5"/>
  <c r="J1158" i="5" l="1"/>
  <c r="K1158" i="5" s="1"/>
  <c r="L1158" i="5" s="1"/>
  <c r="M1158" i="5" s="1"/>
  <c r="H1159" i="5"/>
  <c r="I1159" i="5"/>
  <c r="G1160" i="5"/>
  <c r="J1159" i="5" l="1"/>
  <c r="K1159" i="5" s="1"/>
  <c r="L1159" i="5" s="1"/>
  <c r="M1159" i="5" s="1"/>
  <c r="H1160" i="5"/>
  <c r="I1160" i="5"/>
  <c r="G1161" i="5"/>
  <c r="J1160" i="5" s="1"/>
  <c r="K1160" i="5" s="1"/>
  <c r="L1160" i="5" s="1"/>
  <c r="M1160" i="5" s="1"/>
  <c r="H1161" i="5" l="1"/>
  <c r="G1162" i="5"/>
  <c r="J1161" i="5" s="1"/>
  <c r="K1161" i="5" s="1"/>
  <c r="L1161" i="5" s="1"/>
  <c r="M1161" i="5" s="1"/>
  <c r="I1161" i="5"/>
  <c r="I1162" i="5" l="1"/>
  <c r="H1162" i="5"/>
  <c r="G1163" i="5"/>
  <c r="J1162" i="5" l="1"/>
  <c r="K1162" i="5" s="1"/>
  <c r="L1162" i="5" s="1"/>
  <c r="M1162" i="5" s="1"/>
  <c r="I1163" i="5"/>
  <c r="H1163" i="5"/>
  <c r="G1164" i="5"/>
  <c r="J1163" i="5" s="1"/>
  <c r="K1163" i="5" s="1"/>
  <c r="L1163" i="5" s="1"/>
  <c r="M1163" i="5" s="1"/>
  <c r="I1164" i="5" l="1"/>
  <c r="H1164" i="5"/>
  <c r="G1165" i="5"/>
  <c r="J1164" i="5" l="1"/>
  <c r="K1164" i="5" s="1"/>
  <c r="L1164" i="5" s="1"/>
  <c r="M1164" i="5" s="1"/>
  <c r="I1165" i="5"/>
  <c r="H1165" i="5"/>
  <c r="G1166" i="5"/>
  <c r="J1165" i="5" s="1"/>
  <c r="K1165" i="5" s="1"/>
  <c r="L1165" i="5" l="1"/>
  <c r="M1165" i="5" s="1"/>
  <c r="I1166" i="5"/>
  <c r="G1167" i="5"/>
  <c r="H1166" i="5"/>
  <c r="H1167" i="5" l="1"/>
  <c r="G1168" i="5"/>
  <c r="I1167" i="5"/>
  <c r="J1166" i="5"/>
  <c r="K1166" i="5" s="1"/>
  <c r="L1166" i="5" s="1"/>
  <c r="M1166" i="5" s="1"/>
  <c r="I1168" i="5" l="1"/>
  <c r="H1168" i="5"/>
  <c r="G1169" i="5"/>
  <c r="J1167" i="5"/>
  <c r="K1167" i="5" s="1"/>
  <c r="L1167" i="5" s="1"/>
  <c r="M1167" i="5" s="1"/>
  <c r="J1168" i="5" l="1"/>
  <c r="K1168" i="5" s="1"/>
  <c r="L1168" i="5" s="1"/>
  <c r="M1168" i="5" s="1"/>
  <c r="G1170" i="5"/>
  <c r="H1169" i="5"/>
  <c r="I1169" i="5"/>
  <c r="J1169" i="5" l="1"/>
  <c r="K1169" i="5" s="1"/>
  <c r="L1169" i="5" s="1"/>
  <c r="M1169" i="5" s="1"/>
  <c r="I1170" i="5"/>
  <c r="H1170" i="5"/>
  <c r="G1171" i="5"/>
  <c r="I1171" i="5" l="1"/>
  <c r="H1171" i="5"/>
  <c r="G1172" i="5"/>
  <c r="J1170" i="5"/>
  <c r="K1170" i="5" s="1"/>
  <c r="L1170" i="5" s="1"/>
  <c r="M1170" i="5" s="1"/>
  <c r="J1171" i="5" l="1"/>
  <c r="K1171" i="5" s="1"/>
  <c r="L1171" i="5" s="1"/>
  <c r="M1171" i="5" s="1"/>
  <c r="H1172" i="5"/>
  <c r="I1172" i="5"/>
  <c r="G1173" i="5"/>
  <c r="J1172" i="5" l="1"/>
  <c r="K1172" i="5" s="1"/>
  <c r="L1172" i="5" s="1"/>
  <c r="M1172" i="5" s="1"/>
  <c r="H1173" i="5"/>
  <c r="G1174" i="5"/>
  <c r="J1173" i="5" s="1"/>
  <c r="K1173" i="5" s="1"/>
  <c r="I1173" i="5"/>
  <c r="L1173" i="5" l="1"/>
  <c r="M1173" i="5" s="1"/>
  <c r="G1175" i="5"/>
  <c r="H1174" i="5"/>
  <c r="I1174" i="5"/>
  <c r="J1174" i="5" s="1"/>
  <c r="K1174" i="5" s="1"/>
  <c r="L1174" i="5" s="1"/>
  <c r="M1174" i="5" s="1"/>
  <c r="G1176" i="5" l="1"/>
  <c r="J1175" i="5" s="1"/>
  <c r="K1175" i="5" s="1"/>
  <c r="L1175" i="5" s="1"/>
  <c r="M1175" i="5" s="1"/>
  <c r="H1175" i="5"/>
  <c r="I1175" i="5"/>
  <c r="I1176" i="5" l="1"/>
  <c r="G1177" i="5"/>
  <c r="J1176" i="5" s="1"/>
  <c r="K1176" i="5" s="1"/>
  <c r="L1176" i="5" s="1"/>
  <c r="M1176" i="5" s="1"/>
  <c r="H1176" i="5"/>
  <c r="H1177" i="5" l="1"/>
  <c r="I1177" i="5"/>
  <c r="G1178" i="5"/>
  <c r="J1177" i="5" s="1"/>
  <c r="K1177" i="5" s="1"/>
  <c r="L1177" i="5" s="1"/>
  <c r="M1177" i="5" s="1"/>
  <c r="H1178" i="5" l="1"/>
  <c r="I1178" i="5"/>
  <c r="G1179" i="5"/>
  <c r="J1178" i="5" l="1"/>
  <c r="K1178" i="5" s="1"/>
  <c r="L1178" i="5" s="1"/>
  <c r="M1178" i="5" s="1"/>
  <c r="G1180" i="5"/>
  <c r="H1179" i="5"/>
  <c r="I1179" i="5"/>
  <c r="J1179" i="5" l="1"/>
  <c r="K1179" i="5" s="1"/>
  <c r="L1179" i="5" s="1"/>
  <c r="M1179" i="5" s="1"/>
  <c r="I1180" i="5"/>
  <c r="H1180" i="5"/>
  <c r="G1181" i="5"/>
  <c r="J1180" i="5" l="1"/>
  <c r="K1180" i="5" s="1"/>
  <c r="L1180" i="5" s="1"/>
  <c r="M1180" i="5" s="1"/>
  <c r="I1181" i="5"/>
  <c r="H1181" i="5"/>
  <c r="G1182" i="5"/>
  <c r="J1181" i="5" s="1"/>
  <c r="K1181" i="5" s="1"/>
  <c r="L1181" i="5" l="1"/>
  <c r="M1181" i="5" s="1"/>
  <c r="G1183" i="5"/>
  <c r="J1182" i="5" s="1"/>
  <c r="K1182" i="5" s="1"/>
  <c r="L1182" i="5" s="1"/>
  <c r="M1182" i="5" s="1"/>
  <c r="I1182" i="5"/>
  <c r="H1182" i="5"/>
  <c r="I1183" i="5" l="1"/>
  <c r="H1183" i="5"/>
  <c r="G1184" i="5"/>
  <c r="J1183" i="5" s="1"/>
  <c r="K1183" i="5" s="1"/>
  <c r="L1183" i="5" s="1"/>
  <c r="M1183" i="5" s="1"/>
  <c r="H1184" i="5" l="1"/>
  <c r="I1184" i="5"/>
  <c r="G1185" i="5"/>
  <c r="J1184" i="5" s="1"/>
  <c r="K1184" i="5" s="1"/>
  <c r="L1184" i="5" s="1"/>
  <c r="M1184" i="5" s="1"/>
  <c r="G1186" i="5" l="1"/>
  <c r="H1185" i="5"/>
  <c r="I1185" i="5"/>
  <c r="J1185" i="5" l="1"/>
  <c r="K1185" i="5" s="1"/>
  <c r="L1185" i="5" s="1"/>
  <c r="M1185" i="5" s="1"/>
  <c r="G1187" i="5"/>
  <c r="H1186" i="5"/>
  <c r="I1186" i="5"/>
  <c r="J1186" i="5"/>
  <c r="K1186" i="5" s="1"/>
  <c r="L1186" i="5" l="1"/>
  <c r="M1186" i="5" s="1"/>
  <c r="I1187" i="5"/>
  <c r="H1187" i="5"/>
  <c r="G1188" i="5"/>
  <c r="J1187" i="5" s="1"/>
  <c r="K1187" i="5" s="1"/>
  <c r="L1187" i="5" s="1"/>
  <c r="M1187" i="5" s="1"/>
  <c r="G1189" i="5" l="1"/>
  <c r="H1188" i="5"/>
  <c r="I1188" i="5"/>
  <c r="J1188" i="5" l="1"/>
  <c r="K1188" i="5" s="1"/>
  <c r="L1188" i="5" s="1"/>
  <c r="M1188" i="5" s="1"/>
  <c r="I1189" i="5"/>
  <c r="H1189" i="5"/>
  <c r="G1190" i="5"/>
  <c r="J1189" i="5" s="1"/>
  <c r="K1189" i="5" s="1"/>
  <c r="L1189" i="5" s="1"/>
  <c r="M1189" i="5" s="1"/>
  <c r="H1190" i="5" l="1"/>
  <c r="G1191" i="5"/>
  <c r="I1190" i="5"/>
  <c r="J1190" i="5"/>
  <c r="K1190" i="5" s="1"/>
  <c r="L1190" i="5" s="1"/>
  <c r="M1190" i="5" s="1"/>
  <c r="G1192" i="5" l="1"/>
  <c r="I1191" i="5"/>
  <c r="H1191" i="5"/>
  <c r="J1191" i="5"/>
  <c r="K1191" i="5" s="1"/>
  <c r="L1191" i="5" s="1"/>
  <c r="M1191" i="5" s="1"/>
  <c r="H1192" i="5" l="1"/>
  <c r="I1192" i="5"/>
  <c r="G1193" i="5"/>
  <c r="J1192" i="5" s="1"/>
  <c r="K1192" i="5" s="1"/>
  <c r="L1192" i="5" s="1"/>
  <c r="M1192" i="5" s="1"/>
  <c r="G1194" i="5" l="1"/>
  <c r="I1193" i="5"/>
  <c r="H1193" i="5"/>
  <c r="J1193" i="5"/>
  <c r="K1193" i="5" s="1"/>
  <c r="L1193" i="5" s="1"/>
  <c r="M1193" i="5" s="1"/>
  <c r="H1194" i="5" l="1"/>
  <c r="I1194" i="5"/>
  <c r="G1195" i="5"/>
  <c r="J1194" i="5" l="1"/>
  <c r="K1194" i="5" s="1"/>
  <c r="L1194" i="5" s="1"/>
  <c r="M1194" i="5" s="1"/>
  <c r="G1196" i="5"/>
  <c r="H1195" i="5"/>
  <c r="I1195" i="5"/>
  <c r="J1195" i="5" l="1"/>
  <c r="K1195" i="5" s="1"/>
  <c r="L1195" i="5" s="1"/>
  <c r="M1195" i="5" s="1"/>
  <c r="I1196" i="5"/>
  <c r="H1196" i="5"/>
  <c r="G1197" i="5"/>
  <c r="J1196" i="5" s="1"/>
  <c r="K1196" i="5" s="1"/>
  <c r="L1196" i="5" s="1"/>
  <c r="M1196" i="5" s="1"/>
  <c r="I1197" i="5" l="1"/>
  <c r="H1197" i="5"/>
  <c r="G1198" i="5"/>
  <c r="I1198" i="5" l="1"/>
  <c r="G1199" i="5"/>
  <c r="H1198" i="5"/>
  <c r="J1197" i="5"/>
  <c r="K1197" i="5" s="1"/>
  <c r="L1197" i="5" s="1"/>
  <c r="M1197" i="5" s="1"/>
  <c r="J1198" i="5" l="1"/>
  <c r="K1198" i="5" s="1"/>
  <c r="L1198" i="5" s="1"/>
  <c r="M1198" i="5" s="1"/>
  <c r="I1199" i="5"/>
  <c r="H1199" i="5"/>
  <c r="G1200" i="5"/>
  <c r="G1201" i="5" l="1"/>
  <c r="H1200" i="5"/>
  <c r="I1200" i="5"/>
  <c r="J1200" i="5"/>
  <c r="K1200" i="5" s="1"/>
  <c r="J1199" i="5"/>
  <c r="K1199" i="5" s="1"/>
  <c r="L1199" i="5" s="1"/>
  <c r="M1199" i="5" s="1"/>
  <c r="L1200" i="5" l="1"/>
  <c r="M1200" i="5" s="1"/>
  <c r="I1201" i="5"/>
  <c r="H1201" i="5"/>
  <c r="G1202" i="5"/>
  <c r="J1201" i="5" l="1"/>
  <c r="K1201" i="5" s="1"/>
  <c r="L1201" i="5" s="1"/>
  <c r="M1201" i="5" s="1"/>
  <c r="I1202" i="5"/>
  <c r="H1202" i="5"/>
  <c r="G1203" i="5"/>
  <c r="J1202" i="5" s="1"/>
  <c r="K1202" i="5" s="1"/>
  <c r="L1202" i="5" s="1"/>
  <c r="M1202" i="5" s="1"/>
  <c r="G1204" i="5" l="1"/>
  <c r="H1203" i="5"/>
  <c r="I1203" i="5"/>
  <c r="H1204" i="5" l="1"/>
  <c r="I1204" i="5"/>
  <c r="G1205" i="5"/>
  <c r="J1204" i="5" s="1"/>
  <c r="K1204" i="5" s="1"/>
  <c r="J1203" i="5"/>
  <c r="K1203" i="5" s="1"/>
  <c r="L1203" i="5" s="1"/>
  <c r="M1203" i="5" s="1"/>
  <c r="L1204" i="5" l="1"/>
  <c r="M1204" i="5" s="1"/>
  <c r="G1206" i="5"/>
  <c r="I1205" i="5"/>
  <c r="H1205" i="5"/>
  <c r="H1206" i="5" l="1"/>
  <c r="I1206" i="5"/>
  <c r="G1207" i="5"/>
  <c r="J1205" i="5"/>
  <c r="K1205" i="5" s="1"/>
  <c r="L1205" i="5" s="1"/>
  <c r="M1205" i="5" s="1"/>
  <c r="I1207" i="5" l="1"/>
  <c r="H1207" i="5"/>
  <c r="G1208" i="5"/>
  <c r="J1206" i="5"/>
  <c r="K1206" i="5" s="1"/>
  <c r="L1206" i="5" s="1"/>
  <c r="M1206" i="5" s="1"/>
  <c r="G1209" i="5" l="1"/>
  <c r="I1208" i="5"/>
  <c r="H1208" i="5"/>
  <c r="J1207" i="5"/>
  <c r="K1207" i="5" s="1"/>
  <c r="L1207" i="5" s="1"/>
  <c r="M1207" i="5" s="1"/>
  <c r="J1208" i="5" l="1"/>
  <c r="K1208" i="5" s="1"/>
  <c r="L1208" i="5" s="1"/>
  <c r="M1208" i="5" s="1"/>
  <c r="H1209" i="5"/>
  <c r="I1209" i="5"/>
  <c r="G1210" i="5"/>
  <c r="J1209" i="5" s="1"/>
  <c r="K1209" i="5" s="1"/>
  <c r="L1209" i="5" s="1"/>
  <c r="M1209" i="5" s="1"/>
  <c r="H1210" i="5" l="1"/>
  <c r="I1210" i="5"/>
  <c r="G1211" i="5"/>
  <c r="J1210" i="5" l="1"/>
  <c r="K1210" i="5" s="1"/>
  <c r="L1210" i="5" s="1"/>
  <c r="M1210" i="5" s="1"/>
  <c r="I1211" i="5"/>
  <c r="G1212" i="5"/>
  <c r="J1211" i="5" s="1"/>
  <c r="K1211" i="5" s="1"/>
  <c r="H1211" i="5"/>
  <c r="L1211" i="5" l="1"/>
  <c r="M1211" i="5" s="1"/>
  <c r="I1212" i="5"/>
  <c r="H1212" i="5"/>
  <c r="G1213" i="5"/>
  <c r="J1212" i="5" s="1"/>
  <c r="K1212" i="5" s="1"/>
  <c r="L1212" i="5" l="1"/>
  <c r="M1212" i="5" s="1"/>
  <c r="H1213" i="5"/>
  <c r="I1213" i="5"/>
  <c r="G1214" i="5"/>
  <c r="J1213" i="5" l="1"/>
  <c r="K1213" i="5" s="1"/>
  <c r="L1213" i="5" s="1"/>
  <c r="M1213" i="5" s="1"/>
  <c r="G1215" i="5"/>
  <c r="H1214" i="5"/>
  <c r="I1214" i="5"/>
  <c r="J1214" i="5"/>
  <c r="K1214" i="5" s="1"/>
  <c r="L1214" i="5" s="1"/>
  <c r="M1214" i="5" s="1"/>
  <c r="G1216" i="5" l="1"/>
  <c r="H1215" i="5"/>
  <c r="I1215" i="5"/>
  <c r="J1215" i="5"/>
  <c r="K1215" i="5" s="1"/>
  <c r="L1215" i="5" s="1"/>
  <c r="M1215" i="5" s="1"/>
  <c r="H1216" i="5" l="1"/>
  <c r="I1216" i="5"/>
  <c r="G1217" i="5"/>
  <c r="J1216" i="5" s="1"/>
  <c r="K1216" i="5" s="1"/>
  <c r="L1216" i="5" s="1"/>
  <c r="M1216" i="5" s="1"/>
  <c r="G1218" i="5" l="1"/>
  <c r="I1217" i="5"/>
  <c r="H1217" i="5"/>
  <c r="J1217" i="5"/>
  <c r="K1217" i="5" s="1"/>
  <c r="L1217" i="5" s="1"/>
  <c r="M1217" i="5" s="1"/>
  <c r="I1218" i="5" l="1"/>
  <c r="H1218" i="5"/>
  <c r="G1219" i="5"/>
  <c r="J1218" i="5" s="1"/>
  <c r="K1218" i="5" s="1"/>
  <c r="L1218" i="5" s="1"/>
  <c r="M1218" i="5" s="1"/>
  <c r="H1219" i="5" l="1"/>
  <c r="I1219" i="5"/>
  <c r="G1220" i="5"/>
  <c r="J1219" i="5" l="1"/>
  <c r="K1219" i="5" s="1"/>
  <c r="L1219" i="5" s="1"/>
  <c r="M1219" i="5" s="1"/>
  <c r="G1221" i="5"/>
  <c r="H1220" i="5"/>
  <c r="I1220" i="5"/>
  <c r="J1220" i="5" l="1"/>
  <c r="K1220" i="5" s="1"/>
  <c r="L1220" i="5" s="1"/>
  <c r="M1220" i="5" s="1"/>
  <c r="G1222" i="5"/>
  <c r="H1221" i="5"/>
  <c r="I1221" i="5"/>
  <c r="J1221" i="5" l="1"/>
  <c r="K1221" i="5" s="1"/>
  <c r="L1221" i="5" s="1"/>
  <c r="M1221" i="5" s="1"/>
  <c r="I1222" i="5"/>
  <c r="G1223" i="5"/>
  <c r="H1222" i="5"/>
  <c r="J1222" i="5" l="1"/>
  <c r="K1222" i="5" s="1"/>
  <c r="L1222" i="5" s="1"/>
  <c r="M1222" i="5" s="1"/>
  <c r="I1223" i="5"/>
  <c r="G1224" i="5"/>
  <c r="H1223" i="5"/>
  <c r="H1224" i="5" l="1"/>
  <c r="I1224" i="5"/>
  <c r="G1225" i="5"/>
  <c r="J1224" i="5" s="1"/>
  <c r="K1224" i="5" s="1"/>
  <c r="J1223" i="5"/>
  <c r="K1223" i="5" s="1"/>
  <c r="L1223" i="5" s="1"/>
  <c r="M1223" i="5" s="1"/>
  <c r="L1224" i="5" l="1"/>
  <c r="M1224" i="5" s="1"/>
  <c r="H1225" i="5"/>
  <c r="I1225" i="5"/>
  <c r="G1226" i="5"/>
  <c r="G1227" i="5" l="1"/>
  <c r="H1226" i="5"/>
  <c r="I1226" i="5"/>
  <c r="J1226" i="5"/>
  <c r="K1226" i="5" s="1"/>
  <c r="J1225" i="5"/>
  <c r="K1225" i="5" s="1"/>
  <c r="L1225" i="5" s="1"/>
  <c r="M1225" i="5" s="1"/>
  <c r="L1226" i="5" l="1"/>
  <c r="M1226" i="5" s="1"/>
  <c r="I1227" i="5"/>
  <c r="G1228" i="5"/>
  <c r="H1227" i="5"/>
  <c r="J1227" i="5" l="1"/>
  <c r="K1227" i="5" s="1"/>
  <c r="L1227" i="5" s="1"/>
  <c r="M1227" i="5" s="1"/>
  <c r="G1229" i="5"/>
  <c r="J1228" i="5" s="1"/>
  <c r="K1228" i="5" s="1"/>
  <c r="L1228" i="5" s="1"/>
  <c r="M1228" i="5" s="1"/>
  <c r="I1228" i="5"/>
  <c r="H1228" i="5"/>
  <c r="H1229" i="5" l="1"/>
  <c r="G1230" i="5"/>
  <c r="J1229" i="5" s="1"/>
  <c r="K1229" i="5" s="1"/>
  <c r="L1229" i="5" s="1"/>
  <c r="M1229" i="5" s="1"/>
  <c r="I1229" i="5"/>
  <c r="H1230" i="5" l="1"/>
  <c r="I1230" i="5"/>
  <c r="G1231" i="5"/>
  <c r="J1230" i="5" s="1"/>
  <c r="K1230" i="5" s="1"/>
  <c r="L1230" i="5" s="1"/>
  <c r="M1230" i="5" s="1"/>
  <c r="H1231" i="5" l="1"/>
  <c r="I1231" i="5"/>
  <c r="G1232" i="5"/>
  <c r="J1231" i="5" s="1"/>
  <c r="K1231" i="5" s="1"/>
  <c r="L1231" i="5" s="1"/>
  <c r="M1231" i="5" s="1"/>
  <c r="G1233" i="5" l="1"/>
  <c r="H1232" i="5"/>
  <c r="I1232" i="5"/>
  <c r="J1232" i="5" l="1"/>
  <c r="K1232" i="5" s="1"/>
  <c r="L1232" i="5" s="1"/>
  <c r="M1232" i="5" s="1"/>
  <c r="H1233" i="5"/>
  <c r="I1233" i="5"/>
  <c r="G1234" i="5"/>
  <c r="J1233" i="5" s="1"/>
  <c r="K1233" i="5" s="1"/>
  <c r="L1233" i="5" s="1"/>
  <c r="M1233" i="5" s="1"/>
  <c r="H1234" i="5" l="1"/>
  <c r="I1234" i="5"/>
  <c r="G1235" i="5"/>
  <c r="J1234" i="5" s="1"/>
  <c r="K1234" i="5" s="1"/>
  <c r="L1234" i="5" s="1"/>
  <c r="M1234" i="5" s="1"/>
  <c r="H1235" i="5" l="1"/>
  <c r="I1235" i="5"/>
  <c r="G1236" i="5"/>
  <c r="I1236" i="5" l="1"/>
  <c r="H1236" i="5"/>
  <c r="G1237" i="5"/>
  <c r="J1235" i="5"/>
  <c r="K1235" i="5" s="1"/>
  <c r="L1235" i="5" s="1"/>
  <c r="M1235" i="5" s="1"/>
  <c r="J1236" i="5" l="1"/>
  <c r="K1236" i="5" s="1"/>
  <c r="L1236" i="5" s="1"/>
  <c r="M1236" i="5" s="1"/>
  <c r="G1238" i="5"/>
  <c r="I1237" i="5"/>
  <c r="H1237" i="5"/>
  <c r="J1237" i="5" l="1"/>
  <c r="K1237" i="5" s="1"/>
  <c r="L1237" i="5" s="1"/>
  <c r="M1237" i="5" s="1"/>
  <c r="H1238" i="5"/>
  <c r="I1238" i="5"/>
  <c r="G1239" i="5"/>
  <c r="I1239" i="5" l="1"/>
  <c r="H1239" i="5"/>
  <c r="G1240" i="5"/>
  <c r="J1238" i="5"/>
  <c r="K1238" i="5" s="1"/>
  <c r="L1238" i="5" s="1"/>
  <c r="M1238" i="5" s="1"/>
  <c r="H1240" i="5" l="1"/>
  <c r="I1240" i="5"/>
  <c r="G1241" i="5"/>
  <c r="J1240" i="5" s="1"/>
  <c r="K1240" i="5" s="1"/>
  <c r="J1239" i="5"/>
  <c r="K1239" i="5" s="1"/>
  <c r="L1239" i="5" s="1"/>
  <c r="M1239" i="5" s="1"/>
  <c r="L1240" i="5" l="1"/>
  <c r="M1240" i="5" s="1"/>
  <c r="I1241" i="5"/>
  <c r="H1241" i="5"/>
  <c r="G1242" i="5"/>
  <c r="J1241" i="5" s="1"/>
  <c r="K1241" i="5" s="1"/>
  <c r="L1241" i="5" s="1"/>
  <c r="M1241" i="5" s="1"/>
  <c r="H1242" i="5" l="1"/>
  <c r="I1242" i="5"/>
  <c r="G1243" i="5"/>
  <c r="J1242" i="5" s="1"/>
  <c r="K1242" i="5" s="1"/>
  <c r="L1242" i="5" s="1"/>
  <c r="M1242" i="5" s="1"/>
  <c r="G1244" i="5" l="1"/>
  <c r="I1243" i="5"/>
  <c r="H1243" i="5"/>
  <c r="G1245" i="5" l="1"/>
  <c r="H1244" i="5"/>
  <c r="I1244" i="5"/>
  <c r="J1243" i="5"/>
  <c r="K1243" i="5" s="1"/>
  <c r="L1243" i="5" s="1"/>
  <c r="M1243" i="5" s="1"/>
  <c r="J1244" i="5" l="1"/>
  <c r="K1244" i="5" s="1"/>
  <c r="L1244" i="5" s="1"/>
  <c r="M1244" i="5" s="1"/>
  <c r="I1245" i="5"/>
  <c r="H1245" i="5"/>
  <c r="G1246" i="5"/>
  <c r="J1245" i="5" l="1"/>
  <c r="K1245" i="5" s="1"/>
  <c r="L1245" i="5" s="1"/>
  <c r="M1245" i="5" s="1"/>
  <c r="G1247" i="5"/>
  <c r="H1246" i="5"/>
  <c r="I1246" i="5"/>
  <c r="J1246" i="5" l="1"/>
  <c r="K1246" i="5" s="1"/>
  <c r="L1246" i="5" s="1"/>
  <c r="M1246" i="5" s="1"/>
  <c r="H1247" i="5"/>
  <c r="I1247" i="5"/>
  <c r="G1248" i="5"/>
  <c r="J1247" i="5" s="1"/>
  <c r="K1247" i="5" s="1"/>
  <c r="L1247" i="5" l="1"/>
  <c r="M1247" i="5" s="1"/>
  <c r="H1248" i="5"/>
  <c r="I1248" i="5"/>
  <c r="G1249" i="5"/>
  <c r="J1248" i="5" s="1"/>
  <c r="K1248" i="5" s="1"/>
  <c r="L1248" i="5" s="1"/>
  <c r="M1248" i="5" s="1"/>
  <c r="H1249" i="5" l="1"/>
  <c r="G1250" i="5"/>
  <c r="I1249" i="5"/>
  <c r="J1249" i="5" l="1"/>
  <c r="K1249" i="5" s="1"/>
  <c r="L1249" i="5" s="1"/>
  <c r="M1249" i="5" s="1"/>
  <c r="I1250" i="5"/>
  <c r="H1250" i="5"/>
  <c r="G1251" i="5"/>
  <c r="J1250" i="5" l="1"/>
  <c r="K1250" i="5" s="1"/>
  <c r="L1250" i="5" s="1"/>
  <c r="M1250" i="5" s="1"/>
  <c r="H1251" i="5"/>
  <c r="I1251" i="5"/>
  <c r="G1252" i="5"/>
  <c r="H1252" i="5" l="1"/>
  <c r="I1252" i="5"/>
  <c r="G1253" i="5"/>
  <c r="J1252" i="5" s="1"/>
  <c r="K1252" i="5" s="1"/>
  <c r="J1251" i="5"/>
  <c r="K1251" i="5" s="1"/>
  <c r="L1251" i="5" s="1"/>
  <c r="M1251" i="5" s="1"/>
  <c r="L1252" i="5" l="1"/>
  <c r="M1252" i="5" s="1"/>
  <c r="G1254" i="5"/>
  <c r="H1253" i="5"/>
  <c r="I1253" i="5"/>
  <c r="J1253" i="5"/>
  <c r="K1253" i="5" s="1"/>
  <c r="L1253" i="5" s="1"/>
  <c r="M1253" i="5" s="1"/>
  <c r="I1254" i="5" l="1"/>
  <c r="H1254" i="5"/>
  <c r="G1255" i="5"/>
  <c r="J1254" i="5" s="1"/>
  <c r="K1254" i="5" s="1"/>
  <c r="L1254" i="5" s="1"/>
  <c r="M1254" i="5" s="1"/>
  <c r="I1255" i="5" l="1"/>
  <c r="H1255" i="5"/>
  <c r="G1256" i="5"/>
  <c r="J1255" i="5" s="1"/>
  <c r="K1255" i="5" s="1"/>
  <c r="L1255" i="5" s="1"/>
  <c r="M1255" i="5" s="1"/>
  <c r="H1256" i="5" l="1"/>
  <c r="I1256" i="5"/>
  <c r="G1257" i="5"/>
  <c r="J1256" i="5" s="1"/>
  <c r="K1256" i="5" s="1"/>
  <c r="L1256" i="5" s="1"/>
  <c r="M1256" i="5" s="1"/>
  <c r="H1257" i="5" l="1"/>
  <c r="I1257" i="5"/>
  <c r="G1258" i="5"/>
  <c r="J1257" i="5" s="1"/>
  <c r="K1257" i="5" s="1"/>
  <c r="L1257" i="5" s="1"/>
  <c r="M1257" i="5" s="1"/>
  <c r="I1258" i="5" l="1"/>
  <c r="H1258" i="5"/>
  <c r="G1259" i="5"/>
  <c r="J1258" i="5" l="1"/>
  <c r="K1258" i="5" s="1"/>
  <c r="L1258" i="5" s="1"/>
  <c r="M1258" i="5" s="1"/>
  <c r="I1259" i="5"/>
  <c r="G1260" i="5"/>
  <c r="J1259" i="5" s="1"/>
  <c r="K1259" i="5" s="1"/>
  <c r="H1259" i="5"/>
  <c r="L1259" i="5" l="1"/>
  <c r="M1259" i="5" s="1"/>
  <c r="I1260" i="5"/>
  <c r="G1261" i="5"/>
  <c r="H1260" i="5"/>
  <c r="J1260" i="5" l="1"/>
  <c r="K1260" i="5" s="1"/>
  <c r="L1260" i="5" s="1"/>
  <c r="M1260" i="5" s="1"/>
  <c r="G1262" i="5"/>
  <c r="J1261" i="5" s="1"/>
  <c r="K1261" i="5" s="1"/>
  <c r="L1261" i="5" s="1"/>
  <c r="M1261" i="5" s="1"/>
  <c r="I1261" i="5"/>
  <c r="H1261" i="5"/>
  <c r="H1262" i="5" l="1"/>
  <c r="I1262" i="5"/>
  <c r="G1263" i="5"/>
  <c r="J1262" i="5" s="1"/>
  <c r="K1262" i="5" s="1"/>
  <c r="L1262" i="5" s="1"/>
  <c r="M1262" i="5" s="1"/>
  <c r="G1264" i="5" l="1"/>
  <c r="J1263" i="5" s="1"/>
  <c r="K1263" i="5" s="1"/>
  <c r="L1263" i="5" s="1"/>
  <c r="M1263" i="5" s="1"/>
  <c r="H1263" i="5"/>
  <c r="I1263" i="5"/>
  <c r="H1264" i="5" l="1"/>
  <c r="I1264" i="5"/>
  <c r="G1265" i="5"/>
  <c r="J1264" i="5" s="1"/>
  <c r="K1264" i="5" s="1"/>
  <c r="L1264" i="5" s="1"/>
  <c r="M1264" i="5" s="1"/>
  <c r="G1266" i="5" l="1"/>
  <c r="I1265" i="5"/>
  <c r="H1265" i="5"/>
  <c r="J1265" i="5" l="1"/>
  <c r="K1265" i="5" s="1"/>
  <c r="L1265" i="5" s="1"/>
  <c r="M1265" i="5" s="1"/>
  <c r="H1266" i="5"/>
  <c r="I1266" i="5"/>
  <c r="G1267" i="5"/>
  <c r="J1266" i="5" s="1"/>
  <c r="K1266" i="5" s="1"/>
  <c r="L1266" i="5" l="1"/>
  <c r="M1266" i="5" s="1"/>
  <c r="I1267" i="5"/>
  <c r="H1267" i="5"/>
  <c r="G1268" i="5"/>
  <c r="J1267" i="5" l="1"/>
  <c r="K1267" i="5" s="1"/>
  <c r="L1267" i="5" s="1"/>
  <c r="M1267" i="5" s="1"/>
  <c r="G1269" i="5"/>
  <c r="I1268" i="5"/>
  <c r="H1268" i="5"/>
  <c r="I1269" i="5" l="1"/>
  <c r="G1270" i="5"/>
  <c r="J1269" i="5" s="1"/>
  <c r="K1269" i="5" s="1"/>
  <c r="H1269" i="5"/>
  <c r="J1268" i="5"/>
  <c r="K1268" i="5" s="1"/>
  <c r="L1268" i="5" s="1"/>
  <c r="M1268" i="5" s="1"/>
  <c r="L1269" i="5" l="1"/>
  <c r="M1269" i="5" s="1"/>
  <c r="H1270" i="5"/>
  <c r="G1271" i="5"/>
  <c r="I1270" i="5"/>
  <c r="J1270" i="5" l="1"/>
  <c r="K1270" i="5" s="1"/>
  <c r="L1270" i="5" s="1"/>
  <c r="M1270" i="5" s="1"/>
  <c r="H1271" i="5"/>
  <c r="I1271" i="5"/>
  <c r="G1272" i="5"/>
  <c r="J1271" i="5" s="1"/>
  <c r="K1271" i="5" s="1"/>
  <c r="L1271" i="5" l="1"/>
  <c r="M1271" i="5" s="1"/>
  <c r="H1272" i="5"/>
  <c r="G1273" i="5"/>
  <c r="I1272" i="5"/>
  <c r="I1273" i="5" l="1"/>
  <c r="G1274" i="5"/>
  <c r="H1273" i="5"/>
  <c r="J1272" i="5"/>
  <c r="K1272" i="5" s="1"/>
  <c r="L1272" i="5" s="1"/>
  <c r="M1272" i="5" s="1"/>
  <c r="G1275" i="5" l="1"/>
  <c r="H1274" i="5"/>
  <c r="I1274" i="5"/>
  <c r="J1273" i="5"/>
  <c r="K1273" i="5" s="1"/>
  <c r="L1273" i="5" s="1"/>
  <c r="M1273" i="5" s="1"/>
  <c r="J1274" i="5" l="1"/>
  <c r="K1274" i="5" s="1"/>
  <c r="L1274" i="5" s="1"/>
  <c r="M1274" i="5" s="1"/>
  <c r="G1276" i="5"/>
  <c r="J1275" i="5" s="1"/>
  <c r="K1275" i="5" s="1"/>
  <c r="H1275" i="5"/>
  <c r="I1275" i="5"/>
  <c r="L1275" i="5" l="1"/>
  <c r="M1275" i="5" s="1"/>
  <c r="G1277" i="5"/>
  <c r="I1276" i="5"/>
  <c r="H1276" i="5"/>
  <c r="J1276" i="5" l="1"/>
  <c r="K1276" i="5" s="1"/>
  <c r="L1276" i="5" s="1"/>
  <c r="M1276" i="5" s="1"/>
  <c r="I1277" i="5"/>
  <c r="H1277" i="5"/>
  <c r="G1278" i="5"/>
  <c r="H1278" i="5" l="1"/>
  <c r="I1278" i="5"/>
  <c r="G1279" i="5"/>
  <c r="J1278" i="5" s="1"/>
  <c r="K1278" i="5" s="1"/>
  <c r="L1278" i="5" s="1"/>
  <c r="M1278" i="5" s="1"/>
  <c r="J1277" i="5"/>
  <c r="K1277" i="5" s="1"/>
  <c r="L1277" i="5" s="1"/>
  <c r="M1277" i="5" s="1"/>
  <c r="G1280" i="5" l="1"/>
  <c r="J1279" i="5" s="1"/>
  <c r="K1279" i="5" s="1"/>
  <c r="L1279" i="5" s="1"/>
  <c r="M1279" i="5" s="1"/>
  <c r="I1279" i="5"/>
  <c r="H1279" i="5"/>
  <c r="H1280" i="5" l="1"/>
  <c r="I1280" i="5"/>
  <c r="G1281" i="5"/>
  <c r="J1280" i="5" s="1"/>
  <c r="K1280" i="5" s="1"/>
  <c r="L1280" i="5" s="1"/>
  <c r="M1280" i="5" s="1"/>
  <c r="G1282" i="5" l="1"/>
  <c r="H1281" i="5"/>
  <c r="I1281" i="5"/>
  <c r="J1281" i="5" l="1"/>
  <c r="K1281" i="5" s="1"/>
  <c r="L1281" i="5" s="1"/>
  <c r="M1281" i="5" s="1"/>
  <c r="G1283" i="5"/>
  <c r="J1282" i="5" s="1"/>
  <c r="K1282" i="5" s="1"/>
  <c r="I1282" i="5"/>
  <c r="H1282" i="5"/>
  <c r="L1282" i="5" l="1"/>
  <c r="M1282" i="5" s="1"/>
  <c r="I1283" i="5"/>
  <c r="H1283" i="5"/>
  <c r="G1284" i="5"/>
  <c r="J1283" i="5" l="1"/>
  <c r="K1283" i="5" s="1"/>
  <c r="L1283" i="5" s="1"/>
  <c r="M1283" i="5" s="1"/>
  <c r="I1284" i="5"/>
  <c r="H1284" i="5"/>
  <c r="G1285" i="5"/>
  <c r="H1285" i="5" l="1"/>
  <c r="I1285" i="5"/>
  <c r="G1286" i="5"/>
  <c r="J1285" i="5" s="1"/>
  <c r="K1285" i="5" s="1"/>
  <c r="J1284" i="5"/>
  <c r="K1284" i="5" s="1"/>
  <c r="L1284" i="5" s="1"/>
  <c r="M1284" i="5" s="1"/>
  <c r="L1285" i="5" l="1"/>
  <c r="M1285" i="5" s="1"/>
  <c r="I1286" i="5"/>
  <c r="G1287" i="5"/>
  <c r="H1286" i="5"/>
  <c r="H1287" i="5" l="1"/>
  <c r="I1287" i="5"/>
  <c r="J1286" i="5"/>
  <c r="K1286" i="5" s="1"/>
  <c r="L1286" i="5" s="1"/>
  <c r="M1286" i="5" s="1"/>
  <c r="J1287" i="5" l="1"/>
  <c r="K1287" i="5" s="1"/>
  <c r="L1287" i="5" s="1"/>
  <c r="M1287" i="5" l="1"/>
</calcChain>
</file>

<file path=xl/connections.xml><?xml version="1.0" encoding="utf-8"?>
<connections xmlns="http://schemas.openxmlformats.org/spreadsheetml/2006/main">
  <connection id="1" name="CurrentCouponQuery" type="1" refreshedVersion="4" savePassword="1" saveData="1">
    <dbPr connection="DSN=Cello SQL Server;UID=report;PWD=gm4SJDw4;APP=Microsoft Office 2010;WSID=CELLO-PC4;DATABASE=Cello" command="select d.AsOfDate, d.SeriesNumValue, f.Rate  from TimeSeriesMeta as m,TimeSeries as d,[dbo].[get30YrFRM]() as f where m.TimeSeriesMetaId = d.TimeSeriesMetaId and d.AsOfDate = f.asOf and m.source = 'CELLO' and m.TickerName like'FN_CMM_30%' and m.category = 'MTG' and AsOfDate &lt;= '2016-01-21' and AsOfDate&gt;= '2010-12-01' order by d.AsOfDate"/>
  </connection>
  <connection id="2" name="temp" type="6" refreshedVersion="4" background="1" saveData="1">
    <textPr codePage="437" sourceFile="C:\Users\lien.chen\Desktop\temp.csv" comma="1">
      <textFields count="2">
        <textField/>
        <textField/>
      </textFields>
    </textPr>
  </connection>
</connections>
</file>

<file path=xl/sharedStrings.xml><?xml version="1.0" encoding="utf-8"?>
<sst xmlns="http://schemas.openxmlformats.org/spreadsheetml/2006/main" count="3027" uniqueCount="2006">
  <si>
    <t>Date</t>
  </si>
  <si>
    <t>Conventional 30y Primary Mort Rate - Production</t>
  </si>
  <si>
    <t/>
  </si>
  <si>
    <t>This information has been prepared by the Corporate &amp; Investment Banking Division of Barclays and is issued by Barclays Bank PLC and/or one or more of its affiliates (collectively and each individually, "Barclays"). All information is provided "as is" and Barclays makes no express or implied warranties, and expressly disclaims all warranties of merchantability or fitness for a particular purpose or use with respect to any data included herein. Barclays makes no representations that the information contained herein or any of the analytic tools or reports referenced herein are accurate, reliable, complete, or appropriate for use by all investors in all locations. Because of the possibility of human and mechanical errors as well as other factors, Barclays is not responsible for any errors or omissions in the information contained herein or any of the analytic tools or reports referenced herein. Barclays will not treat unauthorized recipients of this information herein as its clients.</t>
  </si>
  <si>
    <t xml:space="preserve">  </t>
  </si>
  <si>
    <t>Without limiting any of the foregoing and to the extent permitted by law, in no event shall Barclays nor any of their respective officers, directors, partners, or employees have any liability for (a) any special, punitive, indirect, or consequential damages; or (b) any lost profits, lost revenue, loss of anticipated savings or loss of opportunity or other financial loss, even if notified of the possibility of such damages, arising from any use of, or reliance on, this information, analytic tools or reports referenced herein.</t>
  </si>
  <si>
    <t>Barclays is not utilizing this document to provide investment advice to you or any other party. The information, analytic tools or reports referenced herein and any results derived from their use provided herein are intended for informational purposes only and should not be regarded as an offer to sell or a solicitation of an offer to buy the products or securities to which it applies. No representation is made that any returns will be achieved through their use. Any data on past performance, modelling or back-testing contained herein is not necessarily indicative of future results. All levels, prices and spreads are historical and do not represent current market levels, prices or spreads, some or all of which may have changed. Any price provided herein is non-binding and is subject to change and may differ from a live bid, offer or price subsequently quoted by Barclays. The receipt by you of such price shall not constitute a binding transaction at such price. The information referenced herein or any of the results derived from any analytic tools or reports referenced herein are not intended to predict actual results and no assurances are given with respect thereto. Barclays does not guarantee the accuracy or completeness of information which is stated to have been obtained from, or is based upon, trade and statistical services or other third party sources. You should consult with your own accounting, legal or other advisors as to the adequacy of this information for your purposes.</t>
  </si>
  <si>
    <t xml:space="preserve">Barclays may (in various capacities) have inventory positions or deal in transactions or securities (or related derivatives) identical or similar to those described herein. </t>
  </si>
  <si>
    <t>Not all products or services mentioned are available in all jurisdictions. No offers, sales, resales, or delivery of any products or services described herein or any offering materials relating to any such products or services may be made in or from any jurisdiction except in circumstances which will result with compliance with any applicable laws and regulations and which will not impose any obligations on Barclays.</t>
  </si>
  <si>
    <t>This communication is being made available in the UK and Europe primarily to persons who are investment professionals as that term is defined in Article 19 of the Financial Services and Markets Act 2000 (Financial Promotion Order) 2005. It is directed at, and therefore should only be relied upon by, persons who have professional experience in matters relating to investments. The investments to which it relates are available only to such persons and will be entered into only with such persons. Barclays Bank PLC is authorised by the Prudential Regulation Authority and regulated by the Financial Conduct Authority and the Prudential Regulation Authority and is a member of the London Stock Exchange.</t>
  </si>
  <si>
    <t>Barclays Capital Inc., U.S. registered broker/dealer and member of FINRA (www.finra.org), is distributing this material in the United States and, in connection therewith accepts responsibility for its contents. Any U.S. person wishing to effect a transaction in any security discussed herein should do so only by contacting a representative of Barclays Capital Inc. in the U.S. at 745 Seventh Avenue, New York, New York 10019. Non-US persons should contact and execute transactions through a Barclays Bank PLC branch or affiliate in their home jurisdiction unless local regulations permit otherwise.</t>
  </si>
  <si>
    <t>IRS Circular 230 Prepared Materials Disclaimer: Barclays does not provide tax advice and nothing contained herein should be construed to be tax advice. Please be advised that any discussion of U.S. tax matters contained herein (including any attachments) (i) is not intended or written to be used, and cannot be used, by you for the purpose of avoiding U.S. tax-related penalties; and (ii) was written to support the promotion or marketing of the transactions or other matters addressed herein. Accordingly, you should seek advice based on your particular circumstances from an independent tax advisor.</t>
  </si>
  <si>
    <t>Barclays is not responsible for, and makes no warranties whatsoever as to, the content of any third-party web site accessed via a hyperlink contained herein and such information is not incorporated by reference.</t>
  </si>
  <si>
    <t>© Copyright Barclays Bank PLC (2015). All rights reserved. No part of this information may be reproduced in any manner without the prior written permission of Barclays or any of its affiliates. Barclays Bank PLC is registered in England No. 1026167. Registered office 1 Churchill Place, London, E14 5HP. Additional information will be furnished upon request.</t>
  </si>
  <si>
    <t>4/2/2012</t>
  </si>
  <si>
    <t>4/3/2012</t>
  </si>
  <si>
    <t>4/4/2012</t>
  </si>
  <si>
    <t>4/5/2012</t>
  </si>
  <si>
    <t>4/6/2012</t>
  </si>
  <si>
    <t>4/9/2012</t>
  </si>
  <si>
    <t>4/10/2012</t>
  </si>
  <si>
    <t>4/11/2012</t>
  </si>
  <si>
    <t>4/12/2012</t>
  </si>
  <si>
    <t>4/13/2012</t>
  </si>
  <si>
    <t>4/16/2012</t>
  </si>
  <si>
    <t>4/17/2012</t>
  </si>
  <si>
    <t>4/18/2012</t>
  </si>
  <si>
    <t>4/19/2012</t>
  </si>
  <si>
    <t>4/20/2012</t>
  </si>
  <si>
    <t>4/23/2012</t>
  </si>
  <si>
    <t>4/24/2012</t>
  </si>
  <si>
    <t>4/25/2012</t>
  </si>
  <si>
    <t>4/26/2012</t>
  </si>
  <si>
    <t>4/27/2012</t>
  </si>
  <si>
    <t>4/30/2012</t>
  </si>
  <si>
    <t>5/1/2012</t>
  </si>
  <si>
    <t>5/2/2012</t>
  </si>
  <si>
    <t>5/3/2012</t>
  </si>
  <si>
    <t>5/4/2012</t>
  </si>
  <si>
    <t>5/7/2012</t>
  </si>
  <si>
    <t>5/8/2012</t>
  </si>
  <si>
    <t>5/9/2012</t>
  </si>
  <si>
    <t>5/10/2012</t>
  </si>
  <si>
    <t>5/11/2012</t>
  </si>
  <si>
    <t>5/14/2012</t>
  </si>
  <si>
    <t>5/15/2012</t>
  </si>
  <si>
    <t>5/16/2012</t>
  </si>
  <si>
    <t>5/17/2012</t>
  </si>
  <si>
    <t>5/18/2012</t>
  </si>
  <si>
    <t>5/21/2012</t>
  </si>
  <si>
    <t>5/22/2012</t>
  </si>
  <si>
    <t>5/23/2012</t>
  </si>
  <si>
    <t>5/24/2012</t>
  </si>
  <si>
    <t>5/25/2012</t>
  </si>
  <si>
    <t>5/29/2012</t>
  </si>
  <si>
    <t>5/30/2012</t>
  </si>
  <si>
    <t>5/31/2012</t>
  </si>
  <si>
    <t>6/1/2012</t>
  </si>
  <si>
    <t>6/4/2012</t>
  </si>
  <si>
    <t>6/5/2012</t>
  </si>
  <si>
    <t>6/6/2012</t>
  </si>
  <si>
    <t>6/7/2012</t>
  </si>
  <si>
    <t>6/8/2012</t>
  </si>
  <si>
    <t>6/11/2012</t>
  </si>
  <si>
    <t>6/12/2012</t>
  </si>
  <si>
    <t>6/13/2012</t>
  </si>
  <si>
    <t>6/14/2012</t>
  </si>
  <si>
    <t>6/15/2012</t>
  </si>
  <si>
    <t>6/18/2012</t>
  </si>
  <si>
    <t>6/19/2012</t>
  </si>
  <si>
    <t>6/20/2012</t>
  </si>
  <si>
    <t>6/21/2012</t>
  </si>
  <si>
    <t>6/22/2012</t>
  </si>
  <si>
    <t>6/25/2012</t>
  </si>
  <si>
    <t>6/26/2012</t>
  </si>
  <si>
    <t>6/27/2012</t>
  </si>
  <si>
    <t>6/28/2012</t>
  </si>
  <si>
    <t>6/29/2012</t>
  </si>
  <si>
    <t>7/2/2012</t>
  </si>
  <si>
    <t>7/3/2012</t>
  </si>
  <si>
    <t>7/5/2012</t>
  </si>
  <si>
    <t>7/6/2012</t>
  </si>
  <si>
    <t>7/9/2012</t>
  </si>
  <si>
    <t>7/10/2012</t>
  </si>
  <si>
    <t>7/11/2012</t>
  </si>
  <si>
    <t>7/12/2012</t>
  </si>
  <si>
    <t>7/13/2012</t>
  </si>
  <si>
    <t>7/16/2012</t>
  </si>
  <si>
    <t>7/17/2012</t>
  </si>
  <si>
    <t>7/18/2012</t>
  </si>
  <si>
    <t>7/19/2012</t>
  </si>
  <si>
    <t>7/20/2012</t>
  </si>
  <si>
    <t>7/23/2012</t>
  </si>
  <si>
    <t>7/24/2012</t>
  </si>
  <si>
    <t>7/25/2012</t>
  </si>
  <si>
    <t>7/26/2012</t>
  </si>
  <si>
    <t>7/27/2012</t>
  </si>
  <si>
    <t>7/30/2012</t>
  </si>
  <si>
    <t>7/31/2012</t>
  </si>
  <si>
    <t>8/1/2012</t>
  </si>
  <si>
    <t>8/2/2012</t>
  </si>
  <si>
    <t>8/3/2012</t>
  </si>
  <si>
    <t>8/6/2012</t>
  </si>
  <si>
    <t>8/7/2012</t>
  </si>
  <si>
    <t>8/8/2012</t>
  </si>
  <si>
    <t>8/9/2012</t>
  </si>
  <si>
    <t>8/10/2012</t>
  </si>
  <si>
    <t>8/13/2012</t>
  </si>
  <si>
    <t>8/14/2012</t>
  </si>
  <si>
    <t>8/15/2012</t>
  </si>
  <si>
    <t>8/16/2012</t>
  </si>
  <si>
    <t>8/17/2012</t>
  </si>
  <si>
    <t>8/20/2012</t>
  </si>
  <si>
    <t>8/21/2012</t>
  </si>
  <si>
    <t>8/22/2012</t>
  </si>
  <si>
    <t>8/23/2012</t>
  </si>
  <si>
    <t>8/24/2012</t>
  </si>
  <si>
    <t>8/27/2012</t>
  </si>
  <si>
    <t>8/28/2012</t>
  </si>
  <si>
    <t>8/29/2012</t>
  </si>
  <si>
    <t>8/30/2012</t>
  </si>
  <si>
    <t>8/31/2012</t>
  </si>
  <si>
    <t>9/4/2012</t>
  </si>
  <si>
    <t>9/5/2012</t>
  </si>
  <si>
    <t>9/6/2012</t>
  </si>
  <si>
    <t>9/7/2012</t>
  </si>
  <si>
    <t>9/10/2012</t>
  </si>
  <si>
    <t>9/11/2012</t>
  </si>
  <si>
    <t>9/12/2012</t>
  </si>
  <si>
    <t>9/13/2012</t>
  </si>
  <si>
    <t>9/14/2012</t>
  </si>
  <si>
    <t>9/17/2012</t>
  </si>
  <si>
    <t>9/18/2012</t>
  </si>
  <si>
    <t>9/19/2012</t>
  </si>
  <si>
    <t>9/20/2012</t>
  </si>
  <si>
    <t>9/21/2012</t>
  </si>
  <si>
    <t>9/24/2012</t>
  </si>
  <si>
    <t>9/25/2012</t>
  </si>
  <si>
    <t>9/26/2012</t>
  </si>
  <si>
    <t>9/27/2012</t>
  </si>
  <si>
    <t>9/28/2012</t>
  </si>
  <si>
    <t>10/1/2012</t>
  </si>
  <si>
    <t>10/2/2012</t>
  </si>
  <si>
    <t>10/3/2012</t>
  </si>
  <si>
    <t>10/4/2012</t>
  </si>
  <si>
    <t>10/5/2012</t>
  </si>
  <si>
    <t>10/8/2012</t>
  </si>
  <si>
    <t>10/9/2012</t>
  </si>
  <si>
    <t>10/10/2012</t>
  </si>
  <si>
    <t>10/11/2012</t>
  </si>
  <si>
    <t>10/12/2012</t>
  </si>
  <si>
    <t>10/15/2012</t>
  </si>
  <si>
    <t>10/16/2012</t>
  </si>
  <si>
    <t>10/17/2012</t>
  </si>
  <si>
    <t>10/18/2012</t>
  </si>
  <si>
    <t>10/19/2012</t>
  </si>
  <si>
    <t>10/22/2012</t>
  </si>
  <si>
    <t>10/23/2012</t>
  </si>
  <si>
    <t>10/24/2012</t>
  </si>
  <si>
    <t>10/25/2012</t>
  </si>
  <si>
    <t>10/26/2012</t>
  </si>
  <si>
    <t>10/29/2012</t>
  </si>
  <si>
    <t>10/30/2012</t>
  </si>
  <si>
    <t>10/31/2012</t>
  </si>
  <si>
    <t>11/1/2012</t>
  </si>
  <si>
    <t>11/2/2012</t>
  </si>
  <si>
    <t>11/5/2012</t>
  </si>
  <si>
    <t>11/6/2012</t>
  </si>
  <si>
    <t>11/7/2012</t>
  </si>
  <si>
    <t>11/8/2012</t>
  </si>
  <si>
    <t>11/9/2012</t>
  </si>
  <si>
    <t>11/12/2012</t>
  </si>
  <si>
    <t>11/13/2012</t>
  </si>
  <si>
    <t>11/14/2012</t>
  </si>
  <si>
    <t>11/15/2012</t>
  </si>
  <si>
    <t>11/16/2012</t>
  </si>
  <si>
    <t>11/19/2012</t>
  </si>
  <si>
    <t>11/20/2012</t>
  </si>
  <si>
    <t>11/23/2012</t>
  </si>
  <si>
    <t>11/26/2012</t>
  </si>
  <si>
    <t>11/27/2012</t>
  </si>
  <si>
    <t>11/28/2012</t>
  </si>
  <si>
    <t>11/29/2012</t>
  </si>
  <si>
    <t>11/30/2012</t>
  </si>
  <si>
    <t>12/3/2012</t>
  </si>
  <si>
    <t>12/4/2012</t>
  </si>
  <si>
    <t>12/5/2012</t>
  </si>
  <si>
    <t>12/6/2012</t>
  </si>
  <si>
    <t>12/7/2012</t>
  </si>
  <si>
    <t>12/10/2012</t>
  </si>
  <si>
    <t>12/11/2012</t>
  </si>
  <si>
    <t>12/12/2012</t>
  </si>
  <si>
    <t>12/13/2012</t>
  </si>
  <si>
    <t>12/14/2012</t>
  </si>
  <si>
    <t>12/17/2012</t>
  </si>
  <si>
    <t>12/18/2012</t>
  </si>
  <si>
    <t>12/19/2012</t>
  </si>
  <si>
    <t>12/20/2012</t>
  </si>
  <si>
    <t>12/21/2012</t>
  </si>
  <si>
    <t>12/24/2012</t>
  </si>
  <si>
    <t>12/26/2012</t>
  </si>
  <si>
    <t>12/27/2012</t>
  </si>
  <si>
    <t>12/28/2012</t>
  </si>
  <si>
    <t>12/31/2012</t>
  </si>
  <si>
    <t>1/2/2013</t>
  </si>
  <si>
    <t>1/3/2013</t>
  </si>
  <si>
    <t>1/4/2013</t>
  </si>
  <si>
    <t>1/7/2013</t>
  </si>
  <si>
    <t>1/8/2013</t>
  </si>
  <si>
    <t>1/9/2013</t>
  </si>
  <si>
    <t>1/10/2013</t>
  </si>
  <si>
    <t>1/11/2013</t>
  </si>
  <si>
    <t>1/14/2013</t>
  </si>
  <si>
    <t>1/15/2013</t>
  </si>
  <si>
    <t>1/16/2013</t>
  </si>
  <si>
    <t>1/17/2013</t>
  </si>
  <si>
    <t>1/18/2013</t>
  </si>
  <si>
    <t>1/22/2013</t>
  </si>
  <si>
    <t>1/23/2013</t>
  </si>
  <si>
    <t>1/24/2013</t>
  </si>
  <si>
    <t>1/25/2013</t>
  </si>
  <si>
    <t>1/28/2013</t>
  </si>
  <si>
    <t>1/29/2013</t>
  </si>
  <si>
    <t>1/30/2013</t>
  </si>
  <si>
    <t>1/31/2013</t>
  </si>
  <si>
    <t>2/1/2013</t>
  </si>
  <si>
    <t>2/4/2013</t>
  </si>
  <si>
    <t>2/5/2013</t>
  </si>
  <si>
    <t>2/6/2013</t>
  </si>
  <si>
    <t>2/7/2013</t>
  </si>
  <si>
    <t>2/8/2013</t>
  </si>
  <si>
    <t>2/11/2013</t>
  </si>
  <si>
    <t>2/12/2013</t>
  </si>
  <si>
    <t>2/13/2013</t>
  </si>
  <si>
    <t>2/14/2013</t>
  </si>
  <si>
    <t>2/15/2013</t>
  </si>
  <si>
    <t>2/19/2013</t>
  </si>
  <si>
    <t>2/20/2013</t>
  </si>
  <si>
    <t>2/21/2013</t>
  </si>
  <si>
    <t>2/22/2013</t>
  </si>
  <si>
    <t>2/25/2013</t>
  </si>
  <si>
    <t>2/26/2013</t>
  </si>
  <si>
    <t>2/27/2013</t>
  </si>
  <si>
    <t>2/28/2013</t>
  </si>
  <si>
    <t>3/1/2013</t>
  </si>
  <si>
    <t>3/4/2013</t>
  </si>
  <si>
    <t>3/5/2013</t>
  </si>
  <si>
    <t>3/6/2013</t>
  </si>
  <si>
    <t>3/7/2013</t>
  </si>
  <si>
    <t>3/8/2013</t>
  </si>
  <si>
    <t>3/11/2013</t>
  </si>
  <si>
    <t>3/12/2013</t>
  </si>
  <si>
    <t>3/13/2013</t>
  </si>
  <si>
    <t>3/14/2013</t>
  </si>
  <si>
    <t>3/15/2013</t>
  </si>
  <si>
    <t>3/18/2013</t>
  </si>
  <si>
    <t>3/19/2013</t>
  </si>
  <si>
    <t>3/20/2013</t>
  </si>
  <si>
    <t>3/21/2013</t>
  </si>
  <si>
    <t>3/22/2013</t>
  </si>
  <si>
    <t>3/25/2013</t>
  </si>
  <si>
    <t>3/26/2013</t>
  </si>
  <si>
    <t>3/27/2013</t>
  </si>
  <si>
    <t>3/28/2013</t>
  </si>
  <si>
    <t>4/1/2013</t>
  </si>
  <si>
    <t>4/2/2013</t>
  </si>
  <si>
    <t>4/3/2013</t>
  </si>
  <si>
    <t>4/4/2013</t>
  </si>
  <si>
    <t>4/5/2013</t>
  </si>
  <si>
    <t>4/8/2013</t>
  </si>
  <si>
    <t>4/9/2013</t>
  </si>
  <si>
    <t>4/10/2013</t>
  </si>
  <si>
    <t>4/11/2013</t>
  </si>
  <si>
    <t>4/12/2013</t>
  </si>
  <si>
    <t>4/15/2013</t>
  </si>
  <si>
    <t>4/16/2013</t>
  </si>
  <si>
    <t>4/17/2013</t>
  </si>
  <si>
    <t>4/18/2013</t>
  </si>
  <si>
    <t>4/19/2013</t>
  </si>
  <si>
    <t>4/22/2013</t>
  </si>
  <si>
    <t>4/23/2013</t>
  </si>
  <si>
    <t>4/24/2013</t>
  </si>
  <si>
    <t>4/25/2013</t>
  </si>
  <si>
    <t>4/26/2013</t>
  </si>
  <si>
    <t>4/29/2013</t>
  </si>
  <si>
    <t>4/30/2013</t>
  </si>
  <si>
    <t>5/1/2013</t>
  </si>
  <si>
    <t>5/2/2013</t>
  </si>
  <si>
    <t>5/3/2013</t>
  </si>
  <si>
    <t>5/6/2013</t>
  </si>
  <si>
    <t>5/7/2013</t>
  </si>
  <si>
    <t>5/8/2013</t>
  </si>
  <si>
    <t>5/9/2013</t>
  </si>
  <si>
    <t>5/10/2013</t>
  </si>
  <si>
    <t>5/13/2013</t>
  </si>
  <si>
    <t>5/14/2013</t>
  </si>
  <si>
    <t>5/15/2013</t>
  </si>
  <si>
    <t>5/20/2013</t>
  </si>
  <si>
    <t>5/21/2013</t>
  </si>
  <si>
    <t>5/22/2013</t>
  </si>
  <si>
    <t>5/23/2013</t>
  </si>
  <si>
    <t>5/24/2013</t>
  </si>
  <si>
    <t>5/28/2013</t>
  </si>
  <si>
    <t>5/30/2013</t>
  </si>
  <si>
    <t>5/31/2013</t>
  </si>
  <si>
    <t>6/3/2013</t>
  </si>
  <si>
    <t>6/4/2013</t>
  </si>
  <si>
    <t>6/5/2013</t>
  </si>
  <si>
    <t>6/6/2013</t>
  </si>
  <si>
    <t>6/7/2013</t>
  </si>
  <si>
    <t>6/11/2013</t>
  </si>
  <si>
    <t>6/12/2013</t>
  </si>
  <si>
    <t>6/13/2013</t>
  </si>
  <si>
    <t>6/14/2013</t>
  </si>
  <si>
    <t>6/17/2013</t>
  </si>
  <si>
    <t>6/18/2013</t>
  </si>
  <si>
    <t>6/19/2013</t>
  </si>
  <si>
    <t>6/20/2013</t>
  </si>
  <si>
    <t>6/21/2013</t>
  </si>
  <si>
    <t>6/25/2013</t>
  </si>
  <si>
    <t>6/26/2013</t>
  </si>
  <si>
    <t>6/27/2013</t>
  </si>
  <si>
    <t>6/28/2013</t>
  </si>
  <si>
    <t>7/1/2013</t>
  </si>
  <si>
    <t>7/2/2013</t>
  </si>
  <si>
    <t>7/3/2013</t>
  </si>
  <si>
    <t>7/5/2013</t>
  </si>
  <si>
    <t>7/8/2013</t>
  </si>
  <si>
    <t>7/9/2013</t>
  </si>
  <si>
    <t>7/10/2013</t>
  </si>
  <si>
    <t>7/11/2013</t>
  </si>
  <si>
    <t>7/12/2013</t>
  </si>
  <si>
    <t>7/15/2013</t>
  </si>
  <si>
    <t>7/17/2013</t>
  </si>
  <si>
    <t>7/18/2013</t>
  </si>
  <si>
    <t>7/19/2013</t>
  </si>
  <si>
    <t>7/22/2013</t>
  </si>
  <si>
    <t>7/23/2013</t>
  </si>
  <si>
    <t>7/25/2013</t>
  </si>
  <si>
    <t>7/26/2013</t>
  </si>
  <si>
    <t>7/29/2013</t>
  </si>
  <si>
    <t>7/30/2013</t>
  </si>
  <si>
    <t>7/31/2013</t>
  </si>
  <si>
    <t>8/1/2013</t>
  </si>
  <si>
    <t>8/2/2013</t>
  </si>
  <si>
    <t>8/5/2013</t>
  </si>
  <si>
    <t>8/6/2013</t>
  </si>
  <si>
    <t>8/7/2013</t>
  </si>
  <si>
    <t>8/8/2013</t>
  </si>
  <si>
    <t>8/9/2013</t>
  </si>
  <si>
    <t>8/13/2013</t>
  </si>
  <si>
    <t>8/22/2013</t>
  </si>
  <si>
    <t>8/23/2013</t>
  </si>
  <si>
    <t>8/28/2013</t>
  </si>
  <si>
    <t>8/29/2013</t>
  </si>
  <si>
    <t>8/30/2013</t>
  </si>
  <si>
    <t>9/3/2013</t>
  </si>
  <si>
    <t>9/4/2013</t>
  </si>
  <si>
    <t>9/5/2013</t>
  </si>
  <si>
    <t>9/6/2013</t>
  </si>
  <si>
    <t>9/9/2013</t>
  </si>
  <si>
    <t>9/10/2013</t>
  </si>
  <si>
    <t>9/11/2013</t>
  </si>
  <si>
    <t>9/12/2013</t>
  </si>
  <si>
    <t>9/13/2013</t>
  </si>
  <si>
    <t>9/16/2013</t>
  </si>
  <si>
    <t>9/17/2013</t>
  </si>
  <si>
    <t>9/18/2013</t>
  </si>
  <si>
    <t>9/19/2013</t>
  </si>
  <si>
    <t>9/20/2013</t>
  </si>
  <si>
    <t>9/23/2013</t>
  </si>
  <si>
    <t>9/24/2013</t>
  </si>
  <si>
    <t>9/25/2013</t>
  </si>
  <si>
    <t>9/26/2013</t>
  </si>
  <si>
    <t>9/27/2013</t>
  </si>
  <si>
    <t>9/30/2013</t>
  </si>
  <si>
    <t>10/1/2013</t>
  </si>
  <si>
    <t>10/2/2013</t>
  </si>
  <si>
    <t>10/3/2013</t>
  </si>
  <si>
    <t>10/4/2013</t>
  </si>
  <si>
    <t>10/7/2013</t>
  </si>
  <si>
    <t>10/8/2013</t>
  </si>
  <si>
    <t>10/10/2013</t>
  </si>
  <si>
    <t>10/11/2013</t>
  </si>
  <si>
    <t>10/15/2013</t>
  </si>
  <si>
    <t>10/17/2013</t>
  </si>
  <si>
    <t>10/18/2013</t>
  </si>
  <si>
    <t>10/21/2013</t>
  </si>
  <si>
    <t>10/22/2013</t>
  </si>
  <si>
    <t>10/23/2013</t>
  </si>
  <si>
    <t>10/24/2013</t>
  </si>
  <si>
    <t>10/25/2013</t>
  </si>
  <si>
    <t>10/30/2013</t>
  </si>
  <si>
    <t>10/31/2013</t>
  </si>
  <si>
    <t>11/1/2013</t>
  </si>
  <si>
    <t>11/4/2013</t>
  </si>
  <si>
    <t>11/5/2013</t>
  </si>
  <si>
    <t>11/6/2013</t>
  </si>
  <si>
    <t>11/7/2013</t>
  </si>
  <si>
    <t>11/8/2013</t>
  </si>
  <si>
    <t>11/12/2013</t>
  </si>
  <si>
    <t>11/15/2013</t>
  </si>
  <si>
    <t>11/18/2013</t>
  </si>
  <si>
    <t>11/19/2013</t>
  </si>
  <si>
    <t>11/20/2013</t>
  </si>
  <si>
    <t>11/21/2013</t>
  </si>
  <si>
    <t>11/22/2013</t>
  </si>
  <si>
    <t>11/25/2013</t>
  </si>
  <si>
    <t>11/26/2013</t>
  </si>
  <si>
    <t>11/27/2013</t>
  </si>
  <si>
    <t>12/2/2013</t>
  </si>
  <si>
    <t>12/3/2013</t>
  </si>
  <si>
    <t>12/4/2013</t>
  </si>
  <si>
    <t>12/5/2013</t>
  </si>
  <si>
    <t>12/6/2013</t>
  </si>
  <si>
    <t>12/9/2013</t>
  </si>
  <si>
    <t>12/10/2013</t>
  </si>
  <si>
    <t>12/11/2013</t>
  </si>
  <si>
    <t>12/12/2013</t>
  </si>
  <si>
    <t>12/13/2013</t>
  </si>
  <si>
    <t>12/16/2013</t>
  </si>
  <si>
    <t>12/18/2013</t>
  </si>
  <si>
    <t>12/19/2013</t>
  </si>
  <si>
    <t>12/20/2013</t>
  </si>
  <si>
    <t>12/23/2013</t>
  </si>
  <si>
    <t>12/24/2013</t>
  </si>
  <si>
    <t>12/26/2013</t>
  </si>
  <si>
    <t>12/27/2013</t>
  </si>
  <si>
    <t>12/30/2013</t>
  </si>
  <si>
    <t>12/31/2013</t>
  </si>
  <si>
    <t>1/2/2014</t>
  </si>
  <si>
    <t>1/3/2014</t>
  </si>
  <si>
    <t>1/6/2014</t>
  </si>
  <si>
    <t>1/7/2014</t>
  </si>
  <si>
    <t>1/9/2014</t>
  </si>
  <si>
    <t>1/10/2014</t>
  </si>
  <si>
    <t>1/13/2014</t>
  </si>
  <si>
    <t>1/14/2014</t>
  </si>
  <si>
    <t>1/15/2014</t>
  </si>
  <si>
    <t>1/16/2014</t>
  </si>
  <si>
    <t>1/17/2014</t>
  </si>
  <si>
    <t>1/21/2014</t>
  </si>
  <si>
    <t>1/22/2014</t>
  </si>
  <si>
    <t>1/23/2014</t>
  </si>
  <si>
    <t>1/24/2014</t>
  </si>
  <si>
    <t>1/27/2014</t>
  </si>
  <si>
    <t>1/28/2014</t>
  </si>
  <si>
    <t>1/29/2014</t>
  </si>
  <si>
    <t>1/30/2014</t>
  </si>
  <si>
    <t>1/31/2014</t>
  </si>
  <si>
    <t>2/3/2014</t>
  </si>
  <si>
    <t>2/4/2014</t>
  </si>
  <si>
    <t>2/5/2014</t>
  </si>
  <si>
    <t>2/6/2014</t>
  </si>
  <si>
    <t>2/7/2014</t>
  </si>
  <si>
    <t>2/10/2014</t>
  </si>
  <si>
    <t>2/11/2014</t>
  </si>
  <si>
    <t>2/12/2014</t>
  </si>
  <si>
    <t>2/13/2014</t>
  </si>
  <si>
    <t>2/14/2014</t>
  </si>
  <si>
    <t>2/18/2014</t>
  </si>
  <si>
    <t>2/19/2014</t>
  </si>
  <si>
    <t>2/20/2014</t>
  </si>
  <si>
    <t>2/21/2014</t>
  </si>
  <si>
    <t>2/24/2014</t>
  </si>
  <si>
    <t>2/25/2014</t>
  </si>
  <si>
    <t>2/26/2014</t>
  </si>
  <si>
    <t>2/27/2014</t>
  </si>
  <si>
    <t>2/28/2014</t>
  </si>
  <si>
    <t>3/3/2014</t>
  </si>
  <si>
    <t>3/4/2014</t>
  </si>
  <si>
    <t>3/5/2014</t>
  </si>
  <si>
    <t>3/6/2014</t>
  </si>
  <si>
    <t>3/7/2014</t>
  </si>
  <si>
    <t>3/10/2014</t>
  </si>
  <si>
    <t>3/11/2014</t>
  </si>
  <si>
    <t>3/12/2014</t>
  </si>
  <si>
    <t>3/13/2014</t>
  </si>
  <si>
    <t>3/14/2014</t>
  </si>
  <si>
    <t>3/17/2014</t>
  </si>
  <si>
    <t>3/18/2014</t>
  </si>
  <si>
    <t>3/19/2014</t>
  </si>
  <si>
    <t>3/20/2014</t>
  </si>
  <si>
    <t>3/21/2014</t>
  </si>
  <si>
    <t>3/24/2014</t>
  </si>
  <si>
    <t>3/25/2014</t>
  </si>
  <si>
    <t>3/26/2014</t>
  </si>
  <si>
    <t>3/27/2014</t>
  </si>
  <si>
    <t>3/28/2014</t>
  </si>
  <si>
    <t>3/31/2014</t>
  </si>
  <si>
    <t>4/1/2014</t>
  </si>
  <si>
    <t>4/2/2014</t>
  </si>
  <si>
    <t>4/3/2014</t>
  </si>
  <si>
    <t>4/4/2014</t>
  </si>
  <si>
    <t>4/7/2014</t>
  </si>
  <si>
    <t>4/8/2014</t>
  </si>
  <si>
    <t>4/9/2014</t>
  </si>
  <si>
    <t>4/10/2014</t>
  </si>
  <si>
    <t>4/11/2014</t>
  </si>
  <si>
    <t>4/14/2014</t>
  </si>
  <si>
    <t>4/15/2014</t>
  </si>
  <si>
    <t>4/16/2014</t>
  </si>
  <si>
    <t>4/17/2014</t>
  </si>
  <si>
    <t>4/21/2014</t>
  </si>
  <si>
    <t>4/22/2014</t>
  </si>
  <si>
    <t>4/23/2014</t>
  </si>
  <si>
    <t>4/24/2014</t>
  </si>
  <si>
    <t>4/25/2014</t>
  </si>
  <si>
    <t>4/28/2014</t>
  </si>
  <si>
    <t>4/29/2014</t>
  </si>
  <si>
    <t>4/30/2014</t>
  </si>
  <si>
    <t>5/1/2014</t>
  </si>
  <si>
    <t>5/2/2014</t>
  </si>
  <si>
    <t>5/5/2014</t>
  </si>
  <si>
    <t>5/6/2014</t>
  </si>
  <si>
    <t>5/7/2014</t>
  </si>
  <si>
    <t>5/8/2014</t>
  </si>
  <si>
    <t>5/9/2014</t>
  </si>
  <si>
    <t>5/12/2014</t>
  </si>
  <si>
    <t>5/13/2014</t>
  </si>
  <si>
    <t>5/14/2014</t>
  </si>
  <si>
    <t>5/15/2014</t>
  </si>
  <si>
    <t>5/16/2014</t>
  </si>
  <si>
    <t>5/19/2014</t>
  </si>
  <si>
    <t>5/20/2014</t>
  </si>
  <si>
    <t>5/21/2014</t>
  </si>
  <si>
    <t>5/22/2014</t>
  </si>
  <si>
    <t>5/23/2014</t>
  </si>
  <si>
    <t>5/27/2014</t>
  </si>
  <si>
    <t>5/28/2014</t>
  </si>
  <si>
    <t>5/29/2014</t>
  </si>
  <si>
    <t>5/30/2014</t>
  </si>
  <si>
    <t>6/2/2014</t>
  </si>
  <si>
    <t>6/3/2014</t>
  </si>
  <si>
    <t>6/4/2014</t>
  </si>
  <si>
    <t>6/5/2014</t>
  </si>
  <si>
    <t>6/6/2014</t>
  </si>
  <si>
    <t>6/9/2014</t>
  </si>
  <si>
    <t>6/10/2014</t>
  </si>
  <si>
    <t>6/11/2014</t>
  </si>
  <si>
    <t>6/12/2014</t>
  </si>
  <si>
    <t>6/13/2014</t>
  </si>
  <si>
    <t>6/16/2014</t>
  </si>
  <si>
    <t>6/17/2014</t>
  </si>
  <si>
    <t>6/18/2014</t>
  </si>
  <si>
    <t>6/19/2014</t>
  </si>
  <si>
    <t>6/20/2014</t>
  </si>
  <si>
    <t>6/23/2014</t>
  </si>
  <si>
    <t>6/24/2014</t>
  </si>
  <si>
    <t>6/25/2014</t>
  </si>
  <si>
    <t>6/26/2014</t>
  </si>
  <si>
    <t>6/27/2014</t>
  </si>
  <si>
    <t>6/30/2014</t>
  </si>
  <si>
    <t>7/1/2014</t>
  </si>
  <si>
    <t>7/2/2014</t>
  </si>
  <si>
    <t>7/3/2014</t>
  </si>
  <si>
    <t>7/7/2014</t>
  </si>
  <si>
    <t>7/8/2014</t>
  </si>
  <si>
    <t>7/9/2014</t>
  </si>
  <si>
    <t>7/10/2014</t>
  </si>
  <si>
    <t>7/11/2014</t>
  </si>
  <si>
    <t>7/14/2014</t>
  </si>
  <si>
    <t>7/15/2014</t>
  </si>
  <si>
    <t>7/16/2014</t>
  </si>
  <si>
    <t>7/17/2014</t>
  </si>
  <si>
    <t>7/18/2014</t>
  </si>
  <si>
    <t>7/21/2014</t>
  </si>
  <si>
    <t>7/22/2014</t>
  </si>
  <si>
    <t>7/23/2014</t>
  </si>
  <si>
    <t>7/24/2014</t>
  </si>
  <si>
    <t>7/25/2014</t>
  </si>
  <si>
    <t>7/28/2014</t>
  </si>
  <si>
    <t>7/29/2014</t>
  </si>
  <si>
    <t>7/30/2014</t>
  </si>
  <si>
    <t>7/31/2014</t>
  </si>
  <si>
    <t>8/1/2014</t>
  </si>
  <si>
    <t>8/4/2014</t>
  </si>
  <si>
    <t>8/5/2014</t>
  </si>
  <si>
    <t>8/6/2014</t>
  </si>
  <si>
    <t>8/7/2014</t>
  </si>
  <si>
    <t>8/8/2014</t>
  </si>
  <si>
    <t>8/11/2014</t>
  </si>
  <si>
    <t>8/12/2014</t>
  </si>
  <si>
    <t>8/13/2014</t>
  </si>
  <si>
    <t>8/14/2014</t>
  </si>
  <si>
    <t>8/15/2014</t>
  </si>
  <si>
    <t>8/18/2014</t>
  </si>
  <si>
    <t>8/19/2014</t>
  </si>
  <si>
    <t>8/20/2014</t>
  </si>
  <si>
    <t>8/21/2014</t>
  </si>
  <si>
    <t>8/22/2014</t>
  </si>
  <si>
    <t>8/25/2014</t>
  </si>
  <si>
    <t>8/26/2014</t>
  </si>
  <si>
    <t>8/27/2014</t>
  </si>
  <si>
    <t>8/28/2014</t>
  </si>
  <si>
    <t>8/29/2014</t>
  </si>
  <si>
    <t>9/2/2014</t>
  </si>
  <si>
    <t>9/3/2014</t>
  </si>
  <si>
    <t>9/4/2014</t>
  </si>
  <si>
    <t>9/5/2014</t>
  </si>
  <si>
    <t>9/8/2014</t>
  </si>
  <si>
    <t>9/9/2014</t>
  </si>
  <si>
    <t>9/10/2014</t>
  </si>
  <si>
    <t>9/11/2014</t>
  </si>
  <si>
    <t>9/12/2014</t>
  </si>
  <si>
    <t>9/15/2014</t>
  </si>
  <si>
    <t>9/16/2014</t>
  </si>
  <si>
    <t>9/17/2014</t>
  </si>
  <si>
    <t>9/18/2014</t>
  </si>
  <si>
    <t>9/19/2014</t>
  </si>
  <si>
    <t>9/22/2014</t>
  </si>
  <si>
    <t>9/23/2014</t>
  </si>
  <si>
    <t>9/24/2014</t>
  </si>
  <si>
    <t>9/25/2014</t>
  </si>
  <si>
    <t>9/26/2014</t>
  </si>
  <si>
    <t>9/29/2014</t>
  </si>
  <si>
    <t>9/30/2014</t>
  </si>
  <si>
    <t>10/1/2014</t>
  </si>
  <si>
    <t>10/2/2014</t>
  </si>
  <si>
    <t>10/3/2014</t>
  </si>
  <si>
    <t>10/6/2014</t>
  </si>
  <si>
    <t>10/7/2014</t>
  </si>
  <si>
    <t>10/8/2014</t>
  </si>
  <si>
    <t>10/9/2014</t>
  </si>
  <si>
    <t>10/10/2014</t>
  </si>
  <si>
    <t>10/14/2014</t>
  </si>
  <si>
    <t>10/15/2014</t>
  </si>
  <si>
    <t>10/16/2014</t>
  </si>
  <si>
    <t>10/17/2014</t>
  </si>
  <si>
    <t>10/20/2014</t>
  </si>
  <si>
    <t>10/21/2014</t>
  </si>
  <si>
    <t>10/22/2014</t>
  </si>
  <si>
    <t>10/23/2014</t>
  </si>
  <si>
    <t>10/24/2014</t>
  </si>
  <si>
    <t>10/27/2014</t>
  </si>
  <si>
    <t>10/28/2014</t>
  </si>
  <si>
    <t>10/29/2014</t>
  </si>
  <si>
    <t>10/30/2014</t>
  </si>
  <si>
    <t>10/31/2014</t>
  </si>
  <si>
    <t>11/3/2014</t>
  </si>
  <si>
    <t>11/4/2014</t>
  </si>
  <si>
    <t>11/5/2014</t>
  </si>
  <si>
    <t>11/6/2014</t>
  </si>
  <si>
    <t>11/7/2014</t>
  </si>
  <si>
    <t>11/10/2014</t>
  </si>
  <si>
    <t>11/12/2014</t>
  </si>
  <si>
    <t>11/13/2014</t>
  </si>
  <si>
    <t>11/14/2014</t>
  </si>
  <si>
    <t>11/17/2014</t>
  </si>
  <si>
    <t>11/18/2014</t>
  </si>
  <si>
    <t>11/19/2014</t>
  </si>
  <si>
    <t>11/20/2014</t>
  </si>
  <si>
    <t>11/21/2014</t>
  </si>
  <si>
    <t>11/24/2014</t>
  </si>
  <si>
    <t>11/25/2014</t>
  </si>
  <si>
    <t>11/26/2014</t>
  </si>
  <si>
    <t>11/28/2014</t>
  </si>
  <si>
    <t>12/1/2014</t>
  </si>
  <si>
    <t>12/2/2014</t>
  </si>
  <si>
    <t>12/3/2014</t>
  </si>
  <si>
    <t>12/4/2014</t>
  </si>
  <si>
    <t>12/5/2014</t>
  </si>
  <si>
    <t>12/8/2014</t>
  </si>
  <si>
    <t>12/9/2014</t>
  </si>
  <si>
    <t>12/10/2014</t>
  </si>
  <si>
    <t>12/11/2014</t>
  </si>
  <si>
    <t>12/12/2014</t>
  </si>
  <si>
    <t>12/15/2014</t>
  </si>
  <si>
    <t>12/16/2014</t>
  </si>
  <si>
    <t>12/17/2014</t>
  </si>
  <si>
    <t>12/18/2014</t>
  </si>
  <si>
    <t>12/19/2014</t>
  </si>
  <si>
    <t>12/22/2014</t>
  </si>
  <si>
    <t>12/23/2014</t>
  </si>
  <si>
    <t>12/24/2014</t>
  </si>
  <si>
    <t>12/26/2014</t>
  </si>
  <si>
    <t>12/29/2014</t>
  </si>
  <si>
    <t>12/30/2014</t>
  </si>
  <si>
    <t>12/31/2014</t>
  </si>
  <si>
    <t>1/2/2015</t>
  </si>
  <si>
    <t>1/5/2015</t>
  </si>
  <si>
    <t>1/6/2015</t>
  </si>
  <si>
    <t>1/7/2015</t>
  </si>
  <si>
    <t>1/8/2015</t>
  </si>
  <si>
    <t>1/9/2015</t>
  </si>
  <si>
    <t>1/12/2015</t>
  </si>
  <si>
    <t>1/13/2015</t>
  </si>
  <si>
    <t>1/14/2015</t>
  </si>
  <si>
    <t>1/15/2015</t>
  </si>
  <si>
    <t>4.5 2010</t>
  </si>
  <si>
    <t>3.50 2012</t>
  </si>
  <si>
    <t>3 2012</t>
  </si>
  <si>
    <t>30 Year Refinanceable Universe (rhs)</t>
  </si>
  <si>
    <t>LIBOR OAS</t>
  </si>
  <si>
    <t>MTG[IOS IFN 34010 IO]::OAS</t>
  </si>
  <si>
    <t>Servicing Spread</t>
  </si>
  <si>
    <t>AsOfDate</t>
  </si>
  <si>
    <t>SeriesNumValue</t>
  </si>
  <si>
    <t>Rate</t>
  </si>
  <si>
    <t>Weekday</t>
  </si>
  <si>
    <t>Weight</t>
  </si>
  <si>
    <t>Counter</t>
  </si>
  <si>
    <t>Accumulated Weighted CC</t>
  </si>
  <si>
    <t>AccumulatedWeight</t>
  </si>
  <si>
    <t>WA CC</t>
  </si>
  <si>
    <t>Servicing Spread Non-Zero</t>
  </si>
  <si>
    <t>2011-01-03</t>
  </si>
  <si>
    <t>2011-01-04</t>
  </si>
  <si>
    <t>2011-01-05</t>
  </si>
  <si>
    <t>2011-01-06</t>
  </si>
  <si>
    <t>2011-01-07</t>
  </si>
  <si>
    <t>2011-01-10</t>
  </si>
  <si>
    <t>2011-01-11</t>
  </si>
  <si>
    <t>2011-01-12</t>
  </si>
  <si>
    <t>2011-01-13</t>
  </si>
  <si>
    <t>2011-01-14</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</si>
  <si>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</si>
  <si>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</si>
  <si>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</si>
  <si>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</si>
  <si>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</si>
  <si>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</si>
  <si>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</si>
  <si>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</si>
  <si>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</si>
  <si>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</si>
  <si>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</si>
  <si>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</si>
  <si>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</si>
  <si>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</si>
  <si>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</si>
  <si>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</si>
  <si>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</si>
  <si>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</si>
  <si>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</si>
  <si>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</si>
  <si>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</si>
  <si>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</si>
  <si>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</si>
  <si>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</si>
  <si>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</si>
  <si>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</si>
  <si>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</si>
  <si>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</si>
  <si>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</si>
  <si>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</si>
  <si>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</si>
  <si>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</si>
  <si>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</si>
  <si>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</si>
  <si>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</si>
  <si>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</si>
  <si>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</si>
  <si>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</si>
  <si>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</si>
  <si>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</si>
  <si>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</si>
  <si>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</si>
  <si>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</si>
  <si>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</si>
  <si>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</si>
  <si>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</si>
  <si>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</si>
  <si>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</si>
  <si>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</si>
  <si>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</si>
  <si>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</si>
  <si>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</si>
  <si>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</si>
  <si>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</si>
  <si>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</si>
  <si>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</si>
  <si>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</si>
  <si>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</si>
  <si>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</si>
  <si>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</si>
  <si>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</si>
  <si>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</si>
  <si>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</si>
  <si>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</si>
  <si>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</si>
  <si>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</si>
  <si>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</si>
  <si>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</si>
  <si>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</si>
  <si>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</si>
  <si>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</si>
  <si>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</si>
  <si>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</si>
  <si>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</si>
  <si>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</si>
  <si>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</si>
  <si>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</si>
  <si>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</si>
  <si>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</si>
  <si>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</si>
  <si>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</si>
  <si>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</si>
  <si>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</si>
  <si>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</si>
  <si>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</si>
  <si>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</si>
  <si>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</si>
  <si>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</si>
  <si>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</si>
  <si>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</si>
  <si>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</si>
  <si>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</si>
  <si>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</si>
  <si>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</si>
  <si>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</si>
  <si>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</si>
  <si>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</si>
  <si>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</si>
  <si>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</si>
  <si>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</si>
  <si>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</si>
  <si>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</si>
  <si>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</si>
  <si>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</si>
  <si>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</si>
  <si>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</si>
  <si>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</si>
  <si>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</si>
  <si>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</si>
  <si>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</si>
  <si>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</si>
  <si>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</si>
  <si>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</si>
  <si>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</si>
  <si>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</si>
  <si>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</si>
  <si>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</si>
  <si>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</si>
  <si>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</si>
  <si>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</si>
  <si>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</si>
  <si>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</si>
  <si>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</si>
  <si>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</si>
  <si>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</si>
  <si>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</si>
  <si>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</si>
  <si>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</si>
  <si>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</si>
  <si>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</si>
  <si>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</si>
  <si>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</si>
  <si>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</si>
  <si>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</si>
  <si>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</si>
  <si>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</si>
  <si>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</si>
  <si>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</si>
  <si>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</si>
  <si>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</si>
  <si>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</si>
  <si>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</si>
  <si>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</si>
  <si>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</si>
  <si>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</si>
  <si>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</si>
  <si>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</si>
  <si>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</si>
  <si>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</si>
  <si>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</si>
  <si>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</si>
  <si>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</si>
  <si>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</si>
  <si>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</si>
  <si>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</si>
  <si>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</si>
  <si>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</si>
  <si>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</si>
  <si>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</si>
  <si>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</si>
  <si>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</si>
  <si>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</si>
  <si>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</si>
  <si>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</si>
  <si>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</si>
  <si>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</si>
  <si>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</si>
  <si>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</si>
  <si>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</si>
  <si>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</si>
  <si>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</si>
  <si>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</si>
  <si>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</si>
  <si>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</si>
  <si>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</si>
  <si>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</si>
  <si>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</si>
  <si>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</si>
  <si>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</si>
  <si>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</si>
  <si>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</si>
  <si>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</si>
  <si>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</si>
  <si>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</si>
  <si>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</si>
  <si>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</si>
  <si>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</si>
  <si>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</si>
  <si>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</si>
  <si>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</si>
  <si>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</si>
  <si>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</si>
  <si>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</si>
  <si>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</si>
  <si>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</si>
  <si>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</si>
  <si>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</si>
  <si>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</si>
  <si>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</si>
  <si>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</si>
  <si>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</si>
  <si>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</si>
  <si>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</si>
  <si>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</si>
  <si>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</si>
  <si>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</si>
  <si>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</si>
  <si>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2011-11-14</t>
  </si>
  <si>
    <t>2011-11-15</t>
  </si>
  <si>
    <t>2011-11-16</t>
  </si>
  <si>
    <t>2011-11-17</t>
  </si>
  <si>
    <t>2011-11-18</t>
  </si>
  <si>
    <t>2011-11-21</t>
  </si>
  <si>
    <t>2011-11-22</t>
  </si>
  <si>
    <t>2011-11-23</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</si>
  <si>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</si>
  <si>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</si>
  <si>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</si>
  <si>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</si>
  <si>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</si>
  <si>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</si>
  <si>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</si>
  <si>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</si>
  <si>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</si>
  <si>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</si>
  <si>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</si>
  <si>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</si>
  <si>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</si>
  <si>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</si>
  <si>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</si>
  <si>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</si>
  <si>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</si>
  <si>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</si>
  <si>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</si>
  <si>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</si>
  <si>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</si>
  <si>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2011-12-27</t>
  </si>
  <si>
    <t>2011-12-28</t>
  </si>
  <si>
    <t>2011-12-29</t>
  </si>
  <si>
    <t>2011-12-30</t>
  </si>
  <si>
    <t>2012-01-03</t>
  </si>
  <si>
    <t>2012-01-04</t>
  </si>
  <si>
    <t>2012-01-05</t>
  </si>
  <si>
    <t>2012-01-06</t>
  </si>
  <si>
    <t>2012-01-09</t>
  </si>
  <si>
    <t>2012-01-10</t>
  </si>
  <si>
    <t>2012-01-11</t>
  </si>
  <si>
    <t>2012-01-12</t>
  </si>
  <si>
    <t>2012-01-13</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</si>
  <si>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</si>
  <si>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</si>
  <si>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</si>
  <si>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</si>
  <si>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</si>
  <si>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</si>
  <si>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</si>
  <si>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</si>
  <si>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</si>
  <si>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</si>
  <si>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</si>
  <si>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</si>
  <si>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</si>
  <si>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</si>
  <si>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</si>
  <si>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</si>
  <si>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</si>
  <si>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</si>
  <si>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</si>
  <si>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</si>
  <si>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</si>
  <si>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</si>
  <si>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</si>
  <si>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</si>
  <si>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</si>
  <si>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</si>
  <si>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</si>
  <si>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</si>
  <si>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</si>
  <si>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</si>
  <si>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</si>
  <si>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</si>
  <si>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</si>
  <si>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</si>
  <si>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</si>
  <si>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</si>
  <si>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</si>
  <si>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</si>
  <si>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</si>
  <si>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</si>
  <si>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</si>
  <si>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</si>
  <si>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</si>
  <si>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</si>
  <si>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</si>
  <si>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</si>
  <si>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</si>
  <si>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</si>
  <si>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</si>
  <si>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</si>
  <si>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</si>
  <si>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</si>
  <si>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</si>
  <si>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</si>
  <si>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</si>
  <si>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</si>
  <si>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</si>
  <si>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</si>
  <si>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</si>
  <si>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</si>
  <si>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</si>
  <si>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</si>
  <si>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</si>
  <si>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</si>
  <si>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</si>
  <si>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</si>
  <si>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</si>
  <si>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</si>
  <si>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</si>
  <si>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</si>
  <si>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</si>
  <si>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</si>
  <si>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</si>
  <si>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</si>
  <si>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</si>
  <si>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</si>
  <si>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</si>
  <si>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</si>
  <si>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</si>
  <si>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</si>
  <si>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</si>
  <si>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</si>
  <si>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</si>
  <si>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</si>
  <si>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</si>
  <si>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</si>
  <si>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</si>
  <si>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</si>
  <si>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</si>
  <si>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</si>
  <si>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</si>
  <si>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</si>
  <si>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</si>
  <si>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</si>
  <si>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</si>
  <si>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</si>
  <si>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</si>
  <si>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</si>
  <si>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</si>
  <si>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</si>
  <si>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</si>
  <si>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</si>
  <si>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</si>
  <si>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</si>
  <si>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</si>
  <si>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</si>
  <si>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</si>
  <si>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</si>
  <si>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</si>
  <si>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</si>
  <si>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</si>
  <si>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</si>
  <si>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</si>
  <si>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</si>
  <si>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</si>
  <si>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</si>
  <si>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</si>
  <si>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</si>
  <si>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</si>
  <si>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</si>
  <si>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</si>
  <si>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</si>
  <si>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</si>
  <si>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</si>
  <si>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</si>
  <si>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</si>
  <si>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</si>
  <si>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</si>
  <si>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</si>
  <si>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</si>
  <si>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</si>
  <si>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</si>
  <si>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</si>
  <si>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</si>
  <si>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</si>
  <si>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</si>
  <si>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</si>
  <si>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</si>
  <si>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</si>
  <si>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</si>
  <si>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</si>
  <si>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</si>
  <si>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</si>
  <si>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</si>
  <si>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</si>
  <si>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</si>
  <si>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</si>
  <si>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</si>
  <si>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</si>
  <si>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</si>
  <si>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</si>
  <si>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</si>
  <si>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</si>
  <si>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</si>
  <si>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</si>
  <si>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</si>
  <si>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</si>
  <si>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</si>
  <si>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</si>
  <si>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</si>
  <si>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</si>
  <si>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</si>
  <si>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</si>
  <si>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</si>
  <si>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</si>
  <si>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</si>
  <si>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</si>
  <si>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</si>
  <si>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</si>
  <si>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</si>
  <si>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</si>
  <si>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</si>
  <si>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</si>
  <si>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</si>
  <si>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</si>
  <si>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</si>
  <si>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</si>
  <si>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</si>
  <si>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</si>
  <si>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</si>
  <si>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</si>
  <si>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</si>
  <si>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</si>
  <si>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</si>
  <si>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</si>
  <si>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2012-10-09</t>
  </si>
  <si>
    <t>2012-10-10</t>
  </si>
  <si>
    <t>2012-10-11</t>
  </si>
  <si>
    <t>2012-10-12</t>
  </si>
  <si>
    <t>2012-10-15</t>
  </si>
  <si>
    <t>2012-10-16</t>
  </si>
  <si>
    <t>2012-10-17</t>
  </si>
  <si>
    <t>2012-10-18</t>
  </si>
  <si>
    <t>2012-10-19</t>
  </si>
  <si>
    <t>2012-10-22</t>
  </si>
  <si>
    <t>2012-10-23</t>
  </si>
  <si>
    <t>2012-10-24</t>
  </si>
  <si>
    <t>2012-10-25</t>
  </si>
  <si>
    <t>2012-10-26</t>
  </si>
  <si>
    <t>2012-10-29</t>
  </si>
  <si>
    <t>2012-10-31</t>
  </si>
  <si>
    <t>2012-11-01</t>
  </si>
  <si>
    <t>2012-11-02</t>
  </si>
  <si>
    <t>2012-11-05</t>
  </si>
  <si>
    <t>2012-11-06</t>
  </si>
  <si>
    <t>2012-11-07</t>
  </si>
  <si>
    <t>2012-11-08</t>
  </si>
  <si>
    <t>2012-11-09</t>
  </si>
  <si>
    <t>2012-11-13</t>
  </si>
  <si>
    <t>2012-11-14</t>
  </si>
  <si>
    <t>2012-11-15</t>
  </si>
  <si>
    <t>2012-11-16</t>
  </si>
  <si>
    <t>2012-11-19</t>
  </si>
  <si>
    <t>2012-11-20</t>
  </si>
  <si>
    <t>2012-11-21</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</si>
  <si>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</si>
  <si>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</si>
  <si>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</si>
  <si>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</si>
  <si>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</si>
  <si>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</si>
  <si>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</si>
  <si>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</si>
  <si>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</si>
  <si>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</si>
  <si>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</si>
  <si>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</si>
  <si>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</si>
  <si>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</si>
  <si>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</si>
  <si>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</si>
  <si>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</si>
  <si>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</si>
  <si>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</si>
  <si>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</si>
  <si>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</si>
  <si>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</si>
  <si>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</si>
  <si>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</si>
  <si>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</si>
  <si>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2012-12-31</t>
  </si>
  <si>
    <t>2013-01-02</t>
  </si>
  <si>
    <t>2013-01-03</t>
  </si>
  <si>
    <t>2013-01-04</t>
  </si>
  <si>
    <t>2013-01-07</t>
  </si>
  <si>
    <t>2013-01-08</t>
  </si>
  <si>
    <t>2013-01-09</t>
  </si>
  <si>
    <t>2013-01-10</t>
  </si>
  <si>
    <t>2013-01-11</t>
  </si>
  <si>
    <t>2013-01-14</t>
  </si>
  <si>
    <t>2013-01-15</t>
  </si>
  <si>
    <t>2013-01-16</t>
  </si>
  <si>
    <t>2013-01-17</t>
  </si>
  <si>
    <t>2013-01-18</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</si>
  <si>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</si>
  <si>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</si>
  <si>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</si>
  <si>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</si>
  <si>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</si>
  <si>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</si>
  <si>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</si>
  <si>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</si>
  <si>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</si>
  <si>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</si>
  <si>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</si>
  <si>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</si>
  <si>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</si>
  <si>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</si>
  <si>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</si>
  <si>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</si>
  <si>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</si>
  <si>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</si>
  <si>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</si>
  <si>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</si>
  <si>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</si>
  <si>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</si>
  <si>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</si>
  <si>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</si>
  <si>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</si>
  <si>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</si>
  <si>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</si>
  <si>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</si>
  <si>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</si>
  <si>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</si>
  <si>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</si>
  <si>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</si>
  <si>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</si>
  <si>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</si>
  <si>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</si>
  <si>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</si>
  <si>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</si>
  <si>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</si>
  <si>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</si>
  <si>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</si>
  <si>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</si>
  <si>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</si>
  <si>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</si>
  <si>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</si>
  <si>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</si>
  <si>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</si>
  <si>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</si>
  <si>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</si>
  <si>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</si>
  <si>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</si>
  <si>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</si>
  <si>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</si>
  <si>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</si>
  <si>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</si>
  <si>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</si>
  <si>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</si>
  <si>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</si>
  <si>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</si>
  <si>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</si>
  <si>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</si>
  <si>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</si>
  <si>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</si>
  <si>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</si>
  <si>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</si>
  <si>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</si>
  <si>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</si>
  <si>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</si>
  <si>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</si>
  <si>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</si>
  <si>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</si>
  <si>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</si>
  <si>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</si>
  <si>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</si>
  <si>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</si>
  <si>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</si>
  <si>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</si>
  <si>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</si>
  <si>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</si>
  <si>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</si>
  <si>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</si>
  <si>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</si>
  <si>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</si>
  <si>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</si>
  <si>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</si>
  <si>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</si>
  <si>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</si>
  <si>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</si>
  <si>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</si>
  <si>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</si>
  <si>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</si>
  <si>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</si>
  <si>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</si>
  <si>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</si>
  <si>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</si>
  <si>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</si>
  <si>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</si>
  <si>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</si>
  <si>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</si>
  <si>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</si>
  <si>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</si>
  <si>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</si>
  <si>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</si>
  <si>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</si>
  <si>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</si>
  <si>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</si>
  <si>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</si>
  <si>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</si>
  <si>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</si>
  <si>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</si>
  <si>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</si>
  <si>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</si>
  <si>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</si>
  <si>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</si>
  <si>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</si>
  <si>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</si>
  <si>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</si>
  <si>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</si>
  <si>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</si>
  <si>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</si>
  <si>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</si>
  <si>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</si>
  <si>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</si>
  <si>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</si>
  <si>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</si>
  <si>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</si>
  <si>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</si>
  <si>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</si>
  <si>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</si>
  <si>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</si>
  <si>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</si>
  <si>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</si>
  <si>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</si>
  <si>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</si>
  <si>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</si>
  <si>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</si>
  <si>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</si>
  <si>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</si>
  <si>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</si>
  <si>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</si>
  <si>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</si>
  <si>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</si>
  <si>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</si>
  <si>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</si>
  <si>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</si>
  <si>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</si>
  <si>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</si>
  <si>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</si>
  <si>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</si>
  <si>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</si>
  <si>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</si>
  <si>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</si>
  <si>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</si>
  <si>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</si>
  <si>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</si>
  <si>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</si>
  <si>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</si>
  <si>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</si>
  <si>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</si>
  <si>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</si>
  <si>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</si>
  <si>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</si>
  <si>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</si>
  <si>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</si>
  <si>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</si>
  <si>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</si>
  <si>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</si>
  <si>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</si>
  <si>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</si>
  <si>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</si>
  <si>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</si>
  <si>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</si>
  <si>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</si>
  <si>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</si>
  <si>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</si>
  <si>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</si>
  <si>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</si>
  <si>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</si>
  <si>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</si>
  <si>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</si>
  <si>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</si>
  <si>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</si>
  <si>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</si>
  <si>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</si>
  <si>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</si>
  <si>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</si>
  <si>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</si>
  <si>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</si>
  <si>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</si>
  <si>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</si>
  <si>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</si>
  <si>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</si>
  <si>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</si>
  <si>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</si>
  <si>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</si>
  <si>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</si>
  <si>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</si>
  <si>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</si>
  <si>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</si>
  <si>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</si>
  <si>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</si>
  <si>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</si>
  <si>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</si>
  <si>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</si>
  <si>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2013-11-12</t>
  </si>
  <si>
    <t>2013-11-13</t>
  </si>
  <si>
    <t>2013-11-14</t>
  </si>
  <si>
    <t>2013-11-15</t>
  </si>
  <si>
    <t>2013-11-18</t>
  </si>
  <si>
    <t>2013-11-19</t>
  </si>
  <si>
    <t>2013-11-20</t>
  </si>
  <si>
    <t>2013-11-21</t>
  </si>
  <si>
    <t>2013-11-22</t>
  </si>
  <si>
    <t>2013-11-25</t>
  </si>
  <si>
    <t>2013-11-26</t>
  </si>
  <si>
    <t>2013-11-27</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</si>
  <si>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</si>
  <si>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</si>
  <si>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</si>
  <si>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</si>
  <si>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</si>
  <si>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</si>
  <si>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</si>
  <si>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</si>
  <si>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</si>
  <si>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</si>
  <si>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</si>
  <si>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</si>
  <si>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</si>
  <si>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</si>
  <si>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</si>
  <si>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</si>
  <si>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</si>
  <si>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</si>
  <si>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</si>
  <si>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</si>
  <si>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</si>
  <si>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2013-12-31</t>
  </si>
  <si>
    <t>2014-01-02</t>
  </si>
  <si>
    <t>2014-01-03</t>
  </si>
  <si>
    <t>2014-01-06</t>
  </si>
  <si>
    <t>2014-01-07</t>
  </si>
  <si>
    <t>2014-01-08</t>
  </si>
  <si>
    <t>2014-01-09</t>
  </si>
  <si>
    <t>2014-01-10</t>
  </si>
  <si>
    <t>2014-01-13</t>
  </si>
  <si>
    <t>2014-01-14</t>
  </si>
  <si>
    <t>2014-01-15</t>
  </si>
  <si>
    <t>2014-01-16</t>
  </si>
  <si>
    <t>2014-01-17</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</si>
  <si>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</si>
  <si>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</si>
  <si>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</si>
  <si>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</si>
  <si>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</si>
  <si>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</si>
  <si>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</si>
  <si>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</si>
  <si>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</si>
  <si>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</si>
  <si>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</si>
  <si>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</si>
  <si>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</si>
  <si>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</si>
  <si>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</si>
  <si>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</si>
  <si>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</si>
  <si>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</si>
  <si>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</si>
  <si>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</si>
  <si>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</si>
  <si>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</si>
  <si>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</si>
  <si>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</si>
  <si>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</si>
  <si>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</si>
  <si>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</si>
  <si>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</si>
  <si>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</si>
  <si>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</si>
  <si>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</si>
  <si>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</si>
  <si>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</si>
  <si>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</si>
  <si>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</si>
  <si>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</si>
  <si>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</si>
  <si>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</si>
  <si>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</si>
  <si>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</si>
  <si>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</si>
  <si>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</si>
  <si>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</si>
  <si>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</si>
  <si>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</si>
  <si>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</si>
  <si>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</si>
  <si>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</si>
  <si>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</si>
  <si>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</si>
  <si>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</si>
  <si>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</si>
  <si>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</si>
  <si>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</si>
  <si>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</si>
  <si>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</si>
  <si>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</si>
  <si>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</si>
  <si>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</si>
  <si>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</si>
  <si>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</si>
  <si>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</si>
  <si>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</si>
  <si>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</si>
  <si>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</si>
  <si>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</si>
  <si>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</si>
  <si>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</si>
  <si>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</si>
  <si>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</si>
  <si>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</si>
  <si>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</si>
  <si>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</si>
  <si>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</si>
  <si>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</si>
  <si>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</si>
  <si>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</si>
  <si>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</si>
  <si>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</si>
  <si>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</si>
  <si>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</si>
  <si>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</si>
  <si>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</si>
  <si>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</si>
  <si>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</si>
  <si>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</si>
  <si>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</si>
  <si>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</si>
  <si>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</si>
  <si>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</si>
  <si>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</si>
  <si>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</si>
  <si>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</si>
  <si>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</si>
  <si>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</si>
  <si>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</si>
  <si>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</si>
  <si>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</si>
  <si>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</si>
  <si>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</si>
  <si>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</si>
  <si>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</si>
  <si>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</si>
  <si>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</si>
  <si>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</si>
  <si>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</si>
  <si>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</si>
  <si>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</si>
  <si>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</si>
  <si>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</si>
  <si>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</si>
  <si>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</si>
  <si>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</si>
  <si>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</si>
  <si>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</si>
  <si>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</si>
  <si>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</si>
  <si>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</si>
  <si>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</si>
  <si>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</si>
  <si>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</si>
  <si>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</si>
  <si>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</si>
  <si>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</si>
  <si>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</si>
  <si>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</si>
  <si>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</si>
  <si>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</si>
  <si>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</si>
  <si>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</si>
  <si>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</si>
  <si>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</si>
  <si>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</si>
  <si>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</si>
  <si>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</si>
  <si>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</si>
  <si>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</si>
  <si>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</si>
  <si>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</si>
  <si>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</si>
  <si>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</si>
  <si>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</si>
  <si>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</si>
  <si>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</si>
  <si>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</si>
  <si>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</si>
  <si>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</si>
  <si>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</si>
  <si>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</si>
  <si>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</si>
  <si>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</si>
  <si>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</si>
  <si>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</si>
  <si>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</si>
  <si>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</si>
  <si>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</si>
  <si>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</si>
  <si>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</si>
  <si>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</si>
  <si>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</si>
  <si>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</si>
  <si>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</si>
  <si>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</si>
  <si>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</si>
  <si>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</si>
  <si>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</si>
  <si>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</si>
  <si>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</si>
  <si>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</si>
  <si>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</si>
  <si>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</si>
  <si>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</si>
  <si>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</si>
  <si>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</si>
  <si>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</si>
  <si>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</si>
  <si>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</si>
  <si>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</si>
  <si>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</si>
  <si>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</si>
  <si>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</si>
  <si>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</si>
  <si>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</si>
  <si>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</si>
  <si>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</si>
  <si>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</si>
  <si>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</si>
  <si>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</si>
  <si>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</si>
  <si>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</si>
  <si>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</si>
  <si>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</si>
  <si>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</si>
  <si>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</si>
  <si>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</si>
  <si>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</si>
  <si>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</si>
  <si>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</si>
  <si>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</si>
  <si>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</si>
  <si>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</si>
  <si>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</si>
  <si>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</si>
  <si>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</si>
  <si>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2014-11-12</t>
  </si>
  <si>
    <t>2014-11-13</t>
  </si>
  <si>
    <t>2014-11-14</t>
  </si>
  <si>
    <t>2014-11-17</t>
  </si>
  <si>
    <t>2014-11-18</t>
  </si>
  <si>
    <t>2014-11-19</t>
  </si>
  <si>
    <t>2014-11-20</t>
  </si>
  <si>
    <t>2014-11-21</t>
  </si>
  <si>
    <t>2014-11-24</t>
  </si>
  <si>
    <t>2014-11-25</t>
  </si>
  <si>
    <t>2014-11-26</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</si>
  <si>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</si>
  <si>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</si>
  <si>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</si>
  <si>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</si>
  <si>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</si>
  <si>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</si>
  <si>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</si>
  <si>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</si>
  <si>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</si>
  <si>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</si>
  <si>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</si>
  <si>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</si>
  <si>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</si>
  <si>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</si>
  <si>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</si>
  <si>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</si>
  <si>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</si>
  <si>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</si>
  <si>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</si>
  <si>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2014-12-26</t>
  </si>
  <si>
    <t>2014-12-29</t>
  </si>
  <si>
    <t>2014-12-30</t>
  </si>
  <si>
    <t>2014-12-31</t>
  </si>
  <si>
    <t>2015-01-02</t>
  </si>
  <si>
    <t>2015-01-05</t>
  </si>
  <si>
    <t>2015-01-06</t>
  </si>
  <si>
    <t>2015-01-07</t>
  </si>
  <si>
    <t>2015-01-08</t>
  </si>
  <si>
    <t>2015-01-09</t>
  </si>
  <si>
    <t>2015-01-12</t>
  </si>
  <si>
    <t>2015-01-13</t>
  </si>
  <si>
    <t>2015-01-14</t>
  </si>
  <si>
    <t>2015-01-15</t>
  </si>
  <si>
    <t>2015-01-16</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</si>
  <si>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</si>
  <si>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</si>
  <si>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</si>
  <si>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</si>
  <si>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</si>
  <si>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</si>
  <si>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</si>
  <si>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</si>
  <si>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</si>
  <si>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</si>
  <si>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</si>
  <si>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</si>
  <si>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</si>
  <si>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</si>
  <si>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</si>
  <si>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</si>
  <si>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</si>
  <si>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</si>
  <si>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</si>
  <si>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</si>
  <si>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</si>
  <si>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</si>
  <si>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</si>
  <si>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</si>
  <si>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</si>
  <si>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</si>
  <si>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</si>
  <si>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</si>
  <si>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</si>
  <si>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</si>
  <si>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</si>
  <si>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</si>
  <si>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</si>
  <si>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</si>
  <si>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</si>
  <si>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</si>
  <si>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</si>
  <si>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</si>
  <si>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</si>
  <si>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</si>
  <si>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</si>
  <si>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</si>
  <si>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</si>
  <si>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</si>
  <si>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</si>
  <si>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</si>
  <si>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</si>
  <si>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</si>
  <si>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</si>
  <si>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</si>
  <si>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</si>
  <si>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</si>
  <si>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</si>
  <si>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</si>
  <si>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</si>
  <si>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</si>
  <si>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</si>
  <si>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</si>
  <si>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</si>
  <si>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</si>
  <si>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</si>
  <si>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</si>
  <si>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</si>
  <si>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</si>
  <si>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</si>
  <si>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</si>
  <si>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</si>
  <si>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</si>
  <si>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</si>
  <si>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</si>
  <si>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</si>
  <si>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</si>
  <si>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</si>
  <si>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</si>
  <si>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</si>
  <si>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</si>
  <si>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</si>
  <si>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</si>
  <si>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</si>
  <si>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</si>
  <si>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</si>
  <si>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</si>
  <si>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</si>
  <si>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</si>
  <si>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</si>
  <si>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</si>
  <si>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</si>
  <si>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</si>
  <si>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</si>
  <si>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</si>
  <si>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</si>
  <si>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</si>
  <si>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</si>
  <si>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</si>
  <si>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</si>
  <si>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</si>
  <si>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</si>
  <si>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</si>
  <si>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</si>
  <si>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</si>
  <si>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</si>
  <si>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</si>
  <si>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</si>
  <si>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</si>
  <si>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</si>
  <si>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</si>
  <si>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</si>
  <si>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</si>
  <si>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</si>
  <si>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</si>
  <si>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</si>
  <si>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</si>
  <si>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</si>
  <si>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</si>
  <si>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</si>
  <si>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</si>
  <si>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</si>
  <si>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</si>
  <si>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</si>
  <si>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</si>
  <si>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</si>
  <si>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</si>
  <si>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</si>
  <si>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</si>
  <si>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</si>
  <si>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</si>
  <si>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</si>
  <si>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</si>
  <si>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</si>
  <si>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</si>
  <si>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</si>
  <si>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</si>
  <si>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</si>
  <si>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</si>
  <si>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</si>
  <si>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</si>
  <si>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</si>
  <si>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</si>
  <si>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</si>
  <si>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</si>
  <si>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</si>
  <si>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</si>
  <si>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</si>
  <si>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</si>
  <si>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</si>
  <si>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</si>
  <si>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</si>
  <si>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</si>
  <si>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</si>
  <si>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</si>
  <si>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</si>
  <si>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</si>
  <si>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</si>
  <si>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</si>
  <si>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</si>
  <si>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</si>
  <si>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</si>
  <si>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</si>
  <si>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</si>
  <si>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</si>
  <si>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</si>
  <si>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</si>
  <si>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</si>
  <si>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</si>
  <si>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</si>
  <si>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</si>
  <si>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</si>
  <si>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</si>
  <si>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</si>
  <si>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</si>
  <si>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</si>
  <si>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</si>
  <si>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</si>
  <si>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</si>
  <si>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</si>
  <si>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</si>
  <si>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</si>
  <si>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</si>
  <si>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</si>
  <si>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</si>
  <si>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</si>
  <si>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</si>
  <si>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</si>
  <si>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</si>
  <si>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</si>
  <si>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</si>
  <si>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</si>
  <si>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</si>
  <si>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</si>
  <si>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</si>
  <si>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</si>
  <si>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</si>
  <si>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</si>
  <si>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</si>
  <si>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</si>
  <si>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</si>
  <si>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</si>
  <si>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</si>
  <si>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</si>
  <si>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</si>
  <si>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</si>
  <si>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</si>
  <si>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</si>
  <si>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</si>
  <si>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</si>
  <si>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</si>
  <si>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2015-11-12</t>
  </si>
  <si>
    <t>2015-11-13</t>
  </si>
  <si>
    <t>2015-11-16</t>
  </si>
  <si>
    <t>2015-11-17</t>
  </si>
  <si>
    <t>2015-11-18</t>
  </si>
  <si>
    <t>2015-11-19</t>
  </si>
  <si>
    <t>2015-11-20</t>
  </si>
  <si>
    <t>2015-11-23</t>
  </si>
  <si>
    <t>2015-11-24</t>
  </si>
  <si>
    <t>2015-11-25</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</si>
  <si>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</si>
  <si>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</si>
  <si>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</si>
  <si>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</si>
  <si>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</si>
  <si>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</si>
  <si>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</si>
  <si>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</si>
  <si>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</si>
  <si>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</si>
  <si>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</si>
  <si>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</si>
  <si>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</si>
  <si>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</si>
  <si>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</si>
  <si>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</si>
  <si>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</si>
  <si>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</si>
  <si>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</si>
  <si>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</si>
  <si>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2015-12-28</t>
  </si>
  <si>
    <t>2015-12-29</t>
  </si>
  <si>
    <t>2015-12-30</t>
  </si>
  <si>
    <t>2015-12-31</t>
  </si>
  <si>
    <t>2016-01-04</t>
  </si>
  <si>
    <t>2016-01-05</t>
  </si>
  <si>
    <t>2016-01-06</t>
  </si>
  <si>
    <t>2016-01-07</t>
  </si>
  <si>
    <t>2016-01-08</t>
  </si>
  <si>
    <t>2016-01-11</t>
  </si>
  <si>
    <t>2016-01-12</t>
  </si>
  <si>
    <t>2016-01-13</t>
  </si>
  <si>
    <t>2016-01-14</t>
  </si>
  <si>
    <t>2016-01-15</t>
  </si>
  <si>
    <t>2016-01-19</t>
  </si>
  <si>
    <t>2016-01-20</t>
  </si>
  <si>
    <t>MONDAY</t>
  </si>
  <si>
    <t>TUESDAY</t>
  </si>
  <si>
    <t>WEDNESDAY</t>
  </si>
  <si>
    <t>THURSDAY</t>
  </si>
  <si>
    <t>FRIDAY</t>
  </si>
  <si>
    <t>SATURDAY</t>
  </si>
  <si>
    <t>SUNDAY</t>
  </si>
  <si>
    <t>Daily Mortgage Rate</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</si>
  <si>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</si>
  <si>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</si>
  <si>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</si>
  <si>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</si>
  <si>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</si>
  <si>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</si>
  <si>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</si>
  <si>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</si>
  <si>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</si>
  <si>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</si>
  <si>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</si>
  <si>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</si>
  <si>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</si>
  <si>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</si>
  <si>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</si>
  <si>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</si>
  <si>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</si>
  <si>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2010-12-27</t>
  </si>
  <si>
    <t>2010-12-28</t>
  </si>
  <si>
    <t>2010-12-29</t>
  </si>
  <si>
    <t>2010-12-30</t>
  </si>
  <si>
    <t>2010-12-31</t>
  </si>
  <si>
    <t>2016-01-21</t>
  </si>
  <si>
    <t>2016-01-22</t>
  </si>
  <si>
    <t>2016-01-23</t>
  </si>
  <si>
    <t>2016-01-24</t>
  </si>
  <si>
    <t>2016-01-25</t>
  </si>
  <si>
    <t>asof</t>
  </si>
  <si>
    <t>Daily Refi Universe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</si>
</sst>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numFmt numFmtId="165" formatCode="#,##0.000"/>
  </numFmts>
  <fonts count="9" x14ac:knownFonts="1">
    <font>
      <sz val="10"/>
      <name val="Arial"/>
    </font>
    <font>
      <b/>
      <sz val="11"/>
      <name val="Calibri"/>
      <family val="2"/>
    </font>
    <font>
      <sz val="11"/>
      <name val="Calibri"/>
      <family val="2"/>
    </font>
    <font>
      <sz val="10"/>
      <name val="Arial"/>
      <family val="2"/>
    </font>
    <font>
      <sz val="11"/>
      <name val="Calibri"/>
      <family val="2"/>
    </font>
    <font>
      <b/>
      <sz val="11"/>
      <name val="Calibri"/>
      <family val="2"/>
    </font>
    <font>
      <sz val="10"/>
      <name val="Arial"/>
      <family val="2"/>
    </font>
    <font>
      <sz val="10"/>
      <color theme="1"/>
      <name val="Calibri"/>
      <family val="2"/>
      <scheme val="minor"/>
    </font>
    <font>
      <sz val="10"/>
      <name val="Calibri"/>
      <family val="2"/>
      <scheme val="minor"/>
    </font>
  </fonts>
  <fills count="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theme="4"/>
      </left>
      <right/>
      <top style="thin">
        <color theme="4"/>
      </top>
      <bottom/>
      <diagonal/>
    </border>
    <border>
      <left/>
      <right/>
      <top style="thin">
        <color theme="4"/>
      </top>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3" fillId="0" borderId="0" applyNumberFormat="0" applyFont="0" applyFill="0" applyBorder="0" applyAlignment="0" applyProtection="0"/>
    <xf numFmtId="0" fontId="8" fillId="4" borderId="0"/>
  </cellStyleXfs>
  <cellXfs count="34">
    <xf numFmtId="0" fontId="0" fillId="0" borderId="0" xfId="0" applyNumberFormat="1" applyFont="1" applyFill="1" applyBorder="1" applyAlignment="1"/>
    <xf numFmtId="0" fontId="2" fillId="0" borderId="0" xfId="0" applyNumberFormat="1" applyFont="1" applyFill="1" applyBorder="1" applyAlignment="1">
      <alignment horizontal="left" wrapText="1"/>
    </xf>
    <xf numFmtId="0" fontId="2" fillId="0" borderId="0" xfId="0" applyNumberFormat="1" applyFont="1" applyFill="1" applyBorder="1" applyAlignment="1">
      <alignment horizontal="left"/>
    </xf>
    <xf numFmtId="14" fontId="0" fillId="0" borderId="0" xfId="0" applyNumberFormat="1" applyFont="1" applyFill="1" applyBorder="1" applyAlignment="1"/>
    <xf numFmtId="0" fontId="1" fillId="2" borderId="1" xfId="0" applyNumberFormat="1" applyFont="1" applyFill="1" applyBorder="1" applyAlignment="1">
      <alignment horizontal="center"/>
    </xf>
    <xf numFmtId="165" fontId="2" fillId="0" borderId="1" xfId="0" applyNumberFormat="1" applyFont="1" applyFill="1" applyBorder="1" applyAlignment="1">
      <alignment horizontal="center"/>
    </xf>
    <xf numFmtId="14"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1" fillId="3" borderId="2" xfId="0" applyNumberFormat="1" applyFont="1" applyFill="1" applyBorder="1" applyAlignment="1">
      <alignment horizontal="center"/>
    </xf>
    <xf numFmtId="14" fontId="1" fillId="0" borderId="1" xfId="0" applyNumberFormat="1" applyFont="1" applyFill="1" applyBorder="1" applyAlignment="1">
      <alignment horizontal="center"/>
    </xf>
    <xf numFmtId="0" fontId="3" fillId="0" borderId="0" xfId="0" applyNumberFormat="1" applyFont="1" applyFill="1" applyBorder="1" applyAlignment="1"/>
    <xf numFmtId="9" fontId="3" fillId="0" borderId="0" xfId="0" applyNumberFormat="1" applyFont="1" applyFill="1" applyBorder="1" applyAlignment="1">
      <alignment horizontal="center"/>
    </xf>
    <xf numFmtId="9" fontId="3" fillId="0" borderId="0" xfId="0" applyNumberFormat="1" applyFont="1" applyFill="1" applyAlignment="1">
      <alignment horizontal="center"/>
    </xf>
    <xf numFmtId="0" fontId="3" fillId="0" borderId="0" xfId="0" applyNumberFormat="1" applyFont="1" applyFill="1" applyBorder="1" applyAlignment="1">
      <alignment horizontal="center"/>
    </xf>
    <xf numFmtId="164" fontId="4" fillId="0" borderId="1" xfId="0" applyNumberFormat="1" applyFont="1" applyFill="1" applyBorder="1" applyAlignment="1">
      <alignment horizontal="left"/>
    </xf>
    <xf numFmtId="165" fontId="4" fillId="0" borderId="1" xfId="0" applyNumberFormat="1" applyFont="1" applyFill="1" applyBorder="1" applyAlignment="1">
      <alignment horizontal="right"/>
    </xf>
    <xf numFmtId="0" fontId="5" fillId="2" borderId="1" xfId="0" applyNumberFormat="1" applyFont="1" applyFill="1" applyBorder="1" applyAlignment="1">
      <alignment horizontal="right"/>
    </xf>
    <xf numFmtId="164" fontId="2" fillId="0" borderId="1" xfId="0" applyNumberFormat="1" applyFont="1" applyFill="1" applyBorder="1" applyAlignment="1">
      <alignment horizontal="left"/>
    </xf>
    <xf numFmtId="165" fontId="2" fillId="0" borderId="1" xfId="0" applyNumberFormat="1" applyFont="1" applyFill="1" applyBorder="1" applyAlignment="1">
      <alignment horizontal="right"/>
    </xf>
    <xf numFmtId="14" fontId="7" fillId="0" borderId="3" xfId="0" applyNumberFormat="1" applyFont="1" applyBorder="1"/>
    <xf numFmtId="10" fontId="7" fillId="0" borderId="4" xfId="1" applyNumberFormat="1" applyFont="1" applyBorder="1"/>
    <xf numFmtId="0" fontId="0" fillId="0" borderId="0" xfId="0"/>
    <xf numFmtId="165" fontId="2" fillId="0" borderId="1" xfId="2" applyNumberFormat="1" applyFont="1" applyFill="1" applyBorder="1" applyAlignment="1">
      <alignment horizontal="right"/>
    </xf>
    <xf numFmtId="14" fontId="8" fillId="4" borderId="0" xfId="3" applyNumberFormat="1" applyFont="1"/>
    <xf numFmtId="0" fontId="8" fillId="4" borderId="0" xfId="3" applyNumberFormat="1" applyFont="1"/>
    <xf numFmtId="0" fontId="8" fillId="4" borderId="0" xfId="3" applyFont="1"/>
    <xf numFmtId="0" fontId="7" fillId="0" borderId="0" xfId="0" applyFont="1"/>
    <xf numFmtId="14" fontId="8" fillId="5" borderId="0" xfId="3" applyNumberFormat="1" applyFont="1" applyFill="1"/>
    <xf numFmtId="0" fontId="7" fillId="5" borderId="0" xfId="0" applyFont="1" applyFill="1"/>
    <xf numFmtId="0" fontId="8" fillId="6" borderId="0" xfId="3" applyFont="1" applyFill="1" applyAlignment="1">
      <alignment horizontal="center"/>
    </xf>
    <xf numFmtId="0" fontId="8" fillId="6" borderId="0" xfId="0" applyNumberFormat="1" applyFont="1" applyFill="1" applyBorder="1" applyAlignment="1">
      <alignment horizontal="center"/>
    </xf>
    <xf numFmtId="0" fontId="8" fillId="5" borderId="0" xfId="0" applyNumberFormat="1" applyFont="1" applyFill="1" applyBorder="1" applyAlignment="1"/>
    <xf numFmtId="0" fontId="8" fillId="0" borderId="0" xfId="0" applyNumberFormat="1" applyFont="1" applyFill="1" applyBorder="1" applyAlignment="1"/>
    <xf numFmtId="9" fontId="0" fillId="0" borderId="0" xfId="1" applyFont="1" applyFill="1" applyBorder="1" applyAlignment="1"/>
  </cellXfs>
  <cellStyles count="4">
    <cellStyle name="Normal" xfId="0" builtinId="0"/>
    <cellStyle name="Normal 2" xfId="2"/>
    <cellStyle name="Normal 2 7" xfId="3"/>
    <cellStyle name="Percent" xfId="1" builtinId="5"/>
  </cellStyles>
  <dxfs count="14">
    <dxf>
      <font>
        <strike val="0"/>
        <outline val="0"/>
        <shadow val="0"/>
        <u val="none"/>
        <vertAlign val="baseline"/>
        <sz val="10"/>
        <color auto="1"/>
        <name val="Calibri"/>
        <scheme val="minor"/>
      </font>
      <numFmt numFmtId="0" formatCode="General"/>
    </dxf>
    <dxf>
      <font>
        <strike val="0"/>
        <outline val="0"/>
        <shadow val="0"/>
        <u val="none"/>
        <vertAlign val="baseline"/>
        <sz val="10"/>
        <name val="Calibri"/>
        <scheme val="minor"/>
      </font>
      <numFmt numFmtId="0" formatCode="General"/>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color auto="1"/>
        <name val="Calibri"/>
        <scheme val="minor"/>
      </font>
      <numFmt numFmtId="0" formatCode="General"/>
    </dxf>
    <dxf>
      <font>
        <strike val="0"/>
        <outline val="0"/>
        <shadow val="0"/>
        <u val="none"/>
        <vertAlign val="baseline"/>
        <sz val="10"/>
        <name val="Calibri"/>
        <scheme val="minor"/>
      </font>
      <numFmt numFmtId="0" formatCode="General"/>
      <fill>
        <patternFill patternType="solid">
          <fgColor indexed="64"/>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scheme val="minor"/>
      </font>
      <numFmt numFmtId="19" formatCode="m/d/yyyy"/>
      <fill>
        <patternFill patternType="solid">
          <fgColor indexed="64"/>
          <bgColor theme="0" tint="-0.14999847407452621"/>
        </patternFill>
      </fill>
    </dxf>
    <dxf>
      <font>
        <strike val="0"/>
        <outline val="0"/>
        <shadow val="0"/>
        <u val="none"/>
        <vertAlign val="baseline"/>
        <sz val="10"/>
        <name val="Calibri"/>
        <scheme val="minor"/>
      </font>
      <fill>
        <patternFill patternType="solid">
          <fgColor indexed="64"/>
          <bgColor theme="4"/>
        </patternFill>
      </fill>
      <alignment horizontal="center" vertical="bottom" textRotation="0" wrapText="0" indent="0" justifyLastLine="0" shrinkToFit="0" readingOrder="0"/>
    </dxf>
    <dxf>
      <font>
        <strike val="0"/>
        <outline val="0"/>
        <shadow val="0"/>
        <u val="none"/>
        <vertAlign val="baseline"/>
        <sz val="10"/>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'OAS and Media Effect'!$C$1</c:f>
              <c:strCache>
                <c:ptCount val="1"/>
                <c:pt idx="0">
                  <c:v>MTG[IOS IFN 34010 IO]::OAS</c:v>
                </c:pt>
              </c:strCache>
            </c:strRef>
          </c:tx>
          <c:spPr>
            <a:ln w="28575" cap="rnd">
              <a:solidFill>
                <a:schemeClr val="accent1"/>
              </a:solidFill>
              <a:round/>
            </a:ln>
            <a:effectLst/>
          </c:spPr>
          <c:marker>
            <c:symbol val="none"/>
          </c:marker>
          <c:cat>
            <c:numRef>
              <c:f>'OAS and Media Effect'!$A$2:$A$1230</c:f>
              <c:numCache>
                <c:formatCode>mm/dd/yyyy</c:formatCode>
                <c:ptCount val="122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numCache>
            </c:numRef>
          </c:cat>
          <c:val>
            <c:numRef>
              <c:f>'OAS and Media Effect'!$C$2:$C$1230</c:f>
              <c:numCache>
                <c:formatCode>#,##0.000</c:formatCode>
                <c:ptCount val="1229"/>
                <c:pt idx="0">
                  <c:v>314</c:v>
                </c:pt>
                <c:pt idx="1">
                  <c:v>311</c:v>
                </c:pt>
                <c:pt idx="2">
                  <c:v>283</c:v>
                </c:pt>
                <c:pt idx="3">
                  <c:v>282</c:v>
                </c:pt>
                <c:pt idx="4">
                  <c:v>267</c:v>
                </c:pt>
                <c:pt idx="5">
                  <c:v>286</c:v>
                </c:pt>
                <c:pt idx="6">
                  <c:v>285</c:v>
                </c:pt>
                <c:pt idx="7">
                  <c:v>374</c:v>
                </c:pt>
                <c:pt idx="8">
                  <c:v>302</c:v>
                </c:pt>
                <c:pt idx="9">
                  <c:v>286</c:v>
                </c:pt>
                <c:pt idx="10">
                  <c:v>279</c:v>
                </c:pt>
                <c:pt idx="11">
                  <c:v>288</c:v>
                </c:pt>
                <c:pt idx="12">
                  <c:v>289</c:v>
                </c:pt>
                <c:pt idx="13">
                  <c:v>308</c:v>
                </c:pt>
                <c:pt idx="14">
                  <c:v>306</c:v>
                </c:pt>
                <c:pt idx="15">
                  <c:v>308</c:v>
                </c:pt>
                <c:pt idx="16">
                  <c:v>315</c:v>
                </c:pt>
                <c:pt idx="17">
                  <c:v>319</c:v>
                </c:pt>
                <c:pt idx="18">
                  <c:v>322</c:v>
                </c:pt>
                <c:pt idx="19">
                  <c:v>320</c:v>
                </c:pt>
                <c:pt idx="20">
                  <c:v>300</c:v>
                </c:pt>
                <c:pt idx="21">
                  <c:v>304</c:v>
                </c:pt>
                <c:pt idx="22">
                  <c:v>289</c:v>
                </c:pt>
                <c:pt idx="23">
                  <c:v>282</c:v>
                </c:pt>
                <c:pt idx="24">
                  <c:v>290</c:v>
                </c:pt>
                <c:pt idx="25">
                  <c:v>304</c:v>
                </c:pt>
                <c:pt idx="26">
                  <c:v>317</c:v>
                </c:pt>
                <c:pt idx="27">
                  <c:v>295</c:v>
                </c:pt>
                <c:pt idx="28">
                  <c:v>288</c:v>
                </c:pt>
                <c:pt idx="29">
                  <c:v>295</c:v>
                </c:pt>
                <c:pt idx="30">
                  <c:v>299</c:v>
                </c:pt>
                <c:pt idx="31">
                  <c:v>293</c:v>
                </c:pt>
                <c:pt idx="32">
                  <c:v>291</c:v>
                </c:pt>
                <c:pt idx="33">
                  <c:v>299</c:v>
                </c:pt>
                <c:pt idx="34">
                  <c:v>298</c:v>
                </c:pt>
                <c:pt idx="35">
                  <c:v>287</c:v>
                </c:pt>
                <c:pt idx="36">
                  <c:v>275</c:v>
                </c:pt>
                <c:pt idx="37">
                  <c:v>262</c:v>
                </c:pt>
                <c:pt idx="38">
                  <c:v>260</c:v>
                </c:pt>
                <c:pt idx="39">
                  <c:v>253</c:v>
                </c:pt>
                <c:pt idx="40">
                  <c:v>249</c:v>
                </c:pt>
                <c:pt idx="41">
                  <c:v>249</c:v>
                </c:pt>
                <c:pt idx="42">
                  <c:v>255</c:v>
                </c:pt>
                <c:pt idx="43">
                  <c:v>239</c:v>
                </c:pt>
                <c:pt idx="44">
                  <c:v>220</c:v>
                </c:pt>
                <c:pt idx="45">
                  <c:v>209</c:v>
                </c:pt>
                <c:pt idx="46">
                  <c:v>204</c:v>
                </c:pt>
                <c:pt idx="47">
                  <c:v>197</c:v>
                </c:pt>
                <c:pt idx="48">
                  <c:v>194</c:v>
                </c:pt>
                <c:pt idx="49">
                  <c:v>195</c:v>
                </c:pt>
                <c:pt idx="50">
                  <c:v>198</c:v>
                </c:pt>
                <c:pt idx="51">
                  <c:v>205</c:v>
                </c:pt>
                <c:pt idx="52">
                  <c:v>216</c:v>
                </c:pt>
                <c:pt idx="53">
                  <c:v>218</c:v>
                </c:pt>
                <c:pt idx="54">
                  <c:v>210</c:v>
                </c:pt>
                <c:pt idx="55">
                  <c:v>211</c:v>
                </c:pt>
                <c:pt idx="56">
                  <c:v>210</c:v>
                </c:pt>
                <c:pt idx="57">
                  <c:v>209</c:v>
                </c:pt>
                <c:pt idx="58">
                  <c:v>208</c:v>
                </c:pt>
                <c:pt idx="59">
                  <c:v>214</c:v>
                </c:pt>
                <c:pt idx="60">
                  <c:v>214</c:v>
                </c:pt>
                <c:pt idx="61">
                  <c:v>260</c:v>
                </c:pt>
                <c:pt idx="62">
                  <c:v>253</c:v>
                </c:pt>
                <c:pt idx="63">
                  <c:v>258</c:v>
                </c:pt>
                <c:pt idx="64">
                  <c:v>255</c:v>
                </c:pt>
                <c:pt idx="65">
                  <c:v>245</c:v>
                </c:pt>
                <c:pt idx="66">
                  <c:v>243</c:v>
                </c:pt>
                <c:pt idx="67">
                  <c:v>239</c:v>
                </c:pt>
                <c:pt idx="68">
                  <c:v>237</c:v>
                </c:pt>
                <c:pt idx="69">
                  <c:v>225</c:v>
                </c:pt>
                <c:pt idx="70">
                  <c:v>227</c:v>
                </c:pt>
                <c:pt idx="71">
                  <c:v>229</c:v>
                </c:pt>
                <c:pt idx="72">
                  <c:v>236</c:v>
                </c:pt>
                <c:pt idx="73">
                  <c:v>227</c:v>
                </c:pt>
                <c:pt idx="74">
                  <c:v>220</c:v>
                </c:pt>
                <c:pt idx="75">
                  <c:v>205</c:v>
                </c:pt>
                <c:pt idx="76">
                  <c:v>197</c:v>
                </c:pt>
                <c:pt idx="77">
                  <c:v>179</c:v>
                </c:pt>
                <c:pt idx="78">
                  <c:v>179</c:v>
                </c:pt>
                <c:pt idx="79">
                  <c:v>187</c:v>
                </c:pt>
                <c:pt idx="80">
                  <c:v>192</c:v>
                </c:pt>
                <c:pt idx="81">
                  <c:v>197</c:v>
                </c:pt>
                <c:pt idx="82">
                  <c:v>202</c:v>
                </c:pt>
                <c:pt idx="83">
                  <c:v>189</c:v>
                </c:pt>
                <c:pt idx="84">
                  <c:v>184</c:v>
                </c:pt>
                <c:pt idx="85">
                  <c:v>167</c:v>
                </c:pt>
                <c:pt idx="86">
                  <c:v>152</c:v>
                </c:pt>
                <c:pt idx="87">
                  <c:v>163</c:v>
                </c:pt>
                <c:pt idx="88">
                  <c:v>170</c:v>
                </c:pt>
                <c:pt idx="89">
                  <c:v>186</c:v>
                </c:pt>
                <c:pt idx="90">
                  <c:v>186</c:v>
                </c:pt>
                <c:pt idx="91">
                  <c:v>163</c:v>
                </c:pt>
                <c:pt idx="92">
                  <c:v>176</c:v>
                </c:pt>
                <c:pt idx="93">
                  <c:v>195</c:v>
                </c:pt>
                <c:pt idx="94">
                  <c:v>195</c:v>
                </c:pt>
                <c:pt idx="95">
                  <c:v>201</c:v>
                </c:pt>
                <c:pt idx="96">
                  <c:v>209</c:v>
                </c:pt>
                <c:pt idx="97">
                  <c:v>196</c:v>
                </c:pt>
                <c:pt idx="98">
                  <c:v>209</c:v>
                </c:pt>
                <c:pt idx="99">
                  <c:v>222</c:v>
                </c:pt>
                <c:pt idx="100">
                  <c:v>218</c:v>
                </c:pt>
                <c:pt idx="101">
                  <c:v>202</c:v>
                </c:pt>
                <c:pt idx="102">
                  <c:v>190</c:v>
                </c:pt>
                <c:pt idx="103">
                  <c:v>173</c:v>
                </c:pt>
                <c:pt idx="104">
                  <c:v>154</c:v>
                </c:pt>
                <c:pt idx="105">
                  <c:v>162</c:v>
                </c:pt>
                <c:pt idx="106">
                  <c:v>170</c:v>
                </c:pt>
                <c:pt idx="107">
                  <c:v>156</c:v>
                </c:pt>
                <c:pt idx="108">
                  <c:v>180</c:v>
                </c:pt>
                <c:pt idx="109">
                  <c:v>193</c:v>
                </c:pt>
                <c:pt idx="110">
                  <c:v>194</c:v>
                </c:pt>
                <c:pt idx="111">
                  <c:v>195</c:v>
                </c:pt>
                <c:pt idx="112">
                  <c:v>192</c:v>
                </c:pt>
                <c:pt idx="113">
                  <c:v>193</c:v>
                </c:pt>
                <c:pt idx="114">
                  <c:v>199</c:v>
                </c:pt>
                <c:pt idx="115">
                  <c:v>202</c:v>
                </c:pt>
                <c:pt idx="116">
                  <c:v>206</c:v>
                </c:pt>
                <c:pt idx="117">
                  <c:v>202</c:v>
                </c:pt>
                <c:pt idx="118">
                  <c:v>207</c:v>
                </c:pt>
                <c:pt idx="119">
                  <c:v>208</c:v>
                </c:pt>
                <c:pt idx="120">
                  <c:v>210</c:v>
                </c:pt>
                <c:pt idx="121">
                  <c:v>199</c:v>
                </c:pt>
                <c:pt idx="122">
                  <c:v>201</c:v>
                </c:pt>
                <c:pt idx="123">
                  <c:v>217</c:v>
                </c:pt>
                <c:pt idx="124">
                  <c:v>230</c:v>
                </c:pt>
                <c:pt idx="125">
                  <c:v>242</c:v>
                </c:pt>
                <c:pt idx="126">
                  <c:v>251</c:v>
                </c:pt>
                <c:pt idx="127">
                  <c:v>286</c:v>
                </c:pt>
                <c:pt idx="128">
                  <c:v>288</c:v>
                </c:pt>
                <c:pt idx="129">
                  <c:v>318</c:v>
                </c:pt>
                <c:pt idx="130">
                  <c:v>399</c:v>
                </c:pt>
                <c:pt idx="131">
                  <c:v>476</c:v>
                </c:pt>
                <c:pt idx="132">
                  <c:v>438</c:v>
                </c:pt>
                <c:pt idx="133">
                  <c:v>467</c:v>
                </c:pt>
                <c:pt idx="134">
                  <c:v>467</c:v>
                </c:pt>
                <c:pt idx="135">
                  <c:v>464</c:v>
                </c:pt>
                <c:pt idx="136">
                  <c:v>474</c:v>
                </c:pt>
                <c:pt idx="137">
                  <c:v>513</c:v>
                </c:pt>
                <c:pt idx="138">
                  <c:v>535</c:v>
                </c:pt>
                <c:pt idx="139">
                  <c:v>561</c:v>
                </c:pt>
                <c:pt idx="140">
                  <c:v>563</c:v>
                </c:pt>
                <c:pt idx="141">
                  <c:v>516</c:v>
                </c:pt>
                <c:pt idx="142">
                  <c:v>572</c:v>
                </c:pt>
                <c:pt idx="143">
                  <c:v>547</c:v>
                </c:pt>
                <c:pt idx="144">
                  <c:v>509</c:v>
                </c:pt>
                <c:pt idx="145">
                  <c:v>513</c:v>
                </c:pt>
                <c:pt idx="146">
                  <c:v>481</c:v>
                </c:pt>
                <c:pt idx="147">
                  <c:v>502</c:v>
                </c:pt>
                <c:pt idx="148">
                  <c:v>545</c:v>
                </c:pt>
                <c:pt idx="149">
                  <c:v>576</c:v>
                </c:pt>
                <c:pt idx="150">
                  <c:v>549</c:v>
                </c:pt>
                <c:pt idx="151">
                  <c:v>586</c:v>
                </c:pt>
                <c:pt idx="152">
                  <c:v>553</c:v>
                </c:pt>
                <c:pt idx="153">
                  <c:v>528</c:v>
                </c:pt>
                <c:pt idx="154">
                  <c:v>532</c:v>
                </c:pt>
                <c:pt idx="155">
                  <c:v>540</c:v>
                </c:pt>
                <c:pt idx="156">
                  <c:v>519</c:v>
                </c:pt>
                <c:pt idx="157">
                  <c:v>505</c:v>
                </c:pt>
                <c:pt idx="158">
                  <c:v>561</c:v>
                </c:pt>
                <c:pt idx="159">
                  <c:v>574</c:v>
                </c:pt>
                <c:pt idx="160">
                  <c:v>681</c:v>
                </c:pt>
                <c:pt idx="161">
                  <c:v>860</c:v>
                </c:pt>
                <c:pt idx="162">
                  <c:v>735</c:v>
                </c:pt>
                <c:pt idx="163">
                  <c:v>731</c:v>
                </c:pt>
                <c:pt idx="164">
                  <c:v>694</c:v>
                </c:pt>
                <c:pt idx="165">
                  <c:v>678</c:v>
                </c:pt>
                <c:pt idx="166">
                  <c:v>731</c:v>
                </c:pt>
                <c:pt idx="167">
                  <c:v>757</c:v>
                </c:pt>
                <c:pt idx="168">
                  <c:v>810</c:v>
                </c:pt>
                <c:pt idx="169">
                  <c:v>726</c:v>
                </c:pt>
                <c:pt idx="170">
                  <c:v>686</c:v>
                </c:pt>
                <c:pt idx="171">
                  <c:v>680</c:v>
                </c:pt>
                <c:pt idx="172">
                  <c:v>961</c:v>
                </c:pt>
                <c:pt idx="173">
                  <c:v>937</c:v>
                </c:pt>
                <c:pt idx="174">
                  <c:v>864</c:v>
                </c:pt>
                <c:pt idx="175">
                  <c:v>969</c:v>
                </c:pt>
                <c:pt idx="176">
                  <c:v>945</c:v>
                </c:pt>
                <c:pt idx="177">
                  <c:v>968</c:v>
                </c:pt>
                <c:pt idx="178">
                  <c:v>949</c:v>
                </c:pt>
                <c:pt idx="179">
                  <c:v>937</c:v>
                </c:pt>
                <c:pt idx="180">
                  <c:v>919</c:v>
                </c:pt>
                <c:pt idx="181">
                  <c:v>900</c:v>
                </c:pt>
                <c:pt idx="182">
                  <c:v>868</c:v>
                </c:pt>
                <c:pt idx="183">
                  <c:v>920</c:v>
                </c:pt>
                <c:pt idx="184">
                  <c:v>880</c:v>
                </c:pt>
                <c:pt idx="185">
                  <c:v>734</c:v>
                </c:pt>
                <c:pt idx="186">
                  <c:v>762</c:v>
                </c:pt>
                <c:pt idx="187">
                  <c:v>865</c:v>
                </c:pt>
                <c:pt idx="188">
                  <c:v>940</c:v>
                </c:pt>
                <c:pt idx="189">
                  <c:v>927</c:v>
                </c:pt>
                <c:pt idx="190">
                  <c:v>878</c:v>
                </c:pt>
                <c:pt idx="191">
                  <c:v>915</c:v>
                </c:pt>
                <c:pt idx="192">
                  <c:v>987</c:v>
                </c:pt>
                <c:pt idx="193">
                  <c:v>959</c:v>
                </c:pt>
                <c:pt idx="194">
                  <c:v>1020</c:v>
                </c:pt>
                <c:pt idx="195">
                  <c:v>1018</c:v>
                </c:pt>
                <c:pt idx="196">
                  <c:v>1020</c:v>
                </c:pt>
                <c:pt idx="197">
                  <c:v>1011</c:v>
                </c:pt>
                <c:pt idx="198">
                  <c:v>1007</c:v>
                </c:pt>
                <c:pt idx="199">
                  <c:v>1032</c:v>
                </c:pt>
                <c:pt idx="200">
                  <c:v>980</c:v>
                </c:pt>
                <c:pt idx="201">
                  <c:v>1003</c:v>
                </c:pt>
                <c:pt idx="202">
                  <c:v>1013</c:v>
                </c:pt>
                <c:pt idx="203">
                  <c:v>991</c:v>
                </c:pt>
                <c:pt idx="204">
                  <c:v>939</c:v>
                </c:pt>
                <c:pt idx="205">
                  <c:v>930</c:v>
                </c:pt>
                <c:pt idx="206">
                  <c:v>919</c:v>
                </c:pt>
                <c:pt idx="207">
                  <c:v>895</c:v>
                </c:pt>
                <c:pt idx="208">
                  <c:v>846</c:v>
                </c:pt>
                <c:pt idx="209">
                  <c:v>855</c:v>
                </c:pt>
                <c:pt idx="210">
                  <c:v>869</c:v>
                </c:pt>
                <c:pt idx="211">
                  <c:v>872</c:v>
                </c:pt>
                <c:pt idx="212">
                  <c:v>882</c:v>
                </c:pt>
                <c:pt idx="213">
                  <c:v>872</c:v>
                </c:pt>
                <c:pt idx="214">
                  <c:v>834</c:v>
                </c:pt>
                <c:pt idx="215">
                  <c:v>855</c:v>
                </c:pt>
                <c:pt idx="216">
                  <c:v>866</c:v>
                </c:pt>
                <c:pt idx="217">
                  <c:v>895</c:v>
                </c:pt>
                <c:pt idx="218">
                  <c:v>883</c:v>
                </c:pt>
                <c:pt idx="219">
                  <c:v>892</c:v>
                </c:pt>
                <c:pt idx="220">
                  <c:v>938</c:v>
                </c:pt>
                <c:pt idx="221">
                  <c:v>867</c:v>
                </c:pt>
                <c:pt idx="222">
                  <c:v>847</c:v>
                </c:pt>
                <c:pt idx="223">
                  <c:v>804</c:v>
                </c:pt>
                <c:pt idx="224">
                  <c:v>766</c:v>
                </c:pt>
                <c:pt idx="225">
                  <c:v>773</c:v>
                </c:pt>
                <c:pt idx="226">
                  <c:v>829</c:v>
                </c:pt>
                <c:pt idx="227">
                  <c:v>825</c:v>
                </c:pt>
                <c:pt idx="228">
                  <c:v>838</c:v>
                </c:pt>
                <c:pt idx="229">
                  <c:v>741</c:v>
                </c:pt>
                <c:pt idx="230">
                  <c:v>715</c:v>
                </c:pt>
                <c:pt idx="231">
                  <c:v>736</c:v>
                </c:pt>
                <c:pt idx="232">
                  <c:v>752</c:v>
                </c:pt>
                <c:pt idx="233">
                  <c:v>711</c:v>
                </c:pt>
                <c:pt idx="234">
                  <c:v>677</c:v>
                </c:pt>
                <c:pt idx="235">
                  <c:v>719</c:v>
                </c:pt>
                <c:pt idx="236">
                  <c:v>722</c:v>
                </c:pt>
                <c:pt idx="237">
                  <c:v>791</c:v>
                </c:pt>
                <c:pt idx="238">
                  <c:v>791</c:v>
                </c:pt>
                <c:pt idx="239">
                  <c:v>759</c:v>
                </c:pt>
                <c:pt idx="240">
                  <c:v>708</c:v>
                </c:pt>
                <c:pt idx="241">
                  <c:v>678</c:v>
                </c:pt>
                <c:pt idx="242">
                  <c:v>655</c:v>
                </c:pt>
                <c:pt idx="243">
                  <c:v>689</c:v>
                </c:pt>
                <c:pt idx="244">
                  <c:v>782</c:v>
                </c:pt>
                <c:pt idx="245">
                  <c:v>891</c:v>
                </c:pt>
                <c:pt idx="246">
                  <c:v>873</c:v>
                </c:pt>
                <c:pt idx="247">
                  <c:v>932</c:v>
                </c:pt>
                <c:pt idx="248">
                  <c:v>939</c:v>
                </c:pt>
                <c:pt idx="249">
                  <c:v>936</c:v>
                </c:pt>
                <c:pt idx="250">
                  <c:v>933</c:v>
                </c:pt>
                <c:pt idx="251">
                  <c:v>807</c:v>
                </c:pt>
                <c:pt idx="252">
                  <c:v>813</c:v>
                </c:pt>
                <c:pt idx="253">
                  <c:v>735</c:v>
                </c:pt>
                <c:pt idx="254">
                  <c:v>726</c:v>
                </c:pt>
                <c:pt idx="255">
                  <c:v>687</c:v>
                </c:pt>
                <c:pt idx="256">
                  <c:v>735</c:v>
                </c:pt>
                <c:pt idx="257">
                  <c:v>679</c:v>
                </c:pt>
                <c:pt idx="258">
                  <c:v>707</c:v>
                </c:pt>
                <c:pt idx="259">
                  <c:v>718</c:v>
                </c:pt>
                <c:pt idx="260">
                  <c:v>664</c:v>
                </c:pt>
                <c:pt idx="261">
                  <c:v>664</c:v>
                </c:pt>
                <c:pt idx="262">
                  <c:v>650</c:v>
                </c:pt>
                <c:pt idx="263">
                  <c:v>682</c:v>
                </c:pt>
                <c:pt idx="264">
                  <c:v>661</c:v>
                </c:pt>
                <c:pt idx="265">
                  <c:v>650</c:v>
                </c:pt>
                <c:pt idx="266">
                  <c:v>658</c:v>
                </c:pt>
                <c:pt idx="267">
                  <c:v>641</c:v>
                </c:pt>
                <c:pt idx="268">
                  <c:v>605</c:v>
                </c:pt>
                <c:pt idx="269">
                  <c:v>578</c:v>
                </c:pt>
                <c:pt idx="270">
                  <c:v>596</c:v>
                </c:pt>
                <c:pt idx="271">
                  <c:v>584</c:v>
                </c:pt>
                <c:pt idx="272">
                  <c:v>605</c:v>
                </c:pt>
                <c:pt idx="273">
                  <c:v>613</c:v>
                </c:pt>
                <c:pt idx="274">
                  <c:v>613</c:v>
                </c:pt>
                <c:pt idx="275">
                  <c:v>591</c:v>
                </c:pt>
                <c:pt idx="276">
                  <c:v>610</c:v>
                </c:pt>
                <c:pt idx="277">
                  <c:v>579</c:v>
                </c:pt>
                <c:pt idx="278">
                  <c:v>565</c:v>
                </c:pt>
                <c:pt idx="279">
                  <c:v>568</c:v>
                </c:pt>
                <c:pt idx="280">
                  <c:v>545</c:v>
                </c:pt>
                <c:pt idx="281">
                  <c:v>498</c:v>
                </c:pt>
                <c:pt idx="282">
                  <c:v>488</c:v>
                </c:pt>
                <c:pt idx="283">
                  <c:v>500</c:v>
                </c:pt>
                <c:pt idx="284">
                  <c:v>497</c:v>
                </c:pt>
                <c:pt idx="285">
                  <c:v>497</c:v>
                </c:pt>
                <c:pt idx="286">
                  <c:v>493</c:v>
                </c:pt>
                <c:pt idx="287">
                  <c:v>512</c:v>
                </c:pt>
                <c:pt idx="288">
                  <c:v>507</c:v>
                </c:pt>
                <c:pt idx="289">
                  <c:v>503</c:v>
                </c:pt>
                <c:pt idx="290">
                  <c:v>464</c:v>
                </c:pt>
                <c:pt idx="291">
                  <c:v>463</c:v>
                </c:pt>
                <c:pt idx="292">
                  <c:v>438</c:v>
                </c:pt>
                <c:pt idx="293">
                  <c:v>451</c:v>
                </c:pt>
                <c:pt idx="294">
                  <c:v>474</c:v>
                </c:pt>
                <c:pt idx="295">
                  <c:v>449</c:v>
                </c:pt>
                <c:pt idx="296">
                  <c:v>476</c:v>
                </c:pt>
                <c:pt idx="297">
                  <c:v>516</c:v>
                </c:pt>
                <c:pt idx="298">
                  <c:v>518</c:v>
                </c:pt>
                <c:pt idx="299">
                  <c:v>534</c:v>
                </c:pt>
                <c:pt idx="300">
                  <c:v>560</c:v>
                </c:pt>
                <c:pt idx="301">
                  <c:v>581</c:v>
                </c:pt>
                <c:pt idx="302">
                  <c:v>587</c:v>
                </c:pt>
                <c:pt idx="303">
                  <c:v>618</c:v>
                </c:pt>
                <c:pt idx="304">
                  <c:v>614</c:v>
                </c:pt>
                <c:pt idx="305">
                  <c:v>580</c:v>
                </c:pt>
                <c:pt idx="306">
                  <c:v>593</c:v>
                </c:pt>
                <c:pt idx="307">
                  <c:v>568</c:v>
                </c:pt>
                <c:pt idx="308">
                  <c:v>557</c:v>
                </c:pt>
                <c:pt idx="309">
                  <c:v>562</c:v>
                </c:pt>
                <c:pt idx="310">
                  <c:v>554</c:v>
                </c:pt>
                <c:pt idx="311">
                  <c:v>542</c:v>
                </c:pt>
                <c:pt idx="312">
                  <c:v>503</c:v>
                </c:pt>
                <c:pt idx="313">
                  <c:v>512</c:v>
                </c:pt>
                <c:pt idx="314">
                  <c:v>486</c:v>
                </c:pt>
                <c:pt idx="315">
                  <c:v>496</c:v>
                </c:pt>
                <c:pt idx="316">
                  <c:v>451</c:v>
                </c:pt>
                <c:pt idx="317">
                  <c:v>438</c:v>
                </c:pt>
                <c:pt idx="318">
                  <c:v>412</c:v>
                </c:pt>
                <c:pt idx="319">
                  <c:v>412</c:v>
                </c:pt>
                <c:pt idx="320">
                  <c:v>440</c:v>
                </c:pt>
                <c:pt idx="321">
                  <c:v>473</c:v>
                </c:pt>
                <c:pt idx="322">
                  <c:v>478</c:v>
                </c:pt>
                <c:pt idx="323">
                  <c:v>519</c:v>
                </c:pt>
                <c:pt idx="324">
                  <c:v>584</c:v>
                </c:pt>
                <c:pt idx="325">
                  <c:v>561</c:v>
                </c:pt>
                <c:pt idx="326">
                  <c:v>629</c:v>
                </c:pt>
                <c:pt idx="327">
                  <c:v>591</c:v>
                </c:pt>
                <c:pt idx="328">
                  <c:v>613</c:v>
                </c:pt>
                <c:pt idx="329">
                  <c:v>620</c:v>
                </c:pt>
                <c:pt idx="330">
                  <c:v>621</c:v>
                </c:pt>
                <c:pt idx="331">
                  <c:v>628</c:v>
                </c:pt>
                <c:pt idx="332">
                  <c:v>714</c:v>
                </c:pt>
                <c:pt idx="333">
                  <c:v>765</c:v>
                </c:pt>
                <c:pt idx="334">
                  <c:v>821</c:v>
                </c:pt>
                <c:pt idx="335">
                  <c:v>779</c:v>
                </c:pt>
                <c:pt idx="336">
                  <c:v>754</c:v>
                </c:pt>
                <c:pt idx="337">
                  <c:v>687</c:v>
                </c:pt>
                <c:pt idx="338">
                  <c:v>655</c:v>
                </c:pt>
                <c:pt idx="339">
                  <c:v>654</c:v>
                </c:pt>
                <c:pt idx="340">
                  <c:v>684</c:v>
                </c:pt>
                <c:pt idx="341">
                  <c:v>662</c:v>
                </c:pt>
                <c:pt idx="342">
                  <c:v>691</c:v>
                </c:pt>
                <c:pt idx="343">
                  <c:v>684</c:v>
                </c:pt>
                <c:pt idx="344">
                  <c:v>705</c:v>
                </c:pt>
                <c:pt idx="345">
                  <c:v>724</c:v>
                </c:pt>
                <c:pt idx="346">
                  <c:v>712</c:v>
                </c:pt>
                <c:pt idx="347">
                  <c:v>662</c:v>
                </c:pt>
                <c:pt idx="348">
                  <c:v>660</c:v>
                </c:pt>
                <c:pt idx="349">
                  <c:v>676</c:v>
                </c:pt>
                <c:pt idx="350">
                  <c:v>604</c:v>
                </c:pt>
                <c:pt idx="351">
                  <c:v>610</c:v>
                </c:pt>
                <c:pt idx="352">
                  <c:v>595</c:v>
                </c:pt>
                <c:pt idx="353">
                  <c:v>653</c:v>
                </c:pt>
                <c:pt idx="354">
                  <c:v>648</c:v>
                </c:pt>
                <c:pt idx="355">
                  <c:v>453</c:v>
                </c:pt>
                <c:pt idx="356">
                  <c:v>455</c:v>
                </c:pt>
                <c:pt idx="357">
                  <c:v>467</c:v>
                </c:pt>
                <c:pt idx="358">
                  <c:v>460</c:v>
                </c:pt>
                <c:pt idx="359">
                  <c:v>437</c:v>
                </c:pt>
                <c:pt idx="360">
                  <c:v>386</c:v>
                </c:pt>
                <c:pt idx="361">
                  <c:v>369</c:v>
                </c:pt>
                <c:pt idx="362">
                  <c:v>375</c:v>
                </c:pt>
                <c:pt idx="363">
                  <c:v>358</c:v>
                </c:pt>
                <c:pt idx="364">
                  <c:v>405</c:v>
                </c:pt>
                <c:pt idx="365">
                  <c:v>398</c:v>
                </c:pt>
                <c:pt idx="366">
                  <c:v>413</c:v>
                </c:pt>
                <c:pt idx="367">
                  <c:v>411</c:v>
                </c:pt>
                <c:pt idx="368">
                  <c:v>396</c:v>
                </c:pt>
                <c:pt idx="369">
                  <c:v>400</c:v>
                </c:pt>
                <c:pt idx="370">
                  <c:v>419</c:v>
                </c:pt>
                <c:pt idx="371">
                  <c:v>416</c:v>
                </c:pt>
                <c:pt idx="372">
                  <c:v>379</c:v>
                </c:pt>
                <c:pt idx="373">
                  <c:v>336</c:v>
                </c:pt>
                <c:pt idx="374">
                  <c:v>320</c:v>
                </c:pt>
                <c:pt idx="375">
                  <c:v>288</c:v>
                </c:pt>
                <c:pt idx="376">
                  <c:v>265</c:v>
                </c:pt>
                <c:pt idx="377">
                  <c:v>271</c:v>
                </c:pt>
                <c:pt idx="378">
                  <c:v>286</c:v>
                </c:pt>
                <c:pt idx="379">
                  <c:v>296</c:v>
                </c:pt>
                <c:pt idx="380">
                  <c:v>305</c:v>
                </c:pt>
                <c:pt idx="381">
                  <c:v>304</c:v>
                </c:pt>
                <c:pt idx="382">
                  <c:v>285</c:v>
                </c:pt>
                <c:pt idx="383">
                  <c:v>279</c:v>
                </c:pt>
                <c:pt idx="384">
                  <c:v>278</c:v>
                </c:pt>
                <c:pt idx="385">
                  <c:v>284</c:v>
                </c:pt>
                <c:pt idx="386">
                  <c:v>303</c:v>
                </c:pt>
                <c:pt idx="387">
                  <c:v>295</c:v>
                </c:pt>
                <c:pt idx="388">
                  <c:v>291</c:v>
                </c:pt>
                <c:pt idx="389">
                  <c:v>287</c:v>
                </c:pt>
                <c:pt idx="390">
                  <c:v>279</c:v>
                </c:pt>
                <c:pt idx="391">
                  <c:v>248</c:v>
                </c:pt>
                <c:pt idx="392">
                  <c:v>256</c:v>
                </c:pt>
                <c:pt idx="393">
                  <c:v>255</c:v>
                </c:pt>
                <c:pt idx="394">
                  <c:v>234</c:v>
                </c:pt>
                <c:pt idx="395">
                  <c:v>245</c:v>
                </c:pt>
                <c:pt idx="396">
                  <c:v>261</c:v>
                </c:pt>
                <c:pt idx="397">
                  <c:v>263</c:v>
                </c:pt>
                <c:pt idx="398">
                  <c:v>227</c:v>
                </c:pt>
                <c:pt idx="399">
                  <c:v>251</c:v>
                </c:pt>
                <c:pt idx="400">
                  <c:v>260</c:v>
                </c:pt>
                <c:pt idx="401">
                  <c:v>275</c:v>
                </c:pt>
                <c:pt idx="402">
                  <c:v>269</c:v>
                </c:pt>
                <c:pt idx="403">
                  <c:v>312</c:v>
                </c:pt>
                <c:pt idx="404">
                  <c:v>304</c:v>
                </c:pt>
                <c:pt idx="405">
                  <c:v>335</c:v>
                </c:pt>
                <c:pt idx="406">
                  <c:v>391</c:v>
                </c:pt>
                <c:pt idx="407">
                  <c:v>397</c:v>
                </c:pt>
                <c:pt idx="408">
                  <c:v>377</c:v>
                </c:pt>
                <c:pt idx="409">
                  <c:v>365</c:v>
                </c:pt>
                <c:pt idx="410">
                  <c:v>374</c:v>
                </c:pt>
                <c:pt idx="411">
                  <c:v>383</c:v>
                </c:pt>
                <c:pt idx="412">
                  <c:v>400</c:v>
                </c:pt>
                <c:pt idx="413">
                  <c:v>456</c:v>
                </c:pt>
                <c:pt idx="414">
                  <c:v>506</c:v>
                </c:pt>
                <c:pt idx="415">
                  <c:v>448</c:v>
                </c:pt>
                <c:pt idx="416">
                  <c:v>393</c:v>
                </c:pt>
                <c:pt idx="417">
                  <c:v>397</c:v>
                </c:pt>
                <c:pt idx="418">
                  <c:v>399</c:v>
                </c:pt>
                <c:pt idx="419">
                  <c:v>413</c:v>
                </c:pt>
                <c:pt idx="420">
                  <c:v>463</c:v>
                </c:pt>
                <c:pt idx="421">
                  <c:v>492</c:v>
                </c:pt>
                <c:pt idx="422">
                  <c:v>527</c:v>
                </c:pt>
                <c:pt idx="423">
                  <c:v>548</c:v>
                </c:pt>
                <c:pt idx="424">
                  <c:v>561</c:v>
                </c:pt>
                <c:pt idx="425">
                  <c:v>532</c:v>
                </c:pt>
                <c:pt idx="426">
                  <c:v>518</c:v>
                </c:pt>
                <c:pt idx="427">
                  <c:v>525</c:v>
                </c:pt>
                <c:pt idx="428">
                  <c:v>553</c:v>
                </c:pt>
                <c:pt idx="429">
                  <c:v>543</c:v>
                </c:pt>
                <c:pt idx="430">
                  <c:v>529</c:v>
                </c:pt>
                <c:pt idx="431">
                  <c:v>544</c:v>
                </c:pt>
                <c:pt idx="432">
                  <c:v>538</c:v>
                </c:pt>
                <c:pt idx="433">
                  <c:v>538</c:v>
                </c:pt>
                <c:pt idx="434">
                  <c:v>515</c:v>
                </c:pt>
                <c:pt idx="435">
                  <c:v>519</c:v>
                </c:pt>
                <c:pt idx="436">
                  <c:v>538</c:v>
                </c:pt>
                <c:pt idx="437">
                  <c:v>531</c:v>
                </c:pt>
                <c:pt idx="438">
                  <c:v>539</c:v>
                </c:pt>
                <c:pt idx="439">
                  <c:v>553</c:v>
                </c:pt>
                <c:pt idx="440">
                  <c:v>546</c:v>
                </c:pt>
                <c:pt idx="441">
                  <c:v>535</c:v>
                </c:pt>
                <c:pt idx="442">
                  <c:v>558</c:v>
                </c:pt>
                <c:pt idx="443">
                  <c:v>528</c:v>
                </c:pt>
                <c:pt idx="444">
                  <c:v>509</c:v>
                </c:pt>
                <c:pt idx="445">
                  <c:v>508</c:v>
                </c:pt>
                <c:pt idx="446">
                  <c:v>541</c:v>
                </c:pt>
                <c:pt idx="447">
                  <c:v>542</c:v>
                </c:pt>
                <c:pt idx="448">
                  <c:v>583</c:v>
                </c:pt>
                <c:pt idx="449">
                  <c:v>598</c:v>
                </c:pt>
                <c:pt idx="450">
                  <c:v>616</c:v>
                </c:pt>
                <c:pt idx="451">
                  <c:v>633</c:v>
                </c:pt>
                <c:pt idx="452">
                  <c:v>601</c:v>
                </c:pt>
                <c:pt idx="453">
                  <c:v>588</c:v>
                </c:pt>
                <c:pt idx="454">
                  <c:v>561</c:v>
                </c:pt>
                <c:pt idx="455">
                  <c:v>560</c:v>
                </c:pt>
                <c:pt idx="456">
                  <c:v>548</c:v>
                </c:pt>
                <c:pt idx="457">
                  <c:v>564</c:v>
                </c:pt>
                <c:pt idx="458">
                  <c:v>571</c:v>
                </c:pt>
                <c:pt idx="459">
                  <c:v>565</c:v>
                </c:pt>
                <c:pt idx="460">
                  <c:v>576</c:v>
                </c:pt>
                <c:pt idx="461">
                  <c:v>628</c:v>
                </c:pt>
                <c:pt idx="462">
                  <c:v>634</c:v>
                </c:pt>
                <c:pt idx="463">
                  <c:v>608</c:v>
                </c:pt>
                <c:pt idx="464">
                  <c:v>598</c:v>
                </c:pt>
                <c:pt idx="465">
                  <c:v>591</c:v>
                </c:pt>
                <c:pt idx="466">
                  <c:v>616</c:v>
                </c:pt>
                <c:pt idx="467">
                  <c:v>604</c:v>
                </c:pt>
                <c:pt idx="468">
                  <c:v>608</c:v>
                </c:pt>
                <c:pt idx="469">
                  <c:v>602</c:v>
                </c:pt>
                <c:pt idx="470">
                  <c:v>625</c:v>
                </c:pt>
                <c:pt idx="471">
                  <c:v>635</c:v>
                </c:pt>
                <c:pt idx="472">
                  <c:v>612</c:v>
                </c:pt>
                <c:pt idx="473">
                  <c:v>627</c:v>
                </c:pt>
                <c:pt idx="474">
                  <c:v>639</c:v>
                </c:pt>
                <c:pt idx="475">
                  <c:v>640</c:v>
                </c:pt>
                <c:pt idx="476">
                  <c:v>642</c:v>
                </c:pt>
                <c:pt idx="477">
                  <c:v>636</c:v>
                </c:pt>
                <c:pt idx="478">
                  <c:v>667</c:v>
                </c:pt>
                <c:pt idx="479">
                  <c:v>684</c:v>
                </c:pt>
                <c:pt idx="480">
                  <c:v>663</c:v>
                </c:pt>
                <c:pt idx="481">
                  <c:v>661</c:v>
                </c:pt>
                <c:pt idx="482">
                  <c:v>663</c:v>
                </c:pt>
                <c:pt idx="483">
                  <c:v>707</c:v>
                </c:pt>
                <c:pt idx="484">
                  <c:v>707</c:v>
                </c:pt>
                <c:pt idx="485">
                  <c:v>665</c:v>
                </c:pt>
                <c:pt idx="486">
                  <c:v>665</c:v>
                </c:pt>
                <c:pt idx="487">
                  <c:v>595</c:v>
                </c:pt>
                <c:pt idx="488">
                  <c:v>704</c:v>
                </c:pt>
                <c:pt idx="489">
                  <c:v>699</c:v>
                </c:pt>
                <c:pt idx="490">
                  <c:v>686</c:v>
                </c:pt>
                <c:pt idx="491">
                  <c:v>687</c:v>
                </c:pt>
                <c:pt idx="492">
                  <c:v>719</c:v>
                </c:pt>
                <c:pt idx="493">
                  <c:v>717</c:v>
                </c:pt>
                <c:pt idx="494">
                  <c:v>713</c:v>
                </c:pt>
                <c:pt idx="495">
                  <c:v>666</c:v>
                </c:pt>
                <c:pt idx="496">
                  <c:v>661</c:v>
                </c:pt>
                <c:pt idx="497">
                  <c:v>663</c:v>
                </c:pt>
                <c:pt idx="498">
                  <c:v>643</c:v>
                </c:pt>
                <c:pt idx="499">
                  <c:v>663</c:v>
                </c:pt>
                <c:pt idx="500">
                  <c:v>656</c:v>
                </c:pt>
                <c:pt idx="501">
                  <c:v>645</c:v>
                </c:pt>
                <c:pt idx="502">
                  <c:v>622</c:v>
                </c:pt>
                <c:pt idx="503">
                  <c:v>623</c:v>
                </c:pt>
                <c:pt idx="504">
                  <c:v>606</c:v>
                </c:pt>
                <c:pt idx="505">
                  <c:v>546</c:v>
                </c:pt>
                <c:pt idx="506">
                  <c:v>607</c:v>
                </c:pt>
                <c:pt idx="507">
                  <c:v>562</c:v>
                </c:pt>
                <c:pt idx="508">
                  <c:v>569</c:v>
                </c:pt>
                <c:pt idx="509">
                  <c:v>567</c:v>
                </c:pt>
                <c:pt idx="510">
                  <c:v>582</c:v>
                </c:pt>
                <c:pt idx="511">
                  <c:v>623</c:v>
                </c:pt>
                <c:pt idx="512">
                  <c:v>620</c:v>
                </c:pt>
                <c:pt idx="513">
                  <c:v>622</c:v>
                </c:pt>
                <c:pt idx="514">
                  <c:v>624</c:v>
                </c:pt>
                <c:pt idx="515">
                  <c:v>636</c:v>
                </c:pt>
                <c:pt idx="516">
                  <c:v>649</c:v>
                </c:pt>
                <c:pt idx="517">
                  <c:v>642</c:v>
                </c:pt>
                <c:pt idx="518">
                  <c:v>614</c:v>
                </c:pt>
                <c:pt idx="519">
                  <c:v>619</c:v>
                </c:pt>
                <c:pt idx="520">
                  <c:v>621</c:v>
                </c:pt>
                <c:pt idx="521">
                  <c:v>576</c:v>
                </c:pt>
                <c:pt idx="522">
                  <c:v>585</c:v>
                </c:pt>
                <c:pt idx="523">
                  <c:v>567</c:v>
                </c:pt>
                <c:pt idx="524">
                  <c:v>533</c:v>
                </c:pt>
                <c:pt idx="525">
                  <c:v>535</c:v>
                </c:pt>
                <c:pt idx="526">
                  <c:v>537</c:v>
                </c:pt>
                <c:pt idx="527">
                  <c:v>535</c:v>
                </c:pt>
                <c:pt idx="528">
                  <c:v>544</c:v>
                </c:pt>
                <c:pt idx="529">
                  <c:v>532</c:v>
                </c:pt>
                <c:pt idx="530">
                  <c:v>541</c:v>
                </c:pt>
                <c:pt idx="531">
                  <c:v>548</c:v>
                </c:pt>
                <c:pt idx="532">
                  <c:v>547</c:v>
                </c:pt>
                <c:pt idx="533">
                  <c:v>536</c:v>
                </c:pt>
                <c:pt idx="534">
                  <c:v>594</c:v>
                </c:pt>
                <c:pt idx="535">
                  <c:v>536</c:v>
                </c:pt>
                <c:pt idx="536">
                  <c:v>529</c:v>
                </c:pt>
                <c:pt idx="537">
                  <c:v>534</c:v>
                </c:pt>
                <c:pt idx="538">
                  <c:v>538</c:v>
                </c:pt>
                <c:pt idx="539">
                  <c:v>543</c:v>
                </c:pt>
                <c:pt idx="540">
                  <c:v>583</c:v>
                </c:pt>
                <c:pt idx="541">
                  <c:v>602</c:v>
                </c:pt>
                <c:pt idx="542">
                  <c:v>648</c:v>
                </c:pt>
                <c:pt idx="543">
                  <c:v>702</c:v>
                </c:pt>
                <c:pt idx="544">
                  <c:v>695</c:v>
                </c:pt>
                <c:pt idx="545">
                  <c:v>688</c:v>
                </c:pt>
                <c:pt idx="546">
                  <c:v>682</c:v>
                </c:pt>
                <c:pt idx="547">
                  <c:v>668</c:v>
                </c:pt>
                <c:pt idx="548">
                  <c:v>686</c:v>
                </c:pt>
                <c:pt idx="549">
                  <c:v>705</c:v>
                </c:pt>
                <c:pt idx="550">
                  <c:v>694</c:v>
                </c:pt>
                <c:pt idx="551">
                  <c:v>688</c:v>
                </c:pt>
                <c:pt idx="552">
                  <c:v>687</c:v>
                </c:pt>
                <c:pt idx="553">
                  <c:v>688</c:v>
                </c:pt>
                <c:pt idx="554">
                  <c:v>694</c:v>
                </c:pt>
                <c:pt idx="555">
                  <c:v>704</c:v>
                </c:pt>
                <c:pt idx="556">
                  <c:v>686</c:v>
                </c:pt>
                <c:pt idx="557">
                  <c:v>705</c:v>
                </c:pt>
                <c:pt idx="558">
                  <c:v>713</c:v>
                </c:pt>
                <c:pt idx="559">
                  <c:v>749</c:v>
                </c:pt>
                <c:pt idx="560">
                  <c:v>784</c:v>
                </c:pt>
                <c:pt idx="561">
                  <c:v>817</c:v>
                </c:pt>
                <c:pt idx="562">
                  <c:v>748</c:v>
                </c:pt>
                <c:pt idx="563">
                  <c:v>704</c:v>
                </c:pt>
                <c:pt idx="564">
                  <c:v>715</c:v>
                </c:pt>
                <c:pt idx="565">
                  <c:v>695</c:v>
                </c:pt>
                <c:pt idx="566">
                  <c:v>721</c:v>
                </c:pt>
                <c:pt idx="567">
                  <c:v>736</c:v>
                </c:pt>
                <c:pt idx="568">
                  <c:v>684</c:v>
                </c:pt>
                <c:pt idx="569">
                  <c:v>657</c:v>
                </c:pt>
                <c:pt idx="570">
                  <c:v>659</c:v>
                </c:pt>
                <c:pt idx="571">
                  <c:v>664</c:v>
                </c:pt>
                <c:pt idx="572">
                  <c:v>704</c:v>
                </c:pt>
                <c:pt idx="573">
                  <c:v>715</c:v>
                </c:pt>
                <c:pt idx="574">
                  <c:v>794</c:v>
                </c:pt>
                <c:pt idx="575">
                  <c:v>734</c:v>
                </c:pt>
                <c:pt idx="576">
                  <c:v>660</c:v>
                </c:pt>
                <c:pt idx="577">
                  <c:v>621</c:v>
                </c:pt>
                <c:pt idx="578">
                  <c:v>622</c:v>
                </c:pt>
                <c:pt idx="579">
                  <c:v>536</c:v>
                </c:pt>
                <c:pt idx="580">
                  <c:v>528</c:v>
                </c:pt>
                <c:pt idx="581">
                  <c:v>550</c:v>
                </c:pt>
                <c:pt idx="582">
                  <c:v>523</c:v>
                </c:pt>
                <c:pt idx="583">
                  <c:v>516</c:v>
                </c:pt>
                <c:pt idx="584">
                  <c:v>537</c:v>
                </c:pt>
                <c:pt idx="585">
                  <c:v>563</c:v>
                </c:pt>
                <c:pt idx="586">
                  <c:v>579</c:v>
                </c:pt>
                <c:pt idx="587">
                  <c:v>510</c:v>
                </c:pt>
                <c:pt idx="588">
                  <c:v>498</c:v>
                </c:pt>
                <c:pt idx="589">
                  <c:v>500</c:v>
                </c:pt>
                <c:pt idx="590">
                  <c:v>496</c:v>
                </c:pt>
                <c:pt idx="591">
                  <c:v>494</c:v>
                </c:pt>
                <c:pt idx="592">
                  <c:v>495</c:v>
                </c:pt>
                <c:pt idx="593">
                  <c:v>489</c:v>
                </c:pt>
                <c:pt idx="594">
                  <c:v>473</c:v>
                </c:pt>
                <c:pt idx="595">
                  <c:v>441</c:v>
                </c:pt>
                <c:pt idx="596">
                  <c:v>372</c:v>
                </c:pt>
                <c:pt idx="597">
                  <c:v>373</c:v>
                </c:pt>
                <c:pt idx="598">
                  <c:v>377</c:v>
                </c:pt>
                <c:pt idx="599">
                  <c:v>380</c:v>
                </c:pt>
                <c:pt idx="600">
                  <c:v>400</c:v>
                </c:pt>
                <c:pt idx="601">
                  <c:v>548</c:v>
                </c:pt>
                <c:pt idx="602">
                  <c:v>416</c:v>
                </c:pt>
                <c:pt idx="603">
                  <c:v>421</c:v>
                </c:pt>
                <c:pt idx="604">
                  <c:v>393</c:v>
                </c:pt>
                <c:pt idx="605">
                  <c:v>386</c:v>
                </c:pt>
                <c:pt idx="606">
                  <c:v>345</c:v>
                </c:pt>
                <c:pt idx="607">
                  <c:v>342</c:v>
                </c:pt>
                <c:pt idx="608">
                  <c:v>326</c:v>
                </c:pt>
                <c:pt idx="609">
                  <c:v>316</c:v>
                </c:pt>
                <c:pt idx="610">
                  <c:v>326</c:v>
                </c:pt>
                <c:pt idx="611">
                  <c:v>329</c:v>
                </c:pt>
                <c:pt idx="612">
                  <c:v>349</c:v>
                </c:pt>
                <c:pt idx="613">
                  <c:v>365</c:v>
                </c:pt>
                <c:pt idx="614">
                  <c:v>371</c:v>
                </c:pt>
                <c:pt idx="615">
                  <c:v>387</c:v>
                </c:pt>
                <c:pt idx="616">
                  <c:v>534</c:v>
                </c:pt>
                <c:pt idx="617">
                  <c:v>533</c:v>
                </c:pt>
                <c:pt idx="618">
                  <c:v>532</c:v>
                </c:pt>
                <c:pt idx="619">
                  <c:v>521</c:v>
                </c:pt>
                <c:pt idx="620">
                  <c:v>528</c:v>
                </c:pt>
                <c:pt idx="621">
                  <c:v>549</c:v>
                </c:pt>
                <c:pt idx="622">
                  <c:v>533</c:v>
                </c:pt>
                <c:pt idx="623">
                  <c:v>499</c:v>
                </c:pt>
                <c:pt idx="624">
                  <c:v>461</c:v>
                </c:pt>
                <c:pt idx="625">
                  <c:v>427</c:v>
                </c:pt>
                <c:pt idx="626">
                  <c:v>448</c:v>
                </c:pt>
                <c:pt idx="627">
                  <c:v>451</c:v>
                </c:pt>
                <c:pt idx="628">
                  <c:v>453</c:v>
                </c:pt>
                <c:pt idx="629">
                  <c:v>478</c:v>
                </c:pt>
                <c:pt idx="630">
                  <c:v>493</c:v>
                </c:pt>
                <c:pt idx="631">
                  <c:v>476</c:v>
                </c:pt>
                <c:pt idx="632">
                  <c:v>466</c:v>
                </c:pt>
                <c:pt idx="633">
                  <c:v>446</c:v>
                </c:pt>
                <c:pt idx="634">
                  <c:v>432</c:v>
                </c:pt>
                <c:pt idx="635">
                  <c:v>421</c:v>
                </c:pt>
                <c:pt idx="636">
                  <c:v>430</c:v>
                </c:pt>
                <c:pt idx="637">
                  <c:v>433</c:v>
                </c:pt>
                <c:pt idx="638">
                  <c:v>436</c:v>
                </c:pt>
                <c:pt idx="639">
                  <c:v>433</c:v>
                </c:pt>
                <c:pt idx="640">
                  <c:v>432</c:v>
                </c:pt>
                <c:pt idx="641">
                  <c:v>434</c:v>
                </c:pt>
                <c:pt idx="642">
                  <c:v>421</c:v>
                </c:pt>
                <c:pt idx="643">
                  <c:v>427</c:v>
                </c:pt>
                <c:pt idx="644">
                  <c:v>425</c:v>
                </c:pt>
                <c:pt idx="645">
                  <c:v>418</c:v>
                </c:pt>
                <c:pt idx="646">
                  <c:v>409</c:v>
                </c:pt>
                <c:pt idx="647">
                  <c:v>393</c:v>
                </c:pt>
                <c:pt idx="648">
                  <c:v>379</c:v>
                </c:pt>
                <c:pt idx="649">
                  <c:v>355</c:v>
                </c:pt>
                <c:pt idx="650">
                  <c:v>358</c:v>
                </c:pt>
                <c:pt idx="651">
                  <c:v>356</c:v>
                </c:pt>
                <c:pt idx="652">
                  <c:v>330</c:v>
                </c:pt>
                <c:pt idx="653">
                  <c:v>378</c:v>
                </c:pt>
                <c:pt idx="654">
                  <c:v>360</c:v>
                </c:pt>
                <c:pt idx="655">
                  <c:v>347</c:v>
                </c:pt>
                <c:pt idx="656">
                  <c:v>364</c:v>
                </c:pt>
                <c:pt idx="657">
                  <c:v>379</c:v>
                </c:pt>
                <c:pt idx="658">
                  <c:v>426</c:v>
                </c:pt>
                <c:pt idx="659">
                  <c:v>442</c:v>
                </c:pt>
                <c:pt idx="660">
                  <c:v>413</c:v>
                </c:pt>
                <c:pt idx="661">
                  <c:v>424</c:v>
                </c:pt>
                <c:pt idx="662">
                  <c:v>431</c:v>
                </c:pt>
                <c:pt idx="663">
                  <c:v>441</c:v>
                </c:pt>
                <c:pt idx="664">
                  <c:v>413</c:v>
                </c:pt>
                <c:pt idx="665">
                  <c:v>405</c:v>
                </c:pt>
                <c:pt idx="666">
                  <c:v>401</c:v>
                </c:pt>
                <c:pt idx="667">
                  <c:v>383</c:v>
                </c:pt>
                <c:pt idx="668">
                  <c:v>388</c:v>
                </c:pt>
                <c:pt idx="669">
                  <c:v>397</c:v>
                </c:pt>
                <c:pt idx="670">
                  <c:v>373</c:v>
                </c:pt>
                <c:pt idx="671">
                  <c:v>345</c:v>
                </c:pt>
                <c:pt idx="672">
                  <c:v>337</c:v>
                </c:pt>
                <c:pt idx="673">
                  <c:v>345</c:v>
                </c:pt>
                <c:pt idx="674">
                  <c:v>336</c:v>
                </c:pt>
                <c:pt idx="675">
                  <c:v>342</c:v>
                </c:pt>
                <c:pt idx="676">
                  <c:v>353</c:v>
                </c:pt>
                <c:pt idx="677">
                  <c:v>358</c:v>
                </c:pt>
                <c:pt idx="678">
                  <c:v>381</c:v>
                </c:pt>
                <c:pt idx="679">
                  <c:v>391</c:v>
                </c:pt>
                <c:pt idx="680">
                  <c:v>383</c:v>
                </c:pt>
                <c:pt idx="681">
                  <c:v>414</c:v>
                </c:pt>
                <c:pt idx="682">
                  <c:v>416</c:v>
                </c:pt>
                <c:pt idx="683">
                  <c:v>412</c:v>
                </c:pt>
                <c:pt idx="684">
                  <c:v>436</c:v>
                </c:pt>
                <c:pt idx="685">
                  <c:v>452</c:v>
                </c:pt>
                <c:pt idx="686">
                  <c:v>450</c:v>
                </c:pt>
                <c:pt idx="687">
                  <c:v>428</c:v>
                </c:pt>
                <c:pt idx="688">
                  <c:v>393</c:v>
                </c:pt>
                <c:pt idx="689">
                  <c:v>391</c:v>
                </c:pt>
                <c:pt idx="690">
                  <c:v>360</c:v>
                </c:pt>
                <c:pt idx="691">
                  <c:v>351</c:v>
                </c:pt>
                <c:pt idx="692">
                  <c:v>334</c:v>
                </c:pt>
                <c:pt idx="693">
                  <c:v>293</c:v>
                </c:pt>
                <c:pt idx="694">
                  <c:v>297</c:v>
                </c:pt>
                <c:pt idx="695">
                  <c:v>331</c:v>
                </c:pt>
                <c:pt idx="696">
                  <c:v>338</c:v>
                </c:pt>
                <c:pt idx="697">
                  <c:v>334</c:v>
                </c:pt>
                <c:pt idx="698">
                  <c:v>336</c:v>
                </c:pt>
                <c:pt idx="699">
                  <c:v>317</c:v>
                </c:pt>
                <c:pt idx="700">
                  <c:v>295</c:v>
                </c:pt>
                <c:pt idx="701">
                  <c:v>322</c:v>
                </c:pt>
                <c:pt idx="702">
                  <c:v>335</c:v>
                </c:pt>
                <c:pt idx="703">
                  <c:v>327</c:v>
                </c:pt>
                <c:pt idx="704">
                  <c:v>334</c:v>
                </c:pt>
                <c:pt idx="705">
                  <c:v>320</c:v>
                </c:pt>
                <c:pt idx="706">
                  <c:v>324</c:v>
                </c:pt>
                <c:pt idx="707">
                  <c:v>297</c:v>
                </c:pt>
                <c:pt idx="708">
                  <c:v>300</c:v>
                </c:pt>
                <c:pt idx="709">
                  <c:v>281</c:v>
                </c:pt>
                <c:pt idx="710">
                  <c:v>282</c:v>
                </c:pt>
                <c:pt idx="711">
                  <c:v>273</c:v>
                </c:pt>
                <c:pt idx="712">
                  <c:v>278</c:v>
                </c:pt>
                <c:pt idx="713">
                  <c:v>264</c:v>
                </c:pt>
                <c:pt idx="714">
                  <c:v>261</c:v>
                </c:pt>
                <c:pt idx="715">
                  <c:v>242</c:v>
                </c:pt>
                <c:pt idx="716">
                  <c:v>242</c:v>
                </c:pt>
                <c:pt idx="717">
                  <c:v>243</c:v>
                </c:pt>
                <c:pt idx="718">
                  <c:v>255</c:v>
                </c:pt>
                <c:pt idx="719">
                  <c:v>241</c:v>
                </c:pt>
                <c:pt idx="720">
                  <c:v>211</c:v>
                </c:pt>
                <c:pt idx="721">
                  <c:v>204</c:v>
                </c:pt>
                <c:pt idx="722">
                  <c:v>236</c:v>
                </c:pt>
                <c:pt idx="723">
                  <c:v>238</c:v>
                </c:pt>
                <c:pt idx="724">
                  <c:v>236</c:v>
                </c:pt>
                <c:pt idx="725">
                  <c:v>237</c:v>
                </c:pt>
                <c:pt idx="726">
                  <c:v>238</c:v>
                </c:pt>
                <c:pt idx="727">
                  <c:v>236</c:v>
                </c:pt>
                <c:pt idx="728">
                  <c:v>244</c:v>
                </c:pt>
                <c:pt idx="729">
                  <c:v>235</c:v>
                </c:pt>
                <c:pt idx="730">
                  <c:v>248</c:v>
                </c:pt>
                <c:pt idx="731">
                  <c:v>253</c:v>
                </c:pt>
                <c:pt idx="732">
                  <c:v>241</c:v>
                </c:pt>
                <c:pt idx="733">
                  <c:v>241</c:v>
                </c:pt>
                <c:pt idx="734">
                  <c:v>249</c:v>
                </c:pt>
                <c:pt idx="735">
                  <c:v>259</c:v>
                </c:pt>
                <c:pt idx="736">
                  <c:v>249</c:v>
                </c:pt>
                <c:pt idx="737">
                  <c:v>246</c:v>
                </c:pt>
                <c:pt idx="738">
                  <c:v>254</c:v>
                </c:pt>
                <c:pt idx="739">
                  <c:v>253</c:v>
                </c:pt>
                <c:pt idx="740">
                  <c:v>257</c:v>
                </c:pt>
                <c:pt idx="741">
                  <c:v>235</c:v>
                </c:pt>
                <c:pt idx="742">
                  <c:v>231</c:v>
                </c:pt>
                <c:pt idx="743">
                  <c:v>242</c:v>
                </c:pt>
                <c:pt idx="744">
                  <c:v>241</c:v>
                </c:pt>
                <c:pt idx="745">
                  <c:v>243</c:v>
                </c:pt>
                <c:pt idx="746">
                  <c:v>250</c:v>
                </c:pt>
                <c:pt idx="747">
                  <c:v>250</c:v>
                </c:pt>
                <c:pt idx="748">
                  <c:v>263</c:v>
                </c:pt>
                <c:pt idx="749">
                  <c:v>280</c:v>
                </c:pt>
                <c:pt idx="750">
                  <c:v>285</c:v>
                </c:pt>
                <c:pt idx="751">
                  <c:v>280</c:v>
                </c:pt>
                <c:pt idx="752">
                  <c:v>265</c:v>
                </c:pt>
                <c:pt idx="753">
                  <c:v>243</c:v>
                </c:pt>
                <c:pt idx="754">
                  <c:v>244</c:v>
                </c:pt>
                <c:pt idx="755">
                  <c:v>260</c:v>
                </c:pt>
                <c:pt idx="756">
                  <c:v>220</c:v>
                </c:pt>
                <c:pt idx="757">
                  <c:v>238</c:v>
                </c:pt>
                <c:pt idx="758">
                  <c:v>233</c:v>
                </c:pt>
                <c:pt idx="759">
                  <c:v>241</c:v>
                </c:pt>
                <c:pt idx="760">
                  <c:v>239</c:v>
                </c:pt>
                <c:pt idx="761">
                  <c:v>233</c:v>
                </c:pt>
                <c:pt idx="762">
                  <c:v>235</c:v>
                </c:pt>
                <c:pt idx="763">
                  <c:v>235</c:v>
                </c:pt>
                <c:pt idx="764">
                  <c:v>242</c:v>
                </c:pt>
                <c:pt idx="765">
                  <c:v>243</c:v>
                </c:pt>
                <c:pt idx="766">
                  <c:v>244</c:v>
                </c:pt>
                <c:pt idx="767">
                  <c:v>230</c:v>
                </c:pt>
                <c:pt idx="768">
                  <c:v>243</c:v>
                </c:pt>
                <c:pt idx="769">
                  <c:v>228</c:v>
                </c:pt>
                <c:pt idx="770">
                  <c:v>226</c:v>
                </c:pt>
                <c:pt idx="771">
                  <c:v>218</c:v>
                </c:pt>
                <c:pt idx="772">
                  <c:v>198</c:v>
                </c:pt>
                <c:pt idx="773">
                  <c:v>203</c:v>
                </c:pt>
                <c:pt idx="774">
                  <c:v>208</c:v>
                </c:pt>
                <c:pt idx="775">
                  <c:v>208</c:v>
                </c:pt>
                <c:pt idx="776">
                  <c:v>227</c:v>
                </c:pt>
                <c:pt idx="777">
                  <c:v>219</c:v>
                </c:pt>
                <c:pt idx="778">
                  <c:v>212</c:v>
                </c:pt>
                <c:pt idx="779">
                  <c:v>217</c:v>
                </c:pt>
                <c:pt idx="780">
                  <c:v>187</c:v>
                </c:pt>
                <c:pt idx="781">
                  <c:v>185</c:v>
                </c:pt>
                <c:pt idx="782">
                  <c:v>196</c:v>
                </c:pt>
                <c:pt idx="783">
                  <c:v>189</c:v>
                </c:pt>
                <c:pt idx="784">
                  <c:v>192</c:v>
                </c:pt>
                <c:pt idx="785">
                  <c:v>205</c:v>
                </c:pt>
                <c:pt idx="786">
                  <c:v>208</c:v>
                </c:pt>
                <c:pt idx="787">
                  <c:v>202</c:v>
                </c:pt>
                <c:pt idx="788">
                  <c:v>198</c:v>
                </c:pt>
                <c:pt idx="789">
                  <c:v>199</c:v>
                </c:pt>
                <c:pt idx="790">
                  <c:v>192</c:v>
                </c:pt>
                <c:pt idx="791">
                  <c:v>197</c:v>
                </c:pt>
                <c:pt idx="792">
                  <c:v>205</c:v>
                </c:pt>
                <c:pt idx="793">
                  <c:v>211</c:v>
                </c:pt>
                <c:pt idx="794">
                  <c:v>215</c:v>
                </c:pt>
                <c:pt idx="795">
                  <c:v>218</c:v>
                </c:pt>
                <c:pt idx="796">
                  <c:v>209</c:v>
                </c:pt>
                <c:pt idx="797">
                  <c:v>206</c:v>
                </c:pt>
                <c:pt idx="798">
                  <c:v>204</c:v>
                </c:pt>
                <c:pt idx="799">
                  <c:v>217</c:v>
                </c:pt>
                <c:pt idx="800">
                  <c:v>207</c:v>
                </c:pt>
                <c:pt idx="801">
                  <c:v>198</c:v>
                </c:pt>
                <c:pt idx="802">
                  <c:v>204</c:v>
                </c:pt>
                <c:pt idx="803">
                  <c:v>196</c:v>
                </c:pt>
                <c:pt idx="804">
                  <c:v>198</c:v>
                </c:pt>
                <c:pt idx="805">
                  <c:v>207</c:v>
                </c:pt>
                <c:pt idx="806">
                  <c:v>47</c:v>
                </c:pt>
                <c:pt idx="807">
                  <c:v>52</c:v>
                </c:pt>
                <c:pt idx="808">
                  <c:v>51</c:v>
                </c:pt>
                <c:pt idx="809">
                  <c:v>190</c:v>
                </c:pt>
                <c:pt idx="810">
                  <c:v>191</c:v>
                </c:pt>
                <c:pt idx="811">
                  <c:v>180</c:v>
                </c:pt>
                <c:pt idx="812">
                  <c:v>187</c:v>
                </c:pt>
                <c:pt idx="813">
                  <c:v>184</c:v>
                </c:pt>
                <c:pt idx="814">
                  <c:v>187</c:v>
                </c:pt>
                <c:pt idx="815">
                  <c:v>201</c:v>
                </c:pt>
                <c:pt idx="816">
                  <c:v>193</c:v>
                </c:pt>
                <c:pt idx="817">
                  <c:v>188</c:v>
                </c:pt>
                <c:pt idx="818">
                  <c:v>190</c:v>
                </c:pt>
                <c:pt idx="819">
                  <c:v>196</c:v>
                </c:pt>
                <c:pt idx="820">
                  <c:v>201</c:v>
                </c:pt>
                <c:pt idx="821">
                  <c:v>189</c:v>
                </c:pt>
                <c:pt idx="822">
                  <c:v>196</c:v>
                </c:pt>
                <c:pt idx="823">
                  <c:v>196</c:v>
                </c:pt>
                <c:pt idx="824">
                  <c:v>186</c:v>
                </c:pt>
                <c:pt idx="825">
                  <c:v>177</c:v>
                </c:pt>
                <c:pt idx="826">
                  <c:v>177</c:v>
                </c:pt>
                <c:pt idx="827">
                  <c:v>177</c:v>
                </c:pt>
                <c:pt idx="828">
                  <c:v>191</c:v>
                </c:pt>
                <c:pt idx="829">
                  <c:v>193</c:v>
                </c:pt>
                <c:pt idx="830">
                  <c:v>186</c:v>
                </c:pt>
                <c:pt idx="831">
                  <c:v>177</c:v>
                </c:pt>
                <c:pt idx="832">
                  <c:v>164</c:v>
                </c:pt>
                <c:pt idx="833">
                  <c:v>159</c:v>
                </c:pt>
                <c:pt idx="834">
                  <c:v>160</c:v>
                </c:pt>
                <c:pt idx="835">
                  <c:v>160</c:v>
                </c:pt>
                <c:pt idx="836">
                  <c:v>167</c:v>
                </c:pt>
                <c:pt idx="837">
                  <c:v>148</c:v>
                </c:pt>
                <c:pt idx="838">
                  <c:v>152</c:v>
                </c:pt>
                <c:pt idx="839">
                  <c:v>149</c:v>
                </c:pt>
                <c:pt idx="840">
                  <c:v>143</c:v>
                </c:pt>
                <c:pt idx="841">
                  <c:v>147</c:v>
                </c:pt>
                <c:pt idx="842">
                  <c:v>133</c:v>
                </c:pt>
                <c:pt idx="843">
                  <c:v>127</c:v>
                </c:pt>
                <c:pt idx="844">
                  <c:v>127</c:v>
                </c:pt>
                <c:pt idx="845">
                  <c:v>114</c:v>
                </c:pt>
                <c:pt idx="846">
                  <c:v>114</c:v>
                </c:pt>
                <c:pt idx="847">
                  <c:v>112</c:v>
                </c:pt>
                <c:pt idx="848">
                  <c:v>122</c:v>
                </c:pt>
                <c:pt idx="849">
                  <c:v>127</c:v>
                </c:pt>
                <c:pt idx="850">
                  <c:v>136</c:v>
                </c:pt>
                <c:pt idx="851">
                  <c:v>125</c:v>
                </c:pt>
                <c:pt idx="852">
                  <c:v>120</c:v>
                </c:pt>
                <c:pt idx="853">
                  <c:v>106</c:v>
                </c:pt>
                <c:pt idx="854">
                  <c:v>99</c:v>
                </c:pt>
                <c:pt idx="855">
                  <c:v>103</c:v>
                </c:pt>
                <c:pt idx="856">
                  <c:v>112</c:v>
                </c:pt>
                <c:pt idx="857">
                  <c:v>107</c:v>
                </c:pt>
                <c:pt idx="858">
                  <c:v>118</c:v>
                </c:pt>
                <c:pt idx="859">
                  <c:v>113</c:v>
                </c:pt>
                <c:pt idx="860">
                  <c:v>112</c:v>
                </c:pt>
                <c:pt idx="861">
                  <c:v>117</c:v>
                </c:pt>
                <c:pt idx="862">
                  <c:v>115</c:v>
                </c:pt>
                <c:pt idx="863">
                  <c:v>121</c:v>
                </c:pt>
                <c:pt idx="864">
                  <c:v>126</c:v>
                </c:pt>
                <c:pt idx="865">
                  <c:v>136</c:v>
                </c:pt>
                <c:pt idx="866">
                  <c:v>136</c:v>
                </c:pt>
                <c:pt idx="867">
                  <c:v>146</c:v>
                </c:pt>
                <c:pt idx="868">
                  <c:v>130</c:v>
                </c:pt>
                <c:pt idx="869">
                  <c:v>135</c:v>
                </c:pt>
                <c:pt idx="870">
                  <c:v>139</c:v>
                </c:pt>
                <c:pt idx="871">
                  <c:v>149</c:v>
                </c:pt>
                <c:pt idx="872">
                  <c:v>123</c:v>
                </c:pt>
                <c:pt idx="873">
                  <c:v>-15</c:v>
                </c:pt>
                <c:pt idx="874">
                  <c:v>136</c:v>
                </c:pt>
                <c:pt idx="875">
                  <c:v>143</c:v>
                </c:pt>
                <c:pt idx="876">
                  <c:v>148</c:v>
                </c:pt>
                <c:pt idx="877">
                  <c:v>161</c:v>
                </c:pt>
                <c:pt idx="878">
                  <c:v>156</c:v>
                </c:pt>
                <c:pt idx="879">
                  <c:v>161</c:v>
                </c:pt>
                <c:pt idx="880">
                  <c:v>163</c:v>
                </c:pt>
                <c:pt idx="881">
                  <c:v>167</c:v>
                </c:pt>
                <c:pt idx="882">
                  <c:v>169</c:v>
                </c:pt>
                <c:pt idx="883">
                  <c:v>164</c:v>
                </c:pt>
                <c:pt idx="884">
                  <c:v>177</c:v>
                </c:pt>
                <c:pt idx="885">
                  <c:v>169</c:v>
                </c:pt>
                <c:pt idx="886">
                  <c:v>168</c:v>
                </c:pt>
                <c:pt idx="887">
                  <c:v>151</c:v>
                </c:pt>
                <c:pt idx="888">
                  <c:v>142</c:v>
                </c:pt>
                <c:pt idx="889">
                  <c:v>136</c:v>
                </c:pt>
                <c:pt idx="890">
                  <c:v>149</c:v>
                </c:pt>
                <c:pt idx="891">
                  <c:v>153</c:v>
                </c:pt>
                <c:pt idx="892">
                  <c:v>150</c:v>
                </c:pt>
                <c:pt idx="893">
                  <c:v>159</c:v>
                </c:pt>
                <c:pt idx="894">
                  <c:v>150</c:v>
                </c:pt>
                <c:pt idx="895">
                  <c:v>139</c:v>
                </c:pt>
                <c:pt idx="896">
                  <c:v>125</c:v>
                </c:pt>
                <c:pt idx="897">
                  <c:v>124</c:v>
                </c:pt>
                <c:pt idx="898">
                  <c:v>119</c:v>
                </c:pt>
                <c:pt idx="899">
                  <c:v>122</c:v>
                </c:pt>
                <c:pt idx="900">
                  <c:v>109</c:v>
                </c:pt>
                <c:pt idx="901">
                  <c:v>117</c:v>
                </c:pt>
                <c:pt idx="902">
                  <c:v>119</c:v>
                </c:pt>
                <c:pt idx="903">
                  <c:v>131</c:v>
                </c:pt>
                <c:pt idx="904">
                  <c:v>131</c:v>
                </c:pt>
                <c:pt idx="905">
                  <c:v>137</c:v>
                </c:pt>
                <c:pt idx="906">
                  <c:v>137</c:v>
                </c:pt>
                <c:pt idx="907">
                  <c:v>133</c:v>
                </c:pt>
                <c:pt idx="908">
                  <c:v>129</c:v>
                </c:pt>
                <c:pt idx="909">
                  <c:v>134</c:v>
                </c:pt>
                <c:pt idx="910">
                  <c:v>132</c:v>
                </c:pt>
                <c:pt idx="911">
                  <c:v>121</c:v>
                </c:pt>
                <c:pt idx="912">
                  <c:v>121</c:v>
                </c:pt>
                <c:pt idx="913">
                  <c:v>118</c:v>
                </c:pt>
                <c:pt idx="914">
                  <c:v>119</c:v>
                </c:pt>
                <c:pt idx="915">
                  <c:v>128</c:v>
                </c:pt>
                <c:pt idx="916">
                  <c:v>127</c:v>
                </c:pt>
                <c:pt idx="917">
                  <c:v>124</c:v>
                </c:pt>
                <c:pt idx="918">
                  <c:v>109</c:v>
                </c:pt>
                <c:pt idx="919">
                  <c:v>128</c:v>
                </c:pt>
                <c:pt idx="920">
                  <c:v>132</c:v>
                </c:pt>
                <c:pt idx="921">
                  <c:v>144</c:v>
                </c:pt>
                <c:pt idx="922">
                  <c:v>144</c:v>
                </c:pt>
                <c:pt idx="923">
                  <c:v>145</c:v>
                </c:pt>
                <c:pt idx="924">
                  <c:v>175</c:v>
                </c:pt>
                <c:pt idx="925">
                  <c:v>181</c:v>
                </c:pt>
                <c:pt idx="926">
                  <c:v>186</c:v>
                </c:pt>
                <c:pt idx="927">
                  <c:v>185</c:v>
                </c:pt>
                <c:pt idx="928">
                  <c:v>191</c:v>
                </c:pt>
                <c:pt idx="929">
                  <c:v>195</c:v>
                </c:pt>
                <c:pt idx="930">
                  <c:v>205</c:v>
                </c:pt>
                <c:pt idx="931">
                  <c:v>178</c:v>
                </c:pt>
                <c:pt idx="932">
                  <c:v>169</c:v>
                </c:pt>
                <c:pt idx="933">
                  <c:v>165</c:v>
                </c:pt>
                <c:pt idx="934">
                  <c:v>161</c:v>
                </c:pt>
                <c:pt idx="935">
                  <c:v>132</c:v>
                </c:pt>
                <c:pt idx="936">
                  <c:v>139</c:v>
                </c:pt>
                <c:pt idx="937">
                  <c:v>135</c:v>
                </c:pt>
                <c:pt idx="938">
                  <c:v>136</c:v>
                </c:pt>
                <c:pt idx="939">
                  <c:v>131</c:v>
                </c:pt>
                <c:pt idx="940">
                  <c:v>130</c:v>
                </c:pt>
                <c:pt idx="941">
                  <c:v>130</c:v>
                </c:pt>
                <c:pt idx="942">
                  <c:v>128</c:v>
                </c:pt>
                <c:pt idx="943">
                  <c:v>132</c:v>
                </c:pt>
                <c:pt idx="944">
                  <c:v>130</c:v>
                </c:pt>
                <c:pt idx="945">
                  <c:v>134</c:v>
                </c:pt>
                <c:pt idx="946">
                  <c:v>132</c:v>
                </c:pt>
                <c:pt idx="947">
                  <c:v>136</c:v>
                </c:pt>
                <c:pt idx="948">
                  <c:v>131</c:v>
                </c:pt>
                <c:pt idx="949">
                  <c:v>124</c:v>
                </c:pt>
                <c:pt idx="950">
                  <c:v>129</c:v>
                </c:pt>
                <c:pt idx="951">
                  <c:v>128</c:v>
                </c:pt>
                <c:pt idx="952">
                  <c:v>125</c:v>
                </c:pt>
                <c:pt idx="953">
                  <c:v>129</c:v>
                </c:pt>
                <c:pt idx="954">
                  <c:v>129</c:v>
                </c:pt>
                <c:pt idx="955">
                  <c:v>144</c:v>
                </c:pt>
                <c:pt idx="956">
                  <c:v>150</c:v>
                </c:pt>
                <c:pt idx="957">
                  <c:v>147</c:v>
                </c:pt>
                <c:pt idx="958">
                  <c:v>135</c:v>
                </c:pt>
                <c:pt idx="959">
                  <c:v>123</c:v>
                </c:pt>
                <c:pt idx="960">
                  <c:v>98</c:v>
                </c:pt>
                <c:pt idx="961">
                  <c:v>104</c:v>
                </c:pt>
                <c:pt idx="962">
                  <c:v>116</c:v>
                </c:pt>
                <c:pt idx="963">
                  <c:v>124</c:v>
                </c:pt>
                <c:pt idx="964">
                  <c:v>118</c:v>
                </c:pt>
                <c:pt idx="965">
                  <c:v>136</c:v>
                </c:pt>
                <c:pt idx="966">
                  <c:v>147</c:v>
                </c:pt>
                <c:pt idx="967">
                  <c:v>160</c:v>
                </c:pt>
                <c:pt idx="968">
                  <c:v>138</c:v>
                </c:pt>
                <c:pt idx="969">
                  <c:v>130</c:v>
                </c:pt>
                <c:pt idx="970">
                  <c:v>117</c:v>
                </c:pt>
                <c:pt idx="971">
                  <c:v>120</c:v>
                </c:pt>
                <c:pt idx="972">
                  <c:v>128</c:v>
                </c:pt>
                <c:pt idx="973">
                  <c:v>118</c:v>
                </c:pt>
                <c:pt idx="974">
                  <c:v>110</c:v>
                </c:pt>
                <c:pt idx="975">
                  <c:v>113</c:v>
                </c:pt>
                <c:pt idx="976">
                  <c:v>114</c:v>
                </c:pt>
                <c:pt idx="977">
                  <c:v>110</c:v>
                </c:pt>
                <c:pt idx="978">
                  <c:v>110</c:v>
                </c:pt>
                <c:pt idx="979">
                  <c:v>108</c:v>
                </c:pt>
                <c:pt idx="980">
                  <c:v>128</c:v>
                </c:pt>
                <c:pt idx="981">
                  <c:v>138</c:v>
                </c:pt>
                <c:pt idx="982">
                  <c:v>146</c:v>
                </c:pt>
                <c:pt idx="983">
                  <c:v>177</c:v>
                </c:pt>
                <c:pt idx="984">
                  <c:v>184</c:v>
                </c:pt>
                <c:pt idx="985">
                  <c:v>218</c:v>
                </c:pt>
                <c:pt idx="986">
                  <c:v>235</c:v>
                </c:pt>
                <c:pt idx="987">
                  <c:v>296</c:v>
                </c:pt>
                <c:pt idx="988">
                  <c:v>258</c:v>
                </c:pt>
                <c:pt idx="989">
                  <c:v>282</c:v>
                </c:pt>
                <c:pt idx="990">
                  <c:v>275</c:v>
                </c:pt>
                <c:pt idx="991">
                  <c:v>274</c:v>
                </c:pt>
                <c:pt idx="992">
                  <c:v>294</c:v>
                </c:pt>
                <c:pt idx="993">
                  <c:v>304</c:v>
                </c:pt>
                <c:pt idx="994">
                  <c:v>330</c:v>
                </c:pt>
                <c:pt idx="995">
                  <c:v>337</c:v>
                </c:pt>
                <c:pt idx="996">
                  <c:v>318</c:v>
                </c:pt>
                <c:pt idx="997">
                  <c:v>346</c:v>
                </c:pt>
                <c:pt idx="998">
                  <c:v>343</c:v>
                </c:pt>
                <c:pt idx="999">
                  <c:v>276</c:v>
                </c:pt>
                <c:pt idx="1000">
                  <c:v>251</c:v>
                </c:pt>
                <c:pt idx="1001">
                  <c:v>234</c:v>
                </c:pt>
                <c:pt idx="1002">
                  <c:v>165</c:v>
                </c:pt>
                <c:pt idx="1003">
                  <c:v>183</c:v>
                </c:pt>
                <c:pt idx="1004">
                  <c:v>174</c:v>
                </c:pt>
                <c:pt idx="1005">
                  <c:v>160</c:v>
                </c:pt>
                <c:pt idx="1006">
                  <c:v>193</c:v>
                </c:pt>
                <c:pt idx="1007">
                  <c:v>189</c:v>
                </c:pt>
                <c:pt idx="1008">
                  <c:v>127</c:v>
                </c:pt>
                <c:pt idx="1009">
                  <c:v>159</c:v>
                </c:pt>
                <c:pt idx="1010">
                  <c:v>141</c:v>
                </c:pt>
                <c:pt idx="1011">
                  <c:v>137</c:v>
                </c:pt>
                <c:pt idx="1012">
                  <c:v>148</c:v>
                </c:pt>
                <c:pt idx="1013">
                  <c:v>145</c:v>
                </c:pt>
                <c:pt idx="1014">
                  <c:v>176</c:v>
                </c:pt>
                <c:pt idx="1015">
                  <c:v>158</c:v>
                </c:pt>
                <c:pt idx="1016">
                  <c:v>146</c:v>
                </c:pt>
                <c:pt idx="1017">
                  <c:v>148</c:v>
                </c:pt>
                <c:pt idx="1018">
                  <c:v>139</c:v>
                </c:pt>
                <c:pt idx="1019">
                  <c:v>143</c:v>
                </c:pt>
                <c:pt idx="1020">
                  <c:v>145</c:v>
                </c:pt>
                <c:pt idx="1021">
                  <c:v>124</c:v>
                </c:pt>
                <c:pt idx="1022">
                  <c:v>124</c:v>
                </c:pt>
                <c:pt idx="1023">
                  <c:v>117</c:v>
                </c:pt>
                <c:pt idx="1024">
                  <c:v>124</c:v>
                </c:pt>
                <c:pt idx="1025">
                  <c:v>131</c:v>
                </c:pt>
                <c:pt idx="1026">
                  <c:v>127</c:v>
                </c:pt>
                <c:pt idx="1027">
                  <c:v>131</c:v>
                </c:pt>
                <c:pt idx="1028">
                  <c:v>139</c:v>
                </c:pt>
                <c:pt idx="1029">
                  <c:v>179</c:v>
                </c:pt>
                <c:pt idx="1030">
                  <c:v>174</c:v>
                </c:pt>
                <c:pt idx="1031">
                  <c:v>176</c:v>
                </c:pt>
                <c:pt idx="1032">
                  <c:v>176</c:v>
                </c:pt>
                <c:pt idx="1033">
                  <c:v>172</c:v>
                </c:pt>
                <c:pt idx="1034">
                  <c:v>176</c:v>
                </c:pt>
                <c:pt idx="1035">
                  <c:v>165</c:v>
                </c:pt>
                <c:pt idx="1036">
                  <c:v>156</c:v>
                </c:pt>
                <c:pt idx="1037">
                  <c:v>165</c:v>
                </c:pt>
                <c:pt idx="1038">
                  <c:v>172</c:v>
                </c:pt>
                <c:pt idx="1039">
                  <c:v>181</c:v>
                </c:pt>
                <c:pt idx="1040">
                  <c:v>175</c:v>
                </c:pt>
                <c:pt idx="1041">
                  <c:v>188</c:v>
                </c:pt>
                <c:pt idx="1042">
                  <c:v>187</c:v>
                </c:pt>
                <c:pt idx="1043">
                  <c:v>176</c:v>
                </c:pt>
                <c:pt idx="1044">
                  <c:v>181</c:v>
                </c:pt>
                <c:pt idx="1045">
                  <c:v>185</c:v>
                </c:pt>
                <c:pt idx="1046">
                  <c:v>180</c:v>
                </c:pt>
                <c:pt idx="1047">
                  <c:v>194</c:v>
                </c:pt>
                <c:pt idx="1048">
                  <c:v>203</c:v>
                </c:pt>
                <c:pt idx="1049">
                  <c:v>204</c:v>
                </c:pt>
                <c:pt idx="1050">
                  <c:v>203</c:v>
                </c:pt>
                <c:pt idx="1051">
                  <c:v>185</c:v>
                </c:pt>
                <c:pt idx="1052">
                  <c:v>182</c:v>
                </c:pt>
                <c:pt idx="1053">
                  <c:v>170</c:v>
                </c:pt>
                <c:pt idx="1054">
                  <c:v>153</c:v>
                </c:pt>
                <c:pt idx="1055">
                  <c:v>167</c:v>
                </c:pt>
                <c:pt idx="1056">
                  <c:v>156</c:v>
                </c:pt>
                <c:pt idx="1057">
                  <c:v>157</c:v>
                </c:pt>
                <c:pt idx="1058">
                  <c:v>151</c:v>
                </c:pt>
                <c:pt idx="1059">
                  <c:v>137</c:v>
                </c:pt>
                <c:pt idx="1060">
                  <c:v>121</c:v>
                </c:pt>
                <c:pt idx="1061">
                  <c:v>129</c:v>
                </c:pt>
                <c:pt idx="1062">
                  <c:v>115</c:v>
                </c:pt>
                <c:pt idx="1063">
                  <c:v>99</c:v>
                </c:pt>
                <c:pt idx="1064">
                  <c:v>94</c:v>
                </c:pt>
                <c:pt idx="1065">
                  <c:v>92</c:v>
                </c:pt>
                <c:pt idx="1066">
                  <c:v>92</c:v>
                </c:pt>
                <c:pt idx="1067">
                  <c:v>100</c:v>
                </c:pt>
                <c:pt idx="1068">
                  <c:v>105</c:v>
                </c:pt>
                <c:pt idx="1069">
                  <c:v>106</c:v>
                </c:pt>
                <c:pt idx="1070">
                  <c:v>110</c:v>
                </c:pt>
                <c:pt idx="1071">
                  <c:v>120</c:v>
                </c:pt>
                <c:pt idx="1072">
                  <c:v>116</c:v>
                </c:pt>
                <c:pt idx="1073">
                  <c:v>96</c:v>
                </c:pt>
                <c:pt idx="1074">
                  <c:v>105</c:v>
                </c:pt>
                <c:pt idx="1075">
                  <c:v>132</c:v>
                </c:pt>
                <c:pt idx="1076">
                  <c:v>118</c:v>
                </c:pt>
                <c:pt idx="1077">
                  <c:v>128</c:v>
                </c:pt>
                <c:pt idx="1078">
                  <c:v>119</c:v>
                </c:pt>
                <c:pt idx="1079">
                  <c:v>124</c:v>
                </c:pt>
                <c:pt idx="1080">
                  <c:v>124</c:v>
                </c:pt>
                <c:pt idx="1081">
                  <c:v>120</c:v>
                </c:pt>
                <c:pt idx="1082">
                  <c:v>106</c:v>
                </c:pt>
                <c:pt idx="1083">
                  <c:v>109</c:v>
                </c:pt>
                <c:pt idx="1084">
                  <c:v>112</c:v>
                </c:pt>
                <c:pt idx="1085">
                  <c:v>87</c:v>
                </c:pt>
                <c:pt idx="1086">
                  <c:v>88</c:v>
                </c:pt>
                <c:pt idx="1087">
                  <c:v>87</c:v>
                </c:pt>
                <c:pt idx="1088">
                  <c:v>84</c:v>
                </c:pt>
                <c:pt idx="1089">
                  <c:v>86</c:v>
                </c:pt>
                <c:pt idx="1090">
                  <c:v>93</c:v>
                </c:pt>
                <c:pt idx="1091">
                  <c:v>101</c:v>
                </c:pt>
                <c:pt idx="1092">
                  <c:v>101</c:v>
                </c:pt>
                <c:pt idx="1093">
                  <c:v>95</c:v>
                </c:pt>
                <c:pt idx="1094">
                  <c:v>89</c:v>
                </c:pt>
                <c:pt idx="1095">
                  <c:v>93</c:v>
                </c:pt>
                <c:pt idx="1096">
                  <c:v>91</c:v>
                </c:pt>
                <c:pt idx="1097">
                  <c:v>84</c:v>
                </c:pt>
                <c:pt idx="1098">
                  <c:v>91</c:v>
                </c:pt>
                <c:pt idx="1099">
                  <c:v>89</c:v>
                </c:pt>
                <c:pt idx="1100">
                  <c:v>85</c:v>
                </c:pt>
                <c:pt idx="1101">
                  <c:v>102</c:v>
                </c:pt>
                <c:pt idx="1102">
                  <c:v>104</c:v>
                </c:pt>
                <c:pt idx="1103">
                  <c:v>99</c:v>
                </c:pt>
                <c:pt idx="1104">
                  <c:v>108</c:v>
                </c:pt>
                <c:pt idx="1105">
                  <c:v>107</c:v>
                </c:pt>
                <c:pt idx="1106">
                  <c:v>107</c:v>
                </c:pt>
                <c:pt idx="1107">
                  <c:v>106</c:v>
                </c:pt>
                <c:pt idx="1108">
                  <c:v>105</c:v>
                </c:pt>
                <c:pt idx="1109">
                  <c:v>95</c:v>
                </c:pt>
                <c:pt idx="1110">
                  <c:v>97</c:v>
                </c:pt>
                <c:pt idx="1111">
                  <c:v>103</c:v>
                </c:pt>
                <c:pt idx="1112">
                  <c:v>104</c:v>
                </c:pt>
                <c:pt idx="1113">
                  <c:v>107</c:v>
                </c:pt>
                <c:pt idx="1114">
                  <c:v>105</c:v>
                </c:pt>
                <c:pt idx="1115">
                  <c:v>102</c:v>
                </c:pt>
                <c:pt idx="1116">
                  <c:v>103</c:v>
                </c:pt>
                <c:pt idx="1117">
                  <c:v>97</c:v>
                </c:pt>
                <c:pt idx="1118">
                  <c:v>96</c:v>
                </c:pt>
                <c:pt idx="1119">
                  <c:v>97</c:v>
                </c:pt>
                <c:pt idx="1120">
                  <c:v>106</c:v>
                </c:pt>
                <c:pt idx="1121">
                  <c:v>107</c:v>
                </c:pt>
                <c:pt idx="1122">
                  <c:v>120</c:v>
                </c:pt>
                <c:pt idx="1123">
                  <c:v>109</c:v>
                </c:pt>
                <c:pt idx="1124">
                  <c:v>123</c:v>
                </c:pt>
                <c:pt idx="1125">
                  <c:v>127</c:v>
                </c:pt>
                <c:pt idx="1126">
                  <c:v>114</c:v>
                </c:pt>
                <c:pt idx="1127">
                  <c:v>125</c:v>
                </c:pt>
                <c:pt idx="1128">
                  <c:v>123</c:v>
                </c:pt>
                <c:pt idx="1129">
                  <c:v>117</c:v>
                </c:pt>
                <c:pt idx="1130">
                  <c:v>110</c:v>
                </c:pt>
                <c:pt idx="1131">
                  <c:v>113</c:v>
                </c:pt>
                <c:pt idx="1132">
                  <c:v>124</c:v>
                </c:pt>
                <c:pt idx="1133">
                  <c:v>112</c:v>
                </c:pt>
                <c:pt idx="1134">
                  <c:v>112</c:v>
                </c:pt>
                <c:pt idx="1135">
                  <c:v>116</c:v>
                </c:pt>
                <c:pt idx="1136">
                  <c:v>114</c:v>
                </c:pt>
                <c:pt idx="1137">
                  <c:v>124</c:v>
                </c:pt>
                <c:pt idx="1138">
                  <c:v>129</c:v>
                </c:pt>
                <c:pt idx="1139">
                  <c:v>135</c:v>
                </c:pt>
                <c:pt idx="1140">
                  <c:v>148</c:v>
                </c:pt>
                <c:pt idx="1141">
                  <c:v>128</c:v>
                </c:pt>
                <c:pt idx="1142">
                  <c:v>135</c:v>
                </c:pt>
                <c:pt idx="1143">
                  <c:v>133</c:v>
                </c:pt>
                <c:pt idx="1144">
                  <c:v>126</c:v>
                </c:pt>
                <c:pt idx="1145">
                  <c:v>129</c:v>
                </c:pt>
                <c:pt idx="1146">
                  <c:v>131</c:v>
                </c:pt>
                <c:pt idx="1147">
                  <c:v>135</c:v>
                </c:pt>
                <c:pt idx="1148">
                  <c:v>149</c:v>
                </c:pt>
                <c:pt idx="1149">
                  <c:v>145</c:v>
                </c:pt>
                <c:pt idx="1150">
                  <c:v>130</c:v>
                </c:pt>
                <c:pt idx="1151">
                  <c:v>129</c:v>
                </c:pt>
                <c:pt idx="1152">
                  <c:v>127</c:v>
                </c:pt>
                <c:pt idx="1153">
                  <c:v>134</c:v>
                </c:pt>
                <c:pt idx="1154">
                  <c:v>134</c:v>
                </c:pt>
                <c:pt idx="1155">
                  <c:v>128</c:v>
                </c:pt>
                <c:pt idx="1156">
                  <c:v>131</c:v>
                </c:pt>
                <c:pt idx="1157">
                  <c:v>139</c:v>
                </c:pt>
                <c:pt idx="1158">
                  <c:v>147</c:v>
                </c:pt>
                <c:pt idx="1159">
                  <c:v>141</c:v>
                </c:pt>
                <c:pt idx="1160">
                  <c:v>147</c:v>
                </c:pt>
                <c:pt idx="1161">
                  <c:v>141</c:v>
                </c:pt>
                <c:pt idx="1162">
                  <c:v>151</c:v>
                </c:pt>
                <c:pt idx="1163">
                  <c:v>142</c:v>
                </c:pt>
                <c:pt idx="1164">
                  <c:v>148</c:v>
                </c:pt>
                <c:pt idx="1165">
                  <c:v>152</c:v>
                </c:pt>
                <c:pt idx="1166">
                  <c:v>160</c:v>
                </c:pt>
                <c:pt idx="1167">
                  <c:v>180</c:v>
                </c:pt>
                <c:pt idx="1168">
                  <c:v>202</c:v>
                </c:pt>
                <c:pt idx="1169">
                  <c:v>202</c:v>
                </c:pt>
                <c:pt idx="1170">
                  <c:v>185</c:v>
                </c:pt>
                <c:pt idx="1171">
                  <c:v>189</c:v>
                </c:pt>
                <c:pt idx="1172">
                  <c:v>189</c:v>
                </c:pt>
                <c:pt idx="1173">
                  <c:v>180</c:v>
                </c:pt>
                <c:pt idx="1174">
                  <c:v>198</c:v>
                </c:pt>
                <c:pt idx="1175">
                  <c:v>200</c:v>
                </c:pt>
                <c:pt idx="1176">
                  <c:v>199</c:v>
                </c:pt>
                <c:pt idx="1177">
                  <c:v>197</c:v>
                </c:pt>
                <c:pt idx="1178">
                  <c:v>204</c:v>
                </c:pt>
                <c:pt idx="1179">
                  <c:v>197</c:v>
                </c:pt>
                <c:pt idx="1180">
                  <c:v>196</c:v>
                </c:pt>
                <c:pt idx="1181">
                  <c:v>204</c:v>
                </c:pt>
                <c:pt idx="1182">
                  <c:v>188</c:v>
                </c:pt>
                <c:pt idx="1183">
                  <c:v>185</c:v>
                </c:pt>
                <c:pt idx="1184">
                  <c:v>189</c:v>
                </c:pt>
                <c:pt idx="1185">
                  <c:v>170</c:v>
                </c:pt>
                <c:pt idx="1186">
                  <c:v>168</c:v>
                </c:pt>
                <c:pt idx="1187">
                  <c:v>155</c:v>
                </c:pt>
                <c:pt idx="1188">
                  <c:v>146</c:v>
                </c:pt>
                <c:pt idx="1189">
                  <c:v>142</c:v>
                </c:pt>
                <c:pt idx="1190">
                  <c:v>131</c:v>
                </c:pt>
                <c:pt idx="1191">
                  <c:v>128</c:v>
                </c:pt>
                <c:pt idx="1192">
                  <c:v>123</c:v>
                </c:pt>
                <c:pt idx="1193">
                  <c:v>119</c:v>
                </c:pt>
                <c:pt idx="1194">
                  <c:v>113</c:v>
                </c:pt>
                <c:pt idx="1195">
                  <c:v>135</c:v>
                </c:pt>
                <c:pt idx="1196">
                  <c:v>122</c:v>
                </c:pt>
                <c:pt idx="1197">
                  <c:v>135</c:v>
                </c:pt>
                <c:pt idx="1198">
                  <c:v>125</c:v>
                </c:pt>
                <c:pt idx="1199">
                  <c:v>124</c:v>
                </c:pt>
                <c:pt idx="1200">
                  <c:v>120</c:v>
                </c:pt>
                <c:pt idx="1201">
                  <c:v>103</c:v>
                </c:pt>
                <c:pt idx="1202">
                  <c:v>104</c:v>
                </c:pt>
                <c:pt idx="1203">
                  <c:v>117</c:v>
                </c:pt>
                <c:pt idx="1204">
                  <c:v>107</c:v>
                </c:pt>
                <c:pt idx="1205">
                  <c:v>107</c:v>
                </c:pt>
                <c:pt idx="1206">
                  <c:v>104</c:v>
                </c:pt>
                <c:pt idx="1207">
                  <c:v>108</c:v>
                </c:pt>
                <c:pt idx="1208">
                  <c:v>101</c:v>
                </c:pt>
                <c:pt idx="1209">
                  <c:v>102</c:v>
                </c:pt>
                <c:pt idx="1210">
                  <c:v>85</c:v>
                </c:pt>
                <c:pt idx="1211">
                  <c:v>77</c:v>
                </c:pt>
                <c:pt idx="1212">
                  <c:v>89</c:v>
                </c:pt>
                <c:pt idx="1213">
                  <c:v>88</c:v>
                </c:pt>
                <c:pt idx="1214">
                  <c:v>85</c:v>
                </c:pt>
                <c:pt idx="1215">
                  <c:v>80</c:v>
                </c:pt>
                <c:pt idx="1216">
                  <c:v>91</c:v>
                </c:pt>
                <c:pt idx="1217">
                  <c:v>92</c:v>
                </c:pt>
                <c:pt idx="1218">
                  <c:v>90</c:v>
                </c:pt>
                <c:pt idx="1219">
                  <c:v>89</c:v>
                </c:pt>
                <c:pt idx="1220">
                  <c:v>95</c:v>
                </c:pt>
                <c:pt idx="1221">
                  <c:v>97</c:v>
                </c:pt>
                <c:pt idx="1222">
                  <c:v>104</c:v>
                </c:pt>
                <c:pt idx="1223">
                  <c:v>112</c:v>
                </c:pt>
                <c:pt idx="1224">
                  <c:v>100</c:v>
                </c:pt>
                <c:pt idx="1225">
                  <c:v>104</c:v>
                </c:pt>
                <c:pt idx="1226">
                  <c:v>112</c:v>
                </c:pt>
                <c:pt idx="1227">
                  <c:v>103</c:v>
                </c:pt>
                <c:pt idx="1228">
                  <c:v>94</c:v>
                </c:pt>
              </c:numCache>
            </c:numRef>
          </c:val>
          <c:smooth val="0"/>
        </c:ser>
        <c:dLbls>
          <c:showLegendKey val="0"/>
          <c:showVal val="0"/>
          <c:showCatName val="0"/>
          <c:showSerName val="0"/>
          <c:showPercent val="0"/>
          <c:showBubbleSize val="0"/>
        </c:dLbls>
        <c:marker val="1"/>
        <c:smooth val="0"/>
        <c:axId val="322574976"/>
        <c:axId val="327352704"/>
      </c:lineChart>
      <c:lineChart>
        <c:grouping val="standard"/>
        <c:varyColors val="0"/>
        <c:ser>
          <c:idx val="1"/>
          <c:order val="1"/>
          <c:tx>
            <c:strRef>
              <c:f>'OAS and Media Effect'!$G$1</c:f>
              <c:strCache>
                <c:ptCount val="1"/>
                <c:pt idx="0">
                  <c:v>30 Year Refinanceable Universe (rhs)</c:v>
                </c:pt>
              </c:strCache>
            </c:strRef>
          </c:tx>
          <c:spPr>
            <a:ln w="28575" cap="rnd">
              <a:solidFill>
                <a:schemeClr val="accent2"/>
              </a:solidFill>
              <a:round/>
            </a:ln>
            <a:effectLst/>
          </c:spPr>
          <c:marker>
            <c:symbol val="none"/>
          </c:marker>
          <c:cat>
            <c:numRef>
              <c:f>'OAS and Media Effect'!$A$2:$A$1230</c:f>
              <c:numCache>
                <c:formatCode>mm/dd/yyyy</c:formatCode>
                <c:ptCount val="122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numCache>
            </c:numRef>
          </c:cat>
          <c:val>
            <c:numRef>
              <c:f>'OAS and Media Effect'!$G$2:$G$1230</c:f>
              <c:numCache>
                <c:formatCode>0%</c:formatCode>
                <c:ptCount val="1229"/>
                <c:pt idx="0">
                  <c:v>0.61149872753562795</c:v>
                </c:pt>
                <c:pt idx="1">
                  <c:v>0.61074045486204198</c:v>
                </c:pt>
                <c:pt idx="2">
                  <c:v>0.61074045486204198</c:v>
                </c:pt>
                <c:pt idx="3">
                  <c:v>0.61074045486204198</c:v>
                </c:pt>
                <c:pt idx="4">
                  <c:v>0.61074045486204198</c:v>
                </c:pt>
                <c:pt idx="5">
                  <c:v>0.61074045486204198</c:v>
                </c:pt>
                <c:pt idx="6">
                  <c:v>0.50836540051897094</c:v>
                </c:pt>
                <c:pt idx="7">
                  <c:v>0.50836540051897094</c:v>
                </c:pt>
                <c:pt idx="8">
                  <c:v>0.50836540051897094</c:v>
                </c:pt>
                <c:pt idx="9">
                  <c:v>0.50836540051897094</c:v>
                </c:pt>
                <c:pt idx="10">
                  <c:v>0.50836540051897094</c:v>
                </c:pt>
                <c:pt idx="11">
                  <c:v>0.52920493587017403</c:v>
                </c:pt>
                <c:pt idx="12">
                  <c:v>0.52920493587017403</c:v>
                </c:pt>
                <c:pt idx="13">
                  <c:v>0.52920493587017403</c:v>
                </c:pt>
                <c:pt idx="14">
                  <c:v>0.52920493587017403</c:v>
                </c:pt>
                <c:pt idx="15">
                  <c:v>0.55803024707205595</c:v>
                </c:pt>
                <c:pt idx="16">
                  <c:v>0.55803024707205595</c:v>
                </c:pt>
                <c:pt idx="17">
                  <c:v>0.55803024707205595</c:v>
                </c:pt>
                <c:pt idx="18">
                  <c:v>0.54582431757096395</c:v>
                </c:pt>
                <c:pt idx="19">
                  <c:v>0.54582431757096395</c:v>
                </c:pt>
                <c:pt idx="20">
                  <c:v>0.59209711782781405</c:v>
                </c:pt>
                <c:pt idx="21">
                  <c:v>0.59209711782781405</c:v>
                </c:pt>
                <c:pt idx="22">
                  <c:v>0.59209711782781405</c:v>
                </c:pt>
                <c:pt idx="23">
                  <c:v>0.59209711782781405</c:v>
                </c:pt>
                <c:pt idx="24">
                  <c:v>0.59209711782781405</c:v>
                </c:pt>
                <c:pt idx="25">
                  <c:v>0.59080334812888002</c:v>
                </c:pt>
                <c:pt idx="26">
                  <c:v>0.59080334812888002</c:v>
                </c:pt>
                <c:pt idx="27">
                  <c:v>0.59080334812888002</c:v>
                </c:pt>
                <c:pt idx="28">
                  <c:v>0.59080334812888002</c:v>
                </c:pt>
                <c:pt idx="29">
                  <c:v>0.59080334812888002</c:v>
                </c:pt>
                <c:pt idx="30">
                  <c:v>0.60256210105936003</c:v>
                </c:pt>
                <c:pt idx="31">
                  <c:v>0.60256210105936003</c:v>
                </c:pt>
                <c:pt idx="32">
                  <c:v>0.60256210105936003</c:v>
                </c:pt>
                <c:pt idx="33">
                  <c:v>0.60256210105936003</c:v>
                </c:pt>
                <c:pt idx="34">
                  <c:v>0.60256210105936003</c:v>
                </c:pt>
                <c:pt idx="35">
                  <c:v>0.59950595681897501</c:v>
                </c:pt>
                <c:pt idx="36">
                  <c:v>0.59950595681897501</c:v>
                </c:pt>
                <c:pt idx="37">
                  <c:v>0.59950595681897501</c:v>
                </c:pt>
                <c:pt idx="38">
                  <c:v>0.59950595681897501</c:v>
                </c:pt>
                <c:pt idx="39">
                  <c:v>0.59950595681897501</c:v>
                </c:pt>
                <c:pt idx="40">
                  <c:v>0.59315556395691504</c:v>
                </c:pt>
                <c:pt idx="41">
                  <c:v>0.58635020807411298</c:v>
                </c:pt>
                <c:pt idx="42">
                  <c:v>0.58635020807411298</c:v>
                </c:pt>
                <c:pt idx="43">
                  <c:v>0.58635020807411298</c:v>
                </c:pt>
                <c:pt idx="44">
                  <c:v>0.58635020807411298</c:v>
                </c:pt>
                <c:pt idx="45">
                  <c:v>0.58532491615437798</c:v>
                </c:pt>
                <c:pt idx="46">
                  <c:v>0.58635020807411298</c:v>
                </c:pt>
                <c:pt idx="47">
                  <c:v>0.58532491615437798</c:v>
                </c:pt>
                <c:pt idx="48">
                  <c:v>0.58532491615437798</c:v>
                </c:pt>
                <c:pt idx="49">
                  <c:v>0.58532491615437798</c:v>
                </c:pt>
                <c:pt idx="50">
                  <c:v>0.56791099107998699</c:v>
                </c:pt>
                <c:pt idx="51">
                  <c:v>0.56791099107998699</c:v>
                </c:pt>
                <c:pt idx="52">
                  <c:v>0.56791099107998699</c:v>
                </c:pt>
                <c:pt idx="53">
                  <c:v>0.56791099107998699</c:v>
                </c:pt>
                <c:pt idx="54">
                  <c:v>0.56791099107998699</c:v>
                </c:pt>
                <c:pt idx="55">
                  <c:v>0.59349339985189797</c:v>
                </c:pt>
                <c:pt idx="56">
                  <c:v>0.59349339985189797</c:v>
                </c:pt>
                <c:pt idx="57">
                  <c:v>0.59349339985189797</c:v>
                </c:pt>
                <c:pt idx="58">
                  <c:v>0.59349339985189797</c:v>
                </c:pt>
                <c:pt idx="59">
                  <c:v>0.594306088776824</c:v>
                </c:pt>
                <c:pt idx="60">
                  <c:v>0.59349339985189797</c:v>
                </c:pt>
                <c:pt idx="61">
                  <c:v>0.58827706720942596</c:v>
                </c:pt>
                <c:pt idx="62">
                  <c:v>0.58827706720942596</c:v>
                </c:pt>
                <c:pt idx="63">
                  <c:v>0.58827706720942596</c:v>
                </c:pt>
                <c:pt idx="64">
                  <c:v>0.59388944935877797</c:v>
                </c:pt>
                <c:pt idx="65">
                  <c:v>0.58827706720942596</c:v>
                </c:pt>
                <c:pt idx="66">
                  <c:v>0.59388944935877797</c:v>
                </c:pt>
                <c:pt idx="67">
                  <c:v>0.59388944935877797</c:v>
                </c:pt>
                <c:pt idx="68">
                  <c:v>0.59388944935877797</c:v>
                </c:pt>
                <c:pt idx="69">
                  <c:v>0.60656839337259305</c:v>
                </c:pt>
                <c:pt idx="70">
                  <c:v>0.60656839337259305</c:v>
                </c:pt>
                <c:pt idx="71">
                  <c:v>0.60656839337259305</c:v>
                </c:pt>
                <c:pt idx="72">
                  <c:v>0.60656839337259305</c:v>
                </c:pt>
                <c:pt idx="73">
                  <c:v>0.60656839337259305</c:v>
                </c:pt>
                <c:pt idx="74">
                  <c:v>0.61190235023345096</c:v>
                </c:pt>
                <c:pt idx="75">
                  <c:v>0.61190235023345096</c:v>
                </c:pt>
                <c:pt idx="76">
                  <c:v>0.61190235023345096</c:v>
                </c:pt>
                <c:pt idx="77">
                  <c:v>0.61190235023345096</c:v>
                </c:pt>
                <c:pt idx="78">
                  <c:v>0.61190235023345096</c:v>
                </c:pt>
                <c:pt idx="79">
                  <c:v>0.615993636080996</c:v>
                </c:pt>
                <c:pt idx="80">
                  <c:v>0.615993636080996</c:v>
                </c:pt>
                <c:pt idx="81">
                  <c:v>0.615993636080996</c:v>
                </c:pt>
                <c:pt idx="82">
                  <c:v>0.61033542977678401</c:v>
                </c:pt>
                <c:pt idx="83">
                  <c:v>0.63716048140315296</c:v>
                </c:pt>
                <c:pt idx="84">
                  <c:v>0.63716048140315296</c:v>
                </c:pt>
                <c:pt idx="85">
                  <c:v>0.63716048140315296</c:v>
                </c:pt>
                <c:pt idx="86">
                  <c:v>0.63716048140315296</c:v>
                </c:pt>
                <c:pt idx="87">
                  <c:v>0.63716048140315296</c:v>
                </c:pt>
                <c:pt idx="88">
                  <c:v>0.74321907249207297</c:v>
                </c:pt>
                <c:pt idx="89">
                  <c:v>0.74321907249207297</c:v>
                </c:pt>
                <c:pt idx="90">
                  <c:v>0.74321907249207297</c:v>
                </c:pt>
                <c:pt idx="91">
                  <c:v>0.74321907249207297</c:v>
                </c:pt>
                <c:pt idx="92">
                  <c:v>0.74321907249207297</c:v>
                </c:pt>
                <c:pt idx="93">
                  <c:v>0.72196170225835998</c:v>
                </c:pt>
                <c:pt idx="94">
                  <c:v>0.72196170225835998</c:v>
                </c:pt>
                <c:pt idx="95">
                  <c:v>0.72196170225835998</c:v>
                </c:pt>
                <c:pt idx="96">
                  <c:v>0.72196170225835998</c:v>
                </c:pt>
                <c:pt idx="97">
                  <c:v>0.72196170225835998</c:v>
                </c:pt>
                <c:pt idx="98">
                  <c:v>0.72196170225835998</c:v>
                </c:pt>
                <c:pt idx="99">
                  <c:v>0.72196170225835998</c:v>
                </c:pt>
                <c:pt idx="100">
                  <c:v>0.72196170225835998</c:v>
                </c:pt>
                <c:pt idx="101">
                  <c:v>0.72196170225835998</c:v>
                </c:pt>
                <c:pt idx="102">
                  <c:v>0.72196170225835998</c:v>
                </c:pt>
                <c:pt idx="103">
                  <c:v>0.68885444787085304</c:v>
                </c:pt>
                <c:pt idx="104">
                  <c:v>0.68335549039476995</c:v>
                </c:pt>
                <c:pt idx="105">
                  <c:v>0.68335549039476995</c:v>
                </c:pt>
                <c:pt idx="106">
                  <c:v>0.68335549039476995</c:v>
                </c:pt>
                <c:pt idx="107">
                  <c:v>0.60410549631050603</c:v>
                </c:pt>
                <c:pt idx="108">
                  <c:v>0.60410549631050603</c:v>
                </c:pt>
                <c:pt idx="109">
                  <c:v>0.60410549631050603</c:v>
                </c:pt>
                <c:pt idx="110">
                  <c:v>0.60410549631050603</c:v>
                </c:pt>
                <c:pt idx="111">
                  <c:v>0.60410549631050603</c:v>
                </c:pt>
                <c:pt idx="112">
                  <c:v>0.68335549039476995</c:v>
                </c:pt>
                <c:pt idx="113">
                  <c:v>0.68335549039476995</c:v>
                </c:pt>
                <c:pt idx="114">
                  <c:v>0.68335549039476995</c:v>
                </c:pt>
                <c:pt idx="115">
                  <c:v>0.68335549039476995</c:v>
                </c:pt>
                <c:pt idx="116">
                  <c:v>0.68335549039476995</c:v>
                </c:pt>
                <c:pt idx="117">
                  <c:v>0.66675683999516899</c:v>
                </c:pt>
                <c:pt idx="118">
                  <c:v>0.66675683999516899</c:v>
                </c:pt>
                <c:pt idx="119">
                  <c:v>0.66675683999516899</c:v>
                </c:pt>
                <c:pt idx="120">
                  <c:v>0.66675683999516899</c:v>
                </c:pt>
                <c:pt idx="121">
                  <c:v>0.66675683999516899</c:v>
                </c:pt>
                <c:pt idx="122">
                  <c:v>0.63117786454290503</c:v>
                </c:pt>
                <c:pt idx="123">
                  <c:v>0.63117786454290503</c:v>
                </c:pt>
                <c:pt idx="124">
                  <c:v>0.62428536264518097</c:v>
                </c:pt>
                <c:pt idx="125">
                  <c:v>0.62428536264518097</c:v>
                </c:pt>
                <c:pt idx="126">
                  <c:v>0.62428536264518097</c:v>
                </c:pt>
                <c:pt idx="127">
                  <c:v>0.82328819503805495</c:v>
                </c:pt>
                <c:pt idx="128">
                  <c:v>0.82328819503805495</c:v>
                </c:pt>
                <c:pt idx="129">
                  <c:v>0.82328819503805495</c:v>
                </c:pt>
                <c:pt idx="130">
                  <c:v>0.82328819503805495</c:v>
                </c:pt>
                <c:pt idx="131">
                  <c:v>0.82328819503805495</c:v>
                </c:pt>
                <c:pt idx="132">
                  <c:v>0.834040070391601</c:v>
                </c:pt>
                <c:pt idx="133">
                  <c:v>0.834040070391601</c:v>
                </c:pt>
                <c:pt idx="134">
                  <c:v>0.834040070391601</c:v>
                </c:pt>
                <c:pt idx="135">
                  <c:v>0.834040070391601</c:v>
                </c:pt>
                <c:pt idx="136">
                  <c:v>0.834040070391601</c:v>
                </c:pt>
                <c:pt idx="137">
                  <c:v>0.86081674392019403</c:v>
                </c:pt>
                <c:pt idx="138">
                  <c:v>0.86081674392019403</c:v>
                </c:pt>
                <c:pt idx="139">
                  <c:v>0.86081674392019403</c:v>
                </c:pt>
                <c:pt idx="140">
                  <c:v>0.86081674392019403</c:v>
                </c:pt>
                <c:pt idx="141">
                  <c:v>0.86081674392019403</c:v>
                </c:pt>
                <c:pt idx="142">
                  <c:v>0.84691794883119798</c:v>
                </c:pt>
                <c:pt idx="143">
                  <c:v>0.84691794883119798</c:v>
                </c:pt>
                <c:pt idx="144">
                  <c:v>0.84691794883119798</c:v>
                </c:pt>
                <c:pt idx="145">
                  <c:v>0.84691794883119798</c:v>
                </c:pt>
                <c:pt idx="146">
                  <c:v>0.84691794883119798</c:v>
                </c:pt>
                <c:pt idx="147">
                  <c:v>0.841117996149364</c:v>
                </c:pt>
                <c:pt idx="148">
                  <c:v>0.841117996149364</c:v>
                </c:pt>
                <c:pt idx="149">
                  <c:v>0.841117996149364</c:v>
                </c:pt>
                <c:pt idx="150">
                  <c:v>0.841117996149364</c:v>
                </c:pt>
                <c:pt idx="151">
                  <c:v>0.87810314526122002</c:v>
                </c:pt>
                <c:pt idx="152">
                  <c:v>0.87810314526122002</c:v>
                </c:pt>
                <c:pt idx="153">
                  <c:v>0.87810314526122002</c:v>
                </c:pt>
                <c:pt idx="154">
                  <c:v>0.87810314526122002</c:v>
                </c:pt>
                <c:pt idx="155">
                  <c:v>0.87810314526122002</c:v>
                </c:pt>
                <c:pt idx="156">
                  <c:v>0.90145744662456295</c:v>
                </c:pt>
                <c:pt idx="157">
                  <c:v>0.90145744662456295</c:v>
                </c:pt>
                <c:pt idx="158">
                  <c:v>0.90145744662456295</c:v>
                </c:pt>
                <c:pt idx="159">
                  <c:v>0.90145744662456295</c:v>
                </c:pt>
                <c:pt idx="160">
                  <c:v>0.90145744662456295</c:v>
                </c:pt>
                <c:pt idx="161">
                  <c:v>0.90145744662456295</c:v>
                </c:pt>
                <c:pt idx="162">
                  <c:v>0.90145744662456295</c:v>
                </c:pt>
                <c:pt idx="163">
                  <c:v>0.90145744662456295</c:v>
                </c:pt>
                <c:pt idx="164">
                  <c:v>0.90145744662456295</c:v>
                </c:pt>
                <c:pt idx="165">
                  <c:v>0.90145744662456295</c:v>
                </c:pt>
                <c:pt idx="166">
                  <c:v>0.94573089516350395</c:v>
                </c:pt>
                <c:pt idx="167">
                  <c:v>0.94573089516350395</c:v>
                </c:pt>
                <c:pt idx="168">
                  <c:v>0.93998305132982396</c:v>
                </c:pt>
                <c:pt idx="169">
                  <c:v>0.93998305132982396</c:v>
                </c:pt>
                <c:pt idx="170">
                  <c:v>0.93998305132982396</c:v>
                </c:pt>
                <c:pt idx="171">
                  <c:v>0.976205342266112</c:v>
                </c:pt>
                <c:pt idx="172">
                  <c:v>0.976205342266112</c:v>
                </c:pt>
                <c:pt idx="173">
                  <c:v>0.976205342266112</c:v>
                </c:pt>
                <c:pt idx="174">
                  <c:v>0.976205342266112</c:v>
                </c:pt>
                <c:pt idx="175">
                  <c:v>0.86848651507328101</c:v>
                </c:pt>
                <c:pt idx="176">
                  <c:v>0.86848651507328101</c:v>
                </c:pt>
                <c:pt idx="177">
                  <c:v>0.86848651507328101</c:v>
                </c:pt>
                <c:pt idx="178">
                  <c:v>0.86848651507328101</c:v>
                </c:pt>
                <c:pt idx="179">
                  <c:v>0.86848651507328101</c:v>
                </c:pt>
                <c:pt idx="180">
                  <c:v>0.87857948382126905</c:v>
                </c:pt>
                <c:pt idx="181">
                  <c:v>0.87857948382126905</c:v>
                </c:pt>
                <c:pt idx="182">
                  <c:v>0.87857948382126905</c:v>
                </c:pt>
                <c:pt idx="183">
                  <c:v>0.87857948382126905</c:v>
                </c:pt>
                <c:pt idx="184">
                  <c:v>0.87857948382126905</c:v>
                </c:pt>
                <c:pt idx="185">
                  <c:v>0.88617155990762297</c:v>
                </c:pt>
                <c:pt idx="186">
                  <c:v>0.88617155990762297</c:v>
                </c:pt>
                <c:pt idx="187">
                  <c:v>0.88617155990762297</c:v>
                </c:pt>
                <c:pt idx="188">
                  <c:v>0.87154314951038103</c:v>
                </c:pt>
                <c:pt idx="189">
                  <c:v>0.87154314951038103</c:v>
                </c:pt>
                <c:pt idx="190">
                  <c:v>0.93444271648805399</c:v>
                </c:pt>
                <c:pt idx="191">
                  <c:v>0.93444271648805399</c:v>
                </c:pt>
                <c:pt idx="192">
                  <c:v>0.93444271648805399</c:v>
                </c:pt>
                <c:pt idx="193">
                  <c:v>0.93444271648805399</c:v>
                </c:pt>
                <c:pt idx="194">
                  <c:v>0.93444271648805399</c:v>
                </c:pt>
                <c:pt idx="195">
                  <c:v>0.94361195161193201</c:v>
                </c:pt>
                <c:pt idx="196">
                  <c:v>0.94361195161193201</c:v>
                </c:pt>
                <c:pt idx="197">
                  <c:v>0.94361195161193201</c:v>
                </c:pt>
                <c:pt idx="198">
                  <c:v>0.94361195161193201</c:v>
                </c:pt>
                <c:pt idx="199">
                  <c:v>0.93444271648805399</c:v>
                </c:pt>
                <c:pt idx="200">
                  <c:v>0.93444271648805399</c:v>
                </c:pt>
                <c:pt idx="201">
                  <c:v>0.93444271648805399</c:v>
                </c:pt>
                <c:pt idx="202">
                  <c:v>0.93444271648805399</c:v>
                </c:pt>
                <c:pt idx="203">
                  <c:v>0.94997170807452402</c:v>
                </c:pt>
                <c:pt idx="204">
                  <c:v>0.94997170807452402</c:v>
                </c:pt>
                <c:pt idx="205">
                  <c:v>0.94997170807452402</c:v>
                </c:pt>
                <c:pt idx="206">
                  <c:v>0.94997170807452402</c:v>
                </c:pt>
                <c:pt idx="207">
                  <c:v>0.94997170807452402</c:v>
                </c:pt>
                <c:pt idx="208">
                  <c:v>0.91507025140832299</c:v>
                </c:pt>
                <c:pt idx="209">
                  <c:v>0.91507025140832299</c:v>
                </c:pt>
                <c:pt idx="210">
                  <c:v>0.91507025140832299</c:v>
                </c:pt>
                <c:pt idx="211">
                  <c:v>0.91507025140832299</c:v>
                </c:pt>
                <c:pt idx="212">
                  <c:v>0.91507025140832299</c:v>
                </c:pt>
                <c:pt idx="213">
                  <c:v>0.92424960668246803</c:v>
                </c:pt>
                <c:pt idx="214">
                  <c:v>0.92424960668246803</c:v>
                </c:pt>
                <c:pt idx="215">
                  <c:v>0.92424960668246803</c:v>
                </c:pt>
                <c:pt idx="216">
                  <c:v>0.92424960668246803</c:v>
                </c:pt>
                <c:pt idx="217">
                  <c:v>0.92424960668246803</c:v>
                </c:pt>
                <c:pt idx="218">
                  <c:v>0.95314447637365096</c:v>
                </c:pt>
                <c:pt idx="219">
                  <c:v>0.95314447637365096</c:v>
                </c:pt>
                <c:pt idx="220">
                  <c:v>0.95314447637365096</c:v>
                </c:pt>
                <c:pt idx="221">
                  <c:v>0.95314447637365096</c:v>
                </c:pt>
                <c:pt idx="222">
                  <c:v>0.95314447637365096</c:v>
                </c:pt>
                <c:pt idx="223">
                  <c:v>0.96018409449731501</c:v>
                </c:pt>
                <c:pt idx="224">
                  <c:v>0.96018409449731501</c:v>
                </c:pt>
                <c:pt idx="225">
                  <c:v>0.96018409449731501</c:v>
                </c:pt>
                <c:pt idx="226">
                  <c:v>0.96018409449731501</c:v>
                </c:pt>
                <c:pt idx="227">
                  <c:v>0.946426701963341</c:v>
                </c:pt>
                <c:pt idx="228">
                  <c:v>0.946426701963341</c:v>
                </c:pt>
                <c:pt idx="229">
                  <c:v>0.93504552892939297</c:v>
                </c:pt>
                <c:pt idx="230">
                  <c:v>0.93504552892939297</c:v>
                </c:pt>
                <c:pt idx="231">
                  <c:v>0.951307534663687</c:v>
                </c:pt>
                <c:pt idx="232">
                  <c:v>0.951307534663687</c:v>
                </c:pt>
                <c:pt idx="233">
                  <c:v>0.951307534663687</c:v>
                </c:pt>
                <c:pt idx="234">
                  <c:v>0.951307534663687</c:v>
                </c:pt>
                <c:pt idx="235">
                  <c:v>0.951307534663687</c:v>
                </c:pt>
                <c:pt idx="236">
                  <c:v>0.95320351892281396</c:v>
                </c:pt>
                <c:pt idx="237">
                  <c:v>0.95320351892281396</c:v>
                </c:pt>
                <c:pt idx="238">
                  <c:v>0.95320351892281396</c:v>
                </c:pt>
                <c:pt idx="239">
                  <c:v>0.95320351892281396</c:v>
                </c:pt>
                <c:pt idx="240">
                  <c:v>0.95352518495215399</c:v>
                </c:pt>
                <c:pt idx="241">
                  <c:v>0.95352518495215399</c:v>
                </c:pt>
                <c:pt idx="242">
                  <c:v>0.95352518495215399</c:v>
                </c:pt>
                <c:pt idx="243">
                  <c:v>0.95352518495215399</c:v>
                </c:pt>
                <c:pt idx="244">
                  <c:v>0.95352518495215399</c:v>
                </c:pt>
                <c:pt idx="245">
                  <c:v>0.91861521434498905</c:v>
                </c:pt>
                <c:pt idx="246">
                  <c:v>0.91861521434498905</c:v>
                </c:pt>
                <c:pt idx="247">
                  <c:v>0.91861521434498905</c:v>
                </c:pt>
                <c:pt idx="248">
                  <c:v>0.91861521434498905</c:v>
                </c:pt>
                <c:pt idx="249">
                  <c:v>0.90547247005091003</c:v>
                </c:pt>
                <c:pt idx="250">
                  <c:v>0.942309298561672</c:v>
                </c:pt>
                <c:pt idx="251">
                  <c:v>0.942309298561672</c:v>
                </c:pt>
                <c:pt idx="252">
                  <c:v>0.942309298561672</c:v>
                </c:pt>
                <c:pt idx="253">
                  <c:v>0.942309298561672</c:v>
                </c:pt>
                <c:pt idx="254">
                  <c:v>0.942309298561672</c:v>
                </c:pt>
                <c:pt idx="255">
                  <c:v>0.942309298561672</c:v>
                </c:pt>
                <c:pt idx="256">
                  <c:v>0.942309298561672</c:v>
                </c:pt>
                <c:pt idx="257">
                  <c:v>0.942309298561672</c:v>
                </c:pt>
                <c:pt idx="258">
                  <c:v>0.942309298561672</c:v>
                </c:pt>
                <c:pt idx="259">
                  <c:v>0.942309298561672</c:v>
                </c:pt>
                <c:pt idx="260">
                  <c:v>0.942309298561672</c:v>
                </c:pt>
                <c:pt idx="261">
                  <c:v>0.942309298561672</c:v>
                </c:pt>
                <c:pt idx="262">
                  <c:v>0.942309298561672</c:v>
                </c:pt>
                <c:pt idx="263">
                  <c:v>0.942309298561672</c:v>
                </c:pt>
                <c:pt idx="264">
                  <c:v>0.92275139849227505</c:v>
                </c:pt>
                <c:pt idx="265">
                  <c:v>0.942309298561672</c:v>
                </c:pt>
                <c:pt idx="266">
                  <c:v>0.92275139849227505</c:v>
                </c:pt>
                <c:pt idx="267">
                  <c:v>0.92275139849227505</c:v>
                </c:pt>
                <c:pt idx="268">
                  <c:v>0.92275139849227505</c:v>
                </c:pt>
                <c:pt idx="269">
                  <c:v>0.91952398603163898</c:v>
                </c:pt>
                <c:pt idx="270">
                  <c:v>0.91952398603163898</c:v>
                </c:pt>
                <c:pt idx="271">
                  <c:v>0.91952398603163898</c:v>
                </c:pt>
                <c:pt idx="272">
                  <c:v>0.91952398603163898</c:v>
                </c:pt>
                <c:pt idx="273">
                  <c:v>0.91952398603163898</c:v>
                </c:pt>
                <c:pt idx="274">
                  <c:v>0.920801695575303</c:v>
                </c:pt>
                <c:pt idx="275">
                  <c:v>0.920801695575303</c:v>
                </c:pt>
                <c:pt idx="276">
                  <c:v>0.920801695575303</c:v>
                </c:pt>
                <c:pt idx="277">
                  <c:v>0.920801695575303</c:v>
                </c:pt>
                <c:pt idx="278">
                  <c:v>0.920801695575303</c:v>
                </c:pt>
                <c:pt idx="279">
                  <c:v>0.91685044012466899</c:v>
                </c:pt>
                <c:pt idx="280">
                  <c:v>0.91685044012466899</c:v>
                </c:pt>
                <c:pt idx="281">
                  <c:v>0.91685044012466899</c:v>
                </c:pt>
                <c:pt idx="282">
                  <c:v>0.91685044012466899</c:v>
                </c:pt>
                <c:pt idx="283">
                  <c:v>0.91685044012466899</c:v>
                </c:pt>
                <c:pt idx="284">
                  <c:v>0.80564025680948503</c:v>
                </c:pt>
                <c:pt idx="285">
                  <c:v>0.80564025680948503</c:v>
                </c:pt>
                <c:pt idx="286">
                  <c:v>0.80564025680948503</c:v>
                </c:pt>
                <c:pt idx="287">
                  <c:v>0.80564025680948503</c:v>
                </c:pt>
                <c:pt idx="288">
                  <c:v>0.80564025680948503</c:v>
                </c:pt>
                <c:pt idx="289">
                  <c:v>0.87350901373716205</c:v>
                </c:pt>
                <c:pt idx="290">
                  <c:v>0.87350901373716205</c:v>
                </c:pt>
                <c:pt idx="291">
                  <c:v>0.86085196162229005</c:v>
                </c:pt>
                <c:pt idx="292">
                  <c:v>0.86085196162229005</c:v>
                </c:pt>
                <c:pt idx="293">
                  <c:v>0.86085196162229005</c:v>
                </c:pt>
                <c:pt idx="294">
                  <c:v>0.86928745494692705</c:v>
                </c:pt>
                <c:pt idx="295">
                  <c:v>0.86928745494692705</c:v>
                </c:pt>
                <c:pt idx="296">
                  <c:v>0.86928745494692705</c:v>
                </c:pt>
                <c:pt idx="297">
                  <c:v>0.86928745494692705</c:v>
                </c:pt>
                <c:pt idx="298">
                  <c:v>0.86928745494692705</c:v>
                </c:pt>
                <c:pt idx="299">
                  <c:v>0.90843431405369401</c:v>
                </c:pt>
                <c:pt idx="300">
                  <c:v>0.90843431405369401</c:v>
                </c:pt>
                <c:pt idx="301">
                  <c:v>0.90843431405369401</c:v>
                </c:pt>
                <c:pt idx="302">
                  <c:v>0.90843431405369401</c:v>
                </c:pt>
                <c:pt idx="303">
                  <c:v>0.90843431405369401</c:v>
                </c:pt>
                <c:pt idx="304">
                  <c:v>0.90710064326562501</c:v>
                </c:pt>
                <c:pt idx="305">
                  <c:v>0.90710064326562501</c:v>
                </c:pt>
                <c:pt idx="306">
                  <c:v>0.90710064326562501</c:v>
                </c:pt>
                <c:pt idx="307">
                  <c:v>0.90710064326562501</c:v>
                </c:pt>
                <c:pt idx="308">
                  <c:v>0.90710064326562501</c:v>
                </c:pt>
                <c:pt idx="309">
                  <c:v>0.90843431405369401</c:v>
                </c:pt>
                <c:pt idx="310">
                  <c:v>0.90843431405369401</c:v>
                </c:pt>
                <c:pt idx="311">
                  <c:v>0.90843431405369401</c:v>
                </c:pt>
                <c:pt idx="312">
                  <c:v>0.89130997835799997</c:v>
                </c:pt>
                <c:pt idx="313">
                  <c:v>0.89130997835799997</c:v>
                </c:pt>
                <c:pt idx="314">
                  <c:v>0.89320680852935697</c:v>
                </c:pt>
                <c:pt idx="315">
                  <c:v>0.89320680852935697</c:v>
                </c:pt>
                <c:pt idx="316">
                  <c:v>0.89320680852935697</c:v>
                </c:pt>
                <c:pt idx="317">
                  <c:v>0.89320680852935697</c:v>
                </c:pt>
                <c:pt idx="318">
                  <c:v>0.89320680852935697</c:v>
                </c:pt>
                <c:pt idx="319">
                  <c:v>0.89335852280722505</c:v>
                </c:pt>
                <c:pt idx="320">
                  <c:v>0.89335852280722505</c:v>
                </c:pt>
                <c:pt idx="321">
                  <c:v>0.89335852280722505</c:v>
                </c:pt>
                <c:pt idx="322">
                  <c:v>0.89335852280722505</c:v>
                </c:pt>
                <c:pt idx="323">
                  <c:v>0.89335852280722505</c:v>
                </c:pt>
                <c:pt idx="324">
                  <c:v>0.89485932552840397</c:v>
                </c:pt>
                <c:pt idx="325">
                  <c:v>0.89485932552840397</c:v>
                </c:pt>
                <c:pt idx="326">
                  <c:v>0.89485932552840397</c:v>
                </c:pt>
                <c:pt idx="327">
                  <c:v>0.89485932552840397</c:v>
                </c:pt>
                <c:pt idx="328">
                  <c:v>0.89485932552840397</c:v>
                </c:pt>
                <c:pt idx="329">
                  <c:v>0.89505966783361102</c:v>
                </c:pt>
                <c:pt idx="330">
                  <c:v>0.89505966783361102</c:v>
                </c:pt>
                <c:pt idx="331">
                  <c:v>0.89505966783361102</c:v>
                </c:pt>
                <c:pt idx="332">
                  <c:v>0.89505966783361102</c:v>
                </c:pt>
                <c:pt idx="333">
                  <c:v>0.89598257612375398</c:v>
                </c:pt>
                <c:pt idx="334">
                  <c:v>0.88344911791249303</c:v>
                </c:pt>
                <c:pt idx="335">
                  <c:v>0.88344911791249303</c:v>
                </c:pt>
                <c:pt idx="336">
                  <c:v>0.88344911791249303</c:v>
                </c:pt>
                <c:pt idx="337">
                  <c:v>0.88344911791249303</c:v>
                </c:pt>
                <c:pt idx="338">
                  <c:v>0.89196946223805695</c:v>
                </c:pt>
                <c:pt idx="339">
                  <c:v>0.89196946223805695</c:v>
                </c:pt>
                <c:pt idx="340">
                  <c:v>0.89196946223805695</c:v>
                </c:pt>
                <c:pt idx="341">
                  <c:v>0.89196946223805695</c:v>
                </c:pt>
                <c:pt idx="342">
                  <c:v>0.89196946223805695</c:v>
                </c:pt>
                <c:pt idx="343">
                  <c:v>0.88661468253780695</c:v>
                </c:pt>
                <c:pt idx="344">
                  <c:v>0.88661468253780695</c:v>
                </c:pt>
                <c:pt idx="345">
                  <c:v>0.88661468253780695</c:v>
                </c:pt>
                <c:pt idx="346">
                  <c:v>0.88661468253780695</c:v>
                </c:pt>
                <c:pt idx="347">
                  <c:v>0.88661468253780695</c:v>
                </c:pt>
                <c:pt idx="348">
                  <c:v>0.89395578636495998</c:v>
                </c:pt>
                <c:pt idx="349">
                  <c:v>0.89395578636495998</c:v>
                </c:pt>
                <c:pt idx="350">
                  <c:v>0.89395578636495998</c:v>
                </c:pt>
                <c:pt idx="351">
                  <c:v>0.89395578636495998</c:v>
                </c:pt>
                <c:pt idx="352">
                  <c:v>0.89395578636495998</c:v>
                </c:pt>
                <c:pt idx="353">
                  <c:v>0.89395578636495998</c:v>
                </c:pt>
                <c:pt idx="354">
                  <c:v>0.89395578636495998</c:v>
                </c:pt>
                <c:pt idx="355">
                  <c:v>0.87735489357143903</c:v>
                </c:pt>
                <c:pt idx="356">
                  <c:v>0.87735489357143903</c:v>
                </c:pt>
                <c:pt idx="357">
                  <c:v>0.89133476417306701</c:v>
                </c:pt>
                <c:pt idx="358">
                  <c:v>0.89133476417306701</c:v>
                </c:pt>
                <c:pt idx="359">
                  <c:v>0.89133476417306701</c:v>
                </c:pt>
                <c:pt idx="360">
                  <c:v>0.89133476417306701</c:v>
                </c:pt>
                <c:pt idx="361">
                  <c:v>0.89133476417306701</c:v>
                </c:pt>
                <c:pt idx="362">
                  <c:v>0.944528095453952</c:v>
                </c:pt>
                <c:pt idx="363">
                  <c:v>0.944528095453952</c:v>
                </c:pt>
                <c:pt idx="364">
                  <c:v>0.944528095453952</c:v>
                </c:pt>
                <c:pt idx="365">
                  <c:v>0.944528095453952</c:v>
                </c:pt>
                <c:pt idx="366">
                  <c:v>0.944528095453952</c:v>
                </c:pt>
                <c:pt idx="367">
                  <c:v>0.97186924857157997</c:v>
                </c:pt>
                <c:pt idx="368">
                  <c:v>0.97186924857157997</c:v>
                </c:pt>
                <c:pt idx="369">
                  <c:v>0.97186924857157997</c:v>
                </c:pt>
                <c:pt idx="370">
                  <c:v>0.97186924857157997</c:v>
                </c:pt>
                <c:pt idx="371">
                  <c:v>0.97186924857157997</c:v>
                </c:pt>
                <c:pt idx="372">
                  <c:v>0.98447138587305705</c:v>
                </c:pt>
                <c:pt idx="373">
                  <c:v>0.97186924857157997</c:v>
                </c:pt>
                <c:pt idx="374">
                  <c:v>0.98447138587305705</c:v>
                </c:pt>
                <c:pt idx="375">
                  <c:v>0.98447138587305705</c:v>
                </c:pt>
                <c:pt idx="376">
                  <c:v>0.97289569754528904</c:v>
                </c:pt>
                <c:pt idx="377">
                  <c:v>0.93852225394978095</c:v>
                </c:pt>
                <c:pt idx="378">
                  <c:v>0.93852225394978095</c:v>
                </c:pt>
                <c:pt idx="379">
                  <c:v>0.93852225394978095</c:v>
                </c:pt>
                <c:pt idx="380">
                  <c:v>0.93852225394978095</c:v>
                </c:pt>
                <c:pt idx="381">
                  <c:v>0.93852225394978095</c:v>
                </c:pt>
                <c:pt idx="382">
                  <c:v>0.88830449257823196</c:v>
                </c:pt>
                <c:pt idx="383">
                  <c:v>0.88830449257823196</c:v>
                </c:pt>
                <c:pt idx="384">
                  <c:v>0.88830449257823196</c:v>
                </c:pt>
                <c:pt idx="385">
                  <c:v>0.88830449257823196</c:v>
                </c:pt>
                <c:pt idx="386">
                  <c:v>0.88830449257823196</c:v>
                </c:pt>
                <c:pt idx="387">
                  <c:v>0.871668034024078</c:v>
                </c:pt>
                <c:pt idx="388">
                  <c:v>0.871668034024078</c:v>
                </c:pt>
                <c:pt idx="389">
                  <c:v>0.871668034024078</c:v>
                </c:pt>
                <c:pt idx="390">
                  <c:v>0.871668034024078</c:v>
                </c:pt>
                <c:pt idx="391">
                  <c:v>0.871668034024078</c:v>
                </c:pt>
                <c:pt idx="392">
                  <c:v>0.85676613742448104</c:v>
                </c:pt>
                <c:pt idx="393">
                  <c:v>0.85676613742448104</c:v>
                </c:pt>
                <c:pt idx="394">
                  <c:v>0.85676613742448104</c:v>
                </c:pt>
                <c:pt idx="395">
                  <c:v>0.85676613742448104</c:v>
                </c:pt>
                <c:pt idx="396">
                  <c:v>0.85676613742448104</c:v>
                </c:pt>
                <c:pt idx="397">
                  <c:v>0.88830449257823196</c:v>
                </c:pt>
                <c:pt idx="398">
                  <c:v>0.88830449257823196</c:v>
                </c:pt>
                <c:pt idx="399">
                  <c:v>0.86613218698070704</c:v>
                </c:pt>
                <c:pt idx="400">
                  <c:v>0.86613218698070704</c:v>
                </c:pt>
                <c:pt idx="401">
                  <c:v>0.91761037893987496</c:v>
                </c:pt>
                <c:pt idx="402">
                  <c:v>0.91761037893987496</c:v>
                </c:pt>
                <c:pt idx="403">
                  <c:v>0.91761037893987496</c:v>
                </c:pt>
                <c:pt idx="404">
                  <c:v>0.91761037893987496</c:v>
                </c:pt>
                <c:pt idx="405">
                  <c:v>0.91761037893987496</c:v>
                </c:pt>
                <c:pt idx="406">
                  <c:v>0.91761037893987496</c:v>
                </c:pt>
                <c:pt idx="407">
                  <c:v>0.91761037893987496</c:v>
                </c:pt>
                <c:pt idx="408">
                  <c:v>0.91761037893987496</c:v>
                </c:pt>
                <c:pt idx="409">
                  <c:v>0.91761037893987496</c:v>
                </c:pt>
                <c:pt idx="410">
                  <c:v>0.91761037893987496</c:v>
                </c:pt>
                <c:pt idx="411">
                  <c:v>0.95544116739970197</c:v>
                </c:pt>
                <c:pt idx="412">
                  <c:v>0.95544116739970197</c:v>
                </c:pt>
                <c:pt idx="413">
                  <c:v>0.95544116739970197</c:v>
                </c:pt>
                <c:pt idx="414">
                  <c:v>0.95544116739970197</c:v>
                </c:pt>
                <c:pt idx="415">
                  <c:v>0.95544116739970197</c:v>
                </c:pt>
                <c:pt idx="416">
                  <c:v>0.96361365224695705</c:v>
                </c:pt>
                <c:pt idx="417">
                  <c:v>0.96361365224695705</c:v>
                </c:pt>
                <c:pt idx="418">
                  <c:v>0.95122523158751304</c:v>
                </c:pt>
                <c:pt idx="419">
                  <c:v>0.95122523158751304</c:v>
                </c:pt>
                <c:pt idx="420">
                  <c:v>0.95122523158751304</c:v>
                </c:pt>
                <c:pt idx="421">
                  <c:v>0.95295581960362197</c:v>
                </c:pt>
                <c:pt idx="422">
                  <c:v>0.95295581960362197</c:v>
                </c:pt>
                <c:pt idx="423">
                  <c:v>0.95295581960362197</c:v>
                </c:pt>
                <c:pt idx="424">
                  <c:v>0.95295581960362197</c:v>
                </c:pt>
                <c:pt idx="425">
                  <c:v>0.95157186742127498</c:v>
                </c:pt>
                <c:pt idx="426">
                  <c:v>0.95157186742127498</c:v>
                </c:pt>
                <c:pt idx="427">
                  <c:v>0.95157186742127498</c:v>
                </c:pt>
                <c:pt idx="428">
                  <c:v>0.95157186742127498</c:v>
                </c:pt>
                <c:pt idx="429">
                  <c:v>0.95157186742127498</c:v>
                </c:pt>
                <c:pt idx="430">
                  <c:v>0.95277015909637097</c:v>
                </c:pt>
                <c:pt idx="431">
                  <c:v>0.95277015909637097</c:v>
                </c:pt>
                <c:pt idx="432">
                  <c:v>0.95277015909637097</c:v>
                </c:pt>
                <c:pt idx="433">
                  <c:v>0.95277015909637097</c:v>
                </c:pt>
                <c:pt idx="434">
                  <c:v>0.95277015909637097</c:v>
                </c:pt>
                <c:pt idx="435">
                  <c:v>0.950786071684944</c:v>
                </c:pt>
                <c:pt idx="436">
                  <c:v>0.950786071684944</c:v>
                </c:pt>
                <c:pt idx="437">
                  <c:v>0.950786071684944</c:v>
                </c:pt>
                <c:pt idx="438">
                  <c:v>0.950786071684944</c:v>
                </c:pt>
                <c:pt idx="439">
                  <c:v>0.92568594546185101</c:v>
                </c:pt>
                <c:pt idx="440">
                  <c:v>0.92568594546185101</c:v>
                </c:pt>
                <c:pt idx="441">
                  <c:v>0.92568594546185101</c:v>
                </c:pt>
                <c:pt idx="442">
                  <c:v>0.92568594546185101</c:v>
                </c:pt>
                <c:pt idx="443">
                  <c:v>0.92568594546185101</c:v>
                </c:pt>
                <c:pt idx="444">
                  <c:v>0.92529425270600996</c:v>
                </c:pt>
                <c:pt idx="445">
                  <c:v>0.92529425270600996</c:v>
                </c:pt>
                <c:pt idx="446">
                  <c:v>0.92529425270600996</c:v>
                </c:pt>
                <c:pt idx="447">
                  <c:v>0.92529425270600996</c:v>
                </c:pt>
                <c:pt idx="448">
                  <c:v>0.92772026190850898</c:v>
                </c:pt>
                <c:pt idx="449">
                  <c:v>0.92529425270600996</c:v>
                </c:pt>
                <c:pt idx="450">
                  <c:v>0.92529425270600996</c:v>
                </c:pt>
                <c:pt idx="451">
                  <c:v>0.92772026190850898</c:v>
                </c:pt>
                <c:pt idx="452">
                  <c:v>0.92772026190850898</c:v>
                </c:pt>
                <c:pt idx="453">
                  <c:v>0.92988566192488697</c:v>
                </c:pt>
                <c:pt idx="454">
                  <c:v>0.92988566192488697</c:v>
                </c:pt>
                <c:pt idx="455">
                  <c:v>0.92988566192488697</c:v>
                </c:pt>
                <c:pt idx="456">
                  <c:v>0.92988566192488697</c:v>
                </c:pt>
                <c:pt idx="457">
                  <c:v>0.92962672480790898</c:v>
                </c:pt>
                <c:pt idx="458">
                  <c:v>0.92962672480790898</c:v>
                </c:pt>
                <c:pt idx="459">
                  <c:v>0.91261368517922603</c:v>
                </c:pt>
                <c:pt idx="460">
                  <c:v>0.91261368517922603</c:v>
                </c:pt>
                <c:pt idx="461">
                  <c:v>0.91261368517922603</c:v>
                </c:pt>
                <c:pt idx="462">
                  <c:v>0.91054790878492298</c:v>
                </c:pt>
                <c:pt idx="463">
                  <c:v>0.91054790878492298</c:v>
                </c:pt>
                <c:pt idx="464">
                  <c:v>0.91054790878492298</c:v>
                </c:pt>
                <c:pt idx="465">
                  <c:v>0.91054790878492298</c:v>
                </c:pt>
                <c:pt idx="466">
                  <c:v>0.91054790878492298</c:v>
                </c:pt>
                <c:pt idx="467">
                  <c:v>0.91261368517922603</c:v>
                </c:pt>
                <c:pt idx="468">
                  <c:v>0.91261368517922603</c:v>
                </c:pt>
                <c:pt idx="469">
                  <c:v>0.91261368517922603</c:v>
                </c:pt>
                <c:pt idx="470">
                  <c:v>0.91261368517922603</c:v>
                </c:pt>
                <c:pt idx="471">
                  <c:v>0.91261368517922603</c:v>
                </c:pt>
                <c:pt idx="472">
                  <c:v>0.90964878851271103</c:v>
                </c:pt>
                <c:pt idx="473">
                  <c:v>0.90964878851271103</c:v>
                </c:pt>
                <c:pt idx="474">
                  <c:v>0.90964878851271103</c:v>
                </c:pt>
                <c:pt idx="475">
                  <c:v>0.90964878851271103</c:v>
                </c:pt>
                <c:pt idx="476">
                  <c:v>0.91013454847674702</c:v>
                </c:pt>
                <c:pt idx="477">
                  <c:v>0.91013454847674702</c:v>
                </c:pt>
                <c:pt idx="478">
                  <c:v>0.91013454847674702</c:v>
                </c:pt>
                <c:pt idx="479">
                  <c:v>0.88776607960810605</c:v>
                </c:pt>
                <c:pt idx="480">
                  <c:v>0.88829814088555903</c:v>
                </c:pt>
                <c:pt idx="481">
                  <c:v>0.88829814088555903</c:v>
                </c:pt>
                <c:pt idx="482">
                  <c:v>0.88829814088555903</c:v>
                </c:pt>
                <c:pt idx="483">
                  <c:v>0.88829814088555903</c:v>
                </c:pt>
                <c:pt idx="484">
                  <c:v>0.88829814088555903</c:v>
                </c:pt>
                <c:pt idx="485">
                  <c:v>0.88507237465235999</c:v>
                </c:pt>
                <c:pt idx="486">
                  <c:v>0.88507237465235999</c:v>
                </c:pt>
                <c:pt idx="487">
                  <c:v>0.88507237465235999</c:v>
                </c:pt>
                <c:pt idx="488">
                  <c:v>0.88507237465235999</c:v>
                </c:pt>
                <c:pt idx="489">
                  <c:v>0.88507237465235999</c:v>
                </c:pt>
                <c:pt idx="490">
                  <c:v>0.88631407683414698</c:v>
                </c:pt>
                <c:pt idx="491">
                  <c:v>0.88631407683414698</c:v>
                </c:pt>
                <c:pt idx="492">
                  <c:v>0.88631407683414698</c:v>
                </c:pt>
                <c:pt idx="493">
                  <c:v>0.88631407683414698</c:v>
                </c:pt>
                <c:pt idx="494">
                  <c:v>0.88379536104531298</c:v>
                </c:pt>
                <c:pt idx="495">
                  <c:v>0.88379536104531298</c:v>
                </c:pt>
                <c:pt idx="496">
                  <c:v>0.88379536104531298</c:v>
                </c:pt>
                <c:pt idx="497">
                  <c:v>0.88379536104531298</c:v>
                </c:pt>
                <c:pt idx="498">
                  <c:v>0.88379536104531298</c:v>
                </c:pt>
                <c:pt idx="499">
                  <c:v>0.84748759806752005</c:v>
                </c:pt>
                <c:pt idx="500">
                  <c:v>0.82271172400250803</c:v>
                </c:pt>
                <c:pt idx="501">
                  <c:v>0.82271172400250803</c:v>
                </c:pt>
                <c:pt idx="502">
                  <c:v>0.82271172400250803</c:v>
                </c:pt>
                <c:pt idx="503">
                  <c:v>0.82271172400250803</c:v>
                </c:pt>
                <c:pt idx="504">
                  <c:v>0.82271172400250803</c:v>
                </c:pt>
                <c:pt idx="505">
                  <c:v>0.82271172400250803</c:v>
                </c:pt>
                <c:pt idx="506">
                  <c:v>0.82271172400250803</c:v>
                </c:pt>
                <c:pt idx="507">
                  <c:v>0.82271172400250803</c:v>
                </c:pt>
                <c:pt idx="508">
                  <c:v>0.82271172400250803</c:v>
                </c:pt>
                <c:pt idx="509">
                  <c:v>0.82271172400250803</c:v>
                </c:pt>
                <c:pt idx="510">
                  <c:v>0.82271172400250803</c:v>
                </c:pt>
                <c:pt idx="511">
                  <c:v>0.82271172400250803</c:v>
                </c:pt>
                <c:pt idx="512">
                  <c:v>0.82271172400250803</c:v>
                </c:pt>
                <c:pt idx="513">
                  <c:v>0.79171461670661003</c:v>
                </c:pt>
                <c:pt idx="514">
                  <c:v>0.79171461670661003</c:v>
                </c:pt>
                <c:pt idx="515">
                  <c:v>0.79171461670661003</c:v>
                </c:pt>
                <c:pt idx="516">
                  <c:v>0.79171461670661003</c:v>
                </c:pt>
                <c:pt idx="517">
                  <c:v>0.79171461670661003</c:v>
                </c:pt>
                <c:pt idx="518">
                  <c:v>0.83664177858148003</c:v>
                </c:pt>
                <c:pt idx="519">
                  <c:v>0.81851206223084805</c:v>
                </c:pt>
                <c:pt idx="520">
                  <c:v>0.81851206223084805</c:v>
                </c:pt>
                <c:pt idx="521">
                  <c:v>0.81851206223084805</c:v>
                </c:pt>
                <c:pt idx="522">
                  <c:v>0.81851206223084805</c:v>
                </c:pt>
                <c:pt idx="523">
                  <c:v>0.81207127811354496</c:v>
                </c:pt>
                <c:pt idx="524">
                  <c:v>0.81207127811354496</c:v>
                </c:pt>
                <c:pt idx="525">
                  <c:v>0.81207127811354496</c:v>
                </c:pt>
                <c:pt idx="526">
                  <c:v>0.81207127811354496</c:v>
                </c:pt>
                <c:pt idx="527">
                  <c:v>0.81207127811354496</c:v>
                </c:pt>
                <c:pt idx="528">
                  <c:v>0.71228035501776499</c:v>
                </c:pt>
                <c:pt idx="529">
                  <c:v>0.71228035501776499</c:v>
                </c:pt>
                <c:pt idx="530">
                  <c:v>0.71228035501776499</c:v>
                </c:pt>
                <c:pt idx="531">
                  <c:v>0.71228035501776499</c:v>
                </c:pt>
                <c:pt idx="532">
                  <c:v>0.71228035501776499</c:v>
                </c:pt>
                <c:pt idx="533">
                  <c:v>0.79257538531726102</c:v>
                </c:pt>
                <c:pt idx="534">
                  <c:v>0.79257538531726102</c:v>
                </c:pt>
                <c:pt idx="535">
                  <c:v>0.79257538531726102</c:v>
                </c:pt>
                <c:pt idx="536">
                  <c:v>0.79257538531726102</c:v>
                </c:pt>
                <c:pt idx="537">
                  <c:v>0.79257538531726102</c:v>
                </c:pt>
                <c:pt idx="538">
                  <c:v>0.76303866278122401</c:v>
                </c:pt>
                <c:pt idx="539">
                  <c:v>0.743473360501545</c:v>
                </c:pt>
                <c:pt idx="540">
                  <c:v>0.743473360501545</c:v>
                </c:pt>
                <c:pt idx="541">
                  <c:v>0.743473360501545</c:v>
                </c:pt>
                <c:pt idx="542">
                  <c:v>0.77315817508860396</c:v>
                </c:pt>
                <c:pt idx="543">
                  <c:v>0.77315817508860396</c:v>
                </c:pt>
                <c:pt idx="544">
                  <c:v>0.77315817508860396</c:v>
                </c:pt>
                <c:pt idx="545">
                  <c:v>0.77315817508860396</c:v>
                </c:pt>
                <c:pt idx="546">
                  <c:v>0.77315817508860396</c:v>
                </c:pt>
                <c:pt idx="547">
                  <c:v>0.82454142309345102</c:v>
                </c:pt>
                <c:pt idx="548">
                  <c:v>0.82454142309345102</c:v>
                </c:pt>
                <c:pt idx="549">
                  <c:v>0.82454142309345102</c:v>
                </c:pt>
                <c:pt idx="550">
                  <c:v>0.82454142309345102</c:v>
                </c:pt>
                <c:pt idx="551">
                  <c:v>0.82454142309345102</c:v>
                </c:pt>
                <c:pt idx="552">
                  <c:v>0.82630589885428396</c:v>
                </c:pt>
                <c:pt idx="553">
                  <c:v>0.82630589885428396</c:v>
                </c:pt>
                <c:pt idx="554">
                  <c:v>0.82630589885428396</c:v>
                </c:pt>
                <c:pt idx="555">
                  <c:v>0.82630589885428396</c:v>
                </c:pt>
                <c:pt idx="556">
                  <c:v>0.82630589885428396</c:v>
                </c:pt>
                <c:pt idx="557">
                  <c:v>0.82751009126472896</c:v>
                </c:pt>
                <c:pt idx="558">
                  <c:v>0.82751009126472896</c:v>
                </c:pt>
                <c:pt idx="559">
                  <c:v>0.82751009126472896</c:v>
                </c:pt>
                <c:pt idx="560">
                  <c:v>0.82751009126472896</c:v>
                </c:pt>
                <c:pt idx="561">
                  <c:v>0.81036703654126596</c:v>
                </c:pt>
                <c:pt idx="562">
                  <c:v>0.81666056757909999</c:v>
                </c:pt>
                <c:pt idx="563">
                  <c:v>0.81666056757909999</c:v>
                </c:pt>
                <c:pt idx="564">
                  <c:v>0.81666056757909999</c:v>
                </c:pt>
                <c:pt idx="565">
                  <c:v>0.81666056757909999</c:v>
                </c:pt>
                <c:pt idx="566">
                  <c:v>0.81666056757909999</c:v>
                </c:pt>
                <c:pt idx="567">
                  <c:v>0.80807149473903706</c:v>
                </c:pt>
                <c:pt idx="568">
                  <c:v>0.80807149473903706</c:v>
                </c:pt>
                <c:pt idx="569">
                  <c:v>0.80807149473903706</c:v>
                </c:pt>
                <c:pt idx="570">
                  <c:v>0.80807149473903706</c:v>
                </c:pt>
                <c:pt idx="571">
                  <c:v>0.80807149473903706</c:v>
                </c:pt>
                <c:pt idx="572">
                  <c:v>0.80807149473903706</c:v>
                </c:pt>
                <c:pt idx="573">
                  <c:v>0.80807149473903706</c:v>
                </c:pt>
                <c:pt idx="574">
                  <c:v>0.77783403735744605</c:v>
                </c:pt>
                <c:pt idx="575">
                  <c:v>0.77783403735744605</c:v>
                </c:pt>
                <c:pt idx="576">
                  <c:v>0.77783403735744605</c:v>
                </c:pt>
                <c:pt idx="577">
                  <c:v>0.69478056772037999</c:v>
                </c:pt>
                <c:pt idx="578">
                  <c:v>0.69478056772037999</c:v>
                </c:pt>
                <c:pt idx="579">
                  <c:v>0.69478056772037999</c:v>
                </c:pt>
                <c:pt idx="580">
                  <c:v>0.69478056772037999</c:v>
                </c:pt>
                <c:pt idx="581">
                  <c:v>0.635194452728709</c:v>
                </c:pt>
                <c:pt idx="582">
                  <c:v>0.635194452728709</c:v>
                </c:pt>
                <c:pt idx="583">
                  <c:v>0.614848697284054</c:v>
                </c:pt>
                <c:pt idx="584">
                  <c:v>0.614848697284054</c:v>
                </c:pt>
                <c:pt idx="585">
                  <c:v>0.614848697284054</c:v>
                </c:pt>
                <c:pt idx="586">
                  <c:v>0.60559705603105995</c:v>
                </c:pt>
                <c:pt idx="587">
                  <c:v>0.60559705603105995</c:v>
                </c:pt>
                <c:pt idx="588">
                  <c:v>0.60559705603105995</c:v>
                </c:pt>
                <c:pt idx="589">
                  <c:v>0.60559705603105995</c:v>
                </c:pt>
                <c:pt idx="590">
                  <c:v>0.60559705603105995</c:v>
                </c:pt>
                <c:pt idx="591">
                  <c:v>0.57343184072471898</c:v>
                </c:pt>
                <c:pt idx="592">
                  <c:v>0.57343184072471898</c:v>
                </c:pt>
                <c:pt idx="593">
                  <c:v>0.57343184072471898</c:v>
                </c:pt>
                <c:pt idx="594">
                  <c:v>0.57343184072471898</c:v>
                </c:pt>
                <c:pt idx="595">
                  <c:v>0.57343184072471898</c:v>
                </c:pt>
                <c:pt idx="596">
                  <c:v>0.60175540147873097</c:v>
                </c:pt>
                <c:pt idx="597">
                  <c:v>0.60175540147873097</c:v>
                </c:pt>
                <c:pt idx="598">
                  <c:v>0.60175540147873097</c:v>
                </c:pt>
                <c:pt idx="599">
                  <c:v>0.60175540147873097</c:v>
                </c:pt>
                <c:pt idx="600">
                  <c:v>0.60175540147873097</c:v>
                </c:pt>
                <c:pt idx="601">
                  <c:v>0.41370007412069798</c:v>
                </c:pt>
                <c:pt idx="602">
                  <c:v>0.41370007412069798</c:v>
                </c:pt>
                <c:pt idx="603">
                  <c:v>0.39643390905357601</c:v>
                </c:pt>
                <c:pt idx="604">
                  <c:v>0.39643390905357601</c:v>
                </c:pt>
                <c:pt idx="605">
                  <c:v>0.43308419457729302</c:v>
                </c:pt>
                <c:pt idx="606">
                  <c:v>0.43308419457729302</c:v>
                </c:pt>
                <c:pt idx="607">
                  <c:v>0.43308419457729302</c:v>
                </c:pt>
                <c:pt idx="608">
                  <c:v>0.43308419457729302</c:v>
                </c:pt>
                <c:pt idx="609">
                  <c:v>0.43308419457729302</c:v>
                </c:pt>
                <c:pt idx="610">
                  <c:v>0.34039157628197098</c:v>
                </c:pt>
                <c:pt idx="611">
                  <c:v>0.34039157628197098</c:v>
                </c:pt>
                <c:pt idx="612">
                  <c:v>0.34039157628197098</c:v>
                </c:pt>
                <c:pt idx="613">
                  <c:v>0.34039157628197098</c:v>
                </c:pt>
                <c:pt idx="614">
                  <c:v>0.34039157628197098</c:v>
                </c:pt>
                <c:pt idx="615">
                  <c:v>0.426207408093986</c:v>
                </c:pt>
                <c:pt idx="616">
                  <c:v>0.426207408093986</c:v>
                </c:pt>
                <c:pt idx="617">
                  <c:v>0.426207408093986</c:v>
                </c:pt>
                <c:pt idx="618">
                  <c:v>0.426207408093986</c:v>
                </c:pt>
                <c:pt idx="619">
                  <c:v>0.426207408093986</c:v>
                </c:pt>
                <c:pt idx="620">
                  <c:v>0.43167939138876898</c:v>
                </c:pt>
                <c:pt idx="621">
                  <c:v>0.43167939138876898</c:v>
                </c:pt>
                <c:pt idx="622">
                  <c:v>0.43167939138876898</c:v>
                </c:pt>
                <c:pt idx="623">
                  <c:v>0.43167939138876898</c:v>
                </c:pt>
                <c:pt idx="624">
                  <c:v>0.43167939138876898</c:v>
                </c:pt>
                <c:pt idx="625">
                  <c:v>0.40917398895536999</c:v>
                </c:pt>
                <c:pt idx="626">
                  <c:v>0.40917398895536999</c:v>
                </c:pt>
                <c:pt idx="627">
                  <c:v>0.40917398895536999</c:v>
                </c:pt>
                <c:pt idx="628">
                  <c:v>0.40917398895536999</c:v>
                </c:pt>
                <c:pt idx="629">
                  <c:v>0.40917398895536999</c:v>
                </c:pt>
                <c:pt idx="630">
                  <c:v>0.40794548718226897</c:v>
                </c:pt>
                <c:pt idx="631">
                  <c:v>0.40794548718226897</c:v>
                </c:pt>
                <c:pt idx="632">
                  <c:v>0.40794548718226897</c:v>
                </c:pt>
                <c:pt idx="633">
                  <c:v>0.40794548718226897</c:v>
                </c:pt>
                <c:pt idx="634">
                  <c:v>0.40794548718226897</c:v>
                </c:pt>
                <c:pt idx="635">
                  <c:v>0.40794548718226897</c:v>
                </c:pt>
                <c:pt idx="636">
                  <c:v>0.40794548718226897</c:v>
                </c:pt>
                <c:pt idx="637">
                  <c:v>0.40794548718226897</c:v>
                </c:pt>
                <c:pt idx="638">
                  <c:v>0.40794548718226897</c:v>
                </c:pt>
                <c:pt idx="639">
                  <c:v>0.40794548718226897</c:v>
                </c:pt>
                <c:pt idx="640">
                  <c:v>0.28736143003290598</c:v>
                </c:pt>
                <c:pt idx="641">
                  <c:v>0.28736143003290598</c:v>
                </c:pt>
                <c:pt idx="642">
                  <c:v>0.28736143003290598</c:v>
                </c:pt>
                <c:pt idx="643">
                  <c:v>0.28736143003290598</c:v>
                </c:pt>
                <c:pt idx="644">
                  <c:v>0.28736143003290598</c:v>
                </c:pt>
                <c:pt idx="645">
                  <c:v>0.32609160736856702</c:v>
                </c:pt>
                <c:pt idx="646">
                  <c:v>0.32609160736856702</c:v>
                </c:pt>
                <c:pt idx="647">
                  <c:v>0.315593133253526</c:v>
                </c:pt>
                <c:pt idx="648">
                  <c:v>0.315593133253526</c:v>
                </c:pt>
                <c:pt idx="649">
                  <c:v>0.28153720559456502</c:v>
                </c:pt>
                <c:pt idx="650">
                  <c:v>0.28153720559456502</c:v>
                </c:pt>
                <c:pt idx="651">
                  <c:v>0.28153720559456502</c:v>
                </c:pt>
                <c:pt idx="652">
                  <c:v>0.28153720559456502</c:v>
                </c:pt>
                <c:pt idx="653">
                  <c:v>0.28153720559456502</c:v>
                </c:pt>
                <c:pt idx="654">
                  <c:v>0.28153720559456502</c:v>
                </c:pt>
                <c:pt idx="655">
                  <c:v>0.28153720559456502</c:v>
                </c:pt>
                <c:pt idx="656">
                  <c:v>0.28153720559456502</c:v>
                </c:pt>
                <c:pt idx="657">
                  <c:v>0.28153720559456502</c:v>
                </c:pt>
                <c:pt idx="658">
                  <c:v>0.28153720559456502</c:v>
                </c:pt>
                <c:pt idx="659">
                  <c:v>0.33139494640254802</c:v>
                </c:pt>
                <c:pt idx="660">
                  <c:v>0.33139494640254802</c:v>
                </c:pt>
                <c:pt idx="661">
                  <c:v>0.33139494640254802</c:v>
                </c:pt>
                <c:pt idx="662">
                  <c:v>0.33139494640254802</c:v>
                </c:pt>
                <c:pt idx="663">
                  <c:v>0.33139494640254802</c:v>
                </c:pt>
                <c:pt idx="664">
                  <c:v>0.404422924260806</c:v>
                </c:pt>
                <c:pt idx="665">
                  <c:v>0.404422924260806</c:v>
                </c:pt>
                <c:pt idx="666">
                  <c:v>0.404422924260806</c:v>
                </c:pt>
                <c:pt idx="667">
                  <c:v>0.39753455676891197</c:v>
                </c:pt>
                <c:pt idx="668">
                  <c:v>0.39753455676891197</c:v>
                </c:pt>
                <c:pt idx="669">
                  <c:v>0.41492382770581399</c:v>
                </c:pt>
                <c:pt idx="670">
                  <c:v>0.41492382770581399</c:v>
                </c:pt>
                <c:pt idx="671">
                  <c:v>0.41492382770581399</c:v>
                </c:pt>
                <c:pt idx="672">
                  <c:v>0.41492382770581399</c:v>
                </c:pt>
                <c:pt idx="673">
                  <c:v>0.41492382770581399</c:v>
                </c:pt>
                <c:pt idx="674">
                  <c:v>0.41233771643317702</c:v>
                </c:pt>
                <c:pt idx="675">
                  <c:v>0.41233771643317702</c:v>
                </c:pt>
                <c:pt idx="676">
                  <c:v>0.41233771643317702</c:v>
                </c:pt>
                <c:pt idx="677">
                  <c:v>0.41233771643317702</c:v>
                </c:pt>
                <c:pt idx="678">
                  <c:v>0.40226083862325102</c:v>
                </c:pt>
                <c:pt idx="679">
                  <c:v>0.40226083862325102</c:v>
                </c:pt>
                <c:pt idx="680">
                  <c:v>0.40226083862325102</c:v>
                </c:pt>
                <c:pt idx="681">
                  <c:v>0.40226083862325102</c:v>
                </c:pt>
                <c:pt idx="682">
                  <c:v>0.40226083862325102</c:v>
                </c:pt>
                <c:pt idx="683">
                  <c:v>0.44174331286746599</c:v>
                </c:pt>
                <c:pt idx="684">
                  <c:v>0.44174331286746599</c:v>
                </c:pt>
                <c:pt idx="685">
                  <c:v>0.44174331286746599</c:v>
                </c:pt>
                <c:pt idx="686">
                  <c:v>0.44174331286746599</c:v>
                </c:pt>
                <c:pt idx="687">
                  <c:v>0.46054051472194202</c:v>
                </c:pt>
                <c:pt idx="688">
                  <c:v>0.45992799651573901</c:v>
                </c:pt>
                <c:pt idx="689">
                  <c:v>0.45992799651573901</c:v>
                </c:pt>
                <c:pt idx="690">
                  <c:v>0.45992799651573901</c:v>
                </c:pt>
                <c:pt idx="691">
                  <c:v>0.45992799651573901</c:v>
                </c:pt>
                <c:pt idx="692">
                  <c:v>0.42914615919681298</c:v>
                </c:pt>
                <c:pt idx="693">
                  <c:v>0.42914615919681298</c:v>
                </c:pt>
                <c:pt idx="694">
                  <c:v>0.42914615919681298</c:v>
                </c:pt>
                <c:pt idx="695">
                  <c:v>0.42914615919681298</c:v>
                </c:pt>
                <c:pt idx="696">
                  <c:v>0.42914615919681298</c:v>
                </c:pt>
                <c:pt idx="697">
                  <c:v>0.38756459325455</c:v>
                </c:pt>
                <c:pt idx="698">
                  <c:v>0.38756459325455</c:v>
                </c:pt>
                <c:pt idx="699">
                  <c:v>0.38756459325455</c:v>
                </c:pt>
                <c:pt idx="700">
                  <c:v>0.38756459325455</c:v>
                </c:pt>
                <c:pt idx="701">
                  <c:v>0.41376095810168201</c:v>
                </c:pt>
                <c:pt idx="702">
                  <c:v>0.41376095810168201</c:v>
                </c:pt>
                <c:pt idx="703">
                  <c:v>0.41376095810168201</c:v>
                </c:pt>
                <c:pt idx="704">
                  <c:v>0.41376095810168201</c:v>
                </c:pt>
                <c:pt idx="705">
                  <c:v>0.39685395177288302</c:v>
                </c:pt>
                <c:pt idx="706">
                  <c:v>0.39685395177288302</c:v>
                </c:pt>
                <c:pt idx="707">
                  <c:v>0.39163572008716802</c:v>
                </c:pt>
                <c:pt idx="708">
                  <c:v>0.39163572008716802</c:v>
                </c:pt>
                <c:pt idx="709">
                  <c:v>0.39163572008716802</c:v>
                </c:pt>
                <c:pt idx="710">
                  <c:v>0.347358703685412</c:v>
                </c:pt>
                <c:pt idx="711">
                  <c:v>0.347358703685412</c:v>
                </c:pt>
                <c:pt idx="712">
                  <c:v>0.347358703685412</c:v>
                </c:pt>
                <c:pt idx="713">
                  <c:v>0.347358703685412</c:v>
                </c:pt>
                <c:pt idx="714">
                  <c:v>0.347358703685412</c:v>
                </c:pt>
                <c:pt idx="715">
                  <c:v>0.37050298104882501</c:v>
                </c:pt>
                <c:pt idx="716">
                  <c:v>0.37050298104882501</c:v>
                </c:pt>
                <c:pt idx="717">
                  <c:v>0.37050298104882501</c:v>
                </c:pt>
                <c:pt idx="718">
                  <c:v>0.37050298104882501</c:v>
                </c:pt>
                <c:pt idx="719">
                  <c:v>0.37050298104882501</c:v>
                </c:pt>
                <c:pt idx="720">
                  <c:v>0.33802122298332299</c:v>
                </c:pt>
                <c:pt idx="721">
                  <c:v>0.33802122298332299</c:v>
                </c:pt>
                <c:pt idx="722">
                  <c:v>0.33802122298332299</c:v>
                </c:pt>
                <c:pt idx="723">
                  <c:v>0.33802122298332299</c:v>
                </c:pt>
                <c:pt idx="724">
                  <c:v>0.32957871451229898</c:v>
                </c:pt>
                <c:pt idx="725">
                  <c:v>0.32957871451229898</c:v>
                </c:pt>
                <c:pt idx="726">
                  <c:v>0.32957871451229898</c:v>
                </c:pt>
                <c:pt idx="727">
                  <c:v>0.32957871451229898</c:v>
                </c:pt>
                <c:pt idx="728">
                  <c:v>0.273381996337976</c:v>
                </c:pt>
                <c:pt idx="729">
                  <c:v>0.273381996337976</c:v>
                </c:pt>
                <c:pt idx="730">
                  <c:v>0.273381996337976</c:v>
                </c:pt>
                <c:pt idx="731">
                  <c:v>0.273381996337976</c:v>
                </c:pt>
                <c:pt idx="732">
                  <c:v>0.273381996337976</c:v>
                </c:pt>
                <c:pt idx="733">
                  <c:v>0.28943231649708401</c:v>
                </c:pt>
                <c:pt idx="734">
                  <c:v>0.28943231649708401</c:v>
                </c:pt>
                <c:pt idx="735">
                  <c:v>0.28943231649708401</c:v>
                </c:pt>
                <c:pt idx="736">
                  <c:v>0.28943231649708401</c:v>
                </c:pt>
                <c:pt idx="737">
                  <c:v>0.28943231649708401</c:v>
                </c:pt>
                <c:pt idx="738">
                  <c:v>0.36765798039511299</c:v>
                </c:pt>
                <c:pt idx="739">
                  <c:v>0.36765798039511299</c:v>
                </c:pt>
                <c:pt idx="740">
                  <c:v>0.36765798039511299</c:v>
                </c:pt>
                <c:pt idx="741">
                  <c:v>0.36765798039511299</c:v>
                </c:pt>
                <c:pt idx="742">
                  <c:v>0.37084428304329597</c:v>
                </c:pt>
                <c:pt idx="743">
                  <c:v>0.37084428304329597</c:v>
                </c:pt>
                <c:pt idx="744">
                  <c:v>0.37084428304329597</c:v>
                </c:pt>
                <c:pt idx="745">
                  <c:v>0.37084428304329597</c:v>
                </c:pt>
                <c:pt idx="746">
                  <c:v>0.37084428304329597</c:v>
                </c:pt>
                <c:pt idx="747">
                  <c:v>0.38154102604960499</c:v>
                </c:pt>
                <c:pt idx="748">
                  <c:v>0.38154102604960499</c:v>
                </c:pt>
                <c:pt idx="749">
                  <c:v>0.37772565332895602</c:v>
                </c:pt>
                <c:pt idx="750">
                  <c:v>0.37772565332895602</c:v>
                </c:pt>
                <c:pt idx="751">
                  <c:v>0.37772565332895602</c:v>
                </c:pt>
                <c:pt idx="752">
                  <c:v>0.39983029630913802</c:v>
                </c:pt>
                <c:pt idx="753">
                  <c:v>0.39983029630913802</c:v>
                </c:pt>
                <c:pt idx="754">
                  <c:v>0.39983029630913802</c:v>
                </c:pt>
                <c:pt idx="755">
                  <c:v>0.39983029630913802</c:v>
                </c:pt>
                <c:pt idx="756">
                  <c:v>0.39983029630913802</c:v>
                </c:pt>
                <c:pt idx="757">
                  <c:v>0.385235227392075</c:v>
                </c:pt>
                <c:pt idx="758">
                  <c:v>0.385235227392075</c:v>
                </c:pt>
                <c:pt idx="759">
                  <c:v>0.385235227392075</c:v>
                </c:pt>
                <c:pt idx="760">
                  <c:v>0.385235227392075</c:v>
                </c:pt>
                <c:pt idx="761">
                  <c:v>0.375411030467661</c:v>
                </c:pt>
                <c:pt idx="762">
                  <c:v>0.375411030467661</c:v>
                </c:pt>
                <c:pt idx="763">
                  <c:v>0.375411030467661</c:v>
                </c:pt>
                <c:pt idx="764">
                  <c:v>0.375411030467661</c:v>
                </c:pt>
                <c:pt idx="765">
                  <c:v>0.375411030467661</c:v>
                </c:pt>
                <c:pt idx="766">
                  <c:v>0.36950911021955302</c:v>
                </c:pt>
                <c:pt idx="767">
                  <c:v>0.36950911021955302</c:v>
                </c:pt>
                <c:pt idx="768">
                  <c:v>0.36618748344447</c:v>
                </c:pt>
                <c:pt idx="769">
                  <c:v>0.36618748344447</c:v>
                </c:pt>
                <c:pt idx="770">
                  <c:v>0.36618748344447</c:v>
                </c:pt>
                <c:pt idx="771">
                  <c:v>0.38305038505575201</c:v>
                </c:pt>
                <c:pt idx="772">
                  <c:v>0.38305038505575201</c:v>
                </c:pt>
                <c:pt idx="773">
                  <c:v>0.38305038505575201</c:v>
                </c:pt>
                <c:pt idx="774">
                  <c:v>0.38305038505575201</c:v>
                </c:pt>
                <c:pt idx="775">
                  <c:v>0.38305038505575201</c:v>
                </c:pt>
                <c:pt idx="776">
                  <c:v>0.36618748344447</c:v>
                </c:pt>
                <c:pt idx="777">
                  <c:v>0.36618748344447</c:v>
                </c:pt>
                <c:pt idx="778">
                  <c:v>0.36618748344447</c:v>
                </c:pt>
                <c:pt idx="779">
                  <c:v>0.36618748344447</c:v>
                </c:pt>
                <c:pt idx="780">
                  <c:v>0.36618748344447</c:v>
                </c:pt>
                <c:pt idx="781">
                  <c:v>0.37473459168456602</c:v>
                </c:pt>
                <c:pt idx="782">
                  <c:v>0.37473459168456602</c:v>
                </c:pt>
                <c:pt idx="783">
                  <c:v>0.37473459168456602</c:v>
                </c:pt>
                <c:pt idx="784">
                  <c:v>0.37473459168456602</c:v>
                </c:pt>
                <c:pt idx="785">
                  <c:v>0.37473459168456602</c:v>
                </c:pt>
                <c:pt idx="786">
                  <c:v>0.36106783694827599</c:v>
                </c:pt>
                <c:pt idx="787">
                  <c:v>0.36106783694827599</c:v>
                </c:pt>
                <c:pt idx="788">
                  <c:v>0.36106783694827599</c:v>
                </c:pt>
                <c:pt idx="789">
                  <c:v>0.35665287918352401</c:v>
                </c:pt>
                <c:pt idx="790">
                  <c:v>0.35665287918352401</c:v>
                </c:pt>
                <c:pt idx="791">
                  <c:v>0.35514156438481698</c:v>
                </c:pt>
                <c:pt idx="792">
                  <c:v>0.35514156438481698</c:v>
                </c:pt>
                <c:pt idx="793">
                  <c:v>0.35514156438481698</c:v>
                </c:pt>
                <c:pt idx="794">
                  <c:v>0.35514156438481698</c:v>
                </c:pt>
                <c:pt idx="795">
                  <c:v>0.35514156438481698</c:v>
                </c:pt>
                <c:pt idx="796">
                  <c:v>0.36665858727100598</c:v>
                </c:pt>
                <c:pt idx="797">
                  <c:v>0.36665858727100598</c:v>
                </c:pt>
                <c:pt idx="798">
                  <c:v>0.36665858727100598</c:v>
                </c:pt>
                <c:pt idx="799">
                  <c:v>0.36665858727100598</c:v>
                </c:pt>
                <c:pt idx="800">
                  <c:v>0.36665858727100598</c:v>
                </c:pt>
                <c:pt idx="801">
                  <c:v>0.38166972699665502</c:v>
                </c:pt>
                <c:pt idx="802">
                  <c:v>0.38166972699665502</c:v>
                </c:pt>
                <c:pt idx="803">
                  <c:v>0.38166972699665502</c:v>
                </c:pt>
                <c:pt idx="804">
                  <c:v>0.38166972699665502</c:v>
                </c:pt>
                <c:pt idx="805">
                  <c:v>0.36809292035715802</c:v>
                </c:pt>
                <c:pt idx="806">
                  <c:v>0.36809292035715802</c:v>
                </c:pt>
                <c:pt idx="807">
                  <c:v>0.36809292035715802</c:v>
                </c:pt>
                <c:pt idx="808">
                  <c:v>0.36809292035715802</c:v>
                </c:pt>
                <c:pt idx="809">
                  <c:v>0.36809292035715802</c:v>
                </c:pt>
                <c:pt idx="810">
                  <c:v>0.37329753351950501</c:v>
                </c:pt>
                <c:pt idx="811">
                  <c:v>0.37329753351950501</c:v>
                </c:pt>
                <c:pt idx="812">
                  <c:v>0.37329753351950501</c:v>
                </c:pt>
                <c:pt idx="813">
                  <c:v>0.37329753351950501</c:v>
                </c:pt>
                <c:pt idx="814">
                  <c:v>0.37329753351950501</c:v>
                </c:pt>
                <c:pt idx="815">
                  <c:v>0.40121753760358098</c:v>
                </c:pt>
                <c:pt idx="816">
                  <c:v>0.40121753760358098</c:v>
                </c:pt>
                <c:pt idx="817">
                  <c:v>0.40121753760358098</c:v>
                </c:pt>
                <c:pt idx="818">
                  <c:v>0.40121753760358098</c:v>
                </c:pt>
                <c:pt idx="819">
                  <c:v>0.40121753760358098</c:v>
                </c:pt>
                <c:pt idx="820">
                  <c:v>0.40418715867892502</c:v>
                </c:pt>
                <c:pt idx="821">
                  <c:v>0.40418715867892502</c:v>
                </c:pt>
                <c:pt idx="822">
                  <c:v>0.40418715867892502</c:v>
                </c:pt>
                <c:pt idx="823">
                  <c:v>0.40418715867892502</c:v>
                </c:pt>
                <c:pt idx="824">
                  <c:v>0.40418715867892502</c:v>
                </c:pt>
                <c:pt idx="825">
                  <c:v>0.43156044404796001</c:v>
                </c:pt>
                <c:pt idx="826">
                  <c:v>0.43156044404796001</c:v>
                </c:pt>
                <c:pt idx="827">
                  <c:v>0.43156044404796001</c:v>
                </c:pt>
                <c:pt idx="828">
                  <c:v>0.43156044404796001</c:v>
                </c:pt>
                <c:pt idx="829">
                  <c:v>0.44289145430937299</c:v>
                </c:pt>
                <c:pt idx="830">
                  <c:v>0.44289145430937299</c:v>
                </c:pt>
                <c:pt idx="831">
                  <c:v>0.44150761506791297</c:v>
                </c:pt>
                <c:pt idx="832">
                  <c:v>0.44150761506791297</c:v>
                </c:pt>
                <c:pt idx="833">
                  <c:v>0.44150761506791297</c:v>
                </c:pt>
                <c:pt idx="834">
                  <c:v>0.429907169996321</c:v>
                </c:pt>
                <c:pt idx="835">
                  <c:v>0.429907169996321</c:v>
                </c:pt>
                <c:pt idx="836">
                  <c:v>0.429907169996321</c:v>
                </c:pt>
                <c:pt idx="837">
                  <c:v>0.429907169996321</c:v>
                </c:pt>
                <c:pt idx="838">
                  <c:v>0.429907169996321</c:v>
                </c:pt>
                <c:pt idx="839">
                  <c:v>0.40128471016646999</c:v>
                </c:pt>
                <c:pt idx="840">
                  <c:v>0.40128471016646999</c:v>
                </c:pt>
                <c:pt idx="841">
                  <c:v>0.40128471016646999</c:v>
                </c:pt>
                <c:pt idx="842">
                  <c:v>0.40128471016646999</c:v>
                </c:pt>
                <c:pt idx="843">
                  <c:v>0.40128471016646999</c:v>
                </c:pt>
                <c:pt idx="844">
                  <c:v>0.41370374077875499</c:v>
                </c:pt>
                <c:pt idx="845">
                  <c:v>0.41370374077875499</c:v>
                </c:pt>
                <c:pt idx="846">
                  <c:v>0.41370374077875499</c:v>
                </c:pt>
                <c:pt idx="847">
                  <c:v>0.41370374077875499</c:v>
                </c:pt>
                <c:pt idx="848">
                  <c:v>0.41370374077875499</c:v>
                </c:pt>
                <c:pt idx="849">
                  <c:v>0.429907169996321</c:v>
                </c:pt>
                <c:pt idx="850">
                  <c:v>0.429907169996321</c:v>
                </c:pt>
                <c:pt idx="851">
                  <c:v>0.429907169996321</c:v>
                </c:pt>
                <c:pt idx="852">
                  <c:v>0.42761316319375098</c:v>
                </c:pt>
                <c:pt idx="853">
                  <c:v>0.42761316319375098</c:v>
                </c:pt>
                <c:pt idx="854">
                  <c:v>0.43906416657041802</c:v>
                </c:pt>
                <c:pt idx="855">
                  <c:v>0.43906416657041802</c:v>
                </c:pt>
                <c:pt idx="856">
                  <c:v>0.43906416657041802</c:v>
                </c:pt>
                <c:pt idx="857">
                  <c:v>0.43906416657041802</c:v>
                </c:pt>
                <c:pt idx="858">
                  <c:v>0.420794457847457</c:v>
                </c:pt>
                <c:pt idx="859">
                  <c:v>0.420794457847457</c:v>
                </c:pt>
                <c:pt idx="860">
                  <c:v>0.420794457847457</c:v>
                </c:pt>
                <c:pt idx="861">
                  <c:v>0.420794457847457</c:v>
                </c:pt>
                <c:pt idx="862">
                  <c:v>0.420794457847457</c:v>
                </c:pt>
                <c:pt idx="863">
                  <c:v>0.43231309412176999</c:v>
                </c:pt>
                <c:pt idx="864">
                  <c:v>0.43231309412176999</c:v>
                </c:pt>
                <c:pt idx="865">
                  <c:v>0.43231309412176999</c:v>
                </c:pt>
                <c:pt idx="866">
                  <c:v>0.43231309412176999</c:v>
                </c:pt>
                <c:pt idx="867">
                  <c:v>0.43231309412176999</c:v>
                </c:pt>
                <c:pt idx="868">
                  <c:v>0.43231309412176999</c:v>
                </c:pt>
                <c:pt idx="869">
                  <c:v>0.43231309412176999</c:v>
                </c:pt>
                <c:pt idx="870">
                  <c:v>0.43231309412176999</c:v>
                </c:pt>
                <c:pt idx="871">
                  <c:v>0.43231309412176999</c:v>
                </c:pt>
                <c:pt idx="872">
                  <c:v>0.43231309412176999</c:v>
                </c:pt>
                <c:pt idx="873">
                  <c:v>0.43906416657041802</c:v>
                </c:pt>
                <c:pt idx="874">
                  <c:v>0.43538889187038299</c:v>
                </c:pt>
                <c:pt idx="875">
                  <c:v>0.43538889187038299</c:v>
                </c:pt>
                <c:pt idx="876">
                  <c:v>0.43538889187038299</c:v>
                </c:pt>
                <c:pt idx="877">
                  <c:v>0.43538889187038299</c:v>
                </c:pt>
                <c:pt idx="878">
                  <c:v>0.42413376349642801</c:v>
                </c:pt>
                <c:pt idx="879">
                  <c:v>0.42413376349642801</c:v>
                </c:pt>
                <c:pt idx="880">
                  <c:v>0.42413376349642801</c:v>
                </c:pt>
                <c:pt idx="881">
                  <c:v>0.42413376349642801</c:v>
                </c:pt>
                <c:pt idx="882">
                  <c:v>0.42413376349642801</c:v>
                </c:pt>
                <c:pt idx="883">
                  <c:v>0.43538889187038299</c:v>
                </c:pt>
                <c:pt idx="884">
                  <c:v>0.43538889187038299</c:v>
                </c:pt>
                <c:pt idx="885">
                  <c:v>0.43538889187038299</c:v>
                </c:pt>
                <c:pt idx="886">
                  <c:v>0.43538889187038299</c:v>
                </c:pt>
                <c:pt idx="887">
                  <c:v>0.43538889187038299</c:v>
                </c:pt>
                <c:pt idx="888">
                  <c:v>0.45105980423070802</c:v>
                </c:pt>
                <c:pt idx="889">
                  <c:v>0.45105980423070802</c:v>
                </c:pt>
                <c:pt idx="890">
                  <c:v>0.45105980423070802</c:v>
                </c:pt>
                <c:pt idx="891">
                  <c:v>0.45105980423070802</c:v>
                </c:pt>
                <c:pt idx="892">
                  <c:v>0.45105980423070802</c:v>
                </c:pt>
                <c:pt idx="893">
                  <c:v>0.45105980423070802</c:v>
                </c:pt>
                <c:pt idx="894">
                  <c:v>0.45105980423070802</c:v>
                </c:pt>
                <c:pt idx="895">
                  <c:v>0.44686834225614502</c:v>
                </c:pt>
                <c:pt idx="896">
                  <c:v>0.44686834225614502</c:v>
                </c:pt>
                <c:pt idx="897">
                  <c:v>0.44686834225614502</c:v>
                </c:pt>
                <c:pt idx="898">
                  <c:v>0.44686834225614502</c:v>
                </c:pt>
                <c:pt idx="899">
                  <c:v>0.44686834225614502</c:v>
                </c:pt>
                <c:pt idx="900">
                  <c:v>0.44686834225614502</c:v>
                </c:pt>
                <c:pt idx="901">
                  <c:v>0.44686834225614502</c:v>
                </c:pt>
                <c:pt idx="902">
                  <c:v>0.43119648526610799</c:v>
                </c:pt>
                <c:pt idx="903">
                  <c:v>0.43119648526610799</c:v>
                </c:pt>
                <c:pt idx="904">
                  <c:v>0.43119648526610799</c:v>
                </c:pt>
                <c:pt idx="905">
                  <c:v>0.43119648526610799</c:v>
                </c:pt>
                <c:pt idx="906">
                  <c:v>0.43119648526610799</c:v>
                </c:pt>
                <c:pt idx="907">
                  <c:v>0.37422484012928398</c:v>
                </c:pt>
                <c:pt idx="908">
                  <c:v>0.37422484012928398</c:v>
                </c:pt>
                <c:pt idx="909">
                  <c:v>0.37422484012928398</c:v>
                </c:pt>
                <c:pt idx="910">
                  <c:v>0.37422484012928398</c:v>
                </c:pt>
                <c:pt idx="911">
                  <c:v>0.37422484012928398</c:v>
                </c:pt>
                <c:pt idx="912">
                  <c:v>0.38870901214480402</c:v>
                </c:pt>
                <c:pt idx="913">
                  <c:v>0.38870901214480402</c:v>
                </c:pt>
                <c:pt idx="914">
                  <c:v>0.38870901214480402</c:v>
                </c:pt>
                <c:pt idx="915">
                  <c:v>0.38870901214480402</c:v>
                </c:pt>
                <c:pt idx="916">
                  <c:v>0.38430847776478</c:v>
                </c:pt>
                <c:pt idx="917">
                  <c:v>0.38901935972403701</c:v>
                </c:pt>
                <c:pt idx="918">
                  <c:v>0.38901935972403701</c:v>
                </c:pt>
                <c:pt idx="919">
                  <c:v>0.38901935972403701</c:v>
                </c:pt>
                <c:pt idx="920">
                  <c:v>0.38901935972403701</c:v>
                </c:pt>
                <c:pt idx="921">
                  <c:v>0.38901935972403701</c:v>
                </c:pt>
                <c:pt idx="922">
                  <c:v>0.42675826592863297</c:v>
                </c:pt>
                <c:pt idx="923">
                  <c:v>0.42675826592863297</c:v>
                </c:pt>
                <c:pt idx="924">
                  <c:v>0.42675826592863297</c:v>
                </c:pt>
                <c:pt idx="925">
                  <c:v>0.42675826592863297</c:v>
                </c:pt>
                <c:pt idx="926">
                  <c:v>0.54988615852829004</c:v>
                </c:pt>
                <c:pt idx="927">
                  <c:v>0.54988615852829004</c:v>
                </c:pt>
                <c:pt idx="928">
                  <c:v>0.54988615852829004</c:v>
                </c:pt>
                <c:pt idx="929">
                  <c:v>0.54988615852829004</c:v>
                </c:pt>
                <c:pt idx="930">
                  <c:v>0.54988615852829004</c:v>
                </c:pt>
                <c:pt idx="931">
                  <c:v>0.57517284737260699</c:v>
                </c:pt>
                <c:pt idx="932">
                  <c:v>0.57517284737260699</c:v>
                </c:pt>
                <c:pt idx="933">
                  <c:v>0.57517284737260699</c:v>
                </c:pt>
                <c:pt idx="934">
                  <c:v>0.57517284737260699</c:v>
                </c:pt>
                <c:pt idx="935">
                  <c:v>0.57517284737260699</c:v>
                </c:pt>
                <c:pt idx="936">
                  <c:v>0.54355644019764404</c:v>
                </c:pt>
                <c:pt idx="937">
                  <c:v>0.54355644019764404</c:v>
                </c:pt>
                <c:pt idx="938">
                  <c:v>0.54089108147199405</c:v>
                </c:pt>
                <c:pt idx="939">
                  <c:v>0.54089108147199405</c:v>
                </c:pt>
                <c:pt idx="940">
                  <c:v>0.54089108147199405</c:v>
                </c:pt>
                <c:pt idx="941">
                  <c:v>0.505106736466303</c:v>
                </c:pt>
                <c:pt idx="942">
                  <c:v>0.505106736466303</c:v>
                </c:pt>
                <c:pt idx="943">
                  <c:v>0.505106736466303</c:v>
                </c:pt>
                <c:pt idx="944">
                  <c:v>0.505106736466303</c:v>
                </c:pt>
                <c:pt idx="945">
                  <c:v>0.51180256347737196</c:v>
                </c:pt>
                <c:pt idx="946">
                  <c:v>0.51180256347737196</c:v>
                </c:pt>
                <c:pt idx="947">
                  <c:v>0.51180256347737196</c:v>
                </c:pt>
                <c:pt idx="948">
                  <c:v>0.51180256347737196</c:v>
                </c:pt>
                <c:pt idx="949">
                  <c:v>0.51180256347737196</c:v>
                </c:pt>
                <c:pt idx="950">
                  <c:v>0.53125439488383197</c:v>
                </c:pt>
                <c:pt idx="951">
                  <c:v>0.53125439488383197</c:v>
                </c:pt>
                <c:pt idx="952">
                  <c:v>0.53125439488383197</c:v>
                </c:pt>
                <c:pt idx="953">
                  <c:v>0.53125439488383197</c:v>
                </c:pt>
                <c:pt idx="954">
                  <c:v>0.54741627949472405</c:v>
                </c:pt>
                <c:pt idx="955">
                  <c:v>0.54741627949472405</c:v>
                </c:pt>
                <c:pt idx="956">
                  <c:v>0.54296193584840502</c:v>
                </c:pt>
                <c:pt idx="957">
                  <c:v>0.54296193584840502</c:v>
                </c:pt>
                <c:pt idx="958">
                  <c:v>0.54296193584840502</c:v>
                </c:pt>
                <c:pt idx="959">
                  <c:v>0.57616107650745496</c:v>
                </c:pt>
                <c:pt idx="960">
                  <c:v>0.57616107650745496</c:v>
                </c:pt>
                <c:pt idx="961">
                  <c:v>0.57616107650745496</c:v>
                </c:pt>
                <c:pt idx="962">
                  <c:v>0.57616107650745496</c:v>
                </c:pt>
                <c:pt idx="963">
                  <c:v>0.57616107650745496</c:v>
                </c:pt>
                <c:pt idx="964">
                  <c:v>0.56511283574971805</c:v>
                </c:pt>
                <c:pt idx="965">
                  <c:v>0.56511283574971805</c:v>
                </c:pt>
                <c:pt idx="966">
                  <c:v>0.56511283574971805</c:v>
                </c:pt>
                <c:pt idx="967">
                  <c:v>0.56511283574971805</c:v>
                </c:pt>
                <c:pt idx="968">
                  <c:v>0.56511283574971805</c:v>
                </c:pt>
                <c:pt idx="969">
                  <c:v>0.60670206616303102</c:v>
                </c:pt>
                <c:pt idx="970">
                  <c:v>0.60670206616303102</c:v>
                </c:pt>
                <c:pt idx="971">
                  <c:v>0.60670206616303102</c:v>
                </c:pt>
                <c:pt idx="972">
                  <c:v>0.60670206616303102</c:v>
                </c:pt>
                <c:pt idx="973">
                  <c:v>0.59762468592169804</c:v>
                </c:pt>
                <c:pt idx="974">
                  <c:v>0.59762468592169804</c:v>
                </c:pt>
                <c:pt idx="975">
                  <c:v>0.59762468592169804</c:v>
                </c:pt>
                <c:pt idx="976">
                  <c:v>0.59762468592169804</c:v>
                </c:pt>
                <c:pt idx="977">
                  <c:v>0.58158481943829898</c:v>
                </c:pt>
                <c:pt idx="978">
                  <c:v>0.57715851233210802</c:v>
                </c:pt>
                <c:pt idx="979">
                  <c:v>0.57710358293411501</c:v>
                </c:pt>
                <c:pt idx="980">
                  <c:v>0.57710358293411501</c:v>
                </c:pt>
                <c:pt idx="981">
                  <c:v>0.57710358293411501</c:v>
                </c:pt>
                <c:pt idx="982">
                  <c:v>0.62970048301444503</c:v>
                </c:pt>
                <c:pt idx="983">
                  <c:v>0.62970048301444503</c:v>
                </c:pt>
                <c:pt idx="984">
                  <c:v>0.62970048301444503</c:v>
                </c:pt>
                <c:pt idx="985">
                  <c:v>0.62970048301444503</c:v>
                </c:pt>
                <c:pt idx="986">
                  <c:v>0.62970048301444503</c:v>
                </c:pt>
                <c:pt idx="987">
                  <c:v>0.65278570887391996</c:v>
                </c:pt>
                <c:pt idx="988">
                  <c:v>0.65278570887391996</c:v>
                </c:pt>
                <c:pt idx="989">
                  <c:v>0.65278570887391996</c:v>
                </c:pt>
                <c:pt idx="990">
                  <c:v>0.65278570887391996</c:v>
                </c:pt>
                <c:pt idx="991">
                  <c:v>0.65278570887391996</c:v>
                </c:pt>
                <c:pt idx="992">
                  <c:v>0.66264885680248997</c:v>
                </c:pt>
                <c:pt idx="993">
                  <c:v>0.66264885680248997</c:v>
                </c:pt>
                <c:pt idx="994">
                  <c:v>0.66264885680248997</c:v>
                </c:pt>
                <c:pt idx="995">
                  <c:v>0.66264885680248997</c:v>
                </c:pt>
                <c:pt idx="996">
                  <c:v>0.66264885680248997</c:v>
                </c:pt>
                <c:pt idx="997">
                  <c:v>0.66264885680248997</c:v>
                </c:pt>
                <c:pt idx="998">
                  <c:v>0.66264885680248997</c:v>
                </c:pt>
                <c:pt idx="999">
                  <c:v>0.68438167594716104</c:v>
                </c:pt>
                <c:pt idx="1000">
                  <c:v>0.68438167594716104</c:v>
                </c:pt>
                <c:pt idx="1001">
                  <c:v>0.68438167594716104</c:v>
                </c:pt>
                <c:pt idx="1002">
                  <c:v>0.68438167594716104</c:v>
                </c:pt>
                <c:pt idx="1003">
                  <c:v>0.68438167594716104</c:v>
                </c:pt>
                <c:pt idx="1004">
                  <c:v>0.64890841265420796</c:v>
                </c:pt>
                <c:pt idx="1005">
                  <c:v>0.64890841265420796</c:v>
                </c:pt>
                <c:pt idx="1006">
                  <c:v>0.64890841265420796</c:v>
                </c:pt>
                <c:pt idx="1007">
                  <c:v>0.64890841265420796</c:v>
                </c:pt>
                <c:pt idx="1008">
                  <c:v>0.64890841265420796</c:v>
                </c:pt>
                <c:pt idx="1009">
                  <c:v>0.63</c:v>
                </c:pt>
                <c:pt idx="1010">
                  <c:v>0.63</c:v>
                </c:pt>
                <c:pt idx="1011">
                  <c:v>0.63</c:v>
                </c:pt>
                <c:pt idx="1012">
                  <c:v>0.63</c:v>
                </c:pt>
                <c:pt idx="1013">
                  <c:v>0.61</c:v>
                </c:pt>
                <c:pt idx="1014">
                  <c:v>0.61</c:v>
                </c:pt>
                <c:pt idx="1015">
                  <c:v>0.61</c:v>
                </c:pt>
                <c:pt idx="1016">
                  <c:v>0.61</c:v>
                </c:pt>
                <c:pt idx="1017">
                  <c:v>0.61</c:v>
                </c:pt>
                <c:pt idx="1018">
                  <c:v>0.62</c:v>
                </c:pt>
                <c:pt idx="1019">
                  <c:v>0.62</c:v>
                </c:pt>
                <c:pt idx="1020">
                  <c:v>0.62</c:v>
                </c:pt>
                <c:pt idx="1021">
                  <c:v>0.62</c:v>
                </c:pt>
                <c:pt idx="1022">
                  <c:v>0.62</c:v>
                </c:pt>
                <c:pt idx="1023">
                  <c:v>0.62</c:v>
                </c:pt>
                <c:pt idx="1024">
                  <c:v>0.62</c:v>
                </c:pt>
                <c:pt idx="1025">
                  <c:v>0.62</c:v>
                </c:pt>
                <c:pt idx="1026">
                  <c:v>0.62</c:v>
                </c:pt>
                <c:pt idx="1027">
                  <c:v>0.57999999999999996</c:v>
                </c:pt>
                <c:pt idx="1028">
                  <c:v>0.57999999999999996</c:v>
                </c:pt>
                <c:pt idx="1029">
                  <c:v>0.57999999999999996</c:v>
                </c:pt>
                <c:pt idx="1030">
                  <c:v>0.57999999999999996</c:v>
                </c:pt>
                <c:pt idx="1031">
                  <c:v>0.61</c:v>
                </c:pt>
                <c:pt idx="1032">
                  <c:v>0.61</c:v>
                </c:pt>
                <c:pt idx="1033">
                  <c:v>0.61</c:v>
                </c:pt>
                <c:pt idx="1034">
                  <c:v>0.61</c:v>
                </c:pt>
                <c:pt idx="1035">
                  <c:v>0.61</c:v>
                </c:pt>
                <c:pt idx="1036">
                  <c:v>0.64</c:v>
                </c:pt>
                <c:pt idx="1037">
                  <c:v>0.64</c:v>
                </c:pt>
                <c:pt idx="1038">
                  <c:v>0.64</c:v>
                </c:pt>
                <c:pt idx="1039">
                  <c:v>0.64</c:v>
                </c:pt>
                <c:pt idx="1040">
                  <c:v>0.64</c:v>
                </c:pt>
                <c:pt idx="1041">
                  <c:v>0.63</c:v>
                </c:pt>
                <c:pt idx="1042">
                  <c:v>0.63</c:v>
                </c:pt>
                <c:pt idx="1043">
                  <c:v>0.63</c:v>
                </c:pt>
                <c:pt idx="1044">
                  <c:v>0.63</c:v>
                </c:pt>
                <c:pt idx="1045">
                  <c:v>0.63</c:v>
                </c:pt>
                <c:pt idx="1046">
                  <c:v>0.64</c:v>
                </c:pt>
                <c:pt idx="1047">
                  <c:v>0.64</c:v>
                </c:pt>
                <c:pt idx="1048">
                  <c:v>0.64</c:v>
                </c:pt>
                <c:pt idx="1049">
                  <c:v>0.64</c:v>
                </c:pt>
                <c:pt idx="1050">
                  <c:v>0.64</c:v>
                </c:pt>
                <c:pt idx="1051">
                  <c:v>0.63</c:v>
                </c:pt>
                <c:pt idx="1052">
                  <c:v>0.63</c:v>
                </c:pt>
                <c:pt idx="1053">
                  <c:v>0.63</c:v>
                </c:pt>
                <c:pt idx="1054">
                  <c:v>0.63</c:v>
                </c:pt>
                <c:pt idx="1055">
                  <c:v>0.63</c:v>
                </c:pt>
                <c:pt idx="1056">
                  <c:v>0.63</c:v>
                </c:pt>
                <c:pt idx="1057">
                  <c:v>0.65</c:v>
                </c:pt>
                <c:pt idx="1058">
                  <c:v>0.65</c:v>
                </c:pt>
                <c:pt idx="1059">
                  <c:v>0.65</c:v>
                </c:pt>
                <c:pt idx="1060">
                  <c:v>0.64</c:v>
                </c:pt>
                <c:pt idx="1061">
                  <c:v>0.64</c:v>
                </c:pt>
                <c:pt idx="1062">
                  <c:v>0.64</c:v>
                </c:pt>
                <c:pt idx="1063">
                  <c:v>0.64</c:v>
                </c:pt>
                <c:pt idx="1064">
                  <c:v>0.64</c:v>
                </c:pt>
                <c:pt idx="1065">
                  <c:v>0.57999999999999996</c:v>
                </c:pt>
                <c:pt idx="1066">
                  <c:v>0.57999999999999996</c:v>
                </c:pt>
                <c:pt idx="1067">
                  <c:v>0.57999999999999996</c:v>
                </c:pt>
                <c:pt idx="1068">
                  <c:v>0.57999999999999996</c:v>
                </c:pt>
                <c:pt idx="1069">
                  <c:v>0.57999999999999996</c:v>
                </c:pt>
                <c:pt idx="1070">
                  <c:v>0.57999999999999996</c:v>
                </c:pt>
                <c:pt idx="1071">
                  <c:v>0.56000000000000005</c:v>
                </c:pt>
                <c:pt idx="1072">
                  <c:v>0.56000000000000005</c:v>
                </c:pt>
                <c:pt idx="1073">
                  <c:v>0.56000000000000005</c:v>
                </c:pt>
                <c:pt idx="1074">
                  <c:v>0.56000000000000005</c:v>
                </c:pt>
                <c:pt idx="1075">
                  <c:v>0.56000000000000005</c:v>
                </c:pt>
                <c:pt idx="1076">
                  <c:v>0.55000000000000004</c:v>
                </c:pt>
                <c:pt idx="1077">
                  <c:v>0.55000000000000004</c:v>
                </c:pt>
                <c:pt idx="1078">
                  <c:v>0.55000000000000004</c:v>
                </c:pt>
                <c:pt idx="1079">
                  <c:v>0.55000000000000004</c:v>
                </c:pt>
                <c:pt idx="1080">
                  <c:v>0.55000000000000004</c:v>
                </c:pt>
                <c:pt idx="1081">
                  <c:v>0.55000000000000004</c:v>
                </c:pt>
                <c:pt idx="1082">
                  <c:v>0.55000000000000004</c:v>
                </c:pt>
                <c:pt idx="1083">
                  <c:v>0.55000000000000004</c:v>
                </c:pt>
                <c:pt idx="1084">
                  <c:v>0.54</c:v>
                </c:pt>
                <c:pt idx="1085">
                  <c:v>0.54</c:v>
                </c:pt>
                <c:pt idx="1086">
                  <c:v>0.54</c:v>
                </c:pt>
                <c:pt idx="1087">
                  <c:v>0.54</c:v>
                </c:pt>
                <c:pt idx="1088">
                  <c:v>0.54</c:v>
                </c:pt>
                <c:pt idx="1089">
                  <c:v>0.54</c:v>
                </c:pt>
                <c:pt idx="1090">
                  <c:v>0.45</c:v>
                </c:pt>
                <c:pt idx="1091">
                  <c:v>0.45</c:v>
                </c:pt>
                <c:pt idx="1092">
                  <c:v>0.45</c:v>
                </c:pt>
                <c:pt idx="1093">
                  <c:v>0.45</c:v>
                </c:pt>
                <c:pt idx="1094">
                  <c:v>0.45</c:v>
                </c:pt>
                <c:pt idx="1095">
                  <c:v>0.47</c:v>
                </c:pt>
                <c:pt idx="1096">
                  <c:v>0.47</c:v>
                </c:pt>
                <c:pt idx="1097">
                  <c:v>0.47</c:v>
                </c:pt>
                <c:pt idx="1098">
                  <c:v>0.47</c:v>
                </c:pt>
                <c:pt idx="1099">
                  <c:v>0.45</c:v>
                </c:pt>
                <c:pt idx="1100">
                  <c:v>0.45</c:v>
                </c:pt>
                <c:pt idx="1101">
                  <c:v>0.45</c:v>
                </c:pt>
                <c:pt idx="1102">
                  <c:v>0.45</c:v>
                </c:pt>
                <c:pt idx="1103">
                  <c:v>0.45</c:v>
                </c:pt>
                <c:pt idx="1104">
                  <c:v>0.43</c:v>
                </c:pt>
                <c:pt idx="1105">
                  <c:v>0.43</c:v>
                </c:pt>
                <c:pt idx="1106">
                  <c:v>0.43</c:v>
                </c:pt>
                <c:pt idx="1107">
                  <c:v>0.43</c:v>
                </c:pt>
                <c:pt idx="1108">
                  <c:v>0.45</c:v>
                </c:pt>
                <c:pt idx="1109">
                  <c:v>0.45</c:v>
                </c:pt>
                <c:pt idx="1110">
                  <c:v>0.45</c:v>
                </c:pt>
                <c:pt idx="1111">
                  <c:v>0.45</c:v>
                </c:pt>
                <c:pt idx="1112">
                  <c:v>0.45</c:v>
                </c:pt>
                <c:pt idx="1113">
                  <c:v>0.42</c:v>
                </c:pt>
                <c:pt idx="1114">
                  <c:v>0.42</c:v>
                </c:pt>
                <c:pt idx="1115">
                  <c:v>0.42</c:v>
                </c:pt>
                <c:pt idx="1116">
                  <c:v>0.42</c:v>
                </c:pt>
                <c:pt idx="1117">
                  <c:v>0.42</c:v>
                </c:pt>
                <c:pt idx="1118">
                  <c:v>0.45</c:v>
                </c:pt>
                <c:pt idx="1119">
                  <c:v>0.45</c:v>
                </c:pt>
                <c:pt idx="1120">
                  <c:v>0.45</c:v>
                </c:pt>
                <c:pt idx="1121">
                  <c:v>0.45</c:v>
                </c:pt>
                <c:pt idx="1122">
                  <c:v>0.45</c:v>
                </c:pt>
                <c:pt idx="1123">
                  <c:v>0.5</c:v>
                </c:pt>
                <c:pt idx="1124">
                  <c:v>0.5</c:v>
                </c:pt>
                <c:pt idx="1125">
                  <c:v>0.5</c:v>
                </c:pt>
                <c:pt idx="1126">
                  <c:v>0.5</c:v>
                </c:pt>
                <c:pt idx="1127">
                  <c:v>0.5</c:v>
                </c:pt>
                <c:pt idx="1128">
                  <c:v>0.52</c:v>
                </c:pt>
                <c:pt idx="1129">
                  <c:v>0.52</c:v>
                </c:pt>
                <c:pt idx="1130">
                  <c:v>0.52</c:v>
                </c:pt>
                <c:pt idx="1131">
                  <c:v>0.52</c:v>
                </c:pt>
                <c:pt idx="1132">
                  <c:v>0.52</c:v>
                </c:pt>
                <c:pt idx="1133">
                  <c:v>0.51</c:v>
                </c:pt>
                <c:pt idx="1134">
                  <c:v>0.51</c:v>
                </c:pt>
                <c:pt idx="1135">
                  <c:v>0.51</c:v>
                </c:pt>
                <c:pt idx="1136">
                  <c:v>0.51</c:v>
                </c:pt>
                <c:pt idx="1137">
                  <c:v>0.51</c:v>
                </c:pt>
                <c:pt idx="1138">
                  <c:v>0.51</c:v>
                </c:pt>
                <c:pt idx="1139">
                  <c:v>0.51</c:v>
                </c:pt>
                <c:pt idx="1140">
                  <c:v>0.51</c:v>
                </c:pt>
                <c:pt idx="1141">
                  <c:v>0.51</c:v>
                </c:pt>
                <c:pt idx="1142">
                  <c:v>0.51</c:v>
                </c:pt>
                <c:pt idx="1143">
                  <c:v>0.55000000000000004</c:v>
                </c:pt>
                <c:pt idx="1144">
                  <c:v>0.55000000000000004</c:v>
                </c:pt>
                <c:pt idx="1145">
                  <c:v>0.55000000000000004</c:v>
                </c:pt>
                <c:pt idx="1146">
                  <c:v>0.55000000000000004</c:v>
                </c:pt>
                <c:pt idx="1147">
                  <c:v>0.55000000000000004</c:v>
                </c:pt>
                <c:pt idx="1148">
                  <c:v>0.52</c:v>
                </c:pt>
                <c:pt idx="1149">
                  <c:v>0.52</c:v>
                </c:pt>
                <c:pt idx="1150">
                  <c:v>0.52</c:v>
                </c:pt>
                <c:pt idx="1151">
                  <c:v>0.52</c:v>
                </c:pt>
                <c:pt idx="1152">
                  <c:v>0.51</c:v>
                </c:pt>
                <c:pt idx="1153">
                  <c:v>0.51</c:v>
                </c:pt>
                <c:pt idx="1154">
                  <c:v>0.51</c:v>
                </c:pt>
                <c:pt idx="1155">
                  <c:v>0.51</c:v>
                </c:pt>
                <c:pt idx="1156">
                  <c:v>0.51</c:v>
                </c:pt>
                <c:pt idx="1157">
                  <c:v>0.51</c:v>
                </c:pt>
                <c:pt idx="1158">
                  <c:v>0.51</c:v>
                </c:pt>
                <c:pt idx="1159">
                  <c:v>0.51</c:v>
                </c:pt>
                <c:pt idx="1160">
                  <c:v>0.51</c:v>
                </c:pt>
                <c:pt idx="1161">
                  <c:v>0.51</c:v>
                </c:pt>
                <c:pt idx="1162">
                  <c:v>0.52</c:v>
                </c:pt>
                <c:pt idx="1163">
                  <c:v>0.52</c:v>
                </c:pt>
                <c:pt idx="1164">
                  <c:v>0.52</c:v>
                </c:pt>
                <c:pt idx="1165">
                  <c:v>0.52</c:v>
                </c:pt>
                <c:pt idx="1166">
                  <c:v>0.52</c:v>
                </c:pt>
                <c:pt idx="1167">
                  <c:v>0.53</c:v>
                </c:pt>
                <c:pt idx="1168">
                  <c:v>0.53</c:v>
                </c:pt>
                <c:pt idx="1169">
                  <c:v>0.53</c:v>
                </c:pt>
                <c:pt idx="1170">
                  <c:v>0.53</c:v>
                </c:pt>
                <c:pt idx="1171">
                  <c:v>0.53</c:v>
                </c:pt>
                <c:pt idx="1172">
                  <c:v>0.57894029457192531</c:v>
                </c:pt>
                <c:pt idx="1173">
                  <c:v>0.57894029457192531</c:v>
                </c:pt>
                <c:pt idx="1174">
                  <c:v>0.57894029457192531</c:v>
                </c:pt>
                <c:pt idx="1175">
                  <c:v>0.57894029457192531</c:v>
                </c:pt>
                <c:pt idx="1176">
                  <c:v>0.54767612302289337</c:v>
                </c:pt>
                <c:pt idx="1177">
                  <c:v>0.54767612302289337</c:v>
                </c:pt>
                <c:pt idx="1178">
                  <c:v>0.54767612302289337</c:v>
                </c:pt>
                <c:pt idx="1179">
                  <c:v>0.54767612302289337</c:v>
                </c:pt>
                <c:pt idx="1180">
                  <c:v>0.54767612302289337</c:v>
                </c:pt>
                <c:pt idx="1181">
                  <c:v>0.56317380692680197</c:v>
                </c:pt>
                <c:pt idx="1182">
                  <c:v>0.56317380692680197</c:v>
                </c:pt>
                <c:pt idx="1183">
                  <c:v>0.56317380692680197</c:v>
                </c:pt>
                <c:pt idx="1184">
                  <c:v>0.56317380692680197</c:v>
                </c:pt>
                <c:pt idx="1185">
                  <c:v>0.56317380692680197</c:v>
                </c:pt>
                <c:pt idx="1186">
                  <c:v>0.57894029457192531</c:v>
                </c:pt>
                <c:pt idx="1187">
                  <c:v>0.57894029457192531</c:v>
                </c:pt>
                <c:pt idx="1188">
                  <c:v>0.57894029457192531</c:v>
                </c:pt>
                <c:pt idx="1189">
                  <c:v>0.57894029457192531</c:v>
                </c:pt>
                <c:pt idx="1190">
                  <c:v>0.57894029457192531</c:v>
                </c:pt>
                <c:pt idx="1191">
                  <c:v>0.51511509569715663</c:v>
                </c:pt>
                <c:pt idx="1192">
                  <c:v>0.51511509569715663</c:v>
                </c:pt>
                <c:pt idx="1193">
                  <c:v>0.51511509569715663</c:v>
                </c:pt>
                <c:pt idx="1194">
                  <c:v>0.51511509569715663</c:v>
                </c:pt>
                <c:pt idx="1195">
                  <c:v>0.4725306175940911</c:v>
                </c:pt>
                <c:pt idx="1196">
                  <c:v>0.4725306175940911</c:v>
                </c:pt>
                <c:pt idx="1197">
                  <c:v>0.4725306175940911</c:v>
                </c:pt>
                <c:pt idx="1198">
                  <c:v>0.4725306175940911</c:v>
                </c:pt>
                <c:pt idx="1199">
                  <c:v>0.4725306175940911</c:v>
                </c:pt>
                <c:pt idx="1200">
                  <c:v>0.47861527230793388</c:v>
                </c:pt>
                <c:pt idx="1201">
                  <c:v>0.47861527230793388</c:v>
                </c:pt>
                <c:pt idx="1202">
                  <c:v>0.47861527230793388</c:v>
                </c:pt>
                <c:pt idx="1203">
                  <c:v>0.47861527230793388</c:v>
                </c:pt>
                <c:pt idx="1204">
                  <c:v>0.47590352827743421</c:v>
                </c:pt>
                <c:pt idx="1205">
                  <c:v>0.47590352827743421</c:v>
                </c:pt>
                <c:pt idx="1206">
                  <c:v>0.47590352827743421</c:v>
                </c:pt>
                <c:pt idx="1207">
                  <c:v>0.47590352827743421</c:v>
                </c:pt>
                <c:pt idx="1208">
                  <c:v>0.47590352827743421</c:v>
                </c:pt>
                <c:pt idx="1209">
                  <c:v>0.48721504831495865</c:v>
                </c:pt>
                <c:pt idx="1210">
                  <c:v>0.48721504831495865</c:v>
                </c:pt>
                <c:pt idx="1211">
                  <c:v>0.48721504831495865</c:v>
                </c:pt>
                <c:pt idx="1212">
                  <c:v>0.48721504831495865</c:v>
                </c:pt>
                <c:pt idx="1213">
                  <c:v>0.48721504831495865</c:v>
                </c:pt>
                <c:pt idx="1214">
                  <c:v>0.48108278915877944</c:v>
                </c:pt>
                <c:pt idx="1215">
                  <c:v>0.48108278915877944</c:v>
                </c:pt>
                <c:pt idx="1216">
                  <c:v>0.48108278915877944</c:v>
                </c:pt>
                <c:pt idx="1217">
                  <c:v>0.48108278915877944</c:v>
                </c:pt>
                <c:pt idx="1218">
                  <c:v>0.48108278915877944</c:v>
                </c:pt>
                <c:pt idx="1219">
                  <c:v>0.4742419215656577</c:v>
                </c:pt>
                <c:pt idx="1220">
                  <c:v>0.4742419215656577</c:v>
                </c:pt>
                <c:pt idx="1221">
                  <c:v>0.4742419215656577</c:v>
                </c:pt>
                <c:pt idx="1222">
                  <c:v>0.4742419215656577</c:v>
                </c:pt>
                <c:pt idx="1223">
                  <c:v>0.4742419215656577</c:v>
                </c:pt>
                <c:pt idx="1224">
                  <c:v>0.47802441207346119</c:v>
                </c:pt>
                <c:pt idx="1225">
                  <c:v>0.47802441207346119</c:v>
                </c:pt>
                <c:pt idx="1226">
                  <c:v>0.47802441207346119</c:v>
                </c:pt>
                <c:pt idx="1227">
                  <c:v>0.47802441207346119</c:v>
                </c:pt>
                <c:pt idx="1228">
                  <c:v>0.44657507929969392</c:v>
                </c:pt>
              </c:numCache>
            </c:numRef>
          </c:val>
          <c:smooth val="0"/>
        </c:ser>
        <c:dLbls>
          <c:showLegendKey val="0"/>
          <c:showVal val="0"/>
          <c:showCatName val="0"/>
          <c:showSerName val="0"/>
          <c:showPercent val="0"/>
          <c:showBubbleSize val="0"/>
        </c:dLbls>
        <c:marker val="1"/>
        <c:smooth val="0"/>
        <c:axId val="327354240"/>
        <c:axId val="327355776"/>
      </c:lineChart>
      <c:dateAx>
        <c:axId val="32257497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7352704"/>
        <c:crosses val="autoZero"/>
        <c:auto val="1"/>
        <c:lblOffset val="100"/>
        <c:baseTimeUnit val="days"/>
      </c:dateAx>
      <c:valAx>
        <c:axId val="327352704"/>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2574976"/>
        <c:crosses val="autoZero"/>
        <c:crossBetween val="between"/>
      </c:valAx>
      <c:dateAx>
        <c:axId val="327354240"/>
        <c:scaling>
          <c:orientation val="minMax"/>
        </c:scaling>
        <c:delete val="1"/>
        <c:axPos val="b"/>
        <c:numFmt formatCode="mm/dd/yyyy" sourceLinked="1"/>
        <c:majorTickMark val="out"/>
        <c:minorTickMark val="none"/>
        <c:tickLblPos val="nextTo"/>
        <c:crossAx val="327355776"/>
        <c:crosses val="autoZero"/>
        <c:auto val="1"/>
        <c:lblOffset val="100"/>
        <c:baseTimeUnit val="days"/>
      </c:dateAx>
      <c:valAx>
        <c:axId val="327355776"/>
        <c:scaling>
          <c:orientation val="minMax"/>
        </c:scaling>
        <c:delete val="0"/>
        <c:axPos val="r"/>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27354240"/>
        <c:crosses val="max"/>
        <c:crossBetween val="between"/>
      </c:valAx>
      <c:spPr>
        <a:noFill/>
        <a:ln w="25400">
          <a:noFill/>
        </a:ln>
      </c:spPr>
    </c:plotArea>
    <c:legend>
      <c:legendPos val="t"/>
      <c:layout>
        <c:manualLayout>
          <c:xMode val="edge"/>
          <c:yMode val="edge"/>
          <c:x val="0.27492234058977921"/>
          <c:y val="4.4261072531985156E-2"/>
          <c:w val="0.45015519530646902"/>
          <c:h val="4.1495191329866059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'OAS and Media Effect'!$G$1</c:f>
              <c:strCache>
                <c:ptCount val="1"/>
                <c:pt idx="0">
                  <c:v>30 Year Refinanceable Universe (rhs)</c:v>
                </c:pt>
              </c:strCache>
            </c:strRef>
          </c:tx>
          <c:marker>
            <c:symbol val="none"/>
          </c:marker>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Effect'!$G$2:$G$1244</c:f>
              <c:numCache>
                <c:formatCode>0%</c:formatCode>
                <c:ptCount val="1243"/>
                <c:pt idx="0">
                  <c:v>0.61149872753562795</c:v>
                </c:pt>
                <c:pt idx="1">
                  <c:v>0.61074045486204198</c:v>
                </c:pt>
                <c:pt idx="2">
                  <c:v>0.61074045486204198</c:v>
                </c:pt>
                <c:pt idx="3">
                  <c:v>0.61074045486204198</c:v>
                </c:pt>
                <c:pt idx="4">
                  <c:v>0.61074045486204198</c:v>
                </c:pt>
                <c:pt idx="5">
                  <c:v>0.61074045486204198</c:v>
                </c:pt>
                <c:pt idx="6">
                  <c:v>0.50836540051897094</c:v>
                </c:pt>
                <c:pt idx="7">
                  <c:v>0.50836540051897094</c:v>
                </c:pt>
                <c:pt idx="8">
                  <c:v>0.50836540051897094</c:v>
                </c:pt>
                <c:pt idx="9">
                  <c:v>0.50836540051897094</c:v>
                </c:pt>
                <c:pt idx="10">
                  <c:v>0.50836540051897094</c:v>
                </c:pt>
                <c:pt idx="11">
                  <c:v>0.52920493587017403</c:v>
                </c:pt>
                <c:pt idx="12">
                  <c:v>0.52920493587017403</c:v>
                </c:pt>
                <c:pt idx="13">
                  <c:v>0.52920493587017403</c:v>
                </c:pt>
                <c:pt idx="14">
                  <c:v>0.52920493587017403</c:v>
                </c:pt>
                <c:pt idx="15">
                  <c:v>0.55803024707205595</c:v>
                </c:pt>
                <c:pt idx="16">
                  <c:v>0.55803024707205595</c:v>
                </c:pt>
                <c:pt idx="17">
                  <c:v>0.55803024707205595</c:v>
                </c:pt>
                <c:pt idx="18">
                  <c:v>0.54582431757096395</c:v>
                </c:pt>
                <c:pt idx="19">
                  <c:v>0.54582431757096395</c:v>
                </c:pt>
                <c:pt idx="20">
                  <c:v>0.59209711782781405</c:v>
                </c:pt>
                <c:pt idx="21">
                  <c:v>0.59209711782781405</c:v>
                </c:pt>
                <c:pt idx="22">
                  <c:v>0.59209711782781405</c:v>
                </c:pt>
                <c:pt idx="23">
                  <c:v>0.59209711782781405</c:v>
                </c:pt>
                <c:pt idx="24">
                  <c:v>0.59209711782781405</c:v>
                </c:pt>
                <c:pt idx="25">
                  <c:v>0.59080334812888002</c:v>
                </c:pt>
                <c:pt idx="26">
                  <c:v>0.59080334812888002</c:v>
                </c:pt>
                <c:pt idx="27">
                  <c:v>0.59080334812888002</c:v>
                </c:pt>
                <c:pt idx="28">
                  <c:v>0.59080334812888002</c:v>
                </c:pt>
                <c:pt idx="29">
                  <c:v>0.59080334812888002</c:v>
                </c:pt>
                <c:pt idx="30">
                  <c:v>0.60256210105936003</c:v>
                </c:pt>
                <c:pt idx="31">
                  <c:v>0.60256210105936003</c:v>
                </c:pt>
                <c:pt idx="32">
                  <c:v>0.60256210105936003</c:v>
                </c:pt>
                <c:pt idx="33">
                  <c:v>0.60256210105936003</c:v>
                </c:pt>
                <c:pt idx="34">
                  <c:v>0.60256210105936003</c:v>
                </c:pt>
                <c:pt idx="35">
                  <c:v>0.59950595681897501</c:v>
                </c:pt>
                <c:pt idx="36">
                  <c:v>0.59950595681897501</c:v>
                </c:pt>
                <c:pt idx="37">
                  <c:v>0.59950595681897501</c:v>
                </c:pt>
                <c:pt idx="38">
                  <c:v>0.59950595681897501</c:v>
                </c:pt>
                <c:pt idx="39">
                  <c:v>0.59950595681897501</c:v>
                </c:pt>
                <c:pt idx="40">
                  <c:v>0.59315556395691504</c:v>
                </c:pt>
                <c:pt idx="41">
                  <c:v>0.58635020807411298</c:v>
                </c:pt>
                <c:pt idx="42">
                  <c:v>0.58635020807411298</c:v>
                </c:pt>
                <c:pt idx="43">
                  <c:v>0.58635020807411298</c:v>
                </c:pt>
                <c:pt idx="44">
                  <c:v>0.58635020807411298</c:v>
                </c:pt>
                <c:pt idx="45">
                  <c:v>0.58532491615437798</c:v>
                </c:pt>
                <c:pt idx="46">
                  <c:v>0.58635020807411298</c:v>
                </c:pt>
                <c:pt idx="47">
                  <c:v>0.58532491615437798</c:v>
                </c:pt>
                <c:pt idx="48">
                  <c:v>0.58532491615437798</c:v>
                </c:pt>
                <c:pt idx="49">
                  <c:v>0.58532491615437798</c:v>
                </c:pt>
                <c:pt idx="50">
                  <c:v>0.56791099107998699</c:v>
                </c:pt>
                <c:pt idx="51">
                  <c:v>0.56791099107998699</c:v>
                </c:pt>
                <c:pt idx="52">
                  <c:v>0.56791099107998699</c:v>
                </c:pt>
                <c:pt idx="53">
                  <c:v>0.56791099107998699</c:v>
                </c:pt>
                <c:pt idx="54">
                  <c:v>0.56791099107998699</c:v>
                </c:pt>
                <c:pt idx="55">
                  <c:v>0.59349339985189797</c:v>
                </c:pt>
                <c:pt idx="56">
                  <c:v>0.59349339985189797</c:v>
                </c:pt>
                <c:pt idx="57">
                  <c:v>0.59349339985189797</c:v>
                </c:pt>
                <c:pt idx="58">
                  <c:v>0.59349339985189797</c:v>
                </c:pt>
                <c:pt idx="59">
                  <c:v>0.594306088776824</c:v>
                </c:pt>
                <c:pt idx="60">
                  <c:v>0.59349339985189797</c:v>
                </c:pt>
                <c:pt idx="61">
                  <c:v>0.58827706720942596</c:v>
                </c:pt>
                <c:pt idx="62">
                  <c:v>0.58827706720942596</c:v>
                </c:pt>
                <c:pt idx="63">
                  <c:v>0.58827706720942596</c:v>
                </c:pt>
                <c:pt idx="64">
                  <c:v>0.59388944935877797</c:v>
                </c:pt>
                <c:pt idx="65">
                  <c:v>0.58827706720942596</c:v>
                </c:pt>
                <c:pt idx="66">
                  <c:v>0.59388944935877797</c:v>
                </c:pt>
                <c:pt idx="67">
                  <c:v>0.59388944935877797</c:v>
                </c:pt>
                <c:pt idx="68">
                  <c:v>0.59388944935877797</c:v>
                </c:pt>
                <c:pt idx="69">
                  <c:v>0.60656839337259305</c:v>
                </c:pt>
                <c:pt idx="70">
                  <c:v>0.60656839337259305</c:v>
                </c:pt>
                <c:pt idx="71">
                  <c:v>0.60656839337259305</c:v>
                </c:pt>
                <c:pt idx="72">
                  <c:v>0.60656839337259305</c:v>
                </c:pt>
                <c:pt idx="73">
                  <c:v>0.60656839337259305</c:v>
                </c:pt>
                <c:pt idx="74">
                  <c:v>0.61190235023345096</c:v>
                </c:pt>
                <c:pt idx="75">
                  <c:v>0.61190235023345096</c:v>
                </c:pt>
                <c:pt idx="76">
                  <c:v>0.61190235023345096</c:v>
                </c:pt>
                <c:pt idx="77">
                  <c:v>0.61190235023345096</c:v>
                </c:pt>
                <c:pt idx="78">
                  <c:v>0.61190235023345096</c:v>
                </c:pt>
                <c:pt idx="79">
                  <c:v>0.615993636080996</c:v>
                </c:pt>
                <c:pt idx="80">
                  <c:v>0.615993636080996</c:v>
                </c:pt>
                <c:pt idx="81">
                  <c:v>0.615993636080996</c:v>
                </c:pt>
                <c:pt idx="82">
                  <c:v>0.61033542977678401</c:v>
                </c:pt>
                <c:pt idx="83">
                  <c:v>0.63716048140315296</c:v>
                </c:pt>
                <c:pt idx="84">
                  <c:v>0.63716048140315296</c:v>
                </c:pt>
                <c:pt idx="85">
                  <c:v>0.63716048140315296</c:v>
                </c:pt>
                <c:pt idx="86">
                  <c:v>0.63716048140315296</c:v>
                </c:pt>
                <c:pt idx="87">
                  <c:v>0.63716048140315296</c:v>
                </c:pt>
                <c:pt idx="88">
                  <c:v>0.74321907249207297</c:v>
                </c:pt>
                <c:pt idx="89">
                  <c:v>0.74321907249207297</c:v>
                </c:pt>
                <c:pt idx="90">
                  <c:v>0.74321907249207297</c:v>
                </c:pt>
                <c:pt idx="91">
                  <c:v>0.74321907249207297</c:v>
                </c:pt>
                <c:pt idx="92">
                  <c:v>0.74321907249207297</c:v>
                </c:pt>
                <c:pt idx="93">
                  <c:v>0.72196170225835998</c:v>
                </c:pt>
                <c:pt idx="94">
                  <c:v>0.72196170225835998</c:v>
                </c:pt>
                <c:pt idx="95">
                  <c:v>0.72196170225835998</c:v>
                </c:pt>
                <c:pt idx="96">
                  <c:v>0.72196170225835998</c:v>
                </c:pt>
                <c:pt idx="97">
                  <c:v>0.72196170225835998</c:v>
                </c:pt>
                <c:pt idx="98">
                  <c:v>0.72196170225835998</c:v>
                </c:pt>
                <c:pt idx="99">
                  <c:v>0.72196170225835998</c:v>
                </c:pt>
                <c:pt idx="100">
                  <c:v>0.72196170225835998</c:v>
                </c:pt>
                <c:pt idx="101">
                  <c:v>0.72196170225835998</c:v>
                </c:pt>
                <c:pt idx="102">
                  <c:v>0.72196170225835998</c:v>
                </c:pt>
                <c:pt idx="103">
                  <c:v>0.68885444787085304</c:v>
                </c:pt>
                <c:pt idx="104">
                  <c:v>0.68335549039476995</c:v>
                </c:pt>
                <c:pt idx="105">
                  <c:v>0.68335549039476995</c:v>
                </c:pt>
                <c:pt idx="106">
                  <c:v>0.68335549039476995</c:v>
                </c:pt>
                <c:pt idx="107">
                  <c:v>0.60410549631050603</c:v>
                </c:pt>
                <c:pt idx="108">
                  <c:v>0.60410549631050603</c:v>
                </c:pt>
                <c:pt idx="109">
                  <c:v>0.60410549631050603</c:v>
                </c:pt>
                <c:pt idx="110">
                  <c:v>0.60410549631050603</c:v>
                </c:pt>
                <c:pt idx="111">
                  <c:v>0.60410549631050603</c:v>
                </c:pt>
                <c:pt idx="112">
                  <c:v>0.68335549039476995</c:v>
                </c:pt>
                <c:pt idx="113">
                  <c:v>0.68335549039476995</c:v>
                </c:pt>
                <c:pt idx="114">
                  <c:v>0.68335549039476995</c:v>
                </c:pt>
                <c:pt idx="115">
                  <c:v>0.68335549039476995</c:v>
                </c:pt>
                <c:pt idx="116">
                  <c:v>0.68335549039476995</c:v>
                </c:pt>
                <c:pt idx="117">
                  <c:v>0.66675683999516899</c:v>
                </c:pt>
                <c:pt idx="118">
                  <c:v>0.66675683999516899</c:v>
                </c:pt>
                <c:pt idx="119">
                  <c:v>0.66675683999516899</c:v>
                </c:pt>
                <c:pt idx="120">
                  <c:v>0.66675683999516899</c:v>
                </c:pt>
                <c:pt idx="121">
                  <c:v>0.66675683999516899</c:v>
                </c:pt>
                <c:pt idx="122">
                  <c:v>0.63117786454290503</c:v>
                </c:pt>
                <c:pt idx="123">
                  <c:v>0.63117786454290503</c:v>
                </c:pt>
                <c:pt idx="124">
                  <c:v>0.62428536264518097</c:v>
                </c:pt>
                <c:pt idx="125">
                  <c:v>0.62428536264518097</c:v>
                </c:pt>
                <c:pt idx="126">
                  <c:v>0.62428536264518097</c:v>
                </c:pt>
                <c:pt idx="127">
                  <c:v>0.82328819503805495</c:v>
                </c:pt>
                <c:pt idx="128">
                  <c:v>0.82328819503805495</c:v>
                </c:pt>
                <c:pt idx="129">
                  <c:v>0.82328819503805495</c:v>
                </c:pt>
                <c:pt idx="130">
                  <c:v>0.82328819503805495</c:v>
                </c:pt>
                <c:pt idx="131">
                  <c:v>0.82328819503805495</c:v>
                </c:pt>
                <c:pt idx="132">
                  <c:v>0.834040070391601</c:v>
                </c:pt>
                <c:pt idx="133">
                  <c:v>0.834040070391601</c:v>
                </c:pt>
                <c:pt idx="134">
                  <c:v>0.834040070391601</c:v>
                </c:pt>
                <c:pt idx="135">
                  <c:v>0.834040070391601</c:v>
                </c:pt>
                <c:pt idx="136">
                  <c:v>0.834040070391601</c:v>
                </c:pt>
                <c:pt idx="137">
                  <c:v>0.86081674392019403</c:v>
                </c:pt>
                <c:pt idx="138">
                  <c:v>0.86081674392019403</c:v>
                </c:pt>
                <c:pt idx="139">
                  <c:v>0.86081674392019403</c:v>
                </c:pt>
                <c:pt idx="140">
                  <c:v>0.86081674392019403</c:v>
                </c:pt>
                <c:pt idx="141">
                  <c:v>0.86081674392019403</c:v>
                </c:pt>
                <c:pt idx="142">
                  <c:v>0.84691794883119798</c:v>
                </c:pt>
                <c:pt idx="143">
                  <c:v>0.84691794883119798</c:v>
                </c:pt>
                <c:pt idx="144">
                  <c:v>0.84691794883119798</c:v>
                </c:pt>
                <c:pt idx="145">
                  <c:v>0.84691794883119798</c:v>
                </c:pt>
                <c:pt idx="146">
                  <c:v>0.84691794883119798</c:v>
                </c:pt>
                <c:pt idx="147">
                  <c:v>0.841117996149364</c:v>
                </c:pt>
                <c:pt idx="148">
                  <c:v>0.841117996149364</c:v>
                </c:pt>
                <c:pt idx="149">
                  <c:v>0.841117996149364</c:v>
                </c:pt>
                <c:pt idx="150">
                  <c:v>0.841117996149364</c:v>
                </c:pt>
                <c:pt idx="151">
                  <c:v>0.87810314526122002</c:v>
                </c:pt>
                <c:pt idx="152">
                  <c:v>0.87810314526122002</c:v>
                </c:pt>
                <c:pt idx="153">
                  <c:v>0.87810314526122002</c:v>
                </c:pt>
                <c:pt idx="154">
                  <c:v>0.87810314526122002</c:v>
                </c:pt>
                <c:pt idx="155">
                  <c:v>0.87810314526122002</c:v>
                </c:pt>
                <c:pt idx="156">
                  <c:v>0.90145744662456295</c:v>
                </c:pt>
                <c:pt idx="157">
                  <c:v>0.90145744662456295</c:v>
                </c:pt>
                <c:pt idx="158">
                  <c:v>0.90145744662456295</c:v>
                </c:pt>
                <c:pt idx="159">
                  <c:v>0.90145744662456295</c:v>
                </c:pt>
                <c:pt idx="160">
                  <c:v>0.90145744662456295</c:v>
                </c:pt>
                <c:pt idx="161">
                  <c:v>0.90145744662456295</c:v>
                </c:pt>
                <c:pt idx="162">
                  <c:v>0.90145744662456295</c:v>
                </c:pt>
                <c:pt idx="163">
                  <c:v>0.90145744662456295</c:v>
                </c:pt>
                <c:pt idx="164">
                  <c:v>0.90145744662456295</c:v>
                </c:pt>
                <c:pt idx="165">
                  <c:v>0.90145744662456295</c:v>
                </c:pt>
                <c:pt idx="166">
                  <c:v>0.94573089516350395</c:v>
                </c:pt>
                <c:pt idx="167">
                  <c:v>0.94573089516350395</c:v>
                </c:pt>
                <c:pt idx="168">
                  <c:v>0.93998305132982396</c:v>
                </c:pt>
                <c:pt idx="169">
                  <c:v>0.93998305132982396</c:v>
                </c:pt>
                <c:pt idx="170">
                  <c:v>0.93998305132982396</c:v>
                </c:pt>
                <c:pt idx="171">
                  <c:v>0.976205342266112</c:v>
                </c:pt>
                <c:pt idx="172">
                  <c:v>0.976205342266112</c:v>
                </c:pt>
                <c:pt idx="173">
                  <c:v>0.976205342266112</c:v>
                </c:pt>
                <c:pt idx="174">
                  <c:v>0.976205342266112</c:v>
                </c:pt>
                <c:pt idx="175">
                  <c:v>0.86848651507328101</c:v>
                </c:pt>
                <c:pt idx="176">
                  <c:v>0.86848651507328101</c:v>
                </c:pt>
                <c:pt idx="177">
                  <c:v>0.86848651507328101</c:v>
                </c:pt>
                <c:pt idx="178">
                  <c:v>0.86848651507328101</c:v>
                </c:pt>
                <c:pt idx="179">
                  <c:v>0.86848651507328101</c:v>
                </c:pt>
                <c:pt idx="180">
                  <c:v>0.87857948382126905</c:v>
                </c:pt>
                <c:pt idx="181">
                  <c:v>0.87857948382126905</c:v>
                </c:pt>
                <c:pt idx="182">
                  <c:v>0.87857948382126905</c:v>
                </c:pt>
                <c:pt idx="183">
                  <c:v>0.87857948382126905</c:v>
                </c:pt>
                <c:pt idx="184">
                  <c:v>0.87857948382126905</c:v>
                </c:pt>
                <c:pt idx="185">
                  <c:v>0.88617155990762297</c:v>
                </c:pt>
                <c:pt idx="186">
                  <c:v>0.88617155990762297</c:v>
                </c:pt>
                <c:pt idx="187">
                  <c:v>0.88617155990762297</c:v>
                </c:pt>
                <c:pt idx="188">
                  <c:v>0.87154314951038103</c:v>
                </c:pt>
                <c:pt idx="189">
                  <c:v>0.87154314951038103</c:v>
                </c:pt>
                <c:pt idx="190">
                  <c:v>0.93444271648805399</c:v>
                </c:pt>
                <c:pt idx="191">
                  <c:v>0.93444271648805399</c:v>
                </c:pt>
                <c:pt idx="192">
                  <c:v>0.93444271648805399</c:v>
                </c:pt>
                <c:pt idx="193">
                  <c:v>0.93444271648805399</c:v>
                </c:pt>
                <c:pt idx="194">
                  <c:v>0.93444271648805399</c:v>
                </c:pt>
                <c:pt idx="195">
                  <c:v>0.94361195161193201</c:v>
                </c:pt>
                <c:pt idx="196">
                  <c:v>0.94361195161193201</c:v>
                </c:pt>
                <c:pt idx="197">
                  <c:v>0.94361195161193201</c:v>
                </c:pt>
                <c:pt idx="198">
                  <c:v>0.94361195161193201</c:v>
                </c:pt>
                <c:pt idx="199">
                  <c:v>0.93444271648805399</c:v>
                </c:pt>
                <c:pt idx="200">
                  <c:v>0.93444271648805399</c:v>
                </c:pt>
                <c:pt idx="201">
                  <c:v>0.93444271648805399</c:v>
                </c:pt>
                <c:pt idx="202">
                  <c:v>0.93444271648805399</c:v>
                </c:pt>
                <c:pt idx="203">
                  <c:v>0.94997170807452402</c:v>
                </c:pt>
                <c:pt idx="204">
                  <c:v>0.94997170807452402</c:v>
                </c:pt>
                <c:pt idx="205">
                  <c:v>0.94997170807452402</c:v>
                </c:pt>
                <c:pt idx="206">
                  <c:v>0.94997170807452402</c:v>
                </c:pt>
                <c:pt idx="207">
                  <c:v>0.94997170807452402</c:v>
                </c:pt>
                <c:pt idx="208">
                  <c:v>0.91507025140832299</c:v>
                </c:pt>
                <c:pt idx="209">
                  <c:v>0.91507025140832299</c:v>
                </c:pt>
                <c:pt idx="210">
                  <c:v>0.91507025140832299</c:v>
                </c:pt>
                <c:pt idx="211">
                  <c:v>0.91507025140832299</c:v>
                </c:pt>
                <c:pt idx="212">
                  <c:v>0.91507025140832299</c:v>
                </c:pt>
                <c:pt idx="213">
                  <c:v>0.92424960668246803</c:v>
                </c:pt>
                <c:pt idx="214">
                  <c:v>0.92424960668246803</c:v>
                </c:pt>
                <c:pt idx="215">
                  <c:v>0.92424960668246803</c:v>
                </c:pt>
                <c:pt idx="216">
                  <c:v>0.92424960668246803</c:v>
                </c:pt>
                <c:pt idx="217">
                  <c:v>0.92424960668246803</c:v>
                </c:pt>
                <c:pt idx="218">
                  <c:v>0.95314447637365096</c:v>
                </c:pt>
                <c:pt idx="219">
                  <c:v>0.95314447637365096</c:v>
                </c:pt>
                <c:pt idx="220">
                  <c:v>0.95314447637365096</c:v>
                </c:pt>
                <c:pt idx="221">
                  <c:v>0.95314447637365096</c:v>
                </c:pt>
                <c:pt idx="222">
                  <c:v>0.95314447637365096</c:v>
                </c:pt>
                <c:pt idx="223">
                  <c:v>0.96018409449731501</c:v>
                </c:pt>
                <c:pt idx="224">
                  <c:v>0.96018409449731501</c:v>
                </c:pt>
                <c:pt idx="225">
                  <c:v>0.96018409449731501</c:v>
                </c:pt>
                <c:pt idx="226">
                  <c:v>0.96018409449731501</c:v>
                </c:pt>
                <c:pt idx="227">
                  <c:v>0.946426701963341</c:v>
                </c:pt>
                <c:pt idx="228">
                  <c:v>0.946426701963341</c:v>
                </c:pt>
                <c:pt idx="229">
                  <c:v>0.93504552892939297</c:v>
                </c:pt>
                <c:pt idx="230">
                  <c:v>0.93504552892939297</c:v>
                </c:pt>
                <c:pt idx="231">
                  <c:v>0.951307534663687</c:v>
                </c:pt>
                <c:pt idx="232">
                  <c:v>0.951307534663687</c:v>
                </c:pt>
                <c:pt idx="233">
                  <c:v>0.951307534663687</c:v>
                </c:pt>
                <c:pt idx="234">
                  <c:v>0.951307534663687</c:v>
                </c:pt>
                <c:pt idx="235">
                  <c:v>0.951307534663687</c:v>
                </c:pt>
                <c:pt idx="236">
                  <c:v>0.95320351892281396</c:v>
                </c:pt>
                <c:pt idx="237">
                  <c:v>0.95320351892281396</c:v>
                </c:pt>
                <c:pt idx="238">
                  <c:v>0.95320351892281396</c:v>
                </c:pt>
                <c:pt idx="239">
                  <c:v>0.95320351892281396</c:v>
                </c:pt>
                <c:pt idx="240">
                  <c:v>0.95352518495215399</c:v>
                </c:pt>
                <c:pt idx="241">
                  <c:v>0.95352518495215399</c:v>
                </c:pt>
                <c:pt idx="242">
                  <c:v>0.95352518495215399</c:v>
                </c:pt>
                <c:pt idx="243">
                  <c:v>0.95352518495215399</c:v>
                </c:pt>
                <c:pt idx="244">
                  <c:v>0.95352518495215399</c:v>
                </c:pt>
                <c:pt idx="245">
                  <c:v>0.91861521434498905</c:v>
                </c:pt>
                <c:pt idx="246">
                  <c:v>0.91861521434498905</c:v>
                </c:pt>
                <c:pt idx="247">
                  <c:v>0.91861521434498905</c:v>
                </c:pt>
                <c:pt idx="248">
                  <c:v>0.91861521434498905</c:v>
                </c:pt>
                <c:pt idx="249">
                  <c:v>0.90547247005091003</c:v>
                </c:pt>
                <c:pt idx="250">
                  <c:v>0.942309298561672</c:v>
                </c:pt>
                <c:pt idx="251">
                  <c:v>0.942309298561672</c:v>
                </c:pt>
                <c:pt idx="252">
                  <c:v>0.942309298561672</c:v>
                </c:pt>
                <c:pt idx="253">
                  <c:v>0.942309298561672</c:v>
                </c:pt>
                <c:pt idx="254">
                  <c:v>0.942309298561672</c:v>
                </c:pt>
                <c:pt idx="255">
                  <c:v>0.942309298561672</c:v>
                </c:pt>
                <c:pt idx="256">
                  <c:v>0.942309298561672</c:v>
                </c:pt>
                <c:pt idx="257">
                  <c:v>0.942309298561672</c:v>
                </c:pt>
                <c:pt idx="258">
                  <c:v>0.942309298561672</c:v>
                </c:pt>
                <c:pt idx="259">
                  <c:v>0.942309298561672</c:v>
                </c:pt>
                <c:pt idx="260">
                  <c:v>0.942309298561672</c:v>
                </c:pt>
                <c:pt idx="261">
                  <c:v>0.942309298561672</c:v>
                </c:pt>
                <c:pt idx="262">
                  <c:v>0.942309298561672</c:v>
                </c:pt>
                <c:pt idx="263">
                  <c:v>0.942309298561672</c:v>
                </c:pt>
                <c:pt idx="264">
                  <c:v>0.92275139849227505</c:v>
                </c:pt>
                <c:pt idx="265">
                  <c:v>0.942309298561672</c:v>
                </c:pt>
                <c:pt idx="266">
                  <c:v>0.92275139849227505</c:v>
                </c:pt>
                <c:pt idx="267">
                  <c:v>0.92275139849227505</c:v>
                </c:pt>
                <c:pt idx="268">
                  <c:v>0.92275139849227505</c:v>
                </c:pt>
                <c:pt idx="269">
                  <c:v>0.91952398603163898</c:v>
                </c:pt>
                <c:pt idx="270">
                  <c:v>0.91952398603163898</c:v>
                </c:pt>
                <c:pt idx="271">
                  <c:v>0.91952398603163898</c:v>
                </c:pt>
                <c:pt idx="272">
                  <c:v>0.91952398603163898</c:v>
                </c:pt>
                <c:pt idx="273">
                  <c:v>0.91952398603163898</c:v>
                </c:pt>
                <c:pt idx="274">
                  <c:v>0.920801695575303</c:v>
                </c:pt>
                <c:pt idx="275">
                  <c:v>0.920801695575303</c:v>
                </c:pt>
                <c:pt idx="276">
                  <c:v>0.920801695575303</c:v>
                </c:pt>
                <c:pt idx="277">
                  <c:v>0.920801695575303</c:v>
                </c:pt>
                <c:pt idx="278">
                  <c:v>0.920801695575303</c:v>
                </c:pt>
                <c:pt idx="279">
                  <c:v>0.91685044012466899</c:v>
                </c:pt>
                <c:pt idx="280">
                  <c:v>0.91685044012466899</c:v>
                </c:pt>
                <c:pt idx="281">
                  <c:v>0.91685044012466899</c:v>
                </c:pt>
                <c:pt idx="282">
                  <c:v>0.91685044012466899</c:v>
                </c:pt>
                <c:pt idx="283">
                  <c:v>0.91685044012466899</c:v>
                </c:pt>
                <c:pt idx="284">
                  <c:v>0.80564025680948503</c:v>
                </c:pt>
                <c:pt idx="285">
                  <c:v>0.80564025680948503</c:v>
                </c:pt>
                <c:pt idx="286">
                  <c:v>0.80564025680948503</c:v>
                </c:pt>
                <c:pt idx="287">
                  <c:v>0.80564025680948503</c:v>
                </c:pt>
                <c:pt idx="288">
                  <c:v>0.80564025680948503</c:v>
                </c:pt>
                <c:pt idx="289">
                  <c:v>0.87350901373716205</c:v>
                </c:pt>
                <c:pt idx="290">
                  <c:v>0.87350901373716205</c:v>
                </c:pt>
                <c:pt idx="291">
                  <c:v>0.86085196162229005</c:v>
                </c:pt>
                <c:pt idx="292">
                  <c:v>0.86085196162229005</c:v>
                </c:pt>
                <c:pt idx="293">
                  <c:v>0.86085196162229005</c:v>
                </c:pt>
                <c:pt idx="294">
                  <c:v>0.86928745494692705</c:v>
                </c:pt>
                <c:pt idx="295">
                  <c:v>0.86928745494692705</c:v>
                </c:pt>
                <c:pt idx="296">
                  <c:v>0.86928745494692705</c:v>
                </c:pt>
                <c:pt idx="297">
                  <c:v>0.86928745494692705</c:v>
                </c:pt>
                <c:pt idx="298">
                  <c:v>0.86928745494692705</c:v>
                </c:pt>
                <c:pt idx="299">
                  <c:v>0.90843431405369401</c:v>
                </c:pt>
                <c:pt idx="300">
                  <c:v>0.90843431405369401</c:v>
                </c:pt>
                <c:pt idx="301">
                  <c:v>0.90843431405369401</c:v>
                </c:pt>
                <c:pt idx="302">
                  <c:v>0.90843431405369401</c:v>
                </c:pt>
                <c:pt idx="303">
                  <c:v>0.90843431405369401</c:v>
                </c:pt>
                <c:pt idx="304">
                  <c:v>0.90710064326562501</c:v>
                </c:pt>
                <c:pt idx="305">
                  <c:v>0.90710064326562501</c:v>
                </c:pt>
                <c:pt idx="306">
                  <c:v>0.90710064326562501</c:v>
                </c:pt>
                <c:pt idx="307">
                  <c:v>0.90710064326562501</c:v>
                </c:pt>
                <c:pt idx="308">
                  <c:v>0.90710064326562501</c:v>
                </c:pt>
                <c:pt idx="309">
                  <c:v>0.90843431405369401</c:v>
                </c:pt>
                <c:pt idx="310">
                  <c:v>0.90843431405369401</c:v>
                </c:pt>
                <c:pt idx="311">
                  <c:v>0.90843431405369401</c:v>
                </c:pt>
                <c:pt idx="312">
                  <c:v>0.89130997835799997</c:v>
                </c:pt>
                <c:pt idx="313">
                  <c:v>0.89130997835799997</c:v>
                </c:pt>
                <c:pt idx="314">
                  <c:v>0.89320680852935697</c:v>
                </c:pt>
                <c:pt idx="315">
                  <c:v>0.89320680852935697</c:v>
                </c:pt>
                <c:pt idx="316">
                  <c:v>0.89320680852935697</c:v>
                </c:pt>
                <c:pt idx="317">
                  <c:v>0.89320680852935697</c:v>
                </c:pt>
                <c:pt idx="318">
                  <c:v>0.89320680852935697</c:v>
                </c:pt>
                <c:pt idx="319">
                  <c:v>0.89335852280722505</c:v>
                </c:pt>
                <c:pt idx="320">
                  <c:v>0.89335852280722505</c:v>
                </c:pt>
                <c:pt idx="321">
                  <c:v>0.89335852280722505</c:v>
                </c:pt>
                <c:pt idx="322">
                  <c:v>0.89335852280722505</c:v>
                </c:pt>
                <c:pt idx="323">
                  <c:v>0.89335852280722505</c:v>
                </c:pt>
                <c:pt idx="324">
                  <c:v>0.89485932552840397</c:v>
                </c:pt>
                <c:pt idx="325">
                  <c:v>0.89485932552840397</c:v>
                </c:pt>
                <c:pt idx="326">
                  <c:v>0.89485932552840397</c:v>
                </c:pt>
                <c:pt idx="327">
                  <c:v>0.89485932552840397</c:v>
                </c:pt>
                <c:pt idx="328">
                  <c:v>0.89485932552840397</c:v>
                </c:pt>
                <c:pt idx="329">
                  <c:v>0.89505966783361102</c:v>
                </c:pt>
                <c:pt idx="330">
                  <c:v>0.89505966783361102</c:v>
                </c:pt>
                <c:pt idx="331">
                  <c:v>0.89505966783361102</c:v>
                </c:pt>
                <c:pt idx="332">
                  <c:v>0.89505966783361102</c:v>
                </c:pt>
                <c:pt idx="333">
                  <c:v>0.89598257612375398</c:v>
                </c:pt>
                <c:pt idx="334">
                  <c:v>0.88344911791249303</c:v>
                </c:pt>
                <c:pt idx="335">
                  <c:v>0.88344911791249303</c:v>
                </c:pt>
                <c:pt idx="336">
                  <c:v>0.88344911791249303</c:v>
                </c:pt>
                <c:pt idx="337">
                  <c:v>0.88344911791249303</c:v>
                </c:pt>
                <c:pt idx="338">
                  <c:v>0.89196946223805695</c:v>
                </c:pt>
                <c:pt idx="339">
                  <c:v>0.89196946223805695</c:v>
                </c:pt>
                <c:pt idx="340">
                  <c:v>0.89196946223805695</c:v>
                </c:pt>
                <c:pt idx="341">
                  <c:v>0.89196946223805695</c:v>
                </c:pt>
                <c:pt idx="342">
                  <c:v>0.89196946223805695</c:v>
                </c:pt>
                <c:pt idx="343">
                  <c:v>0.88661468253780695</c:v>
                </c:pt>
                <c:pt idx="344">
                  <c:v>0.88661468253780695</c:v>
                </c:pt>
                <c:pt idx="345">
                  <c:v>0.88661468253780695</c:v>
                </c:pt>
                <c:pt idx="346">
                  <c:v>0.88661468253780695</c:v>
                </c:pt>
                <c:pt idx="347">
                  <c:v>0.88661468253780695</c:v>
                </c:pt>
                <c:pt idx="348">
                  <c:v>0.89395578636495998</c:v>
                </c:pt>
                <c:pt idx="349">
                  <c:v>0.89395578636495998</c:v>
                </c:pt>
                <c:pt idx="350">
                  <c:v>0.89395578636495998</c:v>
                </c:pt>
                <c:pt idx="351">
                  <c:v>0.89395578636495998</c:v>
                </c:pt>
                <c:pt idx="352">
                  <c:v>0.89395578636495998</c:v>
                </c:pt>
                <c:pt idx="353">
                  <c:v>0.89395578636495998</c:v>
                </c:pt>
                <c:pt idx="354">
                  <c:v>0.89395578636495998</c:v>
                </c:pt>
                <c:pt idx="355">
                  <c:v>0.87735489357143903</c:v>
                </c:pt>
                <c:pt idx="356">
                  <c:v>0.87735489357143903</c:v>
                </c:pt>
                <c:pt idx="357">
                  <c:v>0.89133476417306701</c:v>
                </c:pt>
                <c:pt idx="358">
                  <c:v>0.89133476417306701</c:v>
                </c:pt>
                <c:pt idx="359">
                  <c:v>0.89133476417306701</c:v>
                </c:pt>
                <c:pt idx="360">
                  <c:v>0.89133476417306701</c:v>
                </c:pt>
                <c:pt idx="361">
                  <c:v>0.89133476417306701</c:v>
                </c:pt>
                <c:pt idx="362">
                  <c:v>0.944528095453952</c:v>
                </c:pt>
                <c:pt idx="363">
                  <c:v>0.944528095453952</c:v>
                </c:pt>
                <c:pt idx="364">
                  <c:v>0.944528095453952</c:v>
                </c:pt>
                <c:pt idx="365">
                  <c:v>0.944528095453952</c:v>
                </c:pt>
                <c:pt idx="366">
                  <c:v>0.944528095453952</c:v>
                </c:pt>
                <c:pt idx="367">
                  <c:v>0.97186924857157997</c:v>
                </c:pt>
                <c:pt idx="368">
                  <c:v>0.97186924857157997</c:v>
                </c:pt>
                <c:pt idx="369">
                  <c:v>0.97186924857157997</c:v>
                </c:pt>
                <c:pt idx="370">
                  <c:v>0.97186924857157997</c:v>
                </c:pt>
                <c:pt idx="371">
                  <c:v>0.97186924857157997</c:v>
                </c:pt>
                <c:pt idx="372">
                  <c:v>0.98447138587305705</c:v>
                </c:pt>
                <c:pt idx="373">
                  <c:v>0.97186924857157997</c:v>
                </c:pt>
                <c:pt idx="374">
                  <c:v>0.98447138587305705</c:v>
                </c:pt>
                <c:pt idx="375">
                  <c:v>0.98447138587305705</c:v>
                </c:pt>
                <c:pt idx="376">
                  <c:v>0.97289569754528904</c:v>
                </c:pt>
                <c:pt idx="377">
                  <c:v>0.93852225394978095</c:v>
                </c:pt>
                <c:pt idx="378">
                  <c:v>0.93852225394978095</c:v>
                </c:pt>
                <c:pt idx="379">
                  <c:v>0.93852225394978095</c:v>
                </c:pt>
                <c:pt idx="380">
                  <c:v>0.93852225394978095</c:v>
                </c:pt>
                <c:pt idx="381">
                  <c:v>0.93852225394978095</c:v>
                </c:pt>
                <c:pt idx="382">
                  <c:v>0.88830449257823196</c:v>
                </c:pt>
                <c:pt idx="383">
                  <c:v>0.88830449257823196</c:v>
                </c:pt>
                <c:pt idx="384">
                  <c:v>0.88830449257823196</c:v>
                </c:pt>
                <c:pt idx="385">
                  <c:v>0.88830449257823196</c:v>
                </c:pt>
                <c:pt idx="386">
                  <c:v>0.88830449257823196</c:v>
                </c:pt>
                <c:pt idx="387">
                  <c:v>0.871668034024078</c:v>
                </c:pt>
                <c:pt idx="388">
                  <c:v>0.871668034024078</c:v>
                </c:pt>
                <c:pt idx="389">
                  <c:v>0.871668034024078</c:v>
                </c:pt>
                <c:pt idx="390">
                  <c:v>0.871668034024078</c:v>
                </c:pt>
                <c:pt idx="391">
                  <c:v>0.871668034024078</c:v>
                </c:pt>
                <c:pt idx="392">
                  <c:v>0.85676613742448104</c:v>
                </c:pt>
                <c:pt idx="393">
                  <c:v>0.85676613742448104</c:v>
                </c:pt>
                <c:pt idx="394">
                  <c:v>0.85676613742448104</c:v>
                </c:pt>
                <c:pt idx="395">
                  <c:v>0.85676613742448104</c:v>
                </c:pt>
                <c:pt idx="396">
                  <c:v>0.85676613742448104</c:v>
                </c:pt>
                <c:pt idx="397">
                  <c:v>0.88830449257823196</c:v>
                </c:pt>
                <c:pt idx="398">
                  <c:v>0.88830449257823196</c:v>
                </c:pt>
                <c:pt idx="399">
                  <c:v>0.86613218698070704</c:v>
                </c:pt>
                <c:pt idx="400">
                  <c:v>0.86613218698070704</c:v>
                </c:pt>
                <c:pt idx="401">
                  <c:v>0.91761037893987496</c:v>
                </c:pt>
                <c:pt idx="402">
                  <c:v>0.91761037893987496</c:v>
                </c:pt>
                <c:pt idx="403">
                  <c:v>0.91761037893987496</c:v>
                </c:pt>
                <c:pt idx="404">
                  <c:v>0.91761037893987496</c:v>
                </c:pt>
                <c:pt idx="405">
                  <c:v>0.91761037893987496</c:v>
                </c:pt>
                <c:pt idx="406">
                  <c:v>0.91761037893987496</c:v>
                </c:pt>
                <c:pt idx="407">
                  <c:v>0.91761037893987496</c:v>
                </c:pt>
                <c:pt idx="408">
                  <c:v>0.91761037893987496</c:v>
                </c:pt>
                <c:pt idx="409">
                  <c:v>0.91761037893987496</c:v>
                </c:pt>
                <c:pt idx="410">
                  <c:v>0.91761037893987496</c:v>
                </c:pt>
                <c:pt idx="411">
                  <c:v>0.95544116739970197</c:v>
                </c:pt>
                <c:pt idx="412">
                  <c:v>0.95544116739970197</c:v>
                </c:pt>
                <c:pt idx="413">
                  <c:v>0.95544116739970197</c:v>
                </c:pt>
                <c:pt idx="414">
                  <c:v>0.95544116739970197</c:v>
                </c:pt>
                <c:pt idx="415">
                  <c:v>0.95544116739970197</c:v>
                </c:pt>
                <c:pt idx="416">
                  <c:v>0.96361365224695705</c:v>
                </c:pt>
                <c:pt idx="417">
                  <c:v>0.96361365224695705</c:v>
                </c:pt>
                <c:pt idx="418">
                  <c:v>0.95122523158751304</c:v>
                </c:pt>
                <c:pt idx="419">
                  <c:v>0.95122523158751304</c:v>
                </c:pt>
                <c:pt idx="420">
                  <c:v>0.95122523158751304</c:v>
                </c:pt>
                <c:pt idx="421">
                  <c:v>0.95295581960362197</c:v>
                </c:pt>
                <c:pt idx="422">
                  <c:v>0.95295581960362197</c:v>
                </c:pt>
                <c:pt idx="423">
                  <c:v>0.95295581960362197</c:v>
                </c:pt>
                <c:pt idx="424">
                  <c:v>0.95295581960362197</c:v>
                </c:pt>
                <c:pt idx="425">
                  <c:v>0.95157186742127498</c:v>
                </c:pt>
                <c:pt idx="426">
                  <c:v>0.95157186742127498</c:v>
                </c:pt>
                <c:pt idx="427">
                  <c:v>0.95157186742127498</c:v>
                </c:pt>
                <c:pt idx="428">
                  <c:v>0.95157186742127498</c:v>
                </c:pt>
                <c:pt idx="429">
                  <c:v>0.95157186742127498</c:v>
                </c:pt>
                <c:pt idx="430">
                  <c:v>0.95277015909637097</c:v>
                </c:pt>
                <c:pt idx="431">
                  <c:v>0.95277015909637097</c:v>
                </c:pt>
                <c:pt idx="432">
                  <c:v>0.95277015909637097</c:v>
                </c:pt>
                <c:pt idx="433">
                  <c:v>0.95277015909637097</c:v>
                </c:pt>
                <c:pt idx="434">
                  <c:v>0.95277015909637097</c:v>
                </c:pt>
                <c:pt idx="435">
                  <c:v>0.950786071684944</c:v>
                </c:pt>
                <c:pt idx="436">
                  <c:v>0.950786071684944</c:v>
                </c:pt>
                <c:pt idx="437">
                  <c:v>0.950786071684944</c:v>
                </c:pt>
                <c:pt idx="438">
                  <c:v>0.950786071684944</c:v>
                </c:pt>
                <c:pt idx="439">
                  <c:v>0.92568594546185101</c:v>
                </c:pt>
                <c:pt idx="440">
                  <c:v>0.92568594546185101</c:v>
                </c:pt>
                <c:pt idx="441">
                  <c:v>0.92568594546185101</c:v>
                </c:pt>
                <c:pt idx="442">
                  <c:v>0.92568594546185101</c:v>
                </c:pt>
                <c:pt idx="443">
                  <c:v>0.92568594546185101</c:v>
                </c:pt>
                <c:pt idx="444">
                  <c:v>0.92529425270600996</c:v>
                </c:pt>
                <c:pt idx="445">
                  <c:v>0.92529425270600996</c:v>
                </c:pt>
                <c:pt idx="446">
                  <c:v>0.92529425270600996</c:v>
                </c:pt>
                <c:pt idx="447">
                  <c:v>0.92529425270600996</c:v>
                </c:pt>
                <c:pt idx="448">
                  <c:v>0.92772026190850898</c:v>
                </c:pt>
                <c:pt idx="449">
                  <c:v>0.92529425270600996</c:v>
                </c:pt>
                <c:pt idx="450">
                  <c:v>0.92529425270600996</c:v>
                </c:pt>
                <c:pt idx="451">
                  <c:v>0.92772026190850898</c:v>
                </c:pt>
                <c:pt idx="452">
                  <c:v>0.92772026190850898</c:v>
                </c:pt>
                <c:pt idx="453">
                  <c:v>0.92988566192488697</c:v>
                </c:pt>
                <c:pt idx="454">
                  <c:v>0.92988566192488697</c:v>
                </c:pt>
                <c:pt idx="455">
                  <c:v>0.92988566192488697</c:v>
                </c:pt>
                <c:pt idx="456">
                  <c:v>0.92988566192488697</c:v>
                </c:pt>
                <c:pt idx="457">
                  <c:v>0.92962672480790898</c:v>
                </c:pt>
                <c:pt idx="458">
                  <c:v>0.92962672480790898</c:v>
                </c:pt>
                <c:pt idx="459">
                  <c:v>0.91261368517922603</c:v>
                </c:pt>
                <c:pt idx="460">
                  <c:v>0.91261368517922603</c:v>
                </c:pt>
                <c:pt idx="461">
                  <c:v>0.91261368517922603</c:v>
                </c:pt>
                <c:pt idx="462">
                  <c:v>0.91054790878492298</c:v>
                </c:pt>
                <c:pt idx="463">
                  <c:v>0.91054790878492298</c:v>
                </c:pt>
                <c:pt idx="464">
                  <c:v>0.91054790878492298</c:v>
                </c:pt>
                <c:pt idx="465">
                  <c:v>0.91054790878492298</c:v>
                </c:pt>
                <c:pt idx="466">
                  <c:v>0.91054790878492298</c:v>
                </c:pt>
                <c:pt idx="467">
                  <c:v>0.91261368517922603</c:v>
                </c:pt>
                <c:pt idx="468">
                  <c:v>0.91261368517922603</c:v>
                </c:pt>
                <c:pt idx="469">
                  <c:v>0.91261368517922603</c:v>
                </c:pt>
                <c:pt idx="470">
                  <c:v>0.91261368517922603</c:v>
                </c:pt>
                <c:pt idx="471">
                  <c:v>0.91261368517922603</c:v>
                </c:pt>
                <c:pt idx="472">
                  <c:v>0.90964878851271103</c:v>
                </c:pt>
                <c:pt idx="473">
                  <c:v>0.90964878851271103</c:v>
                </c:pt>
                <c:pt idx="474">
                  <c:v>0.90964878851271103</c:v>
                </c:pt>
                <c:pt idx="475">
                  <c:v>0.90964878851271103</c:v>
                </c:pt>
                <c:pt idx="476">
                  <c:v>0.91013454847674702</c:v>
                </c:pt>
                <c:pt idx="477">
                  <c:v>0.91013454847674702</c:v>
                </c:pt>
                <c:pt idx="478">
                  <c:v>0.91013454847674702</c:v>
                </c:pt>
                <c:pt idx="479">
                  <c:v>0.88776607960810605</c:v>
                </c:pt>
                <c:pt idx="480">
                  <c:v>0.88829814088555903</c:v>
                </c:pt>
                <c:pt idx="481">
                  <c:v>0.88829814088555903</c:v>
                </c:pt>
                <c:pt idx="482">
                  <c:v>0.88829814088555903</c:v>
                </c:pt>
                <c:pt idx="483">
                  <c:v>0.88829814088555903</c:v>
                </c:pt>
                <c:pt idx="484">
                  <c:v>0.88829814088555903</c:v>
                </c:pt>
                <c:pt idx="485">
                  <c:v>0.88507237465235999</c:v>
                </c:pt>
                <c:pt idx="486">
                  <c:v>0.88507237465235999</c:v>
                </c:pt>
                <c:pt idx="487">
                  <c:v>0.88507237465235999</c:v>
                </c:pt>
                <c:pt idx="488">
                  <c:v>0.88507237465235999</c:v>
                </c:pt>
                <c:pt idx="489">
                  <c:v>0.88507237465235999</c:v>
                </c:pt>
                <c:pt idx="490">
                  <c:v>0.88631407683414698</c:v>
                </c:pt>
                <c:pt idx="491">
                  <c:v>0.88631407683414698</c:v>
                </c:pt>
                <c:pt idx="492">
                  <c:v>0.88631407683414698</c:v>
                </c:pt>
                <c:pt idx="493">
                  <c:v>0.88631407683414698</c:v>
                </c:pt>
                <c:pt idx="494">
                  <c:v>0.88379536104531298</c:v>
                </c:pt>
                <c:pt idx="495">
                  <c:v>0.88379536104531298</c:v>
                </c:pt>
                <c:pt idx="496">
                  <c:v>0.88379536104531298</c:v>
                </c:pt>
                <c:pt idx="497">
                  <c:v>0.88379536104531298</c:v>
                </c:pt>
                <c:pt idx="498">
                  <c:v>0.88379536104531298</c:v>
                </c:pt>
                <c:pt idx="499">
                  <c:v>0.84748759806752005</c:v>
                </c:pt>
                <c:pt idx="500">
                  <c:v>0.82271172400250803</c:v>
                </c:pt>
                <c:pt idx="501">
                  <c:v>0.82271172400250803</c:v>
                </c:pt>
                <c:pt idx="502">
                  <c:v>0.82271172400250803</c:v>
                </c:pt>
                <c:pt idx="503">
                  <c:v>0.82271172400250803</c:v>
                </c:pt>
                <c:pt idx="504">
                  <c:v>0.82271172400250803</c:v>
                </c:pt>
                <c:pt idx="505">
                  <c:v>0.82271172400250803</c:v>
                </c:pt>
                <c:pt idx="506">
                  <c:v>0.82271172400250803</c:v>
                </c:pt>
                <c:pt idx="507">
                  <c:v>0.82271172400250803</c:v>
                </c:pt>
                <c:pt idx="508">
                  <c:v>0.82271172400250803</c:v>
                </c:pt>
                <c:pt idx="509">
                  <c:v>0.82271172400250803</c:v>
                </c:pt>
                <c:pt idx="510">
                  <c:v>0.82271172400250803</c:v>
                </c:pt>
                <c:pt idx="511">
                  <c:v>0.82271172400250803</c:v>
                </c:pt>
                <c:pt idx="512">
                  <c:v>0.82271172400250803</c:v>
                </c:pt>
                <c:pt idx="513">
                  <c:v>0.79171461670661003</c:v>
                </c:pt>
                <c:pt idx="514">
                  <c:v>0.79171461670661003</c:v>
                </c:pt>
                <c:pt idx="515">
                  <c:v>0.79171461670661003</c:v>
                </c:pt>
                <c:pt idx="516">
                  <c:v>0.79171461670661003</c:v>
                </c:pt>
                <c:pt idx="517">
                  <c:v>0.79171461670661003</c:v>
                </c:pt>
                <c:pt idx="518">
                  <c:v>0.83664177858148003</c:v>
                </c:pt>
                <c:pt idx="519">
                  <c:v>0.81851206223084805</c:v>
                </c:pt>
                <c:pt idx="520">
                  <c:v>0.81851206223084805</c:v>
                </c:pt>
                <c:pt idx="521">
                  <c:v>0.81851206223084805</c:v>
                </c:pt>
                <c:pt idx="522">
                  <c:v>0.81851206223084805</c:v>
                </c:pt>
                <c:pt idx="523">
                  <c:v>0.81207127811354496</c:v>
                </c:pt>
                <c:pt idx="524">
                  <c:v>0.81207127811354496</c:v>
                </c:pt>
                <c:pt idx="525">
                  <c:v>0.81207127811354496</c:v>
                </c:pt>
                <c:pt idx="526">
                  <c:v>0.81207127811354496</c:v>
                </c:pt>
                <c:pt idx="527">
                  <c:v>0.81207127811354496</c:v>
                </c:pt>
                <c:pt idx="528">
                  <c:v>0.71228035501776499</c:v>
                </c:pt>
                <c:pt idx="529">
                  <c:v>0.71228035501776499</c:v>
                </c:pt>
                <c:pt idx="530">
                  <c:v>0.71228035501776499</c:v>
                </c:pt>
                <c:pt idx="531">
                  <c:v>0.71228035501776499</c:v>
                </c:pt>
                <c:pt idx="532">
                  <c:v>0.71228035501776499</c:v>
                </c:pt>
                <c:pt idx="533">
                  <c:v>0.79257538531726102</c:v>
                </c:pt>
                <c:pt idx="534">
                  <c:v>0.79257538531726102</c:v>
                </c:pt>
                <c:pt idx="535">
                  <c:v>0.79257538531726102</c:v>
                </c:pt>
                <c:pt idx="536">
                  <c:v>0.79257538531726102</c:v>
                </c:pt>
                <c:pt idx="537">
                  <c:v>0.79257538531726102</c:v>
                </c:pt>
                <c:pt idx="538">
                  <c:v>0.76303866278122401</c:v>
                </c:pt>
                <c:pt idx="539">
                  <c:v>0.743473360501545</c:v>
                </c:pt>
                <c:pt idx="540">
                  <c:v>0.743473360501545</c:v>
                </c:pt>
                <c:pt idx="541">
                  <c:v>0.743473360501545</c:v>
                </c:pt>
                <c:pt idx="542">
                  <c:v>0.77315817508860396</c:v>
                </c:pt>
                <c:pt idx="543">
                  <c:v>0.77315817508860396</c:v>
                </c:pt>
                <c:pt idx="544">
                  <c:v>0.77315817508860396</c:v>
                </c:pt>
                <c:pt idx="545">
                  <c:v>0.77315817508860396</c:v>
                </c:pt>
                <c:pt idx="546">
                  <c:v>0.77315817508860396</c:v>
                </c:pt>
                <c:pt idx="547">
                  <c:v>0.82454142309345102</c:v>
                </c:pt>
                <c:pt idx="548">
                  <c:v>0.82454142309345102</c:v>
                </c:pt>
                <c:pt idx="549">
                  <c:v>0.82454142309345102</c:v>
                </c:pt>
                <c:pt idx="550">
                  <c:v>0.82454142309345102</c:v>
                </c:pt>
                <c:pt idx="551">
                  <c:v>0.82454142309345102</c:v>
                </c:pt>
                <c:pt idx="552">
                  <c:v>0.82630589885428396</c:v>
                </c:pt>
                <c:pt idx="553">
                  <c:v>0.82630589885428396</c:v>
                </c:pt>
                <c:pt idx="554">
                  <c:v>0.82630589885428396</c:v>
                </c:pt>
                <c:pt idx="555">
                  <c:v>0.82630589885428396</c:v>
                </c:pt>
                <c:pt idx="556">
                  <c:v>0.82630589885428396</c:v>
                </c:pt>
                <c:pt idx="557">
                  <c:v>0.82751009126472896</c:v>
                </c:pt>
                <c:pt idx="558">
                  <c:v>0.82751009126472896</c:v>
                </c:pt>
                <c:pt idx="559">
                  <c:v>0.82751009126472896</c:v>
                </c:pt>
                <c:pt idx="560">
                  <c:v>0.82751009126472896</c:v>
                </c:pt>
                <c:pt idx="561">
                  <c:v>0.81036703654126596</c:v>
                </c:pt>
                <c:pt idx="562">
                  <c:v>0.81666056757909999</c:v>
                </c:pt>
                <c:pt idx="563">
                  <c:v>0.81666056757909999</c:v>
                </c:pt>
                <c:pt idx="564">
                  <c:v>0.81666056757909999</c:v>
                </c:pt>
                <c:pt idx="565">
                  <c:v>0.81666056757909999</c:v>
                </c:pt>
                <c:pt idx="566">
                  <c:v>0.81666056757909999</c:v>
                </c:pt>
                <c:pt idx="567">
                  <c:v>0.80807149473903706</c:v>
                </c:pt>
                <c:pt idx="568">
                  <c:v>0.80807149473903706</c:v>
                </c:pt>
                <c:pt idx="569">
                  <c:v>0.80807149473903706</c:v>
                </c:pt>
                <c:pt idx="570">
                  <c:v>0.80807149473903706</c:v>
                </c:pt>
                <c:pt idx="571">
                  <c:v>0.80807149473903706</c:v>
                </c:pt>
                <c:pt idx="572">
                  <c:v>0.80807149473903706</c:v>
                </c:pt>
                <c:pt idx="573">
                  <c:v>0.80807149473903706</c:v>
                </c:pt>
                <c:pt idx="574">
                  <c:v>0.77783403735744605</c:v>
                </c:pt>
                <c:pt idx="575">
                  <c:v>0.77783403735744605</c:v>
                </c:pt>
                <c:pt idx="576">
                  <c:v>0.77783403735744605</c:v>
                </c:pt>
                <c:pt idx="577">
                  <c:v>0.69478056772037999</c:v>
                </c:pt>
                <c:pt idx="578">
                  <c:v>0.69478056772037999</c:v>
                </c:pt>
                <c:pt idx="579">
                  <c:v>0.69478056772037999</c:v>
                </c:pt>
                <c:pt idx="580">
                  <c:v>0.69478056772037999</c:v>
                </c:pt>
                <c:pt idx="581">
                  <c:v>0.635194452728709</c:v>
                </c:pt>
                <c:pt idx="582">
                  <c:v>0.635194452728709</c:v>
                </c:pt>
                <c:pt idx="583">
                  <c:v>0.614848697284054</c:v>
                </c:pt>
                <c:pt idx="584">
                  <c:v>0.614848697284054</c:v>
                </c:pt>
                <c:pt idx="585">
                  <c:v>0.614848697284054</c:v>
                </c:pt>
                <c:pt idx="586">
                  <c:v>0.60559705603105995</c:v>
                </c:pt>
                <c:pt idx="587">
                  <c:v>0.60559705603105995</c:v>
                </c:pt>
                <c:pt idx="588">
                  <c:v>0.60559705603105995</c:v>
                </c:pt>
                <c:pt idx="589">
                  <c:v>0.60559705603105995</c:v>
                </c:pt>
                <c:pt idx="590">
                  <c:v>0.60559705603105995</c:v>
                </c:pt>
                <c:pt idx="591">
                  <c:v>0.57343184072471898</c:v>
                </c:pt>
                <c:pt idx="592">
                  <c:v>0.57343184072471898</c:v>
                </c:pt>
                <c:pt idx="593">
                  <c:v>0.57343184072471898</c:v>
                </c:pt>
                <c:pt idx="594">
                  <c:v>0.57343184072471898</c:v>
                </c:pt>
                <c:pt idx="595">
                  <c:v>0.57343184072471898</c:v>
                </c:pt>
                <c:pt idx="596">
                  <c:v>0.60175540147873097</c:v>
                </c:pt>
                <c:pt idx="597">
                  <c:v>0.60175540147873097</c:v>
                </c:pt>
                <c:pt idx="598">
                  <c:v>0.60175540147873097</c:v>
                </c:pt>
                <c:pt idx="599">
                  <c:v>0.60175540147873097</c:v>
                </c:pt>
                <c:pt idx="600">
                  <c:v>0.60175540147873097</c:v>
                </c:pt>
                <c:pt idx="601">
                  <c:v>0.41370007412069798</c:v>
                </c:pt>
                <c:pt idx="602">
                  <c:v>0.41370007412069798</c:v>
                </c:pt>
                <c:pt idx="603">
                  <c:v>0.39643390905357601</c:v>
                </c:pt>
                <c:pt idx="604">
                  <c:v>0.39643390905357601</c:v>
                </c:pt>
                <c:pt idx="605">
                  <c:v>0.43308419457729302</c:v>
                </c:pt>
                <c:pt idx="606">
                  <c:v>0.43308419457729302</c:v>
                </c:pt>
                <c:pt idx="607">
                  <c:v>0.43308419457729302</c:v>
                </c:pt>
                <c:pt idx="608">
                  <c:v>0.43308419457729302</c:v>
                </c:pt>
                <c:pt idx="609">
                  <c:v>0.43308419457729302</c:v>
                </c:pt>
                <c:pt idx="610">
                  <c:v>0.34039157628197098</c:v>
                </c:pt>
                <c:pt idx="611">
                  <c:v>0.34039157628197098</c:v>
                </c:pt>
                <c:pt idx="612">
                  <c:v>0.34039157628197098</c:v>
                </c:pt>
                <c:pt idx="613">
                  <c:v>0.34039157628197098</c:v>
                </c:pt>
                <c:pt idx="614">
                  <c:v>0.34039157628197098</c:v>
                </c:pt>
                <c:pt idx="615">
                  <c:v>0.426207408093986</c:v>
                </c:pt>
                <c:pt idx="616">
                  <c:v>0.426207408093986</c:v>
                </c:pt>
                <c:pt idx="617">
                  <c:v>0.426207408093986</c:v>
                </c:pt>
                <c:pt idx="618">
                  <c:v>0.426207408093986</c:v>
                </c:pt>
                <c:pt idx="619">
                  <c:v>0.426207408093986</c:v>
                </c:pt>
                <c:pt idx="620">
                  <c:v>0.43167939138876898</c:v>
                </c:pt>
                <c:pt idx="621">
                  <c:v>0.43167939138876898</c:v>
                </c:pt>
                <c:pt idx="622">
                  <c:v>0.43167939138876898</c:v>
                </c:pt>
                <c:pt idx="623">
                  <c:v>0.43167939138876898</c:v>
                </c:pt>
                <c:pt idx="624">
                  <c:v>0.43167939138876898</c:v>
                </c:pt>
                <c:pt idx="625">
                  <c:v>0.40917398895536999</c:v>
                </c:pt>
                <c:pt idx="626">
                  <c:v>0.40917398895536999</c:v>
                </c:pt>
                <c:pt idx="627">
                  <c:v>0.40917398895536999</c:v>
                </c:pt>
                <c:pt idx="628">
                  <c:v>0.40917398895536999</c:v>
                </c:pt>
                <c:pt idx="629">
                  <c:v>0.40917398895536999</c:v>
                </c:pt>
                <c:pt idx="630">
                  <c:v>0.40794548718226897</c:v>
                </c:pt>
                <c:pt idx="631">
                  <c:v>0.40794548718226897</c:v>
                </c:pt>
                <c:pt idx="632">
                  <c:v>0.40794548718226897</c:v>
                </c:pt>
                <c:pt idx="633">
                  <c:v>0.40794548718226897</c:v>
                </c:pt>
                <c:pt idx="634">
                  <c:v>0.40794548718226897</c:v>
                </c:pt>
                <c:pt idx="635">
                  <c:v>0.40794548718226897</c:v>
                </c:pt>
                <c:pt idx="636">
                  <c:v>0.40794548718226897</c:v>
                </c:pt>
                <c:pt idx="637">
                  <c:v>0.40794548718226897</c:v>
                </c:pt>
                <c:pt idx="638">
                  <c:v>0.40794548718226897</c:v>
                </c:pt>
                <c:pt idx="639">
                  <c:v>0.40794548718226897</c:v>
                </c:pt>
                <c:pt idx="640">
                  <c:v>0.28736143003290598</c:v>
                </c:pt>
                <c:pt idx="641">
                  <c:v>0.28736143003290598</c:v>
                </c:pt>
                <c:pt idx="642">
                  <c:v>0.28736143003290598</c:v>
                </c:pt>
                <c:pt idx="643">
                  <c:v>0.28736143003290598</c:v>
                </c:pt>
                <c:pt idx="644">
                  <c:v>0.28736143003290598</c:v>
                </c:pt>
                <c:pt idx="645">
                  <c:v>0.32609160736856702</c:v>
                </c:pt>
                <c:pt idx="646">
                  <c:v>0.32609160736856702</c:v>
                </c:pt>
                <c:pt idx="647">
                  <c:v>0.315593133253526</c:v>
                </c:pt>
                <c:pt idx="648">
                  <c:v>0.315593133253526</c:v>
                </c:pt>
                <c:pt idx="649">
                  <c:v>0.28153720559456502</c:v>
                </c:pt>
                <c:pt idx="650">
                  <c:v>0.28153720559456502</c:v>
                </c:pt>
                <c:pt idx="651">
                  <c:v>0.28153720559456502</c:v>
                </c:pt>
                <c:pt idx="652">
                  <c:v>0.28153720559456502</c:v>
                </c:pt>
                <c:pt idx="653">
                  <c:v>0.28153720559456502</c:v>
                </c:pt>
                <c:pt idx="654">
                  <c:v>0.28153720559456502</c:v>
                </c:pt>
                <c:pt idx="655">
                  <c:v>0.28153720559456502</c:v>
                </c:pt>
                <c:pt idx="656">
                  <c:v>0.28153720559456502</c:v>
                </c:pt>
                <c:pt idx="657">
                  <c:v>0.28153720559456502</c:v>
                </c:pt>
                <c:pt idx="658">
                  <c:v>0.28153720559456502</c:v>
                </c:pt>
                <c:pt idx="659">
                  <c:v>0.33139494640254802</c:v>
                </c:pt>
                <c:pt idx="660">
                  <c:v>0.33139494640254802</c:v>
                </c:pt>
                <c:pt idx="661">
                  <c:v>0.33139494640254802</c:v>
                </c:pt>
                <c:pt idx="662">
                  <c:v>0.33139494640254802</c:v>
                </c:pt>
                <c:pt idx="663">
                  <c:v>0.33139494640254802</c:v>
                </c:pt>
                <c:pt idx="664">
                  <c:v>0.404422924260806</c:v>
                </c:pt>
                <c:pt idx="665">
                  <c:v>0.404422924260806</c:v>
                </c:pt>
                <c:pt idx="666">
                  <c:v>0.404422924260806</c:v>
                </c:pt>
                <c:pt idx="667">
                  <c:v>0.39753455676891197</c:v>
                </c:pt>
                <c:pt idx="668">
                  <c:v>0.39753455676891197</c:v>
                </c:pt>
                <c:pt idx="669">
                  <c:v>0.41492382770581399</c:v>
                </c:pt>
                <c:pt idx="670">
                  <c:v>0.41492382770581399</c:v>
                </c:pt>
                <c:pt idx="671">
                  <c:v>0.41492382770581399</c:v>
                </c:pt>
                <c:pt idx="672">
                  <c:v>0.41492382770581399</c:v>
                </c:pt>
                <c:pt idx="673">
                  <c:v>0.41492382770581399</c:v>
                </c:pt>
                <c:pt idx="674">
                  <c:v>0.41233771643317702</c:v>
                </c:pt>
                <c:pt idx="675">
                  <c:v>0.41233771643317702</c:v>
                </c:pt>
                <c:pt idx="676">
                  <c:v>0.41233771643317702</c:v>
                </c:pt>
                <c:pt idx="677">
                  <c:v>0.41233771643317702</c:v>
                </c:pt>
                <c:pt idx="678">
                  <c:v>0.40226083862325102</c:v>
                </c:pt>
                <c:pt idx="679">
                  <c:v>0.40226083862325102</c:v>
                </c:pt>
                <c:pt idx="680">
                  <c:v>0.40226083862325102</c:v>
                </c:pt>
                <c:pt idx="681">
                  <c:v>0.40226083862325102</c:v>
                </c:pt>
                <c:pt idx="682">
                  <c:v>0.40226083862325102</c:v>
                </c:pt>
                <c:pt idx="683">
                  <c:v>0.44174331286746599</c:v>
                </c:pt>
                <c:pt idx="684">
                  <c:v>0.44174331286746599</c:v>
                </c:pt>
                <c:pt idx="685">
                  <c:v>0.44174331286746599</c:v>
                </c:pt>
                <c:pt idx="686">
                  <c:v>0.44174331286746599</c:v>
                </c:pt>
                <c:pt idx="687">
                  <c:v>0.46054051472194202</c:v>
                </c:pt>
                <c:pt idx="688">
                  <c:v>0.45992799651573901</c:v>
                </c:pt>
                <c:pt idx="689">
                  <c:v>0.45992799651573901</c:v>
                </c:pt>
                <c:pt idx="690">
                  <c:v>0.45992799651573901</c:v>
                </c:pt>
                <c:pt idx="691">
                  <c:v>0.45992799651573901</c:v>
                </c:pt>
                <c:pt idx="692">
                  <c:v>0.42914615919681298</c:v>
                </c:pt>
                <c:pt idx="693">
                  <c:v>0.42914615919681298</c:v>
                </c:pt>
                <c:pt idx="694">
                  <c:v>0.42914615919681298</c:v>
                </c:pt>
                <c:pt idx="695">
                  <c:v>0.42914615919681298</c:v>
                </c:pt>
                <c:pt idx="696">
                  <c:v>0.42914615919681298</c:v>
                </c:pt>
                <c:pt idx="697">
                  <c:v>0.38756459325455</c:v>
                </c:pt>
                <c:pt idx="698">
                  <c:v>0.38756459325455</c:v>
                </c:pt>
                <c:pt idx="699">
                  <c:v>0.38756459325455</c:v>
                </c:pt>
                <c:pt idx="700">
                  <c:v>0.38756459325455</c:v>
                </c:pt>
                <c:pt idx="701">
                  <c:v>0.41376095810168201</c:v>
                </c:pt>
                <c:pt idx="702">
                  <c:v>0.41376095810168201</c:v>
                </c:pt>
                <c:pt idx="703">
                  <c:v>0.41376095810168201</c:v>
                </c:pt>
                <c:pt idx="704">
                  <c:v>0.41376095810168201</c:v>
                </c:pt>
                <c:pt idx="705">
                  <c:v>0.39685395177288302</c:v>
                </c:pt>
                <c:pt idx="706">
                  <c:v>0.39685395177288302</c:v>
                </c:pt>
                <c:pt idx="707">
                  <c:v>0.39163572008716802</c:v>
                </c:pt>
                <c:pt idx="708">
                  <c:v>0.39163572008716802</c:v>
                </c:pt>
                <c:pt idx="709">
                  <c:v>0.39163572008716802</c:v>
                </c:pt>
                <c:pt idx="710">
                  <c:v>0.347358703685412</c:v>
                </c:pt>
                <c:pt idx="711">
                  <c:v>0.347358703685412</c:v>
                </c:pt>
                <c:pt idx="712">
                  <c:v>0.347358703685412</c:v>
                </c:pt>
                <c:pt idx="713">
                  <c:v>0.347358703685412</c:v>
                </c:pt>
                <c:pt idx="714">
                  <c:v>0.347358703685412</c:v>
                </c:pt>
                <c:pt idx="715">
                  <c:v>0.37050298104882501</c:v>
                </c:pt>
                <c:pt idx="716">
                  <c:v>0.37050298104882501</c:v>
                </c:pt>
                <c:pt idx="717">
                  <c:v>0.37050298104882501</c:v>
                </c:pt>
                <c:pt idx="718">
                  <c:v>0.37050298104882501</c:v>
                </c:pt>
                <c:pt idx="719">
                  <c:v>0.37050298104882501</c:v>
                </c:pt>
                <c:pt idx="720">
                  <c:v>0.33802122298332299</c:v>
                </c:pt>
                <c:pt idx="721">
                  <c:v>0.33802122298332299</c:v>
                </c:pt>
                <c:pt idx="722">
                  <c:v>0.33802122298332299</c:v>
                </c:pt>
                <c:pt idx="723">
                  <c:v>0.33802122298332299</c:v>
                </c:pt>
                <c:pt idx="724">
                  <c:v>0.32957871451229898</c:v>
                </c:pt>
                <c:pt idx="725">
                  <c:v>0.32957871451229898</c:v>
                </c:pt>
                <c:pt idx="726">
                  <c:v>0.32957871451229898</c:v>
                </c:pt>
                <c:pt idx="727">
                  <c:v>0.32957871451229898</c:v>
                </c:pt>
                <c:pt idx="728">
                  <c:v>0.273381996337976</c:v>
                </c:pt>
                <c:pt idx="729">
                  <c:v>0.273381996337976</c:v>
                </c:pt>
                <c:pt idx="730">
                  <c:v>0.273381996337976</c:v>
                </c:pt>
                <c:pt idx="731">
                  <c:v>0.273381996337976</c:v>
                </c:pt>
                <c:pt idx="732">
                  <c:v>0.273381996337976</c:v>
                </c:pt>
                <c:pt idx="733">
                  <c:v>0.28943231649708401</c:v>
                </c:pt>
                <c:pt idx="734">
                  <c:v>0.28943231649708401</c:v>
                </c:pt>
                <c:pt idx="735">
                  <c:v>0.28943231649708401</c:v>
                </c:pt>
                <c:pt idx="736">
                  <c:v>0.28943231649708401</c:v>
                </c:pt>
                <c:pt idx="737">
                  <c:v>0.28943231649708401</c:v>
                </c:pt>
                <c:pt idx="738">
                  <c:v>0.36765798039511299</c:v>
                </c:pt>
                <c:pt idx="739">
                  <c:v>0.36765798039511299</c:v>
                </c:pt>
                <c:pt idx="740">
                  <c:v>0.36765798039511299</c:v>
                </c:pt>
                <c:pt idx="741">
                  <c:v>0.36765798039511299</c:v>
                </c:pt>
                <c:pt idx="742">
                  <c:v>0.37084428304329597</c:v>
                </c:pt>
                <c:pt idx="743">
                  <c:v>0.37084428304329597</c:v>
                </c:pt>
                <c:pt idx="744">
                  <c:v>0.37084428304329597</c:v>
                </c:pt>
                <c:pt idx="745">
                  <c:v>0.37084428304329597</c:v>
                </c:pt>
                <c:pt idx="746">
                  <c:v>0.37084428304329597</c:v>
                </c:pt>
                <c:pt idx="747">
                  <c:v>0.38154102604960499</c:v>
                </c:pt>
                <c:pt idx="748">
                  <c:v>0.38154102604960499</c:v>
                </c:pt>
                <c:pt idx="749">
                  <c:v>0.37772565332895602</c:v>
                </c:pt>
                <c:pt idx="750">
                  <c:v>0.37772565332895602</c:v>
                </c:pt>
                <c:pt idx="751">
                  <c:v>0.37772565332895602</c:v>
                </c:pt>
                <c:pt idx="752">
                  <c:v>0.39983029630913802</c:v>
                </c:pt>
                <c:pt idx="753">
                  <c:v>0.39983029630913802</c:v>
                </c:pt>
                <c:pt idx="754">
                  <c:v>0.39983029630913802</c:v>
                </c:pt>
                <c:pt idx="755">
                  <c:v>0.39983029630913802</c:v>
                </c:pt>
                <c:pt idx="756">
                  <c:v>0.39983029630913802</c:v>
                </c:pt>
                <c:pt idx="757">
                  <c:v>0.385235227392075</c:v>
                </c:pt>
                <c:pt idx="758">
                  <c:v>0.385235227392075</c:v>
                </c:pt>
                <c:pt idx="759">
                  <c:v>0.385235227392075</c:v>
                </c:pt>
                <c:pt idx="760">
                  <c:v>0.385235227392075</c:v>
                </c:pt>
                <c:pt idx="761">
                  <c:v>0.375411030467661</c:v>
                </c:pt>
                <c:pt idx="762">
                  <c:v>0.375411030467661</c:v>
                </c:pt>
                <c:pt idx="763">
                  <c:v>0.375411030467661</c:v>
                </c:pt>
                <c:pt idx="764">
                  <c:v>0.375411030467661</c:v>
                </c:pt>
                <c:pt idx="765">
                  <c:v>0.375411030467661</c:v>
                </c:pt>
                <c:pt idx="766">
                  <c:v>0.36950911021955302</c:v>
                </c:pt>
                <c:pt idx="767">
                  <c:v>0.36950911021955302</c:v>
                </c:pt>
                <c:pt idx="768">
                  <c:v>0.36618748344447</c:v>
                </c:pt>
                <c:pt idx="769">
                  <c:v>0.36618748344447</c:v>
                </c:pt>
                <c:pt idx="770">
                  <c:v>0.36618748344447</c:v>
                </c:pt>
                <c:pt idx="771">
                  <c:v>0.38305038505575201</c:v>
                </c:pt>
                <c:pt idx="772">
                  <c:v>0.38305038505575201</c:v>
                </c:pt>
                <c:pt idx="773">
                  <c:v>0.38305038505575201</c:v>
                </c:pt>
                <c:pt idx="774">
                  <c:v>0.38305038505575201</c:v>
                </c:pt>
                <c:pt idx="775">
                  <c:v>0.38305038505575201</c:v>
                </c:pt>
                <c:pt idx="776">
                  <c:v>0.36618748344447</c:v>
                </c:pt>
                <c:pt idx="777">
                  <c:v>0.36618748344447</c:v>
                </c:pt>
                <c:pt idx="778">
                  <c:v>0.36618748344447</c:v>
                </c:pt>
                <c:pt idx="779">
                  <c:v>0.36618748344447</c:v>
                </c:pt>
                <c:pt idx="780">
                  <c:v>0.36618748344447</c:v>
                </c:pt>
                <c:pt idx="781">
                  <c:v>0.37473459168456602</c:v>
                </c:pt>
                <c:pt idx="782">
                  <c:v>0.37473459168456602</c:v>
                </c:pt>
                <c:pt idx="783">
                  <c:v>0.37473459168456602</c:v>
                </c:pt>
                <c:pt idx="784">
                  <c:v>0.37473459168456602</c:v>
                </c:pt>
                <c:pt idx="785">
                  <c:v>0.37473459168456602</c:v>
                </c:pt>
                <c:pt idx="786">
                  <c:v>0.36106783694827599</c:v>
                </c:pt>
                <c:pt idx="787">
                  <c:v>0.36106783694827599</c:v>
                </c:pt>
                <c:pt idx="788">
                  <c:v>0.36106783694827599</c:v>
                </c:pt>
                <c:pt idx="789">
                  <c:v>0.35665287918352401</c:v>
                </c:pt>
                <c:pt idx="790">
                  <c:v>0.35665287918352401</c:v>
                </c:pt>
                <c:pt idx="791">
                  <c:v>0.35514156438481698</c:v>
                </c:pt>
                <c:pt idx="792">
                  <c:v>0.35514156438481698</c:v>
                </c:pt>
                <c:pt idx="793">
                  <c:v>0.35514156438481698</c:v>
                </c:pt>
                <c:pt idx="794">
                  <c:v>0.35514156438481698</c:v>
                </c:pt>
                <c:pt idx="795">
                  <c:v>0.35514156438481698</c:v>
                </c:pt>
                <c:pt idx="796">
                  <c:v>0.36665858727100598</c:v>
                </c:pt>
                <c:pt idx="797">
                  <c:v>0.36665858727100598</c:v>
                </c:pt>
                <c:pt idx="798">
                  <c:v>0.36665858727100598</c:v>
                </c:pt>
                <c:pt idx="799">
                  <c:v>0.36665858727100598</c:v>
                </c:pt>
                <c:pt idx="800">
                  <c:v>0.36665858727100598</c:v>
                </c:pt>
                <c:pt idx="801">
                  <c:v>0.38166972699665502</c:v>
                </c:pt>
                <c:pt idx="802">
                  <c:v>0.38166972699665502</c:v>
                </c:pt>
                <c:pt idx="803">
                  <c:v>0.38166972699665502</c:v>
                </c:pt>
                <c:pt idx="804">
                  <c:v>0.38166972699665502</c:v>
                </c:pt>
                <c:pt idx="805">
                  <c:v>0.36809292035715802</c:v>
                </c:pt>
                <c:pt idx="806">
                  <c:v>0.36809292035715802</c:v>
                </c:pt>
                <c:pt idx="807">
                  <c:v>0.36809292035715802</c:v>
                </c:pt>
                <c:pt idx="808">
                  <c:v>0.36809292035715802</c:v>
                </c:pt>
                <c:pt idx="809">
                  <c:v>0.36809292035715802</c:v>
                </c:pt>
                <c:pt idx="810">
                  <c:v>0.37329753351950501</c:v>
                </c:pt>
                <c:pt idx="811">
                  <c:v>0.37329753351950501</c:v>
                </c:pt>
                <c:pt idx="812">
                  <c:v>0.37329753351950501</c:v>
                </c:pt>
                <c:pt idx="813">
                  <c:v>0.37329753351950501</c:v>
                </c:pt>
                <c:pt idx="814">
                  <c:v>0.37329753351950501</c:v>
                </c:pt>
                <c:pt idx="815">
                  <c:v>0.40121753760358098</c:v>
                </c:pt>
                <c:pt idx="816">
                  <c:v>0.40121753760358098</c:v>
                </c:pt>
                <c:pt idx="817">
                  <c:v>0.40121753760358098</c:v>
                </c:pt>
                <c:pt idx="818">
                  <c:v>0.40121753760358098</c:v>
                </c:pt>
                <c:pt idx="819">
                  <c:v>0.40121753760358098</c:v>
                </c:pt>
                <c:pt idx="820">
                  <c:v>0.40418715867892502</c:v>
                </c:pt>
                <c:pt idx="821">
                  <c:v>0.40418715867892502</c:v>
                </c:pt>
                <c:pt idx="822">
                  <c:v>0.40418715867892502</c:v>
                </c:pt>
                <c:pt idx="823">
                  <c:v>0.40418715867892502</c:v>
                </c:pt>
                <c:pt idx="824">
                  <c:v>0.40418715867892502</c:v>
                </c:pt>
                <c:pt idx="825">
                  <c:v>0.43156044404796001</c:v>
                </c:pt>
                <c:pt idx="826">
                  <c:v>0.43156044404796001</c:v>
                </c:pt>
                <c:pt idx="827">
                  <c:v>0.43156044404796001</c:v>
                </c:pt>
                <c:pt idx="828">
                  <c:v>0.43156044404796001</c:v>
                </c:pt>
                <c:pt idx="829">
                  <c:v>0.44289145430937299</c:v>
                </c:pt>
                <c:pt idx="830">
                  <c:v>0.44289145430937299</c:v>
                </c:pt>
                <c:pt idx="831">
                  <c:v>0.44150761506791297</c:v>
                </c:pt>
                <c:pt idx="832">
                  <c:v>0.44150761506791297</c:v>
                </c:pt>
                <c:pt idx="833">
                  <c:v>0.44150761506791297</c:v>
                </c:pt>
                <c:pt idx="834">
                  <c:v>0.429907169996321</c:v>
                </c:pt>
                <c:pt idx="835">
                  <c:v>0.429907169996321</c:v>
                </c:pt>
                <c:pt idx="836">
                  <c:v>0.429907169996321</c:v>
                </c:pt>
                <c:pt idx="837">
                  <c:v>0.429907169996321</c:v>
                </c:pt>
                <c:pt idx="838">
                  <c:v>0.429907169996321</c:v>
                </c:pt>
                <c:pt idx="839">
                  <c:v>0.40128471016646999</c:v>
                </c:pt>
                <c:pt idx="840">
                  <c:v>0.40128471016646999</c:v>
                </c:pt>
                <c:pt idx="841">
                  <c:v>0.40128471016646999</c:v>
                </c:pt>
                <c:pt idx="842">
                  <c:v>0.40128471016646999</c:v>
                </c:pt>
                <c:pt idx="843">
                  <c:v>0.40128471016646999</c:v>
                </c:pt>
                <c:pt idx="844">
                  <c:v>0.41370374077875499</c:v>
                </c:pt>
                <c:pt idx="845">
                  <c:v>0.41370374077875499</c:v>
                </c:pt>
                <c:pt idx="846">
                  <c:v>0.41370374077875499</c:v>
                </c:pt>
                <c:pt idx="847">
                  <c:v>0.41370374077875499</c:v>
                </c:pt>
                <c:pt idx="848">
                  <c:v>0.41370374077875499</c:v>
                </c:pt>
                <c:pt idx="849">
                  <c:v>0.429907169996321</c:v>
                </c:pt>
                <c:pt idx="850">
                  <c:v>0.429907169996321</c:v>
                </c:pt>
                <c:pt idx="851">
                  <c:v>0.429907169996321</c:v>
                </c:pt>
                <c:pt idx="852">
                  <c:v>0.42761316319375098</c:v>
                </c:pt>
                <c:pt idx="853">
                  <c:v>0.42761316319375098</c:v>
                </c:pt>
                <c:pt idx="854">
                  <c:v>0.43906416657041802</c:v>
                </c:pt>
                <c:pt idx="855">
                  <c:v>0.43906416657041802</c:v>
                </c:pt>
                <c:pt idx="856">
                  <c:v>0.43906416657041802</c:v>
                </c:pt>
                <c:pt idx="857">
                  <c:v>0.43906416657041802</c:v>
                </c:pt>
                <c:pt idx="858">
                  <c:v>0.420794457847457</c:v>
                </c:pt>
                <c:pt idx="859">
                  <c:v>0.420794457847457</c:v>
                </c:pt>
                <c:pt idx="860">
                  <c:v>0.420794457847457</c:v>
                </c:pt>
                <c:pt idx="861">
                  <c:v>0.420794457847457</c:v>
                </c:pt>
                <c:pt idx="862">
                  <c:v>0.420794457847457</c:v>
                </c:pt>
                <c:pt idx="863">
                  <c:v>0.43231309412176999</c:v>
                </c:pt>
                <c:pt idx="864">
                  <c:v>0.43231309412176999</c:v>
                </c:pt>
                <c:pt idx="865">
                  <c:v>0.43231309412176999</c:v>
                </c:pt>
                <c:pt idx="866">
                  <c:v>0.43231309412176999</c:v>
                </c:pt>
                <c:pt idx="867">
                  <c:v>0.43231309412176999</c:v>
                </c:pt>
                <c:pt idx="868">
                  <c:v>0.43231309412176999</c:v>
                </c:pt>
                <c:pt idx="869">
                  <c:v>0.43231309412176999</c:v>
                </c:pt>
                <c:pt idx="870">
                  <c:v>0.43231309412176999</c:v>
                </c:pt>
                <c:pt idx="871">
                  <c:v>0.43231309412176999</c:v>
                </c:pt>
                <c:pt idx="872">
                  <c:v>0.43231309412176999</c:v>
                </c:pt>
                <c:pt idx="873">
                  <c:v>0.43906416657041802</c:v>
                </c:pt>
                <c:pt idx="874">
                  <c:v>0.43538889187038299</c:v>
                </c:pt>
                <c:pt idx="875">
                  <c:v>0.43538889187038299</c:v>
                </c:pt>
                <c:pt idx="876">
                  <c:v>0.43538889187038299</c:v>
                </c:pt>
                <c:pt idx="877">
                  <c:v>0.43538889187038299</c:v>
                </c:pt>
                <c:pt idx="878">
                  <c:v>0.42413376349642801</c:v>
                </c:pt>
                <c:pt idx="879">
                  <c:v>0.42413376349642801</c:v>
                </c:pt>
                <c:pt idx="880">
                  <c:v>0.42413376349642801</c:v>
                </c:pt>
                <c:pt idx="881">
                  <c:v>0.42413376349642801</c:v>
                </c:pt>
                <c:pt idx="882">
                  <c:v>0.42413376349642801</c:v>
                </c:pt>
                <c:pt idx="883">
                  <c:v>0.43538889187038299</c:v>
                </c:pt>
                <c:pt idx="884">
                  <c:v>0.43538889187038299</c:v>
                </c:pt>
                <c:pt idx="885">
                  <c:v>0.43538889187038299</c:v>
                </c:pt>
                <c:pt idx="886">
                  <c:v>0.43538889187038299</c:v>
                </c:pt>
                <c:pt idx="887">
                  <c:v>0.43538889187038299</c:v>
                </c:pt>
                <c:pt idx="888">
                  <c:v>0.45105980423070802</c:v>
                </c:pt>
                <c:pt idx="889">
                  <c:v>0.45105980423070802</c:v>
                </c:pt>
                <c:pt idx="890">
                  <c:v>0.45105980423070802</c:v>
                </c:pt>
                <c:pt idx="891">
                  <c:v>0.45105980423070802</c:v>
                </c:pt>
                <c:pt idx="892">
                  <c:v>0.45105980423070802</c:v>
                </c:pt>
                <c:pt idx="893">
                  <c:v>0.45105980423070802</c:v>
                </c:pt>
                <c:pt idx="894">
                  <c:v>0.45105980423070802</c:v>
                </c:pt>
                <c:pt idx="895">
                  <c:v>0.44686834225614502</c:v>
                </c:pt>
                <c:pt idx="896">
                  <c:v>0.44686834225614502</c:v>
                </c:pt>
                <c:pt idx="897">
                  <c:v>0.44686834225614502</c:v>
                </c:pt>
                <c:pt idx="898">
                  <c:v>0.44686834225614502</c:v>
                </c:pt>
                <c:pt idx="899">
                  <c:v>0.44686834225614502</c:v>
                </c:pt>
                <c:pt idx="900">
                  <c:v>0.44686834225614502</c:v>
                </c:pt>
                <c:pt idx="901">
                  <c:v>0.44686834225614502</c:v>
                </c:pt>
                <c:pt idx="902">
                  <c:v>0.43119648526610799</c:v>
                </c:pt>
                <c:pt idx="903">
                  <c:v>0.43119648526610799</c:v>
                </c:pt>
                <c:pt idx="904">
                  <c:v>0.43119648526610799</c:v>
                </c:pt>
                <c:pt idx="905">
                  <c:v>0.43119648526610799</c:v>
                </c:pt>
                <c:pt idx="906">
                  <c:v>0.43119648526610799</c:v>
                </c:pt>
                <c:pt idx="907">
                  <c:v>0.37422484012928398</c:v>
                </c:pt>
                <c:pt idx="908">
                  <c:v>0.37422484012928398</c:v>
                </c:pt>
                <c:pt idx="909">
                  <c:v>0.37422484012928398</c:v>
                </c:pt>
                <c:pt idx="910">
                  <c:v>0.37422484012928398</c:v>
                </c:pt>
                <c:pt idx="911">
                  <c:v>0.37422484012928398</c:v>
                </c:pt>
                <c:pt idx="912">
                  <c:v>0.38870901214480402</c:v>
                </c:pt>
                <c:pt idx="913">
                  <c:v>0.38870901214480402</c:v>
                </c:pt>
                <c:pt idx="914">
                  <c:v>0.38870901214480402</c:v>
                </c:pt>
                <c:pt idx="915">
                  <c:v>0.38870901214480402</c:v>
                </c:pt>
                <c:pt idx="916">
                  <c:v>0.38430847776478</c:v>
                </c:pt>
                <c:pt idx="917">
                  <c:v>0.38901935972403701</c:v>
                </c:pt>
                <c:pt idx="918">
                  <c:v>0.38901935972403701</c:v>
                </c:pt>
                <c:pt idx="919">
                  <c:v>0.38901935972403701</c:v>
                </c:pt>
                <c:pt idx="920">
                  <c:v>0.38901935972403701</c:v>
                </c:pt>
                <c:pt idx="921">
                  <c:v>0.38901935972403701</c:v>
                </c:pt>
                <c:pt idx="922">
                  <c:v>0.42675826592863297</c:v>
                </c:pt>
                <c:pt idx="923">
                  <c:v>0.42675826592863297</c:v>
                </c:pt>
                <c:pt idx="924">
                  <c:v>0.42675826592863297</c:v>
                </c:pt>
                <c:pt idx="925">
                  <c:v>0.42675826592863297</c:v>
                </c:pt>
                <c:pt idx="926">
                  <c:v>0.54988615852829004</c:v>
                </c:pt>
                <c:pt idx="927">
                  <c:v>0.54988615852829004</c:v>
                </c:pt>
                <c:pt idx="928">
                  <c:v>0.54988615852829004</c:v>
                </c:pt>
                <c:pt idx="929">
                  <c:v>0.54988615852829004</c:v>
                </c:pt>
                <c:pt idx="930">
                  <c:v>0.54988615852829004</c:v>
                </c:pt>
                <c:pt idx="931">
                  <c:v>0.57517284737260699</c:v>
                </c:pt>
                <c:pt idx="932">
                  <c:v>0.57517284737260699</c:v>
                </c:pt>
                <c:pt idx="933">
                  <c:v>0.57517284737260699</c:v>
                </c:pt>
                <c:pt idx="934">
                  <c:v>0.57517284737260699</c:v>
                </c:pt>
                <c:pt idx="935">
                  <c:v>0.57517284737260699</c:v>
                </c:pt>
                <c:pt idx="936">
                  <c:v>0.54355644019764404</c:v>
                </c:pt>
                <c:pt idx="937">
                  <c:v>0.54355644019764404</c:v>
                </c:pt>
                <c:pt idx="938">
                  <c:v>0.54089108147199405</c:v>
                </c:pt>
                <c:pt idx="939">
                  <c:v>0.54089108147199405</c:v>
                </c:pt>
                <c:pt idx="940">
                  <c:v>0.54089108147199405</c:v>
                </c:pt>
                <c:pt idx="941">
                  <c:v>0.505106736466303</c:v>
                </c:pt>
                <c:pt idx="942">
                  <c:v>0.505106736466303</c:v>
                </c:pt>
                <c:pt idx="943">
                  <c:v>0.505106736466303</c:v>
                </c:pt>
                <c:pt idx="944">
                  <c:v>0.505106736466303</c:v>
                </c:pt>
                <c:pt idx="945">
                  <c:v>0.51180256347737196</c:v>
                </c:pt>
                <c:pt idx="946">
                  <c:v>0.51180256347737196</c:v>
                </c:pt>
                <c:pt idx="947">
                  <c:v>0.51180256347737196</c:v>
                </c:pt>
                <c:pt idx="948">
                  <c:v>0.51180256347737196</c:v>
                </c:pt>
                <c:pt idx="949">
                  <c:v>0.51180256347737196</c:v>
                </c:pt>
                <c:pt idx="950">
                  <c:v>0.53125439488383197</c:v>
                </c:pt>
                <c:pt idx="951">
                  <c:v>0.53125439488383197</c:v>
                </c:pt>
                <c:pt idx="952">
                  <c:v>0.53125439488383197</c:v>
                </c:pt>
                <c:pt idx="953">
                  <c:v>0.53125439488383197</c:v>
                </c:pt>
                <c:pt idx="954">
                  <c:v>0.54741627949472405</c:v>
                </c:pt>
                <c:pt idx="955">
                  <c:v>0.54741627949472405</c:v>
                </c:pt>
                <c:pt idx="956">
                  <c:v>0.54296193584840502</c:v>
                </c:pt>
                <c:pt idx="957">
                  <c:v>0.54296193584840502</c:v>
                </c:pt>
                <c:pt idx="958">
                  <c:v>0.54296193584840502</c:v>
                </c:pt>
                <c:pt idx="959">
                  <c:v>0.57616107650745496</c:v>
                </c:pt>
                <c:pt idx="960">
                  <c:v>0.57616107650745496</c:v>
                </c:pt>
                <c:pt idx="961">
                  <c:v>0.57616107650745496</c:v>
                </c:pt>
                <c:pt idx="962">
                  <c:v>0.57616107650745496</c:v>
                </c:pt>
                <c:pt idx="963">
                  <c:v>0.57616107650745496</c:v>
                </c:pt>
                <c:pt idx="964">
                  <c:v>0.56511283574971805</c:v>
                </c:pt>
                <c:pt idx="965">
                  <c:v>0.56511283574971805</c:v>
                </c:pt>
                <c:pt idx="966">
                  <c:v>0.56511283574971805</c:v>
                </c:pt>
                <c:pt idx="967">
                  <c:v>0.56511283574971805</c:v>
                </c:pt>
                <c:pt idx="968">
                  <c:v>0.56511283574971805</c:v>
                </c:pt>
                <c:pt idx="969">
                  <c:v>0.60670206616303102</c:v>
                </c:pt>
                <c:pt idx="970">
                  <c:v>0.60670206616303102</c:v>
                </c:pt>
                <c:pt idx="971">
                  <c:v>0.60670206616303102</c:v>
                </c:pt>
                <c:pt idx="972">
                  <c:v>0.60670206616303102</c:v>
                </c:pt>
                <c:pt idx="973">
                  <c:v>0.59762468592169804</c:v>
                </c:pt>
                <c:pt idx="974">
                  <c:v>0.59762468592169804</c:v>
                </c:pt>
                <c:pt idx="975">
                  <c:v>0.59762468592169804</c:v>
                </c:pt>
                <c:pt idx="976">
                  <c:v>0.59762468592169804</c:v>
                </c:pt>
                <c:pt idx="977">
                  <c:v>0.58158481943829898</c:v>
                </c:pt>
                <c:pt idx="978">
                  <c:v>0.57715851233210802</c:v>
                </c:pt>
                <c:pt idx="979">
                  <c:v>0.57710358293411501</c:v>
                </c:pt>
                <c:pt idx="980">
                  <c:v>0.57710358293411501</c:v>
                </c:pt>
                <c:pt idx="981">
                  <c:v>0.57710358293411501</c:v>
                </c:pt>
                <c:pt idx="982">
                  <c:v>0.62970048301444503</c:v>
                </c:pt>
                <c:pt idx="983">
                  <c:v>0.62970048301444503</c:v>
                </c:pt>
                <c:pt idx="984">
                  <c:v>0.62970048301444503</c:v>
                </c:pt>
                <c:pt idx="985">
                  <c:v>0.62970048301444503</c:v>
                </c:pt>
                <c:pt idx="986">
                  <c:v>0.62970048301444503</c:v>
                </c:pt>
                <c:pt idx="987">
                  <c:v>0.65278570887391996</c:v>
                </c:pt>
                <c:pt idx="988">
                  <c:v>0.65278570887391996</c:v>
                </c:pt>
                <c:pt idx="989">
                  <c:v>0.65278570887391996</c:v>
                </c:pt>
                <c:pt idx="990">
                  <c:v>0.65278570887391996</c:v>
                </c:pt>
                <c:pt idx="991">
                  <c:v>0.65278570887391996</c:v>
                </c:pt>
                <c:pt idx="992">
                  <c:v>0.66264885680248997</c:v>
                </c:pt>
                <c:pt idx="993">
                  <c:v>0.66264885680248997</c:v>
                </c:pt>
                <c:pt idx="994">
                  <c:v>0.66264885680248997</c:v>
                </c:pt>
                <c:pt idx="995">
                  <c:v>0.66264885680248997</c:v>
                </c:pt>
                <c:pt idx="996">
                  <c:v>0.66264885680248997</c:v>
                </c:pt>
                <c:pt idx="997">
                  <c:v>0.66264885680248997</c:v>
                </c:pt>
                <c:pt idx="998">
                  <c:v>0.66264885680248997</c:v>
                </c:pt>
                <c:pt idx="999">
                  <c:v>0.68438167594716104</c:v>
                </c:pt>
                <c:pt idx="1000">
                  <c:v>0.68438167594716104</c:v>
                </c:pt>
                <c:pt idx="1001">
                  <c:v>0.68438167594716104</c:v>
                </c:pt>
                <c:pt idx="1002">
                  <c:v>0.68438167594716104</c:v>
                </c:pt>
                <c:pt idx="1003">
                  <c:v>0.68438167594716104</c:v>
                </c:pt>
                <c:pt idx="1004">
                  <c:v>0.64890841265420796</c:v>
                </c:pt>
                <c:pt idx="1005">
                  <c:v>0.64890841265420796</c:v>
                </c:pt>
                <c:pt idx="1006">
                  <c:v>0.64890841265420796</c:v>
                </c:pt>
                <c:pt idx="1007">
                  <c:v>0.64890841265420796</c:v>
                </c:pt>
                <c:pt idx="1008">
                  <c:v>0.64890841265420796</c:v>
                </c:pt>
                <c:pt idx="1009">
                  <c:v>0.63</c:v>
                </c:pt>
                <c:pt idx="1010">
                  <c:v>0.63</c:v>
                </c:pt>
                <c:pt idx="1011">
                  <c:v>0.63</c:v>
                </c:pt>
                <c:pt idx="1012">
                  <c:v>0.63</c:v>
                </c:pt>
                <c:pt idx="1013">
                  <c:v>0.61</c:v>
                </c:pt>
                <c:pt idx="1014">
                  <c:v>0.61</c:v>
                </c:pt>
                <c:pt idx="1015">
                  <c:v>0.61</c:v>
                </c:pt>
                <c:pt idx="1016">
                  <c:v>0.61</c:v>
                </c:pt>
                <c:pt idx="1017">
                  <c:v>0.61</c:v>
                </c:pt>
                <c:pt idx="1018">
                  <c:v>0.62</c:v>
                </c:pt>
                <c:pt idx="1019">
                  <c:v>0.62</c:v>
                </c:pt>
                <c:pt idx="1020">
                  <c:v>0.62</c:v>
                </c:pt>
                <c:pt idx="1021">
                  <c:v>0.62</c:v>
                </c:pt>
                <c:pt idx="1022">
                  <c:v>0.62</c:v>
                </c:pt>
                <c:pt idx="1023">
                  <c:v>0.62</c:v>
                </c:pt>
                <c:pt idx="1024">
                  <c:v>0.62</c:v>
                </c:pt>
                <c:pt idx="1025">
                  <c:v>0.62</c:v>
                </c:pt>
                <c:pt idx="1026">
                  <c:v>0.62</c:v>
                </c:pt>
                <c:pt idx="1027">
                  <c:v>0.57999999999999996</c:v>
                </c:pt>
                <c:pt idx="1028">
                  <c:v>0.57999999999999996</c:v>
                </c:pt>
                <c:pt idx="1029">
                  <c:v>0.57999999999999996</c:v>
                </c:pt>
                <c:pt idx="1030">
                  <c:v>0.57999999999999996</c:v>
                </c:pt>
                <c:pt idx="1031">
                  <c:v>0.61</c:v>
                </c:pt>
                <c:pt idx="1032">
                  <c:v>0.61</c:v>
                </c:pt>
                <c:pt idx="1033">
                  <c:v>0.61</c:v>
                </c:pt>
                <c:pt idx="1034">
                  <c:v>0.61</c:v>
                </c:pt>
                <c:pt idx="1035">
                  <c:v>0.61</c:v>
                </c:pt>
                <c:pt idx="1036">
                  <c:v>0.64</c:v>
                </c:pt>
                <c:pt idx="1037">
                  <c:v>0.64</c:v>
                </c:pt>
                <c:pt idx="1038">
                  <c:v>0.64</c:v>
                </c:pt>
                <c:pt idx="1039">
                  <c:v>0.64</c:v>
                </c:pt>
                <c:pt idx="1040">
                  <c:v>0.64</c:v>
                </c:pt>
                <c:pt idx="1041">
                  <c:v>0.63</c:v>
                </c:pt>
                <c:pt idx="1042">
                  <c:v>0.63</c:v>
                </c:pt>
                <c:pt idx="1043">
                  <c:v>0.63</c:v>
                </c:pt>
                <c:pt idx="1044">
                  <c:v>0.63</c:v>
                </c:pt>
                <c:pt idx="1045">
                  <c:v>0.63</c:v>
                </c:pt>
                <c:pt idx="1046">
                  <c:v>0.64</c:v>
                </c:pt>
                <c:pt idx="1047">
                  <c:v>0.64</c:v>
                </c:pt>
                <c:pt idx="1048">
                  <c:v>0.64</c:v>
                </c:pt>
                <c:pt idx="1049">
                  <c:v>0.64</c:v>
                </c:pt>
                <c:pt idx="1050">
                  <c:v>0.64</c:v>
                </c:pt>
                <c:pt idx="1051">
                  <c:v>0.63</c:v>
                </c:pt>
                <c:pt idx="1052">
                  <c:v>0.63</c:v>
                </c:pt>
                <c:pt idx="1053">
                  <c:v>0.63</c:v>
                </c:pt>
                <c:pt idx="1054">
                  <c:v>0.63</c:v>
                </c:pt>
                <c:pt idx="1055">
                  <c:v>0.63</c:v>
                </c:pt>
                <c:pt idx="1056">
                  <c:v>0.63</c:v>
                </c:pt>
                <c:pt idx="1057">
                  <c:v>0.65</c:v>
                </c:pt>
                <c:pt idx="1058">
                  <c:v>0.65</c:v>
                </c:pt>
                <c:pt idx="1059">
                  <c:v>0.65</c:v>
                </c:pt>
                <c:pt idx="1060">
                  <c:v>0.64</c:v>
                </c:pt>
                <c:pt idx="1061">
                  <c:v>0.64</c:v>
                </c:pt>
                <c:pt idx="1062">
                  <c:v>0.64</c:v>
                </c:pt>
                <c:pt idx="1063">
                  <c:v>0.64</c:v>
                </c:pt>
                <c:pt idx="1064">
                  <c:v>0.64</c:v>
                </c:pt>
                <c:pt idx="1065">
                  <c:v>0.57999999999999996</c:v>
                </c:pt>
                <c:pt idx="1066">
                  <c:v>0.57999999999999996</c:v>
                </c:pt>
                <c:pt idx="1067">
                  <c:v>0.57999999999999996</c:v>
                </c:pt>
                <c:pt idx="1068">
                  <c:v>0.57999999999999996</c:v>
                </c:pt>
                <c:pt idx="1069">
                  <c:v>0.57999999999999996</c:v>
                </c:pt>
                <c:pt idx="1070">
                  <c:v>0.57999999999999996</c:v>
                </c:pt>
                <c:pt idx="1071">
                  <c:v>0.56000000000000005</c:v>
                </c:pt>
                <c:pt idx="1072">
                  <c:v>0.56000000000000005</c:v>
                </c:pt>
                <c:pt idx="1073">
                  <c:v>0.56000000000000005</c:v>
                </c:pt>
                <c:pt idx="1074">
                  <c:v>0.56000000000000005</c:v>
                </c:pt>
                <c:pt idx="1075">
                  <c:v>0.56000000000000005</c:v>
                </c:pt>
                <c:pt idx="1076">
                  <c:v>0.55000000000000004</c:v>
                </c:pt>
                <c:pt idx="1077">
                  <c:v>0.55000000000000004</c:v>
                </c:pt>
                <c:pt idx="1078">
                  <c:v>0.55000000000000004</c:v>
                </c:pt>
                <c:pt idx="1079">
                  <c:v>0.55000000000000004</c:v>
                </c:pt>
                <c:pt idx="1080">
                  <c:v>0.55000000000000004</c:v>
                </c:pt>
                <c:pt idx="1081">
                  <c:v>0.55000000000000004</c:v>
                </c:pt>
                <c:pt idx="1082">
                  <c:v>0.55000000000000004</c:v>
                </c:pt>
                <c:pt idx="1083">
                  <c:v>0.55000000000000004</c:v>
                </c:pt>
                <c:pt idx="1084">
                  <c:v>0.54</c:v>
                </c:pt>
                <c:pt idx="1085">
                  <c:v>0.54</c:v>
                </c:pt>
                <c:pt idx="1086">
                  <c:v>0.54</c:v>
                </c:pt>
                <c:pt idx="1087">
                  <c:v>0.54</c:v>
                </c:pt>
                <c:pt idx="1088">
                  <c:v>0.54</c:v>
                </c:pt>
                <c:pt idx="1089">
                  <c:v>0.54</c:v>
                </c:pt>
                <c:pt idx="1090">
                  <c:v>0.45</c:v>
                </c:pt>
                <c:pt idx="1091">
                  <c:v>0.45</c:v>
                </c:pt>
                <c:pt idx="1092">
                  <c:v>0.45</c:v>
                </c:pt>
                <c:pt idx="1093">
                  <c:v>0.45</c:v>
                </c:pt>
                <c:pt idx="1094">
                  <c:v>0.45</c:v>
                </c:pt>
                <c:pt idx="1095">
                  <c:v>0.47</c:v>
                </c:pt>
                <c:pt idx="1096">
                  <c:v>0.47</c:v>
                </c:pt>
                <c:pt idx="1097">
                  <c:v>0.47</c:v>
                </c:pt>
                <c:pt idx="1098">
                  <c:v>0.47</c:v>
                </c:pt>
                <c:pt idx="1099">
                  <c:v>0.45</c:v>
                </c:pt>
                <c:pt idx="1100">
                  <c:v>0.45</c:v>
                </c:pt>
                <c:pt idx="1101">
                  <c:v>0.45</c:v>
                </c:pt>
                <c:pt idx="1102">
                  <c:v>0.45</c:v>
                </c:pt>
                <c:pt idx="1103">
                  <c:v>0.45</c:v>
                </c:pt>
                <c:pt idx="1104">
                  <c:v>0.43</c:v>
                </c:pt>
                <c:pt idx="1105">
                  <c:v>0.43</c:v>
                </c:pt>
                <c:pt idx="1106">
                  <c:v>0.43</c:v>
                </c:pt>
                <c:pt idx="1107">
                  <c:v>0.43</c:v>
                </c:pt>
                <c:pt idx="1108">
                  <c:v>0.45</c:v>
                </c:pt>
                <c:pt idx="1109">
                  <c:v>0.45</c:v>
                </c:pt>
                <c:pt idx="1110">
                  <c:v>0.45</c:v>
                </c:pt>
                <c:pt idx="1111">
                  <c:v>0.45</c:v>
                </c:pt>
                <c:pt idx="1112">
                  <c:v>0.45</c:v>
                </c:pt>
                <c:pt idx="1113">
                  <c:v>0.42</c:v>
                </c:pt>
                <c:pt idx="1114">
                  <c:v>0.42</c:v>
                </c:pt>
                <c:pt idx="1115">
                  <c:v>0.42</c:v>
                </c:pt>
                <c:pt idx="1116">
                  <c:v>0.42</c:v>
                </c:pt>
                <c:pt idx="1117">
                  <c:v>0.42</c:v>
                </c:pt>
                <c:pt idx="1118">
                  <c:v>0.45</c:v>
                </c:pt>
                <c:pt idx="1119">
                  <c:v>0.45</c:v>
                </c:pt>
                <c:pt idx="1120">
                  <c:v>0.45</c:v>
                </c:pt>
                <c:pt idx="1121">
                  <c:v>0.45</c:v>
                </c:pt>
                <c:pt idx="1122">
                  <c:v>0.45</c:v>
                </c:pt>
                <c:pt idx="1123">
                  <c:v>0.5</c:v>
                </c:pt>
                <c:pt idx="1124">
                  <c:v>0.5</c:v>
                </c:pt>
                <c:pt idx="1125">
                  <c:v>0.5</c:v>
                </c:pt>
                <c:pt idx="1126">
                  <c:v>0.5</c:v>
                </c:pt>
                <c:pt idx="1127">
                  <c:v>0.5</c:v>
                </c:pt>
                <c:pt idx="1128">
                  <c:v>0.52</c:v>
                </c:pt>
                <c:pt idx="1129">
                  <c:v>0.52</c:v>
                </c:pt>
                <c:pt idx="1130">
                  <c:v>0.52</c:v>
                </c:pt>
                <c:pt idx="1131">
                  <c:v>0.52</c:v>
                </c:pt>
                <c:pt idx="1132">
                  <c:v>0.52</c:v>
                </c:pt>
                <c:pt idx="1133">
                  <c:v>0.51</c:v>
                </c:pt>
                <c:pt idx="1134">
                  <c:v>0.51</c:v>
                </c:pt>
                <c:pt idx="1135">
                  <c:v>0.51</c:v>
                </c:pt>
                <c:pt idx="1136">
                  <c:v>0.51</c:v>
                </c:pt>
                <c:pt idx="1137">
                  <c:v>0.51</c:v>
                </c:pt>
                <c:pt idx="1138">
                  <c:v>0.51</c:v>
                </c:pt>
                <c:pt idx="1139">
                  <c:v>0.51</c:v>
                </c:pt>
                <c:pt idx="1140">
                  <c:v>0.51</c:v>
                </c:pt>
                <c:pt idx="1141">
                  <c:v>0.51</c:v>
                </c:pt>
                <c:pt idx="1142">
                  <c:v>0.51</c:v>
                </c:pt>
                <c:pt idx="1143">
                  <c:v>0.55000000000000004</c:v>
                </c:pt>
                <c:pt idx="1144">
                  <c:v>0.55000000000000004</c:v>
                </c:pt>
                <c:pt idx="1145">
                  <c:v>0.55000000000000004</c:v>
                </c:pt>
                <c:pt idx="1146">
                  <c:v>0.55000000000000004</c:v>
                </c:pt>
                <c:pt idx="1147">
                  <c:v>0.55000000000000004</c:v>
                </c:pt>
                <c:pt idx="1148">
                  <c:v>0.52</c:v>
                </c:pt>
                <c:pt idx="1149">
                  <c:v>0.52</c:v>
                </c:pt>
                <c:pt idx="1150">
                  <c:v>0.52</c:v>
                </c:pt>
                <c:pt idx="1151">
                  <c:v>0.52</c:v>
                </c:pt>
                <c:pt idx="1152">
                  <c:v>0.51</c:v>
                </c:pt>
                <c:pt idx="1153">
                  <c:v>0.51</c:v>
                </c:pt>
                <c:pt idx="1154">
                  <c:v>0.51</c:v>
                </c:pt>
                <c:pt idx="1155">
                  <c:v>0.51</c:v>
                </c:pt>
                <c:pt idx="1156">
                  <c:v>0.51</c:v>
                </c:pt>
                <c:pt idx="1157">
                  <c:v>0.51</c:v>
                </c:pt>
                <c:pt idx="1158">
                  <c:v>0.51</c:v>
                </c:pt>
                <c:pt idx="1159">
                  <c:v>0.51</c:v>
                </c:pt>
                <c:pt idx="1160">
                  <c:v>0.51</c:v>
                </c:pt>
                <c:pt idx="1161">
                  <c:v>0.51</c:v>
                </c:pt>
                <c:pt idx="1162">
                  <c:v>0.52</c:v>
                </c:pt>
                <c:pt idx="1163">
                  <c:v>0.52</c:v>
                </c:pt>
                <c:pt idx="1164">
                  <c:v>0.52</c:v>
                </c:pt>
                <c:pt idx="1165">
                  <c:v>0.52</c:v>
                </c:pt>
                <c:pt idx="1166">
                  <c:v>0.52</c:v>
                </c:pt>
                <c:pt idx="1167">
                  <c:v>0.53</c:v>
                </c:pt>
                <c:pt idx="1168">
                  <c:v>0.53</c:v>
                </c:pt>
                <c:pt idx="1169">
                  <c:v>0.53</c:v>
                </c:pt>
                <c:pt idx="1170">
                  <c:v>0.53</c:v>
                </c:pt>
                <c:pt idx="1171">
                  <c:v>0.53</c:v>
                </c:pt>
                <c:pt idx="1172">
                  <c:v>0.57894029457192531</c:v>
                </c:pt>
                <c:pt idx="1173">
                  <c:v>0.57894029457192531</c:v>
                </c:pt>
                <c:pt idx="1174">
                  <c:v>0.57894029457192531</c:v>
                </c:pt>
                <c:pt idx="1175">
                  <c:v>0.57894029457192531</c:v>
                </c:pt>
                <c:pt idx="1176">
                  <c:v>0.54767612302289337</c:v>
                </c:pt>
                <c:pt idx="1177">
                  <c:v>0.54767612302289337</c:v>
                </c:pt>
                <c:pt idx="1178">
                  <c:v>0.54767612302289337</c:v>
                </c:pt>
                <c:pt idx="1179">
                  <c:v>0.54767612302289337</c:v>
                </c:pt>
                <c:pt idx="1180">
                  <c:v>0.54767612302289337</c:v>
                </c:pt>
                <c:pt idx="1181">
                  <c:v>0.56317380692680197</c:v>
                </c:pt>
                <c:pt idx="1182">
                  <c:v>0.56317380692680197</c:v>
                </c:pt>
                <c:pt idx="1183">
                  <c:v>0.56317380692680197</c:v>
                </c:pt>
                <c:pt idx="1184">
                  <c:v>0.56317380692680197</c:v>
                </c:pt>
                <c:pt idx="1185">
                  <c:v>0.56317380692680197</c:v>
                </c:pt>
                <c:pt idx="1186">
                  <c:v>0.57894029457192531</c:v>
                </c:pt>
                <c:pt idx="1187">
                  <c:v>0.57894029457192531</c:v>
                </c:pt>
                <c:pt idx="1188">
                  <c:v>0.57894029457192531</c:v>
                </c:pt>
                <c:pt idx="1189">
                  <c:v>0.57894029457192531</c:v>
                </c:pt>
                <c:pt idx="1190">
                  <c:v>0.57894029457192531</c:v>
                </c:pt>
                <c:pt idx="1191">
                  <c:v>0.51511509569715663</c:v>
                </c:pt>
                <c:pt idx="1192">
                  <c:v>0.51511509569715663</c:v>
                </c:pt>
                <c:pt idx="1193">
                  <c:v>0.51511509569715663</c:v>
                </c:pt>
                <c:pt idx="1194">
                  <c:v>0.51511509569715663</c:v>
                </c:pt>
                <c:pt idx="1195">
                  <c:v>0.4725306175940911</c:v>
                </c:pt>
                <c:pt idx="1196">
                  <c:v>0.4725306175940911</c:v>
                </c:pt>
                <c:pt idx="1197">
                  <c:v>0.4725306175940911</c:v>
                </c:pt>
                <c:pt idx="1198">
                  <c:v>0.4725306175940911</c:v>
                </c:pt>
                <c:pt idx="1199">
                  <c:v>0.4725306175940911</c:v>
                </c:pt>
                <c:pt idx="1200">
                  <c:v>0.47861527230793388</c:v>
                </c:pt>
                <c:pt idx="1201">
                  <c:v>0.47861527230793388</c:v>
                </c:pt>
                <c:pt idx="1202">
                  <c:v>0.47861527230793388</c:v>
                </c:pt>
                <c:pt idx="1203">
                  <c:v>0.47861527230793388</c:v>
                </c:pt>
                <c:pt idx="1204">
                  <c:v>0.47590352827743421</c:v>
                </c:pt>
                <c:pt idx="1205">
                  <c:v>0.47590352827743421</c:v>
                </c:pt>
                <c:pt idx="1206">
                  <c:v>0.47590352827743421</c:v>
                </c:pt>
                <c:pt idx="1207">
                  <c:v>0.47590352827743421</c:v>
                </c:pt>
                <c:pt idx="1208">
                  <c:v>0.47590352827743421</c:v>
                </c:pt>
                <c:pt idx="1209">
                  <c:v>0.48721504831495865</c:v>
                </c:pt>
                <c:pt idx="1210">
                  <c:v>0.48721504831495865</c:v>
                </c:pt>
                <c:pt idx="1211">
                  <c:v>0.48721504831495865</c:v>
                </c:pt>
                <c:pt idx="1212">
                  <c:v>0.48721504831495865</c:v>
                </c:pt>
                <c:pt idx="1213">
                  <c:v>0.48721504831495865</c:v>
                </c:pt>
                <c:pt idx="1214">
                  <c:v>0.48108278915877944</c:v>
                </c:pt>
                <c:pt idx="1215">
                  <c:v>0.48108278915877944</c:v>
                </c:pt>
                <c:pt idx="1216">
                  <c:v>0.48108278915877944</c:v>
                </c:pt>
                <c:pt idx="1217">
                  <c:v>0.48108278915877944</c:v>
                </c:pt>
                <c:pt idx="1218">
                  <c:v>0.48108278915877944</c:v>
                </c:pt>
                <c:pt idx="1219">
                  <c:v>0.4742419215656577</c:v>
                </c:pt>
                <c:pt idx="1220">
                  <c:v>0.4742419215656577</c:v>
                </c:pt>
                <c:pt idx="1221">
                  <c:v>0.4742419215656577</c:v>
                </c:pt>
                <c:pt idx="1222">
                  <c:v>0.4742419215656577</c:v>
                </c:pt>
                <c:pt idx="1223">
                  <c:v>0.4742419215656577</c:v>
                </c:pt>
                <c:pt idx="1224">
                  <c:v>0.47802441207346119</c:v>
                </c:pt>
                <c:pt idx="1225">
                  <c:v>0.47802441207346119</c:v>
                </c:pt>
                <c:pt idx="1226">
                  <c:v>0.47802441207346119</c:v>
                </c:pt>
                <c:pt idx="1227">
                  <c:v>0.47802441207346119</c:v>
                </c:pt>
                <c:pt idx="1228">
                  <c:v>0.44657507929969392</c:v>
                </c:pt>
                <c:pt idx="1229">
                  <c:v>0.44657507929969392</c:v>
                </c:pt>
                <c:pt idx="1230">
                  <c:v>0.44657507929969392</c:v>
                </c:pt>
                <c:pt idx="1231">
                  <c:v>0.44657507929969392</c:v>
                </c:pt>
                <c:pt idx="1232">
                  <c:v>0.46862901952602543</c:v>
                </c:pt>
                <c:pt idx="1233">
                  <c:v>0.46862901952602543</c:v>
                </c:pt>
                <c:pt idx="1234">
                  <c:v>0.46862901952602543</c:v>
                </c:pt>
                <c:pt idx="1235">
                  <c:v>0.46862901952602543</c:v>
                </c:pt>
                <c:pt idx="1236">
                  <c:v>0.46862901952602543</c:v>
                </c:pt>
                <c:pt idx="1237">
                  <c:v>0.48424776223671406</c:v>
                </c:pt>
                <c:pt idx="1238">
                  <c:v>0.48424776223671406</c:v>
                </c:pt>
                <c:pt idx="1239">
                  <c:v>0.48424776223671406</c:v>
                </c:pt>
                <c:pt idx="1240">
                  <c:v>0.48424776223671406</c:v>
                </c:pt>
                <c:pt idx="1241">
                  <c:v>0.53686726891255199</c:v>
                </c:pt>
                <c:pt idx="1242">
                  <c:v>0.53686726891255199</c:v>
                </c:pt>
              </c:numCache>
            </c:numRef>
          </c:val>
          <c:smooth val="0"/>
        </c:ser>
        <c:ser>
          <c:idx val="1"/>
          <c:order val="1"/>
          <c:tx>
            <c:strRef>
              <c:f>'OAS and Media Effect'!$H$1</c:f>
              <c:strCache>
                <c:ptCount val="1"/>
              </c:strCache>
            </c:strRef>
          </c:tx>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Effect'!$H$2:$H$1244</c:f>
            </c:numRef>
          </c:val>
          <c:smooth val="0"/>
        </c:ser>
        <c:ser>
          <c:idx val="2"/>
          <c:order val="2"/>
          <c:tx>
            <c:strRef>
              <c:f>'OAS and Media Effect'!$I$1</c:f>
              <c:strCache>
                <c:ptCount val="1"/>
              </c:strCache>
            </c:strRef>
          </c:tx>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Effect'!$I$2:$I$1244</c:f>
            </c:numRef>
          </c:val>
          <c:smooth val="0"/>
        </c:ser>
        <c:ser>
          <c:idx val="3"/>
          <c:order val="3"/>
          <c:tx>
            <c:strRef>
              <c:f>'OAS and Media Effect'!$J$1</c:f>
              <c:strCache>
                <c:ptCount val="1"/>
                <c:pt idx="0">
                  <c:v>Daily Refi Universe</c:v>
                </c:pt>
              </c:strCache>
            </c:strRef>
          </c:tx>
          <c:marker>
            <c:symbol val="none"/>
          </c:marker>
          <c:cat>
            <c:numRef>
              <c:f>'OAS and Media Effect'!$A$2:$A$1244</c:f>
              <c:numCache>
                <c:formatCode>mm/dd/yyyy</c:formatCode>
                <c:ptCount val="1243"/>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pt idx="1169">
                  <c:v>42282</c:v>
                </c:pt>
                <c:pt idx="1170">
                  <c:v>42283</c:v>
                </c:pt>
                <c:pt idx="1171">
                  <c:v>42284</c:v>
                </c:pt>
                <c:pt idx="1172">
                  <c:v>42285</c:v>
                </c:pt>
                <c:pt idx="1173">
                  <c:v>42286</c:v>
                </c:pt>
                <c:pt idx="1174">
                  <c:v>42290</c:v>
                </c:pt>
                <c:pt idx="1175">
                  <c:v>42291</c:v>
                </c:pt>
                <c:pt idx="1176">
                  <c:v>42292</c:v>
                </c:pt>
                <c:pt idx="1177">
                  <c:v>42293</c:v>
                </c:pt>
                <c:pt idx="1178">
                  <c:v>42296</c:v>
                </c:pt>
                <c:pt idx="1179">
                  <c:v>42297</c:v>
                </c:pt>
                <c:pt idx="1180">
                  <c:v>42298</c:v>
                </c:pt>
                <c:pt idx="1181">
                  <c:v>42299</c:v>
                </c:pt>
                <c:pt idx="1182">
                  <c:v>42300</c:v>
                </c:pt>
                <c:pt idx="1183">
                  <c:v>42303</c:v>
                </c:pt>
                <c:pt idx="1184">
                  <c:v>42304</c:v>
                </c:pt>
                <c:pt idx="1185">
                  <c:v>42305</c:v>
                </c:pt>
                <c:pt idx="1186">
                  <c:v>42306</c:v>
                </c:pt>
                <c:pt idx="1187">
                  <c:v>42307</c:v>
                </c:pt>
                <c:pt idx="1188">
                  <c:v>42310</c:v>
                </c:pt>
                <c:pt idx="1189">
                  <c:v>42311</c:v>
                </c:pt>
                <c:pt idx="1190">
                  <c:v>42312</c:v>
                </c:pt>
                <c:pt idx="1191">
                  <c:v>42313</c:v>
                </c:pt>
                <c:pt idx="1192">
                  <c:v>42314</c:v>
                </c:pt>
                <c:pt idx="1193">
                  <c:v>42317</c:v>
                </c:pt>
                <c:pt idx="1194">
                  <c:v>42318</c:v>
                </c:pt>
                <c:pt idx="1195">
                  <c:v>42320</c:v>
                </c:pt>
                <c:pt idx="1196">
                  <c:v>42321</c:v>
                </c:pt>
                <c:pt idx="1197">
                  <c:v>42324</c:v>
                </c:pt>
                <c:pt idx="1198">
                  <c:v>42325</c:v>
                </c:pt>
                <c:pt idx="1199">
                  <c:v>42326</c:v>
                </c:pt>
                <c:pt idx="1200">
                  <c:v>42327</c:v>
                </c:pt>
                <c:pt idx="1201">
                  <c:v>42328</c:v>
                </c:pt>
                <c:pt idx="1202">
                  <c:v>42331</c:v>
                </c:pt>
                <c:pt idx="1203">
                  <c:v>42332</c:v>
                </c:pt>
                <c:pt idx="1204">
                  <c:v>42333</c:v>
                </c:pt>
                <c:pt idx="1205">
                  <c:v>42335</c:v>
                </c:pt>
                <c:pt idx="1206">
                  <c:v>42338</c:v>
                </c:pt>
                <c:pt idx="1207">
                  <c:v>42339</c:v>
                </c:pt>
                <c:pt idx="1208">
                  <c:v>42340</c:v>
                </c:pt>
                <c:pt idx="1209">
                  <c:v>42341</c:v>
                </c:pt>
                <c:pt idx="1210">
                  <c:v>42342</c:v>
                </c:pt>
                <c:pt idx="1211">
                  <c:v>42345</c:v>
                </c:pt>
                <c:pt idx="1212">
                  <c:v>42346</c:v>
                </c:pt>
                <c:pt idx="1213">
                  <c:v>42347</c:v>
                </c:pt>
                <c:pt idx="1214">
                  <c:v>42348</c:v>
                </c:pt>
                <c:pt idx="1215">
                  <c:v>42349</c:v>
                </c:pt>
                <c:pt idx="1216">
                  <c:v>42352</c:v>
                </c:pt>
                <c:pt idx="1217">
                  <c:v>42353</c:v>
                </c:pt>
                <c:pt idx="1218">
                  <c:v>42354</c:v>
                </c:pt>
                <c:pt idx="1219">
                  <c:v>42355</c:v>
                </c:pt>
                <c:pt idx="1220">
                  <c:v>42356</c:v>
                </c:pt>
                <c:pt idx="1221">
                  <c:v>42359</c:v>
                </c:pt>
                <c:pt idx="1222">
                  <c:v>42360</c:v>
                </c:pt>
                <c:pt idx="1223">
                  <c:v>42361</c:v>
                </c:pt>
                <c:pt idx="1224">
                  <c:v>42362</c:v>
                </c:pt>
                <c:pt idx="1225">
                  <c:v>42366</c:v>
                </c:pt>
                <c:pt idx="1226">
                  <c:v>42367</c:v>
                </c:pt>
                <c:pt idx="1227">
                  <c:v>42368</c:v>
                </c:pt>
                <c:pt idx="1228">
                  <c:v>42369</c:v>
                </c:pt>
                <c:pt idx="1229">
                  <c:v>42373</c:v>
                </c:pt>
                <c:pt idx="1230">
                  <c:v>42374</c:v>
                </c:pt>
                <c:pt idx="1231">
                  <c:v>42375</c:v>
                </c:pt>
                <c:pt idx="1232">
                  <c:v>42376</c:v>
                </c:pt>
                <c:pt idx="1233">
                  <c:v>42377</c:v>
                </c:pt>
                <c:pt idx="1234">
                  <c:v>42380</c:v>
                </c:pt>
                <c:pt idx="1235">
                  <c:v>42381</c:v>
                </c:pt>
                <c:pt idx="1236">
                  <c:v>42382</c:v>
                </c:pt>
                <c:pt idx="1237">
                  <c:v>42383</c:v>
                </c:pt>
                <c:pt idx="1238">
                  <c:v>42384</c:v>
                </c:pt>
                <c:pt idx="1239">
                  <c:v>42388</c:v>
                </c:pt>
                <c:pt idx="1240">
                  <c:v>42389</c:v>
                </c:pt>
                <c:pt idx="1241">
                  <c:v>42390</c:v>
                </c:pt>
                <c:pt idx="1242">
                  <c:v>42391</c:v>
                </c:pt>
              </c:numCache>
            </c:numRef>
          </c:cat>
          <c:val>
            <c:numRef>
              <c:f>'OAS and Media Effect'!$J$2:$J$1244</c:f>
              <c:numCache>
                <c:formatCode>0%</c:formatCode>
                <c:ptCount val="1243"/>
                <c:pt idx="0">
                  <c:v>0.58304511999999997</c:v>
                </c:pt>
                <c:pt idx="1">
                  <c:v>0.55486214</c:v>
                </c:pt>
                <c:pt idx="2">
                  <c:v>0.51847262000000005</c:v>
                </c:pt>
                <c:pt idx="3">
                  <c:v>0.51165344999999995</c:v>
                </c:pt>
                <c:pt idx="4">
                  <c:v>0.47964870999999998</c:v>
                </c:pt>
                <c:pt idx="5">
                  <c:v>0.49256091000000002</c:v>
                </c:pt>
                <c:pt idx="6">
                  <c:v>0.47335128999999998</c:v>
                </c:pt>
                <c:pt idx="7">
                  <c:v>0.50149840000000001</c:v>
                </c:pt>
                <c:pt idx="8">
                  <c:v>0.51758932000000002</c:v>
                </c:pt>
                <c:pt idx="9">
                  <c:v>0.52073837999999995</c:v>
                </c:pt>
                <c:pt idx="10">
                  <c:v>0.54280907</c:v>
                </c:pt>
                <c:pt idx="11">
                  <c:v>0.57526359999999999</c:v>
                </c:pt>
                <c:pt idx="12">
                  <c:v>0.56400059000000002</c:v>
                </c:pt>
                <c:pt idx="13">
                  <c:v>0.60264123999999997</c:v>
                </c:pt>
                <c:pt idx="14">
                  <c:v>0.59292308999999999</c:v>
                </c:pt>
                <c:pt idx="15">
                  <c:v>0.60476841999999997</c:v>
                </c:pt>
                <c:pt idx="16">
                  <c:v>0.60606985000000002</c:v>
                </c:pt>
                <c:pt idx="17">
                  <c:v>0.61003046000000005</c:v>
                </c:pt>
                <c:pt idx="18">
                  <c:v>0.59558513000000002</c:v>
                </c:pt>
                <c:pt idx="19">
                  <c:v>0.58351578000000004</c:v>
                </c:pt>
                <c:pt idx="20">
                  <c:v>0.53234148000000003</c:v>
                </c:pt>
                <c:pt idx="21">
                  <c:v>0.59023831000000004</c:v>
                </c:pt>
                <c:pt idx="22">
                  <c:v>0.58586853000000005</c:v>
                </c:pt>
                <c:pt idx="23">
                  <c:v>0.56167012999999999</c:v>
                </c:pt>
                <c:pt idx="24">
                  <c:v>0.59508150000000004</c:v>
                </c:pt>
                <c:pt idx="25">
                  <c:v>0.60077108000000001</c:v>
                </c:pt>
                <c:pt idx="26">
                  <c:v>0.60004701999999999</c:v>
                </c:pt>
                <c:pt idx="27">
                  <c:v>0.60217085000000004</c:v>
                </c:pt>
                <c:pt idx="28">
                  <c:v>0.60247856</c:v>
                </c:pt>
                <c:pt idx="29">
                  <c:v>0.61038948999999998</c:v>
                </c:pt>
                <c:pt idx="30">
                  <c:v>0.60804641999999998</c:v>
                </c:pt>
                <c:pt idx="31">
                  <c:v>0.60703149000000001</c:v>
                </c:pt>
                <c:pt idx="32">
                  <c:v>0.60312644999999998</c:v>
                </c:pt>
                <c:pt idx="33">
                  <c:v>0.60101419</c:v>
                </c:pt>
                <c:pt idx="34">
                  <c:v>0.59292115999999995</c:v>
                </c:pt>
                <c:pt idx="35">
                  <c:v>0.59047442999999999</c:v>
                </c:pt>
                <c:pt idx="36">
                  <c:v>0.57229280000000005</c:v>
                </c:pt>
                <c:pt idx="37">
                  <c:v>0.57025108000000002</c:v>
                </c:pt>
                <c:pt idx="38">
                  <c:v>0.54296453</c:v>
                </c:pt>
                <c:pt idx="39">
                  <c:v>0.59292115999999995</c:v>
                </c:pt>
                <c:pt idx="40">
                  <c:v>0.59330693000000001</c:v>
                </c:pt>
                <c:pt idx="41">
                  <c:v>0.58564293999999995</c:v>
                </c:pt>
                <c:pt idx="42">
                  <c:v>0.58600547000000003</c:v>
                </c:pt>
                <c:pt idx="43">
                  <c:v>0.56064663999999997</c:v>
                </c:pt>
                <c:pt idx="44">
                  <c:v>0.55462959000000001</c:v>
                </c:pt>
                <c:pt idx="45">
                  <c:v>0.55713210000000002</c:v>
                </c:pt>
                <c:pt idx="46">
                  <c:v>0.55076780000000003</c:v>
                </c:pt>
                <c:pt idx="47">
                  <c:v>0.55462959000000001</c:v>
                </c:pt>
                <c:pt idx="48">
                  <c:v>0.58436579</c:v>
                </c:pt>
                <c:pt idx="49">
                  <c:v>0.58820517000000005</c:v>
                </c:pt>
                <c:pt idx="50">
                  <c:v>0.58773812999999997</c:v>
                </c:pt>
                <c:pt idx="51">
                  <c:v>0.59459154000000003</c:v>
                </c:pt>
                <c:pt idx="52">
                  <c:v>0.59752002000000004</c:v>
                </c:pt>
                <c:pt idx="53">
                  <c:v>0.59807111999999996</c:v>
                </c:pt>
                <c:pt idx="54">
                  <c:v>0.59394553000000005</c:v>
                </c:pt>
                <c:pt idx="55">
                  <c:v>0.59386766000000002</c:v>
                </c:pt>
                <c:pt idx="56">
                  <c:v>0.59596400999999999</c:v>
                </c:pt>
                <c:pt idx="57">
                  <c:v>0.59816915999999998</c:v>
                </c:pt>
                <c:pt idx="58">
                  <c:v>0.59476454999999995</c:v>
                </c:pt>
                <c:pt idx="59">
                  <c:v>0.59958840999999996</c:v>
                </c:pt>
                <c:pt idx="60">
                  <c:v>0.60214741999999999</c:v>
                </c:pt>
                <c:pt idx="61">
                  <c:v>0.59420903000000003</c:v>
                </c:pt>
                <c:pt idx="62">
                  <c:v>0.59809005999999998</c:v>
                </c:pt>
                <c:pt idx="63">
                  <c:v>0.59849596999999999</c:v>
                </c:pt>
                <c:pt idx="64">
                  <c:v>0.60970157999999997</c:v>
                </c:pt>
                <c:pt idx="65">
                  <c:v>0.61279925000000002</c:v>
                </c:pt>
                <c:pt idx="66">
                  <c:v>0.61802575999999998</c:v>
                </c:pt>
                <c:pt idx="67">
                  <c:v>0.60476870999999999</c:v>
                </c:pt>
                <c:pt idx="68">
                  <c:v>0.60725342000000004</c:v>
                </c:pt>
                <c:pt idx="69">
                  <c:v>0.60131517999999995</c:v>
                </c:pt>
                <c:pt idx="70">
                  <c:v>0.60620629999999998</c:v>
                </c:pt>
                <c:pt idx="71">
                  <c:v>0.61009265000000001</c:v>
                </c:pt>
                <c:pt idx="72">
                  <c:v>0.61572481999999995</c:v>
                </c:pt>
                <c:pt idx="73">
                  <c:v>0.60756730999999997</c:v>
                </c:pt>
                <c:pt idx="74">
                  <c:v>0.60650216000000001</c:v>
                </c:pt>
                <c:pt idx="75">
                  <c:v>0.60913379999999995</c:v>
                </c:pt>
                <c:pt idx="76">
                  <c:v>0.60791371999999999</c:v>
                </c:pt>
                <c:pt idx="77">
                  <c:v>0.61190235000000004</c:v>
                </c:pt>
                <c:pt idx="78">
                  <c:v>0.61919310000000005</c:v>
                </c:pt>
                <c:pt idx="79">
                  <c:v>0.67825385000000005</c:v>
                </c:pt>
                <c:pt idx="80">
                  <c:v>0.64911578000000003</c:v>
                </c:pt>
                <c:pt idx="81">
                  <c:v>0.64966367000000003</c:v>
                </c:pt>
                <c:pt idx="82">
                  <c:v>0.75998626000000002</c:v>
                </c:pt>
                <c:pt idx="83">
                  <c:v>0.65772775999999999</c:v>
                </c:pt>
                <c:pt idx="84">
                  <c:v>0.69546646999999995</c:v>
                </c:pt>
                <c:pt idx="85">
                  <c:v>0.68036317000000002</c:v>
                </c:pt>
                <c:pt idx="86">
                  <c:v>0.68885443999999996</c:v>
                </c:pt>
                <c:pt idx="87">
                  <c:v>0.79623065000000004</c:v>
                </c:pt>
                <c:pt idx="88">
                  <c:v>0.74020900999999995</c:v>
                </c:pt>
                <c:pt idx="89">
                  <c:v>0.73871514999999999</c:v>
                </c:pt>
                <c:pt idx="90">
                  <c:v>0.70826939</c:v>
                </c:pt>
                <c:pt idx="91">
                  <c:v>0.62299667999999997</c:v>
                </c:pt>
                <c:pt idx="92">
                  <c:v>0.74517188999999995</c:v>
                </c:pt>
                <c:pt idx="93">
                  <c:v>0.77727851000000003</c:v>
                </c:pt>
                <c:pt idx="94">
                  <c:v>0.74517188999999995</c:v>
                </c:pt>
                <c:pt idx="95">
                  <c:v>0.69050447000000004</c:v>
                </c:pt>
                <c:pt idx="96">
                  <c:v>0.67585764999999998</c:v>
                </c:pt>
                <c:pt idx="97">
                  <c:v>0.66686383999999999</c:v>
                </c:pt>
                <c:pt idx="98">
                  <c:v>0.79592470000000004</c:v>
                </c:pt>
                <c:pt idx="99">
                  <c:v>0.79623065000000004</c:v>
                </c:pt>
                <c:pt idx="100">
                  <c:v>0.72719493999999996</c:v>
                </c:pt>
                <c:pt idx="101">
                  <c:v>0.62099919000000003</c:v>
                </c:pt>
                <c:pt idx="102">
                  <c:v>0.61234429999999995</c:v>
                </c:pt>
                <c:pt idx="103">
                  <c:v>0.60136347999999995</c:v>
                </c:pt>
                <c:pt idx="104">
                  <c:v>0.58820852000000001</c:v>
                </c:pt>
                <c:pt idx="105">
                  <c:v>0.59769616999999997</c:v>
                </c:pt>
                <c:pt idx="106">
                  <c:v>0.61325107999999995</c:v>
                </c:pt>
                <c:pt idx="107">
                  <c:v>0.59328561000000002</c:v>
                </c:pt>
                <c:pt idx="108">
                  <c:v>0.64318423000000002</c:v>
                </c:pt>
                <c:pt idx="109">
                  <c:v>0.73745605000000003</c:v>
                </c:pt>
                <c:pt idx="110">
                  <c:v>0.75550598999999996</c:v>
                </c:pt>
                <c:pt idx="111">
                  <c:v>0.81113716999999996</c:v>
                </c:pt>
                <c:pt idx="112">
                  <c:v>0.76763572000000002</c:v>
                </c:pt>
                <c:pt idx="113">
                  <c:v>0.79244053999999997</c:v>
                </c:pt>
                <c:pt idx="114">
                  <c:v>0.74490188999999996</c:v>
                </c:pt>
                <c:pt idx="115">
                  <c:v>0.76129506000000002</c:v>
                </c:pt>
                <c:pt idx="116">
                  <c:v>0.64717546999999997</c:v>
                </c:pt>
                <c:pt idx="117">
                  <c:v>0.62002716000000002</c:v>
                </c:pt>
                <c:pt idx="118">
                  <c:v>0.63756215999999999</c:v>
                </c:pt>
                <c:pt idx="119">
                  <c:v>0.61502153000000004</c:v>
                </c:pt>
                <c:pt idx="120">
                  <c:v>0.63153959999999998</c:v>
                </c:pt>
                <c:pt idx="121">
                  <c:v>0.60373120999999996</c:v>
                </c:pt>
                <c:pt idx="122">
                  <c:v>0.62533603999999998</c:v>
                </c:pt>
                <c:pt idx="123">
                  <c:v>0.81158019000000003</c:v>
                </c:pt>
                <c:pt idx="124">
                  <c:v>0.82326312000000001</c:v>
                </c:pt>
                <c:pt idx="125">
                  <c:v>0.83759457000000004</c:v>
                </c:pt>
                <c:pt idx="126">
                  <c:v>0.83842037000000003</c:v>
                </c:pt>
                <c:pt idx="127">
                  <c:v>0.86172420000000005</c:v>
                </c:pt>
                <c:pt idx="128">
                  <c:v>0.83473637999999994</c:v>
                </c:pt>
                <c:pt idx="129">
                  <c:v>0.85290482000000001</c:v>
                </c:pt>
                <c:pt idx="130">
                  <c:v>0.94222729999999999</c:v>
                </c:pt>
                <c:pt idx="131">
                  <c:v>0.89709355000000002</c:v>
                </c:pt>
                <c:pt idx="132">
                  <c:v>0.84420832000000001</c:v>
                </c:pt>
                <c:pt idx="133">
                  <c:v>0.85297997000000003</c:v>
                </c:pt>
                <c:pt idx="134">
                  <c:v>0.84267753999999995</c:v>
                </c:pt>
                <c:pt idx="135">
                  <c:v>0.85342719</c:v>
                </c:pt>
                <c:pt idx="136">
                  <c:v>0.90548150000000005</c:v>
                </c:pt>
                <c:pt idx="137">
                  <c:v>0.91565848999999999</c:v>
                </c:pt>
                <c:pt idx="138">
                  <c:v>0.89684797999999999</c:v>
                </c:pt>
                <c:pt idx="139">
                  <c:v>0.88061953999999998</c:v>
                </c:pt>
                <c:pt idx="140">
                  <c:v>0.85332171000000001</c:v>
                </c:pt>
                <c:pt idx="141">
                  <c:v>0.84607922999999996</c:v>
                </c:pt>
                <c:pt idx="142">
                  <c:v>0.83470208999999995</c:v>
                </c:pt>
                <c:pt idx="143">
                  <c:v>0.83931259999999996</c:v>
                </c:pt>
                <c:pt idx="144">
                  <c:v>0.82673280999999998</c:v>
                </c:pt>
                <c:pt idx="145">
                  <c:v>0.83828232000000003</c:v>
                </c:pt>
                <c:pt idx="146">
                  <c:v>0.84239131</c:v>
                </c:pt>
                <c:pt idx="147">
                  <c:v>0.84721122000000004</c:v>
                </c:pt>
                <c:pt idx="148">
                  <c:v>0.90242288999999998</c:v>
                </c:pt>
                <c:pt idx="149">
                  <c:v>0.90259902999999997</c:v>
                </c:pt>
                <c:pt idx="150">
                  <c:v>0.86973243</c:v>
                </c:pt>
                <c:pt idx="151">
                  <c:v>0.89313180000000003</c:v>
                </c:pt>
                <c:pt idx="152">
                  <c:v>0.93021054999999997</c:v>
                </c:pt>
                <c:pt idx="153">
                  <c:v>0.90497623000000005</c:v>
                </c:pt>
                <c:pt idx="154">
                  <c:v>0.87859103000000005</c:v>
                </c:pt>
                <c:pt idx="155">
                  <c:v>0.88148886000000004</c:v>
                </c:pt>
                <c:pt idx="156">
                  <c:v>0.85233175999999999</c:v>
                </c:pt>
                <c:pt idx="157">
                  <c:v>0.85253478000000005</c:v>
                </c:pt>
                <c:pt idx="158">
                  <c:v>0.91915827999999999</c:v>
                </c:pt>
                <c:pt idx="159">
                  <c:v>0.90939444999999997</c:v>
                </c:pt>
                <c:pt idx="160">
                  <c:v>0.98438846000000002</c:v>
                </c:pt>
                <c:pt idx="161">
                  <c:v>0.98718243000000006</c:v>
                </c:pt>
                <c:pt idx="162">
                  <c:v>0.98557090000000003</c:v>
                </c:pt>
                <c:pt idx="163">
                  <c:v>0.98181251999999997</c:v>
                </c:pt>
                <c:pt idx="164">
                  <c:v>0.92916330000000003</c:v>
                </c:pt>
                <c:pt idx="165">
                  <c:v>0.87701468999999999</c:v>
                </c:pt>
                <c:pt idx="166">
                  <c:v>0.92916330000000003</c:v>
                </c:pt>
                <c:pt idx="167">
                  <c:v>0.95732165999999996</c:v>
                </c:pt>
                <c:pt idx="168">
                  <c:v>0.97810912000000005</c:v>
                </c:pt>
                <c:pt idx="169">
                  <c:v>0.94663377999999998</c:v>
                </c:pt>
                <c:pt idx="170">
                  <c:v>0.92342051999999997</c:v>
                </c:pt>
                <c:pt idx="171">
                  <c:v>0.88478330999999999</c:v>
                </c:pt>
                <c:pt idx="172">
                  <c:v>0.83613196000000001</c:v>
                </c:pt>
                <c:pt idx="173">
                  <c:v>0.82950210999999996</c:v>
                </c:pt>
                <c:pt idx="174">
                  <c:v>0.83542744999999996</c:v>
                </c:pt>
                <c:pt idx="175">
                  <c:v>0.84078129000000001</c:v>
                </c:pt>
                <c:pt idx="176">
                  <c:v>0.83013197000000005</c:v>
                </c:pt>
                <c:pt idx="177">
                  <c:v>0.84306073000000004</c:v>
                </c:pt>
                <c:pt idx="178">
                  <c:v>0.84441679000000003</c:v>
                </c:pt>
                <c:pt idx="179">
                  <c:v>0.86681474000000003</c:v>
                </c:pt>
                <c:pt idx="180">
                  <c:v>0.84735875999999999</c:v>
                </c:pt>
                <c:pt idx="181">
                  <c:v>0.8463716</c:v>
                </c:pt>
                <c:pt idx="182">
                  <c:v>0.83822136000000003</c:v>
                </c:pt>
                <c:pt idx="183">
                  <c:v>0.89465903000000002</c:v>
                </c:pt>
                <c:pt idx="184">
                  <c:v>0.86459914999999998</c:v>
                </c:pt>
                <c:pt idx="185">
                  <c:v>0.82771581000000005</c:v>
                </c:pt>
                <c:pt idx="186">
                  <c:v>0.84286576999999996</c:v>
                </c:pt>
                <c:pt idx="187">
                  <c:v>0.91081164000000003</c:v>
                </c:pt>
                <c:pt idx="188">
                  <c:v>0.97060621000000002</c:v>
                </c:pt>
                <c:pt idx="189">
                  <c:v>0.97461584000000001</c:v>
                </c:pt>
                <c:pt idx="190">
                  <c:v>0.97161434999999996</c:v>
                </c:pt>
                <c:pt idx="191">
                  <c:v>0.97438150000000001</c:v>
                </c:pt>
                <c:pt idx="192">
                  <c:v>0.97592325999999996</c:v>
                </c:pt>
                <c:pt idx="193">
                  <c:v>0.97103322000000003</c:v>
                </c:pt>
                <c:pt idx="194">
                  <c:v>0.95279994000000001</c:v>
                </c:pt>
                <c:pt idx="195">
                  <c:v>0.91368415000000003</c:v>
                </c:pt>
                <c:pt idx="196">
                  <c:v>0.91741673999999995</c:v>
                </c:pt>
                <c:pt idx="197">
                  <c:v>0.89809116</c:v>
                </c:pt>
                <c:pt idx="198">
                  <c:v>0.93630206999999999</c:v>
                </c:pt>
                <c:pt idx="199">
                  <c:v>0.95968770000000003</c:v>
                </c:pt>
                <c:pt idx="200">
                  <c:v>0.92694175999999995</c:v>
                </c:pt>
                <c:pt idx="201">
                  <c:v>0.95301842999999997</c:v>
                </c:pt>
                <c:pt idx="202">
                  <c:v>0.96795673000000004</c:v>
                </c:pt>
                <c:pt idx="203">
                  <c:v>0.96192434999999998</c:v>
                </c:pt>
                <c:pt idx="204">
                  <c:v>0.91044427000000006</c:v>
                </c:pt>
                <c:pt idx="205">
                  <c:v>0.93485322999999998</c:v>
                </c:pt>
                <c:pt idx="206">
                  <c:v>0.94248140999999996</c:v>
                </c:pt>
                <c:pt idx="207">
                  <c:v>0.94713698999999996</c:v>
                </c:pt>
                <c:pt idx="208">
                  <c:v>0.90299746999999997</c:v>
                </c:pt>
                <c:pt idx="209">
                  <c:v>0.94642669999999995</c:v>
                </c:pt>
                <c:pt idx="210">
                  <c:v>0.94007459000000004</c:v>
                </c:pt>
                <c:pt idx="211">
                  <c:v>0.93255030000000005</c:v>
                </c:pt>
                <c:pt idx="212">
                  <c:v>0.95843502000000003</c:v>
                </c:pt>
                <c:pt idx="213">
                  <c:v>0.96150404</c:v>
                </c:pt>
                <c:pt idx="214">
                  <c:v>0.93509511000000001</c:v>
                </c:pt>
                <c:pt idx="215">
                  <c:v>0.94007459000000004</c:v>
                </c:pt>
                <c:pt idx="216">
                  <c:v>0.95934121999999999</c:v>
                </c:pt>
                <c:pt idx="217">
                  <c:v>0.96184685999999997</c:v>
                </c:pt>
                <c:pt idx="218">
                  <c:v>0.95734724999999998</c:v>
                </c:pt>
                <c:pt idx="219">
                  <c:v>0.96201596</c:v>
                </c:pt>
                <c:pt idx="220">
                  <c:v>0.96248904999999996</c:v>
                </c:pt>
                <c:pt idx="221">
                  <c:v>0.94762259999999998</c:v>
                </c:pt>
                <c:pt idx="222">
                  <c:v>0.93509511000000001</c:v>
                </c:pt>
                <c:pt idx="223">
                  <c:v>0.94145855000000001</c:v>
                </c:pt>
                <c:pt idx="224">
                  <c:v>0.88768075999999996</c:v>
                </c:pt>
                <c:pt idx="225">
                  <c:v>0.90153247000000003</c:v>
                </c:pt>
                <c:pt idx="226">
                  <c:v>0.96203097000000004</c:v>
                </c:pt>
                <c:pt idx="227">
                  <c:v>0.96316809000000003</c:v>
                </c:pt>
                <c:pt idx="228">
                  <c:v>0.96357256000000002</c:v>
                </c:pt>
                <c:pt idx="229">
                  <c:v>0.95525888999999997</c:v>
                </c:pt>
                <c:pt idx="230">
                  <c:v>0.94976475000000005</c:v>
                </c:pt>
                <c:pt idx="231">
                  <c:v>0.95518174</c:v>
                </c:pt>
                <c:pt idx="232">
                  <c:v>0.95598488999999998</c:v>
                </c:pt>
                <c:pt idx="233">
                  <c:v>0.95587529999999998</c:v>
                </c:pt>
                <c:pt idx="234">
                  <c:v>0.95494785000000004</c:v>
                </c:pt>
                <c:pt idx="235">
                  <c:v>0.95327545000000002</c:v>
                </c:pt>
                <c:pt idx="236">
                  <c:v>0.95488927999999995</c:v>
                </c:pt>
                <c:pt idx="237">
                  <c:v>0.95582394000000004</c:v>
                </c:pt>
                <c:pt idx="238">
                  <c:v>0.95436023999999997</c:v>
                </c:pt>
                <c:pt idx="239">
                  <c:v>0.93659367999999998</c:v>
                </c:pt>
                <c:pt idx="240">
                  <c:v>0.89227334999999997</c:v>
                </c:pt>
                <c:pt idx="241">
                  <c:v>0.88538640000000002</c:v>
                </c:pt>
                <c:pt idx="242">
                  <c:v>0.88732091000000002</c:v>
                </c:pt>
                <c:pt idx="243">
                  <c:v>0.89611079000000005</c:v>
                </c:pt>
                <c:pt idx="244">
                  <c:v>0.94870708999999998</c:v>
                </c:pt>
                <c:pt idx="245">
                  <c:v>0.95396824999999996</c:v>
                </c:pt>
                <c:pt idx="246">
                  <c:v>0.95520771000000004</c:v>
                </c:pt>
                <c:pt idx="247">
                  <c:v>0.95519228</c:v>
                </c:pt>
                <c:pt idx="248">
                  <c:v>0.95587728000000005</c:v>
                </c:pt>
                <c:pt idx="249">
                  <c:v>0.94277608000000002</c:v>
                </c:pt>
                <c:pt idx="250">
                  <c:v>0.94442683999999999</c:v>
                </c:pt>
                <c:pt idx="251">
                  <c:v>0.94026103000000005</c:v>
                </c:pt>
                <c:pt idx="252">
                  <c:v>0.94331547000000004</c:v>
                </c:pt>
                <c:pt idx="253">
                  <c:v>0.94164957999999999</c:v>
                </c:pt>
                <c:pt idx="254">
                  <c:v>0.94154565999999995</c:v>
                </c:pt>
                <c:pt idx="255">
                  <c:v>0.91185605000000003</c:v>
                </c:pt>
                <c:pt idx="256">
                  <c:v>0.93276685999999998</c:v>
                </c:pt>
                <c:pt idx="257">
                  <c:v>0.92851982</c:v>
                </c:pt>
                <c:pt idx="258">
                  <c:v>0.94156269999999997</c:v>
                </c:pt>
                <c:pt idx="259">
                  <c:v>0.94226847000000002</c:v>
                </c:pt>
                <c:pt idx="260">
                  <c:v>0.93815767000000005</c:v>
                </c:pt>
                <c:pt idx="261">
                  <c:v>0.91906602999999998</c:v>
                </c:pt>
                <c:pt idx="262">
                  <c:v>0.87658771000000002</c:v>
                </c:pt>
                <c:pt idx="263">
                  <c:v>0.90921328999999995</c:v>
                </c:pt>
                <c:pt idx="264">
                  <c:v>0.93221748000000004</c:v>
                </c:pt>
                <c:pt idx="265">
                  <c:v>0.92626867999999996</c:v>
                </c:pt>
                <c:pt idx="266">
                  <c:v>0.93817786999999997</c:v>
                </c:pt>
                <c:pt idx="267">
                  <c:v>0.93960624999999998</c:v>
                </c:pt>
                <c:pt idx="268">
                  <c:v>0.91287035999999999</c:v>
                </c:pt>
                <c:pt idx="269">
                  <c:v>0.85102255000000004</c:v>
                </c:pt>
                <c:pt idx="270">
                  <c:v>0.88433985999999998</c:v>
                </c:pt>
                <c:pt idx="271">
                  <c:v>0.87754933999999996</c:v>
                </c:pt>
                <c:pt idx="272">
                  <c:v>0.90010062000000002</c:v>
                </c:pt>
                <c:pt idx="273">
                  <c:v>0.91867080999999995</c:v>
                </c:pt>
                <c:pt idx="274">
                  <c:v>0.90661466999999996</c:v>
                </c:pt>
                <c:pt idx="275">
                  <c:v>0.91488800000000003</c:v>
                </c:pt>
                <c:pt idx="276">
                  <c:v>0.91615384</c:v>
                </c:pt>
                <c:pt idx="277">
                  <c:v>0.86420087999999995</c:v>
                </c:pt>
                <c:pt idx="278">
                  <c:v>0.77113012000000003</c:v>
                </c:pt>
                <c:pt idx="279">
                  <c:v>0.77902583999999997</c:v>
                </c:pt>
                <c:pt idx="280">
                  <c:v>0.80057159</c:v>
                </c:pt>
                <c:pt idx="281">
                  <c:v>0.74698810999999998</c:v>
                </c:pt>
                <c:pt idx="282">
                  <c:v>0.74634694000000001</c:v>
                </c:pt>
                <c:pt idx="283">
                  <c:v>0.80795808999999996</c:v>
                </c:pt>
                <c:pt idx="284">
                  <c:v>0.80795808999999996</c:v>
                </c:pt>
                <c:pt idx="285">
                  <c:v>0.8216253</c:v>
                </c:pt>
                <c:pt idx="286">
                  <c:v>0.83154335000000001</c:v>
                </c:pt>
                <c:pt idx="287">
                  <c:v>0.89567198000000003</c:v>
                </c:pt>
                <c:pt idx="288">
                  <c:v>0.90486840999999996</c:v>
                </c:pt>
                <c:pt idx="289">
                  <c:v>0.91831567999999997</c:v>
                </c:pt>
                <c:pt idx="290">
                  <c:v>0.89832186999999997</c:v>
                </c:pt>
                <c:pt idx="291">
                  <c:v>0.89829537000000004</c:v>
                </c:pt>
                <c:pt idx="292">
                  <c:v>0.80623690999999997</c:v>
                </c:pt>
                <c:pt idx="293">
                  <c:v>0.84304774000000005</c:v>
                </c:pt>
                <c:pt idx="294">
                  <c:v>0.88736484000000004</c:v>
                </c:pt>
                <c:pt idx="295">
                  <c:v>0.9104373</c:v>
                </c:pt>
                <c:pt idx="296">
                  <c:v>0.91119961999999999</c:v>
                </c:pt>
                <c:pt idx="297">
                  <c:v>0.91121001999999995</c:v>
                </c:pt>
                <c:pt idx="298">
                  <c:v>0.90933637</c:v>
                </c:pt>
                <c:pt idx="299">
                  <c:v>0.90710064000000001</c:v>
                </c:pt>
                <c:pt idx="300">
                  <c:v>0.90933154999999999</c:v>
                </c:pt>
                <c:pt idx="301">
                  <c:v>0.90998736000000002</c:v>
                </c:pt>
                <c:pt idx="302">
                  <c:v>0.90800420000000004</c:v>
                </c:pt>
                <c:pt idx="303">
                  <c:v>0.90536366999999995</c:v>
                </c:pt>
                <c:pt idx="304">
                  <c:v>0.90885141000000003</c:v>
                </c:pt>
                <c:pt idx="305">
                  <c:v>0.90806520999999996</c:v>
                </c:pt>
                <c:pt idx="306">
                  <c:v>0.90994850999999999</c:v>
                </c:pt>
                <c:pt idx="307">
                  <c:v>0.90828774000000001</c:v>
                </c:pt>
                <c:pt idx="308">
                  <c:v>0.90652851000000001</c:v>
                </c:pt>
                <c:pt idx="309">
                  <c:v>0.90862149000000003</c:v>
                </c:pt>
                <c:pt idx="310">
                  <c:v>0.90994850999999999</c:v>
                </c:pt>
                <c:pt idx="311">
                  <c:v>0.91020621000000002</c:v>
                </c:pt>
                <c:pt idx="312">
                  <c:v>0.89172037999999998</c:v>
                </c:pt>
                <c:pt idx="313">
                  <c:v>0.89242913999999995</c:v>
                </c:pt>
                <c:pt idx="314">
                  <c:v>0.89178466999999995</c:v>
                </c:pt>
                <c:pt idx="315">
                  <c:v>0.89320864</c:v>
                </c:pt>
                <c:pt idx="316">
                  <c:v>0.89293347999999995</c:v>
                </c:pt>
                <c:pt idx="317">
                  <c:v>0.89332922000000003</c:v>
                </c:pt>
                <c:pt idx="318">
                  <c:v>0.89434619999999998</c:v>
                </c:pt>
                <c:pt idx="319">
                  <c:v>0.89447244000000004</c:v>
                </c:pt>
                <c:pt idx="320">
                  <c:v>0.89503811</c:v>
                </c:pt>
                <c:pt idx="321">
                  <c:v>0.89630202000000003</c:v>
                </c:pt>
                <c:pt idx="322">
                  <c:v>0.89656175000000005</c:v>
                </c:pt>
                <c:pt idx="323">
                  <c:v>0.89645978000000004</c:v>
                </c:pt>
                <c:pt idx="324">
                  <c:v>0.90122015</c:v>
                </c:pt>
                <c:pt idx="325">
                  <c:v>0.90049995000000005</c:v>
                </c:pt>
                <c:pt idx="326">
                  <c:v>0.89692227999999996</c:v>
                </c:pt>
                <c:pt idx="327">
                  <c:v>0.89508783999999997</c:v>
                </c:pt>
                <c:pt idx="328">
                  <c:v>0.89398533999999996</c:v>
                </c:pt>
                <c:pt idx="329">
                  <c:v>0.89292742000000003</c:v>
                </c:pt>
                <c:pt idx="330">
                  <c:v>0.89290855000000002</c:v>
                </c:pt>
                <c:pt idx="331">
                  <c:v>0.89258269999999995</c:v>
                </c:pt>
                <c:pt idx="332">
                  <c:v>0.89845090000000005</c:v>
                </c:pt>
                <c:pt idx="333">
                  <c:v>0.90149771000000001</c:v>
                </c:pt>
                <c:pt idx="334">
                  <c:v>0.95412836999999995</c:v>
                </c:pt>
                <c:pt idx="335">
                  <c:v>0.89625674</c:v>
                </c:pt>
                <c:pt idx="336">
                  <c:v>0.88786379000000004</c:v>
                </c:pt>
                <c:pt idx="337">
                  <c:v>0.88432498999999998</c:v>
                </c:pt>
                <c:pt idx="338">
                  <c:v>0.88658915999999999</c:v>
                </c:pt>
                <c:pt idx="339">
                  <c:v>0.88642206999999995</c:v>
                </c:pt>
                <c:pt idx="340">
                  <c:v>0.89143002999999998</c:v>
                </c:pt>
                <c:pt idx="341">
                  <c:v>0.88507773000000001</c:v>
                </c:pt>
                <c:pt idx="342">
                  <c:v>0.88955698999999999</c:v>
                </c:pt>
                <c:pt idx="343">
                  <c:v>0.89171836999999998</c:v>
                </c:pt>
                <c:pt idx="344">
                  <c:v>0.89594238999999998</c:v>
                </c:pt>
                <c:pt idx="345">
                  <c:v>0.90129705000000004</c:v>
                </c:pt>
                <c:pt idx="346">
                  <c:v>0.90024616000000002</c:v>
                </c:pt>
                <c:pt idx="347">
                  <c:v>0.89007672000000004</c:v>
                </c:pt>
                <c:pt idx="348">
                  <c:v>0.89465777999999996</c:v>
                </c:pt>
                <c:pt idx="349">
                  <c:v>0.88643691000000002</c:v>
                </c:pt>
                <c:pt idx="350">
                  <c:v>0.90621494000000002</c:v>
                </c:pt>
                <c:pt idx="351">
                  <c:v>0.89395577999999998</c:v>
                </c:pt>
                <c:pt idx="352">
                  <c:v>0.90152438999999995</c:v>
                </c:pt>
                <c:pt idx="353">
                  <c:v>0.91764312000000003</c:v>
                </c:pt>
                <c:pt idx="354">
                  <c:v>0.89196945999999999</c:v>
                </c:pt>
                <c:pt idx="355">
                  <c:v>0.90455958999999997</c:v>
                </c:pt>
                <c:pt idx="356">
                  <c:v>0.87981558999999998</c:v>
                </c:pt>
                <c:pt idx="357">
                  <c:v>0.88929053000000002</c:v>
                </c:pt>
                <c:pt idx="358">
                  <c:v>0.95815527</c:v>
                </c:pt>
                <c:pt idx="359">
                  <c:v>0.97662514</c:v>
                </c:pt>
                <c:pt idx="360">
                  <c:v>0.98419075</c:v>
                </c:pt>
                <c:pt idx="361">
                  <c:v>0.97879925999999995</c:v>
                </c:pt>
                <c:pt idx="362">
                  <c:v>0.98075705000000002</c:v>
                </c:pt>
                <c:pt idx="363">
                  <c:v>0.95144748999999995</c:v>
                </c:pt>
                <c:pt idx="364">
                  <c:v>0.98415346000000004</c:v>
                </c:pt>
                <c:pt idx="365">
                  <c:v>0.97010662999999997</c:v>
                </c:pt>
                <c:pt idx="366">
                  <c:v>0.98441588000000002</c:v>
                </c:pt>
                <c:pt idx="367">
                  <c:v>0.97879925999999995</c:v>
                </c:pt>
                <c:pt idx="368">
                  <c:v>0.98785926000000002</c:v>
                </c:pt>
                <c:pt idx="369">
                  <c:v>0.98850773000000003</c:v>
                </c:pt>
                <c:pt idx="370">
                  <c:v>0.98959233999999996</c:v>
                </c:pt>
                <c:pt idx="371">
                  <c:v>0.98728897999999998</c:v>
                </c:pt>
                <c:pt idx="372">
                  <c:v>0.98586468999999999</c:v>
                </c:pt>
                <c:pt idx="373">
                  <c:v>0.87809594999999996</c:v>
                </c:pt>
                <c:pt idx="374">
                  <c:v>0.97455305999999997</c:v>
                </c:pt>
                <c:pt idx="375">
                  <c:v>0.98007849999999996</c:v>
                </c:pt>
                <c:pt idx="376">
                  <c:v>0.92603561999999995</c:v>
                </c:pt>
                <c:pt idx="377">
                  <c:v>0.95403947</c:v>
                </c:pt>
                <c:pt idx="378">
                  <c:v>0.87064797000000005</c:v>
                </c:pt>
                <c:pt idx="379">
                  <c:v>0.87914780000000003</c:v>
                </c:pt>
                <c:pt idx="380">
                  <c:v>0.85676613000000001</c:v>
                </c:pt>
                <c:pt idx="381">
                  <c:v>0.88188845000000005</c:v>
                </c:pt>
                <c:pt idx="382">
                  <c:v>0.87997017</c:v>
                </c:pt>
                <c:pt idx="383">
                  <c:v>0.90059957999999996</c:v>
                </c:pt>
                <c:pt idx="384">
                  <c:v>0.90519167</c:v>
                </c:pt>
                <c:pt idx="385">
                  <c:v>0.85987332000000005</c:v>
                </c:pt>
                <c:pt idx="386">
                  <c:v>0.84554792000000001</c:v>
                </c:pt>
                <c:pt idx="387">
                  <c:v>0.84291780999999999</c:v>
                </c:pt>
                <c:pt idx="388">
                  <c:v>0.84552031000000005</c:v>
                </c:pt>
                <c:pt idx="389">
                  <c:v>0.84702736999999995</c:v>
                </c:pt>
                <c:pt idx="390">
                  <c:v>0.84653082999999996</c:v>
                </c:pt>
                <c:pt idx="391">
                  <c:v>0.92849970000000004</c:v>
                </c:pt>
                <c:pt idx="392">
                  <c:v>0.97284862999999999</c:v>
                </c:pt>
                <c:pt idx="393">
                  <c:v>0.96075451000000001</c:v>
                </c:pt>
                <c:pt idx="394">
                  <c:v>0.97332927999999996</c:v>
                </c:pt>
                <c:pt idx="395">
                  <c:v>0.97623548000000004</c:v>
                </c:pt>
                <c:pt idx="396">
                  <c:v>0.89613767</c:v>
                </c:pt>
                <c:pt idx="397">
                  <c:v>0.93752537999999996</c:v>
                </c:pt>
                <c:pt idx="398">
                  <c:v>0.97362866999999997</c:v>
                </c:pt>
                <c:pt idx="399">
                  <c:v>0.95103079999999995</c:v>
                </c:pt>
                <c:pt idx="400">
                  <c:v>0.91761037000000001</c:v>
                </c:pt>
                <c:pt idx="401">
                  <c:v>0.85375016000000004</c:v>
                </c:pt>
                <c:pt idx="402">
                  <c:v>0.93681486000000003</c:v>
                </c:pt>
                <c:pt idx="403">
                  <c:v>0.93394480999999996</c:v>
                </c:pt>
                <c:pt idx="404">
                  <c:v>0.91912300000000002</c:v>
                </c:pt>
                <c:pt idx="405">
                  <c:v>0.91912300000000002</c:v>
                </c:pt>
                <c:pt idx="406">
                  <c:v>0.96609250999999996</c:v>
                </c:pt>
                <c:pt idx="407">
                  <c:v>0.96376908999999999</c:v>
                </c:pt>
                <c:pt idx="408">
                  <c:v>0.96360314999999996</c:v>
                </c:pt>
                <c:pt idx="409">
                  <c:v>0.96375869999999997</c:v>
                </c:pt>
                <c:pt idx="410">
                  <c:v>0.96309924999999996</c:v>
                </c:pt>
                <c:pt idx="411">
                  <c:v>0.96376908999999999</c:v>
                </c:pt>
                <c:pt idx="412">
                  <c:v>0.96624732000000002</c:v>
                </c:pt>
                <c:pt idx="413">
                  <c:v>0.97373162000000002</c:v>
                </c:pt>
                <c:pt idx="414">
                  <c:v>0.98245824000000004</c:v>
                </c:pt>
                <c:pt idx="415">
                  <c:v>0.96777427999999999</c:v>
                </c:pt>
                <c:pt idx="416">
                  <c:v>0.96460067999999999</c:v>
                </c:pt>
                <c:pt idx="417">
                  <c:v>0.96488792999999995</c:v>
                </c:pt>
                <c:pt idx="418">
                  <c:v>0.95609193999999997</c:v>
                </c:pt>
                <c:pt idx="419">
                  <c:v>0.97003647000000004</c:v>
                </c:pt>
                <c:pt idx="420">
                  <c:v>0.95493826999999998</c:v>
                </c:pt>
                <c:pt idx="421">
                  <c:v>0.95072444</c:v>
                </c:pt>
                <c:pt idx="422">
                  <c:v>0.94919237000000001</c:v>
                </c:pt>
                <c:pt idx="423">
                  <c:v>0.94675193999999996</c:v>
                </c:pt>
                <c:pt idx="424">
                  <c:v>0.95291117000000003</c:v>
                </c:pt>
                <c:pt idx="425">
                  <c:v>0.95398616999999997</c:v>
                </c:pt>
                <c:pt idx="426">
                  <c:v>0.95492847000000003</c:v>
                </c:pt>
                <c:pt idx="427">
                  <c:v>0.95308886000000004</c:v>
                </c:pt>
                <c:pt idx="428">
                  <c:v>0.95139426999999999</c:v>
                </c:pt>
                <c:pt idx="429">
                  <c:v>0.93914913</c:v>
                </c:pt>
                <c:pt idx="430">
                  <c:v>0.91462215999999996</c:v>
                </c:pt>
                <c:pt idx="431">
                  <c:v>0.94491190999999997</c:v>
                </c:pt>
                <c:pt idx="432">
                  <c:v>0.93645276</c:v>
                </c:pt>
                <c:pt idx="433">
                  <c:v>0.94267858999999998</c:v>
                </c:pt>
                <c:pt idx="434">
                  <c:v>0.95035082999999998</c:v>
                </c:pt>
                <c:pt idx="435">
                  <c:v>0.94293229999999995</c:v>
                </c:pt>
                <c:pt idx="436">
                  <c:v>0.95078607000000004</c:v>
                </c:pt>
                <c:pt idx="437">
                  <c:v>0.95225641000000005</c:v>
                </c:pt>
                <c:pt idx="438">
                  <c:v>0.95372451000000003</c:v>
                </c:pt>
                <c:pt idx="439">
                  <c:v>0.92433999</c:v>
                </c:pt>
                <c:pt idx="440">
                  <c:v>0.92607404999999998</c:v>
                </c:pt>
                <c:pt idx="441">
                  <c:v>0.92775901999999999</c:v>
                </c:pt>
                <c:pt idx="442">
                  <c:v>0.92380282000000002</c:v>
                </c:pt>
                <c:pt idx="443">
                  <c:v>0.93010998</c:v>
                </c:pt>
                <c:pt idx="444">
                  <c:v>0.93733515999999995</c:v>
                </c:pt>
                <c:pt idx="445">
                  <c:v>0.93539373000000003</c:v>
                </c:pt>
                <c:pt idx="446">
                  <c:v>0.93089803000000004</c:v>
                </c:pt>
                <c:pt idx="447">
                  <c:v>0.92562493000000001</c:v>
                </c:pt>
                <c:pt idx="448">
                  <c:v>0.92732130000000002</c:v>
                </c:pt>
                <c:pt idx="449">
                  <c:v>0.93163985000000005</c:v>
                </c:pt>
                <c:pt idx="450">
                  <c:v>0.92854455999999996</c:v>
                </c:pt>
                <c:pt idx="451">
                  <c:v>0.92526991000000003</c:v>
                </c:pt>
                <c:pt idx="452">
                  <c:v>0.92549680000000001</c:v>
                </c:pt>
                <c:pt idx="453">
                  <c:v>0.92490912999999997</c:v>
                </c:pt>
                <c:pt idx="454">
                  <c:v>0.92791716999999996</c:v>
                </c:pt>
                <c:pt idx="455">
                  <c:v>0.94132097000000003</c:v>
                </c:pt>
                <c:pt idx="456">
                  <c:v>0.93272887999999998</c:v>
                </c:pt>
                <c:pt idx="457">
                  <c:v>0.92988565999999995</c:v>
                </c:pt>
                <c:pt idx="458">
                  <c:v>0.92988565999999995</c:v>
                </c:pt>
                <c:pt idx="459">
                  <c:v>0.91182074000000002</c:v>
                </c:pt>
                <c:pt idx="460">
                  <c:v>0.91340927999999999</c:v>
                </c:pt>
                <c:pt idx="461">
                  <c:v>0.91038313999999998</c:v>
                </c:pt>
                <c:pt idx="462">
                  <c:v>0.90949672000000004</c:v>
                </c:pt>
                <c:pt idx="463">
                  <c:v>0.90648165999999997</c:v>
                </c:pt>
                <c:pt idx="464">
                  <c:v>0.90822765000000005</c:v>
                </c:pt>
                <c:pt idx="465">
                  <c:v>0.90824320000000003</c:v>
                </c:pt>
                <c:pt idx="466">
                  <c:v>0.91013454000000005</c:v>
                </c:pt>
                <c:pt idx="467">
                  <c:v>0.90995208000000005</c:v>
                </c:pt>
                <c:pt idx="468">
                  <c:v>0.91004114000000003</c:v>
                </c:pt>
                <c:pt idx="469">
                  <c:v>0.90980081999999995</c:v>
                </c:pt>
                <c:pt idx="470">
                  <c:v>0.90632723999999998</c:v>
                </c:pt>
                <c:pt idx="471">
                  <c:v>0.90929634999999998</c:v>
                </c:pt>
                <c:pt idx="472">
                  <c:v>0.90996273999999999</c:v>
                </c:pt>
                <c:pt idx="473">
                  <c:v>0.91263181000000004</c:v>
                </c:pt>
                <c:pt idx="474">
                  <c:v>0.91023827000000002</c:v>
                </c:pt>
                <c:pt idx="475">
                  <c:v>0.91054997000000004</c:v>
                </c:pt>
                <c:pt idx="476">
                  <c:v>0.91356859000000001</c:v>
                </c:pt>
                <c:pt idx="477">
                  <c:v>0.91245498999999997</c:v>
                </c:pt>
                <c:pt idx="478">
                  <c:v>0.91103829999999997</c:v>
                </c:pt>
                <c:pt idx="479">
                  <c:v>0.88507237000000005</c:v>
                </c:pt>
                <c:pt idx="480">
                  <c:v>0.85458392999999999</c:v>
                </c:pt>
                <c:pt idx="481">
                  <c:v>0.83571636000000005</c:v>
                </c:pt>
                <c:pt idx="482">
                  <c:v>0.86736603000000001</c:v>
                </c:pt>
                <c:pt idx="483">
                  <c:v>0.87519625000000001</c:v>
                </c:pt>
                <c:pt idx="484">
                  <c:v>0.88797930000000003</c:v>
                </c:pt>
                <c:pt idx="485">
                  <c:v>0.88539641000000002</c:v>
                </c:pt>
                <c:pt idx="486">
                  <c:v>0.88689883999999997</c:v>
                </c:pt>
                <c:pt idx="487">
                  <c:v>0.88696178000000003</c:v>
                </c:pt>
                <c:pt idx="488">
                  <c:v>0.88589474999999995</c:v>
                </c:pt>
                <c:pt idx="489">
                  <c:v>0.88589474999999995</c:v>
                </c:pt>
                <c:pt idx="490">
                  <c:v>0.87804391999999998</c:v>
                </c:pt>
                <c:pt idx="491">
                  <c:v>0.88249445999999998</c:v>
                </c:pt>
                <c:pt idx="492">
                  <c:v>0.88215476000000004</c:v>
                </c:pt>
                <c:pt idx="493">
                  <c:v>0.88439003000000005</c:v>
                </c:pt>
                <c:pt idx="494">
                  <c:v>0.88296931999999995</c:v>
                </c:pt>
                <c:pt idx="495">
                  <c:v>0.80504880000000001</c:v>
                </c:pt>
                <c:pt idx="496">
                  <c:v>0.76767467</c:v>
                </c:pt>
                <c:pt idx="497">
                  <c:v>0.75705208999999996</c:v>
                </c:pt>
                <c:pt idx="498">
                  <c:v>0.77275377999999995</c:v>
                </c:pt>
                <c:pt idx="499">
                  <c:v>0.77474962999999997</c:v>
                </c:pt>
                <c:pt idx="500">
                  <c:v>0.74042772999999995</c:v>
                </c:pt>
                <c:pt idx="501">
                  <c:v>0.77338823999999995</c:v>
                </c:pt>
                <c:pt idx="502">
                  <c:v>0.73569048000000004</c:v>
                </c:pt>
                <c:pt idx="503">
                  <c:v>0.81304865000000004</c:v>
                </c:pt>
                <c:pt idx="504">
                  <c:v>0.82222097000000005</c:v>
                </c:pt>
                <c:pt idx="505">
                  <c:v>0.79899058000000001</c:v>
                </c:pt>
                <c:pt idx="506">
                  <c:v>0.80855876999999998</c:v>
                </c:pt>
                <c:pt idx="507">
                  <c:v>0.75767121000000004</c:v>
                </c:pt>
                <c:pt idx="508">
                  <c:v>0.73648318000000002</c:v>
                </c:pt>
                <c:pt idx="509">
                  <c:v>0.77547370000000004</c:v>
                </c:pt>
                <c:pt idx="510">
                  <c:v>0.75767121000000004</c:v>
                </c:pt>
                <c:pt idx="511">
                  <c:v>0.74506516</c:v>
                </c:pt>
                <c:pt idx="512">
                  <c:v>0.74910363000000002</c:v>
                </c:pt>
                <c:pt idx="513">
                  <c:v>0.75956073000000002</c:v>
                </c:pt>
                <c:pt idx="514">
                  <c:v>0.76181047000000002</c:v>
                </c:pt>
                <c:pt idx="515">
                  <c:v>0.83204617000000003</c:v>
                </c:pt>
                <c:pt idx="516">
                  <c:v>0.84215019999999996</c:v>
                </c:pt>
                <c:pt idx="517">
                  <c:v>0.82756768000000003</c:v>
                </c:pt>
                <c:pt idx="518">
                  <c:v>0.84309752999999998</c:v>
                </c:pt>
                <c:pt idx="519">
                  <c:v>0.83067533000000005</c:v>
                </c:pt>
                <c:pt idx="520">
                  <c:v>0.82448531000000003</c:v>
                </c:pt>
                <c:pt idx="521">
                  <c:v>0.81743252</c:v>
                </c:pt>
                <c:pt idx="522">
                  <c:v>0.75669235000000001</c:v>
                </c:pt>
                <c:pt idx="523">
                  <c:v>0.71013143999999995</c:v>
                </c:pt>
                <c:pt idx="524">
                  <c:v>0.68844536999999995</c:v>
                </c:pt>
                <c:pt idx="525">
                  <c:v>0.69041534999999998</c:v>
                </c:pt>
                <c:pt idx="526">
                  <c:v>0.69888139000000005</c:v>
                </c:pt>
                <c:pt idx="527">
                  <c:v>0.70688881999999997</c:v>
                </c:pt>
                <c:pt idx="528">
                  <c:v>0.70558498000000003</c:v>
                </c:pt>
                <c:pt idx="529">
                  <c:v>0.72532763</c:v>
                </c:pt>
                <c:pt idx="530">
                  <c:v>0.76202199999999998</c:v>
                </c:pt>
                <c:pt idx="531">
                  <c:v>0.78695435999999996</c:v>
                </c:pt>
                <c:pt idx="532">
                  <c:v>0.77084069</c:v>
                </c:pt>
                <c:pt idx="533">
                  <c:v>0.73465606999999999</c:v>
                </c:pt>
                <c:pt idx="534">
                  <c:v>0.77786171000000004</c:v>
                </c:pt>
                <c:pt idx="535">
                  <c:v>0.77926318999999999</c:v>
                </c:pt>
                <c:pt idx="536">
                  <c:v>0.77702022999999998</c:v>
                </c:pt>
                <c:pt idx="537">
                  <c:v>0.77084069</c:v>
                </c:pt>
                <c:pt idx="538">
                  <c:v>0.76515105000000005</c:v>
                </c:pt>
                <c:pt idx="539">
                  <c:v>0.76571301000000003</c:v>
                </c:pt>
                <c:pt idx="540">
                  <c:v>0.74944891000000002</c:v>
                </c:pt>
                <c:pt idx="541">
                  <c:v>0.77887764000000004</c:v>
                </c:pt>
                <c:pt idx="542">
                  <c:v>0.81980116999999997</c:v>
                </c:pt>
                <c:pt idx="543">
                  <c:v>0.82856768000000003</c:v>
                </c:pt>
                <c:pt idx="544">
                  <c:v>0.82265425999999997</c:v>
                </c:pt>
                <c:pt idx="545">
                  <c:v>0.81850336999999995</c:v>
                </c:pt>
                <c:pt idx="546">
                  <c:v>0.79452882999999996</c:v>
                </c:pt>
                <c:pt idx="547">
                  <c:v>0.80849727999999998</c:v>
                </c:pt>
                <c:pt idx="548">
                  <c:v>0.82477339000000005</c:v>
                </c:pt>
                <c:pt idx="549">
                  <c:v>0.82715181999999998</c:v>
                </c:pt>
                <c:pt idx="550">
                  <c:v>0.82470003999999997</c:v>
                </c:pt>
                <c:pt idx="551">
                  <c:v>0.82774426000000001</c:v>
                </c:pt>
                <c:pt idx="552">
                  <c:v>0.82956596000000005</c:v>
                </c:pt>
                <c:pt idx="553">
                  <c:v>0.82800551</c:v>
                </c:pt>
                <c:pt idx="554">
                  <c:v>0.82804226999999997</c:v>
                </c:pt>
                <c:pt idx="555">
                  <c:v>0.82856768000000003</c:v>
                </c:pt>
                <c:pt idx="556">
                  <c:v>0.82574130999999995</c:v>
                </c:pt>
                <c:pt idx="557">
                  <c:v>0.82574130999999995</c:v>
                </c:pt>
                <c:pt idx="558">
                  <c:v>0.83113250999999999</c:v>
                </c:pt>
                <c:pt idx="559">
                  <c:v>0.83156322999999999</c:v>
                </c:pt>
                <c:pt idx="560">
                  <c:v>0.83356730999999995</c:v>
                </c:pt>
                <c:pt idx="561">
                  <c:v>0.82752897000000003</c:v>
                </c:pt>
                <c:pt idx="562">
                  <c:v>0.82159804000000003</c:v>
                </c:pt>
                <c:pt idx="563">
                  <c:v>0.80593608999999999</c:v>
                </c:pt>
                <c:pt idx="564">
                  <c:v>0.80165001999999996</c:v>
                </c:pt>
                <c:pt idx="565">
                  <c:v>0.79431673999999997</c:v>
                </c:pt>
                <c:pt idx="566">
                  <c:v>0.80403139000000001</c:v>
                </c:pt>
                <c:pt idx="567">
                  <c:v>0.79380801000000001</c:v>
                </c:pt>
                <c:pt idx="568">
                  <c:v>0.73210434000000002</c:v>
                </c:pt>
                <c:pt idx="569">
                  <c:v>0.69142342000000001</c:v>
                </c:pt>
                <c:pt idx="570">
                  <c:v>0.66956373000000002</c:v>
                </c:pt>
                <c:pt idx="571">
                  <c:v>0.72537130999999999</c:v>
                </c:pt>
                <c:pt idx="572">
                  <c:v>0.79431673999999997</c:v>
                </c:pt>
                <c:pt idx="573">
                  <c:v>0.69528027999999997</c:v>
                </c:pt>
                <c:pt idx="574">
                  <c:v>0.67816416000000002</c:v>
                </c:pt>
                <c:pt idx="575">
                  <c:v>0.72319169000000005</c:v>
                </c:pt>
                <c:pt idx="576">
                  <c:v>0.65091405000000002</c:v>
                </c:pt>
                <c:pt idx="577">
                  <c:v>0.64488252000000001</c:v>
                </c:pt>
                <c:pt idx="578">
                  <c:v>0.64577068999999998</c:v>
                </c:pt>
                <c:pt idx="579">
                  <c:v>0.63160108999999998</c:v>
                </c:pt>
                <c:pt idx="580">
                  <c:v>0.62947549999999997</c:v>
                </c:pt>
                <c:pt idx="581">
                  <c:v>0.63071074000000005</c:v>
                </c:pt>
                <c:pt idx="582">
                  <c:v>0.62532821000000005</c:v>
                </c:pt>
                <c:pt idx="583">
                  <c:v>0.60388423000000002</c:v>
                </c:pt>
                <c:pt idx="584">
                  <c:v>0.59229140999999996</c:v>
                </c:pt>
                <c:pt idx="585">
                  <c:v>0.60259748000000002</c:v>
                </c:pt>
                <c:pt idx="586">
                  <c:v>0.60807341999999998</c:v>
                </c:pt>
                <c:pt idx="587">
                  <c:v>0.59389106999999997</c:v>
                </c:pt>
                <c:pt idx="588">
                  <c:v>0.57834057000000005</c:v>
                </c:pt>
                <c:pt idx="589">
                  <c:v>0.59643793000000001</c:v>
                </c:pt>
                <c:pt idx="590">
                  <c:v>0.55153556000000004</c:v>
                </c:pt>
                <c:pt idx="591">
                  <c:v>0.58616818000000004</c:v>
                </c:pt>
                <c:pt idx="592">
                  <c:v>0.60357554000000002</c:v>
                </c:pt>
                <c:pt idx="593">
                  <c:v>0.57679937999999997</c:v>
                </c:pt>
                <c:pt idx="594">
                  <c:v>0.57834057000000005</c:v>
                </c:pt>
                <c:pt idx="595">
                  <c:v>0.50423591999999995</c:v>
                </c:pt>
                <c:pt idx="596">
                  <c:v>0.45672223000000001</c:v>
                </c:pt>
                <c:pt idx="597">
                  <c:v>0.44323100999999998</c:v>
                </c:pt>
                <c:pt idx="598">
                  <c:v>0.42893935</c:v>
                </c:pt>
                <c:pt idx="599">
                  <c:v>0.41918834999999999</c:v>
                </c:pt>
                <c:pt idx="600">
                  <c:v>0.36913066</c:v>
                </c:pt>
                <c:pt idx="601">
                  <c:v>0.44367911999999998</c:v>
                </c:pt>
                <c:pt idx="602">
                  <c:v>0.44439106</c:v>
                </c:pt>
                <c:pt idx="603">
                  <c:v>0.42692645000000001</c:v>
                </c:pt>
                <c:pt idx="604">
                  <c:v>0.42614523999999998</c:v>
                </c:pt>
                <c:pt idx="605">
                  <c:v>0.42879772999999999</c:v>
                </c:pt>
                <c:pt idx="606">
                  <c:v>0.28872759999999997</c:v>
                </c:pt>
                <c:pt idx="607">
                  <c:v>0.33666590000000002</c:v>
                </c:pt>
                <c:pt idx="608">
                  <c:v>0.39961025999999999</c:v>
                </c:pt>
                <c:pt idx="609">
                  <c:v>0.31225017999999999</c:v>
                </c:pt>
                <c:pt idx="610">
                  <c:v>0.41506283999999999</c:v>
                </c:pt>
                <c:pt idx="611">
                  <c:v>0.41215266</c:v>
                </c:pt>
                <c:pt idx="612">
                  <c:v>0.42632069</c:v>
                </c:pt>
                <c:pt idx="613">
                  <c:v>0.42713065</c:v>
                </c:pt>
                <c:pt idx="614">
                  <c:v>0.43264901</c:v>
                </c:pt>
                <c:pt idx="615">
                  <c:v>0.42837238</c:v>
                </c:pt>
                <c:pt idx="616">
                  <c:v>0.43340129999999999</c:v>
                </c:pt>
                <c:pt idx="617">
                  <c:v>0.43375761000000002</c:v>
                </c:pt>
                <c:pt idx="618">
                  <c:v>0.43127566000000001</c:v>
                </c:pt>
                <c:pt idx="619">
                  <c:v>0.42334037000000002</c:v>
                </c:pt>
                <c:pt idx="620">
                  <c:v>0.42186098999999999</c:v>
                </c:pt>
                <c:pt idx="621">
                  <c:v>0.42646224999999999</c:v>
                </c:pt>
                <c:pt idx="622">
                  <c:v>0.42603953</c:v>
                </c:pt>
                <c:pt idx="623">
                  <c:v>0.42348314999999997</c:v>
                </c:pt>
                <c:pt idx="624">
                  <c:v>0.42516652999999999</c:v>
                </c:pt>
                <c:pt idx="625">
                  <c:v>0.33232054999999999</c:v>
                </c:pt>
                <c:pt idx="626">
                  <c:v>0.41078564000000001</c:v>
                </c:pt>
                <c:pt idx="627">
                  <c:v>0.40903135000000002</c:v>
                </c:pt>
                <c:pt idx="628">
                  <c:v>0.40437019000000002</c:v>
                </c:pt>
                <c:pt idx="629">
                  <c:v>0.41115397999999997</c:v>
                </c:pt>
                <c:pt idx="630">
                  <c:v>0.41331764999999998</c:v>
                </c:pt>
                <c:pt idx="631">
                  <c:v>0.41576205999999999</c:v>
                </c:pt>
                <c:pt idx="632">
                  <c:v>0.41321912</c:v>
                </c:pt>
                <c:pt idx="633">
                  <c:v>0.39312795</c:v>
                </c:pt>
                <c:pt idx="634">
                  <c:v>0.37743947</c:v>
                </c:pt>
                <c:pt idx="635">
                  <c:v>0.31455759999999999</c:v>
                </c:pt>
                <c:pt idx="636">
                  <c:v>0.28031014999999998</c:v>
                </c:pt>
                <c:pt idx="637">
                  <c:v>0.27263881000000001</c:v>
                </c:pt>
                <c:pt idx="638">
                  <c:v>0.28096123000000001</c:v>
                </c:pt>
                <c:pt idx="639">
                  <c:v>0.27644807999999998</c:v>
                </c:pt>
                <c:pt idx="640">
                  <c:v>0.27358157</c:v>
                </c:pt>
                <c:pt idx="641">
                  <c:v>0.29198242000000002</c:v>
                </c:pt>
                <c:pt idx="642">
                  <c:v>0.30800234999999998</c:v>
                </c:pt>
                <c:pt idx="643">
                  <c:v>0.38014408</c:v>
                </c:pt>
                <c:pt idx="644">
                  <c:v>0.35578878000000003</c:v>
                </c:pt>
                <c:pt idx="645">
                  <c:v>0.39563315999999998</c:v>
                </c:pt>
                <c:pt idx="646">
                  <c:v>0.39522167000000002</c:v>
                </c:pt>
                <c:pt idx="647">
                  <c:v>0.29002791</c:v>
                </c:pt>
                <c:pt idx="648">
                  <c:v>0.26443326</c:v>
                </c:pt>
                <c:pt idx="649">
                  <c:v>0.25826391999999998</c:v>
                </c:pt>
                <c:pt idx="650">
                  <c:v>0.26194300999999998</c:v>
                </c:pt>
                <c:pt idx="651">
                  <c:v>0.26769354000000001</c:v>
                </c:pt>
                <c:pt idx="652">
                  <c:v>0.26296286000000002</c:v>
                </c:pt>
                <c:pt idx="653">
                  <c:v>0.28595882</c:v>
                </c:pt>
                <c:pt idx="654">
                  <c:v>0.28637426999999999</c:v>
                </c:pt>
                <c:pt idx="655">
                  <c:v>0.2925217</c:v>
                </c:pt>
                <c:pt idx="656">
                  <c:v>0.33935362000000002</c:v>
                </c:pt>
                <c:pt idx="657">
                  <c:v>0.35600051999999999</c:v>
                </c:pt>
                <c:pt idx="658">
                  <c:v>0.40430395000000002</c:v>
                </c:pt>
                <c:pt idx="659">
                  <c:v>0.40169234999999998</c:v>
                </c:pt>
                <c:pt idx="660">
                  <c:v>0.40062763000000001</c:v>
                </c:pt>
                <c:pt idx="661">
                  <c:v>0.40442292000000002</c:v>
                </c:pt>
                <c:pt idx="662">
                  <c:v>0.40942932999999998</c:v>
                </c:pt>
                <c:pt idx="663">
                  <c:v>0.41205318000000002</c:v>
                </c:pt>
                <c:pt idx="664">
                  <c:v>0.40892709999999999</c:v>
                </c:pt>
                <c:pt idx="665">
                  <c:v>0.41228937999999998</c:v>
                </c:pt>
                <c:pt idx="666">
                  <c:v>0.41213623999999999</c:v>
                </c:pt>
                <c:pt idx="667">
                  <c:v>0.40735265999999998</c:v>
                </c:pt>
                <c:pt idx="668">
                  <c:v>0.41492382</c:v>
                </c:pt>
                <c:pt idx="669">
                  <c:v>0.42005614000000002</c:v>
                </c:pt>
                <c:pt idx="670">
                  <c:v>0.41384989999999999</c:v>
                </c:pt>
                <c:pt idx="671">
                  <c:v>0.41384989999999999</c:v>
                </c:pt>
                <c:pt idx="672">
                  <c:v>0.40977889000000001</c:v>
                </c:pt>
                <c:pt idx="673">
                  <c:v>0.40868282</c:v>
                </c:pt>
                <c:pt idx="674">
                  <c:v>0.40641392999999998</c:v>
                </c:pt>
                <c:pt idx="675">
                  <c:v>0.40564359</c:v>
                </c:pt>
                <c:pt idx="676">
                  <c:v>0.39927588000000003</c:v>
                </c:pt>
                <c:pt idx="677">
                  <c:v>0.40419688999999998</c:v>
                </c:pt>
                <c:pt idx="678">
                  <c:v>0.42440229000000002</c:v>
                </c:pt>
                <c:pt idx="679">
                  <c:v>0.42308899</c:v>
                </c:pt>
                <c:pt idx="680">
                  <c:v>0.41834654999999998</c:v>
                </c:pt>
                <c:pt idx="681">
                  <c:v>0.45559037000000002</c:v>
                </c:pt>
                <c:pt idx="682">
                  <c:v>0.47251102</c:v>
                </c:pt>
                <c:pt idx="683">
                  <c:v>0.45620115</c:v>
                </c:pt>
                <c:pt idx="684">
                  <c:v>0.47004080999999998</c:v>
                </c:pt>
                <c:pt idx="685">
                  <c:v>0.47251102</c:v>
                </c:pt>
                <c:pt idx="686">
                  <c:v>0.46022834000000001</c:v>
                </c:pt>
                <c:pt idx="687">
                  <c:v>0.44816967000000002</c:v>
                </c:pt>
                <c:pt idx="688">
                  <c:v>0.41875307000000001</c:v>
                </c:pt>
                <c:pt idx="689">
                  <c:v>0.42327273999999998</c:v>
                </c:pt>
                <c:pt idx="690">
                  <c:v>0.40444497000000001</c:v>
                </c:pt>
                <c:pt idx="691">
                  <c:v>0.41274392999999998</c:v>
                </c:pt>
                <c:pt idx="692">
                  <c:v>0.41435673000000001</c:v>
                </c:pt>
                <c:pt idx="693">
                  <c:v>0.38823085000000002</c:v>
                </c:pt>
                <c:pt idx="694">
                  <c:v>0.38747167999999999</c:v>
                </c:pt>
                <c:pt idx="695">
                  <c:v>0.38690331</c:v>
                </c:pt>
                <c:pt idx="696">
                  <c:v>0.39450030000000003</c:v>
                </c:pt>
                <c:pt idx="697">
                  <c:v>0.39599199000000002</c:v>
                </c:pt>
                <c:pt idx="698">
                  <c:v>0.40298490999999997</c:v>
                </c:pt>
                <c:pt idx="699">
                  <c:v>0.39630022999999998</c:v>
                </c:pt>
                <c:pt idx="700">
                  <c:v>0.39806186999999998</c:v>
                </c:pt>
                <c:pt idx="701">
                  <c:v>0.39857682999999999</c:v>
                </c:pt>
                <c:pt idx="702">
                  <c:v>0.40216698000000001</c:v>
                </c:pt>
                <c:pt idx="703">
                  <c:v>0.40159792999999999</c:v>
                </c:pt>
                <c:pt idx="704">
                  <c:v>0.40444497000000001</c:v>
                </c:pt>
                <c:pt idx="705">
                  <c:v>0.39288242000000001</c:v>
                </c:pt>
                <c:pt idx="706">
                  <c:v>0.39248038000000002</c:v>
                </c:pt>
                <c:pt idx="707">
                  <c:v>0.37676027000000001</c:v>
                </c:pt>
                <c:pt idx="708">
                  <c:v>0.37704095999999998</c:v>
                </c:pt>
                <c:pt idx="709">
                  <c:v>0.34044994000000001</c:v>
                </c:pt>
                <c:pt idx="710">
                  <c:v>0.32814632999999999</c:v>
                </c:pt>
                <c:pt idx="711">
                  <c:v>0.34216846000000001</c:v>
                </c:pt>
                <c:pt idx="712">
                  <c:v>0.36453579000000003</c:v>
                </c:pt>
                <c:pt idx="713">
                  <c:v>0.37537373000000002</c:v>
                </c:pt>
                <c:pt idx="714">
                  <c:v>0.37034011999999999</c:v>
                </c:pt>
                <c:pt idx="715">
                  <c:v>0.35777890000000001</c:v>
                </c:pt>
                <c:pt idx="716">
                  <c:v>0.36453579000000003</c:v>
                </c:pt>
                <c:pt idx="717">
                  <c:v>0.36327559999999998</c:v>
                </c:pt>
                <c:pt idx="718">
                  <c:v>0.37416398000000001</c:v>
                </c:pt>
                <c:pt idx="719">
                  <c:v>0.32708043999999997</c:v>
                </c:pt>
                <c:pt idx="720">
                  <c:v>0.27857630999999999</c:v>
                </c:pt>
                <c:pt idx="721">
                  <c:v>0.34672830999999998</c:v>
                </c:pt>
                <c:pt idx="722">
                  <c:v>0.32708043999999997</c:v>
                </c:pt>
                <c:pt idx="723">
                  <c:v>0.28242096999999999</c:v>
                </c:pt>
                <c:pt idx="724">
                  <c:v>0.28170294000000001</c:v>
                </c:pt>
                <c:pt idx="725">
                  <c:v>0.28295542000000001</c:v>
                </c:pt>
                <c:pt idx="726">
                  <c:v>0.32171274</c:v>
                </c:pt>
                <c:pt idx="727">
                  <c:v>0.26847971999999998</c:v>
                </c:pt>
                <c:pt idx="728">
                  <c:v>0.26125130000000002</c:v>
                </c:pt>
                <c:pt idx="729">
                  <c:v>0.25966006000000003</c:v>
                </c:pt>
                <c:pt idx="730">
                  <c:v>0.27050189000000002</c:v>
                </c:pt>
                <c:pt idx="731">
                  <c:v>0.30341024</c:v>
                </c:pt>
                <c:pt idx="732">
                  <c:v>0.27876012999999999</c:v>
                </c:pt>
                <c:pt idx="733">
                  <c:v>0.30155963000000002</c:v>
                </c:pt>
                <c:pt idx="734">
                  <c:v>0.36933837000000003</c:v>
                </c:pt>
                <c:pt idx="735">
                  <c:v>0.37578397000000002</c:v>
                </c:pt>
                <c:pt idx="736">
                  <c:v>0.36774881999999998</c:v>
                </c:pt>
                <c:pt idx="737">
                  <c:v>0.36667421</c:v>
                </c:pt>
                <c:pt idx="738">
                  <c:v>0.37351021000000001</c:v>
                </c:pt>
                <c:pt idx="739">
                  <c:v>0.37537902000000001</c:v>
                </c:pt>
                <c:pt idx="740">
                  <c:v>0.375996</c:v>
                </c:pt>
                <c:pt idx="741">
                  <c:v>0.36503538000000002</c:v>
                </c:pt>
                <c:pt idx="742">
                  <c:v>0.37453638</c:v>
                </c:pt>
                <c:pt idx="743">
                  <c:v>0.38154102000000001</c:v>
                </c:pt>
                <c:pt idx="744">
                  <c:v>0.37460282</c:v>
                </c:pt>
                <c:pt idx="745">
                  <c:v>0.37568222000000001</c:v>
                </c:pt>
                <c:pt idx="746">
                  <c:v>0.38811614</c:v>
                </c:pt>
                <c:pt idx="747">
                  <c:v>0.38669977</c:v>
                </c:pt>
                <c:pt idx="748">
                  <c:v>0.39414626000000003</c:v>
                </c:pt>
                <c:pt idx="749">
                  <c:v>0.41262241999999999</c:v>
                </c:pt>
                <c:pt idx="750">
                  <c:v>0.40068102999999999</c:v>
                </c:pt>
                <c:pt idx="751">
                  <c:v>0.39173230999999997</c:v>
                </c:pt>
                <c:pt idx="752">
                  <c:v>0.38532630000000001</c:v>
                </c:pt>
                <c:pt idx="753">
                  <c:v>0.39589350000000001</c:v>
                </c:pt>
                <c:pt idx="754">
                  <c:v>0.39378672999999997</c:v>
                </c:pt>
                <c:pt idx="755">
                  <c:v>0.38426450000000001</c:v>
                </c:pt>
                <c:pt idx="756">
                  <c:v>0.37451881999999997</c:v>
                </c:pt>
                <c:pt idx="757">
                  <c:v>0.38252577999999998</c:v>
                </c:pt>
                <c:pt idx="758">
                  <c:v>0.37644865</c:v>
                </c:pt>
                <c:pt idx="759">
                  <c:v>0.38072624999999999</c:v>
                </c:pt>
                <c:pt idx="760">
                  <c:v>0.37407465000000001</c:v>
                </c:pt>
                <c:pt idx="761">
                  <c:v>0.37039466999999998</c:v>
                </c:pt>
                <c:pt idx="762">
                  <c:v>0.3734152</c:v>
                </c:pt>
                <c:pt idx="763">
                  <c:v>0.37197777999999998</c:v>
                </c:pt>
                <c:pt idx="764">
                  <c:v>0.38281317999999998</c:v>
                </c:pt>
                <c:pt idx="765">
                  <c:v>0.37644865</c:v>
                </c:pt>
                <c:pt idx="766">
                  <c:v>0.38166811</c:v>
                </c:pt>
                <c:pt idx="767">
                  <c:v>0.37864172000000001</c:v>
                </c:pt>
                <c:pt idx="768">
                  <c:v>0.38146136000000003</c:v>
                </c:pt>
                <c:pt idx="769">
                  <c:v>0.36705627000000002</c:v>
                </c:pt>
                <c:pt idx="770">
                  <c:v>0.37511482000000002</c:v>
                </c:pt>
                <c:pt idx="771">
                  <c:v>0.37076211999999997</c:v>
                </c:pt>
                <c:pt idx="772">
                  <c:v>0.36521861</c:v>
                </c:pt>
                <c:pt idx="773">
                  <c:v>0.36689958</c:v>
                </c:pt>
                <c:pt idx="774">
                  <c:v>0.36705627000000002</c:v>
                </c:pt>
                <c:pt idx="775">
                  <c:v>0.37541637</c:v>
                </c:pt>
                <c:pt idx="776">
                  <c:v>0.39003900000000002</c:v>
                </c:pt>
                <c:pt idx="777">
                  <c:v>0.38471656999999998</c:v>
                </c:pt>
                <c:pt idx="778">
                  <c:v>0.37328842000000001</c:v>
                </c:pt>
                <c:pt idx="779">
                  <c:v>0.37829073000000002</c:v>
                </c:pt>
                <c:pt idx="780">
                  <c:v>0.36629566000000002</c:v>
                </c:pt>
                <c:pt idx="781">
                  <c:v>0.36442224000000001</c:v>
                </c:pt>
                <c:pt idx="782">
                  <c:v>0.36875239999999998</c:v>
                </c:pt>
                <c:pt idx="783">
                  <c:v>0.36875239999999998</c:v>
                </c:pt>
                <c:pt idx="784">
                  <c:v>0.36900695</c:v>
                </c:pt>
                <c:pt idx="785">
                  <c:v>0.36965078000000001</c:v>
                </c:pt>
                <c:pt idx="786">
                  <c:v>0.372867</c:v>
                </c:pt>
                <c:pt idx="787">
                  <c:v>0.36821619999999999</c:v>
                </c:pt>
                <c:pt idx="788">
                  <c:v>0.36629566000000002</c:v>
                </c:pt>
                <c:pt idx="789">
                  <c:v>0.35763015999999997</c:v>
                </c:pt>
                <c:pt idx="790">
                  <c:v>0.32510613999999999</c:v>
                </c:pt>
                <c:pt idx="791">
                  <c:v>0.34278551000000002</c:v>
                </c:pt>
                <c:pt idx="792">
                  <c:v>0.35888523</c:v>
                </c:pt>
                <c:pt idx="793">
                  <c:v>0.36410197</c:v>
                </c:pt>
                <c:pt idx="794">
                  <c:v>0.36809291999999999</c:v>
                </c:pt>
                <c:pt idx="795">
                  <c:v>0.37418036999999998</c:v>
                </c:pt>
                <c:pt idx="796">
                  <c:v>0.39074209999999998</c:v>
                </c:pt>
                <c:pt idx="797">
                  <c:v>0.39074209999999998</c:v>
                </c:pt>
                <c:pt idx="798">
                  <c:v>0.38166971999999999</c:v>
                </c:pt>
                <c:pt idx="799">
                  <c:v>0.38310160999999998</c:v>
                </c:pt>
                <c:pt idx="800">
                  <c:v>0.37764312999999999</c:v>
                </c:pt>
                <c:pt idx="801">
                  <c:v>0.36524489999999998</c:v>
                </c:pt>
                <c:pt idx="802">
                  <c:v>0.36314741</c:v>
                </c:pt>
                <c:pt idx="803">
                  <c:v>0.36404024000000001</c:v>
                </c:pt>
                <c:pt idx="804">
                  <c:v>0.38124049999999998</c:v>
                </c:pt>
                <c:pt idx="805">
                  <c:v>0.38310160999999998</c:v>
                </c:pt>
                <c:pt idx="806">
                  <c:v>0.39074209999999998</c:v>
                </c:pt>
                <c:pt idx="807">
                  <c:v>0.38804882000000002</c:v>
                </c:pt>
                <c:pt idx="808">
                  <c:v>0.38065389999999999</c:v>
                </c:pt>
                <c:pt idx="809">
                  <c:v>0.38362900999999999</c:v>
                </c:pt>
                <c:pt idx="810">
                  <c:v>0.39536387000000001</c:v>
                </c:pt>
                <c:pt idx="811">
                  <c:v>0.40005795999999999</c:v>
                </c:pt>
                <c:pt idx="812">
                  <c:v>0.39494004999999999</c:v>
                </c:pt>
                <c:pt idx="813">
                  <c:v>0.40250726999999997</c:v>
                </c:pt>
                <c:pt idx="814">
                  <c:v>0.42496286</c:v>
                </c:pt>
                <c:pt idx="815">
                  <c:v>0.42930450999999997</c:v>
                </c:pt>
                <c:pt idx="816">
                  <c:v>0.41122847000000001</c:v>
                </c:pt>
                <c:pt idx="817">
                  <c:v>0.40149435999999999</c:v>
                </c:pt>
                <c:pt idx="818">
                  <c:v>0.40866859999999999</c:v>
                </c:pt>
                <c:pt idx="819">
                  <c:v>0.44368063000000002</c:v>
                </c:pt>
                <c:pt idx="820">
                  <c:v>0.45737897</c:v>
                </c:pt>
                <c:pt idx="821">
                  <c:v>0.43683117999999999</c:v>
                </c:pt>
                <c:pt idx="822">
                  <c:v>0.42645669000000003</c:v>
                </c:pt>
                <c:pt idx="823">
                  <c:v>0.44898321000000002</c:v>
                </c:pt>
                <c:pt idx="824">
                  <c:v>0.44799454</c:v>
                </c:pt>
                <c:pt idx="825">
                  <c:v>0.43740635</c:v>
                </c:pt>
                <c:pt idx="826">
                  <c:v>0.44289145000000002</c:v>
                </c:pt>
                <c:pt idx="827">
                  <c:v>0.45865688999999998</c:v>
                </c:pt>
                <c:pt idx="828">
                  <c:v>0.52091710000000002</c:v>
                </c:pt>
                <c:pt idx="829">
                  <c:v>0.50196399000000003</c:v>
                </c:pt>
                <c:pt idx="830">
                  <c:v>0.49500455999999998</c:v>
                </c:pt>
                <c:pt idx="831">
                  <c:v>0.43706715000000002</c:v>
                </c:pt>
                <c:pt idx="832">
                  <c:v>0.41014107999999999</c:v>
                </c:pt>
                <c:pt idx="833">
                  <c:v>0.42071955</c:v>
                </c:pt>
                <c:pt idx="834">
                  <c:v>0.43452885000000002</c:v>
                </c:pt>
                <c:pt idx="835">
                  <c:v>0.42843293999999998</c:v>
                </c:pt>
                <c:pt idx="836">
                  <c:v>0.42031565999999998</c:v>
                </c:pt>
                <c:pt idx="837">
                  <c:v>0.41014107999999999</c:v>
                </c:pt>
                <c:pt idx="838">
                  <c:v>0.40406526999999998</c:v>
                </c:pt>
                <c:pt idx="839">
                  <c:v>0.42476902</c:v>
                </c:pt>
                <c:pt idx="840">
                  <c:v>0.41768483000000001</c:v>
                </c:pt>
                <c:pt idx="841">
                  <c:v>0.42322926999999999</c:v>
                </c:pt>
                <c:pt idx="842">
                  <c:v>0.39932106000000001</c:v>
                </c:pt>
                <c:pt idx="843">
                  <c:v>0.42635938000000001</c:v>
                </c:pt>
                <c:pt idx="844">
                  <c:v>0.43522570999999999</c:v>
                </c:pt>
                <c:pt idx="845">
                  <c:v>0.43655733000000002</c:v>
                </c:pt>
                <c:pt idx="846">
                  <c:v>0.43452885000000002</c:v>
                </c:pt>
                <c:pt idx="847">
                  <c:v>0.45198268000000003</c:v>
                </c:pt>
                <c:pt idx="848">
                  <c:v>0.49225047999999999</c:v>
                </c:pt>
                <c:pt idx="849">
                  <c:v>0.51066940999999999</c:v>
                </c:pt>
                <c:pt idx="850">
                  <c:v>0.50844522999999997</c:v>
                </c:pt>
                <c:pt idx="851">
                  <c:v>0.51776922999999997</c:v>
                </c:pt>
                <c:pt idx="852">
                  <c:v>0.47824238000000002</c:v>
                </c:pt>
                <c:pt idx="853">
                  <c:v>0.43030836</c:v>
                </c:pt>
                <c:pt idx="854">
                  <c:v>0.41770215999999999</c:v>
                </c:pt>
                <c:pt idx="855">
                  <c:v>0.42606885999999999</c:v>
                </c:pt>
                <c:pt idx="856">
                  <c:v>0.44795372</c:v>
                </c:pt>
                <c:pt idx="857">
                  <c:v>0.44063657000000001</c:v>
                </c:pt>
                <c:pt idx="858">
                  <c:v>0.45347109000000002</c:v>
                </c:pt>
                <c:pt idx="859">
                  <c:v>0.46728881999999999</c:v>
                </c:pt>
                <c:pt idx="860">
                  <c:v>0.43683656999999998</c:v>
                </c:pt>
                <c:pt idx="861">
                  <c:v>0.43107715000000002</c:v>
                </c:pt>
                <c:pt idx="862">
                  <c:v>0.43663878</c:v>
                </c:pt>
                <c:pt idx="863">
                  <c:v>0.47910324999999998</c:v>
                </c:pt>
                <c:pt idx="864">
                  <c:v>0.47910324999999998</c:v>
                </c:pt>
                <c:pt idx="865">
                  <c:v>0.48273333000000002</c:v>
                </c:pt>
                <c:pt idx="866">
                  <c:v>0.48811768</c:v>
                </c:pt>
                <c:pt idx="867">
                  <c:v>0.44795372</c:v>
                </c:pt>
                <c:pt idx="868">
                  <c:v>0.41588460999999999</c:v>
                </c:pt>
                <c:pt idx="869">
                  <c:v>0.44317708</c:v>
                </c:pt>
                <c:pt idx="870">
                  <c:v>0.43261189</c:v>
                </c:pt>
                <c:pt idx="871">
                  <c:v>0.44959285999999998</c:v>
                </c:pt>
                <c:pt idx="872">
                  <c:v>0.42414057999999999</c:v>
                </c:pt>
                <c:pt idx="873">
                  <c:v>0.41925241000000002</c:v>
                </c:pt>
                <c:pt idx="874">
                  <c:v>0.44509471</c:v>
                </c:pt>
                <c:pt idx="875">
                  <c:v>0.45464160999999997</c:v>
                </c:pt>
                <c:pt idx="876">
                  <c:v>0.45575253999999998</c:v>
                </c:pt>
                <c:pt idx="877">
                  <c:v>0.43155733000000002</c:v>
                </c:pt>
                <c:pt idx="878">
                  <c:v>0.46029262999999998</c:v>
                </c:pt>
                <c:pt idx="879">
                  <c:v>0.46856598999999999</c:v>
                </c:pt>
                <c:pt idx="880">
                  <c:v>0.45912554999999999</c:v>
                </c:pt>
                <c:pt idx="881">
                  <c:v>0.44966915000000002</c:v>
                </c:pt>
                <c:pt idx="882">
                  <c:v>0.47060174999999999</c:v>
                </c:pt>
                <c:pt idx="883">
                  <c:v>0.48660392000000002</c:v>
                </c:pt>
                <c:pt idx="884">
                  <c:v>0.52088334000000003</c:v>
                </c:pt>
                <c:pt idx="885">
                  <c:v>0.48660392000000002</c:v>
                </c:pt>
                <c:pt idx="886">
                  <c:v>0.46856598999999999</c:v>
                </c:pt>
                <c:pt idx="887">
                  <c:v>0.46301792000000003</c:v>
                </c:pt>
                <c:pt idx="888">
                  <c:v>0.48298119</c:v>
                </c:pt>
                <c:pt idx="889">
                  <c:v>0.48718482000000002</c:v>
                </c:pt>
                <c:pt idx="890">
                  <c:v>0.49504305999999998</c:v>
                </c:pt>
                <c:pt idx="891">
                  <c:v>0.50171093</c:v>
                </c:pt>
                <c:pt idx="892">
                  <c:v>0.51857653999999997</c:v>
                </c:pt>
                <c:pt idx="893">
                  <c:v>0.53780130000000004</c:v>
                </c:pt>
                <c:pt idx="894">
                  <c:v>0.53590711999999996</c:v>
                </c:pt>
                <c:pt idx="895">
                  <c:v>0.48863521999999998</c:v>
                </c:pt>
                <c:pt idx="896">
                  <c:v>0.47231786999999997</c:v>
                </c:pt>
                <c:pt idx="897">
                  <c:v>0.44790039999999998</c:v>
                </c:pt>
                <c:pt idx="898">
                  <c:v>0.43695918</c:v>
                </c:pt>
                <c:pt idx="899">
                  <c:v>0.43049915999999999</c:v>
                </c:pt>
                <c:pt idx="900">
                  <c:v>0.4137323</c:v>
                </c:pt>
                <c:pt idx="901">
                  <c:v>0.43049915999999999</c:v>
                </c:pt>
                <c:pt idx="902">
                  <c:v>0.43119647999999999</c:v>
                </c:pt>
                <c:pt idx="903">
                  <c:v>0.39612236000000001</c:v>
                </c:pt>
                <c:pt idx="904">
                  <c:v>0.40726297</c:v>
                </c:pt>
                <c:pt idx="905">
                  <c:v>0.40479328999999997</c:v>
                </c:pt>
                <c:pt idx="906">
                  <c:v>0.39334992000000002</c:v>
                </c:pt>
                <c:pt idx="907">
                  <c:v>0.38833265</c:v>
                </c:pt>
                <c:pt idx="908">
                  <c:v>0.40994187999999998</c:v>
                </c:pt>
                <c:pt idx="909">
                  <c:v>0.41911308000000003</c:v>
                </c:pt>
                <c:pt idx="910">
                  <c:v>0.43566015000000002</c:v>
                </c:pt>
                <c:pt idx="911">
                  <c:v>0.41973912000000002</c:v>
                </c:pt>
                <c:pt idx="912">
                  <c:v>0.45034148000000002</c:v>
                </c:pt>
                <c:pt idx="913">
                  <c:v>0.43658808999999998</c:v>
                </c:pt>
                <c:pt idx="914">
                  <c:v>0.45435885999999998</c:v>
                </c:pt>
                <c:pt idx="915">
                  <c:v>0.44080891</c:v>
                </c:pt>
                <c:pt idx="916">
                  <c:v>0.48681100999999999</c:v>
                </c:pt>
                <c:pt idx="917">
                  <c:v>0.47555366999999998</c:v>
                </c:pt>
                <c:pt idx="918">
                  <c:v>0.47165448999999998</c:v>
                </c:pt>
                <c:pt idx="919">
                  <c:v>0.48395365000000001</c:v>
                </c:pt>
                <c:pt idx="920">
                  <c:v>0.53872109999999995</c:v>
                </c:pt>
                <c:pt idx="921">
                  <c:v>0.53950783999999996</c:v>
                </c:pt>
                <c:pt idx="922">
                  <c:v>0.53786215000000004</c:v>
                </c:pt>
                <c:pt idx="923">
                  <c:v>0.54040732000000002</c:v>
                </c:pt>
                <c:pt idx="924">
                  <c:v>0.58185359999999997</c:v>
                </c:pt>
                <c:pt idx="925">
                  <c:v>0.61046866</c:v>
                </c:pt>
                <c:pt idx="926">
                  <c:v>0.58581174999999996</c:v>
                </c:pt>
                <c:pt idx="927">
                  <c:v>0.5809723</c:v>
                </c:pt>
                <c:pt idx="928">
                  <c:v>0.58745733</c:v>
                </c:pt>
                <c:pt idx="929">
                  <c:v>0.58248991000000006</c:v>
                </c:pt>
                <c:pt idx="930">
                  <c:v>0.58371083000000001</c:v>
                </c:pt>
                <c:pt idx="931">
                  <c:v>0.57350184999999998</c:v>
                </c:pt>
                <c:pt idx="932">
                  <c:v>0.56916891000000003</c:v>
                </c:pt>
                <c:pt idx="933">
                  <c:v>0.57517284000000002</c:v>
                </c:pt>
                <c:pt idx="934">
                  <c:v>0.56621257999999997</c:v>
                </c:pt>
                <c:pt idx="935">
                  <c:v>0.55231045999999995</c:v>
                </c:pt>
                <c:pt idx="936">
                  <c:v>0.56428913000000003</c:v>
                </c:pt>
                <c:pt idx="937">
                  <c:v>0.55191319999999999</c:v>
                </c:pt>
                <c:pt idx="938">
                  <c:v>0.51669485000000004</c:v>
                </c:pt>
                <c:pt idx="939">
                  <c:v>0.52073263000000003</c:v>
                </c:pt>
                <c:pt idx="940">
                  <c:v>0.53403869000000004</c:v>
                </c:pt>
                <c:pt idx="941">
                  <c:v>0.52681778999999995</c:v>
                </c:pt>
                <c:pt idx="942">
                  <c:v>0.56332722000000002</c:v>
                </c:pt>
                <c:pt idx="943">
                  <c:v>0.54089107999999997</c:v>
                </c:pt>
                <c:pt idx="944">
                  <c:v>0.55171208000000005</c:v>
                </c:pt>
                <c:pt idx="945">
                  <c:v>0.55857886000000001</c:v>
                </c:pt>
                <c:pt idx="946">
                  <c:v>0.57386685999999998</c:v>
                </c:pt>
                <c:pt idx="947">
                  <c:v>0.57256868000000005</c:v>
                </c:pt>
                <c:pt idx="948">
                  <c:v>0.57506597999999998</c:v>
                </c:pt>
                <c:pt idx="949">
                  <c:v>0.56281760999999997</c:v>
                </c:pt>
                <c:pt idx="950">
                  <c:v>0.57240922999999999</c:v>
                </c:pt>
                <c:pt idx="951">
                  <c:v>0.57608892</c:v>
                </c:pt>
                <c:pt idx="952">
                  <c:v>0.57921135000000001</c:v>
                </c:pt>
                <c:pt idx="953">
                  <c:v>0.59653157000000001</c:v>
                </c:pt>
                <c:pt idx="954">
                  <c:v>0.58658396999999995</c:v>
                </c:pt>
                <c:pt idx="955">
                  <c:v>0.60133714000000005</c:v>
                </c:pt>
                <c:pt idx="956">
                  <c:v>0.59072795</c:v>
                </c:pt>
                <c:pt idx="957">
                  <c:v>0.57114505000000004</c:v>
                </c:pt>
                <c:pt idx="958">
                  <c:v>0.57867104999999996</c:v>
                </c:pt>
                <c:pt idx="959">
                  <c:v>0.58835028</c:v>
                </c:pt>
                <c:pt idx="960">
                  <c:v>0.57239673000000002</c:v>
                </c:pt>
                <c:pt idx="961">
                  <c:v>0.58594712999999998</c:v>
                </c:pt>
                <c:pt idx="962">
                  <c:v>0.59463946999999995</c:v>
                </c:pt>
                <c:pt idx="963">
                  <c:v>0.59762468000000002</c:v>
                </c:pt>
                <c:pt idx="964">
                  <c:v>0.59234335000000005</c:v>
                </c:pt>
                <c:pt idx="965">
                  <c:v>0.61318455999999999</c:v>
                </c:pt>
                <c:pt idx="966">
                  <c:v>0.60500788999999999</c:v>
                </c:pt>
                <c:pt idx="967">
                  <c:v>0.61851102999999996</c:v>
                </c:pt>
                <c:pt idx="968">
                  <c:v>0.60999000999999997</c:v>
                </c:pt>
                <c:pt idx="969">
                  <c:v>0.60467766000000001</c:v>
                </c:pt>
                <c:pt idx="970">
                  <c:v>0.61106543000000002</c:v>
                </c:pt>
                <c:pt idx="971">
                  <c:v>0.61490803999999999</c:v>
                </c:pt>
                <c:pt idx="972">
                  <c:v>0.58426213999999999</c:v>
                </c:pt>
                <c:pt idx="973">
                  <c:v>0.59024577</c:v>
                </c:pt>
                <c:pt idx="974">
                  <c:v>0.59844739000000002</c:v>
                </c:pt>
                <c:pt idx="975">
                  <c:v>0.60730706999999995</c:v>
                </c:pt>
                <c:pt idx="976">
                  <c:v>0.60957428000000002</c:v>
                </c:pt>
                <c:pt idx="977">
                  <c:v>0.60249396</c:v>
                </c:pt>
                <c:pt idx="978">
                  <c:v>0.61630004999999999</c:v>
                </c:pt>
                <c:pt idx="979">
                  <c:v>0.64440816999999995</c:v>
                </c:pt>
                <c:pt idx="980">
                  <c:v>0.67838461999999999</c:v>
                </c:pt>
                <c:pt idx="981">
                  <c:v>0.65653189999999995</c:v>
                </c:pt>
                <c:pt idx="982">
                  <c:v>0.63669825000000002</c:v>
                </c:pt>
                <c:pt idx="983">
                  <c:v>0.64879244000000003</c:v>
                </c:pt>
                <c:pt idx="984">
                  <c:v>0.66995446999999997</c:v>
                </c:pt>
                <c:pt idx="985">
                  <c:v>0.67716757999999999</c:v>
                </c:pt>
                <c:pt idx="986">
                  <c:v>0.75092638</c:v>
                </c:pt>
                <c:pt idx="987">
                  <c:v>0.77820301999999997</c:v>
                </c:pt>
                <c:pt idx="988">
                  <c:v>0.69078755999999997</c:v>
                </c:pt>
                <c:pt idx="989">
                  <c:v>0.68268572999999999</c:v>
                </c:pt>
                <c:pt idx="990">
                  <c:v>0.63813522</c:v>
                </c:pt>
                <c:pt idx="991">
                  <c:v>0.63573738000000002</c:v>
                </c:pt>
                <c:pt idx="992">
                  <c:v>0.65375899999999998</c:v>
                </c:pt>
                <c:pt idx="993">
                  <c:v>0.64299956000000003</c:v>
                </c:pt>
                <c:pt idx="994">
                  <c:v>0.64752867000000003</c:v>
                </c:pt>
                <c:pt idx="995">
                  <c:v>0.70869574000000002</c:v>
                </c:pt>
                <c:pt idx="996">
                  <c:v>0.70072699999999999</c:v>
                </c:pt>
                <c:pt idx="997">
                  <c:v>0.76666900999999998</c:v>
                </c:pt>
                <c:pt idx="998">
                  <c:v>0.76793736999999995</c:v>
                </c:pt>
                <c:pt idx="999">
                  <c:v>0.67780158999999995</c:v>
                </c:pt>
                <c:pt idx="1000">
                  <c:v>0.65356482999999999</c:v>
                </c:pt>
                <c:pt idx="1001">
                  <c:v>0.65571170999999995</c:v>
                </c:pt>
                <c:pt idx="1002">
                  <c:v>0.61649233999999997</c:v>
                </c:pt>
                <c:pt idx="1003">
                  <c:v>0.61306892999999996</c:v>
                </c:pt>
                <c:pt idx="1004">
                  <c:v>0.58853548</c:v>
                </c:pt>
                <c:pt idx="1005">
                  <c:v>0.62854273999999999</c:v>
                </c:pt>
                <c:pt idx="1006">
                  <c:v>0.63304419999999995</c:v>
                </c:pt>
                <c:pt idx="1007">
                  <c:v>0.62768749999999995</c:v>
                </c:pt>
                <c:pt idx="1008">
                  <c:v>0.57876243000000005</c:v>
                </c:pt>
                <c:pt idx="1009">
                  <c:v>0.61774534000000003</c:v>
                </c:pt>
                <c:pt idx="1010">
                  <c:v>0.60779223000000004</c:v>
                </c:pt>
                <c:pt idx="1011">
                  <c:v>0.60118245999999997</c:v>
                </c:pt>
                <c:pt idx="1012">
                  <c:v>0.61867640999999995</c:v>
                </c:pt>
                <c:pt idx="1013">
                  <c:v>0.63591737999999998</c:v>
                </c:pt>
                <c:pt idx="1014">
                  <c:v>0.63216313999999996</c:v>
                </c:pt>
                <c:pt idx="1015">
                  <c:v>0.62146232000000001</c:v>
                </c:pt>
                <c:pt idx="1016">
                  <c:v>0.62925392000000002</c:v>
                </c:pt>
                <c:pt idx="1017">
                  <c:v>0.60068379999999999</c:v>
                </c:pt>
                <c:pt idx="1018">
                  <c:v>0.58614091000000001</c:v>
                </c:pt>
                <c:pt idx="1019">
                  <c:v>0.60724995999999998</c:v>
                </c:pt>
                <c:pt idx="1020">
                  <c:v>0.61056266000000003</c:v>
                </c:pt>
                <c:pt idx="1021">
                  <c:v>0.5608168</c:v>
                </c:pt>
                <c:pt idx="1022">
                  <c:v>0.5745268</c:v>
                </c:pt>
                <c:pt idx="1023">
                  <c:v>0.59759189999999995</c:v>
                </c:pt>
                <c:pt idx="1024">
                  <c:v>0.59157618999999995</c:v>
                </c:pt>
                <c:pt idx="1025">
                  <c:v>0.59610173</c:v>
                </c:pt>
                <c:pt idx="1026">
                  <c:v>0.59032121000000004</c:v>
                </c:pt>
                <c:pt idx="1027">
                  <c:v>0.59252170000000004</c:v>
                </c:pt>
                <c:pt idx="1028">
                  <c:v>0.60466905000000004</c:v>
                </c:pt>
                <c:pt idx="1029">
                  <c:v>0.64537546000000001</c:v>
                </c:pt>
                <c:pt idx="1030">
                  <c:v>0.63880055000000002</c:v>
                </c:pt>
                <c:pt idx="1031">
                  <c:v>0.65412296000000003</c:v>
                </c:pt>
                <c:pt idx="1032">
                  <c:v>0.66015654000000001</c:v>
                </c:pt>
                <c:pt idx="1033">
                  <c:v>0.69357480999999999</c:v>
                </c:pt>
                <c:pt idx="1034">
                  <c:v>0.64140439000000005</c:v>
                </c:pt>
                <c:pt idx="1035">
                  <c:v>0.60937196000000005</c:v>
                </c:pt>
                <c:pt idx="1036">
                  <c:v>0.62801742999999999</c:v>
                </c:pt>
                <c:pt idx="1037">
                  <c:v>0.62881770999999997</c:v>
                </c:pt>
                <c:pt idx="1038">
                  <c:v>0.64278259999999998</c:v>
                </c:pt>
                <c:pt idx="1039">
                  <c:v>0.66718633000000005</c:v>
                </c:pt>
                <c:pt idx="1040">
                  <c:v>0.63871856000000005</c:v>
                </c:pt>
                <c:pt idx="1041">
                  <c:v>0.67304171000000002</c:v>
                </c:pt>
                <c:pt idx="1042">
                  <c:v>0.64741552000000002</c:v>
                </c:pt>
                <c:pt idx="1043">
                  <c:v>0.64951369999999997</c:v>
                </c:pt>
                <c:pt idx="1044">
                  <c:v>0.64690194999999995</c:v>
                </c:pt>
                <c:pt idx="1045">
                  <c:v>0.63509870000000002</c:v>
                </c:pt>
                <c:pt idx="1046">
                  <c:v>0.62711605000000004</c:v>
                </c:pt>
                <c:pt idx="1047">
                  <c:v>0.63732171999999998</c:v>
                </c:pt>
                <c:pt idx="1048">
                  <c:v>0.66014222</c:v>
                </c:pt>
                <c:pt idx="1049">
                  <c:v>0.64826311000000003</c:v>
                </c:pt>
                <c:pt idx="1050">
                  <c:v>0.65379001000000003</c:v>
                </c:pt>
                <c:pt idx="1051">
                  <c:v>0.65890435000000003</c:v>
                </c:pt>
                <c:pt idx="1052">
                  <c:v>0.64190619000000004</c:v>
                </c:pt>
                <c:pt idx="1053">
                  <c:v>0.63233556000000002</c:v>
                </c:pt>
                <c:pt idx="1054">
                  <c:v>0.61916736999999999</c:v>
                </c:pt>
                <c:pt idx="1055">
                  <c:v>0.62872844000000006</c:v>
                </c:pt>
                <c:pt idx="1056">
                  <c:v>0.63907605999999995</c:v>
                </c:pt>
                <c:pt idx="1057">
                  <c:v>0.63426943000000002</c:v>
                </c:pt>
                <c:pt idx="1058">
                  <c:v>0.6113807</c:v>
                </c:pt>
                <c:pt idx="1059">
                  <c:v>0.60890275999999999</c:v>
                </c:pt>
                <c:pt idx="1060">
                  <c:v>0.60856288999999997</c:v>
                </c:pt>
                <c:pt idx="1061">
                  <c:v>0.57527417999999997</c:v>
                </c:pt>
                <c:pt idx="1062">
                  <c:v>0.56343195999999995</c:v>
                </c:pt>
                <c:pt idx="1063">
                  <c:v>0.54434817000000002</c:v>
                </c:pt>
                <c:pt idx="1064">
                  <c:v>0.54383247000000001</c:v>
                </c:pt>
                <c:pt idx="1065">
                  <c:v>0.57105379999999994</c:v>
                </c:pt>
                <c:pt idx="1066">
                  <c:v>0.59227565999999998</c:v>
                </c:pt>
                <c:pt idx="1067">
                  <c:v>0.54383247000000001</c:v>
                </c:pt>
                <c:pt idx="1068">
                  <c:v>0.53697927999999995</c:v>
                </c:pt>
                <c:pt idx="1069">
                  <c:v>0.53282945000000004</c:v>
                </c:pt>
                <c:pt idx="1070">
                  <c:v>0.55462948999999995</c:v>
                </c:pt>
                <c:pt idx="1071">
                  <c:v>0.58997149000000004</c:v>
                </c:pt>
                <c:pt idx="1072">
                  <c:v>0.56506259999999997</c:v>
                </c:pt>
                <c:pt idx="1073">
                  <c:v>0.54660865999999997</c:v>
                </c:pt>
                <c:pt idx="1074">
                  <c:v>0.54219410999999995</c:v>
                </c:pt>
                <c:pt idx="1075">
                  <c:v>0.56754351999999997</c:v>
                </c:pt>
                <c:pt idx="1076">
                  <c:v>0.55246136000000001</c:v>
                </c:pt>
                <c:pt idx="1077">
                  <c:v>0.57070580999999998</c:v>
                </c:pt>
                <c:pt idx="1078">
                  <c:v>0.55839386999999996</c:v>
                </c:pt>
                <c:pt idx="1079">
                  <c:v>0.56120232000000003</c:v>
                </c:pt>
                <c:pt idx="1080">
                  <c:v>0.57203724</c:v>
                </c:pt>
                <c:pt idx="1081">
                  <c:v>0.52927780000000002</c:v>
                </c:pt>
                <c:pt idx="1082">
                  <c:v>0.50560183999999997</c:v>
                </c:pt>
                <c:pt idx="1083">
                  <c:v>0.46091277000000003</c:v>
                </c:pt>
                <c:pt idx="1084">
                  <c:v>0.49867202999999999</c:v>
                </c:pt>
                <c:pt idx="1085">
                  <c:v>0.43004924</c:v>
                </c:pt>
                <c:pt idx="1086">
                  <c:v>0.45300783</c:v>
                </c:pt>
                <c:pt idx="1087">
                  <c:v>0.42406532000000002</c:v>
                </c:pt>
                <c:pt idx="1088">
                  <c:v>0.40268363000000001</c:v>
                </c:pt>
                <c:pt idx="1089">
                  <c:v>0.47962304</c:v>
                </c:pt>
                <c:pt idx="1090">
                  <c:v>0.46608720999999997</c:v>
                </c:pt>
                <c:pt idx="1091">
                  <c:v>0.47166384</c:v>
                </c:pt>
                <c:pt idx="1092">
                  <c:v>0.49552404999999999</c:v>
                </c:pt>
                <c:pt idx="1093">
                  <c:v>0.49291583999999999</c:v>
                </c:pt>
                <c:pt idx="1094">
                  <c:v>0.48320742999999999</c:v>
                </c:pt>
                <c:pt idx="1095">
                  <c:v>0.51637186999999996</c:v>
                </c:pt>
                <c:pt idx="1096">
                  <c:v>0.45692780999999999</c:v>
                </c:pt>
                <c:pt idx="1097">
                  <c:v>0.42691006999999997</c:v>
                </c:pt>
                <c:pt idx="1098">
                  <c:v>0.43110091</c:v>
                </c:pt>
                <c:pt idx="1099">
                  <c:v>0.41325156000000002</c:v>
                </c:pt>
                <c:pt idx="1100">
                  <c:v>0.35438286000000002</c:v>
                </c:pt>
                <c:pt idx="1101">
                  <c:v>0.43423267999999998</c:v>
                </c:pt>
                <c:pt idx="1102">
                  <c:v>0.4424227</c:v>
                </c:pt>
                <c:pt idx="1103">
                  <c:v>0.39231037000000002</c:v>
                </c:pt>
                <c:pt idx="1104">
                  <c:v>0.41464839999999997</c:v>
                </c:pt>
                <c:pt idx="1105">
                  <c:v>0.48204760000000002</c:v>
                </c:pt>
                <c:pt idx="1106">
                  <c:v>0.50027485000000005</c:v>
                </c:pt>
                <c:pt idx="1107">
                  <c:v>0.49109761000000002</c:v>
                </c:pt>
                <c:pt idx="1108">
                  <c:v>0.43686424000000001</c:v>
                </c:pt>
                <c:pt idx="1109">
                  <c:v>0.36671435000000002</c:v>
                </c:pt>
                <c:pt idx="1110">
                  <c:v>0.36916188</c:v>
                </c:pt>
                <c:pt idx="1111">
                  <c:v>0.39714528999999998</c:v>
                </c:pt>
                <c:pt idx="1112">
                  <c:v>0.43686424000000001</c:v>
                </c:pt>
                <c:pt idx="1113">
                  <c:v>0.43721469000000002</c:v>
                </c:pt>
                <c:pt idx="1114">
                  <c:v>0.44583529999999999</c:v>
                </c:pt>
                <c:pt idx="1115">
                  <c:v>0.43253349000000002</c:v>
                </c:pt>
                <c:pt idx="1116">
                  <c:v>0.45450624000000001</c:v>
                </c:pt>
                <c:pt idx="1117">
                  <c:v>0.46379726999999998</c:v>
                </c:pt>
                <c:pt idx="1118">
                  <c:v>0.48346902000000003</c:v>
                </c:pt>
                <c:pt idx="1119">
                  <c:v>0.47806061999999999</c:v>
                </c:pt>
                <c:pt idx="1120">
                  <c:v>0.49836355999999998</c:v>
                </c:pt>
                <c:pt idx="1121">
                  <c:v>0.50078915000000002</c:v>
                </c:pt>
                <c:pt idx="1122">
                  <c:v>0.48791089999999998</c:v>
                </c:pt>
                <c:pt idx="1123">
                  <c:v>0.48860219999999999</c:v>
                </c:pt>
                <c:pt idx="1124">
                  <c:v>0.51760958999999995</c:v>
                </c:pt>
                <c:pt idx="1125">
                  <c:v>0.52361420000000003</c:v>
                </c:pt>
                <c:pt idx="1126">
                  <c:v>0.49985484000000002</c:v>
                </c:pt>
                <c:pt idx="1127">
                  <c:v>0.49262108999999998</c:v>
                </c:pt>
                <c:pt idx="1128">
                  <c:v>0.50436276000000002</c:v>
                </c:pt>
                <c:pt idx="1129">
                  <c:v>0.52122531999999999</c:v>
                </c:pt>
                <c:pt idx="1130">
                  <c:v>0.50362235</c:v>
                </c:pt>
                <c:pt idx="1131">
                  <c:v>0.54047655999999999</c:v>
                </c:pt>
                <c:pt idx="1132">
                  <c:v>0.51406275000000001</c:v>
                </c:pt>
                <c:pt idx="1133">
                  <c:v>0.49770785000000001</c:v>
                </c:pt>
                <c:pt idx="1134">
                  <c:v>0.48956336</c:v>
                </c:pt>
                <c:pt idx="1135">
                  <c:v>0.50021404999999997</c:v>
                </c:pt>
                <c:pt idx="1136">
                  <c:v>0.49077204000000002</c:v>
                </c:pt>
                <c:pt idx="1137">
                  <c:v>0.52031886000000005</c:v>
                </c:pt>
                <c:pt idx="1138">
                  <c:v>0.53631419999999996</c:v>
                </c:pt>
                <c:pt idx="1139">
                  <c:v>0.54741704999999996</c:v>
                </c:pt>
                <c:pt idx="1140">
                  <c:v>0.56736513</c:v>
                </c:pt>
                <c:pt idx="1141">
                  <c:v>0.51305791999999995</c:v>
                </c:pt>
                <c:pt idx="1142">
                  <c:v>0.51647642000000005</c:v>
                </c:pt>
                <c:pt idx="1143">
                  <c:v>0.51793573000000004</c:v>
                </c:pt>
                <c:pt idx="1144">
                  <c:v>0.51574027</c:v>
                </c:pt>
                <c:pt idx="1145">
                  <c:v>0.50869439000000005</c:v>
                </c:pt>
                <c:pt idx="1146">
                  <c:v>0.51178652000000002</c:v>
                </c:pt>
                <c:pt idx="1147">
                  <c:v>0.50599921999999997</c:v>
                </c:pt>
                <c:pt idx="1148">
                  <c:v>0.51889669999999999</c:v>
                </c:pt>
                <c:pt idx="1149">
                  <c:v>0.53448357999999996</c:v>
                </c:pt>
                <c:pt idx="1150">
                  <c:v>0.51178652000000002</c:v>
                </c:pt>
                <c:pt idx="1151">
                  <c:v>0.50698535</c:v>
                </c:pt>
                <c:pt idx="1152">
                  <c:v>0.49792618999999999</c:v>
                </c:pt>
                <c:pt idx="1153">
                  <c:v>0.50244840000000002</c:v>
                </c:pt>
                <c:pt idx="1154">
                  <c:v>0.50553360999999997</c:v>
                </c:pt>
                <c:pt idx="1155">
                  <c:v>0.47261544999999999</c:v>
                </c:pt>
                <c:pt idx="1156">
                  <c:v>0.49091327000000001</c:v>
                </c:pt>
                <c:pt idx="1157">
                  <c:v>0.52915392000000006</c:v>
                </c:pt>
                <c:pt idx="1158">
                  <c:v>0.55836633000000002</c:v>
                </c:pt>
                <c:pt idx="1159">
                  <c:v>0.51756157999999997</c:v>
                </c:pt>
                <c:pt idx="1160">
                  <c:v>0.54699834000000003</c:v>
                </c:pt>
                <c:pt idx="1161">
                  <c:v>0.51456749000000002</c:v>
                </c:pt>
                <c:pt idx="1162">
                  <c:v>0.51546252000000004</c:v>
                </c:pt>
                <c:pt idx="1163">
                  <c:v>0.50470086000000003</c:v>
                </c:pt>
                <c:pt idx="1164">
                  <c:v>0.52561398999999998</c:v>
                </c:pt>
                <c:pt idx="1165">
                  <c:v>0.54699834000000003</c:v>
                </c:pt>
                <c:pt idx="1166">
                  <c:v>0.55419123999999997</c:v>
                </c:pt>
                <c:pt idx="1167">
                  <c:v>0.56462911000000005</c:v>
                </c:pt>
                <c:pt idx="1168">
                  <c:v>0.59206276000000002</c:v>
                </c:pt>
                <c:pt idx="1169">
                  <c:v>0.56743953999999996</c:v>
                </c:pt>
                <c:pt idx="1170">
                  <c:v>0.57890863999999997</c:v>
                </c:pt>
                <c:pt idx="1171">
                  <c:v>0.57359285000000004</c:v>
                </c:pt>
                <c:pt idx="1172">
                  <c:v>0.54491213000000005</c:v>
                </c:pt>
                <c:pt idx="1173">
                  <c:v>0.54440880999999997</c:v>
                </c:pt>
                <c:pt idx="1174">
                  <c:v>0.56100377000000001</c:v>
                </c:pt>
                <c:pt idx="1175">
                  <c:v>0.58353460999999995</c:v>
                </c:pt>
                <c:pt idx="1176">
                  <c:v>0.57359285000000004</c:v>
                </c:pt>
                <c:pt idx="1177">
                  <c:v>0.57089999999999996</c:v>
                </c:pt>
                <c:pt idx="1178">
                  <c:v>0.56985229999999998</c:v>
                </c:pt>
                <c:pt idx="1179">
                  <c:v>0.54682167000000004</c:v>
                </c:pt>
                <c:pt idx="1180">
                  <c:v>0.55860147999999998</c:v>
                </c:pt>
                <c:pt idx="1181">
                  <c:v>0.57587261000000001</c:v>
                </c:pt>
                <c:pt idx="1182">
                  <c:v>0.54362469000000002</c:v>
                </c:pt>
                <c:pt idx="1183">
                  <c:v>0.55113287</c:v>
                </c:pt>
                <c:pt idx="1184">
                  <c:v>0.57160407999999996</c:v>
                </c:pt>
                <c:pt idx="1185">
                  <c:v>0.55113287</c:v>
                </c:pt>
                <c:pt idx="1186">
                  <c:v>0.50746528000000002</c:v>
                </c:pt>
                <c:pt idx="1187">
                  <c:v>0.52637942999999998</c:v>
                </c:pt>
                <c:pt idx="1188">
                  <c:v>0.50891735999999999</c:v>
                </c:pt>
                <c:pt idx="1189">
                  <c:v>0.49479933999999998</c:v>
                </c:pt>
                <c:pt idx="1190">
                  <c:v>0.48993692</c:v>
                </c:pt>
                <c:pt idx="1191">
                  <c:v>0.48840109999999998</c:v>
                </c:pt>
                <c:pt idx="1192">
                  <c:v>0.45491517999999997</c:v>
                </c:pt>
                <c:pt idx="1193">
                  <c:v>0.43414174</c:v>
                </c:pt>
                <c:pt idx="1194">
                  <c:v>0.45419498000000003</c:v>
                </c:pt>
                <c:pt idx="1195">
                  <c:v>0.44028864000000001</c:v>
                </c:pt>
                <c:pt idx="1196">
                  <c:v>0.46793132999999998</c:v>
                </c:pt>
                <c:pt idx="1197">
                  <c:v>0.47244762000000001</c:v>
                </c:pt>
                <c:pt idx="1198">
                  <c:v>0.47802441000000001</c:v>
                </c:pt>
                <c:pt idx="1199">
                  <c:v>0.48255048</c:v>
                </c:pt>
                <c:pt idx="1200">
                  <c:v>0.48797668999999999</c:v>
                </c:pt>
                <c:pt idx="1201">
                  <c:v>0.48276687000000001</c:v>
                </c:pt>
                <c:pt idx="1202">
                  <c:v>0.48276687000000001</c:v>
                </c:pt>
                <c:pt idx="1203">
                  <c:v>0.48422739999999997</c:v>
                </c:pt>
                <c:pt idx="1204">
                  <c:v>0.47208881000000003</c:v>
                </c:pt>
                <c:pt idx="1205">
                  <c:v>0.47558492000000002</c:v>
                </c:pt>
                <c:pt idx="1206">
                  <c:v>0.48084427000000002</c:v>
                </c:pt>
                <c:pt idx="1207">
                  <c:v>0.49107161999999999</c:v>
                </c:pt>
                <c:pt idx="1208">
                  <c:v>0.48488554</c:v>
                </c:pt>
                <c:pt idx="1209">
                  <c:v>0.40747510999999997</c:v>
                </c:pt>
                <c:pt idx="1210">
                  <c:v>0.4507641</c:v>
                </c:pt>
                <c:pt idx="1211">
                  <c:v>0.47633645000000002</c:v>
                </c:pt>
                <c:pt idx="1212">
                  <c:v>0.46573657000000002</c:v>
                </c:pt>
                <c:pt idx="1213">
                  <c:v>0.48373664</c:v>
                </c:pt>
                <c:pt idx="1214">
                  <c:v>0.47195742000000002</c:v>
                </c:pt>
                <c:pt idx="1215">
                  <c:v>0.49263546000000003</c:v>
                </c:pt>
                <c:pt idx="1216">
                  <c:v>0.47264946000000002</c:v>
                </c:pt>
                <c:pt idx="1217">
                  <c:v>0.45523454000000002</c:v>
                </c:pt>
                <c:pt idx="1218">
                  <c:v>0.44349123000000001</c:v>
                </c:pt>
                <c:pt idx="1219">
                  <c:v>0.4698406</c:v>
                </c:pt>
                <c:pt idx="1220">
                  <c:v>0.47921917000000003</c:v>
                </c:pt>
                <c:pt idx="1221">
                  <c:v>0.47717956</c:v>
                </c:pt>
                <c:pt idx="1222">
                  <c:v>0.45523454000000002</c:v>
                </c:pt>
                <c:pt idx="1223">
                  <c:v>0.44537185000000001</c:v>
                </c:pt>
                <c:pt idx="1224">
                  <c:v>0.45615067999999998</c:v>
                </c:pt>
                <c:pt idx="1225">
                  <c:v>0.47089364</c:v>
                </c:pt>
                <c:pt idx="1226">
                  <c:v>0.43395194999999998</c:v>
                </c:pt>
                <c:pt idx="1227">
                  <c:v>0.42925727000000002</c:v>
                </c:pt>
                <c:pt idx="1228">
                  <c:v>0.46126540999999999</c:v>
                </c:pt>
                <c:pt idx="1229">
                  <c:v>0.46317427999999999</c:v>
                </c:pt>
                <c:pt idx="1230">
                  <c:v>0.46228602000000002</c:v>
                </c:pt>
                <c:pt idx="1231">
                  <c:v>0.47847035999999998</c:v>
                </c:pt>
                <c:pt idx="1232">
                  <c:v>0.48494499000000002</c:v>
                </c:pt>
                <c:pt idx="1233">
                  <c:v>0.49696595999999998</c:v>
                </c:pt>
                <c:pt idx="1234">
                  <c:v>0.49069705000000002</c:v>
                </c:pt>
                <c:pt idx="1235">
                  <c:v>0.52167472000000004</c:v>
                </c:pt>
                <c:pt idx="1236">
                  <c:v>0.50384284000000001</c:v>
                </c:pt>
                <c:pt idx="1237">
                  <c:v>0.49594749999999999</c:v>
                </c:pt>
                <c:pt idx="1238">
                  <c:v>0.52107168000000004</c:v>
                </c:pt>
                <c:pt idx="1239">
                  <c:v>0.51856720000000001</c:v>
                </c:pt>
                <c:pt idx="1240">
                  <c:v>0.51737109000000003</c:v>
                </c:pt>
                <c:pt idx="1241">
                  <c:v>#N/A</c:v>
                </c:pt>
                <c:pt idx="1242">
                  <c:v>#N/A</c:v>
                </c:pt>
              </c:numCache>
            </c:numRef>
          </c:val>
          <c:smooth val="0"/>
        </c:ser>
        <c:dLbls>
          <c:showLegendKey val="0"/>
          <c:showVal val="0"/>
          <c:showCatName val="0"/>
          <c:showSerName val="0"/>
          <c:showPercent val="0"/>
          <c:showBubbleSize val="0"/>
        </c:dLbls>
        <c:marker val="1"/>
        <c:smooth val="0"/>
        <c:axId val="491619456"/>
        <c:axId val="491621376"/>
      </c:lineChart>
      <c:dateAx>
        <c:axId val="491619456"/>
        <c:scaling>
          <c:orientation val="minMax"/>
        </c:scaling>
        <c:delete val="0"/>
        <c:axPos val="b"/>
        <c:numFmt formatCode="[$-409]mmm\-yy;@" sourceLinked="0"/>
        <c:majorTickMark val="out"/>
        <c:minorTickMark val="none"/>
        <c:tickLblPos val="nextTo"/>
        <c:crossAx val="491621376"/>
        <c:crosses val="autoZero"/>
        <c:auto val="1"/>
        <c:lblOffset val="100"/>
        <c:baseTimeUnit val="days"/>
      </c:dateAx>
      <c:valAx>
        <c:axId val="491621376"/>
        <c:scaling>
          <c:orientation val="minMax"/>
        </c:scaling>
        <c:delete val="0"/>
        <c:axPos val="l"/>
        <c:numFmt formatCode="0%" sourceLinked="1"/>
        <c:majorTickMark val="out"/>
        <c:minorTickMark val="none"/>
        <c:tickLblPos val="nextTo"/>
        <c:crossAx val="491619456"/>
        <c:crosses val="autoZero"/>
        <c:crossBetween val="between"/>
      </c:valAx>
    </c:plotArea>
    <c:legend>
      <c:legendPos val="t"/>
      <c:layout/>
      <c:overlay val="0"/>
    </c:legend>
    <c:plotVisOnly val="1"/>
    <c:dispBlanksAs val="gap"/>
    <c:showDLblsOverMax val="0"/>
  </c:chart>
  <c:txPr>
    <a:bodyPr/>
    <a:lstStyle/>
    <a:p>
      <a:pPr>
        <a:defRPr sz="900"/>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533400</xdr:colOff>
      <xdr:row>13</xdr:row>
      <xdr:rowOff>28575</xdr:rowOff>
    </xdr:from>
    <xdr:to>
      <xdr:col>24</xdr:col>
      <xdr:colOff>95250</xdr:colOff>
      <xdr:row>40</xdr:row>
      <xdr:rowOff>47625</xdr:rowOff>
    </xdr:to>
    <xdr:graphicFrame macro="">
      <xdr:nvGraphicFramePr>
        <xdr:cNvPr id="113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723900</xdr:colOff>
      <xdr:row>43</xdr:row>
      <xdr:rowOff>185736</xdr:rowOff>
    </xdr:from>
    <xdr:to>
      <xdr:col>23</xdr:col>
      <xdr:colOff>285751</xdr:colOff>
      <xdr:row>64</xdr:row>
      <xdr:rowOff>19049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mes.edwards/Downloads/MBA%20refi%20index%20vs%20FNMA%20refinancible%20universe%20Jan%2027%20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New Chart"/>
      <sheetName val="all FNCL"/>
      <sheetName val="projection"/>
      <sheetName val="projection 2010"/>
      <sheetName val="Sheet3"/>
      <sheetName val="Sheet2"/>
      <sheetName val="Old"/>
    </sheetNames>
    <sheetDataSet>
      <sheetData sheetId="0" refreshError="1"/>
      <sheetData sheetId="1" refreshError="1"/>
      <sheetData sheetId="2" refreshError="1">
        <row r="2">
          <cell r="A2">
            <v>40546</v>
          </cell>
          <cell r="B2">
            <v>0.616881678422881</v>
          </cell>
        </row>
        <row r="3">
          <cell r="A3">
            <v>40547</v>
          </cell>
          <cell r="B3">
            <v>0.616881678422881</v>
          </cell>
        </row>
        <row r="4">
          <cell r="A4">
            <v>40548</v>
          </cell>
          <cell r="B4">
            <v>0.616881678422881</v>
          </cell>
        </row>
        <row r="5">
          <cell r="A5">
            <v>40549</v>
          </cell>
          <cell r="B5">
            <v>0.62563051420361004</v>
          </cell>
        </row>
        <row r="6">
          <cell r="A6">
            <v>40550</v>
          </cell>
          <cell r="B6">
            <v>0.62563051420361004</v>
          </cell>
        </row>
        <row r="7">
          <cell r="A7">
            <v>40553</v>
          </cell>
          <cell r="B7">
            <v>0.62563051420361004</v>
          </cell>
        </row>
        <row r="8">
          <cell r="A8">
            <v>40554</v>
          </cell>
          <cell r="B8">
            <v>0.62563051420361004</v>
          </cell>
        </row>
        <row r="9">
          <cell r="A9">
            <v>40555</v>
          </cell>
          <cell r="B9">
            <v>0.62563051420361004</v>
          </cell>
        </row>
        <row r="10">
          <cell r="A10">
            <v>40556</v>
          </cell>
          <cell r="B10">
            <v>0.62996366306029306</v>
          </cell>
        </row>
        <row r="11">
          <cell r="A11">
            <v>40557</v>
          </cell>
          <cell r="B11">
            <v>0.62563051420361004</v>
          </cell>
        </row>
        <row r="12">
          <cell r="A12">
            <v>40561</v>
          </cell>
          <cell r="B12">
            <v>0.62996366306029306</v>
          </cell>
        </row>
        <row r="13">
          <cell r="A13">
            <v>40562</v>
          </cell>
          <cell r="B13">
            <v>0.62996366306029306</v>
          </cell>
        </row>
        <row r="14">
          <cell r="A14">
            <v>40563</v>
          </cell>
          <cell r="B14">
            <v>0.62783454832649499</v>
          </cell>
        </row>
        <row r="15">
          <cell r="A15">
            <v>40564</v>
          </cell>
          <cell r="B15">
            <v>0.62996366306029306</v>
          </cell>
        </row>
        <row r="16">
          <cell r="A16">
            <v>40567</v>
          </cell>
          <cell r="B16">
            <v>0.62783454832649499</v>
          </cell>
        </row>
        <row r="17">
          <cell r="A17">
            <v>40568</v>
          </cell>
          <cell r="B17">
            <v>0.62783454832649499</v>
          </cell>
        </row>
        <row r="18">
          <cell r="A18">
            <v>40569</v>
          </cell>
          <cell r="B18">
            <v>0.62783454832649499</v>
          </cell>
        </row>
        <row r="19">
          <cell r="A19">
            <v>40570</v>
          </cell>
          <cell r="B19">
            <v>0.62388343066805296</v>
          </cell>
        </row>
        <row r="20">
          <cell r="A20">
            <v>40571</v>
          </cell>
          <cell r="B20">
            <v>0.62388343066805296</v>
          </cell>
        </row>
        <row r="21">
          <cell r="A21">
            <v>40574</v>
          </cell>
          <cell r="B21">
            <v>0.62388343066805296</v>
          </cell>
        </row>
        <row r="22">
          <cell r="A22">
            <v>40575</v>
          </cell>
          <cell r="B22">
            <v>0.61149872753562795</v>
          </cell>
        </row>
        <row r="23">
          <cell r="A23">
            <v>40576</v>
          </cell>
          <cell r="B23">
            <v>0.61149872753562795</v>
          </cell>
        </row>
        <row r="24">
          <cell r="A24">
            <v>40577</v>
          </cell>
          <cell r="B24">
            <v>0.61074045486204198</v>
          </cell>
        </row>
        <row r="25">
          <cell r="A25">
            <v>40578</v>
          </cell>
          <cell r="B25">
            <v>0.61074045486204198</v>
          </cell>
        </row>
        <row r="26">
          <cell r="A26">
            <v>40581</v>
          </cell>
          <cell r="B26">
            <v>0.61074045486204198</v>
          </cell>
        </row>
        <row r="27">
          <cell r="A27">
            <v>40582</v>
          </cell>
          <cell r="B27">
            <v>0.61074045486204198</v>
          </cell>
        </row>
        <row r="28">
          <cell r="A28">
            <v>40583</v>
          </cell>
          <cell r="B28">
            <v>0.61074045486204198</v>
          </cell>
        </row>
        <row r="29">
          <cell r="A29">
            <v>40584</v>
          </cell>
          <cell r="B29">
            <v>0.50836540051897094</v>
          </cell>
        </row>
        <row r="30">
          <cell r="A30">
            <v>40585</v>
          </cell>
          <cell r="B30">
            <v>0.50836540051897094</v>
          </cell>
        </row>
        <row r="31">
          <cell r="A31">
            <v>40588</v>
          </cell>
          <cell r="B31">
            <v>0.50836540051897094</v>
          </cell>
        </row>
        <row r="32">
          <cell r="A32">
            <v>40589</v>
          </cell>
          <cell r="B32">
            <v>0.50836540051897094</v>
          </cell>
        </row>
        <row r="33">
          <cell r="A33">
            <v>40590</v>
          </cell>
          <cell r="B33">
            <v>0.50836540051897094</v>
          </cell>
        </row>
        <row r="34">
          <cell r="A34">
            <v>40591</v>
          </cell>
          <cell r="B34">
            <v>0.52920493587017403</v>
          </cell>
        </row>
        <row r="35">
          <cell r="A35">
            <v>40592</v>
          </cell>
          <cell r="B35">
            <v>0.52920493587017403</v>
          </cell>
        </row>
        <row r="36">
          <cell r="A36">
            <v>40596</v>
          </cell>
          <cell r="B36">
            <v>0.52920493587017403</v>
          </cell>
        </row>
        <row r="37">
          <cell r="A37">
            <v>40597</v>
          </cell>
          <cell r="B37">
            <v>0.52920493587017403</v>
          </cell>
        </row>
        <row r="38">
          <cell r="A38">
            <v>40598</v>
          </cell>
          <cell r="B38">
            <v>0.55803024707205595</v>
          </cell>
        </row>
        <row r="39">
          <cell r="A39">
            <v>40599</v>
          </cell>
          <cell r="B39">
            <v>0.55803024707205595</v>
          </cell>
        </row>
        <row r="40">
          <cell r="A40">
            <v>40602</v>
          </cell>
          <cell r="B40">
            <v>0.55803024707205595</v>
          </cell>
        </row>
        <row r="41">
          <cell r="A41">
            <v>40603</v>
          </cell>
          <cell r="B41">
            <v>0.54582431757096395</v>
          </cell>
        </row>
        <row r="42">
          <cell r="A42">
            <v>40604</v>
          </cell>
          <cell r="B42">
            <v>0.54582431757096395</v>
          </cell>
        </row>
        <row r="43">
          <cell r="A43">
            <v>40605</v>
          </cell>
          <cell r="B43">
            <v>0.59209711782781405</v>
          </cell>
        </row>
        <row r="44">
          <cell r="A44">
            <v>40606</v>
          </cell>
          <cell r="B44">
            <v>0.59209711782781405</v>
          </cell>
        </row>
        <row r="45">
          <cell r="A45">
            <v>40609</v>
          </cell>
          <cell r="B45">
            <v>0.59209711782781405</v>
          </cell>
        </row>
        <row r="46">
          <cell r="A46">
            <v>40610</v>
          </cell>
          <cell r="B46">
            <v>0.59209711782781405</v>
          </cell>
        </row>
        <row r="47">
          <cell r="A47">
            <v>40611</v>
          </cell>
          <cell r="B47">
            <v>0.59209711782781405</v>
          </cell>
        </row>
        <row r="48">
          <cell r="A48">
            <v>40612</v>
          </cell>
          <cell r="B48">
            <v>0.59080334812888002</v>
          </cell>
        </row>
        <row r="49">
          <cell r="A49">
            <v>40613</v>
          </cell>
          <cell r="B49">
            <v>0.59080334812888002</v>
          </cell>
        </row>
        <row r="50">
          <cell r="A50">
            <v>40616</v>
          </cell>
          <cell r="B50">
            <v>0.59080334812888002</v>
          </cell>
        </row>
        <row r="51">
          <cell r="A51">
            <v>40617</v>
          </cell>
          <cell r="B51">
            <v>0.59080334812888002</v>
          </cell>
        </row>
        <row r="52">
          <cell r="A52">
            <v>40618</v>
          </cell>
          <cell r="B52">
            <v>0.59080334812888002</v>
          </cell>
        </row>
        <row r="53">
          <cell r="A53">
            <v>40619</v>
          </cell>
          <cell r="B53">
            <v>0.60256210105936003</v>
          </cell>
        </row>
        <row r="54">
          <cell r="A54">
            <v>40620</v>
          </cell>
          <cell r="B54">
            <v>0.60256210105936003</v>
          </cell>
        </row>
        <row r="55">
          <cell r="A55">
            <v>40623</v>
          </cell>
          <cell r="B55">
            <v>0.60256210105936003</v>
          </cell>
        </row>
        <row r="56">
          <cell r="A56">
            <v>40624</v>
          </cell>
          <cell r="B56">
            <v>0.60256210105936003</v>
          </cell>
        </row>
        <row r="57">
          <cell r="A57">
            <v>40625</v>
          </cell>
          <cell r="B57">
            <v>0.60256210105936003</v>
          </cell>
        </row>
        <row r="58">
          <cell r="A58">
            <v>40626</v>
          </cell>
          <cell r="B58">
            <v>0.59950595681897501</v>
          </cell>
        </row>
        <row r="59">
          <cell r="A59">
            <v>40627</v>
          </cell>
          <cell r="B59">
            <v>0.59950595681897501</v>
          </cell>
        </row>
        <row r="60">
          <cell r="A60">
            <v>40630</v>
          </cell>
          <cell r="B60">
            <v>0.59950595681897501</v>
          </cell>
        </row>
        <row r="61">
          <cell r="A61">
            <v>40631</v>
          </cell>
          <cell r="B61">
            <v>0.59950595681897501</v>
          </cell>
        </row>
        <row r="62">
          <cell r="A62">
            <v>40632</v>
          </cell>
          <cell r="B62">
            <v>0.59950595681897501</v>
          </cell>
        </row>
        <row r="63">
          <cell r="A63">
            <v>40633</v>
          </cell>
          <cell r="B63">
            <v>0.59315556395691504</v>
          </cell>
        </row>
        <row r="64">
          <cell r="A64">
            <v>40634</v>
          </cell>
          <cell r="B64">
            <v>0.58635020807411298</v>
          </cell>
        </row>
        <row r="65">
          <cell r="A65">
            <v>40637</v>
          </cell>
          <cell r="B65">
            <v>0.58635020807411298</v>
          </cell>
        </row>
        <row r="66">
          <cell r="A66">
            <v>40638</v>
          </cell>
          <cell r="B66">
            <v>0.58635020807411298</v>
          </cell>
        </row>
        <row r="67">
          <cell r="A67">
            <v>40639</v>
          </cell>
          <cell r="B67">
            <v>0.58635020807411298</v>
          </cell>
        </row>
        <row r="68">
          <cell r="A68">
            <v>40640</v>
          </cell>
          <cell r="B68">
            <v>0.58532491615437798</v>
          </cell>
        </row>
        <row r="69">
          <cell r="A69">
            <v>40641</v>
          </cell>
          <cell r="B69">
            <v>0.58635020807411298</v>
          </cell>
        </row>
        <row r="70">
          <cell r="A70">
            <v>40644</v>
          </cell>
          <cell r="B70">
            <v>0.58532491615437798</v>
          </cell>
        </row>
        <row r="71">
          <cell r="A71">
            <v>40645</v>
          </cell>
          <cell r="B71">
            <v>0.58532491615437798</v>
          </cell>
        </row>
        <row r="72">
          <cell r="A72">
            <v>40646</v>
          </cell>
          <cell r="B72">
            <v>0.58532491615437798</v>
          </cell>
        </row>
        <row r="73">
          <cell r="A73">
            <v>40647</v>
          </cell>
          <cell r="B73">
            <v>0.56791099107998699</v>
          </cell>
        </row>
        <row r="74">
          <cell r="A74">
            <v>40648</v>
          </cell>
          <cell r="B74">
            <v>0.56791099107998699</v>
          </cell>
        </row>
        <row r="75">
          <cell r="A75">
            <v>40651</v>
          </cell>
          <cell r="B75">
            <v>0.56791099107998699</v>
          </cell>
        </row>
        <row r="76">
          <cell r="A76">
            <v>40652</v>
          </cell>
          <cell r="B76">
            <v>0.56791099107998699</v>
          </cell>
        </row>
        <row r="77">
          <cell r="A77">
            <v>40653</v>
          </cell>
          <cell r="B77">
            <v>0.56791099107998699</v>
          </cell>
        </row>
        <row r="78">
          <cell r="A78">
            <v>40654</v>
          </cell>
          <cell r="B78">
            <v>0.59349339985189797</v>
          </cell>
        </row>
        <row r="79">
          <cell r="A79">
            <v>40658</v>
          </cell>
          <cell r="B79">
            <v>0.59349339985189797</v>
          </cell>
        </row>
        <row r="80">
          <cell r="A80">
            <v>40659</v>
          </cell>
          <cell r="B80">
            <v>0.59349339985189797</v>
          </cell>
        </row>
        <row r="81">
          <cell r="A81">
            <v>40660</v>
          </cell>
          <cell r="B81">
            <v>0.59349339985189797</v>
          </cell>
        </row>
        <row r="82">
          <cell r="A82">
            <v>40661</v>
          </cell>
          <cell r="B82">
            <v>0.594306088776824</v>
          </cell>
        </row>
        <row r="83">
          <cell r="A83">
            <v>40662</v>
          </cell>
          <cell r="B83">
            <v>0.59349339985189797</v>
          </cell>
        </row>
        <row r="84">
          <cell r="A84">
            <v>40665</v>
          </cell>
          <cell r="B84">
            <v>0.58827706720942596</v>
          </cell>
        </row>
        <row r="85">
          <cell r="A85">
            <v>40666</v>
          </cell>
          <cell r="B85">
            <v>0.58827706720942596</v>
          </cell>
        </row>
        <row r="86">
          <cell r="A86">
            <v>40667</v>
          </cell>
          <cell r="B86">
            <v>0.58827706720942596</v>
          </cell>
        </row>
        <row r="87">
          <cell r="A87">
            <v>40668</v>
          </cell>
          <cell r="B87">
            <v>0.59388944935877797</v>
          </cell>
        </row>
        <row r="88">
          <cell r="A88">
            <v>40669</v>
          </cell>
          <cell r="B88">
            <v>0.58827706720942596</v>
          </cell>
        </row>
        <row r="89">
          <cell r="A89">
            <v>40672</v>
          </cell>
          <cell r="B89">
            <v>0.59388944935877797</v>
          </cell>
        </row>
        <row r="90">
          <cell r="A90">
            <v>40673</v>
          </cell>
          <cell r="B90">
            <v>0.59388944935877797</v>
          </cell>
        </row>
        <row r="91">
          <cell r="A91">
            <v>40674</v>
          </cell>
          <cell r="B91">
            <v>0.59388944935877797</v>
          </cell>
        </row>
        <row r="92">
          <cell r="A92">
            <v>40675</v>
          </cell>
          <cell r="B92">
            <v>0.60656839337259305</v>
          </cell>
        </row>
        <row r="93">
          <cell r="A93">
            <v>40676</v>
          </cell>
          <cell r="B93">
            <v>0.60656839337259305</v>
          </cell>
        </row>
        <row r="94">
          <cell r="A94">
            <v>40679</v>
          </cell>
          <cell r="B94">
            <v>0.60656839337259305</v>
          </cell>
        </row>
        <row r="95">
          <cell r="A95">
            <v>40680</v>
          </cell>
          <cell r="B95">
            <v>0.60656839337259305</v>
          </cell>
        </row>
        <row r="96">
          <cell r="A96">
            <v>40681</v>
          </cell>
          <cell r="B96">
            <v>0.60656839337259305</v>
          </cell>
        </row>
        <row r="97">
          <cell r="A97">
            <v>40682</v>
          </cell>
          <cell r="B97">
            <v>0.61190235023345096</v>
          </cell>
        </row>
        <row r="98">
          <cell r="A98">
            <v>40683</v>
          </cell>
          <cell r="B98">
            <v>0.61190235023345096</v>
          </cell>
        </row>
        <row r="99">
          <cell r="A99">
            <v>40686</v>
          </cell>
          <cell r="B99">
            <v>0.61190235023345096</v>
          </cell>
        </row>
        <row r="100">
          <cell r="A100">
            <v>40687</v>
          </cell>
          <cell r="B100">
            <v>0.61190235023345096</v>
          </cell>
        </row>
        <row r="101">
          <cell r="A101">
            <v>40688</v>
          </cell>
          <cell r="B101">
            <v>0.61190235023345096</v>
          </cell>
        </row>
        <row r="102">
          <cell r="A102">
            <v>40689</v>
          </cell>
          <cell r="B102">
            <v>0.615993636080996</v>
          </cell>
        </row>
        <row r="103">
          <cell r="A103">
            <v>40690</v>
          </cell>
          <cell r="B103">
            <v>0.615993636080996</v>
          </cell>
        </row>
        <row r="104">
          <cell r="A104">
            <v>40694</v>
          </cell>
          <cell r="B104">
            <v>0.615993636080996</v>
          </cell>
        </row>
        <row r="105">
          <cell r="A105">
            <v>40695</v>
          </cell>
          <cell r="B105">
            <v>0.61033542977678401</v>
          </cell>
        </row>
        <row r="106">
          <cell r="A106">
            <v>40696</v>
          </cell>
          <cell r="B106">
            <v>0.63716048140315296</v>
          </cell>
        </row>
        <row r="107">
          <cell r="A107">
            <v>40697</v>
          </cell>
          <cell r="B107">
            <v>0.63716048140315296</v>
          </cell>
        </row>
        <row r="108">
          <cell r="A108">
            <v>40700</v>
          </cell>
          <cell r="B108">
            <v>0.63716048140315296</v>
          </cell>
        </row>
        <row r="109">
          <cell r="A109">
            <v>40701</v>
          </cell>
          <cell r="B109">
            <v>0.63716048140315296</v>
          </cell>
        </row>
        <row r="110">
          <cell r="A110">
            <v>40702</v>
          </cell>
          <cell r="B110">
            <v>0.63716048140315296</v>
          </cell>
        </row>
        <row r="111">
          <cell r="A111">
            <v>40703</v>
          </cell>
          <cell r="B111">
            <v>0.74321907249207297</v>
          </cell>
        </row>
        <row r="112">
          <cell r="A112">
            <v>40704</v>
          </cell>
          <cell r="B112">
            <v>0.74321907249207297</v>
          </cell>
        </row>
        <row r="113">
          <cell r="A113">
            <v>40707</v>
          </cell>
          <cell r="B113">
            <v>0.74321907249207297</v>
          </cell>
        </row>
        <row r="114">
          <cell r="A114">
            <v>40708</v>
          </cell>
          <cell r="B114">
            <v>0.74321907249207297</v>
          </cell>
        </row>
        <row r="115">
          <cell r="A115">
            <v>40709</v>
          </cell>
          <cell r="B115">
            <v>0.74321907249207297</v>
          </cell>
        </row>
        <row r="116">
          <cell r="A116">
            <v>40710</v>
          </cell>
          <cell r="B116">
            <v>0.72196170225835998</v>
          </cell>
        </row>
        <row r="117">
          <cell r="A117">
            <v>40711</v>
          </cell>
          <cell r="B117">
            <v>0.72196170225835998</v>
          </cell>
        </row>
        <row r="118">
          <cell r="A118">
            <v>40714</v>
          </cell>
          <cell r="B118">
            <v>0.72196170225835998</v>
          </cell>
        </row>
        <row r="119">
          <cell r="A119">
            <v>40715</v>
          </cell>
          <cell r="B119">
            <v>0.72196170225835998</v>
          </cell>
        </row>
        <row r="120">
          <cell r="A120">
            <v>40716</v>
          </cell>
          <cell r="B120">
            <v>0.72196170225835998</v>
          </cell>
        </row>
        <row r="121">
          <cell r="A121">
            <v>40717</v>
          </cell>
          <cell r="B121">
            <v>0.72196170225835998</v>
          </cell>
        </row>
        <row r="122">
          <cell r="A122">
            <v>40718</v>
          </cell>
          <cell r="B122">
            <v>0.72196170225835998</v>
          </cell>
        </row>
        <row r="123">
          <cell r="A123">
            <v>40721</v>
          </cell>
          <cell r="B123">
            <v>0.72196170225835998</v>
          </cell>
        </row>
        <row r="124">
          <cell r="A124">
            <v>40722</v>
          </cell>
          <cell r="B124">
            <v>0.72196170225835998</v>
          </cell>
        </row>
        <row r="125">
          <cell r="A125">
            <v>40723</v>
          </cell>
          <cell r="B125">
            <v>0.72196170225835998</v>
          </cell>
        </row>
        <row r="126">
          <cell r="A126">
            <v>40724</v>
          </cell>
          <cell r="B126">
            <v>0.68885444787085304</v>
          </cell>
        </row>
        <row r="127">
          <cell r="A127">
            <v>40725</v>
          </cell>
          <cell r="B127">
            <v>0.68335549039476995</v>
          </cell>
        </row>
        <row r="128">
          <cell r="A128">
            <v>40729</v>
          </cell>
          <cell r="B128">
            <v>0.68335549039476995</v>
          </cell>
        </row>
        <row r="129">
          <cell r="A129">
            <v>40730</v>
          </cell>
          <cell r="B129">
            <v>0.68335549039476995</v>
          </cell>
        </row>
        <row r="130">
          <cell r="A130">
            <v>40731</v>
          </cell>
          <cell r="B130">
            <v>0.60410549631050603</v>
          </cell>
        </row>
        <row r="131">
          <cell r="A131">
            <v>40732</v>
          </cell>
          <cell r="B131">
            <v>0.60410549631050603</v>
          </cell>
        </row>
        <row r="132">
          <cell r="A132">
            <v>40735</v>
          </cell>
          <cell r="B132">
            <v>0.60410549631050603</v>
          </cell>
        </row>
        <row r="133">
          <cell r="A133">
            <v>40736</v>
          </cell>
          <cell r="B133">
            <v>0.60410549631050603</v>
          </cell>
        </row>
        <row r="134">
          <cell r="A134">
            <v>40737</v>
          </cell>
          <cell r="B134">
            <v>0.60410549631050603</v>
          </cell>
        </row>
        <row r="135">
          <cell r="A135">
            <v>40738</v>
          </cell>
          <cell r="B135">
            <v>0.68335549039476995</v>
          </cell>
        </row>
        <row r="136">
          <cell r="A136">
            <v>40739</v>
          </cell>
          <cell r="B136">
            <v>0.68335549039476995</v>
          </cell>
        </row>
        <row r="137">
          <cell r="A137">
            <v>40742</v>
          </cell>
          <cell r="B137">
            <v>0.68335549039476995</v>
          </cell>
        </row>
        <row r="138">
          <cell r="A138">
            <v>40743</v>
          </cell>
          <cell r="B138">
            <v>0.68335549039476995</v>
          </cell>
        </row>
        <row r="139">
          <cell r="A139">
            <v>40744</v>
          </cell>
          <cell r="B139">
            <v>0.68335549039476995</v>
          </cell>
        </row>
        <row r="140">
          <cell r="A140">
            <v>40745</v>
          </cell>
          <cell r="B140">
            <v>0.66675683999516899</v>
          </cell>
        </row>
        <row r="141">
          <cell r="A141">
            <v>40746</v>
          </cell>
          <cell r="B141">
            <v>0.66675683999516899</v>
          </cell>
        </row>
        <row r="142">
          <cell r="A142">
            <v>40749</v>
          </cell>
          <cell r="B142">
            <v>0.66675683999516899</v>
          </cell>
        </row>
        <row r="143">
          <cell r="A143">
            <v>40750</v>
          </cell>
          <cell r="B143">
            <v>0.66675683999516899</v>
          </cell>
        </row>
        <row r="144">
          <cell r="A144">
            <v>40751</v>
          </cell>
          <cell r="B144">
            <v>0.66675683999516899</v>
          </cell>
        </row>
        <row r="145">
          <cell r="A145">
            <v>40752</v>
          </cell>
          <cell r="B145">
            <v>0.63117786454290503</v>
          </cell>
        </row>
        <row r="146">
          <cell r="A146">
            <v>40753</v>
          </cell>
          <cell r="B146">
            <v>0.63117786454290503</v>
          </cell>
        </row>
        <row r="147">
          <cell r="A147">
            <v>40756</v>
          </cell>
          <cell r="B147">
            <v>0.62428536264518097</v>
          </cell>
        </row>
        <row r="148">
          <cell r="A148">
            <v>40757</v>
          </cell>
          <cell r="B148">
            <v>0.62428536264518097</v>
          </cell>
        </row>
        <row r="149">
          <cell r="A149">
            <v>40758</v>
          </cell>
          <cell r="B149">
            <v>0.62428536264518097</v>
          </cell>
        </row>
        <row r="150">
          <cell r="A150">
            <v>40759</v>
          </cell>
          <cell r="B150">
            <v>0.82328819503805495</v>
          </cell>
        </row>
        <row r="151">
          <cell r="A151">
            <v>40760</v>
          </cell>
          <cell r="B151">
            <v>0.82328819503805495</v>
          </cell>
        </row>
        <row r="152">
          <cell r="A152">
            <v>40763</v>
          </cell>
          <cell r="B152">
            <v>0.82328819503805495</v>
          </cell>
        </row>
        <row r="153">
          <cell r="A153">
            <v>40764</v>
          </cell>
          <cell r="B153">
            <v>0.82328819503805495</v>
          </cell>
        </row>
        <row r="154">
          <cell r="A154">
            <v>40765</v>
          </cell>
          <cell r="B154">
            <v>0.82328819503805495</v>
          </cell>
        </row>
        <row r="155">
          <cell r="A155">
            <v>40766</v>
          </cell>
          <cell r="B155">
            <v>0.834040070391601</v>
          </cell>
        </row>
        <row r="156">
          <cell r="A156">
            <v>40767</v>
          </cell>
          <cell r="B156">
            <v>0.834040070391601</v>
          </cell>
        </row>
        <row r="157">
          <cell r="A157">
            <v>40770</v>
          </cell>
          <cell r="B157">
            <v>0.834040070391601</v>
          </cell>
        </row>
        <row r="158">
          <cell r="A158">
            <v>40771</v>
          </cell>
          <cell r="B158">
            <v>0.834040070391601</v>
          </cell>
        </row>
        <row r="159">
          <cell r="A159">
            <v>40772</v>
          </cell>
          <cell r="B159">
            <v>0.834040070391601</v>
          </cell>
        </row>
        <row r="160">
          <cell r="A160">
            <v>40773</v>
          </cell>
          <cell r="B160">
            <v>0.86081674392019403</v>
          </cell>
        </row>
        <row r="161">
          <cell r="A161">
            <v>40774</v>
          </cell>
          <cell r="B161">
            <v>0.86081674392019403</v>
          </cell>
        </row>
        <row r="162">
          <cell r="A162">
            <v>40777</v>
          </cell>
          <cell r="B162">
            <v>0.86081674392019403</v>
          </cell>
        </row>
        <row r="163">
          <cell r="A163">
            <v>40778</v>
          </cell>
          <cell r="B163">
            <v>0.86081674392019403</v>
          </cell>
        </row>
        <row r="164">
          <cell r="A164">
            <v>40779</v>
          </cell>
          <cell r="B164">
            <v>0.86081674392019403</v>
          </cell>
        </row>
        <row r="165">
          <cell r="A165">
            <v>40780</v>
          </cell>
          <cell r="B165">
            <v>0.84691794883119798</v>
          </cell>
        </row>
        <row r="166">
          <cell r="A166">
            <v>40781</v>
          </cell>
          <cell r="B166">
            <v>0.84691794883119798</v>
          </cell>
        </row>
        <row r="167">
          <cell r="A167">
            <v>40784</v>
          </cell>
          <cell r="B167">
            <v>0.84691794883119798</v>
          </cell>
        </row>
        <row r="168">
          <cell r="A168">
            <v>40785</v>
          </cell>
          <cell r="B168">
            <v>0.84691794883119798</v>
          </cell>
        </row>
        <row r="169">
          <cell r="A169">
            <v>40786</v>
          </cell>
          <cell r="B169">
            <v>0.84691794883119798</v>
          </cell>
        </row>
        <row r="170">
          <cell r="A170">
            <v>40787</v>
          </cell>
          <cell r="B170">
            <v>0.841117996149364</v>
          </cell>
        </row>
        <row r="171">
          <cell r="A171">
            <v>40788</v>
          </cell>
          <cell r="B171">
            <v>0.841117996149364</v>
          </cell>
        </row>
        <row r="172">
          <cell r="A172">
            <v>40792</v>
          </cell>
          <cell r="B172">
            <v>0.841117996149364</v>
          </cell>
        </row>
        <row r="173">
          <cell r="A173">
            <v>40793</v>
          </cell>
          <cell r="B173">
            <v>0.841117996149364</v>
          </cell>
        </row>
        <row r="174">
          <cell r="A174">
            <v>40794</v>
          </cell>
          <cell r="B174">
            <v>0.87810314526122002</v>
          </cell>
        </row>
        <row r="175">
          <cell r="A175">
            <v>40795</v>
          </cell>
          <cell r="B175">
            <v>0.87810314526122002</v>
          </cell>
        </row>
        <row r="176">
          <cell r="A176">
            <v>40798</v>
          </cell>
          <cell r="B176">
            <v>0.87810314526122002</v>
          </cell>
        </row>
        <row r="177">
          <cell r="A177">
            <v>40799</v>
          </cell>
          <cell r="B177">
            <v>0.87810314526122002</v>
          </cell>
        </row>
        <row r="178">
          <cell r="A178">
            <v>40800</v>
          </cell>
          <cell r="B178">
            <v>0.87810314526122002</v>
          </cell>
        </row>
        <row r="179">
          <cell r="A179">
            <v>40801</v>
          </cell>
          <cell r="B179">
            <v>0.90145744662456295</v>
          </cell>
        </row>
        <row r="180">
          <cell r="A180">
            <v>40802</v>
          </cell>
          <cell r="B180">
            <v>0.90145744662456295</v>
          </cell>
        </row>
        <row r="181">
          <cell r="A181">
            <v>40805</v>
          </cell>
          <cell r="B181">
            <v>0.90145744662456295</v>
          </cell>
        </row>
        <row r="182">
          <cell r="A182">
            <v>40806</v>
          </cell>
          <cell r="B182">
            <v>0.90145744662456295</v>
          </cell>
        </row>
        <row r="183">
          <cell r="A183">
            <v>40807</v>
          </cell>
          <cell r="B183">
            <v>0.90145744662456295</v>
          </cell>
        </row>
        <row r="184">
          <cell r="A184">
            <v>40808</v>
          </cell>
          <cell r="B184">
            <v>0.90145744662456295</v>
          </cell>
        </row>
        <row r="185">
          <cell r="A185">
            <v>40809</v>
          </cell>
          <cell r="B185">
            <v>0.90145744662456295</v>
          </cell>
        </row>
        <row r="186">
          <cell r="A186">
            <v>40812</v>
          </cell>
          <cell r="B186">
            <v>0.90145744662456295</v>
          </cell>
        </row>
        <row r="187">
          <cell r="A187">
            <v>40813</v>
          </cell>
          <cell r="B187">
            <v>0.90145744662456295</v>
          </cell>
        </row>
        <row r="188">
          <cell r="A188">
            <v>40814</v>
          </cell>
          <cell r="B188">
            <v>0.90145744662456295</v>
          </cell>
        </row>
        <row r="189">
          <cell r="A189">
            <v>40815</v>
          </cell>
          <cell r="B189">
            <v>0.94573089516350395</v>
          </cell>
        </row>
        <row r="190">
          <cell r="A190">
            <v>40816</v>
          </cell>
          <cell r="B190">
            <v>0.94573089516350395</v>
          </cell>
        </row>
        <row r="191">
          <cell r="A191">
            <v>40819</v>
          </cell>
          <cell r="B191">
            <v>0.93998305132982396</v>
          </cell>
        </row>
        <row r="192">
          <cell r="A192">
            <v>40820</v>
          </cell>
          <cell r="B192">
            <v>0.93998305132982396</v>
          </cell>
        </row>
        <row r="193">
          <cell r="A193">
            <v>40821</v>
          </cell>
          <cell r="B193">
            <v>0.93998305132982396</v>
          </cell>
        </row>
        <row r="194">
          <cell r="A194">
            <v>40822</v>
          </cell>
          <cell r="B194">
            <v>0.976205342266112</v>
          </cell>
        </row>
        <row r="195">
          <cell r="A195">
            <v>40823</v>
          </cell>
          <cell r="B195">
            <v>0.976205342266112</v>
          </cell>
        </row>
        <row r="196">
          <cell r="A196">
            <v>40826</v>
          </cell>
          <cell r="B196">
            <v>0.976205342266112</v>
          </cell>
        </row>
        <row r="197">
          <cell r="A197">
            <v>40827</v>
          </cell>
          <cell r="B197">
            <v>0.976205342266112</v>
          </cell>
        </row>
        <row r="198">
          <cell r="A198">
            <v>40828</v>
          </cell>
          <cell r="B198">
            <v>0.976205342266112</v>
          </cell>
        </row>
        <row r="199">
          <cell r="A199">
            <v>40829</v>
          </cell>
          <cell r="B199">
            <v>0.86848651507328101</v>
          </cell>
        </row>
        <row r="200">
          <cell r="A200">
            <v>40830</v>
          </cell>
          <cell r="B200">
            <v>0.86848651507328101</v>
          </cell>
        </row>
        <row r="201">
          <cell r="A201">
            <v>40833</v>
          </cell>
          <cell r="B201">
            <v>0.86848651507328101</v>
          </cell>
        </row>
        <row r="202">
          <cell r="A202">
            <v>40834</v>
          </cell>
          <cell r="B202">
            <v>0.86848651507328101</v>
          </cell>
        </row>
        <row r="203">
          <cell r="A203">
            <v>40835</v>
          </cell>
          <cell r="B203">
            <v>0.86848651507328101</v>
          </cell>
        </row>
        <row r="204">
          <cell r="A204">
            <v>40836</v>
          </cell>
          <cell r="B204">
            <v>0.87857948382126905</v>
          </cell>
        </row>
        <row r="205">
          <cell r="A205">
            <v>40837</v>
          </cell>
          <cell r="B205">
            <v>0.87857948382126905</v>
          </cell>
        </row>
        <row r="206">
          <cell r="A206">
            <v>40840</v>
          </cell>
          <cell r="B206">
            <v>0.87857948382126905</v>
          </cell>
        </row>
        <row r="207">
          <cell r="A207">
            <v>40841</v>
          </cell>
          <cell r="B207">
            <v>0.87857948382126905</v>
          </cell>
        </row>
        <row r="208">
          <cell r="A208">
            <v>40842</v>
          </cell>
          <cell r="B208">
            <v>0.87857948382126905</v>
          </cell>
        </row>
        <row r="209">
          <cell r="A209">
            <v>40843</v>
          </cell>
          <cell r="B209">
            <v>0.88617155990762297</v>
          </cell>
        </row>
        <row r="210">
          <cell r="A210">
            <v>40844</v>
          </cell>
          <cell r="B210">
            <v>0.88617155990762297</v>
          </cell>
        </row>
        <row r="211">
          <cell r="A211">
            <v>40847</v>
          </cell>
          <cell r="B211">
            <v>0.88617155990762297</v>
          </cell>
        </row>
        <row r="212">
          <cell r="A212">
            <v>40848</v>
          </cell>
          <cell r="B212">
            <v>0.87154314951038103</v>
          </cell>
        </row>
        <row r="213">
          <cell r="A213">
            <v>40849</v>
          </cell>
          <cell r="B213">
            <v>0.87154314951038103</v>
          </cell>
        </row>
        <row r="214">
          <cell r="A214">
            <v>40850</v>
          </cell>
          <cell r="B214">
            <v>0.93444271648805399</v>
          </cell>
        </row>
        <row r="215">
          <cell r="A215">
            <v>40851</v>
          </cell>
          <cell r="B215">
            <v>0.93444271648805399</v>
          </cell>
        </row>
        <row r="216">
          <cell r="A216">
            <v>40854</v>
          </cell>
          <cell r="B216">
            <v>0.93444271648805399</v>
          </cell>
        </row>
        <row r="217">
          <cell r="A217">
            <v>40855</v>
          </cell>
          <cell r="B217">
            <v>0.93444271648805399</v>
          </cell>
        </row>
        <row r="218">
          <cell r="A218">
            <v>40856</v>
          </cell>
          <cell r="B218">
            <v>0.93444271648805399</v>
          </cell>
        </row>
        <row r="219">
          <cell r="A219">
            <v>40857</v>
          </cell>
          <cell r="B219">
            <v>0.94361195161193201</v>
          </cell>
        </row>
        <row r="220">
          <cell r="A220">
            <v>40858</v>
          </cell>
          <cell r="B220">
            <v>0.94361195161193201</v>
          </cell>
        </row>
        <row r="221">
          <cell r="A221">
            <v>40861</v>
          </cell>
          <cell r="B221">
            <v>0.94361195161193201</v>
          </cell>
        </row>
        <row r="222">
          <cell r="A222">
            <v>40862</v>
          </cell>
          <cell r="B222">
            <v>0.94361195161193201</v>
          </cell>
        </row>
        <row r="223">
          <cell r="A223">
            <v>40863</v>
          </cell>
          <cell r="B223">
            <v>0.94361195161193201</v>
          </cell>
        </row>
        <row r="224">
          <cell r="A224">
            <v>40864</v>
          </cell>
          <cell r="B224">
            <v>0.93444271648805399</v>
          </cell>
        </row>
        <row r="225">
          <cell r="A225">
            <v>40865</v>
          </cell>
          <cell r="B225">
            <v>0.93444271648805399</v>
          </cell>
        </row>
        <row r="226">
          <cell r="A226">
            <v>40868</v>
          </cell>
          <cell r="B226">
            <v>0.93444271648805399</v>
          </cell>
        </row>
        <row r="227">
          <cell r="A227">
            <v>40869</v>
          </cell>
          <cell r="B227">
            <v>0.93444271648805399</v>
          </cell>
        </row>
        <row r="228">
          <cell r="A228">
            <v>40870</v>
          </cell>
          <cell r="B228">
            <v>0.94997170807452402</v>
          </cell>
        </row>
        <row r="229">
          <cell r="A229">
            <v>40872</v>
          </cell>
          <cell r="B229">
            <v>0.94997170807452402</v>
          </cell>
        </row>
        <row r="230">
          <cell r="A230">
            <v>40875</v>
          </cell>
          <cell r="B230">
            <v>0.94997170807452402</v>
          </cell>
        </row>
        <row r="231">
          <cell r="A231">
            <v>40876</v>
          </cell>
          <cell r="B231">
            <v>0.94997170807452402</v>
          </cell>
        </row>
        <row r="232">
          <cell r="A232">
            <v>40877</v>
          </cell>
          <cell r="B232">
            <v>0.94997170807452402</v>
          </cell>
        </row>
        <row r="233">
          <cell r="A233">
            <v>40878</v>
          </cell>
          <cell r="B233">
            <v>0.91507025140832299</v>
          </cell>
        </row>
        <row r="234">
          <cell r="A234">
            <v>40879</v>
          </cell>
          <cell r="B234">
            <v>0.91507025140832299</v>
          </cell>
        </row>
        <row r="235">
          <cell r="A235">
            <v>40882</v>
          </cell>
          <cell r="B235">
            <v>0.91507025140832299</v>
          </cell>
        </row>
        <row r="236">
          <cell r="A236">
            <v>40883</v>
          </cell>
          <cell r="B236">
            <v>0.91507025140832299</v>
          </cell>
        </row>
        <row r="237">
          <cell r="A237">
            <v>40884</v>
          </cell>
          <cell r="B237">
            <v>0.91507025140832299</v>
          </cell>
        </row>
        <row r="238">
          <cell r="A238">
            <v>40885</v>
          </cell>
          <cell r="B238">
            <v>0.92424960668246803</v>
          </cell>
        </row>
        <row r="239">
          <cell r="A239">
            <v>40886</v>
          </cell>
          <cell r="B239">
            <v>0.92424960668246803</v>
          </cell>
        </row>
        <row r="240">
          <cell r="A240">
            <v>40889</v>
          </cell>
          <cell r="B240">
            <v>0.92424960668246803</v>
          </cell>
        </row>
        <row r="241">
          <cell r="A241">
            <v>40890</v>
          </cell>
          <cell r="B241">
            <v>0.92424960668246803</v>
          </cell>
        </row>
        <row r="242">
          <cell r="A242">
            <v>40891</v>
          </cell>
          <cell r="B242">
            <v>0.92424960668246803</v>
          </cell>
        </row>
        <row r="243">
          <cell r="A243">
            <v>40892</v>
          </cell>
          <cell r="B243">
            <v>0.95314447637365096</v>
          </cell>
        </row>
        <row r="244">
          <cell r="A244">
            <v>40893</v>
          </cell>
          <cell r="B244">
            <v>0.95314447637365096</v>
          </cell>
        </row>
        <row r="245">
          <cell r="A245">
            <v>40896</v>
          </cell>
          <cell r="B245">
            <v>0.95314447637365096</v>
          </cell>
        </row>
        <row r="246">
          <cell r="A246">
            <v>40897</v>
          </cell>
          <cell r="B246">
            <v>0.95314447637365096</v>
          </cell>
        </row>
        <row r="247">
          <cell r="A247">
            <v>40898</v>
          </cell>
          <cell r="B247">
            <v>0.95314447637365096</v>
          </cell>
        </row>
        <row r="248">
          <cell r="A248">
            <v>40899</v>
          </cell>
          <cell r="B248">
            <v>0.96018409449731501</v>
          </cell>
        </row>
        <row r="249">
          <cell r="A249">
            <v>40900</v>
          </cell>
          <cell r="B249">
            <v>0.96018409449731501</v>
          </cell>
        </row>
        <row r="250">
          <cell r="A250">
            <v>40904</v>
          </cell>
          <cell r="B250">
            <v>0.96018409449731501</v>
          </cell>
        </row>
        <row r="251">
          <cell r="A251">
            <v>40905</v>
          </cell>
          <cell r="B251">
            <v>0.96018409449731501</v>
          </cell>
        </row>
        <row r="252">
          <cell r="A252">
            <v>40906</v>
          </cell>
          <cell r="B252">
            <v>0.946426701963341</v>
          </cell>
        </row>
        <row r="253">
          <cell r="A253">
            <v>40907</v>
          </cell>
          <cell r="B253">
            <v>0.946426701963341</v>
          </cell>
        </row>
        <row r="254">
          <cell r="A254">
            <v>40911</v>
          </cell>
          <cell r="B254">
            <v>0.93504552892939297</v>
          </cell>
        </row>
        <row r="255">
          <cell r="A255">
            <v>40912</v>
          </cell>
          <cell r="B255">
            <v>0.93504552892939297</v>
          </cell>
        </row>
        <row r="256">
          <cell r="A256">
            <v>40913</v>
          </cell>
          <cell r="B256">
            <v>0.951307534663687</v>
          </cell>
        </row>
        <row r="257">
          <cell r="A257">
            <v>40914</v>
          </cell>
          <cell r="B257">
            <v>0.951307534663687</v>
          </cell>
        </row>
        <row r="258">
          <cell r="A258">
            <v>40917</v>
          </cell>
          <cell r="B258">
            <v>0.951307534663687</v>
          </cell>
        </row>
        <row r="259">
          <cell r="A259">
            <v>40918</v>
          </cell>
          <cell r="B259">
            <v>0.951307534663687</v>
          </cell>
        </row>
        <row r="260">
          <cell r="A260">
            <v>40919</v>
          </cell>
          <cell r="B260">
            <v>0.951307534663687</v>
          </cell>
        </row>
        <row r="261">
          <cell r="A261">
            <v>40920</v>
          </cell>
          <cell r="B261">
            <v>0.95320351892281396</v>
          </cell>
        </row>
        <row r="262">
          <cell r="A262">
            <v>40921</v>
          </cell>
          <cell r="B262">
            <v>0.95320351892281396</v>
          </cell>
        </row>
        <row r="263">
          <cell r="A263">
            <v>40925</v>
          </cell>
          <cell r="B263">
            <v>0.95320351892281396</v>
          </cell>
        </row>
        <row r="264">
          <cell r="A264">
            <v>40926</v>
          </cell>
          <cell r="B264">
            <v>0.95320351892281396</v>
          </cell>
        </row>
        <row r="265">
          <cell r="A265">
            <v>40927</v>
          </cell>
          <cell r="B265">
            <v>0.95352518495215399</v>
          </cell>
        </row>
        <row r="266">
          <cell r="A266">
            <v>40928</v>
          </cell>
          <cell r="B266">
            <v>0.95352518495215399</v>
          </cell>
        </row>
        <row r="267">
          <cell r="A267">
            <v>40931</v>
          </cell>
          <cell r="B267">
            <v>0.95352518495215399</v>
          </cell>
        </row>
        <row r="268">
          <cell r="A268">
            <v>40932</v>
          </cell>
          <cell r="B268">
            <v>0.95352518495215399</v>
          </cell>
        </row>
        <row r="269">
          <cell r="A269">
            <v>40933</v>
          </cell>
          <cell r="B269">
            <v>0.95352518495215399</v>
          </cell>
        </row>
        <row r="270">
          <cell r="A270">
            <v>40934</v>
          </cell>
          <cell r="B270">
            <v>0.91861521434498905</v>
          </cell>
        </row>
        <row r="271">
          <cell r="A271">
            <v>40935</v>
          </cell>
          <cell r="B271">
            <v>0.91861521434498905</v>
          </cell>
        </row>
        <row r="272">
          <cell r="A272">
            <v>40938</v>
          </cell>
          <cell r="B272">
            <v>0.91861521434498905</v>
          </cell>
        </row>
        <row r="273">
          <cell r="A273">
            <v>40939</v>
          </cell>
          <cell r="B273">
            <v>0.91861521434498905</v>
          </cell>
        </row>
        <row r="274">
          <cell r="A274">
            <v>40940</v>
          </cell>
          <cell r="B274">
            <v>0.90547247005091003</v>
          </cell>
        </row>
        <row r="275">
          <cell r="A275">
            <v>40941</v>
          </cell>
          <cell r="B275">
            <v>0.942309298561672</v>
          </cell>
        </row>
        <row r="276">
          <cell r="A276">
            <v>40942</v>
          </cell>
          <cell r="B276">
            <v>0.942309298561672</v>
          </cell>
        </row>
        <row r="277">
          <cell r="A277">
            <v>40945</v>
          </cell>
          <cell r="B277">
            <v>0.942309298561672</v>
          </cell>
        </row>
        <row r="278">
          <cell r="A278">
            <v>40946</v>
          </cell>
          <cell r="B278">
            <v>0.942309298561672</v>
          </cell>
        </row>
        <row r="279">
          <cell r="A279">
            <v>40947</v>
          </cell>
          <cell r="B279">
            <v>0.942309298561672</v>
          </cell>
        </row>
        <row r="280">
          <cell r="A280">
            <v>40948</v>
          </cell>
          <cell r="B280">
            <v>0.942309298561672</v>
          </cell>
        </row>
        <row r="281">
          <cell r="A281">
            <v>40949</v>
          </cell>
          <cell r="B281">
            <v>0.942309298561672</v>
          </cell>
        </row>
        <row r="282">
          <cell r="A282">
            <v>40952</v>
          </cell>
          <cell r="B282">
            <v>0.942309298561672</v>
          </cell>
        </row>
        <row r="283">
          <cell r="A283">
            <v>40953</v>
          </cell>
          <cell r="B283">
            <v>0.942309298561672</v>
          </cell>
        </row>
        <row r="284">
          <cell r="A284">
            <v>40954</v>
          </cell>
          <cell r="B284">
            <v>0.942309298561672</v>
          </cell>
        </row>
        <row r="285">
          <cell r="A285">
            <v>40955</v>
          </cell>
          <cell r="B285">
            <v>0.942309298561672</v>
          </cell>
        </row>
        <row r="286">
          <cell r="A286">
            <v>40956</v>
          </cell>
          <cell r="B286">
            <v>0.942309298561672</v>
          </cell>
        </row>
        <row r="287">
          <cell r="A287">
            <v>40960</v>
          </cell>
          <cell r="B287">
            <v>0.942309298561672</v>
          </cell>
        </row>
        <row r="288">
          <cell r="A288">
            <v>40961</v>
          </cell>
          <cell r="B288">
            <v>0.942309298561672</v>
          </cell>
        </row>
        <row r="289">
          <cell r="A289">
            <v>40962</v>
          </cell>
          <cell r="B289">
            <v>0.92275139849227505</v>
          </cell>
        </row>
        <row r="290">
          <cell r="A290">
            <v>40963</v>
          </cell>
          <cell r="B290">
            <v>0.942309298561672</v>
          </cell>
        </row>
        <row r="291">
          <cell r="A291">
            <v>40966</v>
          </cell>
          <cell r="B291">
            <v>0.92275139849227505</v>
          </cell>
        </row>
        <row r="292">
          <cell r="A292">
            <v>40967</v>
          </cell>
          <cell r="B292">
            <v>0.92275139849227505</v>
          </cell>
        </row>
        <row r="293">
          <cell r="A293">
            <v>40968</v>
          </cell>
          <cell r="B293">
            <v>0.92275139849227505</v>
          </cell>
        </row>
        <row r="294">
          <cell r="A294">
            <v>40969</v>
          </cell>
          <cell r="B294">
            <v>0.91952398603163898</v>
          </cell>
        </row>
        <row r="295">
          <cell r="A295">
            <v>40970</v>
          </cell>
          <cell r="B295">
            <v>0.91952398603163898</v>
          </cell>
        </row>
        <row r="296">
          <cell r="A296">
            <v>40973</v>
          </cell>
          <cell r="B296">
            <v>0.91952398603163898</v>
          </cell>
        </row>
        <row r="297">
          <cell r="A297">
            <v>40974</v>
          </cell>
          <cell r="B297">
            <v>0.91952398603163898</v>
          </cell>
        </row>
        <row r="298">
          <cell r="A298">
            <v>40975</v>
          </cell>
          <cell r="B298">
            <v>0.91952398603163898</v>
          </cell>
        </row>
        <row r="299">
          <cell r="A299">
            <v>40976</v>
          </cell>
          <cell r="B299">
            <v>0.920801695575303</v>
          </cell>
        </row>
        <row r="300">
          <cell r="A300">
            <v>40977</v>
          </cell>
          <cell r="B300">
            <v>0.920801695575303</v>
          </cell>
        </row>
        <row r="301">
          <cell r="A301">
            <v>40980</v>
          </cell>
          <cell r="B301">
            <v>0.920801695575303</v>
          </cell>
        </row>
        <row r="302">
          <cell r="A302">
            <v>40981</v>
          </cell>
          <cell r="B302">
            <v>0.920801695575303</v>
          </cell>
        </row>
        <row r="303">
          <cell r="A303">
            <v>40982</v>
          </cell>
          <cell r="B303">
            <v>0.920801695575303</v>
          </cell>
        </row>
        <row r="304">
          <cell r="A304">
            <v>40983</v>
          </cell>
          <cell r="B304">
            <v>0.91685044012466899</v>
          </cell>
        </row>
        <row r="305">
          <cell r="A305">
            <v>40984</v>
          </cell>
          <cell r="B305">
            <v>0.91685044012466899</v>
          </cell>
        </row>
        <row r="306">
          <cell r="A306">
            <v>40987</v>
          </cell>
          <cell r="B306">
            <v>0.91685044012466899</v>
          </cell>
        </row>
        <row r="307">
          <cell r="A307">
            <v>40988</v>
          </cell>
          <cell r="B307">
            <v>0.91685044012466899</v>
          </cell>
        </row>
        <row r="308">
          <cell r="A308">
            <v>40989</v>
          </cell>
          <cell r="B308">
            <v>0.91685044012466899</v>
          </cell>
        </row>
        <row r="309">
          <cell r="A309">
            <v>40990</v>
          </cell>
          <cell r="B309">
            <v>0.80564025680948503</v>
          </cell>
        </row>
        <row r="310">
          <cell r="A310">
            <v>40991</v>
          </cell>
          <cell r="B310">
            <v>0.80564025680948503</v>
          </cell>
        </row>
        <row r="311">
          <cell r="A311">
            <v>40994</v>
          </cell>
          <cell r="B311">
            <v>0.80564025680948503</v>
          </cell>
        </row>
        <row r="312">
          <cell r="A312">
            <v>40995</v>
          </cell>
          <cell r="B312">
            <v>0.80564025680948503</v>
          </cell>
        </row>
        <row r="313">
          <cell r="A313">
            <v>40996</v>
          </cell>
          <cell r="B313">
            <v>0.80564025680948503</v>
          </cell>
        </row>
        <row r="314">
          <cell r="A314">
            <v>40997</v>
          </cell>
          <cell r="B314">
            <v>0.87350901373716205</v>
          </cell>
        </row>
        <row r="315">
          <cell r="A315">
            <v>40998</v>
          </cell>
          <cell r="B315">
            <v>0.87350901373716205</v>
          </cell>
        </row>
        <row r="316">
          <cell r="A316">
            <v>41001</v>
          </cell>
          <cell r="B316">
            <v>0.86085196162229005</v>
          </cell>
        </row>
        <row r="317">
          <cell r="A317">
            <v>41002</v>
          </cell>
          <cell r="B317">
            <v>0.86085196162229005</v>
          </cell>
        </row>
        <row r="318">
          <cell r="A318">
            <v>41003</v>
          </cell>
          <cell r="B318">
            <v>0.86085196162229005</v>
          </cell>
        </row>
        <row r="319">
          <cell r="A319">
            <v>41004</v>
          </cell>
          <cell r="B319">
            <v>0.86928745494692705</v>
          </cell>
        </row>
        <row r="320">
          <cell r="A320">
            <v>41005</v>
          </cell>
          <cell r="B320">
            <v>0.86928745494692705</v>
          </cell>
        </row>
        <row r="321">
          <cell r="A321">
            <v>41008</v>
          </cell>
          <cell r="B321">
            <v>0.86928745494692705</v>
          </cell>
        </row>
        <row r="322">
          <cell r="A322">
            <v>41009</v>
          </cell>
          <cell r="B322">
            <v>0.86928745494692705</v>
          </cell>
        </row>
        <row r="323">
          <cell r="A323">
            <v>41010</v>
          </cell>
          <cell r="B323">
            <v>0.86928745494692705</v>
          </cell>
        </row>
        <row r="324">
          <cell r="A324">
            <v>41011</v>
          </cell>
          <cell r="B324">
            <v>0.90843431405369401</v>
          </cell>
        </row>
        <row r="325">
          <cell r="A325">
            <v>41012</v>
          </cell>
          <cell r="B325">
            <v>0.90843431405369401</v>
          </cell>
        </row>
        <row r="326">
          <cell r="A326">
            <v>41015</v>
          </cell>
          <cell r="B326">
            <v>0.90843431405369401</v>
          </cell>
        </row>
        <row r="327">
          <cell r="A327">
            <v>41016</v>
          </cell>
          <cell r="B327">
            <v>0.90843431405369401</v>
          </cell>
        </row>
        <row r="328">
          <cell r="A328">
            <v>41017</v>
          </cell>
          <cell r="B328">
            <v>0.90843431405369401</v>
          </cell>
        </row>
        <row r="329">
          <cell r="A329">
            <v>41018</v>
          </cell>
          <cell r="B329">
            <v>0.90710064326562501</v>
          </cell>
        </row>
        <row r="330">
          <cell r="A330">
            <v>41019</v>
          </cell>
          <cell r="B330">
            <v>0.90710064326562501</v>
          </cell>
        </row>
        <row r="331">
          <cell r="A331">
            <v>41022</v>
          </cell>
          <cell r="B331">
            <v>0.90710064326562501</v>
          </cell>
        </row>
        <row r="332">
          <cell r="A332">
            <v>41023</v>
          </cell>
          <cell r="B332">
            <v>0.90710064326562501</v>
          </cell>
        </row>
        <row r="333">
          <cell r="A333">
            <v>41024</v>
          </cell>
          <cell r="B333">
            <v>0.90710064326562501</v>
          </cell>
        </row>
        <row r="334">
          <cell r="A334">
            <v>41025</v>
          </cell>
          <cell r="B334">
            <v>0.90843431405369401</v>
          </cell>
        </row>
        <row r="335">
          <cell r="A335">
            <v>41026</v>
          </cell>
          <cell r="B335">
            <v>0.90843431405369401</v>
          </cell>
        </row>
        <row r="336">
          <cell r="A336">
            <v>41029</v>
          </cell>
          <cell r="B336">
            <v>0.90843431405369401</v>
          </cell>
        </row>
        <row r="337">
          <cell r="A337">
            <v>41030</v>
          </cell>
          <cell r="B337">
            <v>0.89130997835799997</v>
          </cell>
        </row>
        <row r="338">
          <cell r="A338">
            <v>41031</v>
          </cell>
          <cell r="B338">
            <v>0.89130997835799997</v>
          </cell>
        </row>
        <row r="339">
          <cell r="A339">
            <v>41032</v>
          </cell>
          <cell r="B339">
            <v>0.89320680852935697</v>
          </cell>
        </row>
        <row r="340">
          <cell r="A340">
            <v>41033</v>
          </cell>
          <cell r="B340">
            <v>0.89320680852935697</v>
          </cell>
        </row>
        <row r="341">
          <cell r="A341">
            <v>41036</v>
          </cell>
          <cell r="B341">
            <v>0.89320680852935697</v>
          </cell>
        </row>
        <row r="342">
          <cell r="A342">
            <v>41037</v>
          </cell>
          <cell r="B342">
            <v>0.89320680852935697</v>
          </cell>
        </row>
        <row r="343">
          <cell r="A343">
            <v>41038</v>
          </cell>
          <cell r="B343">
            <v>0.89320680852935697</v>
          </cell>
        </row>
        <row r="344">
          <cell r="A344">
            <v>41039</v>
          </cell>
          <cell r="B344">
            <v>0.89335852280722505</v>
          </cell>
        </row>
        <row r="345">
          <cell r="A345">
            <v>41040</v>
          </cell>
          <cell r="B345">
            <v>0.89335852280722505</v>
          </cell>
        </row>
        <row r="346">
          <cell r="A346">
            <v>41043</v>
          </cell>
          <cell r="B346">
            <v>0.89335852280722505</v>
          </cell>
        </row>
        <row r="347">
          <cell r="A347">
            <v>41044</v>
          </cell>
          <cell r="B347">
            <v>0.89335852280722505</v>
          </cell>
        </row>
        <row r="348">
          <cell r="A348">
            <v>41045</v>
          </cell>
          <cell r="B348">
            <v>0.89335852280722505</v>
          </cell>
        </row>
        <row r="349">
          <cell r="A349">
            <v>41046</v>
          </cell>
          <cell r="B349">
            <v>0.89485932552840397</v>
          </cell>
        </row>
        <row r="350">
          <cell r="A350">
            <v>41047</v>
          </cell>
          <cell r="B350">
            <v>0.89485932552840397</v>
          </cell>
        </row>
        <row r="351">
          <cell r="A351">
            <v>41050</v>
          </cell>
          <cell r="B351">
            <v>0.89485932552840397</v>
          </cell>
        </row>
        <row r="352">
          <cell r="A352">
            <v>41051</v>
          </cell>
          <cell r="B352">
            <v>0.89485932552840397</v>
          </cell>
        </row>
        <row r="353">
          <cell r="A353">
            <v>41052</v>
          </cell>
          <cell r="B353">
            <v>0.89485932552840397</v>
          </cell>
        </row>
        <row r="354">
          <cell r="A354">
            <v>41053</v>
          </cell>
          <cell r="B354">
            <v>0.89505966783361102</v>
          </cell>
        </row>
        <row r="355">
          <cell r="A355">
            <v>41054</v>
          </cell>
          <cell r="B355">
            <v>0.89505966783361102</v>
          </cell>
        </row>
        <row r="356">
          <cell r="A356">
            <v>41058</v>
          </cell>
          <cell r="B356">
            <v>0.89505966783361102</v>
          </cell>
        </row>
        <row r="357">
          <cell r="A357">
            <v>41059</v>
          </cell>
          <cell r="B357">
            <v>0.89505966783361102</v>
          </cell>
        </row>
        <row r="358">
          <cell r="A358">
            <v>41060</v>
          </cell>
          <cell r="B358">
            <v>0.89598257612375398</v>
          </cell>
        </row>
        <row r="359">
          <cell r="A359">
            <v>41061</v>
          </cell>
          <cell r="B359">
            <v>0.88344911791249303</v>
          </cell>
        </row>
        <row r="360">
          <cell r="A360">
            <v>41064</v>
          </cell>
          <cell r="B360">
            <v>0.88344911791249303</v>
          </cell>
        </row>
        <row r="361">
          <cell r="A361">
            <v>41065</v>
          </cell>
          <cell r="B361">
            <v>0.88344911791249303</v>
          </cell>
        </row>
        <row r="362">
          <cell r="A362">
            <v>41066</v>
          </cell>
          <cell r="B362">
            <v>0.88344911791249303</v>
          </cell>
        </row>
        <row r="363">
          <cell r="A363">
            <v>41067</v>
          </cell>
          <cell r="B363">
            <v>0.89196946223805695</v>
          </cell>
        </row>
        <row r="364">
          <cell r="A364">
            <v>41068</v>
          </cell>
          <cell r="B364">
            <v>0.89196946223805695</v>
          </cell>
        </row>
        <row r="365">
          <cell r="A365">
            <v>41071</v>
          </cell>
          <cell r="B365">
            <v>0.89196946223805695</v>
          </cell>
        </row>
        <row r="366">
          <cell r="A366">
            <v>41072</v>
          </cell>
          <cell r="B366">
            <v>0.89196946223805695</v>
          </cell>
        </row>
        <row r="367">
          <cell r="A367">
            <v>41073</v>
          </cell>
          <cell r="B367">
            <v>0.89196946223805695</v>
          </cell>
        </row>
        <row r="368">
          <cell r="A368">
            <v>41074</v>
          </cell>
          <cell r="B368">
            <v>0.88661468253780695</v>
          </cell>
        </row>
        <row r="369">
          <cell r="A369">
            <v>41075</v>
          </cell>
          <cell r="B369">
            <v>0.88661468253780695</v>
          </cell>
        </row>
        <row r="370">
          <cell r="A370">
            <v>41078</v>
          </cell>
          <cell r="B370">
            <v>0.88661468253780695</v>
          </cell>
        </row>
        <row r="371">
          <cell r="A371">
            <v>41079</v>
          </cell>
          <cell r="B371">
            <v>0.88661468253780695</v>
          </cell>
        </row>
        <row r="372">
          <cell r="A372">
            <v>41080</v>
          </cell>
          <cell r="B372">
            <v>0.88661468253780695</v>
          </cell>
        </row>
        <row r="373">
          <cell r="A373">
            <v>41081</v>
          </cell>
          <cell r="B373">
            <v>0.89395578636495998</v>
          </cell>
        </row>
        <row r="374">
          <cell r="A374">
            <v>41082</v>
          </cell>
          <cell r="B374">
            <v>0.89395578636495998</v>
          </cell>
        </row>
        <row r="375">
          <cell r="A375">
            <v>41085</v>
          </cell>
          <cell r="B375">
            <v>0.89395578636495998</v>
          </cell>
        </row>
        <row r="376">
          <cell r="A376">
            <v>41086</v>
          </cell>
          <cell r="B376">
            <v>0.89395578636495998</v>
          </cell>
        </row>
        <row r="377">
          <cell r="A377">
            <v>41087</v>
          </cell>
          <cell r="B377">
            <v>0.89395578636495998</v>
          </cell>
        </row>
        <row r="378">
          <cell r="A378">
            <v>41088</v>
          </cell>
          <cell r="B378">
            <v>0.89395578636495998</v>
          </cell>
        </row>
        <row r="379">
          <cell r="A379">
            <v>41089</v>
          </cell>
          <cell r="B379">
            <v>0.89395578636495998</v>
          </cell>
        </row>
        <row r="380">
          <cell r="A380">
            <v>41092</v>
          </cell>
          <cell r="B380">
            <v>0.87735489357143903</v>
          </cell>
        </row>
        <row r="381">
          <cell r="A381">
            <v>41093</v>
          </cell>
          <cell r="B381">
            <v>0.87735489357143903</v>
          </cell>
        </row>
        <row r="382">
          <cell r="A382">
            <v>41095</v>
          </cell>
          <cell r="B382">
            <v>0.89133476417306701</v>
          </cell>
        </row>
        <row r="383">
          <cell r="A383">
            <v>41096</v>
          </cell>
          <cell r="B383">
            <v>0.89133476417306701</v>
          </cell>
        </row>
        <row r="384">
          <cell r="A384">
            <v>41099</v>
          </cell>
          <cell r="B384">
            <v>0.89133476417306701</v>
          </cell>
        </row>
        <row r="385">
          <cell r="A385">
            <v>41100</v>
          </cell>
          <cell r="B385">
            <v>0.89133476417306701</v>
          </cell>
        </row>
        <row r="386">
          <cell r="A386">
            <v>41101</v>
          </cell>
          <cell r="B386">
            <v>0.89133476417306701</v>
          </cell>
        </row>
        <row r="387">
          <cell r="A387">
            <v>41102</v>
          </cell>
          <cell r="B387">
            <v>0.944528095453952</v>
          </cell>
        </row>
        <row r="388">
          <cell r="A388">
            <v>41103</v>
          </cell>
          <cell r="B388">
            <v>0.944528095453952</v>
          </cell>
        </row>
        <row r="389">
          <cell r="A389">
            <v>41106</v>
          </cell>
          <cell r="B389">
            <v>0.944528095453952</v>
          </cell>
        </row>
        <row r="390">
          <cell r="A390">
            <v>41107</v>
          </cell>
          <cell r="B390">
            <v>0.944528095453952</v>
          </cell>
        </row>
        <row r="391">
          <cell r="A391">
            <v>41108</v>
          </cell>
          <cell r="B391">
            <v>0.944528095453952</v>
          </cell>
        </row>
        <row r="392">
          <cell r="A392">
            <v>41109</v>
          </cell>
          <cell r="B392">
            <v>0.97186924857157997</v>
          </cell>
        </row>
        <row r="393">
          <cell r="A393">
            <v>41110</v>
          </cell>
          <cell r="B393">
            <v>0.97186924857157997</v>
          </cell>
        </row>
        <row r="394">
          <cell r="A394">
            <v>41113</v>
          </cell>
          <cell r="B394">
            <v>0.97186924857157997</v>
          </cell>
        </row>
        <row r="395">
          <cell r="A395">
            <v>41114</v>
          </cell>
          <cell r="B395">
            <v>0.97186924857157997</v>
          </cell>
        </row>
        <row r="396">
          <cell r="A396">
            <v>41115</v>
          </cell>
          <cell r="B396">
            <v>0.97186924857157997</v>
          </cell>
        </row>
        <row r="397">
          <cell r="A397">
            <v>41116</v>
          </cell>
          <cell r="B397">
            <v>0.98447138587305705</v>
          </cell>
        </row>
        <row r="398">
          <cell r="A398">
            <v>41117</v>
          </cell>
          <cell r="B398">
            <v>0.97186924857157997</v>
          </cell>
        </row>
        <row r="399">
          <cell r="A399">
            <v>41120</v>
          </cell>
          <cell r="B399">
            <v>0.98447138587305705</v>
          </cell>
        </row>
        <row r="400">
          <cell r="A400">
            <v>41121</v>
          </cell>
          <cell r="B400">
            <v>0.98447138587305705</v>
          </cell>
        </row>
        <row r="401">
          <cell r="A401">
            <v>41122</v>
          </cell>
          <cell r="B401">
            <v>0.97289569754528904</v>
          </cell>
        </row>
        <row r="402">
          <cell r="A402">
            <v>41123</v>
          </cell>
          <cell r="B402">
            <v>0.93852225394978095</v>
          </cell>
        </row>
        <row r="403">
          <cell r="A403">
            <v>41124</v>
          </cell>
          <cell r="B403">
            <v>0.93852225394978095</v>
          </cell>
        </row>
        <row r="404">
          <cell r="A404">
            <v>41127</v>
          </cell>
          <cell r="B404">
            <v>0.93852225394978095</v>
          </cell>
        </row>
        <row r="405">
          <cell r="A405">
            <v>41128</v>
          </cell>
          <cell r="B405">
            <v>0.93852225394978095</v>
          </cell>
        </row>
        <row r="406">
          <cell r="A406">
            <v>41129</v>
          </cell>
          <cell r="B406">
            <v>0.93852225394978095</v>
          </cell>
        </row>
        <row r="407">
          <cell r="A407">
            <v>41130</v>
          </cell>
          <cell r="B407">
            <v>0.88830449257823196</v>
          </cell>
        </row>
        <row r="408">
          <cell r="A408">
            <v>41131</v>
          </cell>
          <cell r="B408">
            <v>0.88830449257823196</v>
          </cell>
        </row>
        <row r="409">
          <cell r="A409">
            <v>41134</v>
          </cell>
          <cell r="B409">
            <v>0.88830449257823196</v>
          </cell>
        </row>
        <row r="410">
          <cell r="A410">
            <v>41135</v>
          </cell>
          <cell r="B410">
            <v>0.88830449257823196</v>
          </cell>
        </row>
        <row r="411">
          <cell r="A411">
            <v>41136</v>
          </cell>
          <cell r="B411">
            <v>0.88830449257823196</v>
          </cell>
        </row>
        <row r="412">
          <cell r="A412">
            <v>41137</v>
          </cell>
          <cell r="B412">
            <v>0.871668034024078</v>
          </cell>
        </row>
        <row r="413">
          <cell r="A413">
            <v>41138</v>
          </cell>
          <cell r="B413">
            <v>0.871668034024078</v>
          </cell>
        </row>
        <row r="414">
          <cell r="A414">
            <v>41141</v>
          </cell>
          <cell r="B414">
            <v>0.871668034024078</v>
          </cell>
        </row>
        <row r="415">
          <cell r="A415">
            <v>41142</v>
          </cell>
          <cell r="B415">
            <v>0.871668034024078</v>
          </cell>
        </row>
        <row r="416">
          <cell r="A416">
            <v>41143</v>
          </cell>
          <cell r="B416">
            <v>0.871668034024078</v>
          </cell>
        </row>
        <row r="417">
          <cell r="A417">
            <v>41144</v>
          </cell>
          <cell r="B417">
            <v>0.85676613742448104</v>
          </cell>
        </row>
        <row r="418">
          <cell r="A418">
            <v>41145</v>
          </cell>
          <cell r="B418">
            <v>0.85676613742448104</v>
          </cell>
        </row>
        <row r="419">
          <cell r="A419">
            <v>41148</v>
          </cell>
          <cell r="B419">
            <v>0.85676613742448104</v>
          </cell>
        </row>
        <row r="420">
          <cell r="A420">
            <v>41149</v>
          </cell>
          <cell r="B420">
            <v>0.85676613742448104</v>
          </cell>
        </row>
        <row r="421">
          <cell r="A421">
            <v>41150</v>
          </cell>
          <cell r="B421">
            <v>0.85676613742448104</v>
          </cell>
        </row>
        <row r="422">
          <cell r="A422">
            <v>41151</v>
          </cell>
          <cell r="B422">
            <v>0.88830449257823196</v>
          </cell>
        </row>
        <row r="423">
          <cell r="A423">
            <v>41152</v>
          </cell>
          <cell r="B423">
            <v>0.88830449257823196</v>
          </cell>
        </row>
        <row r="424">
          <cell r="A424">
            <v>41156</v>
          </cell>
          <cell r="B424">
            <v>0.86613218698070704</v>
          </cell>
        </row>
        <row r="425">
          <cell r="A425">
            <v>41157</v>
          </cell>
          <cell r="B425">
            <v>0.86613218698070704</v>
          </cell>
        </row>
        <row r="426">
          <cell r="A426">
            <v>41158</v>
          </cell>
          <cell r="B426">
            <v>0.91761037893987496</v>
          </cell>
        </row>
        <row r="427">
          <cell r="A427">
            <v>41159</v>
          </cell>
          <cell r="B427">
            <v>0.91761037893987496</v>
          </cell>
        </row>
        <row r="428">
          <cell r="A428">
            <v>41162</v>
          </cell>
          <cell r="B428">
            <v>0.91761037893987496</v>
          </cell>
        </row>
        <row r="429">
          <cell r="A429">
            <v>41163</v>
          </cell>
          <cell r="B429">
            <v>0.91761037893987496</v>
          </cell>
        </row>
        <row r="430">
          <cell r="A430">
            <v>41164</v>
          </cell>
          <cell r="B430">
            <v>0.91761037893987496</v>
          </cell>
        </row>
        <row r="431">
          <cell r="A431">
            <v>41165</v>
          </cell>
          <cell r="B431">
            <v>0.91761037893987496</v>
          </cell>
        </row>
        <row r="432">
          <cell r="A432">
            <v>41166</v>
          </cell>
          <cell r="B432">
            <v>0.91761037893987496</v>
          </cell>
        </row>
        <row r="433">
          <cell r="A433">
            <v>41169</v>
          </cell>
          <cell r="B433">
            <v>0.91761037893987496</v>
          </cell>
        </row>
        <row r="434">
          <cell r="A434">
            <v>41170</v>
          </cell>
          <cell r="B434">
            <v>0.91761037893987496</v>
          </cell>
        </row>
        <row r="435">
          <cell r="A435">
            <v>41171</v>
          </cell>
          <cell r="B435">
            <v>0.91761037893987496</v>
          </cell>
        </row>
        <row r="436">
          <cell r="A436">
            <v>41172</v>
          </cell>
          <cell r="B436">
            <v>0.95544116739970197</v>
          </cell>
        </row>
        <row r="437">
          <cell r="A437">
            <v>41173</v>
          </cell>
          <cell r="B437">
            <v>0.95544116739970197</v>
          </cell>
        </row>
        <row r="438">
          <cell r="A438">
            <v>41176</v>
          </cell>
          <cell r="B438">
            <v>0.95544116739970197</v>
          </cell>
        </row>
        <row r="439">
          <cell r="A439">
            <v>41177</v>
          </cell>
          <cell r="B439">
            <v>0.95544116739970197</v>
          </cell>
        </row>
        <row r="440">
          <cell r="A440">
            <v>41178</v>
          </cell>
          <cell r="B440">
            <v>0.95544116739970197</v>
          </cell>
        </row>
        <row r="441">
          <cell r="A441">
            <v>41179</v>
          </cell>
          <cell r="B441">
            <v>0.96361365224695705</v>
          </cell>
        </row>
        <row r="442">
          <cell r="A442">
            <v>41180</v>
          </cell>
          <cell r="B442">
            <v>0.96361365224695705</v>
          </cell>
        </row>
        <row r="443">
          <cell r="A443">
            <v>41183</v>
          </cell>
          <cell r="B443">
            <v>0.95122523158751304</v>
          </cell>
        </row>
        <row r="444">
          <cell r="A444">
            <v>41184</v>
          </cell>
          <cell r="B444">
            <v>0.95122523158751304</v>
          </cell>
        </row>
        <row r="445">
          <cell r="A445">
            <v>41185</v>
          </cell>
          <cell r="B445">
            <v>0.95122523158751304</v>
          </cell>
        </row>
        <row r="446">
          <cell r="A446">
            <v>41186</v>
          </cell>
          <cell r="B446">
            <v>0.95295581960362197</v>
          </cell>
        </row>
        <row r="447">
          <cell r="A447">
            <v>41187</v>
          </cell>
          <cell r="B447">
            <v>0.95295581960362197</v>
          </cell>
        </row>
        <row r="448">
          <cell r="A448">
            <v>41190</v>
          </cell>
          <cell r="B448">
            <v>0.95295581960362197</v>
          </cell>
        </row>
        <row r="449">
          <cell r="A449">
            <v>41191</v>
          </cell>
          <cell r="B449">
            <v>0.95295581960362197</v>
          </cell>
        </row>
        <row r="450">
          <cell r="A450">
            <v>41192</v>
          </cell>
          <cell r="B450">
            <v>0.95295581960362197</v>
          </cell>
        </row>
        <row r="451">
          <cell r="A451">
            <v>41193</v>
          </cell>
          <cell r="B451">
            <v>0.95157186742127498</v>
          </cell>
        </row>
        <row r="452">
          <cell r="A452">
            <v>41194</v>
          </cell>
          <cell r="B452">
            <v>0.95157186742127498</v>
          </cell>
        </row>
        <row r="453">
          <cell r="A453">
            <v>41197</v>
          </cell>
          <cell r="B453">
            <v>0.95157186742127498</v>
          </cell>
        </row>
        <row r="454">
          <cell r="A454">
            <v>41198</v>
          </cell>
          <cell r="B454">
            <v>0.95157186742127498</v>
          </cell>
        </row>
        <row r="455">
          <cell r="A455">
            <v>41199</v>
          </cell>
          <cell r="B455">
            <v>0.95157186742127498</v>
          </cell>
        </row>
        <row r="456">
          <cell r="A456">
            <v>41200</v>
          </cell>
          <cell r="B456">
            <v>0.95277015909637097</v>
          </cell>
        </row>
        <row r="457">
          <cell r="A457">
            <v>41201</v>
          </cell>
          <cell r="B457">
            <v>0.95277015909637097</v>
          </cell>
        </row>
        <row r="458">
          <cell r="A458">
            <v>41204</v>
          </cell>
          <cell r="B458">
            <v>0.95277015909637097</v>
          </cell>
        </row>
        <row r="459">
          <cell r="A459">
            <v>41205</v>
          </cell>
          <cell r="B459">
            <v>0.95277015909637097</v>
          </cell>
        </row>
        <row r="460">
          <cell r="A460">
            <v>41206</v>
          </cell>
          <cell r="B460">
            <v>0.95277015909637097</v>
          </cell>
        </row>
        <row r="461">
          <cell r="A461">
            <v>41207</v>
          </cell>
          <cell r="B461">
            <v>0.950786071684944</v>
          </cell>
        </row>
        <row r="462">
          <cell r="A462">
            <v>41208</v>
          </cell>
          <cell r="B462">
            <v>0.950786071684944</v>
          </cell>
        </row>
        <row r="463">
          <cell r="A463">
            <v>41211</v>
          </cell>
          <cell r="B463">
            <v>0.950786071684944</v>
          </cell>
        </row>
        <row r="464">
          <cell r="A464">
            <v>41212</v>
          </cell>
          <cell r="B464">
            <v>0.950786071684944</v>
          </cell>
        </row>
        <row r="465">
          <cell r="A465">
            <v>41213</v>
          </cell>
          <cell r="B465">
            <v>0.950786071684944</v>
          </cell>
        </row>
        <row r="466">
          <cell r="A466">
            <v>41214</v>
          </cell>
          <cell r="B466">
            <v>0.92568594546185101</v>
          </cell>
        </row>
        <row r="467">
          <cell r="A467">
            <v>41215</v>
          </cell>
          <cell r="B467">
            <v>0.92568594546185101</v>
          </cell>
        </row>
        <row r="468">
          <cell r="A468">
            <v>41218</v>
          </cell>
          <cell r="B468">
            <v>0.92568594546185101</v>
          </cell>
        </row>
        <row r="469">
          <cell r="A469">
            <v>41219</v>
          </cell>
          <cell r="B469">
            <v>0.92568594546185101</v>
          </cell>
        </row>
        <row r="470">
          <cell r="A470">
            <v>41220</v>
          </cell>
          <cell r="B470">
            <v>0.92568594546185101</v>
          </cell>
        </row>
        <row r="471">
          <cell r="A471">
            <v>41221</v>
          </cell>
          <cell r="B471">
            <v>0.92529425270600996</v>
          </cell>
        </row>
        <row r="472">
          <cell r="A472">
            <v>41222</v>
          </cell>
          <cell r="B472">
            <v>0.92529425270600996</v>
          </cell>
        </row>
        <row r="473">
          <cell r="A473">
            <v>41225</v>
          </cell>
          <cell r="B473">
            <v>0.92529425270600996</v>
          </cell>
        </row>
        <row r="474">
          <cell r="A474">
            <v>41226</v>
          </cell>
          <cell r="B474">
            <v>0.92529425270600996</v>
          </cell>
        </row>
        <row r="475">
          <cell r="A475">
            <v>41227</v>
          </cell>
          <cell r="B475">
            <v>0.92529425270600996</v>
          </cell>
        </row>
        <row r="476">
          <cell r="A476">
            <v>41228</v>
          </cell>
          <cell r="B476">
            <v>0.92772026190850898</v>
          </cell>
        </row>
        <row r="477">
          <cell r="A477">
            <v>41229</v>
          </cell>
          <cell r="B477">
            <v>0.92529425270600996</v>
          </cell>
        </row>
        <row r="478">
          <cell r="A478">
            <v>41232</v>
          </cell>
          <cell r="B478">
            <v>0.92529425270600996</v>
          </cell>
        </row>
        <row r="479">
          <cell r="A479">
            <v>41233</v>
          </cell>
          <cell r="B479">
            <v>0.92772026190850898</v>
          </cell>
        </row>
        <row r="480">
          <cell r="A480">
            <v>41236</v>
          </cell>
          <cell r="B480">
            <v>0.92988566192488697</v>
          </cell>
        </row>
        <row r="481">
          <cell r="A481">
            <v>41239</v>
          </cell>
          <cell r="B481">
            <v>0.92988566192488697</v>
          </cell>
        </row>
        <row r="482">
          <cell r="A482">
            <v>41240</v>
          </cell>
          <cell r="B482">
            <v>0.92988566192488697</v>
          </cell>
        </row>
        <row r="483">
          <cell r="A483">
            <v>41241</v>
          </cell>
          <cell r="B483">
            <v>0.92988566192488697</v>
          </cell>
        </row>
        <row r="484">
          <cell r="A484">
            <v>41242</v>
          </cell>
          <cell r="B484">
            <v>0.92962672480790898</v>
          </cell>
        </row>
        <row r="485">
          <cell r="A485">
            <v>41243</v>
          </cell>
          <cell r="B485">
            <v>0.92962672480790898</v>
          </cell>
        </row>
        <row r="486">
          <cell r="A486">
            <v>41246</v>
          </cell>
          <cell r="B486">
            <v>0.91261368517922603</v>
          </cell>
        </row>
        <row r="487">
          <cell r="A487">
            <v>41247</v>
          </cell>
          <cell r="B487">
            <v>0.91261368517922603</v>
          </cell>
        </row>
        <row r="488">
          <cell r="A488">
            <v>41248</v>
          </cell>
          <cell r="B488">
            <v>0.91261368517922603</v>
          </cell>
        </row>
        <row r="489">
          <cell r="A489">
            <v>41249</v>
          </cell>
          <cell r="B489">
            <v>0.91054790878492298</v>
          </cell>
        </row>
        <row r="490">
          <cell r="A490">
            <v>41250</v>
          </cell>
          <cell r="B490">
            <v>0.91054790878492298</v>
          </cell>
        </row>
        <row r="491">
          <cell r="A491">
            <v>41253</v>
          </cell>
          <cell r="B491">
            <v>0.91054790878492298</v>
          </cell>
        </row>
        <row r="492">
          <cell r="A492">
            <v>41254</v>
          </cell>
          <cell r="B492">
            <v>0.91054790878492298</v>
          </cell>
        </row>
        <row r="493">
          <cell r="A493">
            <v>41255</v>
          </cell>
          <cell r="B493">
            <v>0.91054790878492298</v>
          </cell>
        </row>
        <row r="494">
          <cell r="A494">
            <v>41256</v>
          </cell>
          <cell r="B494">
            <v>0.91261368517922603</v>
          </cell>
        </row>
        <row r="495">
          <cell r="A495">
            <v>41257</v>
          </cell>
          <cell r="B495">
            <v>0.91261368517922603</v>
          </cell>
        </row>
        <row r="496">
          <cell r="A496">
            <v>41260</v>
          </cell>
          <cell r="B496">
            <v>0.91261368517922603</v>
          </cell>
        </row>
        <row r="497">
          <cell r="A497">
            <v>41261</v>
          </cell>
          <cell r="B497">
            <v>0.91261368517922603</v>
          </cell>
        </row>
        <row r="498">
          <cell r="A498">
            <v>41262</v>
          </cell>
          <cell r="B498">
            <v>0.91261368517922603</v>
          </cell>
        </row>
        <row r="499">
          <cell r="A499">
            <v>41263</v>
          </cell>
          <cell r="B499">
            <v>0.90964878851271103</v>
          </cell>
        </row>
        <row r="500">
          <cell r="A500">
            <v>41264</v>
          </cell>
          <cell r="B500">
            <v>0.90964878851271103</v>
          </cell>
        </row>
        <row r="501">
          <cell r="A501">
            <v>41267</v>
          </cell>
          <cell r="B501">
            <v>0.90964878851271103</v>
          </cell>
        </row>
        <row r="502">
          <cell r="A502">
            <v>41269</v>
          </cell>
          <cell r="B502">
            <v>0.90964878851271103</v>
          </cell>
        </row>
        <row r="503">
          <cell r="A503">
            <v>41270</v>
          </cell>
          <cell r="B503">
            <v>0.91013454847674702</v>
          </cell>
        </row>
        <row r="504">
          <cell r="A504">
            <v>41271</v>
          </cell>
          <cell r="B504">
            <v>0.91013454847674702</v>
          </cell>
        </row>
        <row r="505">
          <cell r="A505">
            <v>41274</v>
          </cell>
          <cell r="B505">
            <v>0.91013454847674702</v>
          </cell>
        </row>
        <row r="506">
          <cell r="A506">
            <v>41276</v>
          </cell>
          <cell r="B506">
            <v>0.88776607960810605</v>
          </cell>
        </row>
        <row r="507">
          <cell r="A507">
            <v>41277</v>
          </cell>
          <cell r="B507">
            <v>0.88829814088555903</v>
          </cell>
        </row>
        <row r="508">
          <cell r="A508">
            <v>41278</v>
          </cell>
          <cell r="B508">
            <v>0.88829814088555903</v>
          </cell>
        </row>
        <row r="509">
          <cell r="A509">
            <v>41281</v>
          </cell>
          <cell r="B509">
            <v>0.88829814088555903</v>
          </cell>
        </row>
        <row r="510">
          <cell r="A510">
            <v>41282</v>
          </cell>
          <cell r="B510">
            <v>0.88829814088555903</v>
          </cell>
        </row>
        <row r="511">
          <cell r="A511">
            <v>41283</v>
          </cell>
          <cell r="B511">
            <v>0.88829814088555903</v>
          </cell>
        </row>
        <row r="512">
          <cell r="A512">
            <v>41284</v>
          </cell>
          <cell r="B512">
            <v>0.88507237465235999</v>
          </cell>
        </row>
        <row r="513">
          <cell r="A513">
            <v>41285</v>
          </cell>
          <cell r="B513">
            <v>0.88507237465235999</v>
          </cell>
        </row>
        <row r="514">
          <cell r="A514">
            <v>41288</v>
          </cell>
          <cell r="B514">
            <v>0.88507237465235999</v>
          </cell>
        </row>
        <row r="515">
          <cell r="A515">
            <v>41289</v>
          </cell>
          <cell r="B515">
            <v>0.88507237465235999</v>
          </cell>
        </row>
        <row r="516">
          <cell r="A516">
            <v>41290</v>
          </cell>
          <cell r="B516">
            <v>0.88507237465235999</v>
          </cell>
        </row>
        <row r="517">
          <cell r="A517">
            <v>41291</v>
          </cell>
          <cell r="B517">
            <v>0.88631407683414698</v>
          </cell>
        </row>
        <row r="518">
          <cell r="A518">
            <v>41292</v>
          </cell>
          <cell r="B518">
            <v>0.88631407683414698</v>
          </cell>
        </row>
        <row r="519">
          <cell r="A519">
            <v>41296</v>
          </cell>
          <cell r="B519">
            <v>0.88631407683414698</v>
          </cell>
        </row>
        <row r="520">
          <cell r="A520">
            <v>41297</v>
          </cell>
          <cell r="B520">
            <v>0.88631407683414698</v>
          </cell>
        </row>
        <row r="521">
          <cell r="A521">
            <v>41298</v>
          </cell>
          <cell r="B521">
            <v>0.88379536104531298</v>
          </cell>
        </row>
        <row r="522">
          <cell r="A522">
            <v>41299</v>
          </cell>
          <cell r="B522">
            <v>0.88379536104531298</v>
          </cell>
        </row>
        <row r="523">
          <cell r="A523">
            <v>41302</v>
          </cell>
          <cell r="B523">
            <v>0.88379536104531298</v>
          </cell>
        </row>
        <row r="524">
          <cell r="A524">
            <v>41303</v>
          </cell>
          <cell r="B524">
            <v>0.88379536104531298</v>
          </cell>
        </row>
        <row r="525">
          <cell r="A525">
            <v>41304</v>
          </cell>
          <cell r="B525">
            <v>0.88379536104531298</v>
          </cell>
        </row>
        <row r="526">
          <cell r="A526">
            <v>41305</v>
          </cell>
          <cell r="B526">
            <v>0.84748759806752005</v>
          </cell>
        </row>
        <row r="527">
          <cell r="A527">
            <v>41306</v>
          </cell>
          <cell r="B527">
            <v>0.82271172400250803</v>
          </cell>
        </row>
        <row r="528">
          <cell r="A528">
            <v>41309</v>
          </cell>
          <cell r="B528">
            <v>0.82271172400250803</v>
          </cell>
        </row>
        <row r="529">
          <cell r="A529">
            <v>41310</v>
          </cell>
          <cell r="B529">
            <v>0.82271172400250803</v>
          </cell>
        </row>
        <row r="530">
          <cell r="A530">
            <v>41311</v>
          </cell>
          <cell r="B530">
            <v>0.82271172400250803</v>
          </cell>
        </row>
        <row r="531">
          <cell r="A531">
            <v>41312</v>
          </cell>
          <cell r="B531">
            <v>0.82271172400250803</v>
          </cell>
        </row>
        <row r="532">
          <cell r="A532">
            <v>41313</v>
          </cell>
          <cell r="B532">
            <v>0.82271172400250803</v>
          </cell>
        </row>
        <row r="533">
          <cell r="A533">
            <v>41316</v>
          </cell>
          <cell r="B533">
            <v>0.82271172400250803</v>
          </cell>
        </row>
        <row r="534">
          <cell r="A534">
            <v>41317</v>
          </cell>
          <cell r="B534">
            <v>0.82271172400250803</v>
          </cell>
        </row>
        <row r="535">
          <cell r="A535">
            <v>41318</v>
          </cell>
          <cell r="B535">
            <v>0.82271172400250803</v>
          </cell>
        </row>
        <row r="536">
          <cell r="A536">
            <v>41319</v>
          </cell>
          <cell r="B536">
            <v>0.82271172400250803</v>
          </cell>
        </row>
        <row r="537">
          <cell r="A537">
            <v>41320</v>
          </cell>
          <cell r="B537">
            <v>0.82271172400250803</v>
          </cell>
        </row>
        <row r="538">
          <cell r="A538">
            <v>41324</v>
          </cell>
          <cell r="B538">
            <v>0.82271172400250803</v>
          </cell>
        </row>
        <row r="539">
          <cell r="A539">
            <v>41325</v>
          </cell>
          <cell r="B539">
            <v>0.82271172400250803</v>
          </cell>
        </row>
        <row r="540">
          <cell r="A540">
            <v>41326</v>
          </cell>
          <cell r="B540">
            <v>0.79171461670661003</v>
          </cell>
        </row>
        <row r="541">
          <cell r="A541">
            <v>41327</v>
          </cell>
          <cell r="B541">
            <v>0.79171461670661003</v>
          </cell>
        </row>
        <row r="542">
          <cell r="A542">
            <v>41330</v>
          </cell>
          <cell r="B542">
            <v>0.79171461670661003</v>
          </cell>
        </row>
        <row r="543">
          <cell r="A543">
            <v>41331</v>
          </cell>
          <cell r="B543">
            <v>0.79171461670661003</v>
          </cell>
        </row>
        <row r="544">
          <cell r="A544">
            <v>41332</v>
          </cell>
          <cell r="B544">
            <v>0.79171461670661003</v>
          </cell>
        </row>
        <row r="545">
          <cell r="A545">
            <v>41333</v>
          </cell>
          <cell r="B545">
            <v>0.83664177858148003</v>
          </cell>
        </row>
        <row r="546">
          <cell r="A546">
            <v>41334</v>
          </cell>
          <cell r="B546">
            <v>0.81851206223084805</v>
          </cell>
        </row>
        <row r="547">
          <cell r="A547">
            <v>41337</v>
          </cell>
          <cell r="B547">
            <v>0.81851206223084805</v>
          </cell>
        </row>
        <row r="548">
          <cell r="A548">
            <v>41338</v>
          </cell>
          <cell r="B548">
            <v>0.81851206223084805</v>
          </cell>
        </row>
        <row r="549">
          <cell r="A549">
            <v>41339</v>
          </cell>
          <cell r="B549">
            <v>0.81851206223084805</v>
          </cell>
        </row>
        <row r="550">
          <cell r="A550">
            <v>41340</v>
          </cell>
          <cell r="B550">
            <v>0.81207127811354496</v>
          </cell>
        </row>
        <row r="551">
          <cell r="A551">
            <v>41341</v>
          </cell>
          <cell r="B551">
            <v>0.81207127811354496</v>
          </cell>
        </row>
        <row r="552">
          <cell r="A552">
            <v>41344</v>
          </cell>
          <cell r="B552">
            <v>0.81207127811354496</v>
          </cell>
        </row>
        <row r="553">
          <cell r="A553">
            <v>41345</v>
          </cell>
          <cell r="B553">
            <v>0.81207127811354496</v>
          </cell>
        </row>
        <row r="554">
          <cell r="A554">
            <v>41346</v>
          </cell>
          <cell r="B554">
            <v>0.81207127811354496</v>
          </cell>
        </row>
        <row r="555">
          <cell r="A555">
            <v>41347</v>
          </cell>
          <cell r="B555">
            <v>0.71228035501776499</v>
          </cell>
        </row>
        <row r="556">
          <cell r="A556">
            <v>41348</v>
          </cell>
          <cell r="B556">
            <v>0.71228035501776499</v>
          </cell>
        </row>
        <row r="557">
          <cell r="A557">
            <v>41351</v>
          </cell>
          <cell r="B557">
            <v>0.71228035501776499</v>
          </cell>
        </row>
        <row r="558">
          <cell r="A558">
            <v>41352</v>
          </cell>
          <cell r="B558">
            <v>0.71228035501776499</v>
          </cell>
        </row>
        <row r="559">
          <cell r="A559">
            <v>41353</v>
          </cell>
          <cell r="B559">
            <v>0.71228035501776499</v>
          </cell>
        </row>
        <row r="560">
          <cell r="A560">
            <v>41354</v>
          </cell>
          <cell r="B560">
            <v>0.79257538531726102</v>
          </cell>
        </row>
        <row r="561">
          <cell r="A561">
            <v>41355</v>
          </cell>
          <cell r="B561">
            <v>0.79257538531726102</v>
          </cell>
        </row>
        <row r="562">
          <cell r="A562">
            <v>41358</v>
          </cell>
          <cell r="B562">
            <v>0.79257538531726102</v>
          </cell>
        </row>
        <row r="563">
          <cell r="A563">
            <v>41359</v>
          </cell>
          <cell r="B563">
            <v>0.79257538531726102</v>
          </cell>
        </row>
        <row r="564">
          <cell r="A564">
            <v>41360</v>
          </cell>
          <cell r="B564">
            <v>0.79257538531726102</v>
          </cell>
        </row>
        <row r="565">
          <cell r="A565">
            <v>41361</v>
          </cell>
          <cell r="B565">
            <v>0.76303866278122401</v>
          </cell>
        </row>
        <row r="566">
          <cell r="A566">
            <v>41365</v>
          </cell>
          <cell r="B566">
            <v>0.743473360501545</v>
          </cell>
        </row>
        <row r="567">
          <cell r="A567">
            <v>41366</v>
          </cell>
          <cell r="B567">
            <v>0.743473360501545</v>
          </cell>
        </row>
        <row r="568">
          <cell r="A568">
            <v>41367</v>
          </cell>
          <cell r="B568">
            <v>0.743473360501545</v>
          </cell>
        </row>
        <row r="569">
          <cell r="A569">
            <v>41368</v>
          </cell>
          <cell r="B569">
            <v>0.77315817508860396</v>
          </cell>
        </row>
        <row r="570">
          <cell r="A570">
            <v>41369</v>
          </cell>
          <cell r="B570">
            <v>0.77315817508860396</v>
          </cell>
        </row>
        <row r="571">
          <cell r="A571">
            <v>41372</v>
          </cell>
          <cell r="B571">
            <v>0.77315817508860396</v>
          </cell>
        </row>
        <row r="572">
          <cell r="A572">
            <v>41373</v>
          </cell>
          <cell r="B572">
            <v>0.77315817508860396</v>
          </cell>
        </row>
        <row r="573">
          <cell r="A573">
            <v>41374</v>
          </cell>
          <cell r="B573">
            <v>0.77315817508860396</v>
          </cell>
        </row>
        <row r="574">
          <cell r="A574">
            <v>41375</v>
          </cell>
          <cell r="B574">
            <v>0.82454142309345102</v>
          </cell>
        </row>
        <row r="575">
          <cell r="A575">
            <v>41376</v>
          </cell>
          <cell r="B575">
            <v>0.82454142309345102</v>
          </cell>
        </row>
        <row r="576">
          <cell r="A576">
            <v>41379</v>
          </cell>
          <cell r="B576">
            <v>0.82454142309345102</v>
          </cell>
        </row>
        <row r="577">
          <cell r="A577">
            <v>41380</v>
          </cell>
          <cell r="B577">
            <v>0.82454142309345102</v>
          </cell>
        </row>
        <row r="578">
          <cell r="A578">
            <v>41381</v>
          </cell>
          <cell r="B578">
            <v>0.82454142309345102</v>
          </cell>
        </row>
        <row r="579">
          <cell r="A579">
            <v>41382</v>
          </cell>
          <cell r="B579">
            <v>0.82630589885428396</v>
          </cell>
        </row>
        <row r="580">
          <cell r="A580">
            <v>41383</v>
          </cell>
          <cell r="B580">
            <v>0.82630589885428396</v>
          </cell>
        </row>
        <row r="581">
          <cell r="A581">
            <v>41386</v>
          </cell>
          <cell r="B581">
            <v>0.82630589885428396</v>
          </cell>
        </row>
        <row r="582">
          <cell r="A582">
            <v>41387</v>
          </cell>
          <cell r="B582">
            <v>0.82630589885428396</v>
          </cell>
        </row>
        <row r="583">
          <cell r="A583">
            <v>41388</v>
          </cell>
          <cell r="B583">
            <v>0.82630589885428396</v>
          </cell>
        </row>
        <row r="584">
          <cell r="A584">
            <v>41389</v>
          </cell>
          <cell r="B584">
            <v>0.82751009126472896</v>
          </cell>
        </row>
        <row r="585">
          <cell r="A585">
            <v>41390</v>
          </cell>
          <cell r="B585">
            <v>0.82751009126472896</v>
          </cell>
        </row>
        <row r="586">
          <cell r="A586">
            <v>41393</v>
          </cell>
          <cell r="B586">
            <v>0.82751009126472896</v>
          </cell>
        </row>
        <row r="587">
          <cell r="A587">
            <v>41394</v>
          </cell>
          <cell r="B587">
            <v>0.82751009126472896</v>
          </cell>
        </row>
        <row r="588">
          <cell r="A588">
            <v>41395</v>
          </cell>
          <cell r="B588">
            <v>0.81036703654126596</v>
          </cell>
        </row>
        <row r="589">
          <cell r="A589">
            <v>41396</v>
          </cell>
          <cell r="B589">
            <v>0.81666056757909999</v>
          </cell>
        </row>
        <row r="590">
          <cell r="A590">
            <v>41397</v>
          </cell>
          <cell r="B590">
            <v>0.81666056757909999</v>
          </cell>
        </row>
        <row r="591">
          <cell r="A591">
            <v>41400</v>
          </cell>
          <cell r="B591">
            <v>0.81666056757909999</v>
          </cell>
        </row>
        <row r="592">
          <cell r="A592">
            <v>41401</v>
          </cell>
          <cell r="B592">
            <v>0.81666056757909999</v>
          </cell>
        </row>
        <row r="593">
          <cell r="A593">
            <v>41402</v>
          </cell>
          <cell r="B593">
            <v>0.81666056757909999</v>
          </cell>
        </row>
        <row r="594">
          <cell r="A594">
            <v>41403</v>
          </cell>
          <cell r="B594">
            <v>0.80807149473903706</v>
          </cell>
        </row>
        <row r="595">
          <cell r="A595">
            <v>41404</v>
          </cell>
          <cell r="B595">
            <v>0.80807149473903706</v>
          </cell>
        </row>
        <row r="596">
          <cell r="A596">
            <v>41407</v>
          </cell>
          <cell r="B596">
            <v>0.80807149473903706</v>
          </cell>
        </row>
        <row r="597">
          <cell r="A597">
            <v>41408</v>
          </cell>
          <cell r="B597">
            <v>0.80807149473903706</v>
          </cell>
        </row>
        <row r="598">
          <cell r="A598">
            <v>41409</v>
          </cell>
          <cell r="B598">
            <v>0.80807149473903706</v>
          </cell>
        </row>
        <row r="599">
          <cell r="A599">
            <v>41414</v>
          </cell>
          <cell r="B599">
            <v>0.77783403735744605</v>
          </cell>
        </row>
        <row r="600">
          <cell r="A600">
            <v>41415</v>
          </cell>
          <cell r="B600">
            <v>0.77783403735744605</v>
          </cell>
        </row>
        <row r="601">
          <cell r="A601">
            <v>41416</v>
          </cell>
          <cell r="B601">
            <v>0.77783403735744605</v>
          </cell>
        </row>
        <row r="602">
          <cell r="A602">
            <v>41417</v>
          </cell>
          <cell r="B602">
            <v>0.69478056772037999</v>
          </cell>
        </row>
        <row r="603">
          <cell r="A603">
            <v>41418</v>
          </cell>
          <cell r="B603">
            <v>0.69478056772037999</v>
          </cell>
        </row>
        <row r="604">
          <cell r="A604">
            <v>41422</v>
          </cell>
          <cell r="B604">
            <v>0.69478056772037999</v>
          </cell>
        </row>
        <row r="605">
          <cell r="A605">
            <v>41424</v>
          </cell>
          <cell r="B605">
            <v>0.635194452728709</v>
          </cell>
        </row>
        <row r="606">
          <cell r="A606">
            <v>41425</v>
          </cell>
          <cell r="B606">
            <v>0.635194452728709</v>
          </cell>
        </row>
        <row r="607">
          <cell r="A607">
            <v>41428</v>
          </cell>
          <cell r="B607">
            <v>0.614848697284054</v>
          </cell>
        </row>
        <row r="608">
          <cell r="A608">
            <v>41429</v>
          </cell>
          <cell r="B608">
            <v>0.614848697284054</v>
          </cell>
        </row>
        <row r="609">
          <cell r="A609">
            <v>41430</v>
          </cell>
          <cell r="B609">
            <v>0.614848697284054</v>
          </cell>
        </row>
        <row r="610">
          <cell r="A610">
            <v>41431</v>
          </cell>
          <cell r="B610">
            <v>0.60559705603105995</v>
          </cell>
        </row>
        <row r="611">
          <cell r="A611">
            <v>41432</v>
          </cell>
          <cell r="B611">
            <v>0.60559705603105995</v>
          </cell>
        </row>
        <row r="612">
          <cell r="A612">
            <v>41436</v>
          </cell>
          <cell r="B612">
            <v>0.60559705603105995</v>
          </cell>
        </row>
        <row r="613">
          <cell r="A613">
            <v>41437</v>
          </cell>
          <cell r="B613">
            <v>0.60559705603105995</v>
          </cell>
        </row>
        <row r="614">
          <cell r="A614">
            <v>41438</v>
          </cell>
          <cell r="B614">
            <v>0.57343184072471898</v>
          </cell>
        </row>
        <row r="615">
          <cell r="A615">
            <v>41439</v>
          </cell>
          <cell r="B615">
            <v>0.57343184072471898</v>
          </cell>
        </row>
        <row r="616">
          <cell r="A616">
            <v>41442</v>
          </cell>
          <cell r="B616">
            <v>0.57343184072471898</v>
          </cell>
        </row>
        <row r="617">
          <cell r="A617">
            <v>41443</v>
          </cell>
          <cell r="B617">
            <v>0.57343184072471898</v>
          </cell>
        </row>
        <row r="618">
          <cell r="A618">
            <v>41444</v>
          </cell>
          <cell r="B618">
            <v>0.57343184072471898</v>
          </cell>
        </row>
        <row r="619">
          <cell r="A619">
            <v>41445</v>
          </cell>
          <cell r="B619">
            <v>0.60175540147873097</v>
          </cell>
        </row>
        <row r="620">
          <cell r="A620">
            <v>41446</v>
          </cell>
          <cell r="B620">
            <v>0.60175540147873097</v>
          </cell>
        </row>
        <row r="621">
          <cell r="A621">
            <v>41450</v>
          </cell>
          <cell r="B621">
            <v>0.60175540147873097</v>
          </cell>
        </row>
        <row r="622">
          <cell r="A622">
            <v>41451</v>
          </cell>
          <cell r="B622">
            <v>0.60175540147873097</v>
          </cell>
        </row>
        <row r="623">
          <cell r="A623">
            <v>41452</v>
          </cell>
          <cell r="B623">
            <v>0.41370007412069798</v>
          </cell>
        </row>
        <row r="624">
          <cell r="A624">
            <v>41453</v>
          </cell>
          <cell r="B624">
            <v>0.41370007412069798</v>
          </cell>
        </row>
        <row r="625">
          <cell r="A625">
            <v>41456</v>
          </cell>
          <cell r="B625">
            <v>0.39643390905357601</v>
          </cell>
        </row>
        <row r="626">
          <cell r="A626">
            <v>41457</v>
          </cell>
          <cell r="B626">
            <v>0.39643390905357601</v>
          </cell>
        </row>
        <row r="627">
          <cell r="A627">
            <v>41458</v>
          </cell>
          <cell r="B627">
            <v>0.43308419457729302</v>
          </cell>
        </row>
        <row r="628">
          <cell r="A628">
            <v>41460</v>
          </cell>
          <cell r="B628">
            <v>0.43308419457729302</v>
          </cell>
        </row>
        <row r="629">
          <cell r="A629">
            <v>41463</v>
          </cell>
          <cell r="B629">
            <v>0.43308419457729302</v>
          </cell>
        </row>
        <row r="630">
          <cell r="A630">
            <v>41464</v>
          </cell>
          <cell r="B630">
            <v>0.43308419457729302</v>
          </cell>
        </row>
        <row r="631">
          <cell r="A631">
            <v>41465</v>
          </cell>
          <cell r="B631">
            <v>0.43308419457729302</v>
          </cell>
        </row>
        <row r="632">
          <cell r="A632">
            <v>41466</v>
          </cell>
          <cell r="B632">
            <v>0.34039157628197098</v>
          </cell>
        </row>
        <row r="633">
          <cell r="A633">
            <v>41467</v>
          </cell>
          <cell r="B633">
            <v>0.34039157628197098</v>
          </cell>
        </row>
        <row r="634">
          <cell r="A634">
            <v>41470</v>
          </cell>
          <cell r="B634">
            <v>0.34039157628197098</v>
          </cell>
        </row>
        <row r="635">
          <cell r="A635">
            <v>41472</v>
          </cell>
          <cell r="B635">
            <v>0.34039157628197098</v>
          </cell>
        </row>
        <row r="636">
          <cell r="A636">
            <v>41473</v>
          </cell>
          <cell r="B636">
            <v>0.426207408093986</v>
          </cell>
        </row>
        <row r="637">
          <cell r="A637">
            <v>41474</v>
          </cell>
          <cell r="B637">
            <v>0.426207408093986</v>
          </cell>
        </row>
        <row r="638">
          <cell r="A638">
            <v>41477</v>
          </cell>
          <cell r="B638">
            <v>0.426207408093986</v>
          </cell>
        </row>
        <row r="639">
          <cell r="A639">
            <v>41478</v>
          </cell>
          <cell r="B639">
            <v>0.426207408093986</v>
          </cell>
        </row>
        <row r="640">
          <cell r="A640">
            <v>41480</v>
          </cell>
          <cell r="B640">
            <v>0.43167939138876898</v>
          </cell>
        </row>
        <row r="641">
          <cell r="A641">
            <v>41481</v>
          </cell>
          <cell r="B641">
            <v>0.43167939138876898</v>
          </cell>
        </row>
        <row r="642">
          <cell r="A642">
            <v>41484</v>
          </cell>
          <cell r="B642">
            <v>0.43167939138876898</v>
          </cell>
        </row>
        <row r="643">
          <cell r="A643">
            <v>41485</v>
          </cell>
          <cell r="B643">
            <v>0.43167939138876898</v>
          </cell>
        </row>
        <row r="644">
          <cell r="A644">
            <v>41486</v>
          </cell>
          <cell r="B644">
            <v>0.43167939138876898</v>
          </cell>
        </row>
        <row r="645">
          <cell r="A645">
            <v>41487</v>
          </cell>
          <cell r="B645">
            <v>0.40917398895536999</v>
          </cell>
        </row>
        <row r="646">
          <cell r="A646">
            <v>41488</v>
          </cell>
          <cell r="B646">
            <v>0.40917398895536999</v>
          </cell>
        </row>
        <row r="647">
          <cell r="A647">
            <v>41491</v>
          </cell>
          <cell r="B647">
            <v>0.40917398895536999</v>
          </cell>
        </row>
        <row r="648">
          <cell r="A648">
            <v>41492</v>
          </cell>
          <cell r="B648">
            <v>0.40917398895536999</v>
          </cell>
        </row>
        <row r="649">
          <cell r="A649">
            <v>41493</v>
          </cell>
          <cell r="B649">
            <v>0.40917398895536999</v>
          </cell>
        </row>
        <row r="650">
          <cell r="A650">
            <v>41494</v>
          </cell>
          <cell r="B650">
            <v>0.40794548718226897</v>
          </cell>
        </row>
        <row r="651">
          <cell r="A651">
            <v>41495</v>
          </cell>
          <cell r="B651">
            <v>0.40794548718226897</v>
          </cell>
        </row>
        <row r="652">
          <cell r="A652">
            <v>41499</v>
          </cell>
          <cell r="B652">
            <v>0.40794548718226897</v>
          </cell>
        </row>
        <row r="653">
          <cell r="A653">
            <v>41508</v>
          </cell>
          <cell r="B653">
            <v>0.28736143003290598</v>
          </cell>
        </row>
        <row r="654">
          <cell r="A654">
            <v>41509</v>
          </cell>
          <cell r="B654">
            <v>0.28736143003290598</v>
          </cell>
        </row>
        <row r="655">
          <cell r="A655">
            <v>41514</v>
          </cell>
          <cell r="B655">
            <v>0.28736143003290598</v>
          </cell>
        </row>
        <row r="656">
          <cell r="A656">
            <v>41515</v>
          </cell>
          <cell r="B656">
            <v>0.32609160736856702</v>
          </cell>
        </row>
        <row r="657">
          <cell r="A657">
            <v>41516</v>
          </cell>
          <cell r="B657">
            <v>0.32609160736856702</v>
          </cell>
        </row>
        <row r="658">
          <cell r="A658">
            <v>41520</v>
          </cell>
          <cell r="B658">
            <v>0.315593133253526</v>
          </cell>
        </row>
        <row r="659">
          <cell r="A659">
            <v>41521</v>
          </cell>
          <cell r="B659">
            <v>0.315593133253526</v>
          </cell>
        </row>
        <row r="660">
          <cell r="A660">
            <v>41522</v>
          </cell>
          <cell r="B660">
            <v>0.28153720559456502</v>
          </cell>
        </row>
        <row r="661">
          <cell r="A661">
            <v>41523</v>
          </cell>
          <cell r="B661">
            <v>0.28153720559456502</v>
          </cell>
        </row>
        <row r="662">
          <cell r="A662">
            <v>41526</v>
          </cell>
          <cell r="B662">
            <v>0.28153720559456502</v>
          </cell>
        </row>
        <row r="663">
          <cell r="A663">
            <v>41527</v>
          </cell>
          <cell r="B663">
            <v>0.28153720559456502</v>
          </cell>
        </row>
        <row r="664">
          <cell r="A664">
            <v>41528</v>
          </cell>
          <cell r="B664">
            <v>0.28153720559456502</v>
          </cell>
        </row>
        <row r="665">
          <cell r="A665">
            <v>41529</v>
          </cell>
          <cell r="B665">
            <v>0.28153720559456502</v>
          </cell>
        </row>
        <row r="666">
          <cell r="A666">
            <v>41530</v>
          </cell>
          <cell r="B666">
            <v>0.28153720559456502</v>
          </cell>
        </row>
        <row r="667">
          <cell r="A667">
            <v>41533</v>
          </cell>
          <cell r="B667">
            <v>0.28153720559456502</v>
          </cell>
        </row>
        <row r="668">
          <cell r="A668">
            <v>41534</v>
          </cell>
          <cell r="B668">
            <v>0.28153720559456502</v>
          </cell>
        </row>
        <row r="669">
          <cell r="A669">
            <v>41535</v>
          </cell>
          <cell r="B669">
            <v>0.28153720559456502</v>
          </cell>
        </row>
        <row r="670">
          <cell r="A670">
            <v>41536</v>
          </cell>
          <cell r="B670">
            <v>0.33139494640254802</v>
          </cell>
        </row>
        <row r="671">
          <cell r="A671">
            <v>41537</v>
          </cell>
          <cell r="B671">
            <v>0.33139494640254802</v>
          </cell>
        </row>
        <row r="672">
          <cell r="A672">
            <v>41540</v>
          </cell>
          <cell r="B672">
            <v>0.33139494640254802</v>
          </cell>
        </row>
        <row r="673">
          <cell r="A673">
            <v>41541</v>
          </cell>
          <cell r="B673">
            <v>0.33139494640254802</v>
          </cell>
        </row>
        <row r="674">
          <cell r="A674">
            <v>41542</v>
          </cell>
          <cell r="B674">
            <v>0.33139494640254802</v>
          </cell>
        </row>
        <row r="675">
          <cell r="A675">
            <v>41543</v>
          </cell>
          <cell r="B675">
            <v>0.404422924260806</v>
          </cell>
        </row>
        <row r="676">
          <cell r="A676">
            <v>41544</v>
          </cell>
          <cell r="B676">
            <v>0.404422924260806</v>
          </cell>
        </row>
        <row r="677">
          <cell r="A677">
            <v>41547</v>
          </cell>
          <cell r="B677">
            <v>0.404422924260806</v>
          </cell>
        </row>
        <row r="678">
          <cell r="A678">
            <v>41548</v>
          </cell>
          <cell r="B678">
            <v>0.39753455676891197</v>
          </cell>
        </row>
        <row r="679">
          <cell r="A679">
            <v>41549</v>
          </cell>
          <cell r="B679">
            <v>0.39753455676891197</v>
          </cell>
        </row>
        <row r="680">
          <cell r="A680">
            <v>41550</v>
          </cell>
          <cell r="B680">
            <v>0.41492382770581399</v>
          </cell>
        </row>
        <row r="681">
          <cell r="A681">
            <v>41551</v>
          </cell>
          <cell r="B681">
            <v>0.41492382770581399</v>
          </cell>
        </row>
        <row r="682">
          <cell r="A682">
            <v>41554</v>
          </cell>
          <cell r="B682">
            <v>0.41492382770581399</v>
          </cell>
        </row>
        <row r="683">
          <cell r="A683">
            <v>41555</v>
          </cell>
          <cell r="B683">
            <v>0.41492382770581399</v>
          </cell>
        </row>
        <row r="684">
          <cell r="A684">
            <v>41557</v>
          </cell>
          <cell r="B684">
            <v>0.41233771643317702</v>
          </cell>
        </row>
        <row r="685">
          <cell r="A685">
            <v>41558</v>
          </cell>
          <cell r="B685">
            <v>0.41233771643317702</v>
          </cell>
        </row>
        <row r="686">
          <cell r="A686">
            <v>41562</v>
          </cell>
          <cell r="B686">
            <v>0.41233771643317702</v>
          </cell>
        </row>
        <row r="687">
          <cell r="A687">
            <v>41564</v>
          </cell>
          <cell r="B687">
            <v>0.40226083862325102</v>
          </cell>
        </row>
        <row r="688">
          <cell r="A688">
            <v>41565</v>
          </cell>
          <cell r="B688">
            <v>0.40226083862325102</v>
          </cell>
        </row>
        <row r="689">
          <cell r="A689">
            <v>41568</v>
          </cell>
          <cell r="B689">
            <v>0.40226083862325102</v>
          </cell>
        </row>
        <row r="690">
          <cell r="A690">
            <v>41569</v>
          </cell>
          <cell r="B690">
            <v>0.40226083862325102</v>
          </cell>
        </row>
        <row r="691">
          <cell r="A691">
            <v>41570</v>
          </cell>
          <cell r="B691">
            <v>0.40226083862325102</v>
          </cell>
        </row>
        <row r="692">
          <cell r="A692">
            <v>41571</v>
          </cell>
          <cell r="B692">
            <v>0.44174331286746599</v>
          </cell>
        </row>
        <row r="693">
          <cell r="A693">
            <v>41572</v>
          </cell>
          <cell r="B693">
            <v>0.44174331286746599</v>
          </cell>
        </row>
        <row r="694">
          <cell r="A694">
            <v>41577</v>
          </cell>
          <cell r="B694">
            <v>0.44174331286746599</v>
          </cell>
        </row>
        <row r="695">
          <cell r="A695">
            <v>41578</v>
          </cell>
          <cell r="B695">
            <v>0.46054051472194202</v>
          </cell>
        </row>
        <row r="696">
          <cell r="A696">
            <v>41579</v>
          </cell>
          <cell r="B696">
            <v>0.45992799651573901</v>
          </cell>
        </row>
        <row r="697">
          <cell r="A697">
            <v>41582</v>
          </cell>
          <cell r="B697">
            <v>0.45992799651573901</v>
          </cell>
        </row>
        <row r="698">
          <cell r="A698">
            <v>41583</v>
          </cell>
          <cell r="B698">
            <v>0.45992799651573901</v>
          </cell>
        </row>
        <row r="699">
          <cell r="A699">
            <v>41584</v>
          </cell>
          <cell r="B699">
            <v>0.45992799651573901</v>
          </cell>
        </row>
        <row r="700">
          <cell r="A700">
            <v>41585</v>
          </cell>
          <cell r="B700">
            <v>0.42914615919681298</v>
          </cell>
        </row>
        <row r="701">
          <cell r="A701">
            <v>41586</v>
          </cell>
          <cell r="B701">
            <v>0.42914615919681298</v>
          </cell>
        </row>
        <row r="702">
          <cell r="A702">
            <v>41590</v>
          </cell>
          <cell r="B702">
            <v>0.42914615919681298</v>
          </cell>
        </row>
        <row r="703">
          <cell r="A703">
            <v>41593</v>
          </cell>
          <cell r="B703">
            <v>0.38756459325455</v>
          </cell>
        </row>
        <row r="704">
          <cell r="A704">
            <v>41596</v>
          </cell>
          <cell r="B704">
            <v>0.38756459325455</v>
          </cell>
        </row>
        <row r="705">
          <cell r="A705">
            <v>41597</v>
          </cell>
          <cell r="B705">
            <v>0.38756459325455</v>
          </cell>
        </row>
        <row r="706">
          <cell r="A706">
            <v>41598</v>
          </cell>
          <cell r="B706">
            <v>0.38756459325455</v>
          </cell>
        </row>
        <row r="707">
          <cell r="A707">
            <v>41599</v>
          </cell>
          <cell r="B707">
            <v>0.41376095810168201</v>
          </cell>
        </row>
        <row r="708">
          <cell r="A708">
            <v>41600</v>
          </cell>
          <cell r="B708">
            <v>0.41376095810168201</v>
          </cell>
        </row>
        <row r="709">
          <cell r="A709">
            <v>41603</v>
          </cell>
          <cell r="B709">
            <v>0.41376095810168201</v>
          </cell>
        </row>
        <row r="710">
          <cell r="A710">
            <v>41604</v>
          </cell>
          <cell r="B710">
            <v>0.41376095810168201</v>
          </cell>
        </row>
        <row r="711">
          <cell r="A711">
            <v>41605</v>
          </cell>
          <cell r="B711">
            <v>0.39685395177288302</v>
          </cell>
        </row>
        <row r="712">
          <cell r="A712">
            <v>41610</v>
          </cell>
          <cell r="B712">
            <v>0.39163572008716802</v>
          </cell>
        </row>
        <row r="713">
          <cell r="A713">
            <v>41611</v>
          </cell>
          <cell r="B713">
            <v>0.39163572008716802</v>
          </cell>
        </row>
        <row r="714">
          <cell r="A714">
            <v>41612</v>
          </cell>
          <cell r="B714">
            <v>0.39163572008716802</v>
          </cell>
        </row>
        <row r="715">
          <cell r="A715">
            <v>41613</v>
          </cell>
          <cell r="B715">
            <v>0.347358703685412</v>
          </cell>
        </row>
        <row r="716">
          <cell r="A716">
            <v>41614</v>
          </cell>
          <cell r="B716">
            <v>0.347358703685412</v>
          </cell>
        </row>
        <row r="717">
          <cell r="A717">
            <v>41617</v>
          </cell>
          <cell r="B717">
            <v>0.347358703685412</v>
          </cell>
        </row>
        <row r="718">
          <cell r="A718">
            <v>41618</v>
          </cell>
          <cell r="B718">
            <v>0.347358703685412</v>
          </cell>
        </row>
        <row r="719">
          <cell r="A719">
            <v>41619</v>
          </cell>
          <cell r="B719">
            <v>0.347358703685412</v>
          </cell>
        </row>
        <row r="720">
          <cell r="A720">
            <v>41620</v>
          </cell>
          <cell r="B720">
            <v>0.37050298104882501</v>
          </cell>
        </row>
        <row r="721">
          <cell r="A721">
            <v>41621</v>
          </cell>
          <cell r="B721">
            <v>0.37050298104882501</v>
          </cell>
        </row>
        <row r="722">
          <cell r="A722">
            <v>41624</v>
          </cell>
          <cell r="B722">
            <v>0.37050298104882501</v>
          </cell>
        </row>
        <row r="723">
          <cell r="A723">
            <v>41626</v>
          </cell>
          <cell r="B723">
            <v>0.37050298104882501</v>
          </cell>
        </row>
        <row r="724">
          <cell r="A724">
            <v>41627</v>
          </cell>
          <cell r="B724">
            <v>0.33802122298332299</v>
          </cell>
        </row>
        <row r="725">
          <cell r="A725">
            <v>41628</v>
          </cell>
          <cell r="B725">
            <v>0.33802122298332299</v>
          </cell>
        </row>
        <row r="726">
          <cell r="A726">
            <v>41631</v>
          </cell>
          <cell r="B726">
            <v>0.33802122298332299</v>
          </cell>
        </row>
        <row r="727">
          <cell r="A727">
            <v>41632</v>
          </cell>
          <cell r="B727">
            <v>0.33802122298332299</v>
          </cell>
        </row>
        <row r="728">
          <cell r="A728">
            <v>41634</v>
          </cell>
          <cell r="B728">
            <v>0.32957871451229898</v>
          </cell>
        </row>
        <row r="729">
          <cell r="A729">
            <v>41635</v>
          </cell>
          <cell r="B729">
            <v>0.32957871451229898</v>
          </cell>
        </row>
        <row r="730">
          <cell r="A730">
            <v>41638</v>
          </cell>
          <cell r="B730">
            <v>0.32957871451229898</v>
          </cell>
        </row>
        <row r="731">
          <cell r="A731">
            <v>41639</v>
          </cell>
          <cell r="B731">
            <v>0.32957871451229898</v>
          </cell>
        </row>
        <row r="732">
          <cell r="A732">
            <v>41641</v>
          </cell>
          <cell r="B732">
            <v>0.273381996337976</v>
          </cell>
        </row>
        <row r="733">
          <cell r="A733">
            <v>41642</v>
          </cell>
          <cell r="B733">
            <v>0.273381996337976</v>
          </cell>
        </row>
        <row r="734">
          <cell r="A734">
            <v>41645</v>
          </cell>
          <cell r="B734">
            <v>0.273381996337976</v>
          </cell>
        </row>
        <row r="735">
          <cell r="A735">
            <v>41646</v>
          </cell>
          <cell r="B735">
            <v>0.273381996337976</v>
          </cell>
        </row>
        <row r="736">
          <cell r="A736">
            <v>41648</v>
          </cell>
          <cell r="B736">
            <v>0.28943231649708401</v>
          </cell>
        </row>
        <row r="737">
          <cell r="A737">
            <v>41649</v>
          </cell>
          <cell r="B737">
            <v>0.28943231649708401</v>
          </cell>
        </row>
        <row r="738">
          <cell r="A738">
            <v>41652</v>
          </cell>
          <cell r="B738">
            <v>0.28943231649708401</v>
          </cell>
        </row>
        <row r="739">
          <cell r="A739">
            <v>41653</v>
          </cell>
          <cell r="B739">
            <v>0.28943231649708401</v>
          </cell>
        </row>
        <row r="740">
          <cell r="A740">
            <v>41654</v>
          </cell>
          <cell r="B740">
            <v>0.28943231649708401</v>
          </cell>
        </row>
        <row r="741">
          <cell r="A741">
            <v>41655</v>
          </cell>
          <cell r="B741">
            <v>0.36765798039511299</v>
          </cell>
        </row>
        <row r="742">
          <cell r="A742">
            <v>41656</v>
          </cell>
          <cell r="B742">
            <v>0.36765798039511299</v>
          </cell>
        </row>
        <row r="743">
          <cell r="A743">
            <v>41660</v>
          </cell>
          <cell r="B743">
            <v>0.36765798039511299</v>
          </cell>
        </row>
        <row r="744">
          <cell r="A744">
            <v>41661</v>
          </cell>
          <cell r="B744">
            <v>0.36765798039511299</v>
          </cell>
        </row>
        <row r="745">
          <cell r="A745">
            <v>41662</v>
          </cell>
          <cell r="B745">
            <v>0.37084428304329597</v>
          </cell>
        </row>
        <row r="746">
          <cell r="A746">
            <v>41663</v>
          </cell>
          <cell r="B746">
            <v>0.37084428304329597</v>
          </cell>
        </row>
        <row r="747">
          <cell r="A747">
            <v>41666</v>
          </cell>
          <cell r="B747">
            <v>0.37084428304329597</v>
          </cell>
        </row>
        <row r="748">
          <cell r="A748">
            <v>41667</v>
          </cell>
          <cell r="B748">
            <v>0.37084428304329597</v>
          </cell>
        </row>
        <row r="749">
          <cell r="A749">
            <v>41668</v>
          </cell>
          <cell r="B749">
            <v>0.37084428304329597</v>
          </cell>
        </row>
        <row r="750">
          <cell r="A750">
            <v>41669</v>
          </cell>
          <cell r="B750">
            <v>0.38154102604960499</v>
          </cell>
        </row>
        <row r="751">
          <cell r="A751">
            <v>41670</v>
          </cell>
          <cell r="B751">
            <v>0.38154102604960499</v>
          </cell>
        </row>
        <row r="752">
          <cell r="A752">
            <v>41673</v>
          </cell>
          <cell r="B752">
            <v>0.37772565332895602</v>
          </cell>
        </row>
        <row r="753">
          <cell r="A753">
            <v>41674</v>
          </cell>
          <cell r="B753">
            <v>0.37772565332895602</v>
          </cell>
        </row>
        <row r="754">
          <cell r="A754">
            <v>41675</v>
          </cell>
          <cell r="B754">
            <v>0.37772565332895602</v>
          </cell>
        </row>
        <row r="755">
          <cell r="A755">
            <v>41676</v>
          </cell>
          <cell r="B755">
            <v>0.39983029630913802</v>
          </cell>
        </row>
        <row r="756">
          <cell r="A756">
            <v>41677</v>
          </cell>
          <cell r="B756">
            <v>0.39983029630913802</v>
          </cell>
        </row>
        <row r="757">
          <cell r="A757">
            <v>41680</v>
          </cell>
          <cell r="B757">
            <v>0.39983029630913802</v>
          </cell>
        </row>
        <row r="758">
          <cell r="A758">
            <v>41681</v>
          </cell>
          <cell r="B758">
            <v>0.39983029630913802</v>
          </cell>
        </row>
        <row r="759">
          <cell r="A759">
            <v>41682</v>
          </cell>
          <cell r="B759">
            <v>0.39983029630913802</v>
          </cell>
        </row>
        <row r="760">
          <cell r="A760">
            <v>41683</v>
          </cell>
          <cell r="B760">
            <v>0.385235227392075</v>
          </cell>
        </row>
        <row r="761">
          <cell r="A761">
            <v>41684</v>
          </cell>
          <cell r="B761">
            <v>0.385235227392075</v>
          </cell>
        </row>
        <row r="762">
          <cell r="A762">
            <v>41688</v>
          </cell>
          <cell r="B762">
            <v>0.385235227392075</v>
          </cell>
        </row>
        <row r="763">
          <cell r="A763">
            <v>41689</v>
          </cell>
          <cell r="B763">
            <v>0.385235227392075</v>
          </cell>
        </row>
        <row r="764">
          <cell r="A764">
            <v>41690</v>
          </cell>
          <cell r="B764">
            <v>0.375411030467661</v>
          </cell>
        </row>
        <row r="765">
          <cell r="A765">
            <v>41691</v>
          </cell>
          <cell r="B765">
            <v>0.375411030467661</v>
          </cell>
        </row>
        <row r="766">
          <cell r="A766">
            <v>41694</v>
          </cell>
          <cell r="B766">
            <v>0.375411030467661</v>
          </cell>
        </row>
        <row r="767">
          <cell r="A767">
            <v>41695</v>
          </cell>
          <cell r="B767">
            <v>0.375411030467661</v>
          </cell>
        </row>
        <row r="768">
          <cell r="A768">
            <v>41696</v>
          </cell>
          <cell r="B768">
            <v>0.375411030467661</v>
          </cell>
        </row>
        <row r="769">
          <cell r="A769">
            <v>41697</v>
          </cell>
          <cell r="B769">
            <v>0.36950911021955302</v>
          </cell>
        </row>
        <row r="770">
          <cell r="A770">
            <v>41698</v>
          </cell>
          <cell r="B770">
            <v>0.36950911021955302</v>
          </cell>
        </row>
        <row r="771">
          <cell r="A771">
            <v>41701</v>
          </cell>
          <cell r="B771">
            <v>0.36618748344447</v>
          </cell>
        </row>
        <row r="772">
          <cell r="A772">
            <v>41702</v>
          </cell>
          <cell r="B772">
            <v>0.36618748344447</v>
          </cell>
        </row>
        <row r="773">
          <cell r="A773">
            <v>41703</v>
          </cell>
          <cell r="B773">
            <v>0.36618748344447</v>
          </cell>
        </row>
        <row r="774">
          <cell r="A774">
            <v>41704</v>
          </cell>
          <cell r="B774">
            <v>0.38305038505575201</v>
          </cell>
        </row>
        <row r="775">
          <cell r="A775">
            <v>41705</v>
          </cell>
          <cell r="B775">
            <v>0.38305038505575201</v>
          </cell>
        </row>
        <row r="776">
          <cell r="A776">
            <v>41708</v>
          </cell>
          <cell r="B776">
            <v>0.38305038505575201</v>
          </cell>
        </row>
        <row r="777">
          <cell r="A777">
            <v>41709</v>
          </cell>
          <cell r="B777">
            <v>0.38305038505575201</v>
          </cell>
        </row>
        <row r="778">
          <cell r="A778">
            <v>41710</v>
          </cell>
          <cell r="B778">
            <v>0.38305038505575201</v>
          </cell>
        </row>
        <row r="779">
          <cell r="A779">
            <v>41711</v>
          </cell>
          <cell r="B779">
            <v>0.36618748344447</v>
          </cell>
        </row>
        <row r="780">
          <cell r="A780">
            <v>41712</v>
          </cell>
          <cell r="B780">
            <v>0.36618748344447</v>
          </cell>
        </row>
        <row r="781">
          <cell r="A781">
            <v>41715</v>
          </cell>
          <cell r="B781">
            <v>0.36618748344447</v>
          </cell>
        </row>
        <row r="782">
          <cell r="A782">
            <v>41716</v>
          </cell>
          <cell r="B782">
            <v>0.36618748344447</v>
          </cell>
        </row>
        <row r="783">
          <cell r="A783">
            <v>41717</v>
          </cell>
          <cell r="B783">
            <v>0.36618748344447</v>
          </cell>
        </row>
        <row r="784">
          <cell r="A784">
            <v>41718</v>
          </cell>
          <cell r="B784">
            <v>0.37473459168456602</v>
          </cell>
        </row>
        <row r="785">
          <cell r="A785">
            <v>41719</v>
          </cell>
          <cell r="B785">
            <v>0.37473459168456602</v>
          </cell>
        </row>
        <row r="786">
          <cell r="A786">
            <v>41722</v>
          </cell>
          <cell r="B786">
            <v>0.37473459168456602</v>
          </cell>
        </row>
        <row r="787">
          <cell r="A787">
            <v>41723</v>
          </cell>
          <cell r="B787">
            <v>0.37473459168456602</v>
          </cell>
        </row>
        <row r="788">
          <cell r="A788">
            <v>41724</v>
          </cell>
          <cell r="B788">
            <v>0.37473459168456602</v>
          </cell>
        </row>
        <row r="789">
          <cell r="A789">
            <v>41725</v>
          </cell>
          <cell r="B789">
            <v>0.36106783694827599</v>
          </cell>
        </row>
        <row r="790">
          <cell r="A790">
            <v>41726</v>
          </cell>
          <cell r="B790">
            <v>0.36106783694827599</v>
          </cell>
        </row>
        <row r="791">
          <cell r="A791">
            <v>41729</v>
          </cell>
          <cell r="B791">
            <v>0.36106783694827599</v>
          </cell>
        </row>
        <row r="792">
          <cell r="A792">
            <v>41730</v>
          </cell>
          <cell r="B792">
            <v>0.35665287918352401</v>
          </cell>
        </row>
        <row r="793">
          <cell r="A793">
            <v>41731</v>
          </cell>
          <cell r="B793">
            <v>0.35665287918352401</v>
          </cell>
        </row>
        <row r="794">
          <cell r="A794">
            <v>41732</v>
          </cell>
          <cell r="B794">
            <v>0.35514156438481698</v>
          </cell>
        </row>
        <row r="795">
          <cell r="A795">
            <v>41733</v>
          </cell>
          <cell r="B795">
            <v>0.35514156438481698</v>
          </cell>
        </row>
        <row r="796">
          <cell r="A796">
            <v>41736</v>
          </cell>
          <cell r="B796">
            <v>0.35514156438481698</v>
          </cell>
        </row>
        <row r="797">
          <cell r="A797">
            <v>41737</v>
          </cell>
          <cell r="B797">
            <v>0.35514156438481698</v>
          </cell>
        </row>
        <row r="798">
          <cell r="A798">
            <v>41738</v>
          </cell>
          <cell r="B798">
            <v>0.35514156438481698</v>
          </cell>
        </row>
        <row r="799">
          <cell r="A799">
            <v>41739</v>
          </cell>
          <cell r="B799">
            <v>0.36665858727100598</v>
          </cell>
        </row>
        <row r="800">
          <cell r="A800">
            <v>41740</v>
          </cell>
          <cell r="B800">
            <v>0.36665858727100598</v>
          </cell>
        </row>
        <row r="801">
          <cell r="A801">
            <v>41743</v>
          </cell>
          <cell r="B801">
            <v>0.36665858727100598</v>
          </cell>
        </row>
        <row r="802">
          <cell r="A802">
            <v>41744</v>
          </cell>
          <cell r="B802">
            <v>0.36665858727100598</v>
          </cell>
        </row>
        <row r="803">
          <cell r="A803">
            <v>41745</v>
          </cell>
          <cell r="B803">
            <v>0.36665858727100598</v>
          </cell>
        </row>
        <row r="804">
          <cell r="A804">
            <v>41746</v>
          </cell>
          <cell r="B804">
            <v>0.38166972699665502</v>
          </cell>
        </row>
        <row r="805">
          <cell r="A805">
            <v>41750</v>
          </cell>
          <cell r="B805">
            <v>0.38166972699665502</v>
          </cell>
        </row>
        <row r="806">
          <cell r="A806">
            <v>41751</v>
          </cell>
          <cell r="B806">
            <v>0.38166972699665502</v>
          </cell>
        </row>
        <row r="807">
          <cell r="A807">
            <v>41752</v>
          </cell>
          <cell r="B807">
            <v>0.38166972699665502</v>
          </cell>
        </row>
        <row r="808">
          <cell r="A808">
            <v>41753</v>
          </cell>
          <cell r="B808">
            <v>0.36809292035715802</v>
          </cell>
        </row>
        <row r="809">
          <cell r="A809">
            <v>41754</v>
          </cell>
          <cell r="B809">
            <v>0.36809292035715802</v>
          </cell>
        </row>
        <row r="810">
          <cell r="A810">
            <v>41757</v>
          </cell>
          <cell r="B810">
            <v>0.36809292035715802</v>
          </cell>
        </row>
        <row r="811">
          <cell r="A811">
            <v>41758</v>
          </cell>
          <cell r="B811">
            <v>0.36809292035715802</v>
          </cell>
        </row>
        <row r="812">
          <cell r="A812">
            <v>41759</v>
          </cell>
          <cell r="B812">
            <v>0.36809292035715802</v>
          </cell>
        </row>
        <row r="813">
          <cell r="A813">
            <v>41760</v>
          </cell>
          <cell r="B813">
            <v>0.37329753351950501</v>
          </cell>
        </row>
        <row r="814">
          <cell r="A814">
            <v>41761</v>
          </cell>
          <cell r="B814">
            <v>0.37329753351950501</v>
          </cell>
        </row>
        <row r="815">
          <cell r="A815">
            <v>41764</v>
          </cell>
          <cell r="B815">
            <v>0.37329753351950501</v>
          </cell>
        </row>
        <row r="816">
          <cell r="A816">
            <v>41765</v>
          </cell>
          <cell r="B816">
            <v>0.37329753351950501</v>
          </cell>
        </row>
        <row r="817">
          <cell r="A817">
            <v>41766</v>
          </cell>
          <cell r="B817">
            <v>0.37329753351950501</v>
          </cell>
        </row>
        <row r="818">
          <cell r="A818">
            <v>41767</v>
          </cell>
          <cell r="B818">
            <v>0.40121753760358098</v>
          </cell>
        </row>
        <row r="819">
          <cell r="A819">
            <v>41768</v>
          </cell>
          <cell r="B819">
            <v>0.40121753760358098</v>
          </cell>
        </row>
        <row r="820">
          <cell r="A820">
            <v>41771</v>
          </cell>
          <cell r="B820">
            <v>0.40121753760358098</v>
          </cell>
        </row>
        <row r="821">
          <cell r="A821">
            <v>41772</v>
          </cell>
          <cell r="B821">
            <v>0.40121753760358098</v>
          </cell>
        </row>
        <row r="822">
          <cell r="A822">
            <v>41773</v>
          </cell>
          <cell r="B822">
            <v>0.40121753760358098</v>
          </cell>
        </row>
        <row r="823">
          <cell r="A823">
            <v>41774</v>
          </cell>
          <cell r="B823">
            <v>0.40418715867892502</v>
          </cell>
        </row>
        <row r="824">
          <cell r="A824">
            <v>41775</v>
          </cell>
          <cell r="B824">
            <v>0.40418715867892502</v>
          </cell>
        </row>
        <row r="825">
          <cell r="A825">
            <v>41778</v>
          </cell>
          <cell r="B825">
            <v>0.40418715867892502</v>
          </cell>
        </row>
        <row r="826">
          <cell r="A826">
            <v>41779</v>
          </cell>
          <cell r="B826">
            <v>0.40418715867892502</v>
          </cell>
        </row>
        <row r="827">
          <cell r="A827">
            <v>41780</v>
          </cell>
          <cell r="B827">
            <v>0.40418715867892502</v>
          </cell>
        </row>
        <row r="828">
          <cell r="A828">
            <v>41781</v>
          </cell>
          <cell r="B828">
            <v>0.43156044404796001</v>
          </cell>
        </row>
        <row r="829">
          <cell r="A829">
            <v>41782</v>
          </cell>
          <cell r="B829">
            <v>0.43156044404796001</v>
          </cell>
        </row>
        <row r="830">
          <cell r="A830">
            <v>41786</v>
          </cell>
          <cell r="B830">
            <v>0.43156044404796001</v>
          </cell>
        </row>
        <row r="831">
          <cell r="A831">
            <v>41787</v>
          </cell>
          <cell r="B831">
            <v>0.43156044404796001</v>
          </cell>
        </row>
        <row r="832">
          <cell r="A832">
            <v>41788</v>
          </cell>
          <cell r="B832">
            <v>0.44289145430937299</v>
          </cell>
        </row>
        <row r="833">
          <cell r="A833">
            <v>41789</v>
          </cell>
          <cell r="B833">
            <v>0.44289145430937299</v>
          </cell>
        </row>
        <row r="834">
          <cell r="A834">
            <v>41792</v>
          </cell>
          <cell r="B834">
            <v>0.44150761506791297</v>
          </cell>
        </row>
        <row r="835">
          <cell r="A835">
            <v>41793</v>
          </cell>
          <cell r="B835">
            <v>0.44150761506791297</v>
          </cell>
        </row>
        <row r="836">
          <cell r="A836">
            <v>41794</v>
          </cell>
          <cell r="B836">
            <v>0.44150761506791297</v>
          </cell>
        </row>
        <row r="837">
          <cell r="A837">
            <v>41795</v>
          </cell>
          <cell r="B837">
            <v>0.429907169996321</v>
          </cell>
        </row>
        <row r="838">
          <cell r="A838">
            <v>41796</v>
          </cell>
          <cell r="B838">
            <v>0.429907169996321</v>
          </cell>
        </row>
        <row r="839">
          <cell r="A839">
            <v>41799</v>
          </cell>
          <cell r="B839">
            <v>0.429907169996321</v>
          </cell>
        </row>
        <row r="840">
          <cell r="A840">
            <v>41800</v>
          </cell>
          <cell r="B840">
            <v>0.429907169996321</v>
          </cell>
        </row>
        <row r="841">
          <cell r="A841">
            <v>41801</v>
          </cell>
          <cell r="B841">
            <v>0.429907169996321</v>
          </cell>
        </row>
        <row r="842">
          <cell r="A842">
            <v>41802</v>
          </cell>
          <cell r="B842">
            <v>0.40128471016646999</v>
          </cell>
        </row>
        <row r="843">
          <cell r="A843">
            <v>41803</v>
          </cell>
          <cell r="B843">
            <v>0.40128471016646999</v>
          </cell>
        </row>
        <row r="844">
          <cell r="A844">
            <v>41806</v>
          </cell>
          <cell r="B844">
            <v>0.40128471016646999</v>
          </cell>
        </row>
        <row r="845">
          <cell r="A845">
            <v>41807</v>
          </cell>
          <cell r="B845">
            <v>0.40128471016646999</v>
          </cell>
        </row>
        <row r="846">
          <cell r="A846">
            <v>41808</v>
          </cell>
          <cell r="B846">
            <v>0.40128471016646999</v>
          </cell>
        </row>
        <row r="847">
          <cell r="A847">
            <v>41809</v>
          </cell>
          <cell r="B847">
            <v>0.41370374077875499</v>
          </cell>
        </row>
        <row r="848">
          <cell r="A848">
            <v>41810</v>
          </cell>
          <cell r="B848">
            <v>0.41370374077875499</v>
          </cell>
        </row>
        <row r="849">
          <cell r="A849">
            <v>41813</v>
          </cell>
          <cell r="B849">
            <v>0.41370374077875499</v>
          </cell>
        </row>
        <row r="850">
          <cell r="A850">
            <v>41814</v>
          </cell>
          <cell r="B850">
            <v>0.41370374077875499</v>
          </cell>
        </row>
        <row r="851">
          <cell r="A851">
            <v>41815</v>
          </cell>
          <cell r="B851">
            <v>0.41370374077875499</v>
          </cell>
        </row>
        <row r="852">
          <cell r="A852">
            <v>41816</v>
          </cell>
          <cell r="B852">
            <v>0.429907169996321</v>
          </cell>
        </row>
        <row r="853">
          <cell r="A853">
            <v>41817</v>
          </cell>
          <cell r="B853">
            <v>0.429907169996321</v>
          </cell>
        </row>
        <row r="854">
          <cell r="A854">
            <v>41820</v>
          </cell>
          <cell r="B854">
            <v>0.429907169996321</v>
          </cell>
        </row>
        <row r="855">
          <cell r="A855">
            <v>41821</v>
          </cell>
          <cell r="B855">
            <v>0.42761316319375098</v>
          </cell>
        </row>
        <row r="856">
          <cell r="A856">
            <v>41822</v>
          </cell>
          <cell r="B856">
            <v>0.42761316319375098</v>
          </cell>
        </row>
        <row r="857">
          <cell r="A857">
            <v>41823</v>
          </cell>
          <cell r="B857">
            <v>0.43906416657041802</v>
          </cell>
        </row>
        <row r="858">
          <cell r="A858">
            <v>41827</v>
          </cell>
          <cell r="B858">
            <v>0.43906416657041802</v>
          </cell>
        </row>
        <row r="859">
          <cell r="A859">
            <v>41828</v>
          </cell>
          <cell r="B859">
            <v>0.43906416657041802</v>
          </cell>
        </row>
        <row r="860">
          <cell r="A860">
            <v>41829</v>
          </cell>
          <cell r="B860">
            <v>0.43906416657041802</v>
          </cell>
        </row>
        <row r="861">
          <cell r="A861">
            <v>41830</v>
          </cell>
          <cell r="B861">
            <v>0.420794457847457</v>
          </cell>
        </row>
        <row r="862">
          <cell r="A862">
            <v>41831</v>
          </cell>
          <cell r="B862">
            <v>0.420794457847457</v>
          </cell>
        </row>
        <row r="863">
          <cell r="A863">
            <v>41834</v>
          </cell>
          <cell r="B863">
            <v>0.420794457847457</v>
          </cell>
        </row>
        <row r="864">
          <cell r="A864">
            <v>41835</v>
          </cell>
          <cell r="B864">
            <v>0.420794457847457</v>
          </cell>
        </row>
        <row r="865">
          <cell r="A865">
            <v>41836</v>
          </cell>
          <cell r="B865">
            <v>0.420794457847457</v>
          </cell>
        </row>
        <row r="866">
          <cell r="A866">
            <v>41837</v>
          </cell>
          <cell r="B866">
            <v>0.43231309412176999</v>
          </cell>
        </row>
        <row r="867">
          <cell r="A867">
            <v>41838</v>
          </cell>
          <cell r="B867">
            <v>0.43231309412176999</v>
          </cell>
        </row>
        <row r="868">
          <cell r="A868">
            <v>41841</v>
          </cell>
          <cell r="B868">
            <v>0.43231309412176999</v>
          </cell>
        </row>
        <row r="869">
          <cell r="A869">
            <v>41842</v>
          </cell>
          <cell r="B869">
            <v>0.43231309412176999</v>
          </cell>
        </row>
        <row r="870">
          <cell r="A870">
            <v>41843</v>
          </cell>
          <cell r="B870">
            <v>0.43231309412176999</v>
          </cell>
        </row>
        <row r="871">
          <cell r="A871">
            <v>41844</v>
          </cell>
          <cell r="B871">
            <v>0.43231309412176999</v>
          </cell>
        </row>
        <row r="872">
          <cell r="A872">
            <v>41845</v>
          </cell>
          <cell r="B872">
            <v>0.43231309412176999</v>
          </cell>
        </row>
        <row r="873">
          <cell r="A873">
            <v>41848</v>
          </cell>
          <cell r="B873">
            <v>0.43231309412176999</v>
          </cell>
        </row>
        <row r="874">
          <cell r="A874">
            <v>41849</v>
          </cell>
          <cell r="B874">
            <v>0.43231309412176999</v>
          </cell>
        </row>
        <row r="875">
          <cell r="A875">
            <v>41850</v>
          </cell>
          <cell r="B875">
            <v>0.43231309412176999</v>
          </cell>
        </row>
        <row r="876">
          <cell r="A876">
            <v>41851</v>
          </cell>
          <cell r="B876">
            <v>0.43906416657041802</v>
          </cell>
        </row>
        <row r="877">
          <cell r="A877">
            <v>41852</v>
          </cell>
          <cell r="B877">
            <v>0.43538889187038299</v>
          </cell>
        </row>
        <row r="878">
          <cell r="A878">
            <v>41855</v>
          </cell>
          <cell r="B878">
            <v>0.43538889187038299</v>
          </cell>
        </row>
        <row r="879">
          <cell r="A879">
            <v>41856</v>
          </cell>
          <cell r="B879">
            <v>0.43538889187038299</v>
          </cell>
        </row>
        <row r="880">
          <cell r="A880">
            <v>41857</v>
          </cell>
          <cell r="B880">
            <v>0.43538889187038299</v>
          </cell>
        </row>
        <row r="881">
          <cell r="A881">
            <v>41858</v>
          </cell>
          <cell r="B881">
            <v>0.42413376349642801</v>
          </cell>
        </row>
        <row r="882">
          <cell r="A882">
            <v>41859</v>
          </cell>
          <cell r="B882">
            <v>0.42413376349642801</v>
          </cell>
        </row>
        <row r="883">
          <cell r="A883">
            <v>41862</v>
          </cell>
          <cell r="B883">
            <v>0.42413376349642801</v>
          </cell>
        </row>
        <row r="884">
          <cell r="A884">
            <v>41863</v>
          </cell>
          <cell r="B884">
            <v>0.42413376349642801</v>
          </cell>
        </row>
        <row r="885">
          <cell r="A885">
            <v>41864</v>
          </cell>
          <cell r="B885">
            <v>0.42413376349642801</v>
          </cell>
        </row>
        <row r="886">
          <cell r="A886">
            <v>41865</v>
          </cell>
          <cell r="B886">
            <v>0.43538889187038299</v>
          </cell>
        </row>
        <row r="887">
          <cell r="A887">
            <v>41866</v>
          </cell>
          <cell r="B887">
            <v>0.43538889187038299</v>
          </cell>
        </row>
        <row r="888">
          <cell r="A888">
            <v>41869</v>
          </cell>
          <cell r="B888">
            <v>0.43538889187038299</v>
          </cell>
        </row>
        <row r="889">
          <cell r="A889">
            <v>41870</v>
          </cell>
          <cell r="B889">
            <v>0.43538889187038299</v>
          </cell>
        </row>
        <row r="890">
          <cell r="A890">
            <v>41871</v>
          </cell>
          <cell r="B890">
            <v>0.43538889187038299</v>
          </cell>
        </row>
        <row r="891">
          <cell r="A891">
            <v>41872</v>
          </cell>
          <cell r="B891">
            <v>0.45105980423070802</v>
          </cell>
        </row>
        <row r="892">
          <cell r="A892">
            <v>41873</v>
          </cell>
          <cell r="B892">
            <v>0.45105980423070802</v>
          </cell>
        </row>
        <row r="893">
          <cell r="A893">
            <v>41876</v>
          </cell>
          <cell r="B893">
            <v>0.45105980423070802</v>
          </cell>
        </row>
        <row r="894">
          <cell r="A894">
            <v>41877</v>
          </cell>
          <cell r="B894">
            <v>0.45105980423070802</v>
          </cell>
        </row>
        <row r="895">
          <cell r="A895">
            <v>41878</v>
          </cell>
          <cell r="B895">
            <v>0.45105980423070802</v>
          </cell>
        </row>
        <row r="896">
          <cell r="A896">
            <v>41879</v>
          </cell>
          <cell r="B896">
            <v>0.45105980423070802</v>
          </cell>
        </row>
        <row r="897">
          <cell r="A897">
            <v>41880</v>
          </cell>
          <cell r="B897">
            <v>0.45105980423070802</v>
          </cell>
        </row>
        <row r="898">
          <cell r="A898">
            <v>41884</v>
          </cell>
          <cell r="B898">
            <v>0.44686834225614502</v>
          </cell>
        </row>
        <row r="899">
          <cell r="A899">
            <v>41885</v>
          </cell>
          <cell r="B899">
            <v>0.44686834225614502</v>
          </cell>
        </row>
        <row r="900">
          <cell r="A900">
            <v>41886</v>
          </cell>
          <cell r="B900">
            <v>0.44686834225614502</v>
          </cell>
        </row>
        <row r="901">
          <cell r="A901">
            <v>41887</v>
          </cell>
          <cell r="B901">
            <v>0.44686834225614502</v>
          </cell>
        </row>
        <row r="902">
          <cell r="A902">
            <v>41890</v>
          </cell>
          <cell r="B902">
            <v>0.44686834225614502</v>
          </cell>
        </row>
        <row r="903">
          <cell r="A903">
            <v>41891</v>
          </cell>
          <cell r="B903">
            <v>0.44686834225614502</v>
          </cell>
        </row>
        <row r="904">
          <cell r="A904">
            <v>41892</v>
          </cell>
          <cell r="B904">
            <v>0.44686834225614502</v>
          </cell>
        </row>
        <row r="905">
          <cell r="A905">
            <v>41893</v>
          </cell>
          <cell r="B905">
            <v>0.43119648526610799</v>
          </cell>
        </row>
        <row r="906">
          <cell r="A906">
            <v>41894</v>
          </cell>
          <cell r="B906">
            <v>0.43119648526610799</v>
          </cell>
        </row>
        <row r="907">
          <cell r="A907">
            <v>41897</v>
          </cell>
          <cell r="B907">
            <v>0.43119648526610799</v>
          </cell>
        </row>
        <row r="908">
          <cell r="A908">
            <v>41898</v>
          </cell>
          <cell r="B908">
            <v>0.43119648526610799</v>
          </cell>
        </row>
        <row r="909">
          <cell r="A909">
            <v>41899</v>
          </cell>
          <cell r="B909">
            <v>0.43119648526610799</v>
          </cell>
        </row>
        <row r="910">
          <cell r="A910">
            <v>41900</v>
          </cell>
          <cell r="B910">
            <v>0.37422484012928398</v>
          </cell>
        </row>
        <row r="911">
          <cell r="A911">
            <v>41901</v>
          </cell>
          <cell r="B911">
            <v>0.37422484012928398</v>
          </cell>
        </row>
        <row r="912">
          <cell r="A912">
            <v>41904</v>
          </cell>
          <cell r="B912">
            <v>0.37422484012928398</v>
          </cell>
        </row>
        <row r="913">
          <cell r="A913">
            <v>41905</v>
          </cell>
          <cell r="B913">
            <v>0.37422484012928398</v>
          </cell>
        </row>
        <row r="914">
          <cell r="A914">
            <v>41906</v>
          </cell>
          <cell r="B914">
            <v>0.37422484012928398</v>
          </cell>
        </row>
        <row r="915">
          <cell r="A915">
            <v>41907</v>
          </cell>
          <cell r="B915">
            <v>0.38870901214480402</v>
          </cell>
        </row>
        <row r="916">
          <cell r="A916">
            <v>41908</v>
          </cell>
          <cell r="B916">
            <v>0.38870901214480402</v>
          </cell>
        </row>
        <row r="917">
          <cell r="A917">
            <v>41911</v>
          </cell>
          <cell r="B917">
            <v>0.38870901214480402</v>
          </cell>
        </row>
        <row r="918">
          <cell r="A918">
            <v>41912</v>
          </cell>
          <cell r="B918">
            <v>0.38870901214480402</v>
          </cell>
        </row>
        <row r="919">
          <cell r="A919">
            <v>41913</v>
          </cell>
          <cell r="B919">
            <v>0.38430847776478</v>
          </cell>
        </row>
        <row r="920">
          <cell r="A920">
            <v>41914</v>
          </cell>
          <cell r="B920">
            <v>0.38901935972403701</v>
          </cell>
        </row>
        <row r="921">
          <cell r="A921">
            <v>41915</v>
          </cell>
          <cell r="B921">
            <v>0.38901935972403701</v>
          </cell>
        </row>
        <row r="922">
          <cell r="A922">
            <v>41918</v>
          </cell>
          <cell r="B922">
            <v>0.38901935972403701</v>
          </cell>
        </row>
        <row r="923">
          <cell r="A923">
            <v>41919</v>
          </cell>
          <cell r="B923">
            <v>0.38901935972403701</v>
          </cell>
        </row>
        <row r="924">
          <cell r="A924">
            <v>41920</v>
          </cell>
          <cell r="B924">
            <v>0.38901935972403701</v>
          </cell>
        </row>
        <row r="925">
          <cell r="A925">
            <v>41921</v>
          </cell>
          <cell r="B925">
            <v>0.42675826592863297</v>
          </cell>
        </row>
        <row r="926">
          <cell r="A926">
            <v>41922</v>
          </cell>
          <cell r="B926">
            <v>0.42675826592863297</v>
          </cell>
        </row>
        <row r="927">
          <cell r="A927">
            <v>41926</v>
          </cell>
          <cell r="B927">
            <v>0.42675826592863297</v>
          </cell>
        </row>
        <row r="928">
          <cell r="A928">
            <v>41927</v>
          </cell>
          <cell r="B928">
            <v>0.42675826592863297</v>
          </cell>
        </row>
        <row r="929">
          <cell r="A929">
            <v>41928</v>
          </cell>
          <cell r="B929">
            <v>0.54988615852829004</v>
          </cell>
        </row>
        <row r="930">
          <cell r="A930">
            <v>41929</v>
          </cell>
          <cell r="B930">
            <v>0.54988615852829004</v>
          </cell>
        </row>
        <row r="931">
          <cell r="A931">
            <v>41932</v>
          </cell>
          <cell r="B931">
            <v>0.54988615852829004</v>
          </cell>
        </row>
        <row r="932">
          <cell r="A932">
            <v>41933</v>
          </cell>
          <cell r="B932">
            <v>0.54988615852829004</v>
          </cell>
        </row>
        <row r="933">
          <cell r="A933">
            <v>41934</v>
          </cell>
          <cell r="B933">
            <v>0.54988615852829004</v>
          </cell>
        </row>
        <row r="934">
          <cell r="A934">
            <v>41935</v>
          </cell>
          <cell r="B934">
            <v>0.57517284737260699</v>
          </cell>
        </row>
        <row r="935">
          <cell r="A935">
            <v>41936</v>
          </cell>
          <cell r="B935">
            <v>0.57517284737260699</v>
          </cell>
        </row>
        <row r="936">
          <cell r="A936">
            <v>41939</v>
          </cell>
          <cell r="B936">
            <v>0.57517284737260699</v>
          </cell>
        </row>
        <row r="937">
          <cell r="A937">
            <v>41940</v>
          </cell>
          <cell r="B937">
            <v>0.57517284737260699</v>
          </cell>
        </row>
        <row r="938">
          <cell r="A938">
            <v>41941</v>
          </cell>
          <cell r="B938">
            <v>0.57517284737260699</v>
          </cell>
        </row>
        <row r="939">
          <cell r="A939">
            <v>41942</v>
          </cell>
          <cell r="B939">
            <v>0.54355644019764404</v>
          </cell>
        </row>
        <row r="940">
          <cell r="A940">
            <v>41943</v>
          </cell>
          <cell r="B940">
            <v>0.54355644019764404</v>
          </cell>
        </row>
        <row r="941">
          <cell r="A941">
            <v>41946</v>
          </cell>
          <cell r="B941">
            <v>0.54089108147199405</v>
          </cell>
        </row>
        <row r="942">
          <cell r="A942">
            <v>41947</v>
          </cell>
          <cell r="B942">
            <v>0.54089108147199405</v>
          </cell>
        </row>
        <row r="943">
          <cell r="A943">
            <v>41948</v>
          </cell>
          <cell r="B943">
            <v>0.54089108147199405</v>
          </cell>
        </row>
        <row r="944">
          <cell r="A944">
            <v>41949</v>
          </cell>
          <cell r="B944">
            <v>0.505106736466303</v>
          </cell>
        </row>
        <row r="945">
          <cell r="A945">
            <v>41950</v>
          </cell>
          <cell r="B945">
            <v>0.505106736466303</v>
          </cell>
        </row>
        <row r="946">
          <cell r="A946">
            <v>41953</v>
          </cell>
          <cell r="B946">
            <v>0.505106736466303</v>
          </cell>
        </row>
        <row r="947">
          <cell r="A947">
            <v>41955</v>
          </cell>
          <cell r="B947">
            <v>0.505106736466303</v>
          </cell>
        </row>
        <row r="948">
          <cell r="A948">
            <v>41956</v>
          </cell>
          <cell r="B948">
            <v>0.51180256347737196</v>
          </cell>
        </row>
        <row r="949">
          <cell r="A949">
            <v>41957</v>
          </cell>
          <cell r="B949">
            <v>0.51180256347737196</v>
          </cell>
        </row>
        <row r="950">
          <cell r="A950">
            <v>41960</v>
          </cell>
          <cell r="B950">
            <v>0.51180256347737196</v>
          </cell>
        </row>
        <row r="951">
          <cell r="A951">
            <v>41961</v>
          </cell>
          <cell r="B951">
            <v>0.51180256347737196</v>
          </cell>
        </row>
        <row r="952">
          <cell r="A952">
            <v>41962</v>
          </cell>
          <cell r="B952">
            <v>0.51180256347737196</v>
          </cell>
        </row>
        <row r="953">
          <cell r="A953">
            <v>41963</v>
          </cell>
          <cell r="B953">
            <v>0.53125439488383197</v>
          </cell>
        </row>
        <row r="954">
          <cell r="A954">
            <v>41964</v>
          </cell>
          <cell r="B954">
            <v>0.53125439488383197</v>
          </cell>
        </row>
        <row r="955">
          <cell r="A955">
            <v>41967</v>
          </cell>
          <cell r="B955">
            <v>0.53125439488383197</v>
          </cell>
        </row>
        <row r="956">
          <cell r="A956">
            <v>41968</v>
          </cell>
          <cell r="B956">
            <v>0.53125439488383197</v>
          </cell>
        </row>
        <row r="957">
          <cell r="A957">
            <v>41969</v>
          </cell>
          <cell r="B957">
            <v>0.54741627949472405</v>
          </cell>
        </row>
        <row r="958">
          <cell r="A958">
            <v>41971</v>
          </cell>
          <cell r="B958">
            <v>0.54741627949472405</v>
          </cell>
        </row>
        <row r="959">
          <cell r="A959">
            <v>41974</v>
          </cell>
          <cell r="B959">
            <v>0.54296193584840502</v>
          </cell>
        </row>
        <row r="960">
          <cell r="A960">
            <v>41975</v>
          </cell>
          <cell r="B960">
            <v>0.54296193584840502</v>
          </cell>
        </row>
        <row r="961">
          <cell r="A961">
            <v>41976</v>
          </cell>
          <cell r="B961">
            <v>0.54296193584840502</v>
          </cell>
        </row>
        <row r="962">
          <cell r="A962">
            <v>41977</v>
          </cell>
          <cell r="B962">
            <v>0.57616107650745496</v>
          </cell>
        </row>
        <row r="963">
          <cell r="A963">
            <v>41978</v>
          </cell>
          <cell r="B963">
            <v>0.57616107650745496</v>
          </cell>
        </row>
        <row r="964">
          <cell r="A964">
            <v>41981</v>
          </cell>
          <cell r="B964">
            <v>0.57616107650745496</v>
          </cell>
        </row>
        <row r="965">
          <cell r="A965">
            <v>41982</v>
          </cell>
          <cell r="B965">
            <v>0.57616107650745496</v>
          </cell>
        </row>
        <row r="966">
          <cell r="A966">
            <v>41983</v>
          </cell>
          <cell r="B966">
            <v>0.57616107650745496</v>
          </cell>
        </row>
        <row r="967">
          <cell r="A967">
            <v>41984</v>
          </cell>
          <cell r="B967">
            <v>0.56511283574971805</v>
          </cell>
        </row>
        <row r="968">
          <cell r="A968">
            <v>41985</v>
          </cell>
          <cell r="B968">
            <v>0.56511283574971805</v>
          </cell>
        </row>
        <row r="969">
          <cell r="A969">
            <v>41988</v>
          </cell>
          <cell r="B969">
            <v>0.56511283574971805</v>
          </cell>
        </row>
        <row r="970">
          <cell r="A970">
            <v>41989</v>
          </cell>
          <cell r="B970">
            <v>0.56511283574971805</v>
          </cell>
        </row>
        <row r="971">
          <cell r="A971">
            <v>41990</v>
          </cell>
          <cell r="B971">
            <v>0.56511283574971805</v>
          </cell>
        </row>
        <row r="972">
          <cell r="A972">
            <v>41991</v>
          </cell>
          <cell r="B972">
            <v>0.60670206616303102</v>
          </cell>
        </row>
        <row r="973">
          <cell r="A973">
            <v>41992</v>
          </cell>
          <cell r="B973">
            <v>0.60670206616303102</v>
          </cell>
        </row>
        <row r="974">
          <cell r="A974">
            <v>41995</v>
          </cell>
          <cell r="B974">
            <v>0.60670206616303102</v>
          </cell>
        </row>
        <row r="975">
          <cell r="A975">
            <v>41996</v>
          </cell>
          <cell r="B975">
            <v>0.60670206616303102</v>
          </cell>
        </row>
        <row r="976">
          <cell r="A976">
            <v>41997</v>
          </cell>
          <cell r="B976">
            <v>0.59762468592169804</v>
          </cell>
        </row>
        <row r="977">
          <cell r="A977">
            <v>41999</v>
          </cell>
          <cell r="B977">
            <v>0.59762468592169804</v>
          </cell>
        </row>
        <row r="978">
          <cell r="A978">
            <v>42002</v>
          </cell>
          <cell r="B978">
            <v>0.59762468592169804</v>
          </cell>
        </row>
        <row r="979">
          <cell r="A979">
            <v>42003</v>
          </cell>
          <cell r="B979">
            <v>0.59762468592169804</v>
          </cell>
        </row>
        <row r="980">
          <cell r="A980">
            <v>42004</v>
          </cell>
          <cell r="B980">
            <v>0.58158481943829898</v>
          </cell>
        </row>
        <row r="981">
          <cell r="A981">
            <v>42006</v>
          </cell>
          <cell r="B981">
            <v>0.57715851233210802</v>
          </cell>
        </row>
        <row r="982">
          <cell r="A982">
            <v>42009</v>
          </cell>
          <cell r="B982">
            <v>0.57710358293411501</v>
          </cell>
        </row>
        <row r="983">
          <cell r="A983">
            <v>42010</v>
          </cell>
          <cell r="B983">
            <v>0.57710358293411501</v>
          </cell>
        </row>
        <row r="984">
          <cell r="A984">
            <v>42011</v>
          </cell>
          <cell r="B984">
            <v>0.57710358293411501</v>
          </cell>
        </row>
        <row r="985">
          <cell r="A985">
            <v>42012</v>
          </cell>
          <cell r="B985">
            <v>0.62970048301444503</v>
          </cell>
        </row>
        <row r="986">
          <cell r="A986">
            <v>42013</v>
          </cell>
          <cell r="B986">
            <v>0.62970048301444503</v>
          </cell>
        </row>
        <row r="987">
          <cell r="A987">
            <v>42016</v>
          </cell>
          <cell r="B987">
            <v>0.62970048301444503</v>
          </cell>
        </row>
        <row r="988">
          <cell r="A988">
            <v>42017</v>
          </cell>
          <cell r="B988">
            <v>0.62970048301444503</v>
          </cell>
        </row>
        <row r="989">
          <cell r="A989">
            <v>42018</v>
          </cell>
          <cell r="B989">
            <v>0.62970048301444503</v>
          </cell>
        </row>
        <row r="990">
          <cell r="A990">
            <v>42019</v>
          </cell>
          <cell r="B990">
            <v>0.65278570887391996</v>
          </cell>
        </row>
        <row r="991">
          <cell r="A991">
            <v>42020</v>
          </cell>
          <cell r="B991">
            <v>0.65278570887391996</v>
          </cell>
        </row>
        <row r="992">
          <cell r="A992">
            <v>42024</v>
          </cell>
          <cell r="B992">
            <v>0.65278570887391996</v>
          </cell>
        </row>
        <row r="993">
          <cell r="A993">
            <v>42025</v>
          </cell>
          <cell r="B993">
            <v>0.65278570887391996</v>
          </cell>
        </row>
      </sheetData>
      <sheetData sheetId="3" refreshError="1"/>
      <sheetData sheetId="4" refreshError="1"/>
      <sheetData sheetId="5" refreshError="1"/>
      <sheetData sheetId="6" refreshError="1"/>
      <sheetData sheetId="7" refreshError="1"/>
    </sheetDataSet>
  </externalBook>
</externalLink>
</file>

<file path=xl/queryTables/queryTable1.xml><?xml version="1.0" encoding="utf-8"?>
<queryTable xmlns="http://schemas.openxmlformats.org/spreadsheetml/2006/main" name="temp"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Query from Agency_8" backgroundRefresh="0" adjustColumnWidth="0" connectionId="1" autoFormatId="16" applyNumberFormats="0" applyBorderFormats="0" applyFontFormats="0" applyPatternFormats="0" applyAlignmentFormats="0" applyWidthHeightFormats="0">
  <queryTableRefresh nextId="87" unboundColumnsRight="9">
    <queryTableFields count="12">
      <queryTableField id="51" name="AsOfDate" tableColumnId="10"/>
      <queryTableField id="68" name="SeriesNumValue" tableColumnId="5"/>
      <queryTableField id="69" name="Rate" tableColumnId="1"/>
      <queryTableField id="70" dataBound="0" tableColumnId="2"/>
      <queryTableField id="75" dataBound="0" tableColumnId="3"/>
      <queryTableField id="74" dataBound="0" tableColumnId="4"/>
      <queryTableField id="73" dataBound="0" tableColumnId="6"/>
      <queryTableField id="72" dataBound="0" tableColumnId="7"/>
      <queryTableField id="71" dataBound="0" tableColumnId="8"/>
      <queryTableField id="76" dataBound="0" tableColumnId="9"/>
      <queryTableField id="77" dataBound="0" tableColumnId="11"/>
      <queryTableField id="8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CurrentMtgRatesDataTable811" displayName="CurrentMtgRatesDataTable811" ref="B2:M1292" tableType="queryTable" totalsRowShown="0" headerRowDxfId="12" dataDxfId="13">
  <tableColumns count="12">
    <tableColumn id="10" uniqueName="10" name="AsOfDate" queryTableFieldId="51" dataDxfId="11" dataCellStyle="Normal 2 7"/>
    <tableColumn id="5" uniqueName="5" name="SeriesNumValue" queryTableFieldId="68" dataDxfId="10"/>
    <tableColumn id="1" uniqueName="1" name="Rate" queryTableFieldId="69" dataDxfId="1"/>
    <tableColumn id="2" uniqueName="2" name="Weekday" queryTableFieldId="70" dataDxfId="0" dataCellStyle="Normal 2 7">
      <calculatedColumnFormula>WEEKDAY(B3,14)</calculatedColumnFormula>
    </tableColumn>
    <tableColumn id="3" uniqueName="3" name="Weight" queryTableFieldId="75" dataDxfId="9" dataCellStyle="Normal 2 7">
      <calculatedColumnFormula>VLOOKUP(E3,Q$5:R$11,2,FALSE)</calculatedColumnFormula>
    </tableColumn>
    <tableColumn id="4" uniqueName="4" name="Counter" queryTableFieldId="74" dataDxfId="8" dataCellStyle="Normal 2 7">
      <calculatedColumnFormula>IF(AND(E3&gt;E2,G2&lt;6),G2+1,1)</calculatedColumnFormula>
    </tableColumn>
    <tableColumn id="6" uniqueName="6" name="Accumulated Weighted CC" queryTableFieldId="73" dataDxfId="7" dataCellStyle="Normal 2 7">
      <calculatedColumnFormula>IF(G3&gt;G2,H2+C3*F3,C3*F3)</calculatedColumnFormula>
    </tableColumn>
    <tableColumn id="7" uniqueName="7" name="AccumulatedWeight" queryTableFieldId="72" dataDxfId="6" dataCellStyle="Normal 2 7">
      <calculatedColumnFormula>IF(AND(G3&lt;6,G3&gt;G2),F3+I2,F3)</calculatedColumnFormula>
    </tableColumn>
    <tableColumn id="8" uniqueName="8" name="WA CC" queryTableFieldId="71" dataDxfId="5" dataCellStyle="Normal 2 7">
      <calculatedColumnFormula>IF(G3&gt;G4,H3/I3,0)</calculatedColumnFormula>
    </tableColumn>
    <tableColumn id="9" uniqueName="9" name="Servicing Spread" queryTableFieldId="76" dataDxfId="4" dataCellStyle="Normal 2 7">
      <calculatedColumnFormula>IF(CurrentMtgRatesDataTable811[[#This Row],[WA CC]]&lt;&gt;0,D2-CurrentMtgRatesDataTable811[[#This Row],[WA CC]],0)</calculatedColumnFormula>
    </tableColumn>
    <tableColumn id="11" uniqueName="11" name="Servicing Spread Non-Zero" queryTableFieldId="77" dataDxfId="3" dataCellStyle="Normal 2 7">
      <calculatedColumnFormula>IF(CurrentMtgRatesDataTable811[[#This Row],[Servicing Spread]]&lt;=0,L2,CurrentMtgRatesDataTable811[[#This Row],[Servicing Spread]])</calculatedColumnFormula>
    </tableColumn>
    <tableColumn id="12" uniqueName="12" name="Daily Mortgage Rate" queryTableFieldId="82" dataDxfId="2" dataCellStyle="Normal 2 7">
      <calculatedColumnFormula>CurrentMtgRatesDataTable811[[#This Row],[SeriesNumValue]]+CurrentMtgRatesDataTable811[[#This Row],[Servicing Spread Non-Zero]]</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244"/>
  <sheetViews>
    <sheetView tabSelected="1" topLeftCell="A10" zoomScaleNormal="100" workbookViewId="0">
      <selection activeCell="Z53" sqref="Z53"/>
    </sheetView>
  </sheetViews>
  <sheetFormatPr defaultRowHeight="12.75" x14ac:dyDescent="0.2"/>
  <cols>
    <col min="1" max="1" width="16.7109375" style="6" customWidth="1"/>
    <col min="2" max="2" width="36.140625" style="7" hidden="1" customWidth="1"/>
    <col min="3" max="3" width="28" bestFit="1" customWidth="1"/>
    <col min="4" max="5" width="36.140625" style="7" hidden="1" customWidth="1"/>
    <col min="6" max="6" width="49" style="7" hidden="1" customWidth="1"/>
    <col min="7" max="7" width="34.140625" style="7" customWidth="1"/>
    <col min="8" max="8" width="9.140625" style="3" hidden="1" customWidth="1"/>
    <col min="9" max="9" width="6" hidden="1" customWidth="1"/>
    <col min="10" max="10" width="16.5703125" bestFit="1" customWidth="1"/>
    <col min="11" max="11" width="11.85546875" customWidth="1"/>
  </cols>
  <sheetData>
    <row r="1" spans="1:15" ht="15" x14ac:dyDescent="0.25">
      <c r="A1" s="9" t="s">
        <v>0</v>
      </c>
      <c r="B1" s="4" t="s">
        <v>689</v>
      </c>
      <c r="C1" s="16" t="s">
        <v>694</v>
      </c>
      <c r="D1" s="4" t="s">
        <v>690</v>
      </c>
      <c r="E1" s="4" t="s">
        <v>691</v>
      </c>
      <c r="F1" s="4" t="s">
        <v>1</v>
      </c>
      <c r="G1" s="8" t="s">
        <v>692</v>
      </c>
      <c r="J1" s="10" t="s">
        <v>2005</v>
      </c>
    </row>
    <row r="2" spans="1:15" ht="15" x14ac:dyDescent="0.25">
      <c r="A2" s="14">
        <v>40576</v>
      </c>
      <c r="B2" s="15">
        <v>314</v>
      </c>
      <c r="C2" s="15">
        <v>314</v>
      </c>
      <c r="D2" s="5" t="s">
        <v>2</v>
      </c>
      <c r="E2" s="5" t="s">
        <v>2</v>
      </c>
      <c r="F2" s="5">
        <v>4.9829049999999997</v>
      </c>
      <c r="G2" s="12">
        <f>VLOOKUP(A2,'[1]all FNCL'!A$2:B$993,2)</f>
        <v>0.61149872753562795</v>
      </c>
      <c r="H2" s="3" t="s">
        <v>14</v>
      </c>
      <c r="I2">
        <v>0.86085196162229005</v>
      </c>
      <c r="J2" s="33">
        <f>VLOOKUP(A2,'Refi Universe'!E:F,2,0)</f>
        <v>0.58304511999999997</v>
      </c>
    </row>
    <row r="3" spans="1:15" ht="15" x14ac:dyDescent="0.25">
      <c r="A3" s="14">
        <v>40577</v>
      </c>
      <c r="B3" s="15">
        <v>311</v>
      </c>
      <c r="C3" s="15">
        <v>311</v>
      </c>
      <c r="D3" s="5" t="s">
        <v>2</v>
      </c>
      <c r="E3" s="5" t="s">
        <v>2</v>
      </c>
      <c r="F3" s="5">
        <v>5.0134489999999996</v>
      </c>
      <c r="G3" s="12">
        <f>VLOOKUP(A3,'[1]all FNCL'!A$2:B$993,2)</f>
        <v>0.61074045486204198</v>
      </c>
      <c r="H3" s="3" t="s">
        <v>15</v>
      </c>
      <c r="I3">
        <v>0.86085196162229005</v>
      </c>
      <c r="J3" s="33">
        <f>VLOOKUP(A3,'Refi Universe'!E:F,2,0)</f>
        <v>0.55486214</v>
      </c>
    </row>
    <row r="4" spans="1:15" ht="15" x14ac:dyDescent="0.25">
      <c r="A4" s="14">
        <v>40578</v>
      </c>
      <c r="B4" s="15">
        <v>283</v>
      </c>
      <c r="C4" s="15">
        <v>283</v>
      </c>
      <c r="D4" s="5" t="s">
        <v>2</v>
      </c>
      <c r="E4" s="5" t="s">
        <v>2</v>
      </c>
      <c r="F4" s="5">
        <v>5.0596740000000002</v>
      </c>
      <c r="G4" s="12">
        <f>VLOOKUP(A4,'[1]all FNCL'!A$2:B$993,2)</f>
        <v>0.61074045486204198</v>
      </c>
      <c r="H4" s="3" t="s">
        <v>16</v>
      </c>
      <c r="I4">
        <v>0.86085196162229005</v>
      </c>
      <c r="J4" s="33">
        <f>VLOOKUP(A4,'Refi Universe'!E:F,2,0)</f>
        <v>0.51847262000000005</v>
      </c>
    </row>
    <row r="5" spans="1:15" ht="15" x14ac:dyDescent="0.25">
      <c r="A5" s="14">
        <v>40581</v>
      </c>
      <c r="B5" s="15">
        <v>282</v>
      </c>
      <c r="C5" s="15">
        <v>282</v>
      </c>
      <c r="D5" s="5" t="s">
        <v>2</v>
      </c>
      <c r="E5" s="5" t="s">
        <v>2</v>
      </c>
      <c r="F5" s="5">
        <v>5.0728520000000001</v>
      </c>
      <c r="G5" s="12">
        <f>VLOOKUP(A5,'[1]all FNCL'!A$2:B$993,2)</f>
        <v>0.61074045486204198</v>
      </c>
      <c r="H5" s="3" t="s">
        <v>17</v>
      </c>
      <c r="I5">
        <v>0.86928745494692705</v>
      </c>
      <c r="J5" s="33">
        <f>VLOOKUP(A5,'Refi Universe'!E:F,2,0)</f>
        <v>0.51165344999999995</v>
      </c>
    </row>
    <row r="6" spans="1:15" ht="15" x14ac:dyDescent="0.25">
      <c r="A6" s="14">
        <v>40582</v>
      </c>
      <c r="B6" s="15">
        <v>267</v>
      </c>
      <c r="C6" s="15">
        <v>267</v>
      </c>
      <c r="D6" s="5" t="s">
        <v>2</v>
      </c>
      <c r="E6" s="5" t="s">
        <v>2</v>
      </c>
      <c r="F6" s="5">
        <v>5.1328820000000004</v>
      </c>
      <c r="G6" s="12">
        <f>VLOOKUP(A6,'[1]all FNCL'!A$2:B$993,2)</f>
        <v>0.61074045486204198</v>
      </c>
      <c r="H6" s="3" t="s">
        <v>18</v>
      </c>
      <c r="I6">
        <v>0.86928745494692705</v>
      </c>
      <c r="J6" s="33">
        <f>VLOOKUP(A6,'Refi Universe'!E:F,2,0)</f>
        <v>0.47964870999999998</v>
      </c>
    </row>
    <row r="7" spans="1:15" ht="15" x14ac:dyDescent="0.25">
      <c r="A7" s="14">
        <v>40583</v>
      </c>
      <c r="B7" s="15">
        <v>286</v>
      </c>
      <c r="C7" s="15">
        <v>286</v>
      </c>
      <c r="D7" s="5" t="s">
        <v>2</v>
      </c>
      <c r="E7" s="5" t="s">
        <v>2</v>
      </c>
      <c r="F7" s="5">
        <v>5.1064999999999996</v>
      </c>
      <c r="G7" s="12">
        <f>VLOOKUP(A7,'[1]all FNCL'!A$2:B$993,2)</f>
        <v>0.61074045486204198</v>
      </c>
      <c r="H7" s="3" t="s">
        <v>19</v>
      </c>
      <c r="I7">
        <v>0.86928745494692705</v>
      </c>
      <c r="J7" s="33">
        <f>VLOOKUP(A7,'Refi Universe'!E:F,2,0)</f>
        <v>0.49256091000000002</v>
      </c>
      <c r="O7" s="10" t="s">
        <v>693</v>
      </c>
    </row>
    <row r="8" spans="1:15" ht="15" x14ac:dyDescent="0.25">
      <c r="A8" s="14">
        <v>40584</v>
      </c>
      <c r="B8" s="15">
        <v>285</v>
      </c>
      <c r="C8" s="15">
        <v>285</v>
      </c>
      <c r="D8" s="5" t="s">
        <v>2</v>
      </c>
      <c r="E8" s="5" t="s">
        <v>2</v>
      </c>
      <c r="F8" s="5">
        <v>5.1461499999999996</v>
      </c>
      <c r="G8" s="12">
        <f>VLOOKUP(A8,'[1]all FNCL'!A$2:B$993,2)</f>
        <v>0.50836540051897094</v>
      </c>
      <c r="H8" s="3" t="s">
        <v>20</v>
      </c>
      <c r="I8">
        <v>0.86928745494692705</v>
      </c>
      <c r="J8" s="33">
        <f>VLOOKUP(A8,'Refi Universe'!E:F,2,0)</f>
        <v>0.47335128999999998</v>
      </c>
    </row>
    <row r="9" spans="1:15" ht="15" x14ac:dyDescent="0.25">
      <c r="A9" s="14">
        <v>40585</v>
      </c>
      <c r="B9" s="15">
        <v>374</v>
      </c>
      <c r="C9" s="15">
        <v>374</v>
      </c>
      <c r="D9" s="5" t="s">
        <v>2</v>
      </c>
      <c r="E9" s="5" t="s">
        <v>2</v>
      </c>
      <c r="F9" s="5">
        <v>5.0892520000000001</v>
      </c>
      <c r="G9" s="12">
        <f>VLOOKUP(A9,'[1]all FNCL'!A$2:B$993,2)</f>
        <v>0.50836540051897094</v>
      </c>
      <c r="H9" s="3" t="s">
        <v>21</v>
      </c>
      <c r="I9">
        <v>0.86928745494692705</v>
      </c>
      <c r="J9" s="33">
        <f>VLOOKUP(A9,'Refi Universe'!E:F,2,0)</f>
        <v>0.50149840000000001</v>
      </c>
    </row>
    <row r="10" spans="1:15" ht="15" x14ac:dyDescent="0.25">
      <c r="A10" s="14">
        <v>40588</v>
      </c>
      <c r="B10" s="15">
        <v>302</v>
      </c>
      <c r="C10" s="15">
        <v>302</v>
      </c>
      <c r="D10" s="5" t="s">
        <v>2</v>
      </c>
      <c r="E10" s="5" t="s">
        <v>2</v>
      </c>
      <c r="F10" s="5">
        <v>5.0581199999999997</v>
      </c>
      <c r="G10" s="12">
        <f>VLOOKUP(A10,'[1]all FNCL'!A$2:B$993,2)</f>
        <v>0.50836540051897094</v>
      </c>
      <c r="H10" s="3" t="s">
        <v>22</v>
      </c>
      <c r="I10">
        <v>0.90843431405369401</v>
      </c>
      <c r="J10" s="33">
        <f>VLOOKUP(A10,'Refi Universe'!E:F,2,0)</f>
        <v>0.51758932000000002</v>
      </c>
    </row>
    <row r="11" spans="1:15" ht="15" x14ac:dyDescent="0.25">
      <c r="A11" s="14">
        <v>40589</v>
      </c>
      <c r="B11" s="15">
        <v>286</v>
      </c>
      <c r="C11" s="15">
        <v>286</v>
      </c>
      <c r="D11" s="5" t="s">
        <v>2</v>
      </c>
      <c r="E11" s="5" t="s">
        <v>2</v>
      </c>
      <c r="F11" s="5">
        <v>5.0547870000000001</v>
      </c>
      <c r="G11" s="12">
        <f>VLOOKUP(A11,'[1]all FNCL'!A$2:B$993,2)</f>
        <v>0.50836540051897094</v>
      </c>
      <c r="H11" s="3" t="s">
        <v>23</v>
      </c>
      <c r="I11">
        <v>0.90843431405369401</v>
      </c>
      <c r="J11" s="33">
        <f>VLOOKUP(A11,'Refi Universe'!E:F,2,0)</f>
        <v>0.52073837999999995</v>
      </c>
    </row>
    <row r="12" spans="1:15" ht="15" x14ac:dyDescent="0.25">
      <c r="A12" s="14">
        <v>40590</v>
      </c>
      <c r="B12" s="15">
        <v>279</v>
      </c>
      <c r="C12" s="15">
        <v>279</v>
      </c>
      <c r="D12" s="5" t="s">
        <v>2</v>
      </c>
      <c r="E12" s="5" t="s">
        <v>2</v>
      </c>
      <c r="F12" s="5">
        <v>5.0628989999999998</v>
      </c>
      <c r="G12" s="12">
        <f>VLOOKUP(A12,'[1]all FNCL'!A$2:B$993,2)</f>
        <v>0.50836540051897094</v>
      </c>
      <c r="H12" s="3" t="s">
        <v>24</v>
      </c>
      <c r="I12">
        <v>0.90843431405369401</v>
      </c>
      <c r="J12" s="33">
        <f>VLOOKUP(A12,'Refi Universe'!E:F,2,0)</f>
        <v>0.54280907</v>
      </c>
    </row>
    <row r="13" spans="1:15" ht="15" x14ac:dyDescent="0.25">
      <c r="A13" s="14">
        <v>40591</v>
      </c>
      <c r="B13" s="15">
        <v>288</v>
      </c>
      <c r="C13" s="15">
        <v>288</v>
      </c>
      <c r="D13" s="5" t="s">
        <v>2</v>
      </c>
      <c r="E13" s="5" t="s">
        <v>2</v>
      </c>
      <c r="F13" s="5">
        <v>5.0286369999999998</v>
      </c>
      <c r="G13" s="12">
        <f>VLOOKUP(A13,'[1]all FNCL'!A$2:B$993,2)</f>
        <v>0.52920493587017403</v>
      </c>
      <c r="H13" s="3" t="s">
        <v>25</v>
      </c>
      <c r="I13">
        <v>0.90843431405369401</v>
      </c>
      <c r="J13" s="33">
        <f>VLOOKUP(A13,'Refi Universe'!E:F,2,0)</f>
        <v>0.57526359999999999</v>
      </c>
    </row>
    <row r="14" spans="1:15" ht="15" x14ac:dyDescent="0.25">
      <c r="A14" s="14">
        <v>40592</v>
      </c>
      <c r="B14" s="15">
        <v>289</v>
      </c>
      <c r="C14" s="15">
        <v>289</v>
      </c>
      <c r="D14" s="5" t="s">
        <v>2</v>
      </c>
      <c r="E14" s="5" t="s">
        <v>2</v>
      </c>
      <c r="F14" s="5">
        <v>5.0414649999999996</v>
      </c>
      <c r="G14" s="12">
        <f>VLOOKUP(A14,'[1]all FNCL'!A$2:B$993,2)</f>
        <v>0.52920493587017403</v>
      </c>
      <c r="H14" s="3" t="s">
        <v>26</v>
      </c>
      <c r="I14">
        <v>0.90843431405369401</v>
      </c>
      <c r="J14" s="33">
        <f>VLOOKUP(A14,'Refi Universe'!E:F,2,0)</f>
        <v>0.56400059000000002</v>
      </c>
    </row>
    <row r="15" spans="1:15" ht="15" x14ac:dyDescent="0.25">
      <c r="A15" s="14">
        <v>40596</v>
      </c>
      <c r="B15" s="15">
        <v>308</v>
      </c>
      <c r="C15" s="15">
        <v>308</v>
      </c>
      <c r="D15" s="5" t="s">
        <v>2</v>
      </c>
      <c r="E15" s="5" t="s">
        <v>2</v>
      </c>
      <c r="F15" s="5">
        <v>5.0024430000000004</v>
      </c>
      <c r="G15" s="12">
        <f>VLOOKUP(A15,'[1]all FNCL'!A$2:B$993,2)</f>
        <v>0.52920493587017403</v>
      </c>
      <c r="H15" s="3" t="s">
        <v>27</v>
      </c>
      <c r="I15">
        <v>0.90710064326562501</v>
      </c>
      <c r="J15" s="33">
        <f>VLOOKUP(A15,'Refi Universe'!E:F,2,0)</f>
        <v>0.60264123999999997</v>
      </c>
    </row>
    <row r="16" spans="1:15" ht="15" x14ac:dyDescent="0.25">
      <c r="A16" s="14">
        <v>40597</v>
      </c>
      <c r="B16" s="15">
        <v>306</v>
      </c>
      <c r="C16" s="15">
        <v>306</v>
      </c>
      <c r="D16" s="5" t="s">
        <v>2</v>
      </c>
      <c r="E16" s="5" t="s">
        <v>2</v>
      </c>
      <c r="F16" s="5">
        <v>5.0032579999999998</v>
      </c>
      <c r="G16" s="12">
        <f>VLOOKUP(A16,'[1]all FNCL'!A$2:B$993,2)</f>
        <v>0.52920493587017403</v>
      </c>
      <c r="H16" s="3" t="s">
        <v>28</v>
      </c>
      <c r="I16">
        <v>0.90710064326562501</v>
      </c>
      <c r="J16" s="33">
        <f>VLOOKUP(A16,'Refi Universe'!E:F,2,0)</f>
        <v>0.59292308999999999</v>
      </c>
    </row>
    <row r="17" spans="1:10" ht="15" x14ac:dyDescent="0.25">
      <c r="A17" s="14">
        <v>40598</v>
      </c>
      <c r="B17" s="15">
        <v>308</v>
      </c>
      <c r="C17" s="15">
        <v>308</v>
      </c>
      <c r="D17" s="5" t="s">
        <v>2</v>
      </c>
      <c r="E17" s="5" t="s">
        <v>2</v>
      </c>
      <c r="F17" s="5">
        <v>4.974755</v>
      </c>
      <c r="G17" s="12">
        <f>VLOOKUP(A17,'[1]all FNCL'!A$2:B$993,2)</f>
        <v>0.55803024707205595</v>
      </c>
      <c r="H17" s="3" t="s">
        <v>29</v>
      </c>
      <c r="I17">
        <v>0.90710064326562501</v>
      </c>
      <c r="J17" s="33">
        <f>VLOOKUP(A17,'Refi Universe'!E:F,2,0)</f>
        <v>0.60476841999999997</v>
      </c>
    </row>
    <row r="18" spans="1:10" ht="15" x14ac:dyDescent="0.25">
      <c r="A18" s="14">
        <v>40599</v>
      </c>
      <c r="B18" s="15">
        <v>315</v>
      </c>
      <c r="C18" s="15">
        <v>315</v>
      </c>
      <c r="D18" s="5" t="s">
        <v>2</v>
      </c>
      <c r="E18" s="5" t="s">
        <v>2</v>
      </c>
      <c r="F18" s="5">
        <v>4.9653799999999997</v>
      </c>
      <c r="G18" s="12">
        <f>VLOOKUP(A18,'[1]all FNCL'!A$2:B$993,2)</f>
        <v>0.55803024707205595</v>
      </c>
      <c r="H18" s="3" t="s">
        <v>30</v>
      </c>
      <c r="I18">
        <v>0.90710064326562501</v>
      </c>
      <c r="J18" s="33">
        <f>VLOOKUP(A18,'Refi Universe'!E:F,2,0)</f>
        <v>0.60606985000000002</v>
      </c>
    </row>
    <row r="19" spans="1:10" ht="15" x14ac:dyDescent="0.25">
      <c r="A19" s="14">
        <v>40602</v>
      </c>
      <c r="B19" s="15">
        <v>319</v>
      </c>
      <c r="C19" s="15">
        <v>319</v>
      </c>
      <c r="D19" s="5" t="s">
        <v>2</v>
      </c>
      <c r="E19" s="5" t="s">
        <v>2</v>
      </c>
      <c r="F19" s="5">
        <v>4.9573070000000001</v>
      </c>
      <c r="G19" s="12">
        <f>VLOOKUP(A19,'[1]all FNCL'!A$2:B$993,2)</f>
        <v>0.55803024707205595</v>
      </c>
      <c r="H19" s="3" t="s">
        <v>31</v>
      </c>
      <c r="I19">
        <v>0.90710064326562501</v>
      </c>
      <c r="J19" s="33">
        <f>VLOOKUP(A19,'Refi Universe'!E:F,2,0)</f>
        <v>0.61003046000000005</v>
      </c>
    </row>
    <row r="20" spans="1:10" ht="15" x14ac:dyDescent="0.25">
      <c r="A20" s="14">
        <v>40603</v>
      </c>
      <c r="B20" s="15">
        <v>322</v>
      </c>
      <c r="C20" s="15">
        <v>322</v>
      </c>
      <c r="D20" s="5" t="s">
        <v>2</v>
      </c>
      <c r="E20" s="5" t="s">
        <v>2</v>
      </c>
      <c r="F20" s="5">
        <v>4.9575279999999999</v>
      </c>
      <c r="G20" s="12">
        <f>VLOOKUP(A20,'[1]all FNCL'!A$2:B$993,2)</f>
        <v>0.54582431757096395</v>
      </c>
      <c r="H20" s="3" t="s">
        <v>32</v>
      </c>
      <c r="I20">
        <v>0.90843431405369401</v>
      </c>
      <c r="J20" s="33">
        <f>VLOOKUP(A20,'Refi Universe'!E:F,2,0)</f>
        <v>0.59558513000000002</v>
      </c>
    </row>
    <row r="21" spans="1:10" ht="15" x14ac:dyDescent="0.25">
      <c r="A21" s="14">
        <v>40604</v>
      </c>
      <c r="B21" s="15">
        <v>320</v>
      </c>
      <c r="C21" s="15">
        <v>320</v>
      </c>
      <c r="D21" s="5" t="s">
        <v>2</v>
      </c>
      <c r="E21" s="5" t="s">
        <v>2</v>
      </c>
      <c r="F21" s="5">
        <v>4.9816560000000001</v>
      </c>
      <c r="G21" s="12">
        <f>VLOOKUP(A21,'[1]all FNCL'!A$2:B$993,2)</f>
        <v>0.54582431757096395</v>
      </c>
      <c r="H21" s="3" t="s">
        <v>33</v>
      </c>
      <c r="I21">
        <v>0.90843431405369401</v>
      </c>
      <c r="J21" s="33">
        <f>VLOOKUP(A21,'Refi Universe'!E:F,2,0)</f>
        <v>0.58351578000000004</v>
      </c>
    </row>
    <row r="22" spans="1:10" ht="15" x14ac:dyDescent="0.25">
      <c r="A22" s="14">
        <v>40605</v>
      </c>
      <c r="B22" s="15">
        <v>300</v>
      </c>
      <c r="C22" s="15">
        <v>300</v>
      </c>
      <c r="D22" s="5" t="s">
        <v>2</v>
      </c>
      <c r="E22" s="5" t="s">
        <v>2</v>
      </c>
      <c r="F22" s="5">
        <v>5.0290189999999999</v>
      </c>
      <c r="G22" s="12">
        <f>VLOOKUP(A22,'[1]all FNCL'!A$2:B$993,2)</f>
        <v>0.59209711782781405</v>
      </c>
      <c r="H22" s="3" t="s">
        <v>34</v>
      </c>
      <c r="I22">
        <v>0.90843431405369401</v>
      </c>
      <c r="J22" s="33">
        <f>VLOOKUP(A22,'Refi Universe'!E:F,2,0)</f>
        <v>0.53234148000000003</v>
      </c>
    </row>
    <row r="23" spans="1:10" ht="15" x14ac:dyDescent="0.25">
      <c r="A23" s="14">
        <v>40606</v>
      </c>
      <c r="B23" s="15">
        <v>304</v>
      </c>
      <c r="C23" s="15">
        <v>304</v>
      </c>
      <c r="D23" s="5" t="s">
        <v>2</v>
      </c>
      <c r="E23" s="5" t="s">
        <v>2</v>
      </c>
      <c r="F23" s="5">
        <v>4.9710929999999998</v>
      </c>
      <c r="G23" s="12">
        <f>VLOOKUP(A23,'[1]all FNCL'!A$2:B$993,2)</f>
        <v>0.59209711782781405</v>
      </c>
      <c r="H23" s="3" t="s">
        <v>35</v>
      </c>
      <c r="I23">
        <v>0.89130997835799997</v>
      </c>
      <c r="J23" s="33">
        <f>VLOOKUP(A23,'Refi Universe'!E:F,2,0)</f>
        <v>0.59023831000000004</v>
      </c>
    </row>
    <row r="24" spans="1:10" ht="15" x14ac:dyDescent="0.25">
      <c r="A24" s="14">
        <v>40609</v>
      </c>
      <c r="B24" s="15">
        <v>289</v>
      </c>
      <c r="C24" s="15">
        <v>289</v>
      </c>
      <c r="D24" s="5" t="s">
        <v>2</v>
      </c>
      <c r="E24" s="5" t="s">
        <v>2</v>
      </c>
      <c r="F24" s="5">
        <v>4.9749140000000001</v>
      </c>
      <c r="G24" s="12">
        <f>VLOOKUP(A24,'[1]all FNCL'!A$2:B$993,2)</f>
        <v>0.59209711782781405</v>
      </c>
      <c r="H24" s="3" t="s">
        <v>36</v>
      </c>
      <c r="I24">
        <v>0.89130997835799997</v>
      </c>
      <c r="J24" s="33">
        <f>VLOOKUP(A24,'Refi Universe'!E:F,2,0)</f>
        <v>0.58586853000000005</v>
      </c>
    </row>
    <row r="25" spans="1:10" ht="15" x14ac:dyDescent="0.25">
      <c r="A25" s="14">
        <v>40610</v>
      </c>
      <c r="B25" s="15">
        <v>282</v>
      </c>
      <c r="C25" s="15">
        <v>282</v>
      </c>
      <c r="D25" s="5" t="s">
        <v>2</v>
      </c>
      <c r="E25" s="5" t="s">
        <v>2</v>
      </c>
      <c r="F25" s="5">
        <v>4.9988140000000003</v>
      </c>
      <c r="G25" s="12">
        <f>VLOOKUP(A25,'[1]all FNCL'!A$2:B$993,2)</f>
        <v>0.59209711782781405</v>
      </c>
      <c r="H25" s="3" t="s">
        <v>37</v>
      </c>
      <c r="I25">
        <v>0.89320680852935697</v>
      </c>
      <c r="J25" s="33">
        <f>VLOOKUP(A25,'Refi Universe'!E:F,2,0)</f>
        <v>0.56167012999999999</v>
      </c>
    </row>
    <row r="26" spans="1:10" ht="15" x14ac:dyDescent="0.25">
      <c r="A26" s="14">
        <v>40611</v>
      </c>
      <c r="B26" s="15">
        <v>290</v>
      </c>
      <c r="C26" s="15">
        <v>290</v>
      </c>
      <c r="D26" s="5" t="s">
        <v>2</v>
      </c>
      <c r="E26" s="5" t="s">
        <v>2</v>
      </c>
      <c r="F26" s="5">
        <v>4.9601790000000001</v>
      </c>
      <c r="G26" s="12">
        <f>VLOOKUP(A26,'[1]all FNCL'!A$2:B$993,2)</f>
        <v>0.59209711782781405</v>
      </c>
      <c r="H26" s="3" t="s">
        <v>38</v>
      </c>
      <c r="I26">
        <v>0.89320680852935697</v>
      </c>
      <c r="J26" s="33">
        <f>VLOOKUP(A26,'Refi Universe'!E:F,2,0)</f>
        <v>0.59508150000000004</v>
      </c>
    </row>
    <row r="27" spans="1:10" ht="15" x14ac:dyDescent="0.25">
      <c r="A27" s="14">
        <v>40612</v>
      </c>
      <c r="B27" s="15">
        <v>304</v>
      </c>
      <c r="C27" s="15">
        <v>304</v>
      </c>
      <c r="D27" s="5" t="s">
        <v>2</v>
      </c>
      <c r="E27" s="5" t="s">
        <v>2</v>
      </c>
      <c r="F27" s="5">
        <v>4.9333039999999997</v>
      </c>
      <c r="G27" s="12">
        <f>VLOOKUP(A27,'[1]all FNCL'!A$2:B$993,2)</f>
        <v>0.59080334812888002</v>
      </c>
      <c r="H27" s="3" t="s">
        <v>39</v>
      </c>
      <c r="I27">
        <v>0.89320680852935697</v>
      </c>
      <c r="J27" s="33">
        <f>VLOOKUP(A27,'Refi Universe'!E:F,2,0)</f>
        <v>0.60077108000000001</v>
      </c>
    </row>
    <row r="28" spans="1:10" ht="15" x14ac:dyDescent="0.25">
      <c r="A28" s="14">
        <v>40613</v>
      </c>
      <c r="B28" s="15">
        <v>317</v>
      </c>
      <c r="C28" s="15">
        <v>317</v>
      </c>
      <c r="D28" s="5" t="s">
        <v>2</v>
      </c>
      <c r="E28" s="5" t="s">
        <v>2</v>
      </c>
      <c r="F28" s="5">
        <v>4.945506</v>
      </c>
      <c r="G28" s="12">
        <f>VLOOKUP(A28,'[1]all FNCL'!A$2:B$993,2)</f>
        <v>0.59080334812888002</v>
      </c>
      <c r="H28" s="3" t="s">
        <v>40</v>
      </c>
      <c r="I28">
        <v>0.89320680852935697</v>
      </c>
      <c r="J28" s="33">
        <f>VLOOKUP(A28,'Refi Universe'!E:F,2,0)</f>
        <v>0.60004701999999999</v>
      </c>
    </row>
    <row r="29" spans="1:10" ht="15" x14ac:dyDescent="0.25">
      <c r="A29" s="14">
        <v>40616</v>
      </c>
      <c r="B29" s="15">
        <v>295</v>
      </c>
      <c r="C29" s="15">
        <v>295</v>
      </c>
      <c r="D29" s="5" t="s">
        <v>2</v>
      </c>
      <c r="E29" s="5" t="s">
        <v>2</v>
      </c>
      <c r="F29" s="5">
        <v>4.9261160000000004</v>
      </c>
      <c r="G29" s="12">
        <f>VLOOKUP(A29,'[1]all FNCL'!A$2:B$993,2)</f>
        <v>0.59080334812888002</v>
      </c>
      <c r="H29" s="3" t="s">
        <v>41</v>
      </c>
      <c r="I29">
        <v>0.89320680852935697</v>
      </c>
      <c r="J29" s="33">
        <f>VLOOKUP(A29,'Refi Universe'!E:F,2,0)</f>
        <v>0.60217085000000004</v>
      </c>
    </row>
    <row r="30" spans="1:10" ht="15" x14ac:dyDescent="0.25">
      <c r="A30" s="14">
        <v>40617</v>
      </c>
      <c r="B30" s="15">
        <v>288</v>
      </c>
      <c r="C30" s="15">
        <v>288</v>
      </c>
      <c r="D30" s="5" t="s">
        <v>2</v>
      </c>
      <c r="E30" s="5" t="s">
        <v>2</v>
      </c>
      <c r="F30" s="5">
        <v>4.9240719999999998</v>
      </c>
      <c r="G30" s="12">
        <f>VLOOKUP(A30,'[1]all FNCL'!A$2:B$993,2)</f>
        <v>0.59080334812888002</v>
      </c>
      <c r="H30" s="3" t="s">
        <v>42</v>
      </c>
      <c r="I30">
        <v>0.89335852280722505</v>
      </c>
      <c r="J30" s="33">
        <f>VLOOKUP(A30,'Refi Universe'!E:F,2,0)</f>
        <v>0.60247856</v>
      </c>
    </row>
    <row r="31" spans="1:10" ht="15" x14ac:dyDescent="0.25">
      <c r="A31" s="14">
        <v>40618</v>
      </c>
      <c r="B31" s="15">
        <v>295</v>
      </c>
      <c r="C31" s="15">
        <v>295</v>
      </c>
      <c r="D31" s="5" t="s">
        <v>2</v>
      </c>
      <c r="E31" s="5" t="s">
        <v>2</v>
      </c>
      <c r="F31" s="5">
        <v>4.8775079999999997</v>
      </c>
      <c r="G31" s="12">
        <f>VLOOKUP(A31,'[1]all FNCL'!A$2:B$993,2)</f>
        <v>0.59080334812888002</v>
      </c>
      <c r="H31" s="3" t="s">
        <v>43</v>
      </c>
      <c r="I31">
        <v>0.89335852280722505</v>
      </c>
      <c r="J31" s="33">
        <f>VLOOKUP(A31,'Refi Universe'!E:F,2,0)</f>
        <v>0.61038948999999998</v>
      </c>
    </row>
    <row r="32" spans="1:10" ht="15" x14ac:dyDescent="0.25">
      <c r="A32" s="14">
        <v>40619</v>
      </c>
      <c r="B32" s="15">
        <v>299</v>
      </c>
      <c r="C32" s="15">
        <v>299</v>
      </c>
      <c r="D32" s="5" t="s">
        <v>2</v>
      </c>
      <c r="E32" s="5" t="s">
        <v>2</v>
      </c>
      <c r="F32" s="5">
        <v>4.8895200000000001</v>
      </c>
      <c r="G32" s="12">
        <f>VLOOKUP(A32,'[1]all FNCL'!A$2:B$993,2)</f>
        <v>0.60256210105936003</v>
      </c>
      <c r="H32" s="3" t="s">
        <v>44</v>
      </c>
      <c r="I32">
        <v>0.89335852280722505</v>
      </c>
      <c r="J32" s="33">
        <f>VLOOKUP(A32,'Refi Universe'!E:F,2,0)</f>
        <v>0.60804641999999998</v>
      </c>
    </row>
    <row r="33" spans="1:10" ht="15" x14ac:dyDescent="0.25">
      <c r="A33" s="14">
        <v>40620</v>
      </c>
      <c r="B33" s="15">
        <v>293</v>
      </c>
      <c r="C33" s="15">
        <v>293</v>
      </c>
      <c r="D33" s="5" t="s">
        <v>2</v>
      </c>
      <c r="E33" s="5" t="s">
        <v>2</v>
      </c>
      <c r="F33" s="5">
        <v>4.8869059999999998</v>
      </c>
      <c r="G33" s="12">
        <f>VLOOKUP(A33,'[1]all FNCL'!A$2:B$993,2)</f>
        <v>0.60256210105936003</v>
      </c>
      <c r="H33" s="3" t="s">
        <v>45</v>
      </c>
      <c r="I33">
        <v>0.89335852280722505</v>
      </c>
      <c r="J33" s="33">
        <f>VLOOKUP(A33,'Refi Universe'!E:F,2,0)</f>
        <v>0.60703149000000001</v>
      </c>
    </row>
    <row r="34" spans="1:10" ht="15" x14ac:dyDescent="0.25">
      <c r="A34" s="14">
        <v>40623</v>
      </c>
      <c r="B34" s="15">
        <v>291</v>
      </c>
      <c r="C34" s="15">
        <v>291</v>
      </c>
      <c r="D34" s="5" t="s">
        <v>2</v>
      </c>
      <c r="E34" s="5" t="s">
        <v>2</v>
      </c>
      <c r="F34" s="5">
        <v>4.9133110000000002</v>
      </c>
      <c r="G34" s="12">
        <f>VLOOKUP(A34,'[1]all FNCL'!A$2:B$993,2)</f>
        <v>0.60256210105936003</v>
      </c>
      <c r="H34" s="3" t="s">
        <v>46</v>
      </c>
      <c r="I34">
        <v>0.89335852280722505</v>
      </c>
      <c r="J34" s="33">
        <f>VLOOKUP(A34,'Refi Universe'!E:F,2,0)</f>
        <v>0.60312644999999998</v>
      </c>
    </row>
    <row r="35" spans="1:10" ht="15" x14ac:dyDescent="0.25">
      <c r="A35" s="14">
        <v>40624</v>
      </c>
      <c r="B35" s="15">
        <v>299</v>
      </c>
      <c r="C35" s="15">
        <v>299</v>
      </c>
      <c r="D35" s="5" t="s">
        <v>2</v>
      </c>
      <c r="E35" s="5" t="s">
        <v>2</v>
      </c>
      <c r="F35" s="5">
        <v>4.9364610000000004</v>
      </c>
      <c r="G35" s="12">
        <f>VLOOKUP(A35,'[1]all FNCL'!A$2:B$993,2)</f>
        <v>0.60256210105936003</v>
      </c>
      <c r="H35" s="3" t="s">
        <v>47</v>
      </c>
      <c r="I35">
        <v>0.89485932552840397</v>
      </c>
      <c r="J35" s="33">
        <f>VLOOKUP(A35,'Refi Universe'!E:F,2,0)</f>
        <v>0.60101419</v>
      </c>
    </row>
    <row r="36" spans="1:10" ht="15" x14ac:dyDescent="0.25">
      <c r="A36" s="14">
        <v>40625</v>
      </c>
      <c r="B36" s="15">
        <v>298</v>
      </c>
      <c r="C36" s="15">
        <v>298</v>
      </c>
      <c r="D36" s="5" t="s">
        <v>2</v>
      </c>
      <c r="E36" s="5" t="s">
        <v>2</v>
      </c>
      <c r="F36" s="5">
        <v>4.9459109999999997</v>
      </c>
      <c r="G36" s="12">
        <f>VLOOKUP(A36,'[1]all FNCL'!A$2:B$993,2)</f>
        <v>0.60256210105936003</v>
      </c>
      <c r="H36" s="3" t="s">
        <v>48</v>
      </c>
      <c r="I36">
        <v>0.89485932552840397</v>
      </c>
      <c r="J36" s="33">
        <f>VLOOKUP(A36,'Refi Universe'!E:F,2,0)</f>
        <v>0.59292115999999995</v>
      </c>
    </row>
    <row r="37" spans="1:10" ht="15" x14ac:dyDescent="0.25">
      <c r="A37" s="14">
        <v>40626</v>
      </c>
      <c r="B37" s="15">
        <v>287</v>
      </c>
      <c r="C37" s="15">
        <v>287</v>
      </c>
      <c r="D37" s="5" t="s">
        <v>2</v>
      </c>
      <c r="E37" s="5" t="s">
        <v>2</v>
      </c>
      <c r="F37" s="5">
        <v>4.9515399999999996</v>
      </c>
      <c r="G37" s="12">
        <f>VLOOKUP(A37,'[1]all FNCL'!A$2:B$993,2)</f>
        <v>0.59950595681897501</v>
      </c>
      <c r="H37" s="3" t="s">
        <v>49</v>
      </c>
      <c r="I37">
        <v>0.89485932552840397</v>
      </c>
      <c r="J37" s="33">
        <f>VLOOKUP(A37,'Refi Universe'!E:F,2,0)</f>
        <v>0.59047442999999999</v>
      </c>
    </row>
    <row r="38" spans="1:10" ht="15" x14ac:dyDescent="0.25">
      <c r="A38" s="14">
        <v>40627</v>
      </c>
      <c r="B38" s="15">
        <v>275</v>
      </c>
      <c r="C38" s="15">
        <v>275</v>
      </c>
      <c r="D38" s="5" t="s">
        <v>2</v>
      </c>
      <c r="E38" s="5" t="s">
        <v>2</v>
      </c>
      <c r="F38" s="5">
        <v>4.9701449999999996</v>
      </c>
      <c r="G38" s="12">
        <f>VLOOKUP(A38,'[1]all FNCL'!A$2:B$993,2)</f>
        <v>0.59950595681897501</v>
      </c>
      <c r="H38" s="3" t="s">
        <v>50</v>
      </c>
      <c r="I38">
        <v>0.89485932552840397</v>
      </c>
      <c r="J38" s="33">
        <f>VLOOKUP(A38,'Refi Universe'!E:F,2,0)</f>
        <v>0.57229280000000005</v>
      </c>
    </row>
    <row r="39" spans="1:10" ht="15" x14ac:dyDescent="0.25">
      <c r="A39" s="14">
        <v>40630</v>
      </c>
      <c r="B39" s="15">
        <v>262</v>
      </c>
      <c r="C39" s="15">
        <v>262</v>
      </c>
      <c r="D39" s="5" t="s">
        <v>2</v>
      </c>
      <c r="E39" s="5" t="s">
        <v>2</v>
      </c>
      <c r="F39" s="5">
        <v>4.9705310000000003</v>
      </c>
      <c r="G39" s="12">
        <f>VLOOKUP(A39,'[1]all FNCL'!A$2:B$993,2)</f>
        <v>0.59950595681897501</v>
      </c>
      <c r="H39" s="3" t="s">
        <v>51</v>
      </c>
      <c r="I39">
        <v>0.89485932552840397</v>
      </c>
      <c r="J39" s="33">
        <f>VLOOKUP(A39,'Refi Universe'!E:F,2,0)</f>
        <v>0.57025108000000002</v>
      </c>
    </row>
    <row r="40" spans="1:10" ht="15" x14ac:dyDescent="0.25">
      <c r="A40" s="14">
        <v>40631</v>
      </c>
      <c r="B40" s="15">
        <v>260</v>
      </c>
      <c r="C40" s="15">
        <v>260</v>
      </c>
      <c r="D40" s="5" t="s">
        <v>2</v>
      </c>
      <c r="E40" s="5" t="s">
        <v>2</v>
      </c>
      <c r="F40" s="5">
        <v>4.9973159999999996</v>
      </c>
      <c r="G40" s="12">
        <f>VLOOKUP(A40,'[1]all FNCL'!A$2:B$993,2)</f>
        <v>0.59950595681897501</v>
      </c>
      <c r="H40" s="3" t="s">
        <v>52</v>
      </c>
      <c r="I40">
        <v>0.89505966783361102</v>
      </c>
      <c r="J40" s="33">
        <f>VLOOKUP(A40,'Refi Universe'!E:F,2,0)</f>
        <v>0.54296453</v>
      </c>
    </row>
    <row r="41" spans="1:10" ht="15" x14ac:dyDescent="0.25">
      <c r="A41" s="14">
        <v>40632</v>
      </c>
      <c r="B41" s="15">
        <v>253</v>
      </c>
      <c r="C41" s="15">
        <v>253</v>
      </c>
      <c r="D41" s="5" t="s">
        <v>2</v>
      </c>
      <c r="E41" s="5" t="s">
        <v>2</v>
      </c>
      <c r="F41" s="5">
        <v>4.9774609999999999</v>
      </c>
      <c r="G41" s="12">
        <f>VLOOKUP(A41,'[1]all FNCL'!A$2:B$993,2)</f>
        <v>0.59950595681897501</v>
      </c>
      <c r="H41" s="3" t="s">
        <v>53</v>
      </c>
      <c r="I41">
        <v>0.89505966783361102</v>
      </c>
      <c r="J41" s="33">
        <f>VLOOKUP(A41,'Refi Universe'!E:F,2,0)</f>
        <v>0.59292115999999995</v>
      </c>
    </row>
    <row r="42" spans="1:10" ht="15" x14ac:dyDescent="0.25">
      <c r="A42" s="14">
        <v>40633</v>
      </c>
      <c r="B42" s="15">
        <v>249</v>
      </c>
      <c r="C42" s="15">
        <v>249</v>
      </c>
      <c r="D42" s="5" t="s">
        <v>2</v>
      </c>
      <c r="E42" s="5" t="s">
        <v>2</v>
      </c>
      <c r="F42" s="5">
        <v>4.9697560000000003</v>
      </c>
      <c r="G42" s="12">
        <f>VLOOKUP(A42,'[1]all FNCL'!A$2:B$993,2)</f>
        <v>0.59315556395691504</v>
      </c>
      <c r="H42" s="3" t="s">
        <v>54</v>
      </c>
      <c r="I42">
        <v>0.89505966783361102</v>
      </c>
      <c r="J42" s="33">
        <f>VLOOKUP(A42,'Refi Universe'!E:F,2,0)</f>
        <v>0.59330693000000001</v>
      </c>
    </row>
    <row r="43" spans="1:10" ht="15" x14ac:dyDescent="0.25">
      <c r="A43" s="14">
        <v>40634</v>
      </c>
      <c r="B43" s="15">
        <v>249</v>
      </c>
      <c r="C43" s="15">
        <v>249</v>
      </c>
      <c r="D43" s="5" t="s">
        <v>2</v>
      </c>
      <c r="E43" s="5" t="s">
        <v>2</v>
      </c>
      <c r="F43" s="5">
        <v>4.9785089999999999</v>
      </c>
      <c r="G43" s="12">
        <f>VLOOKUP(A43,'[1]all FNCL'!A$2:B$993,2)</f>
        <v>0.58635020807411298</v>
      </c>
      <c r="H43" s="3" t="s">
        <v>55</v>
      </c>
      <c r="I43">
        <v>0.89505966783361102</v>
      </c>
      <c r="J43" s="33">
        <f>VLOOKUP(A43,'Refi Universe'!E:F,2,0)</f>
        <v>0.58564293999999995</v>
      </c>
    </row>
    <row r="44" spans="1:10" ht="15" x14ac:dyDescent="0.25">
      <c r="A44" s="14">
        <v>40637</v>
      </c>
      <c r="B44" s="15">
        <v>255</v>
      </c>
      <c r="C44" s="15">
        <v>255</v>
      </c>
      <c r="D44" s="5" t="s">
        <v>2</v>
      </c>
      <c r="E44" s="5" t="s">
        <v>2</v>
      </c>
      <c r="F44" s="5">
        <v>4.9839789999999997</v>
      </c>
      <c r="G44" s="12">
        <f>VLOOKUP(A44,'[1]all FNCL'!A$2:B$993,2)</f>
        <v>0.58635020807411298</v>
      </c>
      <c r="H44" s="3" t="s">
        <v>56</v>
      </c>
      <c r="I44">
        <v>0.89598257612375398</v>
      </c>
      <c r="J44" s="33">
        <f>VLOOKUP(A44,'Refi Universe'!E:F,2,0)</f>
        <v>0.58600547000000003</v>
      </c>
    </row>
    <row r="45" spans="1:10" ht="15" x14ac:dyDescent="0.25">
      <c r="A45" s="14">
        <v>40638</v>
      </c>
      <c r="B45" s="15">
        <v>239</v>
      </c>
      <c r="C45" s="15">
        <v>239</v>
      </c>
      <c r="D45" s="5" t="s">
        <v>2</v>
      </c>
      <c r="E45" s="5" t="s">
        <v>2</v>
      </c>
      <c r="F45" s="5">
        <v>5.0188249999999996</v>
      </c>
      <c r="G45" s="12">
        <f>VLOOKUP(A45,'[1]all FNCL'!A$2:B$993,2)</f>
        <v>0.58635020807411298</v>
      </c>
      <c r="H45" s="3" t="s">
        <v>57</v>
      </c>
      <c r="I45">
        <v>0.88344911791249303</v>
      </c>
      <c r="J45" s="33">
        <f>VLOOKUP(A45,'Refi Universe'!E:F,2,0)</f>
        <v>0.56064663999999997</v>
      </c>
    </row>
    <row r="46" spans="1:10" ht="15" x14ac:dyDescent="0.25">
      <c r="A46" s="14">
        <v>40639</v>
      </c>
      <c r="B46" s="15">
        <v>220</v>
      </c>
      <c r="C46" s="15">
        <v>220</v>
      </c>
      <c r="D46" s="5" t="s">
        <v>2</v>
      </c>
      <c r="E46" s="5" t="s">
        <v>2</v>
      </c>
      <c r="F46" s="5">
        <v>5.034897</v>
      </c>
      <c r="G46" s="12">
        <f>VLOOKUP(A46,'[1]all FNCL'!A$2:B$993,2)</f>
        <v>0.58635020807411298</v>
      </c>
      <c r="H46" s="3" t="s">
        <v>58</v>
      </c>
      <c r="I46">
        <v>0.88344911791249303</v>
      </c>
      <c r="J46" s="33">
        <f>VLOOKUP(A46,'Refi Universe'!E:F,2,0)</f>
        <v>0.55462959000000001</v>
      </c>
    </row>
    <row r="47" spans="1:10" ht="15" x14ac:dyDescent="0.25">
      <c r="A47" s="14">
        <v>40640</v>
      </c>
      <c r="B47" s="15">
        <v>209</v>
      </c>
      <c r="C47" s="15">
        <v>209</v>
      </c>
      <c r="D47" s="5" t="s">
        <v>2</v>
      </c>
      <c r="E47" s="5" t="s">
        <v>2</v>
      </c>
      <c r="F47" s="5">
        <v>5.0347109999999997</v>
      </c>
      <c r="G47" s="12">
        <f>VLOOKUP(A47,'[1]all FNCL'!A$2:B$993,2)</f>
        <v>0.58532491615437798</v>
      </c>
      <c r="H47" s="3" t="s">
        <v>59</v>
      </c>
      <c r="I47">
        <v>0.88344911791249303</v>
      </c>
      <c r="J47" s="33">
        <f>VLOOKUP(A47,'Refi Universe'!E:F,2,0)</f>
        <v>0.55713210000000002</v>
      </c>
    </row>
    <row r="48" spans="1:10" ht="15" x14ac:dyDescent="0.25">
      <c r="A48" s="14">
        <v>40641</v>
      </c>
      <c r="B48" s="15">
        <v>204</v>
      </c>
      <c r="C48" s="15">
        <v>204</v>
      </c>
      <c r="D48" s="5" t="s">
        <v>2</v>
      </c>
      <c r="E48" s="5" t="s">
        <v>2</v>
      </c>
      <c r="F48" s="5">
        <v>5.0380929999999999</v>
      </c>
      <c r="G48" s="12">
        <f>VLOOKUP(A48,'[1]all FNCL'!A$2:B$993,2)</f>
        <v>0.58635020807411298</v>
      </c>
      <c r="H48" s="3" t="s">
        <v>60</v>
      </c>
      <c r="I48">
        <v>0.88344911791249303</v>
      </c>
      <c r="J48" s="33">
        <f>VLOOKUP(A48,'Refi Universe'!E:F,2,0)</f>
        <v>0.55076780000000003</v>
      </c>
    </row>
    <row r="49" spans="1:10" ht="15" x14ac:dyDescent="0.25">
      <c r="A49" s="14">
        <v>40644</v>
      </c>
      <c r="B49" s="15">
        <v>197</v>
      </c>
      <c r="C49" s="15">
        <v>197</v>
      </c>
      <c r="D49" s="5" t="s">
        <v>2</v>
      </c>
      <c r="E49" s="5" t="s">
        <v>2</v>
      </c>
      <c r="F49" s="5">
        <v>5.0330640000000004</v>
      </c>
      <c r="G49" s="12">
        <f>VLOOKUP(A49,'[1]all FNCL'!A$2:B$993,2)</f>
        <v>0.58532491615437798</v>
      </c>
      <c r="H49" s="3" t="s">
        <v>61</v>
      </c>
      <c r="I49">
        <v>0.89196946223805695</v>
      </c>
      <c r="J49" s="33">
        <f>VLOOKUP(A49,'Refi Universe'!E:F,2,0)</f>
        <v>0.55462959000000001</v>
      </c>
    </row>
    <row r="50" spans="1:10" ht="15" x14ac:dyDescent="0.25">
      <c r="A50" s="14">
        <v>40645</v>
      </c>
      <c r="B50" s="15">
        <v>194</v>
      </c>
      <c r="C50" s="15">
        <v>194</v>
      </c>
      <c r="D50" s="5" t="s">
        <v>2</v>
      </c>
      <c r="E50" s="5" t="s">
        <v>2</v>
      </c>
      <c r="F50" s="5">
        <v>5.0026489999999999</v>
      </c>
      <c r="G50" s="12">
        <f>VLOOKUP(A50,'[1]all FNCL'!A$2:B$993,2)</f>
        <v>0.58532491615437798</v>
      </c>
      <c r="H50" s="3" t="s">
        <v>62</v>
      </c>
      <c r="I50">
        <v>0.89196946223805695</v>
      </c>
      <c r="J50" s="33">
        <f>VLOOKUP(A50,'Refi Universe'!E:F,2,0)</f>
        <v>0.58436579</v>
      </c>
    </row>
    <row r="51" spans="1:10" ht="15" x14ac:dyDescent="0.25">
      <c r="A51" s="14">
        <v>40646</v>
      </c>
      <c r="B51" s="15">
        <v>195</v>
      </c>
      <c r="C51" s="15">
        <v>195</v>
      </c>
      <c r="D51" s="5" t="s">
        <v>2</v>
      </c>
      <c r="E51" s="5" t="s">
        <v>2</v>
      </c>
      <c r="F51" s="5">
        <v>4.9916999999999998</v>
      </c>
      <c r="G51" s="12">
        <f>VLOOKUP(A51,'[1]all FNCL'!A$2:B$993,2)</f>
        <v>0.58532491615437798</v>
      </c>
      <c r="H51" s="3" t="s">
        <v>63</v>
      </c>
      <c r="I51">
        <v>0.89196946223805695</v>
      </c>
      <c r="J51" s="33">
        <f>VLOOKUP(A51,'Refi Universe'!E:F,2,0)</f>
        <v>0.58820517000000005</v>
      </c>
    </row>
    <row r="52" spans="1:10" ht="15" x14ac:dyDescent="0.25">
      <c r="A52" s="14">
        <v>40647</v>
      </c>
      <c r="B52" s="15">
        <v>198</v>
      </c>
      <c r="C52" s="15">
        <v>198</v>
      </c>
      <c r="D52" s="5" t="s">
        <v>2</v>
      </c>
      <c r="E52" s="5" t="s">
        <v>2</v>
      </c>
      <c r="F52" s="5">
        <v>4.9957250000000002</v>
      </c>
      <c r="G52" s="12">
        <f>VLOOKUP(A52,'[1]all FNCL'!A$2:B$993,2)</f>
        <v>0.56791099107998699</v>
      </c>
      <c r="H52" s="3" t="s">
        <v>64</v>
      </c>
      <c r="I52">
        <v>0.89196946223805695</v>
      </c>
      <c r="J52" s="33">
        <f>VLOOKUP(A52,'Refi Universe'!E:F,2,0)</f>
        <v>0.58773812999999997</v>
      </c>
    </row>
    <row r="53" spans="1:10" ht="15" x14ac:dyDescent="0.25">
      <c r="A53" s="14">
        <v>40648</v>
      </c>
      <c r="B53" s="15">
        <v>205</v>
      </c>
      <c r="C53" s="15">
        <v>205</v>
      </c>
      <c r="D53" s="5" t="s">
        <v>2</v>
      </c>
      <c r="E53" s="5" t="s">
        <v>2</v>
      </c>
      <c r="F53" s="5">
        <v>4.9499380000000004</v>
      </c>
      <c r="G53" s="12">
        <f>VLOOKUP(A53,'[1]all FNCL'!A$2:B$993,2)</f>
        <v>0.56791099107998699</v>
      </c>
      <c r="H53" s="3" t="s">
        <v>65</v>
      </c>
      <c r="I53">
        <v>0.89196946223805695</v>
      </c>
      <c r="J53" s="33">
        <f>VLOOKUP(A53,'Refi Universe'!E:F,2,0)</f>
        <v>0.59459154000000003</v>
      </c>
    </row>
    <row r="54" spans="1:10" ht="15" x14ac:dyDescent="0.25">
      <c r="A54" s="14">
        <v>40651</v>
      </c>
      <c r="B54" s="15">
        <v>216</v>
      </c>
      <c r="C54" s="15">
        <v>216</v>
      </c>
      <c r="D54" s="5" t="s">
        <v>2</v>
      </c>
      <c r="E54" s="5" t="s">
        <v>2</v>
      </c>
      <c r="F54" s="5">
        <v>4.9404279999999998</v>
      </c>
      <c r="G54" s="12">
        <f>VLOOKUP(A54,'[1]all FNCL'!A$2:B$993,2)</f>
        <v>0.56791099107998699</v>
      </c>
      <c r="H54" s="3" t="s">
        <v>66</v>
      </c>
      <c r="I54">
        <v>0.88661468253780695</v>
      </c>
      <c r="J54" s="33">
        <f>VLOOKUP(A54,'Refi Universe'!E:F,2,0)</f>
        <v>0.59752002000000004</v>
      </c>
    </row>
    <row r="55" spans="1:10" ht="15" x14ac:dyDescent="0.25">
      <c r="A55" s="14">
        <v>40652</v>
      </c>
      <c r="B55" s="15">
        <v>218</v>
      </c>
      <c r="C55" s="15">
        <v>218</v>
      </c>
      <c r="D55" s="5" t="s">
        <v>2</v>
      </c>
      <c r="E55" s="5" t="s">
        <v>2</v>
      </c>
      <c r="F55" s="5">
        <v>4.932906</v>
      </c>
      <c r="G55" s="12">
        <f>VLOOKUP(A55,'[1]all FNCL'!A$2:B$993,2)</f>
        <v>0.56791099107998699</v>
      </c>
      <c r="H55" s="3" t="s">
        <v>67</v>
      </c>
      <c r="I55">
        <v>0.88661468253780695</v>
      </c>
      <c r="J55" s="33">
        <f>VLOOKUP(A55,'Refi Universe'!E:F,2,0)</f>
        <v>0.59807111999999996</v>
      </c>
    </row>
    <row r="56" spans="1:10" ht="15" x14ac:dyDescent="0.25">
      <c r="A56" s="14">
        <v>40653</v>
      </c>
      <c r="B56" s="15">
        <v>210</v>
      </c>
      <c r="C56" s="15">
        <v>210</v>
      </c>
      <c r="D56" s="5" t="s">
        <v>2</v>
      </c>
      <c r="E56" s="5" t="s">
        <v>2</v>
      </c>
      <c r="F56" s="5">
        <v>4.9458380000000002</v>
      </c>
      <c r="G56" s="12">
        <f>VLOOKUP(A56,'[1]all FNCL'!A$2:B$993,2)</f>
        <v>0.56791099107998699</v>
      </c>
      <c r="H56" s="3" t="s">
        <v>68</v>
      </c>
      <c r="I56">
        <v>0.88661468253780695</v>
      </c>
      <c r="J56" s="33">
        <f>VLOOKUP(A56,'Refi Universe'!E:F,2,0)</f>
        <v>0.59394553000000005</v>
      </c>
    </row>
    <row r="57" spans="1:10" ht="15" x14ac:dyDescent="0.25">
      <c r="A57" s="14">
        <v>40654</v>
      </c>
      <c r="B57" s="15">
        <v>211</v>
      </c>
      <c r="C57" s="15">
        <v>211</v>
      </c>
      <c r="D57" s="5" t="s">
        <v>2</v>
      </c>
      <c r="E57" s="5" t="s">
        <v>2</v>
      </c>
      <c r="F57" s="5">
        <v>4.9479449999999998</v>
      </c>
      <c r="G57" s="12">
        <f>VLOOKUP(A57,'[1]all FNCL'!A$2:B$993,2)</f>
        <v>0.59349339985189797</v>
      </c>
      <c r="H57" s="3" t="s">
        <v>69</v>
      </c>
      <c r="I57">
        <v>0.88661468253780695</v>
      </c>
      <c r="J57" s="33">
        <f>VLOOKUP(A57,'Refi Universe'!E:F,2,0)</f>
        <v>0.59386766000000002</v>
      </c>
    </row>
    <row r="58" spans="1:10" ht="15" x14ac:dyDescent="0.25">
      <c r="A58" s="14">
        <v>40658</v>
      </c>
      <c r="B58" s="15">
        <v>210</v>
      </c>
      <c r="C58" s="15">
        <v>210</v>
      </c>
      <c r="D58" s="5" t="s">
        <v>2</v>
      </c>
      <c r="E58" s="5" t="s">
        <v>2</v>
      </c>
      <c r="F58" s="5">
        <v>4.9291359999999997</v>
      </c>
      <c r="G58" s="12">
        <f>VLOOKUP(A58,'[1]all FNCL'!A$2:B$993,2)</f>
        <v>0.59349339985189797</v>
      </c>
      <c r="H58" s="3" t="s">
        <v>70</v>
      </c>
      <c r="I58">
        <v>0.88661468253780695</v>
      </c>
      <c r="J58" s="33">
        <f>VLOOKUP(A58,'Refi Universe'!E:F,2,0)</f>
        <v>0.59596400999999999</v>
      </c>
    </row>
    <row r="59" spans="1:10" ht="15" x14ac:dyDescent="0.25">
      <c r="A59" s="14">
        <v>40659</v>
      </c>
      <c r="B59" s="15">
        <v>209</v>
      </c>
      <c r="C59" s="15">
        <v>209</v>
      </c>
      <c r="D59" s="5" t="s">
        <v>2</v>
      </c>
      <c r="E59" s="5" t="s">
        <v>2</v>
      </c>
      <c r="F59" s="5">
        <v>4.9168989999999999</v>
      </c>
      <c r="G59" s="12">
        <f>VLOOKUP(A59,'[1]all FNCL'!A$2:B$993,2)</f>
        <v>0.59349339985189797</v>
      </c>
      <c r="H59" s="3" t="s">
        <v>71</v>
      </c>
      <c r="I59">
        <v>0.89395578636495998</v>
      </c>
      <c r="J59" s="33">
        <f>VLOOKUP(A59,'Refi Universe'!E:F,2,0)</f>
        <v>0.59816915999999998</v>
      </c>
    </row>
    <row r="60" spans="1:10" ht="15" x14ac:dyDescent="0.25">
      <c r="A60" s="14">
        <v>40660</v>
      </c>
      <c r="B60" s="15">
        <v>208</v>
      </c>
      <c r="C60" s="15">
        <v>208</v>
      </c>
      <c r="D60" s="5" t="s">
        <v>2</v>
      </c>
      <c r="E60" s="5" t="s">
        <v>2</v>
      </c>
      <c r="F60" s="5">
        <v>4.9224930000000002</v>
      </c>
      <c r="G60" s="12">
        <f>VLOOKUP(A60,'[1]all FNCL'!A$2:B$993,2)</f>
        <v>0.59349339985189797</v>
      </c>
      <c r="H60" s="3" t="s">
        <v>72</v>
      </c>
      <c r="I60">
        <v>0.89395578636495998</v>
      </c>
      <c r="J60" s="33">
        <f>VLOOKUP(A60,'Refi Universe'!E:F,2,0)</f>
        <v>0.59476454999999995</v>
      </c>
    </row>
    <row r="61" spans="1:10" ht="15" x14ac:dyDescent="0.25">
      <c r="A61" s="14">
        <v>40661</v>
      </c>
      <c r="B61" s="15">
        <v>214</v>
      </c>
      <c r="C61" s="15">
        <v>214</v>
      </c>
      <c r="D61" s="5" t="s">
        <v>2</v>
      </c>
      <c r="E61" s="5" t="s">
        <v>2</v>
      </c>
      <c r="F61" s="5">
        <v>4.8876759999999999</v>
      </c>
      <c r="G61" s="12">
        <f>VLOOKUP(A61,'[1]all FNCL'!A$2:B$993,2)</f>
        <v>0.594306088776824</v>
      </c>
      <c r="H61" s="3" t="s">
        <v>73</v>
      </c>
      <c r="I61">
        <v>0.89395578636495998</v>
      </c>
      <c r="J61" s="33">
        <f>VLOOKUP(A61,'Refi Universe'!E:F,2,0)</f>
        <v>0.59958840999999996</v>
      </c>
    </row>
    <row r="62" spans="1:10" ht="15" x14ac:dyDescent="0.25">
      <c r="A62" s="14">
        <v>40662</v>
      </c>
      <c r="B62" s="15">
        <v>214</v>
      </c>
      <c r="C62" s="15">
        <v>214</v>
      </c>
      <c r="D62" s="5" t="s">
        <v>2</v>
      </c>
      <c r="E62" s="5" t="s">
        <v>2</v>
      </c>
      <c r="F62" s="5">
        <v>4.8737589999999997</v>
      </c>
      <c r="G62" s="12">
        <f>VLOOKUP(A62,'[1]all FNCL'!A$2:B$993,2)</f>
        <v>0.59349339985189797</v>
      </c>
      <c r="H62" s="3" t="s">
        <v>74</v>
      </c>
      <c r="I62">
        <v>0.89395578636495998</v>
      </c>
      <c r="J62" s="33">
        <f>VLOOKUP(A62,'Refi Universe'!E:F,2,0)</f>
        <v>0.60214741999999999</v>
      </c>
    </row>
    <row r="63" spans="1:10" ht="15" x14ac:dyDescent="0.25">
      <c r="A63" s="14">
        <v>40665</v>
      </c>
      <c r="B63" s="15">
        <v>260</v>
      </c>
      <c r="C63" s="15">
        <v>260</v>
      </c>
      <c r="D63" s="5" t="s">
        <v>2</v>
      </c>
      <c r="E63" s="5" t="s">
        <v>2</v>
      </c>
      <c r="F63" s="5">
        <v>4.8853749999999998</v>
      </c>
      <c r="G63" s="12">
        <f>VLOOKUP(A63,'[1]all FNCL'!A$2:B$993,2)</f>
        <v>0.58827706720942596</v>
      </c>
      <c r="H63" s="3" t="s">
        <v>75</v>
      </c>
      <c r="I63">
        <v>0.89395578636495998</v>
      </c>
      <c r="J63" s="33">
        <f>VLOOKUP(A63,'Refi Universe'!E:F,2,0)</f>
        <v>0.59420903000000003</v>
      </c>
    </row>
    <row r="64" spans="1:10" ht="15" x14ac:dyDescent="0.25">
      <c r="A64" s="14">
        <v>40666</v>
      </c>
      <c r="B64" s="15">
        <v>253</v>
      </c>
      <c r="C64" s="15">
        <v>253</v>
      </c>
      <c r="D64" s="5" t="s">
        <v>2</v>
      </c>
      <c r="E64" s="5" t="s">
        <v>2</v>
      </c>
      <c r="F64" s="5">
        <v>4.8663220000000003</v>
      </c>
      <c r="G64" s="12">
        <f>VLOOKUP(A64,'[1]all FNCL'!A$2:B$993,2)</f>
        <v>0.58827706720942596</v>
      </c>
      <c r="H64" s="3" t="s">
        <v>76</v>
      </c>
      <c r="I64">
        <v>0.89395578636495998</v>
      </c>
      <c r="J64" s="33">
        <f>VLOOKUP(A64,'Refi Universe'!E:F,2,0)</f>
        <v>0.59809005999999998</v>
      </c>
    </row>
    <row r="65" spans="1:10" ht="15" x14ac:dyDescent="0.25">
      <c r="A65" s="14">
        <v>40667</v>
      </c>
      <c r="B65" s="15">
        <v>258</v>
      </c>
      <c r="C65" s="15">
        <v>258</v>
      </c>
      <c r="D65" s="5" t="s">
        <v>2</v>
      </c>
      <c r="E65" s="5" t="s">
        <v>2</v>
      </c>
      <c r="F65" s="5">
        <v>4.8478050000000001</v>
      </c>
      <c r="G65" s="12">
        <f>VLOOKUP(A65,'[1]all FNCL'!A$2:B$993,2)</f>
        <v>0.58827706720942596</v>
      </c>
      <c r="H65" s="3" t="s">
        <v>77</v>
      </c>
      <c r="I65">
        <v>0.89395578636495998</v>
      </c>
      <c r="J65" s="33">
        <f>VLOOKUP(A65,'Refi Universe'!E:F,2,0)</f>
        <v>0.59849596999999999</v>
      </c>
    </row>
    <row r="66" spans="1:10" ht="15" x14ac:dyDescent="0.25">
      <c r="A66" s="14">
        <v>40668</v>
      </c>
      <c r="B66" s="15">
        <v>255</v>
      </c>
      <c r="C66" s="15">
        <v>255</v>
      </c>
      <c r="D66" s="5" t="s">
        <v>2</v>
      </c>
      <c r="E66" s="5" t="s">
        <v>2</v>
      </c>
      <c r="F66" s="5">
        <v>4.8159349999999996</v>
      </c>
      <c r="G66" s="12">
        <f>VLOOKUP(A66,'[1]all FNCL'!A$2:B$993,2)</f>
        <v>0.59388944935877797</v>
      </c>
      <c r="H66" s="3" t="s">
        <v>78</v>
      </c>
      <c r="I66">
        <v>0.87735489357143903</v>
      </c>
      <c r="J66" s="33">
        <f>VLOOKUP(A66,'Refi Universe'!E:F,2,0)</f>
        <v>0.60970157999999997</v>
      </c>
    </row>
    <row r="67" spans="1:10" ht="15" x14ac:dyDescent="0.25">
      <c r="A67" s="14">
        <v>40669</v>
      </c>
      <c r="B67" s="15">
        <v>245</v>
      </c>
      <c r="C67" s="15">
        <v>245</v>
      </c>
      <c r="D67" s="5" t="s">
        <v>2</v>
      </c>
      <c r="E67" s="5" t="s">
        <v>2</v>
      </c>
      <c r="F67" s="5">
        <v>4.8123329999999997</v>
      </c>
      <c r="G67" s="12">
        <f>VLOOKUP(A67,'[1]all FNCL'!A$2:B$993,2)</f>
        <v>0.58827706720942596</v>
      </c>
      <c r="H67" s="3" t="s">
        <v>79</v>
      </c>
      <c r="I67">
        <v>0.87735489357143903</v>
      </c>
      <c r="J67" s="33">
        <f>VLOOKUP(A67,'Refi Universe'!E:F,2,0)</f>
        <v>0.61279925000000002</v>
      </c>
    </row>
    <row r="68" spans="1:10" ht="15" x14ac:dyDescent="0.25">
      <c r="A68" s="14">
        <v>40672</v>
      </c>
      <c r="B68" s="15">
        <v>243</v>
      </c>
      <c r="C68" s="15">
        <v>243</v>
      </c>
      <c r="D68" s="5" t="s">
        <v>2</v>
      </c>
      <c r="E68" s="5" t="s">
        <v>2</v>
      </c>
      <c r="F68" s="5">
        <v>4.8029909999999996</v>
      </c>
      <c r="G68" s="12">
        <f>VLOOKUP(A68,'[1]all FNCL'!A$2:B$993,2)</f>
        <v>0.59388944935877797</v>
      </c>
      <c r="H68" s="3" t="s">
        <v>80</v>
      </c>
      <c r="I68">
        <v>0.89133476417306701</v>
      </c>
      <c r="J68" s="33">
        <f>VLOOKUP(A68,'Refi Universe'!E:F,2,0)</f>
        <v>0.61802575999999998</v>
      </c>
    </row>
    <row r="69" spans="1:10" ht="15" x14ac:dyDescent="0.25">
      <c r="A69" s="14">
        <v>40673</v>
      </c>
      <c r="B69" s="15">
        <v>239</v>
      </c>
      <c r="C69" s="15">
        <v>239</v>
      </c>
      <c r="D69" s="5" t="s">
        <v>2</v>
      </c>
      <c r="E69" s="5" t="s">
        <v>2</v>
      </c>
      <c r="F69" s="5">
        <v>4.8272579999999996</v>
      </c>
      <c r="G69" s="12">
        <f>VLOOKUP(A69,'[1]all FNCL'!A$2:B$993,2)</f>
        <v>0.59388944935877797</v>
      </c>
      <c r="H69" s="3" t="s">
        <v>81</v>
      </c>
      <c r="I69">
        <v>0.89133476417306701</v>
      </c>
      <c r="J69" s="33">
        <f>VLOOKUP(A69,'Refi Universe'!E:F,2,0)</f>
        <v>0.60476870999999999</v>
      </c>
    </row>
    <row r="70" spans="1:10" ht="15" x14ac:dyDescent="0.25">
      <c r="A70" s="14">
        <v>40674</v>
      </c>
      <c r="B70" s="15">
        <v>237</v>
      </c>
      <c r="C70" s="15">
        <v>237</v>
      </c>
      <c r="D70" s="5" t="s">
        <v>2</v>
      </c>
      <c r="E70" s="5" t="s">
        <v>2</v>
      </c>
      <c r="F70" s="5">
        <v>4.8133790000000003</v>
      </c>
      <c r="G70" s="12">
        <f>VLOOKUP(A70,'[1]all FNCL'!A$2:B$993,2)</f>
        <v>0.59388944935877797</v>
      </c>
      <c r="H70" s="3" t="s">
        <v>82</v>
      </c>
      <c r="I70">
        <v>0.89133476417306701</v>
      </c>
      <c r="J70" s="33">
        <f>VLOOKUP(A70,'Refi Universe'!E:F,2,0)</f>
        <v>0.60725342000000004</v>
      </c>
    </row>
    <row r="71" spans="1:10" ht="15" x14ac:dyDescent="0.25">
      <c r="A71" s="14">
        <v>40675</v>
      </c>
      <c r="B71" s="15">
        <v>225</v>
      </c>
      <c r="C71" s="15">
        <v>225</v>
      </c>
      <c r="D71" s="5" t="s">
        <v>2</v>
      </c>
      <c r="E71" s="5" t="s">
        <v>2</v>
      </c>
      <c r="F71" s="5">
        <v>4.8197619999999999</v>
      </c>
      <c r="G71" s="12">
        <f>VLOOKUP(A71,'[1]all FNCL'!A$2:B$993,2)</f>
        <v>0.60656839337259305</v>
      </c>
      <c r="H71" s="3" t="s">
        <v>83</v>
      </c>
      <c r="I71">
        <v>0.89133476417306701</v>
      </c>
      <c r="J71" s="33">
        <f>VLOOKUP(A71,'Refi Universe'!E:F,2,0)</f>
        <v>0.60131517999999995</v>
      </c>
    </row>
    <row r="72" spans="1:10" ht="15" x14ac:dyDescent="0.25">
      <c r="A72" s="14">
        <v>40676</v>
      </c>
      <c r="B72" s="15">
        <v>227</v>
      </c>
      <c r="C72" s="15">
        <v>227</v>
      </c>
      <c r="D72" s="5" t="s">
        <v>2</v>
      </c>
      <c r="E72" s="5" t="s">
        <v>2</v>
      </c>
      <c r="F72" s="5">
        <v>4.8163309999999999</v>
      </c>
      <c r="G72" s="12">
        <f>VLOOKUP(A72,'[1]all FNCL'!A$2:B$993,2)</f>
        <v>0.60656839337259305</v>
      </c>
      <c r="H72" s="3" t="s">
        <v>84</v>
      </c>
      <c r="I72">
        <v>0.89133476417306701</v>
      </c>
      <c r="J72" s="33">
        <f>VLOOKUP(A72,'Refi Universe'!E:F,2,0)</f>
        <v>0.60620629999999998</v>
      </c>
    </row>
    <row r="73" spans="1:10" ht="15" x14ac:dyDescent="0.25">
      <c r="A73" s="14">
        <v>40679</v>
      </c>
      <c r="B73" s="15">
        <v>229</v>
      </c>
      <c r="C73" s="15">
        <v>229</v>
      </c>
      <c r="D73" s="5" t="s">
        <v>2</v>
      </c>
      <c r="E73" s="5" t="s">
        <v>2</v>
      </c>
      <c r="F73" s="5">
        <v>4.807601</v>
      </c>
      <c r="G73" s="12">
        <f>VLOOKUP(A73,'[1]all FNCL'!A$2:B$993,2)</f>
        <v>0.60656839337259305</v>
      </c>
      <c r="H73" s="3" t="s">
        <v>85</v>
      </c>
      <c r="I73">
        <v>0.944528095453952</v>
      </c>
      <c r="J73" s="33">
        <f>VLOOKUP(A73,'Refi Universe'!E:F,2,0)</f>
        <v>0.61009265000000001</v>
      </c>
    </row>
    <row r="74" spans="1:10" ht="15" x14ac:dyDescent="0.25">
      <c r="A74" s="14">
        <v>40680</v>
      </c>
      <c r="B74" s="15">
        <v>236</v>
      </c>
      <c r="C74" s="15">
        <v>236</v>
      </c>
      <c r="D74" s="5" t="s">
        <v>2</v>
      </c>
      <c r="E74" s="5" t="s">
        <v>2</v>
      </c>
      <c r="F74" s="5">
        <v>4.8033729999999997</v>
      </c>
      <c r="G74" s="12">
        <f>VLOOKUP(A74,'[1]all FNCL'!A$2:B$993,2)</f>
        <v>0.60656839337259305</v>
      </c>
      <c r="H74" s="3" t="s">
        <v>86</v>
      </c>
      <c r="I74">
        <v>0.944528095453952</v>
      </c>
      <c r="J74" s="33">
        <f>VLOOKUP(A74,'Refi Universe'!E:F,2,0)</f>
        <v>0.61572481999999995</v>
      </c>
    </row>
    <row r="75" spans="1:10" ht="15" x14ac:dyDescent="0.25">
      <c r="A75" s="14">
        <v>40681</v>
      </c>
      <c r="B75" s="15">
        <v>227</v>
      </c>
      <c r="C75" s="15">
        <v>227</v>
      </c>
      <c r="D75" s="5" t="s">
        <v>2</v>
      </c>
      <c r="E75" s="5" t="s">
        <v>2</v>
      </c>
      <c r="F75" s="5">
        <v>4.8217559999999997</v>
      </c>
      <c r="G75" s="12">
        <f>VLOOKUP(A75,'[1]all FNCL'!A$2:B$993,2)</f>
        <v>0.60656839337259305</v>
      </c>
      <c r="H75" s="3" t="s">
        <v>87</v>
      </c>
      <c r="I75">
        <v>0.944528095453952</v>
      </c>
      <c r="J75" s="33">
        <f>VLOOKUP(A75,'Refi Universe'!E:F,2,0)</f>
        <v>0.60756730999999997</v>
      </c>
    </row>
    <row r="76" spans="1:10" ht="15" x14ac:dyDescent="0.25">
      <c r="A76" s="14">
        <v>40682</v>
      </c>
      <c r="B76" s="15">
        <v>220</v>
      </c>
      <c r="C76" s="15">
        <v>220</v>
      </c>
      <c r="D76" s="5" t="s">
        <v>2</v>
      </c>
      <c r="E76" s="5" t="s">
        <v>2</v>
      </c>
      <c r="F76" s="5">
        <v>4.8262470000000004</v>
      </c>
      <c r="G76" s="12">
        <f>VLOOKUP(A76,'[1]all FNCL'!A$2:B$993,2)</f>
        <v>0.61190235023345096</v>
      </c>
      <c r="H76" s="3" t="s">
        <v>88</v>
      </c>
      <c r="I76">
        <v>0.944528095453952</v>
      </c>
      <c r="J76" s="33">
        <f>VLOOKUP(A76,'Refi Universe'!E:F,2,0)</f>
        <v>0.60650216000000001</v>
      </c>
    </row>
    <row r="77" spans="1:10" ht="15" x14ac:dyDescent="0.25">
      <c r="A77" s="14">
        <v>40683</v>
      </c>
      <c r="B77" s="15">
        <v>205</v>
      </c>
      <c r="C77" s="15">
        <v>205</v>
      </c>
      <c r="D77" s="5" t="s">
        <v>2</v>
      </c>
      <c r="E77" s="5" t="s">
        <v>2</v>
      </c>
      <c r="F77" s="5">
        <v>4.8226750000000003</v>
      </c>
      <c r="G77" s="12">
        <f>VLOOKUP(A77,'[1]all FNCL'!A$2:B$993,2)</f>
        <v>0.61190235023345096</v>
      </c>
      <c r="H77" s="3" t="s">
        <v>89</v>
      </c>
      <c r="I77">
        <v>0.944528095453952</v>
      </c>
      <c r="J77" s="33">
        <f>VLOOKUP(A77,'Refi Universe'!E:F,2,0)</f>
        <v>0.60913379999999995</v>
      </c>
    </row>
    <row r="78" spans="1:10" ht="15" x14ac:dyDescent="0.25">
      <c r="A78" s="14">
        <v>40686</v>
      </c>
      <c r="B78" s="15">
        <v>197</v>
      </c>
      <c r="C78" s="15">
        <v>197</v>
      </c>
      <c r="D78" s="5" t="s">
        <v>2</v>
      </c>
      <c r="E78" s="5" t="s">
        <v>2</v>
      </c>
      <c r="F78" s="5">
        <v>4.8259869999999996</v>
      </c>
      <c r="G78" s="12">
        <f>VLOOKUP(A78,'[1]all FNCL'!A$2:B$993,2)</f>
        <v>0.61190235023345096</v>
      </c>
      <c r="H78" s="3" t="s">
        <v>90</v>
      </c>
      <c r="I78">
        <v>0.97186924857157997</v>
      </c>
      <c r="J78" s="33">
        <f>VLOOKUP(A78,'Refi Universe'!E:F,2,0)</f>
        <v>0.60791371999999999</v>
      </c>
    </row>
    <row r="79" spans="1:10" ht="15" x14ac:dyDescent="0.25">
      <c r="A79" s="14">
        <v>40687</v>
      </c>
      <c r="B79" s="15">
        <v>179</v>
      </c>
      <c r="C79" s="15">
        <v>179</v>
      </c>
      <c r="D79" s="5" t="s">
        <v>2</v>
      </c>
      <c r="E79" s="5" t="s">
        <v>2</v>
      </c>
      <c r="F79" s="5">
        <v>4.8220879999999999</v>
      </c>
      <c r="G79" s="12">
        <f>VLOOKUP(A79,'[1]all FNCL'!A$2:B$993,2)</f>
        <v>0.61190235023345096</v>
      </c>
      <c r="H79" s="3" t="s">
        <v>91</v>
      </c>
      <c r="I79">
        <v>0.97186924857157997</v>
      </c>
      <c r="J79" s="33">
        <f>VLOOKUP(A79,'Refi Universe'!E:F,2,0)</f>
        <v>0.61190235000000004</v>
      </c>
    </row>
    <row r="80" spans="1:10" ht="15" x14ac:dyDescent="0.25">
      <c r="A80" s="14">
        <v>40688</v>
      </c>
      <c r="B80" s="15">
        <v>179</v>
      </c>
      <c r="C80" s="15">
        <v>179</v>
      </c>
      <c r="D80" s="5" t="s">
        <v>2</v>
      </c>
      <c r="E80" s="5" t="s">
        <v>2</v>
      </c>
      <c r="F80" s="5">
        <v>4.8167790000000004</v>
      </c>
      <c r="G80" s="12">
        <f>VLOOKUP(A80,'[1]all FNCL'!A$2:B$993,2)</f>
        <v>0.61190235023345096</v>
      </c>
      <c r="H80" s="3" t="s">
        <v>92</v>
      </c>
      <c r="I80">
        <v>0.97186924857157997</v>
      </c>
      <c r="J80" s="33">
        <f>VLOOKUP(A80,'Refi Universe'!E:F,2,0)</f>
        <v>0.61919310000000005</v>
      </c>
    </row>
    <row r="81" spans="1:10" ht="15" x14ac:dyDescent="0.25">
      <c r="A81" s="14">
        <v>40689</v>
      </c>
      <c r="B81" s="15">
        <v>187</v>
      </c>
      <c r="C81" s="15">
        <v>187</v>
      </c>
      <c r="D81" s="5" t="s">
        <v>2</v>
      </c>
      <c r="E81" s="5" t="s">
        <v>2</v>
      </c>
      <c r="F81" s="5">
        <v>4.7756800000000004</v>
      </c>
      <c r="G81" s="12">
        <f>VLOOKUP(A81,'[1]all FNCL'!A$2:B$993,2)</f>
        <v>0.615993636080996</v>
      </c>
      <c r="H81" s="3" t="s">
        <v>93</v>
      </c>
      <c r="I81">
        <v>0.97186924857157997</v>
      </c>
      <c r="J81" s="33">
        <f>VLOOKUP(A81,'Refi Universe'!E:F,2,0)</f>
        <v>0.67825385000000005</v>
      </c>
    </row>
    <row r="82" spans="1:10" ht="15" x14ac:dyDescent="0.25">
      <c r="A82" s="14">
        <v>40690</v>
      </c>
      <c r="B82" s="15">
        <v>192</v>
      </c>
      <c r="C82" s="15">
        <v>192</v>
      </c>
      <c r="D82" s="5" t="s">
        <v>2</v>
      </c>
      <c r="E82" s="5" t="s">
        <v>2</v>
      </c>
      <c r="F82" s="5">
        <v>4.7899320000000003</v>
      </c>
      <c r="G82" s="12">
        <f>VLOOKUP(A82,'[1]all FNCL'!A$2:B$993,2)</f>
        <v>0.615993636080996</v>
      </c>
      <c r="H82" s="3" t="s">
        <v>94</v>
      </c>
      <c r="I82">
        <v>0.97186924857157997</v>
      </c>
      <c r="J82" s="33">
        <f>VLOOKUP(A82,'Refi Universe'!E:F,2,0)</f>
        <v>0.64911578000000003</v>
      </c>
    </row>
    <row r="83" spans="1:10" ht="15" x14ac:dyDescent="0.25">
      <c r="A83" s="14">
        <v>40694</v>
      </c>
      <c r="B83" s="15">
        <v>197</v>
      </c>
      <c r="C83" s="15">
        <v>197</v>
      </c>
      <c r="D83" s="5" t="s">
        <v>2</v>
      </c>
      <c r="E83" s="5" t="s">
        <v>2</v>
      </c>
      <c r="F83" s="5">
        <v>4.7938619999999998</v>
      </c>
      <c r="G83" s="12">
        <f>VLOOKUP(A83,'[1]all FNCL'!A$2:B$993,2)</f>
        <v>0.615993636080996</v>
      </c>
      <c r="H83" s="3" t="s">
        <v>95</v>
      </c>
      <c r="I83">
        <v>0.98447138587305705</v>
      </c>
      <c r="J83" s="33">
        <f>VLOOKUP(A83,'Refi Universe'!E:F,2,0)</f>
        <v>0.64966367000000003</v>
      </c>
    </row>
    <row r="84" spans="1:10" ht="15" x14ac:dyDescent="0.25">
      <c r="A84" s="14">
        <v>40695</v>
      </c>
      <c r="B84" s="15">
        <v>202</v>
      </c>
      <c r="C84" s="15">
        <v>202</v>
      </c>
      <c r="D84" s="5" t="s">
        <v>2</v>
      </c>
      <c r="E84" s="5" t="s">
        <v>2</v>
      </c>
      <c r="F84" s="5">
        <v>4.7511289999999997</v>
      </c>
      <c r="G84" s="12">
        <f>VLOOKUP(A84,'[1]all FNCL'!A$2:B$993,2)</f>
        <v>0.61033542977678401</v>
      </c>
      <c r="H84" s="3" t="s">
        <v>96</v>
      </c>
      <c r="I84">
        <v>0.97186924857157997</v>
      </c>
      <c r="J84" s="33">
        <f>VLOOKUP(A84,'Refi Universe'!E:F,2,0)</f>
        <v>0.75998626000000002</v>
      </c>
    </row>
    <row r="85" spans="1:10" ht="15" x14ac:dyDescent="0.25">
      <c r="A85" s="14">
        <v>40696</v>
      </c>
      <c r="B85" s="15">
        <v>189</v>
      </c>
      <c r="C85" s="15">
        <v>189</v>
      </c>
      <c r="D85" s="5" t="s">
        <v>2</v>
      </c>
      <c r="E85" s="5" t="s">
        <v>2</v>
      </c>
      <c r="F85" s="5">
        <v>4.7748900000000001</v>
      </c>
      <c r="G85" s="12">
        <f>VLOOKUP(A85,'[1]all FNCL'!A$2:B$993,2)</f>
        <v>0.63716048140315296</v>
      </c>
      <c r="H85" s="3" t="s">
        <v>97</v>
      </c>
      <c r="I85">
        <v>0.98447138587305705</v>
      </c>
      <c r="J85" s="33">
        <f>VLOOKUP(A85,'Refi Universe'!E:F,2,0)</f>
        <v>0.65772775999999999</v>
      </c>
    </row>
    <row r="86" spans="1:10" ht="15" x14ac:dyDescent="0.25">
      <c r="A86" s="14">
        <v>40697</v>
      </c>
      <c r="B86" s="15">
        <v>184</v>
      </c>
      <c r="C86" s="15">
        <v>184</v>
      </c>
      <c r="D86" s="5" t="s">
        <v>2</v>
      </c>
      <c r="E86" s="5" t="s">
        <v>2</v>
      </c>
      <c r="F86" s="5">
        <v>4.7666069999999996</v>
      </c>
      <c r="G86" s="12">
        <f>VLOOKUP(A86,'[1]all FNCL'!A$2:B$993,2)</f>
        <v>0.63716048140315296</v>
      </c>
      <c r="H86" s="3" t="s">
        <v>98</v>
      </c>
      <c r="I86">
        <v>0.98447138587305705</v>
      </c>
      <c r="J86" s="33">
        <f>VLOOKUP(A86,'Refi Universe'!E:F,2,0)</f>
        <v>0.69546646999999995</v>
      </c>
    </row>
    <row r="87" spans="1:10" ht="15" x14ac:dyDescent="0.25">
      <c r="A87" s="14">
        <v>40700</v>
      </c>
      <c r="B87" s="15">
        <v>167</v>
      </c>
      <c r="C87" s="15">
        <v>167</v>
      </c>
      <c r="D87" s="5" t="s">
        <v>2</v>
      </c>
      <c r="E87" s="5" t="s">
        <v>2</v>
      </c>
      <c r="F87" s="5">
        <v>4.7706119999999999</v>
      </c>
      <c r="G87" s="12">
        <f>VLOOKUP(A87,'[1]all FNCL'!A$2:B$993,2)</f>
        <v>0.63716048140315296</v>
      </c>
      <c r="H87" s="3" t="s">
        <v>99</v>
      </c>
      <c r="I87">
        <v>0.97289569754528904</v>
      </c>
      <c r="J87" s="33">
        <f>VLOOKUP(A87,'Refi Universe'!E:F,2,0)</f>
        <v>0.68036317000000002</v>
      </c>
    </row>
    <row r="88" spans="1:10" ht="15" x14ac:dyDescent="0.25">
      <c r="A88" s="14">
        <v>40701</v>
      </c>
      <c r="B88" s="15">
        <v>152</v>
      </c>
      <c r="C88" s="15">
        <v>152</v>
      </c>
      <c r="D88" s="5" t="s">
        <v>2</v>
      </c>
      <c r="E88" s="5" t="s">
        <v>2</v>
      </c>
      <c r="F88" s="5">
        <v>4.7653160000000003</v>
      </c>
      <c r="G88" s="12">
        <f>VLOOKUP(A88,'[1]all FNCL'!A$2:B$993,2)</f>
        <v>0.63716048140315296</v>
      </c>
      <c r="H88" s="3" t="s">
        <v>100</v>
      </c>
      <c r="I88">
        <v>0.93852225394978095</v>
      </c>
      <c r="J88" s="33">
        <f>VLOOKUP(A88,'Refi Universe'!E:F,2,0)</f>
        <v>0.68885443999999996</v>
      </c>
    </row>
    <row r="89" spans="1:10" ht="15" x14ac:dyDescent="0.25">
      <c r="A89" s="14">
        <v>40702</v>
      </c>
      <c r="B89" s="15">
        <v>163</v>
      </c>
      <c r="C89" s="15">
        <v>163</v>
      </c>
      <c r="D89" s="5" t="s">
        <v>2</v>
      </c>
      <c r="E89" s="5" t="s">
        <v>2</v>
      </c>
      <c r="F89" s="5">
        <v>4.7437430000000003</v>
      </c>
      <c r="G89" s="12">
        <f>VLOOKUP(A89,'[1]all FNCL'!A$2:B$993,2)</f>
        <v>0.63716048140315296</v>
      </c>
      <c r="H89" s="3" t="s">
        <v>101</v>
      </c>
      <c r="I89">
        <v>0.93852225394978095</v>
      </c>
      <c r="J89" s="33">
        <f>VLOOKUP(A89,'Refi Universe'!E:F,2,0)</f>
        <v>0.79623065000000004</v>
      </c>
    </row>
    <row r="90" spans="1:10" ht="15" x14ac:dyDescent="0.25">
      <c r="A90" s="14">
        <v>40703</v>
      </c>
      <c r="B90" s="15">
        <v>170</v>
      </c>
      <c r="C90" s="15">
        <v>170</v>
      </c>
      <c r="D90" s="5" t="s">
        <v>2</v>
      </c>
      <c r="E90" s="5" t="s">
        <v>2</v>
      </c>
      <c r="F90" s="5">
        <v>4.773555</v>
      </c>
      <c r="G90" s="12">
        <f>VLOOKUP(A90,'[1]all FNCL'!A$2:B$993,2)</f>
        <v>0.74321907249207297</v>
      </c>
      <c r="H90" s="3" t="s">
        <v>102</v>
      </c>
      <c r="I90">
        <v>0.93852225394978095</v>
      </c>
      <c r="J90" s="33">
        <f>VLOOKUP(A90,'Refi Universe'!E:F,2,0)</f>
        <v>0.74020900999999995</v>
      </c>
    </row>
    <row r="91" spans="1:10" ht="15" x14ac:dyDescent="0.25">
      <c r="A91" s="14">
        <v>40704</v>
      </c>
      <c r="B91" s="15">
        <v>186</v>
      </c>
      <c r="C91" s="15">
        <v>186</v>
      </c>
      <c r="D91" s="5" t="s">
        <v>2</v>
      </c>
      <c r="E91" s="5" t="s">
        <v>2</v>
      </c>
      <c r="F91" s="5">
        <v>4.7792009999999996</v>
      </c>
      <c r="G91" s="12">
        <f>VLOOKUP(A91,'[1]all FNCL'!A$2:B$993,2)</f>
        <v>0.74321907249207297</v>
      </c>
      <c r="H91" s="3" t="s">
        <v>103</v>
      </c>
      <c r="I91">
        <v>0.93852225394978095</v>
      </c>
      <c r="J91" s="33">
        <f>VLOOKUP(A91,'Refi Universe'!E:F,2,0)</f>
        <v>0.73871514999999999</v>
      </c>
    </row>
    <row r="92" spans="1:10" ht="15" x14ac:dyDescent="0.25">
      <c r="A92" s="14">
        <v>40707</v>
      </c>
      <c r="B92" s="15">
        <v>186</v>
      </c>
      <c r="C92" s="15">
        <v>186</v>
      </c>
      <c r="D92" s="5" t="s">
        <v>2</v>
      </c>
      <c r="E92" s="5" t="s">
        <v>2</v>
      </c>
      <c r="F92" s="5">
        <v>4.781339</v>
      </c>
      <c r="G92" s="12">
        <f>VLOOKUP(A92,'[1]all FNCL'!A$2:B$993,2)</f>
        <v>0.74321907249207297</v>
      </c>
      <c r="H92" s="3" t="s">
        <v>104</v>
      </c>
      <c r="I92">
        <v>0.93852225394978095</v>
      </c>
      <c r="J92" s="33">
        <f>VLOOKUP(A92,'Refi Universe'!E:F,2,0)</f>
        <v>0.70826939</v>
      </c>
    </row>
    <row r="93" spans="1:10" ht="15" x14ac:dyDescent="0.25">
      <c r="A93" s="14">
        <v>40708</v>
      </c>
      <c r="B93" s="15">
        <v>163</v>
      </c>
      <c r="C93" s="15">
        <v>163</v>
      </c>
      <c r="D93" s="5" t="s">
        <v>2</v>
      </c>
      <c r="E93" s="5" t="s">
        <v>2</v>
      </c>
      <c r="F93" s="5">
        <v>4.8131750000000002</v>
      </c>
      <c r="G93" s="12">
        <f>VLOOKUP(A93,'[1]all FNCL'!A$2:B$993,2)</f>
        <v>0.74321907249207297</v>
      </c>
      <c r="H93" s="3" t="s">
        <v>105</v>
      </c>
      <c r="I93">
        <v>0.88830449257823196</v>
      </c>
      <c r="J93" s="33">
        <f>VLOOKUP(A93,'Refi Universe'!E:F,2,0)</f>
        <v>0.62299667999999997</v>
      </c>
    </row>
    <row r="94" spans="1:10" ht="15" x14ac:dyDescent="0.25">
      <c r="A94" s="14">
        <v>40709</v>
      </c>
      <c r="B94" s="15">
        <v>176</v>
      </c>
      <c r="C94" s="15">
        <v>176</v>
      </c>
      <c r="D94" s="5" t="s">
        <v>2</v>
      </c>
      <c r="E94" s="5" t="s">
        <v>2</v>
      </c>
      <c r="F94" s="5">
        <v>4.7791629999999996</v>
      </c>
      <c r="G94" s="12">
        <f>VLOOKUP(A94,'[1]all FNCL'!A$2:B$993,2)</f>
        <v>0.74321907249207297</v>
      </c>
      <c r="H94" s="3" t="s">
        <v>106</v>
      </c>
      <c r="I94">
        <v>0.88830449257823196</v>
      </c>
      <c r="J94" s="33">
        <f>VLOOKUP(A94,'Refi Universe'!E:F,2,0)</f>
        <v>0.74517188999999995</v>
      </c>
    </row>
    <row r="95" spans="1:10" ht="15" x14ac:dyDescent="0.25">
      <c r="A95" s="14">
        <v>40710</v>
      </c>
      <c r="B95" s="15">
        <v>195</v>
      </c>
      <c r="C95" s="15">
        <v>195</v>
      </c>
      <c r="D95" s="5" t="s">
        <v>2</v>
      </c>
      <c r="E95" s="5" t="s">
        <v>2</v>
      </c>
      <c r="F95" s="5">
        <v>4.7653210000000001</v>
      </c>
      <c r="G95" s="12">
        <f>VLOOKUP(A95,'[1]all FNCL'!A$2:B$993,2)</f>
        <v>0.72196170225835998</v>
      </c>
      <c r="H95" s="3" t="s">
        <v>107</v>
      </c>
      <c r="I95">
        <v>0.88830449257823196</v>
      </c>
      <c r="J95" s="33">
        <f>VLOOKUP(A95,'Refi Universe'!E:F,2,0)</f>
        <v>0.77727851000000003</v>
      </c>
    </row>
    <row r="96" spans="1:10" ht="15" x14ac:dyDescent="0.25">
      <c r="A96" s="14">
        <v>40711</v>
      </c>
      <c r="B96" s="15">
        <v>195</v>
      </c>
      <c r="C96" s="15">
        <v>195</v>
      </c>
      <c r="D96" s="5" t="s">
        <v>2</v>
      </c>
      <c r="E96" s="5" t="s">
        <v>2</v>
      </c>
      <c r="F96" s="5">
        <v>4.7823159999999998</v>
      </c>
      <c r="G96" s="12">
        <f>VLOOKUP(A96,'[1]all FNCL'!A$2:B$993,2)</f>
        <v>0.72196170225835998</v>
      </c>
      <c r="H96" s="3" t="s">
        <v>108</v>
      </c>
      <c r="I96">
        <v>0.88830449257823196</v>
      </c>
      <c r="J96" s="33">
        <f>VLOOKUP(A96,'Refi Universe'!E:F,2,0)</f>
        <v>0.74517188999999995</v>
      </c>
    </row>
    <row r="97" spans="1:10" ht="15" x14ac:dyDescent="0.25">
      <c r="A97" s="14">
        <v>40714</v>
      </c>
      <c r="B97" s="15">
        <v>201</v>
      </c>
      <c r="C97" s="15">
        <v>201</v>
      </c>
      <c r="D97" s="5" t="s">
        <v>2</v>
      </c>
      <c r="E97" s="5" t="s">
        <v>2</v>
      </c>
      <c r="F97" s="5">
        <v>4.7948199999999996</v>
      </c>
      <c r="G97" s="12">
        <f>VLOOKUP(A97,'[1]all FNCL'!A$2:B$993,2)</f>
        <v>0.72196170225835998</v>
      </c>
      <c r="H97" s="3" t="s">
        <v>109</v>
      </c>
      <c r="I97">
        <v>0.88830449257823196</v>
      </c>
      <c r="J97" s="33">
        <f>VLOOKUP(A97,'Refi Universe'!E:F,2,0)</f>
        <v>0.69050447000000004</v>
      </c>
    </row>
    <row r="98" spans="1:10" ht="15" x14ac:dyDescent="0.25">
      <c r="A98" s="14">
        <v>40715</v>
      </c>
      <c r="B98" s="15">
        <v>209</v>
      </c>
      <c r="C98" s="15">
        <v>209</v>
      </c>
      <c r="D98" s="5" t="s">
        <v>2</v>
      </c>
      <c r="E98" s="5" t="s">
        <v>2</v>
      </c>
      <c r="F98" s="5">
        <v>4.794168</v>
      </c>
      <c r="G98" s="12">
        <f>VLOOKUP(A98,'[1]all FNCL'!A$2:B$993,2)</f>
        <v>0.72196170225835998</v>
      </c>
      <c r="H98" s="3" t="s">
        <v>110</v>
      </c>
      <c r="I98">
        <v>0.871668034024078</v>
      </c>
      <c r="J98" s="33">
        <f>VLOOKUP(A98,'Refi Universe'!E:F,2,0)</f>
        <v>0.67585764999999998</v>
      </c>
    </row>
    <row r="99" spans="1:10" ht="15" x14ac:dyDescent="0.25">
      <c r="A99" s="14">
        <v>40716</v>
      </c>
      <c r="B99" s="15">
        <v>196</v>
      </c>
      <c r="C99" s="15">
        <v>196</v>
      </c>
      <c r="D99" s="5" t="s">
        <v>2</v>
      </c>
      <c r="E99" s="5" t="s">
        <v>2</v>
      </c>
      <c r="F99" s="5">
        <v>4.7755960000000002</v>
      </c>
      <c r="G99" s="12">
        <f>VLOOKUP(A99,'[1]all FNCL'!A$2:B$993,2)</f>
        <v>0.72196170225835998</v>
      </c>
      <c r="H99" s="3" t="s">
        <v>111</v>
      </c>
      <c r="I99">
        <v>0.871668034024078</v>
      </c>
      <c r="J99" s="33">
        <f>VLOOKUP(A99,'Refi Universe'!E:F,2,0)</f>
        <v>0.66686383999999999</v>
      </c>
    </row>
    <row r="100" spans="1:10" ht="15" x14ac:dyDescent="0.25">
      <c r="A100" s="14">
        <v>40717</v>
      </c>
      <c r="B100" s="15">
        <v>209</v>
      </c>
      <c r="C100" s="15">
        <v>209</v>
      </c>
      <c r="D100" s="5" t="s">
        <v>2</v>
      </c>
      <c r="E100" s="5" t="s">
        <v>2</v>
      </c>
      <c r="F100" s="5">
        <v>4.7444620000000004</v>
      </c>
      <c r="G100" s="12">
        <f>VLOOKUP(A100,'[1]all FNCL'!A$2:B$993,2)</f>
        <v>0.72196170225835998</v>
      </c>
      <c r="H100" s="3" t="s">
        <v>112</v>
      </c>
      <c r="I100">
        <v>0.871668034024078</v>
      </c>
      <c r="J100" s="33">
        <f>VLOOKUP(A100,'Refi Universe'!E:F,2,0)</f>
        <v>0.79592470000000004</v>
      </c>
    </row>
    <row r="101" spans="1:10" ht="15" x14ac:dyDescent="0.25">
      <c r="A101" s="14">
        <v>40718</v>
      </c>
      <c r="B101" s="15">
        <v>222</v>
      </c>
      <c r="C101" s="15">
        <v>222</v>
      </c>
      <c r="D101" s="5" t="s">
        <v>2</v>
      </c>
      <c r="E101" s="5" t="s">
        <v>2</v>
      </c>
      <c r="F101" s="5">
        <v>4.7479300000000002</v>
      </c>
      <c r="G101" s="12">
        <f>VLOOKUP(A101,'[1]all FNCL'!A$2:B$993,2)</f>
        <v>0.72196170225835998</v>
      </c>
      <c r="H101" s="3" t="s">
        <v>113</v>
      </c>
      <c r="I101">
        <v>0.871668034024078</v>
      </c>
      <c r="J101" s="33">
        <f>VLOOKUP(A101,'Refi Universe'!E:F,2,0)</f>
        <v>0.79623065000000004</v>
      </c>
    </row>
    <row r="102" spans="1:10" ht="15" x14ac:dyDescent="0.25">
      <c r="A102" s="14">
        <v>40721</v>
      </c>
      <c r="B102" s="15">
        <v>218</v>
      </c>
      <c r="C102" s="15">
        <v>218</v>
      </c>
      <c r="D102" s="5" t="s">
        <v>2</v>
      </c>
      <c r="E102" s="5" t="s">
        <v>2</v>
      </c>
      <c r="F102" s="5">
        <v>4.7694619999999999</v>
      </c>
      <c r="G102" s="12">
        <f>VLOOKUP(A102,'[1]all FNCL'!A$2:B$993,2)</f>
        <v>0.72196170225835998</v>
      </c>
      <c r="H102" s="3" t="s">
        <v>114</v>
      </c>
      <c r="I102">
        <v>0.871668034024078</v>
      </c>
      <c r="J102" s="33">
        <f>VLOOKUP(A102,'Refi Universe'!E:F,2,0)</f>
        <v>0.72719493999999996</v>
      </c>
    </row>
    <row r="103" spans="1:10" ht="15" x14ac:dyDescent="0.25">
      <c r="A103" s="14">
        <v>40722</v>
      </c>
      <c r="B103" s="15">
        <v>202</v>
      </c>
      <c r="C103" s="15">
        <v>202</v>
      </c>
      <c r="D103" s="5" t="s">
        <v>2</v>
      </c>
      <c r="E103" s="5" t="s">
        <v>2</v>
      </c>
      <c r="F103" s="5">
        <v>4.8082669999999998</v>
      </c>
      <c r="G103" s="12">
        <f>VLOOKUP(A103,'[1]all FNCL'!A$2:B$993,2)</f>
        <v>0.72196170225835998</v>
      </c>
      <c r="H103" s="3" t="s">
        <v>115</v>
      </c>
      <c r="I103">
        <v>0.85676613742448104</v>
      </c>
      <c r="J103" s="33">
        <f>VLOOKUP(A103,'Refi Universe'!E:F,2,0)</f>
        <v>0.62099919000000003</v>
      </c>
    </row>
    <row r="104" spans="1:10" ht="15" x14ac:dyDescent="0.25">
      <c r="A104" s="14">
        <v>40723</v>
      </c>
      <c r="B104" s="15">
        <v>190</v>
      </c>
      <c r="C104" s="15">
        <v>190</v>
      </c>
      <c r="D104" s="5" t="s">
        <v>2</v>
      </c>
      <c r="E104" s="5" t="s">
        <v>2</v>
      </c>
      <c r="F104" s="5">
        <v>4.8185260000000003</v>
      </c>
      <c r="G104" s="12">
        <f>VLOOKUP(A104,'[1]all FNCL'!A$2:B$993,2)</f>
        <v>0.72196170225835998</v>
      </c>
      <c r="H104" s="3" t="s">
        <v>116</v>
      </c>
      <c r="I104">
        <v>0.85676613742448104</v>
      </c>
      <c r="J104" s="33">
        <f>VLOOKUP(A104,'Refi Universe'!E:F,2,0)</f>
        <v>0.61234429999999995</v>
      </c>
    </row>
    <row r="105" spans="1:10" ht="15" x14ac:dyDescent="0.25">
      <c r="A105" s="14">
        <v>40724</v>
      </c>
      <c r="B105" s="15">
        <v>173</v>
      </c>
      <c r="C105" s="15">
        <v>173</v>
      </c>
      <c r="D105" s="5" t="s">
        <v>2</v>
      </c>
      <c r="E105" s="5" t="s">
        <v>2</v>
      </c>
      <c r="F105" s="5">
        <v>4.8320559999999997</v>
      </c>
      <c r="G105" s="12">
        <f>VLOOKUP(A105,'[1]all FNCL'!A$2:B$993,2)</f>
        <v>0.68885444787085304</v>
      </c>
      <c r="H105" s="3" t="s">
        <v>117</v>
      </c>
      <c r="I105">
        <v>0.85676613742448104</v>
      </c>
      <c r="J105" s="33">
        <f>VLOOKUP(A105,'Refi Universe'!E:F,2,0)</f>
        <v>0.60136347999999995</v>
      </c>
    </row>
    <row r="106" spans="1:10" ht="15" x14ac:dyDescent="0.25">
      <c r="A106" s="14">
        <v>40725</v>
      </c>
      <c r="B106" s="15">
        <v>154</v>
      </c>
      <c r="C106" s="15">
        <v>154</v>
      </c>
      <c r="D106" s="5" t="s">
        <v>2</v>
      </c>
      <c r="E106" s="5" t="s">
        <v>2</v>
      </c>
      <c r="F106" s="5">
        <v>4.8441559999999999</v>
      </c>
      <c r="G106" s="12">
        <f>VLOOKUP(A106,'[1]all FNCL'!A$2:B$993,2)</f>
        <v>0.68335549039476995</v>
      </c>
      <c r="H106" s="3" t="s">
        <v>118</v>
      </c>
      <c r="I106">
        <v>0.85676613742448104</v>
      </c>
      <c r="J106" s="33">
        <f>VLOOKUP(A106,'Refi Universe'!E:F,2,0)</f>
        <v>0.58820852000000001</v>
      </c>
    </row>
    <row r="107" spans="1:10" ht="15" x14ac:dyDescent="0.25">
      <c r="A107" s="14">
        <v>40729</v>
      </c>
      <c r="B107" s="15">
        <v>162</v>
      </c>
      <c r="C107" s="15">
        <v>162</v>
      </c>
      <c r="D107" s="5" t="s">
        <v>2</v>
      </c>
      <c r="E107" s="5" t="s">
        <v>2</v>
      </c>
      <c r="F107" s="5">
        <v>4.8266600000000004</v>
      </c>
      <c r="G107" s="12">
        <f>VLOOKUP(A107,'[1]all FNCL'!A$2:B$993,2)</f>
        <v>0.68335549039476995</v>
      </c>
      <c r="H107" s="3" t="s">
        <v>119</v>
      </c>
      <c r="I107">
        <v>0.85676613742448104</v>
      </c>
      <c r="J107" s="33">
        <f>VLOOKUP(A107,'Refi Universe'!E:F,2,0)</f>
        <v>0.59769616999999997</v>
      </c>
    </row>
    <row r="108" spans="1:10" ht="15" x14ac:dyDescent="0.25">
      <c r="A108" s="14">
        <v>40730</v>
      </c>
      <c r="B108" s="15">
        <v>170</v>
      </c>
      <c r="C108" s="15">
        <v>170</v>
      </c>
      <c r="D108" s="5" t="s">
        <v>2</v>
      </c>
      <c r="E108" s="5" t="s">
        <v>2</v>
      </c>
      <c r="F108" s="5">
        <v>4.8226880000000003</v>
      </c>
      <c r="G108" s="12">
        <f>VLOOKUP(A108,'[1]all FNCL'!A$2:B$993,2)</f>
        <v>0.68335549039476995</v>
      </c>
      <c r="H108" s="3" t="s">
        <v>120</v>
      </c>
      <c r="I108">
        <v>0.88830449257823196</v>
      </c>
      <c r="J108" s="33">
        <f>VLOOKUP(A108,'Refi Universe'!E:F,2,0)</f>
        <v>0.61325107999999995</v>
      </c>
    </row>
    <row r="109" spans="1:10" ht="15" x14ac:dyDescent="0.25">
      <c r="A109" s="14">
        <v>40731</v>
      </c>
      <c r="B109" s="15">
        <v>156</v>
      </c>
      <c r="C109" s="15">
        <v>156</v>
      </c>
      <c r="D109" s="5" t="s">
        <v>2</v>
      </c>
      <c r="E109" s="5" t="s">
        <v>2</v>
      </c>
      <c r="F109" s="5">
        <v>4.851521</v>
      </c>
      <c r="G109" s="12">
        <f>VLOOKUP(A109,'[1]all FNCL'!A$2:B$993,2)</f>
        <v>0.60410549631050603</v>
      </c>
      <c r="H109" s="3" t="s">
        <v>121</v>
      </c>
      <c r="I109">
        <v>0.88830449257823196</v>
      </c>
      <c r="J109" s="33">
        <f>VLOOKUP(A109,'Refi Universe'!E:F,2,0)</f>
        <v>0.59328561000000002</v>
      </c>
    </row>
    <row r="110" spans="1:10" ht="15" x14ac:dyDescent="0.25">
      <c r="A110" s="14">
        <v>40732</v>
      </c>
      <c r="B110" s="15">
        <v>180</v>
      </c>
      <c r="C110" s="15">
        <v>180</v>
      </c>
      <c r="D110" s="5" t="s">
        <v>2</v>
      </c>
      <c r="E110" s="5" t="s">
        <v>2</v>
      </c>
      <c r="F110" s="5">
        <v>4.8039800000000001</v>
      </c>
      <c r="G110" s="12">
        <f>VLOOKUP(A110,'[1]all FNCL'!A$2:B$993,2)</f>
        <v>0.60410549631050603</v>
      </c>
      <c r="H110" s="3" t="s">
        <v>122</v>
      </c>
      <c r="I110">
        <v>0.86613218698070704</v>
      </c>
      <c r="J110" s="33">
        <f>VLOOKUP(A110,'Refi Universe'!E:F,2,0)</f>
        <v>0.64318423000000002</v>
      </c>
    </row>
    <row r="111" spans="1:10" ht="15" x14ac:dyDescent="0.25">
      <c r="A111" s="14">
        <v>40735</v>
      </c>
      <c r="B111" s="15">
        <v>193</v>
      </c>
      <c r="C111" s="15">
        <v>193</v>
      </c>
      <c r="D111" s="5" t="s">
        <v>2</v>
      </c>
      <c r="E111" s="5" t="s">
        <v>2</v>
      </c>
      <c r="F111" s="5">
        <v>4.7874309999999998</v>
      </c>
      <c r="G111" s="12">
        <f>VLOOKUP(A111,'[1]all FNCL'!A$2:B$993,2)</f>
        <v>0.60410549631050603</v>
      </c>
      <c r="H111" s="3" t="s">
        <v>123</v>
      </c>
      <c r="I111">
        <v>0.86613218698070704</v>
      </c>
      <c r="J111" s="33">
        <f>VLOOKUP(A111,'Refi Universe'!E:F,2,0)</f>
        <v>0.73745605000000003</v>
      </c>
    </row>
    <row r="112" spans="1:10" ht="15" x14ac:dyDescent="0.25">
      <c r="A112" s="14">
        <v>40736</v>
      </c>
      <c r="B112" s="15">
        <v>194</v>
      </c>
      <c r="C112" s="15">
        <v>194</v>
      </c>
      <c r="D112" s="5" t="s">
        <v>2</v>
      </c>
      <c r="E112" s="5" t="s">
        <v>2</v>
      </c>
      <c r="F112" s="5">
        <v>4.7800799999999999</v>
      </c>
      <c r="G112" s="12">
        <f>VLOOKUP(A112,'[1]all FNCL'!A$2:B$993,2)</f>
        <v>0.60410549631050603</v>
      </c>
      <c r="H112" s="3" t="s">
        <v>124</v>
      </c>
      <c r="I112">
        <v>0.91761037893987496</v>
      </c>
      <c r="J112" s="33">
        <f>VLOOKUP(A112,'Refi Universe'!E:F,2,0)</f>
        <v>0.75550598999999996</v>
      </c>
    </row>
    <row r="113" spans="1:10" ht="15" x14ac:dyDescent="0.25">
      <c r="A113" s="14">
        <v>40737</v>
      </c>
      <c r="B113" s="15">
        <v>195</v>
      </c>
      <c r="C113" s="15">
        <v>195</v>
      </c>
      <c r="D113" s="5" t="s">
        <v>2</v>
      </c>
      <c r="E113" s="5" t="s">
        <v>2</v>
      </c>
      <c r="F113" s="5">
        <v>4.7568239999999999</v>
      </c>
      <c r="G113" s="12">
        <f>VLOOKUP(A113,'[1]all FNCL'!A$2:B$993,2)</f>
        <v>0.60410549631050603</v>
      </c>
      <c r="H113" s="3" t="s">
        <v>125</v>
      </c>
      <c r="I113">
        <v>0.91761037893987496</v>
      </c>
      <c r="J113" s="33">
        <f>VLOOKUP(A113,'Refi Universe'!E:F,2,0)</f>
        <v>0.81113716999999996</v>
      </c>
    </row>
    <row r="114" spans="1:10" ht="15" x14ac:dyDescent="0.25">
      <c r="A114" s="14">
        <v>40738</v>
      </c>
      <c r="B114" s="15">
        <v>192</v>
      </c>
      <c r="C114" s="15">
        <v>192</v>
      </c>
      <c r="D114" s="5" t="s">
        <v>2</v>
      </c>
      <c r="E114" s="5" t="s">
        <v>2</v>
      </c>
      <c r="F114" s="5">
        <v>4.7753959999999998</v>
      </c>
      <c r="G114" s="12">
        <f>VLOOKUP(A114,'[1]all FNCL'!A$2:B$993,2)</f>
        <v>0.68335549039476995</v>
      </c>
      <c r="H114" s="3" t="s">
        <v>126</v>
      </c>
      <c r="I114">
        <v>0.91761037893987496</v>
      </c>
      <c r="J114" s="33">
        <f>VLOOKUP(A114,'Refi Universe'!E:F,2,0)</f>
        <v>0.76763572000000002</v>
      </c>
    </row>
    <row r="115" spans="1:10" ht="15" x14ac:dyDescent="0.25">
      <c r="A115" s="14">
        <v>40739</v>
      </c>
      <c r="B115" s="15">
        <v>193</v>
      </c>
      <c r="C115" s="15">
        <v>193</v>
      </c>
      <c r="D115" s="5" t="s">
        <v>2</v>
      </c>
      <c r="E115" s="5" t="s">
        <v>2</v>
      </c>
      <c r="F115" s="5">
        <v>4.7707889999999997</v>
      </c>
      <c r="G115" s="12">
        <f>VLOOKUP(A115,'[1]all FNCL'!A$2:B$993,2)</f>
        <v>0.68335549039476995</v>
      </c>
      <c r="H115" s="3" t="s">
        <v>127</v>
      </c>
      <c r="I115">
        <v>0.91761037893987496</v>
      </c>
      <c r="J115" s="33">
        <f>VLOOKUP(A115,'Refi Universe'!E:F,2,0)</f>
        <v>0.79244053999999997</v>
      </c>
    </row>
    <row r="116" spans="1:10" ht="15" x14ac:dyDescent="0.25">
      <c r="A116" s="14">
        <v>40742</v>
      </c>
      <c r="B116" s="15">
        <v>199</v>
      </c>
      <c r="C116" s="15">
        <v>199</v>
      </c>
      <c r="D116" s="5" t="s">
        <v>2</v>
      </c>
      <c r="E116" s="5" t="s">
        <v>2</v>
      </c>
      <c r="F116" s="5">
        <v>4.8016860000000001</v>
      </c>
      <c r="G116" s="12">
        <f>VLOOKUP(A116,'[1]all FNCL'!A$2:B$993,2)</f>
        <v>0.68335549039476995</v>
      </c>
      <c r="H116" s="3" t="s">
        <v>128</v>
      </c>
      <c r="I116">
        <v>0.91761037893987496</v>
      </c>
      <c r="J116" s="33">
        <f>VLOOKUP(A116,'Refi Universe'!E:F,2,0)</f>
        <v>0.74490188999999996</v>
      </c>
    </row>
    <row r="117" spans="1:10" ht="15" x14ac:dyDescent="0.25">
      <c r="A117" s="14">
        <v>40743</v>
      </c>
      <c r="B117" s="15">
        <v>202</v>
      </c>
      <c r="C117" s="15">
        <v>202</v>
      </c>
      <c r="D117" s="5" t="s">
        <v>2</v>
      </c>
      <c r="E117" s="5" t="s">
        <v>2</v>
      </c>
      <c r="F117" s="5">
        <v>4.7906250000000004</v>
      </c>
      <c r="G117" s="12">
        <f>VLOOKUP(A117,'[1]all FNCL'!A$2:B$993,2)</f>
        <v>0.68335549039476995</v>
      </c>
      <c r="H117" s="3" t="s">
        <v>129</v>
      </c>
      <c r="I117">
        <v>0.91761037893987496</v>
      </c>
      <c r="J117" s="33">
        <f>VLOOKUP(A117,'Refi Universe'!E:F,2,0)</f>
        <v>0.76129506000000002</v>
      </c>
    </row>
    <row r="118" spans="1:10" ht="15" x14ac:dyDescent="0.25">
      <c r="A118" s="14">
        <v>40744</v>
      </c>
      <c r="B118" s="15">
        <v>206</v>
      </c>
      <c r="C118" s="15">
        <v>206</v>
      </c>
      <c r="D118" s="5" t="s">
        <v>2</v>
      </c>
      <c r="E118" s="5" t="s">
        <v>2</v>
      </c>
      <c r="F118" s="5">
        <v>4.7915970000000003</v>
      </c>
      <c r="G118" s="12">
        <f>VLOOKUP(A118,'[1]all FNCL'!A$2:B$993,2)</f>
        <v>0.68335549039476995</v>
      </c>
      <c r="H118" s="3" t="s">
        <v>130</v>
      </c>
      <c r="I118">
        <v>0.91761037893987496</v>
      </c>
      <c r="J118" s="33">
        <f>VLOOKUP(A118,'Refi Universe'!E:F,2,0)</f>
        <v>0.64717546999999997</v>
      </c>
    </row>
    <row r="119" spans="1:10" ht="15" x14ac:dyDescent="0.25">
      <c r="A119" s="14">
        <v>40745</v>
      </c>
      <c r="B119" s="15">
        <v>202</v>
      </c>
      <c r="C119" s="15">
        <v>202</v>
      </c>
      <c r="D119" s="5" t="s">
        <v>2</v>
      </c>
      <c r="E119" s="5" t="s">
        <v>2</v>
      </c>
      <c r="F119" s="5">
        <v>4.8045080000000002</v>
      </c>
      <c r="G119" s="12">
        <f>VLOOKUP(A119,'[1]all FNCL'!A$2:B$993,2)</f>
        <v>0.66675683999516899</v>
      </c>
      <c r="H119" s="3" t="s">
        <v>131</v>
      </c>
      <c r="I119">
        <v>0.91761037893987496</v>
      </c>
      <c r="J119" s="33">
        <f>VLOOKUP(A119,'Refi Universe'!E:F,2,0)</f>
        <v>0.62002716000000002</v>
      </c>
    </row>
    <row r="120" spans="1:10" ht="15" x14ac:dyDescent="0.25">
      <c r="A120" s="14">
        <v>40746</v>
      </c>
      <c r="B120" s="15">
        <v>207</v>
      </c>
      <c r="C120" s="15">
        <v>207</v>
      </c>
      <c r="D120" s="5" t="s">
        <v>2</v>
      </c>
      <c r="E120" s="5" t="s">
        <v>2</v>
      </c>
      <c r="F120" s="5">
        <v>4.8006789999999997</v>
      </c>
      <c r="G120" s="12">
        <f>VLOOKUP(A120,'[1]all FNCL'!A$2:B$993,2)</f>
        <v>0.66675683999516899</v>
      </c>
      <c r="H120" s="3" t="s">
        <v>132</v>
      </c>
      <c r="I120">
        <v>0.91761037893987496</v>
      </c>
      <c r="J120" s="33">
        <f>VLOOKUP(A120,'Refi Universe'!E:F,2,0)</f>
        <v>0.63756215999999999</v>
      </c>
    </row>
    <row r="121" spans="1:10" ht="15" x14ac:dyDescent="0.25">
      <c r="A121" s="14">
        <v>40749</v>
      </c>
      <c r="B121" s="15">
        <v>208</v>
      </c>
      <c r="C121" s="15">
        <v>208</v>
      </c>
      <c r="D121" s="5" t="s">
        <v>2</v>
      </c>
      <c r="E121" s="5" t="s">
        <v>2</v>
      </c>
      <c r="F121" s="5">
        <v>4.8232939999999997</v>
      </c>
      <c r="G121" s="12">
        <f>VLOOKUP(A121,'[1]all FNCL'!A$2:B$993,2)</f>
        <v>0.66675683999516899</v>
      </c>
      <c r="H121" s="3" t="s">
        <v>133</v>
      </c>
      <c r="I121">
        <v>0.91761037893987496</v>
      </c>
      <c r="J121" s="33">
        <f>VLOOKUP(A121,'Refi Universe'!E:F,2,0)</f>
        <v>0.61502153000000004</v>
      </c>
    </row>
    <row r="122" spans="1:10" ht="15" x14ac:dyDescent="0.25">
      <c r="A122" s="14">
        <v>40750</v>
      </c>
      <c r="B122" s="15">
        <v>210</v>
      </c>
      <c r="C122" s="15">
        <v>210</v>
      </c>
      <c r="D122" s="5" t="s">
        <v>2</v>
      </c>
      <c r="E122" s="5" t="s">
        <v>2</v>
      </c>
      <c r="F122" s="5">
        <v>4.8115769999999998</v>
      </c>
      <c r="G122" s="12">
        <f>VLOOKUP(A122,'[1]all FNCL'!A$2:B$993,2)</f>
        <v>0.66675683999516899</v>
      </c>
      <c r="H122" s="3" t="s">
        <v>134</v>
      </c>
      <c r="I122">
        <v>0.95544116739970197</v>
      </c>
      <c r="J122" s="33">
        <f>VLOOKUP(A122,'Refi Universe'!E:F,2,0)</f>
        <v>0.63153959999999998</v>
      </c>
    </row>
    <row r="123" spans="1:10" ht="15" x14ac:dyDescent="0.25">
      <c r="A123" s="14">
        <v>40751</v>
      </c>
      <c r="B123" s="15">
        <v>199</v>
      </c>
      <c r="C123" s="15">
        <v>199</v>
      </c>
      <c r="D123" s="5" t="s">
        <v>2</v>
      </c>
      <c r="E123" s="5" t="s">
        <v>2</v>
      </c>
      <c r="F123" s="5">
        <v>4.8356810000000001</v>
      </c>
      <c r="G123" s="12">
        <f>VLOOKUP(A123,'[1]all FNCL'!A$2:B$993,2)</f>
        <v>0.66675683999516899</v>
      </c>
      <c r="H123" s="3" t="s">
        <v>135</v>
      </c>
      <c r="I123">
        <v>0.95544116739970197</v>
      </c>
      <c r="J123" s="33">
        <f>VLOOKUP(A123,'Refi Universe'!E:F,2,0)</f>
        <v>0.60373120999999996</v>
      </c>
    </row>
    <row r="124" spans="1:10" ht="15" x14ac:dyDescent="0.25">
      <c r="A124" s="14">
        <v>40752</v>
      </c>
      <c r="B124" s="15">
        <v>201</v>
      </c>
      <c r="C124" s="15">
        <v>201</v>
      </c>
      <c r="D124" s="5" t="s">
        <v>2</v>
      </c>
      <c r="E124" s="5" t="s">
        <v>2</v>
      </c>
      <c r="F124" s="5">
        <v>4.8083020000000003</v>
      </c>
      <c r="G124" s="12">
        <f>VLOOKUP(A124,'[1]all FNCL'!A$2:B$993,2)</f>
        <v>0.63117786454290503</v>
      </c>
      <c r="H124" s="3" t="s">
        <v>136</v>
      </c>
      <c r="I124">
        <v>0.95544116739970197</v>
      </c>
      <c r="J124" s="33">
        <f>VLOOKUP(A124,'Refi Universe'!E:F,2,0)</f>
        <v>0.62533603999999998</v>
      </c>
    </row>
    <row r="125" spans="1:10" ht="15" x14ac:dyDescent="0.25">
      <c r="A125" s="14">
        <v>40753</v>
      </c>
      <c r="B125" s="15">
        <v>217</v>
      </c>
      <c r="C125" s="15">
        <v>217</v>
      </c>
      <c r="D125" s="5" t="s">
        <v>2</v>
      </c>
      <c r="E125" s="5" t="s">
        <v>2</v>
      </c>
      <c r="F125" s="5">
        <v>4.7415609999999999</v>
      </c>
      <c r="G125" s="12">
        <f>VLOOKUP(A125,'[1]all FNCL'!A$2:B$993,2)</f>
        <v>0.63117786454290503</v>
      </c>
      <c r="H125" s="3" t="s">
        <v>137</v>
      </c>
      <c r="I125">
        <v>0.95544116739970197</v>
      </c>
      <c r="J125" s="33">
        <f>VLOOKUP(A125,'Refi Universe'!E:F,2,0)</f>
        <v>0.81158019000000003</v>
      </c>
    </row>
    <row r="126" spans="1:10" ht="15" x14ac:dyDescent="0.25">
      <c r="A126" s="14">
        <v>40756</v>
      </c>
      <c r="B126" s="15">
        <v>230</v>
      </c>
      <c r="C126" s="15">
        <v>230</v>
      </c>
      <c r="D126" s="5" t="s">
        <v>2</v>
      </c>
      <c r="E126" s="5" t="s">
        <v>2</v>
      </c>
      <c r="F126" s="5">
        <v>4.7206710000000003</v>
      </c>
      <c r="G126" s="12">
        <f>VLOOKUP(A126,'[1]all FNCL'!A$2:B$993,2)</f>
        <v>0.62428536264518097</v>
      </c>
      <c r="H126" s="3" t="s">
        <v>138</v>
      </c>
      <c r="I126">
        <v>0.95544116739970197</v>
      </c>
      <c r="J126" s="33">
        <f>VLOOKUP(A126,'Refi Universe'!E:F,2,0)</f>
        <v>0.82326312000000001</v>
      </c>
    </row>
    <row r="127" spans="1:10" ht="15" x14ac:dyDescent="0.25">
      <c r="A127" s="14">
        <v>40757</v>
      </c>
      <c r="B127" s="15">
        <v>242</v>
      </c>
      <c r="C127" s="15">
        <v>242</v>
      </c>
      <c r="D127" s="5" t="s">
        <v>2</v>
      </c>
      <c r="E127" s="5" t="s">
        <v>2</v>
      </c>
      <c r="F127" s="5">
        <v>4.6617129999999998</v>
      </c>
      <c r="G127" s="12">
        <f>VLOOKUP(A127,'[1]all FNCL'!A$2:B$993,2)</f>
        <v>0.62428536264518097</v>
      </c>
      <c r="H127" s="3" t="s">
        <v>139</v>
      </c>
      <c r="I127">
        <v>0.96361365224695705</v>
      </c>
      <c r="J127" s="33">
        <f>VLOOKUP(A127,'Refi Universe'!E:F,2,0)</f>
        <v>0.83759457000000004</v>
      </c>
    </row>
    <row r="128" spans="1:10" ht="15" x14ac:dyDescent="0.25">
      <c r="A128" s="14">
        <v>40758</v>
      </c>
      <c r="B128" s="15">
        <v>251</v>
      </c>
      <c r="C128" s="15">
        <v>251</v>
      </c>
      <c r="D128" s="5" t="s">
        <v>2</v>
      </c>
      <c r="E128" s="5" t="s">
        <v>2</v>
      </c>
      <c r="F128" s="5">
        <v>4.6381019999999999</v>
      </c>
      <c r="G128" s="12">
        <f>VLOOKUP(A128,'[1]all FNCL'!A$2:B$993,2)</f>
        <v>0.62428536264518097</v>
      </c>
      <c r="H128" s="3" t="s">
        <v>140</v>
      </c>
      <c r="I128">
        <v>0.96361365224695705</v>
      </c>
      <c r="J128" s="33">
        <f>VLOOKUP(A128,'Refi Universe'!E:F,2,0)</f>
        <v>0.83842037000000003</v>
      </c>
    </row>
    <row r="129" spans="1:10" ht="15" x14ac:dyDescent="0.25">
      <c r="A129" s="14">
        <v>40759</v>
      </c>
      <c r="B129" s="15">
        <v>286</v>
      </c>
      <c r="C129" s="15">
        <v>286</v>
      </c>
      <c r="D129" s="5" t="s">
        <v>2</v>
      </c>
      <c r="E129" s="5" t="s">
        <v>2</v>
      </c>
      <c r="F129" s="5">
        <v>4.570532</v>
      </c>
      <c r="G129" s="12">
        <f>VLOOKUP(A129,'[1]all FNCL'!A$2:B$993,2)</f>
        <v>0.82328819503805495</v>
      </c>
      <c r="H129" s="3" t="s">
        <v>141</v>
      </c>
      <c r="I129">
        <v>0.95122523158751304</v>
      </c>
      <c r="J129" s="33">
        <f>VLOOKUP(A129,'Refi Universe'!E:F,2,0)</f>
        <v>0.86172420000000005</v>
      </c>
    </row>
    <row r="130" spans="1:10" ht="15" x14ac:dyDescent="0.25">
      <c r="A130" s="14">
        <v>40760</v>
      </c>
      <c r="B130" s="15">
        <v>288</v>
      </c>
      <c r="C130" s="15">
        <v>288</v>
      </c>
      <c r="D130" s="5" t="s">
        <v>2</v>
      </c>
      <c r="E130" s="5" t="s">
        <v>2</v>
      </c>
      <c r="F130" s="5">
        <v>4.6616309999999999</v>
      </c>
      <c r="G130" s="12">
        <f>VLOOKUP(A130,'[1]all FNCL'!A$2:B$993,2)</f>
        <v>0.82328819503805495</v>
      </c>
      <c r="H130" s="3" t="s">
        <v>142</v>
      </c>
      <c r="I130">
        <v>0.95122523158751304</v>
      </c>
      <c r="J130" s="33">
        <f>VLOOKUP(A130,'Refi Universe'!E:F,2,0)</f>
        <v>0.83473637999999994</v>
      </c>
    </row>
    <row r="131" spans="1:10" ht="15" x14ac:dyDescent="0.25">
      <c r="A131" s="14">
        <v>40763</v>
      </c>
      <c r="B131" s="15">
        <v>318</v>
      </c>
      <c r="C131" s="15">
        <v>318</v>
      </c>
      <c r="D131" s="5" t="s">
        <v>2</v>
      </c>
      <c r="E131" s="5" t="s">
        <v>2</v>
      </c>
      <c r="F131" s="5">
        <v>4.6121699999999999</v>
      </c>
      <c r="G131" s="12">
        <f>VLOOKUP(A131,'[1]all FNCL'!A$2:B$993,2)</f>
        <v>0.82328819503805495</v>
      </c>
      <c r="H131" s="3" t="s">
        <v>143</v>
      </c>
      <c r="I131">
        <v>0.95122523158751304</v>
      </c>
      <c r="J131" s="33">
        <f>VLOOKUP(A131,'Refi Universe'!E:F,2,0)</f>
        <v>0.85290482000000001</v>
      </c>
    </row>
    <row r="132" spans="1:10" ht="15" x14ac:dyDescent="0.25">
      <c r="A132" s="14">
        <v>40764</v>
      </c>
      <c r="B132" s="15">
        <v>399</v>
      </c>
      <c r="C132" s="15">
        <v>399</v>
      </c>
      <c r="D132" s="5" t="s">
        <v>2</v>
      </c>
      <c r="E132" s="5" t="s">
        <v>2</v>
      </c>
      <c r="F132" s="5">
        <v>4.5663140000000002</v>
      </c>
      <c r="G132" s="12">
        <f>VLOOKUP(A132,'[1]all FNCL'!A$2:B$993,2)</f>
        <v>0.82328819503805495</v>
      </c>
      <c r="H132" s="3" t="s">
        <v>144</v>
      </c>
      <c r="I132">
        <v>0.95295581960362197</v>
      </c>
      <c r="J132" s="33">
        <f>VLOOKUP(A132,'Refi Universe'!E:F,2,0)</f>
        <v>0.94222729999999999</v>
      </c>
    </row>
    <row r="133" spans="1:10" ht="15" x14ac:dyDescent="0.25">
      <c r="A133" s="14">
        <v>40765</v>
      </c>
      <c r="B133" s="15">
        <v>476</v>
      </c>
      <c r="C133" s="15">
        <v>476</v>
      </c>
      <c r="D133" s="5" t="s">
        <v>2</v>
      </c>
      <c r="E133" s="5" t="s">
        <v>2</v>
      </c>
      <c r="F133" s="5">
        <v>4.4373969999999998</v>
      </c>
      <c r="G133" s="12">
        <f>VLOOKUP(A133,'[1]all FNCL'!A$2:B$993,2)</f>
        <v>0.82328819503805495</v>
      </c>
      <c r="H133" s="3" t="s">
        <v>145</v>
      </c>
      <c r="I133">
        <v>0.95295581960362197</v>
      </c>
      <c r="J133" s="33">
        <f>VLOOKUP(A133,'Refi Universe'!E:F,2,0)</f>
        <v>0.89709355000000002</v>
      </c>
    </row>
    <row r="134" spans="1:10" ht="15" x14ac:dyDescent="0.25">
      <c r="A134" s="14">
        <v>40766</v>
      </c>
      <c r="B134" s="15">
        <v>438</v>
      </c>
      <c r="C134" s="15">
        <v>438</v>
      </c>
      <c r="D134" s="5" t="s">
        <v>2</v>
      </c>
      <c r="E134" s="5" t="s">
        <v>2</v>
      </c>
      <c r="F134" s="5">
        <v>4.5058490000000004</v>
      </c>
      <c r="G134" s="12">
        <f>VLOOKUP(A134,'[1]all FNCL'!A$2:B$993,2)</f>
        <v>0.834040070391601</v>
      </c>
      <c r="H134" s="3" t="s">
        <v>146</v>
      </c>
      <c r="I134">
        <v>0.95295581960362197</v>
      </c>
      <c r="J134" s="33">
        <f>VLOOKUP(A134,'Refi Universe'!E:F,2,0)</f>
        <v>0.84420832000000001</v>
      </c>
    </row>
    <row r="135" spans="1:10" ht="15" x14ac:dyDescent="0.25">
      <c r="A135" s="14">
        <v>40767</v>
      </c>
      <c r="B135" s="15">
        <v>467</v>
      </c>
      <c r="C135" s="15">
        <v>467</v>
      </c>
      <c r="D135" s="5" t="s">
        <v>2</v>
      </c>
      <c r="E135" s="5" t="s">
        <v>2</v>
      </c>
      <c r="F135" s="5">
        <v>4.482907</v>
      </c>
      <c r="G135" s="12">
        <f>VLOOKUP(A135,'[1]all FNCL'!A$2:B$993,2)</f>
        <v>0.834040070391601</v>
      </c>
      <c r="H135" s="3" t="s">
        <v>147</v>
      </c>
      <c r="I135">
        <v>0.95295581960362197</v>
      </c>
      <c r="J135" s="33">
        <f>VLOOKUP(A135,'Refi Universe'!E:F,2,0)</f>
        <v>0.85297997000000003</v>
      </c>
    </row>
    <row r="136" spans="1:10" ht="15" x14ac:dyDescent="0.25">
      <c r="A136" s="14">
        <v>40770</v>
      </c>
      <c r="B136" s="15">
        <v>467</v>
      </c>
      <c r="C136" s="15">
        <v>467</v>
      </c>
      <c r="D136" s="5" t="s">
        <v>2</v>
      </c>
      <c r="E136" s="5" t="s">
        <v>2</v>
      </c>
      <c r="F136" s="5">
        <v>4.5275030000000003</v>
      </c>
      <c r="G136" s="12">
        <f>VLOOKUP(A136,'[1]all FNCL'!A$2:B$993,2)</f>
        <v>0.834040070391601</v>
      </c>
      <c r="H136" s="3" t="s">
        <v>148</v>
      </c>
      <c r="I136">
        <v>0.95295581960362197</v>
      </c>
      <c r="J136" s="33">
        <f>VLOOKUP(A136,'Refi Universe'!E:F,2,0)</f>
        <v>0.84267753999999995</v>
      </c>
    </row>
    <row r="137" spans="1:10" ht="15" x14ac:dyDescent="0.25">
      <c r="A137" s="14">
        <v>40771</v>
      </c>
      <c r="B137" s="15">
        <v>464</v>
      </c>
      <c r="C137" s="15">
        <v>464</v>
      </c>
      <c r="D137" s="5" t="s">
        <v>2</v>
      </c>
      <c r="E137" s="5" t="s">
        <v>2</v>
      </c>
      <c r="F137" s="5">
        <v>4.5068020000000004</v>
      </c>
      <c r="G137" s="12">
        <f>VLOOKUP(A137,'[1]all FNCL'!A$2:B$993,2)</f>
        <v>0.834040070391601</v>
      </c>
      <c r="H137" s="3" t="s">
        <v>149</v>
      </c>
      <c r="I137">
        <v>0.95157186742127498</v>
      </c>
      <c r="J137" s="33">
        <f>VLOOKUP(A137,'Refi Universe'!E:F,2,0)</f>
        <v>0.85342719</v>
      </c>
    </row>
    <row r="138" spans="1:10" ht="15" x14ac:dyDescent="0.25">
      <c r="A138" s="14">
        <v>40772</v>
      </c>
      <c r="B138" s="15">
        <v>474</v>
      </c>
      <c r="C138" s="15">
        <v>474</v>
      </c>
      <c r="D138" s="5" t="s">
        <v>2</v>
      </c>
      <c r="E138" s="5" t="s">
        <v>2</v>
      </c>
      <c r="F138" s="5">
        <v>4.503018</v>
      </c>
      <c r="G138" s="12">
        <f>VLOOKUP(A138,'[1]all FNCL'!A$2:B$993,2)</f>
        <v>0.834040070391601</v>
      </c>
      <c r="H138" s="3" t="s">
        <v>150</v>
      </c>
      <c r="I138">
        <v>0.95157186742127498</v>
      </c>
      <c r="J138" s="33">
        <f>VLOOKUP(A138,'Refi Universe'!E:F,2,0)</f>
        <v>0.90548150000000005</v>
      </c>
    </row>
    <row r="139" spans="1:10" ht="15" x14ac:dyDescent="0.25">
      <c r="A139" s="14">
        <v>40773</v>
      </c>
      <c r="B139" s="15">
        <v>513</v>
      </c>
      <c r="C139" s="15">
        <v>513</v>
      </c>
      <c r="D139" s="5" t="s">
        <v>2</v>
      </c>
      <c r="E139" s="5" t="s">
        <v>2</v>
      </c>
      <c r="F139" s="5">
        <v>4.5189349999999999</v>
      </c>
      <c r="G139" s="12">
        <f>VLOOKUP(A139,'[1]all FNCL'!A$2:B$993,2)</f>
        <v>0.86081674392019403</v>
      </c>
      <c r="H139" s="3" t="s">
        <v>151</v>
      </c>
      <c r="I139">
        <v>0.95157186742127498</v>
      </c>
      <c r="J139" s="33">
        <f>VLOOKUP(A139,'Refi Universe'!E:F,2,0)</f>
        <v>0.91565848999999999</v>
      </c>
    </row>
    <row r="140" spans="1:10" ht="15" x14ac:dyDescent="0.25">
      <c r="A140" s="14">
        <v>40774</v>
      </c>
      <c r="B140" s="15">
        <v>535</v>
      </c>
      <c r="C140" s="15">
        <v>535</v>
      </c>
      <c r="D140" s="5" t="s">
        <v>2</v>
      </c>
      <c r="E140" s="5" t="s">
        <v>2</v>
      </c>
      <c r="F140" s="5">
        <v>4.542103</v>
      </c>
      <c r="G140" s="12">
        <f>VLOOKUP(A140,'[1]all FNCL'!A$2:B$993,2)</f>
        <v>0.86081674392019403</v>
      </c>
      <c r="H140" s="3" t="s">
        <v>152</v>
      </c>
      <c r="I140">
        <v>0.95157186742127498</v>
      </c>
      <c r="J140" s="33">
        <f>VLOOKUP(A140,'Refi Universe'!E:F,2,0)</f>
        <v>0.89684797999999999</v>
      </c>
    </row>
    <row r="141" spans="1:10" ht="15" x14ac:dyDescent="0.25">
      <c r="A141" s="14">
        <v>40777</v>
      </c>
      <c r="B141" s="15">
        <v>561</v>
      </c>
      <c r="C141" s="15">
        <v>561</v>
      </c>
      <c r="D141" s="5" t="s">
        <v>2</v>
      </c>
      <c r="E141" s="5" t="s">
        <v>2</v>
      </c>
      <c r="F141" s="5">
        <v>4.5508300000000004</v>
      </c>
      <c r="G141" s="12">
        <f>VLOOKUP(A141,'[1]all FNCL'!A$2:B$993,2)</f>
        <v>0.86081674392019403</v>
      </c>
      <c r="H141" s="3" t="s">
        <v>153</v>
      </c>
      <c r="I141">
        <v>0.95157186742127498</v>
      </c>
      <c r="J141" s="33">
        <f>VLOOKUP(A141,'Refi Universe'!E:F,2,0)</f>
        <v>0.88061953999999998</v>
      </c>
    </row>
    <row r="142" spans="1:10" ht="15" x14ac:dyDescent="0.25">
      <c r="A142" s="14">
        <v>40778</v>
      </c>
      <c r="B142" s="15">
        <v>563</v>
      </c>
      <c r="C142" s="15">
        <v>563</v>
      </c>
      <c r="D142" s="5" t="s">
        <v>2</v>
      </c>
      <c r="E142" s="5" t="s">
        <v>2</v>
      </c>
      <c r="F142" s="5">
        <v>4.5672959999999998</v>
      </c>
      <c r="G142" s="12">
        <f>VLOOKUP(A142,'[1]all FNCL'!A$2:B$993,2)</f>
        <v>0.86081674392019403</v>
      </c>
      <c r="H142" s="3" t="s">
        <v>154</v>
      </c>
      <c r="I142">
        <v>0.95277015909637097</v>
      </c>
      <c r="J142" s="33">
        <f>VLOOKUP(A142,'Refi Universe'!E:F,2,0)</f>
        <v>0.85332171000000001</v>
      </c>
    </row>
    <row r="143" spans="1:10" ht="15" x14ac:dyDescent="0.25">
      <c r="A143" s="14">
        <v>40779</v>
      </c>
      <c r="B143" s="15">
        <v>516</v>
      </c>
      <c r="C143" s="15">
        <v>516</v>
      </c>
      <c r="D143" s="5" t="s">
        <v>2</v>
      </c>
      <c r="E143" s="5" t="s">
        <v>2</v>
      </c>
      <c r="F143" s="5">
        <v>4.5994780000000004</v>
      </c>
      <c r="G143" s="12">
        <f>VLOOKUP(A143,'[1]all FNCL'!A$2:B$993,2)</f>
        <v>0.86081674392019403</v>
      </c>
      <c r="H143" s="3" t="s">
        <v>155</v>
      </c>
      <c r="I143">
        <v>0.95277015909637097</v>
      </c>
      <c r="J143" s="33">
        <f>VLOOKUP(A143,'Refi Universe'!E:F,2,0)</f>
        <v>0.84607922999999996</v>
      </c>
    </row>
    <row r="144" spans="1:10" ht="15" x14ac:dyDescent="0.25">
      <c r="A144" s="14">
        <v>40780</v>
      </c>
      <c r="B144" s="15">
        <v>572</v>
      </c>
      <c r="C144" s="15">
        <v>572</v>
      </c>
      <c r="D144" s="5" t="s">
        <v>2</v>
      </c>
      <c r="E144" s="5" t="s">
        <v>2</v>
      </c>
      <c r="F144" s="5">
        <v>4.5656699999999999</v>
      </c>
      <c r="G144" s="12">
        <f>VLOOKUP(A144,'[1]all FNCL'!A$2:B$993,2)</f>
        <v>0.84691794883119798</v>
      </c>
      <c r="H144" s="3" t="s">
        <v>156</v>
      </c>
      <c r="I144">
        <v>0.95277015909637097</v>
      </c>
      <c r="J144" s="33">
        <f>VLOOKUP(A144,'Refi Universe'!E:F,2,0)</f>
        <v>0.83470208999999995</v>
      </c>
    </row>
    <row r="145" spans="1:10" ht="15" x14ac:dyDescent="0.25">
      <c r="A145" s="14">
        <v>40781</v>
      </c>
      <c r="B145" s="15">
        <v>547</v>
      </c>
      <c r="C145" s="15">
        <v>547</v>
      </c>
      <c r="D145" s="5" t="s">
        <v>2</v>
      </c>
      <c r="E145" s="5" t="s">
        <v>2</v>
      </c>
      <c r="F145" s="5">
        <v>4.5460089999999997</v>
      </c>
      <c r="G145" s="12">
        <f>VLOOKUP(A145,'[1]all FNCL'!A$2:B$993,2)</f>
        <v>0.84691794883119798</v>
      </c>
      <c r="H145" s="3" t="s">
        <v>157</v>
      </c>
      <c r="I145">
        <v>0.95277015909637097</v>
      </c>
      <c r="J145" s="33">
        <f>VLOOKUP(A145,'Refi Universe'!E:F,2,0)</f>
        <v>0.83931259999999996</v>
      </c>
    </row>
    <row r="146" spans="1:10" ht="15" x14ac:dyDescent="0.25">
      <c r="A146" s="14">
        <v>40784</v>
      </c>
      <c r="B146" s="15">
        <v>509</v>
      </c>
      <c r="C146" s="15">
        <v>509</v>
      </c>
      <c r="D146" s="5" t="s">
        <v>2</v>
      </c>
      <c r="E146" s="5" t="s">
        <v>2</v>
      </c>
      <c r="F146" s="5">
        <v>4.5870410000000001</v>
      </c>
      <c r="G146" s="12">
        <f>VLOOKUP(A146,'[1]all FNCL'!A$2:B$993,2)</f>
        <v>0.84691794883119798</v>
      </c>
      <c r="H146" s="3" t="s">
        <v>158</v>
      </c>
      <c r="I146">
        <v>0.95277015909637097</v>
      </c>
      <c r="J146" s="33">
        <f>VLOOKUP(A146,'Refi Universe'!E:F,2,0)</f>
        <v>0.82673280999999998</v>
      </c>
    </row>
    <row r="147" spans="1:10" ht="15" x14ac:dyDescent="0.25">
      <c r="A147" s="14">
        <v>40785</v>
      </c>
      <c r="B147" s="15">
        <v>513</v>
      </c>
      <c r="C147" s="15">
        <v>513</v>
      </c>
      <c r="D147" s="5" t="s">
        <v>2</v>
      </c>
      <c r="E147" s="5" t="s">
        <v>2</v>
      </c>
      <c r="F147" s="5">
        <v>4.5445180000000001</v>
      </c>
      <c r="G147" s="12">
        <f>VLOOKUP(A147,'[1]all FNCL'!A$2:B$993,2)</f>
        <v>0.84691794883119798</v>
      </c>
      <c r="H147" s="3" t="s">
        <v>159</v>
      </c>
      <c r="I147">
        <v>0.950786071684944</v>
      </c>
      <c r="J147" s="33">
        <f>VLOOKUP(A147,'Refi Universe'!E:F,2,0)</f>
        <v>0.83828232000000003</v>
      </c>
    </row>
    <row r="148" spans="1:10" ht="15" x14ac:dyDescent="0.25">
      <c r="A148" s="14">
        <v>40786</v>
      </c>
      <c r="B148" s="15">
        <v>481</v>
      </c>
      <c r="C148" s="15">
        <v>481</v>
      </c>
      <c r="D148" s="5" t="s">
        <v>2</v>
      </c>
      <c r="E148" s="5" t="s">
        <v>2</v>
      </c>
      <c r="F148" s="5">
        <v>4.5835699999999999</v>
      </c>
      <c r="G148" s="12">
        <f>VLOOKUP(A148,'[1]all FNCL'!A$2:B$993,2)</f>
        <v>0.84691794883119798</v>
      </c>
      <c r="H148" s="3" t="s">
        <v>160</v>
      </c>
      <c r="I148">
        <v>0.950786071684944</v>
      </c>
      <c r="J148" s="33">
        <f>VLOOKUP(A148,'Refi Universe'!E:F,2,0)</f>
        <v>0.84239131</v>
      </c>
    </row>
    <row r="149" spans="1:10" ht="15" x14ac:dyDescent="0.25">
      <c r="A149" s="14">
        <v>40787</v>
      </c>
      <c r="B149" s="15">
        <v>502</v>
      </c>
      <c r="C149" s="15">
        <v>502</v>
      </c>
      <c r="D149" s="5" t="s">
        <v>2</v>
      </c>
      <c r="E149" s="5" t="s">
        <v>2</v>
      </c>
      <c r="F149" s="5">
        <v>4.5479690000000002</v>
      </c>
      <c r="G149" s="12">
        <f>VLOOKUP(A149,'[1]all FNCL'!A$2:B$993,2)</f>
        <v>0.841117996149364</v>
      </c>
      <c r="H149" s="3" t="s">
        <v>161</v>
      </c>
      <c r="I149">
        <v>0.950786071684944</v>
      </c>
      <c r="J149" s="33">
        <f>VLOOKUP(A149,'Refi Universe'!E:F,2,0)</f>
        <v>0.84721122000000004</v>
      </c>
    </row>
    <row r="150" spans="1:10" ht="15" x14ac:dyDescent="0.25">
      <c r="A150" s="14">
        <v>40788</v>
      </c>
      <c r="B150" s="15">
        <v>545</v>
      </c>
      <c r="C150" s="15">
        <v>545</v>
      </c>
      <c r="D150" s="5" t="s">
        <v>2</v>
      </c>
      <c r="E150" s="5" t="s">
        <v>2</v>
      </c>
      <c r="F150" s="5">
        <v>4.5284680000000002</v>
      </c>
      <c r="G150" s="12">
        <f>VLOOKUP(A150,'[1]all FNCL'!A$2:B$993,2)</f>
        <v>0.841117996149364</v>
      </c>
      <c r="H150" s="3" t="s">
        <v>162</v>
      </c>
      <c r="I150">
        <v>0.950786071684944</v>
      </c>
      <c r="J150" s="33">
        <f>VLOOKUP(A150,'Refi Universe'!E:F,2,0)</f>
        <v>0.90242288999999998</v>
      </c>
    </row>
    <row r="151" spans="1:10" ht="15" x14ac:dyDescent="0.25">
      <c r="A151" s="14">
        <v>40792</v>
      </c>
      <c r="B151" s="15">
        <v>576</v>
      </c>
      <c r="C151" s="15">
        <v>576</v>
      </c>
      <c r="D151" s="5" t="s">
        <v>2</v>
      </c>
      <c r="E151" s="5" t="s">
        <v>2</v>
      </c>
      <c r="F151" s="5">
        <v>4.5305869999999997</v>
      </c>
      <c r="G151" s="12">
        <f>VLOOKUP(A151,'[1]all FNCL'!A$2:B$993,2)</f>
        <v>0.841117996149364</v>
      </c>
      <c r="H151" s="3" t="s">
        <v>163</v>
      </c>
      <c r="I151">
        <v>0.950786071684944</v>
      </c>
      <c r="J151" s="33">
        <f>VLOOKUP(A151,'Refi Universe'!E:F,2,0)</f>
        <v>0.90259902999999997</v>
      </c>
    </row>
    <row r="152" spans="1:10" ht="15" x14ac:dyDescent="0.25">
      <c r="A152" s="14">
        <v>40793</v>
      </c>
      <c r="B152" s="15">
        <v>549</v>
      </c>
      <c r="C152" s="15">
        <v>549</v>
      </c>
      <c r="D152" s="5" t="s">
        <v>2</v>
      </c>
      <c r="E152" s="5" t="s">
        <v>2</v>
      </c>
      <c r="F152" s="5">
        <v>4.5533109999999999</v>
      </c>
      <c r="G152" s="12">
        <f>VLOOKUP(A152,'[1]all FNCL'!A$2:B$993,2)</f>
        <v>0.841117996149364</v>
      </c>
      <c r="H152" s="3" t="s">
        <v>164</v>
      </c>
      <c r="I152">
        <v>0.92568594546185101</v>
      </c>
      <c r="J152" s="33">
        <f>VLOOKUP(A152,'Refi Universe'!E:F,2,0)</f>
        <v>0.86973243</v>
      </c>
    </row>
    <row r="153" spans="1:10" ht="15" x14ac:dyDescent="0.25">
      <c r="A153" s="14">
        <v>40794</v>
      </c>
      <c r="B153" s="15">
        <v>586</v>
      </c>
      <c r="C153" s="15">
        <v>586</v>
      </c>
      <c r="D153" s="5" t="s">
        <v>2</v>
      </c>
      <c r="E153" s="5" t="s">
        <v>2</v>
      </c>
      <c r="F153" s="5">
        <v>4.5492179999999998</v>
      </c>
      <c r="G153" s="12">
        <f>VLOOKUP(A153,'[1]all FNCL'!A$2:B$993,2)</f>
        <v>0.87810314526122002</v>
      </c>
      <c r="H153" s="3" t="s">
        <v>165</v>
      </c>
      <c r="I153">
        <v>0.92568594546185101</v>
      </c>
      <c r="J153" s="33">
        <f>VLOOKUP(A153,'Refi Universe'!E:F,2,0)</f>
        <v>0.89313180000000003</v>
      </c>
    </row>
    <row r="154" spans="1:10" ht="15" x14ac:dyDescent="0.25">
      <c r="A154" s="14">
        <v>40795</v>
      </c>
      <c r="B154" s="15">
        <v>553</v>
      </c>
      <c r="C154" s="15">
        <v>553</v>
      </c>
      <c r="D154" s="5" t="s">
        <v>2</v>
      </c>
      <c r="E154" s="5" t="s">
        <v>2</v>
      </c>
      <c r="F154" s="5">
        <v>4.5150930000000002</v>
      </c>
      <c r="G154" s="12">
        <f>VLOOKUP(A154,'[1]all FNCL'!A$2:B$993,2)</f>
        <v>0.87810314526122002</v>
      </c>
      <c r="H154" s="3" t="s">
        <v>166</v>
      </c>
      <c r="I154">
        <v>0.92568594546185101</v>
      </c>
      <c r="J154" s="33">
        <f>VLOOKUP(A154,'Refi Universe'!E:F,2,0)</f>
        <v>0.93021054999999997</v>
      </c>
    </row>
    <row r="155" spans="1:10" ht="15" x14ac:dyDescent="0.25">
      <c r="A155" s="14">
        <v>40798</v>
      </c>
      <c r="B155" s="15">
        <v>528</v>
      </c>
      <c r="C155" s="15">
        <v>528</v>
      </c>
      <c r="D155" s="5" t="s">
        <v>2</v>
      </c>
      <c r="E155" s="5" t="s">
        <v>2</v>
      </c>
      <c r="F155" s="5">
        <v>4.5482339999999999</v>
      </c>
      <c r="G155" s="12">
        <f>VLOOKUP(A155,'[1]all FNCL'!A$2:B$993,2)</f>
        <v>0.87810314526122002</v>
      </c>
      <c r="H155" s="3" t="s">
        <v>167</v>
      </c>
      <c r="I155">
        <v>0.92568594546185101</v>
      </c>
      <c r="J155" s="33">
        <f>VLOOKUP(A155,'Refi Universe'!E:F,2,0)</f>
        <v>0.90497623000000005</v>
      </c>
    </row>
    <row r="156" spans="1:10" ht="15" x14ac:dyDescent="0.25">
      <c r="A156" s="14">
        <v>40799</v>
      </c>
      <c r="B156" s="15">
        <v>532</v>
      </c>
      <c r="C156" s="15">
        <v>532</v>
      </c>
      <c r="D156" s="5" t="s">
        <v>2</v>
      </c>
      <c r="E156" s="5" t="s">
        <v>2</v>
      </c>
      <c r="F156" s="5">
        <v>4.5482259999999997</v>
      </c>
      <c r="G156" s="12">
        <f>VLOOKUP(A156,'[1]all FNCL'!A$2:B$993,2)</f>
        <v>0.87810314526122002</v>
      </c>
      <c r="H156" s="3" t="s">
        <v>168</v>
      </c>
      <c r="I156">
        <v>0.92568594546185101</v>
      </c>
      <c r="J156" s="33">
        <f>VLOOKUP(A156,'Refi Universe'!E:F,2,0)</f>
        <v>0.87859103000000005</v>
      </c>
    </row>
    <row r="157" spans="1:10" ht="15" x14ac:dyDescent="0.25">
      <c r="A157" s="14">
        <v>40800</v>
      </c>
      <c r="B157" s="15">
        <v>540</v>
      </c>
      <c r="C157" s="15">
        <v>540</v>
      </c>
      <c r="D157" s="5" t="s">
        <v>2</v>
      </c>
      <c r="E157" s="5" t="s">
        <v>2</v>
      </c>
      <c r="F157" s="5">
        <v>4.5448339999999998</v>
      </c>
      <c r="G157" s="12">
        <f>VLOOKUP(A157,'[1]all FNCL'!A$2:B$993,2)</f>
        <v>0.87810314526122002</v>
      </c>
      <c r="H157" s="3" t="s">
        <v>169</v>
      </c>
      <c r="I157">
        <v>0.92529425270600996</v>
      </c>
      <c r="J157" s="33">
        <f>VLOOKUP(A157,'Refi Universe'!E:F,2,0)</f>
        <v>0.88148886000000004</v>
      </c>
    </row>
    <row r="158" spans="1:10" ht="15" x14ac:dyDescent="0.25">
      <c r="A158" s="14">
        <v>40801</v>
      </c>
      <c r="B158" s="15">
        <v>519</v>
      </c>
      <c r="C158" s="15">
        <v>519</v>
      </c>
      <c r="D158" s="5" t="s">
        <v>2</v>
      </c>
      <c r="E158" s="5" t="s">
        <v>2</v>
      </c>
      <c r="F158" s="5">
        <v>4.5614309999999998</v>
      </c>
      <c r="G158" s="12">
        <f>VLOOKUP(A158,'[1]all FNCL'!A$2:B$993,2)</f>
        <v>0.90145744662456295</v>
      </c>
      <c r="H158" s="3" t="s">
        <v>170</v>
      </c>
      <c r="I158">
        <v>0.92529425270600996</v>
      </c>
      <c r="J158" s="33">
        <f>VLOOKUP(A158,'Refi Universe'!E:F,2,0)</f>
        <v>0.85233175999999999</v>
      </c>
    </row>
    <row r="159" spans="1:10" ht="15" x14ac:dyDescent="0.25">
      <c r="A159" s="14">
        <v>40802</v>
      </c>
      <c r="B159" s="15">
        <v>505</v>
      </c>
      <c r="C159" s="15">
        <v>505</v>
      </c>
      <c r="D159" s="5" t="s">
        <v>2</v>
      </c>
      <c r="E159" s="5" t="s">
        <v>2</v>
      </c>
      <c r="F159" s="5">
        <v>4.564019</v>
      </c>
      <c r="G159" s="12">
        <f>VLOOKUP(A159,'[1]all FNCL'!A$2:B$993,2)</f>
        <v>0.90145744662456295</v>
      </c>
      <c r="H159" s="3" t="s">
        <v>171</v>
      </c>
      <c r="I159">
        <v>0.92529425270600996</v>
      </c>
      <c r="J159" s="33">
        <f>VLOOKUP(A159,'Refi Universe'!E:F,2,0)</f>
        <v>0.85253478000000005</v>
      </c>
    </row>
    <row r="160" spans="1:10" ht="15" x14ac:dyDescent="0.25">
      <c r="A160" s="14">
        <v>40805</v>
      </c>
      <c r="B160" s="15">
        <v>561</v>
      </c>
      <c r="C160" s="15">
        <v>561</v>
      </c>
      <c r="D160" s="5" t="s">
        <v>2</v>
      </c>
      <c r="E160" s="5" t="s">
        <v>2</v>
      </c>
      <c r="F160" s="5">
        <v>4.5236169999999998</v>
      </c>
      <c r="G160" s="12">
        <f>VLOOKUP(A160,'[1]all FNCL'!A$2:B$993,2)</f>
        <v>0.90145744662456295</v>
      </c>
      <c r="H160" s="3" t="s">
        <v>172</v>
      </c>
      <c r="I160">
        <v>0.92529425270600996</v>
      </c>
      <c r="J160" s="33">
        <f>VLOOKUP(A160,'Refi Universe'!E:F,2,0)</f>
        <v>0.91915827999999999</v>
      </c>
    </row>
    <row r="161" spans="1:10" ht="15" x14ac:dyDescent="0.25">
      <c r="A161" s="14">
        <v>40806</v>
      </c>
      <c r="B161" s="15">
        <v>574</v>
      </c>
      <c r="C161" s="15">
        <v>574</v>
      </c>
      <c r="D161" s="5" t="s">
        <v>2</v>
      </c>
      <c r="E161" s="5" t="s">
        <v>2</v>
      </c>
      <c r="F161" s="5">
        <v>4.5340309999999997</v>
      </c>
      <c r="G161" s="12">
        <f>VLOOKUP(A161,'[1]all FNCL'!A$2:B$993,2)</f>
        <v>0.90145744662456295</v>
      </c>
      <c r="H161" s="3" t="s">
        <v>173</v>
      </c>
      <c r="I161">
        <v>0.92529425270600996</v>
      </c>
      <c r="J161" s="33">
        <f>VLOOKUP(A161,'Refi Universe'!E:F,2,0)</f>
        <v>0.90939444999999997</v>
      </c>
    </row>
    <row r="162" spans="1:10" ht="15" x14ac:dyDescent="0.25">
      <c r="A162" s="14">
        <v>40807</v>
      </c>
      <c r="B162" s="15">
        <v>681</v>
      </c>
      <c r="C162" s="15">
        <v>681</v>
      </c>
      <c r="D162" s="5" t="s">
        <v>2</v>
      </c>
      <c r="E162" s="5" t="s">
        <v>2</v>
      </c>
      <c r="F162" s="5">
        <v>4.4308639999999997</v>
      </c>
      <c r="G162" s="12">
        <f>VLOOKUP(A162,'[1]all FNCL'!A$2:B$993,2)</f>
        <v>0.90145744662456295</v>
      </c>
      <c r="H162" s="3" t="s">
        <v>174</v>
      </c>
      <c r="I162">
        <v>0.92772026190850898</v>
      </c>
      <c r="J162" s="33">
        <f>VLOOKUP(A162,'Refi Universe'!E:F,2,0)</f>
        <v>0.98438846000000002</v>
      </c>
    </row>
    <row r="163" spans="1:10" ht="15" x14ac:dyDescent="0.25">
      <c r="A163" s="14">
        <v>40808</v>
      </c>
      <c r="B163" s="15">
        <v>860</v>
      </c>
      <c r="C163" s="15">
        <v>860</v>
      </c>
      <c r="D163" s="5" t="s">
        <v>2</v>
      </c>
      <c r="E163" s="5" t="s">
        <v>2</v>
      </c>
      <c r="F163" s="5">
        <v>4.3126819999999997</v>
      </c>
      <c r="G163" s="12">
        <f>VLOOKUP(A163,'[1]all FNCL'!A$2:B$993,2)</f>
        <v>0.90145744662456295</v>
      </c>
      <c r="H163" s="3" t="s">
        <v>175</v>
      </c>
      <c r="I163">
        <v>0.92529425270600996</v>
      </c>
      <c r="J163" s="33">
        <f>VLOOKUP(A163,'Refi Universe'!E:F,2,0)</f>
        <v>0.98718243000000006</v>
      </c>
    </row>
    <row r="164" spans="1:10" ht="15" x14ac:dyDescent="0.25">
      <c r="A164" s="14">
        <v>40809</v>
      </c>
      <c r="B164" s="15">
        <v>735</v>
      </c>
      <c r="C164" s="15">
        <v>735</v>
      </c>
      <c r="D164" s="5" t="s">
        <v>2</v>
      </c>
      <c r="E164" s="5" t="s">
        <v>2</v>
      </c>
      <c r="F164" s="5">
        <v>4.3930119999999997</v>
      </c>
      <c r="G164" s="12">
        <f>VLOOKUP(A164,'[1]all FNCL'!A$2:B$993,2)</f>
        <v>0.90145744662456295</v>
      </c>
      <c r="H164" s="3" t="s">
        <v>176</v>
      </c>
      <c r="I164">
        <v>0.92529425270600996</v>
      </c>
      <c r="J164" s="33">
        <f>VLOOKUP(A164,'Refi Universe'!E:F,2,0)</f>
        <v>0.98557090000000003</v>
      </c>
    </row>
    <row r="165" spans="1:10" ht="15" x14ac:dyDescent="0.25">
      <c r="A165" s="14">
        <v>40812</v>
      </c>
      <c r="B165" s="15">
        <v>731</v>
      </c>
      <c r="C165" s="15">
        <v>731</v>
      </c>
      <c r="D165" s="5" t="s">
        <v>2</v>
      </c>
      <c r="E165" s="5" t="s">
        <v>2</v>
      </c>
      <c r="F165" s="5">
        <v>4.4004250000000003</v>
      </c>
      <c r="G165" s="12">
        <f>VLOOKUP(A165,'[1]all FNCL'!A$2:B$993,2)</f>
        <v>0.90145744662456295</v>
      </c>
      <c r="H165" s="3" t="s">
        <v>177</v>
      </c>
      <c r="I165">
        <v>0.92772026190850898</v>
      </c>
      <c r="J165" s="33">
        <f>VLOOKUP(A165,'Refi Universe'!E:F,2,0)</f>
        <v>0.98181251999999997</v>
      </c>
    </row>
    <row r="166" spans="1:10" ht="15" x14ac:dyDescent="0.25">
      <c r="A166" s="14">
        <v>40813</v>
      </c>
      <c r="B166" s="15">
        <v>694</v>
      </c>
      <c r="C166" s="15">
        <v>694</v>
      </c>
      <c r="D166" s="5" t="s">
        <v>2</v>
      </c>
      <c r="E166" s="5" t="s">
        <v>2</v>
      </c>
      <c r="F166" s="5">
        <v>4.452826</v>
      </c>
      <c r="G166" s="12">
        <f>VLOOKUP(A166,'[1]all FNCL'!A$2:B$993,2)</f>
        <v>0.90145744662456295</v>
      </c>
      <c r="H166" s="3" t="s">
        <v>178</v>
      </c>
      <c r="I166">
        <v>0.92988566192488697</v>
      </c>
      <c r="J166" s="33">
        <f>VLOOKUP(A166,'Refi Universe'!E:F,2,0)</f>
        <v>0.92916330000000003</v>
      </c>
    </row>
    <row r="167" spans="1:10" ht="15" x14ac:dyDescent="0.25">
      <c r="A167" s="14">
        <v>40814</v>
      </c>
      <c r="B167" s="15">
        <v>678</v>
      </c>
      <c r="C167" s="15">
        <v>678</v>
      </c>
      <c r="D167" s="5" t="s">
        <v>2</v>
      </c>
      <c r="E167" s="5" t="s">
        <v>2</v>
      </c>
      <c r="F167" s="5">
        <v>4.4560310000000003</v>
      </c>
      <c r="G167" s="12">
        <f>VLOOKUP(A167,'[1]all FNCL'!A$2:B$993,2)</f>
        <v>0.90145744662456295</v>
      </c>
      <c r="H167" s="3" t="s">
        <v>179</v>
      </c>
      <c r="I167">
        <v>0.92988566192488697</v>
      </c>
      <c r="J167" s="33">
        <f>VLOOKUP(A167,'Refi Universe'!E:F,2,0)</f>
        <v>0.87701468999999999</v>
      </c>
    </row>
    <row r="168" spans="1:10" ht="15" x14ac:dyDescent="0.25">
      <c r="A168" s="14">
        <v>40815</v>
      </c>
      <c r="B168" s="15">
        <v>731</v>
      </c>
      <c r="C168" s="15">
        <v>731</v>
      </c>
      <c r="D168" s="5" t="s">
        <v>2</v>
      </c>
      <c r="E168" s="5" t="s">
        <v>2</v>
      </c>
      <c r="F168" s="5">
        <v>4.4191700000000003</v>
      </c>
      <c r="G168" s="12">
        <f>VLOOKUP(A168,'[1]all FNCL'!A$2:B$993,2)</f>
        <v>0.94573089516350395</v>
      </c>
      <c r="H168" s="3" t="s">
        <v>180</v>
      </c>
      <c r="I168">
        <v>0.92988566192488697</v>
      </c>
      <c r="J168" s="33">
        <f>VLOOKUP(A168,'Refi Universe'!E:F,2,0)</f>
        <v>0.92916330000000003</v>
      </c>
    </row>
    <row r="169" spans="1:10" ht="15" x14ac:dyDescent="0.25">
      <c r="A169" s="14">
        <v>40816</v>
      </c>
      <c r="B169" s="15">
        <v>757</v>
      </c>
      <c r="C169" s="15">
        <v>757</v>
      </c>
      <c r="D169" s="5" t="s">
        <v>2</v>
      </c>
      <c r="E169" s="5" t="s">
        <v>2</v>
      </c>
      <c r="F169" s="5">
        <v>4.4047419999999997</v>
      </c>
      <c r="G169" s="12">
        <f>VLOOKUP(A169,'[1]all FNCL'!A$2:B$993,2)</f>
        <v>0.94573089516350395</v>
      </c>
      <c r="H169" s="3" t="s">
        <v>181</v>
      </c>
      <c r="I169">
        <v>0.92988566192488697</v>
      </c>
      <c r="J169" s="33">
        <f>VLOOKUP(A169,'Refi Universe'!E:F,2,0)</f>
        <v>0.95732165999999996</v>
      </c>
    </row>
    <row r="170" spans="1:10" ht="15" x14ac:dyDescent="0.25">
      <c r="A170" s="14">
        <v>40819</v>
      </c>
      <c r="B170" s="15">
        <v>810</v>
      </c>
      <c r="C170" s="15">
        <v>810</v>
      </c>
      <c r="D170" s="5" t="s">
        <v>2</v>
      </c>
      <c r="E170" s="5" t="s">
        <v>2</v>
      </c>
      <c r="F170" s="5">
        <v>4.3686420000000004</v>
      </c>
      <c r="G170" s="12">
        <f>VLOOKUP(A170,'[1]all FNCL'!A$2:B$993,2)</f>
        <v>0.93998305132982396</v>
      </c>
      <c r="H170" s="3" t="s">
        <v>182</v>
      </c>
      <c r="I170">
        <v>0.92962672480790898</v>
      </c>
      <c r="J170" s="33">
        <f>VLOOKUP(A170,'Refi Universe'!E:F,2,0)</f>
        <v>0.97810912000000005</v>
      </c>
    </row>
    <row r="171" spans="1:10" ht="15" x14ac:dyDescent="0.25">
      <c r="A171" s="14">
        <v>40820</v>
      </c>
      <c r="B171" s="15">
        <v>726</v>
      </c>
      <c r="C171" s="15">
        <v>726</v>
      </c>
      <c r="D171" s="5" t="s">
        <v>2</v>
      </c>
      <c r="E171" s="5" t="s">
        <v>2</v>
      </c>
      <c r="F171" s="5">
        <v>4.3876229999999996</v>
      </c>
      <c r="G171" s="12">
        <f>VLOOKUP(A171,'[1]all FNCL'!A$2:B$993,2)</f>
        <v>0.93998305132982396</v>
      </c>
      <c r="H171" s="3" t="s">
        <v>183</v>
      </c>
      <c r="I171">
        <v>0.92962672480790898</v>
      </c>
      <c r="J171" s="33">
        <f>VLOOKUP(A171,'Refi Universe'!E:F,2,0)</f>
        <v>0.94663377999999998</v>
      </c>
    </row>
    <row r="172" spans="1:10" ht="15" x14ac:dyDescent="0.25">
      <c r="A172" s="14">
        <v>40821</v>
      </c>
      <c r="B172" s="15">
        <v>686</v>
      </c>
      <c r="C172" s="15">
        <v>686</v>
      </c>
      <c r="D172" s="5" t="s">
        <v>2</v>
      </c>
      <c r="E172" s="5" t="s">
        <v>2</v>
      </c>
      <c r="F172" s="5">
        <v>4.4181590000000002</v>
      </c>
      <c r="G172" s="12">
        <f>VLOOKUP(A172,'[1]all FNCL'!A$2:B$993,2)</f>
        <v>0.93998305132982396</v>
      </c>
      <c r="H172" s="3" t="s">
        <v>184</v>
      </c>
      <c r="I172">
        <v>0.91261368517922603</v>
      </c>
      <c r="J172" s="33">
        <f>VLOOKUP(A172,'Refi Universe'!E:F,2,0)</f>
        <v>0.92342051999999997</v>
      </c>
    </row>
    <row r="173" spans="1:10" ht="15" x14ac:dyDescent="0.25">
      <c r="A173" s="14">
        <v>40822</v>
      </c>
      <c r="B173" s="15">
        <v>680</v>
      </c>
      <c r="C173" s="15">
        <v>680</v>
      </c>
      <c r="D173" s="5" t="s">
        <v>2</v>
      </c>
      <c r="E173" s="5" t="s">
        <v>2</v>
      </c>
      <c r="F173" s="5">
        <v>4.4377190000000004</v>
      </c>
      <c r="G173" s="12">
        <f>VLOOKUP(A173,'[1]all FNCL'!A$2:B$993,2)</f>
        <v>0.976205342266112</v>
      </c>
      <c r="H173" s="3" t="s">
        <v>185</v>
      </c>
      <c r="I173">
        <v>0.91261368517922603</v>
      </c>
      <c r="J173" s="33">
        <f>VLOOKUP(A173,'Refi Universe'!E:F,2,0)</f>
        <v>0.88478330999999999</v>
      </c>
    </row>
    <row r="174" spans="1:10" ht="15" x14ac:dyDescent="0.25">
      <c r="A174" s="14">
        <v>40823</v>
      </c>
      <c r="B174" s="15">
        <v>961</v>
      </c>
      <c r="C174" s="15">
        <v>961</v>
      </c>
      <c r="D174" s="5" t="s">
        <v>2</v>
      </c>
      <c r="E174" s="5" t="s">
        <v>2</v>
      </c>
      <c r="F174" s="5">
        <v>4.486453</v>
      </c>
      <c r="G174" s="12">
        <f>VLOOKUP(A174,'[1]all FNCL'!A$2:B$993,2)</f>
        <v>0.976205342266112</v>
      </c>
      <c r="H174" s="3" t="s">
        <v>186</v>
      </c>
      <c r="I174">
        <v>0.91261368517922603</v>
      </c>
      <c r="J174" s="33">
        <f>VLOOKUP(A174,'Refi Universe'!E:F,2,0)</f>
        <v>0.83613196000000001</v>
      </c>
    </row>
    <row r="175" spans="1:10" ht="15" x14ac:dyDescent="0.25">
      <c r="A175" s="14">
        <v>40827</v>
      </c>
      <c r="B175" s="15">
        <v>937</v>
      </c>
      <c r="C175" s="15">
        <v>937</v>
      </c>
      <c r="D175" s="5" t="s">
        <v>2</v>
      </c>
      <c r="E175" s="5" t="s">
        <v>2</v>
      </c>
      <c r="F175" s="5">
        <v>4.4811180000000004</v>
      </c>
      <c r="G175" s="12">
        <f>VLOOKUP(A175,'[1]all FNCL'!A$2:B$993,2)</f>
        <v>0.976205342266112</v>
      </c>
      <c r="H175" s="3" t="s">
        <v>187</v>
      </c>
      <c r="I175">
        <v>0.91054790878492298</v>
      </c>
      <c r="J175" s="33">
        <f>VLOOKUP(A175,'Refi Universe'!E:F,2,0)</f>
        <v>0.82950210999999996</v>
      </c>
    </row>
    <row r="176" spans="1:10" ht="15" x14ac:dyDescent="0.25">
      <c r="A176" s="14">
        <v>40828</v>
      </c>
      <c r="B176" s="15">
        <v>864</v>
      </c>
      <c r="C176" s="15">
        <v>864</v>
      </c>
      <c r="D176" s="5" t="s">
        <v>2</v>
      </c>
      <c r="E176" s="5" t="s">
        <v>2</v>
      </c>
      <c r="F176" s="5">
        <v>4.4851520000000002</v>
      </c>
      <c r="G176" s="12">
        <f>VLOOKUP(A176,'[1]all FNCL'!A$2:B$993,2)</f>
        <v>0.976205342266112</v>
      </c>
      <c r="H176" s="3" t="s">
        <v>188</v>
      </c>
      <c r="I176">
        <v>0.91054790878492298</v>
      </c>
      <c r="J176" s="33">
        <f>VLOOKUP(A176,'Refi Universe'!E:F,2,0)</f>
        <v>0.83542744999999996</v>
      </c>
    </row>
    <row r="177" spans="1:10" ht="15" x14ac:dyDescent="0.25">
      <c r="A177" s="14">
        <v>40829</v>
      </c>
      <c r="B177" s="15">
        <v>969</v>
      </c>
      <c r="C177" s="15">
        <v>969</v>
      </c>
      <c r="D177" s="5" t="s">
        <v>2</v>
      </c>
      <c r="E177" s="5" t="s">
        <v>2</v>
      </c>
      <c r="F177" s="5">
        <v>4.4753579999999999</v>
      </c>
      <c r="G177" s="12">
        <f>VLOOKUP(A177,'[1]all FNCL'!A$2:B$993,2)</f>
        <v>0.86848651507328101</v>
      </c>
      <c r="H177" s="3" t="s">
        <v>189</v>
      </c>
      <c r="I177">
        <v>0.91054790878492298</v>
      </c>
      <c r="J177" s="33">
        <f>VLOOKUP(A177,'Refi Universe'!E:F,2,0)</f>
        <v>0.84078129000000001</v>
      </c>
    </row>
    <row r="178" spans="1:10" ht="15" x14ac:dyDescent="0.25">
      <c r="A178" s="14">
        <v>40830</v>
      </c>
      <c r="B178" s="15">
        <v>945</v>
      </c>
      <c r="C178" s="15">
        <v>945</v>
      </c>
      <c r="D178" s="5" t="s">
        <v>2</v>
      </c>
      <c r="E178" s="5" t="s">
        <v>2</v>
      </c>
      <c r="F178" s="5">
        <v>4.4995599999999998</v>
      </c>
      <c r="G178" s="12">
        <f>VLOOKUP(A178,'[1]all FNCL'!A$2:B$993,2)</f>
        <v>0.86848651507328101</v>
      </c>
      <c r="H178" s="3" t="s">
        <v>190</v>
      </c>
      <c r="I178">
        <v>0.91054790878492298</v>
      </c>
      <c r="J178" s="33">
        <f>VLOOKUP(A178,'Refi Universe'!E:F,2,0)</f>
        <v>0.83013197000000005</v>
      </c>
    </row>
    <row r="179" spans="1:10" ht="15" x14ac:dyDescent="0.25">
      <c r="A179" s="14">
        <v>40833</v>
      </c>
      <c r="B179" s="15">
        <v>968</v>
      </c>
      <c r="C179" s="15">
        <v>968</v>
      </c>
      <c r="D179" s="5" t="s">
        <v>2</v>
      </c>
      <c r="E179" s="5" t="s">
        <v>2</v>
      </c>
      <c r="F179" s="5">
        <v>4.480232</v>
      </c>
      <c r="G179" s="12">
        <f>VLOOKUP(A179,'[1]all FNCL'!A$2:B$993,2)</f>
        <v>0.86848651507328101</v>
      </c>
      <c r="H179" s="3" t="s">
        <v>191</v>
      </c>
      <c r="I179">
        <v>0.91054790878492298</v>
      </c>
      <c r="J179" s="33">
        <f>VLOOKUP(A179,'Refi Universe'!E:F,2,0)</f>
        <v>0.84306073000000004</v>
      </c>
    </row>
    <row r="180" spans="1:10" ht="15" x14ac:dyDescent="0.25">
      <c r="A180" s="14">
        <v>40834</v>
      </c>
      <c r="B180" s="15">
        <v>949</v>
      </c>
      <c r="C180" s="15">
        <v>949</v>
      </c>
      <c r="D180" s="5" t="s">
        <v>2</v>
      </c>
      <c r="E180" s="5" t="s">
        <v>2</v>
      </c>
      <c r="F180" s="5">
        <v>4.4586129999999997</v>
      </c>
      <c r="G180" s="12">
        <f>VLOOKUP(A180,'[1]all FNCL'!A$2:B$993,2)</f>
        <v>0.86848651507328101</v>
      </c>
      <c r="H180" s="3" t="s">
        <v>192</v>
      </c>
      <c r="I180">
        <v>0.91261368517922603</v>
      </c>
      <c r="J180" s="33">
        <f>VLOOKUP(A180,'Refi Universe'!E:F,2,0)</f>
        <v>0.84441679000000003</v>
      </c>
    </row>
    <row r="181" spans="1:10" ht="15" x14ac:dyDescent="0.25">
      <c r="A181" s="14">
        <v>40835</v>
      </c>
      <c r="B181" s="15">
        <v>937</v>
      </c>
      <c r="C181" s="15">
        <v>937</v>
      </c>
      <c r="D181" s="5" t="s">
        <v>2</v>
      </c>
      <c r="E181" s="5" t="s">
        <v>2</v>
      </c>
      <c r="F181" s="5">
        <v>4.4667029999999999</v>
      </c>
      <c r="G181" s="12">
        <f>VLOOKUP(A181,'[1]all FNCL'!A$2:B$993,2)</f>
        <v>0.86848651507328101</v>
      </c>
      <c r="H181" s="3" t="s">
        <v>193</v>
      </c>
      <c r="I181">
        <v>0.91261368517922603</v>
      </c>
      <c r="J181" s="33">
        <f>VLOOKUP(A181,'Refi Universe'!E:F,2,0)</f>
        <v>0.86681474000000003</v>
      </c>
    </row>
    <row r="182" spans="1:10" ht="15" x14ac:dyDescent="0.25">
      <c r="A182" s="14">
        <v>40836</v>
      </c>
      <c r="B182" s="15">
        <v>919</v>
      </c>
      <c r="C182" s="15">
        <v>919</v>
      </c>
      <c r="D182" s="5" t="s">
        <v>2</v>
      </c>
      <c r="E182" s="5" t="s">
        <v>2</v>
      </c>
      <c r="F182" s="5">
        <v>4.4758269999999998</v>
      </c>
      <c r="G182" s="12">
        <f>VLOOKUP(A182,'[1]all FNCL'!A$2:B$993,2)</f>
        <v>0.87857948382126905</v>
      </c>
      <c r="H182" s="3" t="s">
        <v>194</v>
      </c>
      <c r="I182">
        <v>0.91261368517922603</v>
      </c>
      <c r="J182" s="33">
        <f>VLOOKUP(A182,'Refi Universe'!E:F,2,0)</f>
        <v>0.84735875999999999</v>
      </c>
    </row>
    <row r="183" spans="1:10" ht="15" x14ac:dyDescent="0.25">
      <c r="A183" s="14">
        <v>40837</v>
      </c>
      <c r="B183" s="15">
        <v>900</v>
      </c>
      <c r="C183" s="15">
        <v>900</v>
      </c>
      <c r="D183" s="5" t="s">
        <v>2</v>
      </c>
      <c r="E183" s="5" t="s">
        <v>2</v>
      </c>
      <c r="F183" s="5">
        <v>4.4641019999999996</v>
      </c>
      <c r="G183" s="12">
        <f>VLOOKUP(A183,'[1]all FNCL'!A$2:B$993,2)</f>
        <v>0.87857948382126905</v>
      </c>
      <c r="H183" s="3" t="s">
        <v>195</v>
      </c>
      <c r="I183">
        <v>0.91261368517922603</v>
      </c>
      <c r="J183" s="33">
        <f>VLOOKUP(A183,'Refi Universe'!E:F,2,0)</f>
        <v>0.8463716</v>
      </c>
    </row>
    <row r="184" spans="1:10" ht="15" x14ac:dyDescent="0.25">
      <c r="A184" s="14">
        <v>40840</v>
      </c>
      <c r="B184" s="15">
        <v>868</v>
      </c>
      <c r="C184" s="15">
        <v>868</v>
      </c>
      <c r="D184" s="5" t="s">
        <v>2</v>
      </c>
      <c r="E184" s="5" t="s">
        <v>2</v>
      </c>
      <c r="F184" s="5">
        <v>4.4811240000000003</v>
      </c>
      <c r="G184" s="12">
        <f>VLOOKUP(A184,'[1]all FNCL'!A$2:B$993,2)</f>
        <v>0.87857948382126905</v>
      </c>
      <c r="H184" s="3" t="s">
        <v>196</v>
      </c>
      <c r="I184">
        <v>0.91261368517922603</v>
      </c>
      <c r="J184" s="33">
        <f>VLOOKUP(A184,'Refi Universe'!E:F,2,0)</f>
        <v>0.83822136000000003</v>
      </c>
    </row>
    <row r="185" spans="1:10" ht="15" x14ac:dyDescent="0.25">
      <c r="A185" s="14">
        <v>40841</v>
      </c>
      <c r="B185" s="15">
        <v>920</v>
      </c>
      <c r="C185" s="15">
        <v>920</v>
      </c>
      <c r="D185" s="5" t="s">
        <v>2</v>
      </c>
      <c r="E185" s="5" t="s">
        <v>2</v>
      </c>
      <c r="F185" s="5">
        <v>4.4552329999999998</v>
      </c>
      <c r="G185" s="12">
        <f>VLOOKUP(A185,'[1]all FNCL'!A$2:B$993,2)</f>
        <v>0.87857948382126905</v>
      </c>
      <c r="H185" s="3" t="s">
        <v>197</v>
      </c>
      <c r="I185">
        <v>0.90964878851271103</v>
      </c>
      <c r="J185" s="33">
        <f>VLOOKUP(A185,'Refi Universe'!E:F,2,0)</f>
        <v>0.89465903000000002</v>
      </c>
    </row>
    <row r="186" spans="1:10" ht="15" x14ac:dyDescent="0.25">
      <c r="A186" s="14">
        <v>40842</v>
      </c>
      <c r="B186" s="15">
        <v>880</v>
      </c>
      <c r="C186" s="15">
        <v>880</v>
      </c>
      <c r="D186" s="5" t="s">
        <v>2</v>
      </c>
      <c r="E186" s="5" t="s">
        <v>2</v>
      </c>
      <c r="F186" s="5">
        <v>4.4698549999999999</v>
      </c>
      <c r="G186" s="12">
        <f>VLOOKUP(A186,'[1]all FNCL'!A$2:B$993,2)</f>
        <v>0.87857948382126905</v>
      </c>
      <c r="H186" s="3" t="s">
        <v>198</v>
      </c>
      <c r="I186">
        <v>0.90964878851271103</v>
      </c>
      <c r="J186" s="33">
        <f>VLOOKUP(A186,'Refi Universe'!E:F,2,0)</f>
        <v>0.86459914999999998</v>
      </c>
    </row>
    <row r="187" spans="1:10" ht="15" x14ac:dyDescent="0.25">
      <c r="A187" s="14">
        <v>40843</v>
      </c>
      <c r="B187" s="15">
        <v>734</v>
      </c>
      <c r="C187" s="15">
        <v>734</v>
      </c>
      <c r="D187" s="5" t="s">
        <v>2</v>
      </c>
      <c r="E187" s="5" t="s">
        <v>2</v>
      </c>
      <c r="F187" s="5">
        <v>4.5045710000000003</v>
      </c>
      <c r="G187" s="12">
        <f>VLOOKUP(A187,'[1]all FNCL'!A$2:B$993,2)</f>
        <v>0.88617155990762297</v>
      </c>
      <c r="H187" s="3" t="s">
        <v>199</v>
      </c>
      <c r="I187">
        <v>0.90964878851271103</v>
      </c>
      <c r="J187" s="33">
        <f>VLOOKUP(A187,'Refi Universe'!E:F,2,0)</f>
        <v>0.82771581000000005</v>
      </c>
    </row>
    <row r="188" spans="1:10" ht="15" x14ac:dyDescent="0.25">
      <c r="A188" s="14">
        <v>40844</v>
      </c>
      <c r="B188" s="15">
        <v>762</v>
      </c>
      <c r="C188" s="15">
        <v>762</v>
      </c>
      <c r="D188" s="5" t="s">
        <v>2</v>
      </c>
      <c r="E188" s="5" t="s">
        <v>2</v>
      </c>
      <c r="F188" s="5">
        <v>4.4694289999999999</v>
      </c>
      <c r="G188" s="12">
        <f>VLOOKUP(A188,'[1]all FNCL'!A$2:B$993,2)</f>
        <v>0.88617155990762297</v>
      </c>
      <c r="H188" s="3" t="s">
        <v>200</v>
      </c>
      <c r="I188">
        <v>0.90964878851271103</v>
      </c>
      <c r="J188" s="33">
        <f>VLOOKUP(A188,'Refi Universe'!E:F,2,0)</f>
        <v>0.84286576999999996</v>
      </c>
    </row>
    <row r="189" spans="1:10" ht="15" x14ac:dyDescent="0.25">
      <c r="A189" s="14">
        <v>40847</v>
      </c>
      <c r="B189" s="15">
        <v>865</v>
      </c>
      <c r="C189" s="15">
        <v>865</v>
      </c>
      <c r="D189" s="5" t="s">
        <v>2</v>
      </c>
      <c r="E189" s="5" t="s">
        <v>2</v>
      </c>
      <c r="F189" s="5">
        <v>4.4399050000000004</v>
      </c>
      <c r="G189" s="12">
        <f>VLOOKUP(A189,'[1]all FNCL'!A$2:B$993,2)</f>
        <v>0.88617155990762297</v>
      </c>
      <c r="H189" s="3" t="s">
        <v>201</v>
      </c>
      <c r="I189">
        <v>0.91013454847674702</v>
      </c>
      <c r="J189" s="33">
        <f>VLOOKUP(A189,'Refi Universe'!E:F,2,0)</f>
        <v>0.91081164000000003</v>
      </c>
    </row>
    <row r="190" spans="1:10" ht="15" x14ac:dyDescent="0.25">
      <c r="A190" s="14">
        <v>40848</v>
      </c>
      <c r="B190" s="15">
        <v>940</v>
      </c>
      <c r="C190" s="15">
        <v>940</v>
      </c>
      <c r="D190" s="5" t="s">
        <v>2</v>
      </c>
      <c r="E190" s="5" t="s">
        <v>2</v>
      </c>
      <c r="F190" s="5">
        <v>4.384239</v>
      </c>
      <c r="G190" s="12">
        <f>VLOOKUP(A190,'[1]all FNCL'!A$2:B$993,2)</f>
        <v>0.87154314951038103</v>
      </c>
      <c r="H190" s="3" t="s">
        <v>202</v>
      </c>
      <c r="I190">
        <v>0.91013454847674702</v>
      </c>
      <c r="J190" s="33">
        <f>VLOOKUP(A190,'Refi Universe'!E:F,2,0)</f>
        <v>0.97060621000000002</v>
      </c>
    </row>
    <row r="191" spans="1:10" ht="15" x14ac:dyDescent="0.25">
      <c r="A191" s="14">
        <v>40849</v>
      </c>
      <c r="B191" s="15">
        <v>927</v>
      </c>
      <c r="C191" s="15">
        <v>927</v>
      </c>
      <c r="D191" s="5" t="s">
        <v>2</v>
      </c>
      <c r="E191" s="5" t="s">
        <v>2</v>
      </c>
      <c r="F191" s="5">
        <v>4.3841850000000004</v>
      </c>
      <c r="G191" s="12">
        <f>VLOOKUP(A191,'[1]all FNCL'!A$2:B$993,2)</f>
        <v>0.87154314951038103</v>
      </c>
      <c r="H191" s="3" t="s">
        <v>203</v>
      </c>
      <c r="I191">
        <v>0.91013454847674702</v>
      </c>
      <c r="J191" s="33">
        <f>VLOOKUP(A191,'Refi Universe'!E:F,2,0)</f>
        <v>0.97461584000000001</v>
      </c>
    </row>
    <row r="192" spans="1:10" ht="15" x14ac:dyDescent="0.25">
      <c r="A192" s="14">
        <v>40850</v>
      </c>
      <c r="B192" s="15">
        <v>878</v>
      </c>
      <c r="C192" s="15">
        <v>878</v>
      </c>
      <c r="D192" s="5" t="s">
        <v>2</v>
      </c>
      <c r="E192" s="5" t="s">
        <v>2</v>
      </c>
      <c r="F192" s="5">
        <v>4.4248149999999997</v>
      </c>
      <c r="G192" s="12">
        <f>VLOOKUP(A192,'[1]all FNCL'!A$2:B$993,2)</f>
        <v>0.93444271648805399</v>
      </c>
      <c r="H192" s="3" t="s">
        <v>204</v>
      </c>
      <c r="I192">
        <v>0.88776607960810605</v>
      </c>
      <c r="J192" s="33">
        <f>VLOOKUP(A192,'Refi Universe'!E:F,2,0)</f>
        <v>0.97161434999999996</v>
      </c>
    </row>
    <row r="193" spans="1:10" ht="15" x14ac:dyDescent="0.25">
      <c r="A193" s="14">
        <v>40851</v>
      </c>
      <c r="B193" s="15">
        <v>915</v>
      </c>
      <c r="C193" s="15">
        <v>915</v>
      </c>
      <c r="D193" s="5" t="s">
        <v>2</v>
      </c>
      <c r="E193" s="5" t="s">
        <v>2</v>
      </c>
      <c r="F193" s="5">
        <v>4.4049199999999997</v>
      </c>
      <c r="G193" s="12">
        <f>VLOOKUP(A193,'[1]all FNCL'!A$2:B$993,2)</f>
        <v>0.93444271648805399</v>
      </c>
      <c r="H193" s="3" t="s">
        <v>205</v>
      </c>
      <c r="I193">
        <v>0.88829814088555903</v>
      </c>
      <c r="J193" s="33">
        <f>VLOOKUP(A193,'Refi Universe'!E:F,2,0)</f>
        <v>0.97438150000000001</v>
      </c>
    </row>
    <row r="194" spans="1:10" ht="15" x14ac:dyDescent="0.25">
      <c r="A194" s="14">
        <v>40854</v>
      </c>
      <c r="B194" s="15">
        <v>987</v>
      </c>
      <c r="C194" s="15">
        <v>987</v>
      </c>
      <c r="D194" s="5" t="s">
        <v>2</v>
      </c>
      <c r="E194" s="5" t="s">
        <v>2</v>
      </c>
      <c r="F194" s="5">
        <v>4.4011930000000001</v>
      </c>
      <c r="G194" s="12">
        <f>VLOOKUP(A194,'[1]all FNCL'!A$2:B$993,2)</f>
        <v>0.93444271648805399</v>
      </c>
      <c r="H194" s="3" t="s">
        <v>206</v>
      </c>
      <c r="I194">
        <v>0.88829814088555903</v>
      </c>
      <c r="J194" s="33">
        <f>VLOOKUP(A194,'Refi Universe'!E:F,2,0)</f>
        <v>0.97592325999999996</v>
      </c>
    </row>
    <row r="195" spans="1:10" ht="15" x14ac:dyDescent="0.25">
      <c r="A195" s="14">
        <v>40855</v>
      </c>
      <c r="B195" s="15">
        <v>959</v>
      </c>
      <c r="C195" s="15">
        <v>959</v>
      </c>
      <c r="D195" s="5" t="s">
        <v>2</v>
      </c>
      <c r="E195" s="5" t="s">
        <v>2</v>
      </c>
      <c r="F195" s="5">
        <v>4.4171329999999998</v>
      </c>
      <c r="G195" s="12">
        <f>VLOOKUP(A195,'[1]all FNCL'!A$2:B$993,2)</f>
        <v>0.93444271648805399</v>
      </c>
      <c r="H195" s="3" t="s">
        <v>207</v>
      </c>
      <c r="I195">
        <v>0.88829814088555903</v>
      </c>
      <c r="J195" s="33">
        <f>VLOOKUP(A195,'Refi Universe'!E:F,2,0)</f>
        <v>0.97103322000000003</v>
      </c>
    </row>
    <row r="196" spans="1:10" ht="15" x14ac:dyDescent="0.25">
      <c r="A196" s="14">
        <v>40856</v>
      </c>
      <c r="B196" s="15">
        <v>1020</v>
      </c>
      <c r="C196" s="15">
        <v>1020</v>
      </c>
      <c r="D196" s="5" t="s">
        <v>2</v>
      </c>
      <c r="E196" s="5" t="s">
        <v>2</v>
      </c>
      <c r="F196" s="5">
        <v>4.4194880000000003</v>
      </c>
      <c r="G196" s="12">
        <f>VLOOKUP(A196,'[1]all FNCL'!A$2:B$993,2)</f>
        <v>0.93444271648805399</v>
      </c>
      <c r="H196" s="3" t="s">
        <v>208</v>
      </c>
      <c r="I196">
        <v>0.88829814088555903</v>
      </c>
      <c r="J196" s="33">
        <f>VLOOKUP(A196,'Refi Universe'!E:F,2,0)</f>
        <v>0.95279994000000001</v>
      </c>
    </row>
    <row r="197" spans="1:10" ht="15" x14ac:dyDescent="0.25">
      <c r="A197" s="14">
        <v>40857</v>
      </c>
      <c r="B197" s="15">
        <v>1018</v>
      </c>
      <c r="C197" s="15">
        <v>1018</v>
      </c>
      <c r="D197" s="5" t="s">
        <v>2</v>
      </c>
      <c r="E197" s="5" t="s">
        <v>2</v>
      </c>
      <c r="F197" s="5">
        <v>4.4241710000000003</v>
      </c>
      <c r="G197" s="12">
        <f>VLOOKUP(A197,'[1]all FNCL'!A$2:B$993,2)</f>
        <v>0.94361195161193201</v>
      </c>
      <c r="H197" s="3" t="s">
        <v>209</v>
      </c>
      <c r="I197">
        <v>0.88829814088555903</v>
      </c>
      <c r="J197" s="33">
        <f>VLOOKUP(A197,'Refi Universe'!E:F,2,0)</f>
        <v>0.91368415000000003</v>
      </c>
    </row>
    <row r="198" spans="1:10" ht="15" x14ac:dyDescent="0.25">
      <c r="A198" s="14">
        <v>40861</v>
      </c>
      <c r="B198" s="15">
        <v>1020</v>
      </c>
      <c r="C198" s="15">
        <v>1020</v>
      </c>
      <c r="D198" s="5" t="s">
        <v>2</v>
      </c>
      <c r="E198" s="5" t="s">
        <v>2</v>
      </c>
      <c r="F198" s="5">
        <v>4.4301760000000003</v>
      </c>
      <c r="G198" s="12">
        <f>VLOOKUP(A198,'[1]all FNCL'!A$2:B$993,2)</f>
        <v>0.94361195161193201</v>
      </c>
      <c r="H198" s="3" t="s">
        <v>210</v>
      </c>
      <c r="I198">
        <v>0.88507237465235999</v>
      </c>
      <c r="J198" s="33">
        <f>VLOOKUP(A198,'Refi Universe'!E:F,2,0)</f>
        <v>0.91741673999999995</v>
      </c>
    </row>
    <row r="199" spans="1:10" ht="15" x14ac:dyDescent="0.25">
      <c r="A199" s="14">
        <v>40862</v>
      </c>
      <c r="B199" s="15">
        <v>1011</v>
      </c>
      <c r="C199" s="15">
        <v>1011</v>
      </c>
      <c r="D199" s="5" t="s">
        <v>2</v>
      </c>
      <c r="E199" s="5" t="s">
        <v>2</v>
      </c>
      <c r="F199" s="5">
        <v>4.4323759999999996</v>
      </c>
      <c r="G199" s="12">
        <f>VLOOKUP(A199,'[1]all FNCL'!A$2:B$993,2)</f>
        <v>0.94361195161193201</v>
      </c>
      <c r="H199" s="3" t="s">
        <v>211</v>
      </c>
      <c r="I199">
        <v>0.88507237465235999</v>
      </c>
      <c r="J199" s="33">
        <f>VLOOKUP(A199,'Refi Universe'!E:F,2,0)</f>
        <v>0.89809116</v>
      </c>
    </row>
    <row r="200" spans="1:10" ht="15" x14ac:dyDescent="0.25">
      <c r="A200" s="14">
        <v>40863</v>
      </c>
      <c r="B200" s="15">
        <v>1007</v>
      </c>
      <c r="C200" s="15">
        <v>1007</v>
      </c>
      <c r="D200" s="5" t="s">
        <v>2</v>
      </c>
      <c r="E200" s="5" t="s">
        <v>2</v>
      </c>
      <c r="F200" s="5">
        <v>4.4299340000000003</v>
      </c>
      <c r="G200" s="12">
        <f>VLOOKUP(A200,'[1]all FNCL'!A$2:B$993,2)</f>
        <v>0.94361195161193201</v>
      </c>
      <c r="H200" s="3" t="s">
        <v>212</v>
      </c>
      <c r="I200">
        <v>0.88507237465235999</v>
      </c>
      <c r="J200" s="33">
        <f>VLOOKUP(A200,'Refi Universe'!E:F,2,0)</f>
        <v>0.93630206999999999</v>
      </c>
    </row>
    <row r="201" spans="1:10" ht="15" x14ac:dyDescent="0.25">
      <c r="A201" s="14">
        <v>40864</v>
      </c>
      <c r="B201" s="15">
        <v>1032</v>
      </c>
      <c r="C201" s="15">
        <v>1032</v>
      </c>
      <c r="D201" s="5" t="s">
        <v>2</v>
      </c>
      <c r="E201" s="5" t="s">
        <v>2</v>
      </c>
      <c r="F201" s="5">
        <v>4.4289430000000003</v>
      </c>
      <c r="G201" s="12">
        <f>VLOOKUP(A201,'[1]all FNCL'!A$2:B$993,2)</f>
        <v>0.93444271648805399</v>
      </c>
      <c r="H201" s="3" t="s">
        <v>213</v>
      </c>
      <c r="I201">
        <v>0.88507237465235999</v>
      </c>
      <c r="J201" s="33">
        <f>VLOOKUP(A201,'Refi Universe'!E:F,2,0)</f>
        <v>0.95968770000000003</v>
      </c>
    </row>
    <row r="202" spans="1:10" ht="15" x14ac:dyDescent="0.25">
      <c r="A202" s="14">
        <v>40865</v>
      </c>
      <c r="B202" s="15">
        <v>980</v>
      </c>
      <c r="C202" s="15">
        <v>980</v>
      </c>
      <c r="D202" s="5" t="s">
        <v>2</v>
      </c>
      <c r="E202" s="5" t="s">
        <v>2</v>
      </c>
      <c r="F202" s="5">
        <v>4.4532420000000004</v>
      </c>
      <c r="G202" s="12">
        <f>VLOOKUP(A202,'[1]all FNCL'!A$2:B$993,2)</f>
        <v>0.93444271648805399</v>
      </c>
      <c r="H202" s="3" t="s">
        <v>214</v>
      </c>
      <c r="I202">
        <v>0.88507237465235999</v>
      </c>
      <c r="J202" s="33">
        <f>VLOOKUP(A202,'Refi Universe'!E:F,2,0)</f>
        <v>0.92694175999999995</v>
      </c>
    </row>
    <row r="203" spans="1:10" ht="15" x14ac:dyDescent="0.25">
      <c r="A203" s="14">
        <v>40868</v>
      </c>
      <c r="B203" s="15">
        <v>1003</v>
      </c>
      <c r="C203" s="15">
        <v>1003</v>
      </c>
      <c r="D203" s="5" t="s">
        <v>2</v>
      </c>
      <c r="E203" s="5" t="s">
        <v>2</v>
      </c>
      <c r="F203" s="5">
        <v>4.44231</v>
      </c>
      <c r="G203" s="12">
        <f>VLOOKUP(A203,'[1]all FNCL'!A$2:B$993,2)</f>
        <v>0.93444271648805399</v>
      </c>
      <c r="H203" s="3" t="s">
        <v>215</v>
      </c>
      <c r="I203">
        <v>0.88631407683414698</v>
      </c>
      <c r="J203" s="33">
        <f>VLOOKUP(A203,'Refi Universe'!E:F,2,0)</f>
        <v>0.95301842999999997</v>
      </c>
    </row>
    <row r="204" spans="1:10" ht="15" x14ac:dyDescent="0.25">
      <c r="A204" s="14">
        <v>40869</v>
      </c>
      <c r="B204" s="15">
        <v>1013</v>
      </c>
      <c r="C204" s="15">
        <v>1013</v>
      </c>
      <c r="D204" s="5" t="s">
        <v>2</v>
      </c>
      <c r="E204" s="5" t="s">
        <v>2</v>
      </c>
      <c r="F204" s="5">
        <v>4.4293389999999997</v>
      </c>
      <c r="G204" s="12">
        <f>VLOOKUP(A204,'[1]all FNCL'!A$2:B$993,2)</f>
        <v>0.93444271648805399</v>
      </c>
      <c r="H204" s="3" t="s">
        <v>216</v>
      </c>
      <c r="I204">
        <v>0.88631407683414698</v>
      </c>
      <c r="J204" s="33">
        <f>VLOOKUP(A204,'Refi Universe'!E:F,2,0)</f>
        <v>0.96795673000000004</v>
      </c>
    </row>
    <row r="205" spans="1:10" ht="15" x14ac:dyDescent="0.25">
      <c r="A205" s="14">
        <v>40870</v>
      </c>
      <c r="B205" s="15">
        <v>991</v>
      </c>
      <c r="C205" s="15">
        <v>991</v>
      </c>
      <c r="D205" s="5" t="s">
        <v>2</v>
      </c>
      <c r="E205" s="5" t="s">
        <v>2</v>
      </c>
      <c r="F205" s="5">
        <v>4.4401830000000002</v>
      </c>
      <c r="G205" s="12">
        <f>VLOOKUP(A205,'[1]all FNCL'!A$2:B$993,2)</f>
        <v>0.94997170807452402</v>
      </c>
      <c r="H205" s="3" t="s">
        <v>217</v>
      </c>
      <c r="I205">
        <v>0.88631407683414698</v>
      </c>
      <c r="J205" s="33">
        <f>VLOOKUP(A205,'Refi Universe'!E:F,2,0)</f>
        <v>0.96192434999999998</v>
      </c>
    </row>
    <row r="206" spans="1:10" ht="15" x14ac:dyDescent="0.25">
      <c r="A206" s="14">
        <v>40872</v>
      </c>
      <c r="B206" s="15">
        <v>939</v>
      </c>
      <c r="C206" s="15">
        <v>939</v>
      </c>
      <c r="D206" s="5" t="s">
        <v>2</v>
      </c>
      <c r="E206" s="5" t="s">
        <v>2</v>
      </c>
      <c r="F206" s="5">
        <v>4.4672910000000003</v>
      </c>
      <c r="G206" s="12">
        <f>VLOOKUP(A206,'[1]all FNCL'!A$2:B$993,2)</f>
        <v>0.94997170807452402</v>
      </c>
      <c r="H206" s="3" t="s">
        <v>218</v>
      </c>
      <c r="I206">
        <v>0.88631407683414698</v>
      </c>
      <c r="J206" s="33">
        <f>VLOOKUP(A206,'Refi Universe'!E:F,2,0)</f>
        <v>0.91044427000000006</v>
      </c>
    </row>
    <row r="207" spans="1:10" ht="15" x14ac:dyDescent="0.25">
      <c r="A207" s="14">
        <v>40875</v>
      </c>
      <c r="B207" s="15">
        <v>930</v>
      </c>
      <c r="C207" s="15">
        <v>930</v>
      </c>
      <c r="D207" s="5" t="s">
        <v>2</v>
      </c>
      <c r="E207" s="5" t="s">
        <v>2</v>
      </c>
      <c r="F207" s="5">
        <v>4.4457329999999997</v>
      </c>
      <c r="G207" s="12">
        <f>VLOOKUP(A207,'[1]all FNCL'!A$2:B$993,2)</f>
        <v>0.94997170807452402</v>
      </c>
      <c r="H207" s="3" t="s">
        <v>219</v>
      </c>
      <c r="I207">
        <v>0.88379536104531298</v>
      </c>
      <c r="J207" s="33">
        <f>VLOOKUP(A207,'Refi Universe'!E:F,2,0)</f>
        <v>0.93485322999999998</v>
      </c>
    </row>
    <row r="208" spans="1:10" ht="15" x14ac:dyDescent="0.25">
      <c r="A208" s="14">
        <v>40876</v>
      </c>
      <c r="B208" s="15">
        <v>919</v>
      </c>
      <c r="C208" s="15">
        <v>919</v>
      </c>
      <c r="D208" s="5" t="s">
        <v>2</v>
      </c>
      <c r="E208" s="5" t="s">
        <v>2</v>
      </c>
      <c r="F208" s="5">
        <v>4.4315990000000003</v>
      </c>
      <c r="G208" s="12">
        <f>VLOOKUP(A208,'[1]all FNCL'!A$2:B$993,2)</f>
        <v>0.94997170807452402</v>
      </c>
      <c r="H208" s="3" t="s">
        <v>220</v>
      </c>
      <c r="I208">
        <v>0.88379536104531298</v>
      </c>
      <c r="J208" s="33">
        <f>VLOOKUP(A208,'Refi Universe'!E:F,2,0)</f>
        <v>0.94248140999999996</v>
      </c>
    </row>
    <row r="209" spans="1:10" ht="15" x14ac:dyDescent="0.25">
      <c r="A209" s="14">
        <v>40877</v>
      </c>
      <c r="B209" s="15">
        <v>895</v>
      </c>
      <c r="C209" s="15">
        <v>895</v>
      </c>
      <c r="D209" s="5" t="s">
        <v>2</v>
      </c>
      <c r="E209" s="5" t="s">
        <v>2</v>
      </c>
      <c r="F209" s="5">
        <v>4.4086239999999997</v>
      </c>
      <c r="G209" s="12">
        <f>VLOOKUP(A209,'[1]all FNCL'!A$2:B$993,2)</f>
        <v>0.94997170807452402</v>
      </c>
      <c r="H209" s="3" t="s">
        <v>221</v>
      </c>
      <c r="I209">
        <v>0.88379536104531298</v>
      </c>
      <c r="J209" s="33">
        <f>VLOOKUP(A209,'Refi Universe'!E:F,2,0)</f>
        <v>0.94713698999999996</v>
      </c>
    </row>
    <row r="210" spans="1:10" ht="15" x14ac:dyDescent="0.25">
      <c r="A210" s="14">
        <v>40878</v>
      </c>
      <c r="B210" s="15">
        <v>846</v>
      </c>
      <c r="C210" s="15">
        <v>846</v>
      </c>
      <c r="D210" s="5" t="s">
        <v>2</v>
      </c>
      <c r="E210" s="5" t="s">
        <v>2</v>
      </c>
      <c r="F210" s="5">
        <v>4.3999439999999996</v>
      </c>
      <c r="G210" s="12">
        <f>VLOOKUP(A210,'[1]all FNCL'!A$2:B$993,2)</f>
        <v>0.91507025140832299</v>
      </c>
      <c r="H210" s="3" t="s">
        <v>222</v>
      </c>
      <c r="I210">
        <v>0.88379536104531298</v>
      </c>
      <c r="J210" s="33">
        <f>VLOOKUP(A210,'Refi Universe'!E:F,2,0)</f>
        <v>0.90299746999999997</v>
      </c>
    </row>
    <row r="211" spans="1:10" ht="15" x14ac:dyDescent="0.25">
      <c r="A211" s="14">
        <v>40879</v>
      </c>
      <c r="B211" s="15">
        <v>855</v>
      </c>
      <c r="C211" s="15">
        <v>855</v>
      </c>
      <c r="D211" s="5" t="s">
        <v>2</v>
      </c>
      <c r="E211" s="5" t="s">
        <v>2</v>
      </c>
      <c r="F211" s="5">
        <v>4.3708479999999996</v>
      </c>
      <c r="G211" s="12">
        <f>VLOOKUP(A211,'[1]all FNCL'!A$2:B$993,2)</f>
        <v>0.91507025140832299</v>
      </c>
      <c r="H211" s="3" t="s">
        <v>223</v>
      </c>
      <c r="I211">
        <v>0.88379536104531298</v>
      </c>
      <c r="J211" s="33">
        <f>VLOOKUP(A211,'Refi Universe'!E:F,2,0)</f>
        <v>0.94642669999999995</v>
      </c>
    </row>
    <row r="212" spans="1:10" ht="15" x14ac:dyDescent="0.25">
      <c r="A212" s="14">
        <v>40882</v>
      </c>
      <c r="B212" s="15">
        <v>869</v>
      </c>
      <c r="C212" s="15">
        <v>869</v>
      </c>
      <c r="D212" s="5" t="s">
        <v>2</v>
      </c>
      <c r="E212" s="5" t="s">
        <v>2</v>
      </c>
      <c r="F212" s="5">
        <v>4.3838619999999997</v>
      </c>
      <c r="G212" s="12">
        <f>VLOOKUP(A212,'[1]all FNCL'!A$2:B$993,2)</f>
        <v>0.91507025140832299</v>
      </c>
      <c r="H212" s="3" t="s">
        <v>224</v>
      </c>
      <c r="I212">
        <v>0.84748759806752005</v>
      </c>
      <c r="J212" s="33">
        <f>VLOOKUP(A212,'Refi Universe'!E:F,2,0)</f>
        <v>0.94007459000000004</v>
      </c>
    </row>
    <row r="213" spans="1:10" ht="15" x14ac:dyDescent="0.25">
      <c r="A213" s="14">
        <v>40883</v>
      </c>
      <c r="B213" s="15">
        <v>872</v>
      </c>
      <c r="C213" s="15">
        <v>872</v>
      </c>
      <c r="D213" s="5" t="s">
        <v>2</v>
      </c>
      <c r="E213" s="5" t="s">
        <v>2</v>
      </c>
      <c r="F213" s="5">
        <v>4.3854889999999997</v>
      </c>
      <c r="G213" s="12">
        <f>VLOOKUP(A213,'[1]all FNCL'!A$2:B$993,2)</f>
        <v>0.91507025140832299</v>
      </c>
      <c r="H213" s="3" t="s">
        <v>225</v>
      </c>
      <c r="I213">
        <v>0.82271172400250803</v>
      </c>
      <c r="J213" s="33">
        <f>VLOOKUP(A213,'Refi Universe'!E:F,2,0)</f>
        <v>0.93255030000000005</v>
      </c>
    </row>
    <row r="214" spans="1:10" ht="15" x14ac:dyDescent="0.25">
      <c r="A214" s="14">
        <v>40884</v>
      </c>
      <c r="B214" s="15">
        <v>882</v>
      </c>
      <c r="C214" s="15">
        <v>882</v>
      </c>
      <c r="D214" s="5" t="s">
        <v>2</v>
      </c>
      <c r="E214" s="5" t="s">
        <v>2</v>
      </c>
      <c r="F214" s="5">
        <v>4.3505570000000002</v>
      </c>
      <c r="G214" s="12">
        <f>VLOOKUP(A214,'[1]all FNCL'!A$2:B$993,2)</f>
        <v>0.91507025140832299</v>
      </c>
      <c r="H214" s="3" t="s">
        <v>226</v>
      </c>
      <c r="I214">
        <v>0.82271172400250803</v>
      </c>
      <c r="J214" s="33">
        <f>VLOOKUP(A214,'Refi Universe'!E:F,2,0)</f>
        <v>0.95843502000000003</v>
      </c>
    </row>
    <row r="215" spans="1:10" ht="15" x14ac:dyDescent="0.25">
      <c r="A215" s="14">
        <v>40885</v>
      </c>
      <c r="B215" s="15">
        <v>872</v>
      </c>
      <c r="C215" s="15">
        <v>872</v>
      </c>
      <c r="D215" s="5" t="s">
        <v>2</v>
      </c>
      <c r="E215" s="5" t="s">
        <v>2</v>
      </c>
      <c r="F215" s="5">
        <v>4.3519759999999996</v>
      </c>
      <c r="G215" s="12">
        <f>VLOOKUP(A215,'[1]all FNCL'!A$2:B$993,2)</f>
        <v>0.92424960668246803</v>
      </c>
      <c r="H215" s="3" t="s">
        <v>227</v>
      </c>
      <c r="I215">
        <v>0.82271172400250803</v>
      </c>
      <c r="J215" s="33">
        <f>VLOOKUP(A215,'Refi Universe'!E:F,2,0)</f>
        <v>0.96150404</v>
      </c>
    </row>
    <row r="216" spans="1:10" ht="15" x14ac:dyDescent="0.25">
      <c r="A216" s="14">
        <v>40886</v>
      </c>
      <c r="B216" s="15">
        <v>834</v>
      </c>
      <c r="C216" s="15">
        <v>834</v>
      </c>
      <c r="D216" s="5" t="s">
        <v>2</v>
      </c>
      <c r="E216" s="5" t="s">
        <v>2</v>
      </c>
      <c r="F216" s="5">
        <v>4.3954430000000002</v>
      </c>
      <c r="G216" s="12">
        <f>VLOOKUP(A216,'[1]all FNCL'!A$2:B$993,2)</f>
        <v>0.92424960668246803</v>
      </c>
      <c r="H216" s="3" t="s">
        <v>228</v>
      </c>
      <c r="I216">
        <v>0.82271172400250803</v>
      </c>
      <c r="J216" s="33">
        <f>VLOOKUP(A216,'Refi Universe'!E:F,2,0)</f>
        <v>0.93509511000000001</v>
      </c>
    </row>
    <row r="217" spans="1:10" ht="15" x14ac:dyDescent="0.25">
      <c r="A217" s="14">
        <v>40889</v>
      </c>
      <c r="B217" s="15">
        <v>855</v>
      </c>
      <c r="C217" s="15">
        <v>855</v>
      </c>
      <c r="D217" s="5" t="s">
        <v>2</v>
      </c>
      <c r="E217" s="5" t="s">
        <v>2</v>
      </c>
      <c r="F217" s="5">
        <v>4.3979819999999998</v>
      </c>
      <c r="G217" s="12">
        <f>VLOOKUP(A217,'[1]all FNCL'!A$2:B$993,2)</f>
        <v>0.92424960668246803</v>
      </c>
      <c r="H217" s="3" t="s">
        <v>229</v>
      </c>
      <c r="I217">
        <v>0.82271172400250803</v>
      </c>
      <c r="J217" s="33">
        <f>VLOOKUP(A217,'Refi Universe'!E:F,2,0)</f>
        <v>0.94007459000000004</v>
      </c>
    </row>
    <row r="218" spans="1:10" ht="15" x14ac:dyDescent="0.25">
      <c r="A218" s="14">
        <v>40890</v>
      </c>
      <c r="B218" s="15">
        <v>866</v>
      </c>
      <c r="C218" s="15">
        <v>866</v>
      </c>
      <c r="D218" s="5" t="s">
        <v>2</v>
      </c>
      <c r="E218" s="5" t="s">
        <v>2</v>
      </c>
      <c r="F218" s="5">
        <v>4.3751759999999997</v>
      </c>
      <c r="G218" s="12">
        <f>VLOOKUP(A218,'[1]all FNCL'!A$2:B$993,2)</f>
        <v>0.92424960668246803</v>
      </c>
      <c r="H218" s="3" t="s">
        <v>230</v>
      </c>
      <c r="I218">
        <v>0.82271172400250803</v>
      </c>
      <c r="J218" s="33">
        <f>VLOOKUP(A218,'Refi Universe'!E:F,2,0)</f>
        <v>0.95934121999999999</v>
      </c>
    </row>
    <row r="219" spans="1:10" ht="15" x14ac:dyDescent="0.25">
      <c r="A219" s="14">
        <v>40891</v>
      </c>
      <c r="B219" s="15">
        <v>895</v>
      </c>
      <c r="C219" s="15">
        <v>895</v>
      </c>
      <c r="D219" s="5" t="s">
        <v>2</v>
      </c>
      <c r="E219" s="5" t="s">
        <v>2</v>
      </c>
      <c r="F219" s="5">
        <v>4.3439259999999997</v>
      </c>
      <c r="G219" s="12">
        <f>VLOOKUP(A219,'[1]all FNCL'!A$2:B$993,2)</f>
        <v>0.92424960668246803</v>
      </c>
      <c r="H219" s="3" t="s">
        <v>231</v>
      </c>
      <c r="I219">
        <v>0.82271172400250803</v>
      </c>
      <c r="J219" s="33">
        <f>VLOOKUP(A219,'Refi Universe'!E:F,2,0)</f>
        <v>0.96184685999999997</v>
      </c>
    </row>
    <row r="220" spans="1:10" ht="15" x14ac:dyDescent="0.25">
      <c r="A220" s="14">
        <v>40892</v>
      </c>
      <c r="B220" s="15">
        <v>883</v>
      </c>
      <c r="C220" s="15">
        <v>883</v>
      </c>
      <c r="D220" s="5" t="s">
        <v>2</v>
      </c>
      <c r="E220" s="5" t="s">
        <v>2</v>
      </c>
      <c r="F220" s="5">
        <v>4.3641240000000003</v>
      </c>
      <c r="G220" s="12">
        <f>VLOOKUP(A220,'[1]all FNCL'!A$2:B$993,2)</f>
        <v>0.95314447637365096</v>
      </c>
      <c r="H220" s="3" t="s">
        <v>232</v>
      </c>
      <c r="I220">
        <v>0.82271172400250803</v>
      </c>
      <c r="J220" s="33">
        <f>VLOOKUP(A220,'Refi Universe'!E:F,2,0)</f>
        <v>0.95734724999999998</v>
      </c>
    </row>
    <row r="221" spans="1:10" ht="15" x14ac:dyDescent="0.25">
      <c r="A221" s="14">
        <v>40893</v>
      </c>
      <c r="B221" s="15">
        <v>892</v>
      </c>
      <c r="C221" s="15">
        <v>892</v>
      </c>
      <c r="D221" s="5" t="s">
        <v>2</v>
      </c>
      <c r="E221" s="5" t="s">
        <v>2</v>
      </c>
      <c r="F221" s="5">
        <v>4.33324</v>
      </c>
      <c r="G221" s="12">
        <f>VLOOKUP(A221,'[1]all FNCL'!A$2:B$993,2)</f>
        <v>0.95314447637365096</v>
      </c>
      <c r="H221" s="3" t="s">
        <v>233</v>
      </c>
      <c r="I221">
        <v>0.82271172400250803</v>
      </c>
      <c r="J221" s="33">
        <f>VLOOKUP(A221,'Refi Universe'!E:F,2,0)</f>
        <v>0.96201596</v>
      </c>
    </row>
    <row r="222" spans="1:10" ht="15" x14ac:dyDescent="0.25">
      <c r="A222" s="14">
        <v>40896</v>
      </c>
      <c r="B222" s="15">
        <v>938</v>
      </c>
      <c r="C222" s="15">
        <v>938</v>
      </c>
      <c r="D222" s="5" t="s">
        <v>2</v>
      </c>
      <c r="E222" s="5" t="s">
        <v>2</v>
      </c>
      <c r="F222" s="5">
        <v>4.3227840000000004</v>
      </c>
      <c r="G222" s="12">
        <f>VLOOKUP(A222,'[1]all FNCL'!A$2:B$993,2)</f>
        <v>0.95314447637365096</v>
      </c>
      <c r="H222" s="3" t="s">
        <v>234</v>
      </c>
      <c r="I222">
        <v>0.82271172400250803</v>
      </c>
      <c r="J222" s="33">
        <f>VLOOKUP(A222,'Refi Universe'!E:F,2,0)</f>
        <v>0.96248904999999996</v>
      </c>
    </row>
    <row r="223" spans="1:10" ht="15" x14ac:dyDescent="0.25">
      <c r="A223" s="14">
        <v>40897</v>
      </c>
      <c r="B223" s="15">
        <v>867</v>
      </c>
      <c r="C223" s="15">
        <v>867</v>
      </c>
      <c r="D223" s="5" t="s">
        <v>2</v>
      </c>
      <c r="E223" s="5" t="s">
        <v>2</v>
      </c>
      <c r="F223" s="5">
        <v>4.3464</v>
      </c>
      <c r="G223" s="12">
        <f>VLOOKUP(A223,'[1]all FNCL'!A$2:B$993,2)</f>
        <v>0.95314447637365096</v>
      </c>
      <c r="H223" s="3" t="s">
        <v>235</v>
      </c>
      <c r="I223">
        <v>0.82271172400250803</v>
      </c>
      <c r="J223" s="33">
        <f>VLOOKUP(A223,'Refi Universe'!E:F,2,0)</f>
        <v>0.94762259999999998</v>
      </c>
    </row>
    <row r="224" spans="1:10" ht="15" x14ac:dyDescent="0.25">
      <c r="A224" s="14">
        <v>40898</v>
      </c>
      <c r="B224" s="15">
        <v>847</v>
      </c>
      <c r="C224" s="15">
        <v>847</v>
      </c>
      <c r="D224" s="5" t="s">
        <v>2</v>
      </c>
      <c r="E224" s="5" t="s">
        <v>2</v>
      </c>
      <c r="F224" s="5">
        <v>4.3553819999999996</v>
      </c>
      <c r="G224" s="12">
        <f>VLOOKUP(A224,'[1]all FNCL'!A$2:B$993,2)</f>
        <v>0.95314447637365096</v>
      </c>
      <c r="H224" s="3" t="s">
        <v>236</v>
      </c>
      <c r="I224">
        <v>0.82271172400250803</v>
      </c>
      <c r="J224" s="33">
        <f>VLOOKUP(A224,'Refi Universe'!E:F,2,0)</f>
        <v>0.93509511000000001</v>
      </c>
    </row>
    <row r="225" spans="1:10" ht="15" x14ac:dyDescent="0.25">
      <c r="A225" s="14">
        <v>40899</v>
      </c>
      <c r="B225" s="15">
        <v>804</v>
      </c>
      <c r="C225" s="15">
        <v>804</v>
      </c>
      <c r="D225" s="5" t="s">
        <v>2</v>
      </c>
      <c r="E225" s="5" t="s">
        <v>2</v>
      </c>
      <c r="F225" s="5">
        <v>4.3490960000000003</v>
      </c>
      <c r="G225" s="12">
        <f>VLOOKUP(A225,'[1]all FNCL'!A$2:B$993,2)</f>
        <v>0.96018409449731501</v>
      </c>
      <c r="H225" s="3" t="s">
        <v>237</v>
      </c>
      <c r="I225">
        <v>0.82271172400250803</v>
      </c>
      <c r="J225" s="33">
        <f>VLOOKUP(A225,'Refi Universe'!E:F,2,0)</f>
        <v>0.94145855000000001</v>
      </c>
    </row>
    <row r="226" spans="1:10" ht="15" x14ac:dyDescent="0.25">
      <c r="A226" s="14">
        <v>40900</v>
      </c>
      <c r="B226" s="15">
        <v>766</v>
      </c>
      <c r="C226" s="15">
        <v>766</v>
      </c>
      <c r="D226" s="5" t="s">
        <v>2</v>
      </c>
      <c r="E226" s="5" t="s">
        <v>2</v>
      </c>
      <c r="F226" s="5">
        <v>4.3767820000000004</v>
      </c>
      <c r="G226" s="12">
        <f>VLOOKUP(A226,'[1]all FNCL'!A$2:B$993,2)</f>
        <v>0.96018409449731501</v>
      </c>
      <c r="H226" s="3" t="s">
        <v>238</v>
      </c>
      <c r="I226">
        <v>0.79171461670661003</v>
      </c>
      <c r="J226" s="33">
        <f>VLOOKUP(A226,'Refi Universe'!E:F,2,0)</f>
        <v>0.88768075999999996</v>
      </c>
    </row>
    <row r="227" spans="1:10" ht="15" x14ac:dyDescent="0.25">
      <c r="A227" s="14">
        <v>40904</v>
      </c>
      <c r="B227" s="15">
        <v>773</v>
      </c>
      <c r="C227" s="15">
        <v>773</v>
      </c>
      <c r="D227" s="5" t="s">
        <v>2</v>
      </c>
      <c r="E227" s="5" t="s">
        <v>2</v>
      </c>
      <c r="F227" s="5">
        <v>4.3723979999999996</v>
      </c>
      <c r="G227" s="12">
        <f>VLOOKUP(A227,'[1]all FNCL'!A$2:B$993,2)</f>
        <v>0.96018409449731501</v>
      </c>
      <c r="H227" s="3" t="s">
        <v>239</v>
      </c>
      <c r="I227">
        <v>0.79171461670661003</v>
      </c>
      <c r="J227" s="33">
        <f>VLOOKUP(A227,'Refi Universe'!E:F,2,0)</f>
        <v>0.90153247000000003</v>
      </c>
    </row>
    <row r="228" spans="1:10" ht="15" x14ac:dyDescent="0.25">
      <c r="A228" s="14">
        <v>40905</v>
      </c>
      <c r="B228" s="15">
        <v>829</v>
      </c>
      <c r="C228" s="15">
        <v>829</v>
      </c>
      <c r="D228" s="5" t="s">
        <v>2</v>
      </c>
      <c r="E228" s="5" t="s">
        <v>2</v>
      </c>
      <c r="F228" s="5">
        <v>4.349526</v>
      </c>
      <c r="G228" s="12">
        <f>VLOOKUP(A228,'[1]all FNCL'!A$2:B$993,2)</f>
        <v>0.96018409449731501</v>
      </c>
      <c r="H228" s="3" t="s">
        <v>240</v>
      </c>
      <c r="I228">
        <v>0.79171461670661003</v>
      </c>
      <c r="J228" s="33">
        <f>VLOOKUP(A228,'Refi Universe'!E:F,2,0)</f>
        <v>0.96203097000000004</v>
      </c>
    </row>
    <row r="229" spans="1:10" ht="15" x14ac:dyDescent="0.25">
      <c r="A229" s="14">
        <v>40906</v>
      </c>
      <c r="B229" s="15">
        <v>825</v>
      </c>
      <c r="C229" s="15">
        <v>825</v>
      </c>
      <c r="D229" s="5" t="s">
        <v>2</v>
      </c>
      <c r="E229" s="5" t="s">
        <v>2</v>
      </c>
      <c r="F229" s="5">
        <v>4.32179</v>
      </c>
      <c r="G229" s="12">
        <f>VLOOKUP(A229,'[1]all FNCL'!A$2:B$993,2)</f>
        <v>0.946426701963341</v>
      </c>
      <c r="H229" s="3" t="s">
        <v>241</v>
      </c>
      <c r="I229">
        <v>0.79171461670661003</v>
      </c>
      <c r="J229" s="33">
        <f>VLOOKUP(A229,'Refi Universe'!E:F,2,0)</f>
        <v>0.96316809000000003</v>
      </c>
    </row>
    <row r="230" spans="1:10" ht="15" x14ac:dyDescent="0.25">
      <c r="A230" s="14">
        <v>40907</v>
      </c>
      <c r="B230" s="15">
        <v>838</v>
      </c>
      <c r="C230" s="15">
        <v>838</v>
      </c>
      <c r="D230" s="5" t="s">
        <v>2</v>
      </c>
      <c r="E230" s="5" t="s">
        <v>2</v>
      </c>
      <c r="F230" s="5">
        <v>4.3215000000000003</v>
      </c>
      <c r="G230" s="12">
        <f>VLOOKUP(A230,'[1]all FNCL'!A$2:B$993,2)</f>
        <v>0.946426701963341</v>
      </c>
      <c r="H230" s="3" t="s">
        <v>242</v>
      </c>
      <c r="I230">
        <v>0.79171461670661003</v>
      </c>
      <c r="J230" s="33">
        <f>VLOOKUP(A230,'Refi Universe'!E:F,2,0)</f>
        <v>0.96357256000000002</v>
      </c>
    </row>
    <row r="231" spans="1:10" ht="15" x14ac:dyDescent="0.25">
      <c r="A231" s="14">
        <v>40911</v>
      </c>
      <c r="B231" s="15">
        <v>741</v>
      </c>
      <c r="C231" s="15">
        <v>741</v>
      </c>
      <c r="D231" s="5" t="s">
        <v>2</v>
      </c>
      <c r="E231" s="5" t="s">
        <v>2</v>
      </c>
      <c r="F231" s="5">
        <v>4.2710499999999998</v>
      </c>
      <c r="G231" s="12">
        <f>VLOOKUP(A231,'[1]all FNCL'!A$2:B$993,2)</f>
        <v>0.93504552892939297</v>
      </c>
      <c r="H231" s="3" t="s">
        <v>243</v>
      </c>
      <c r="I231">
        <v>0.83664177858148003</v>
      </c>
      <c r="J231" s="33">
        <f>VLOOKUP(A231,'Refi Universe'!E:F,2,0)</f>
        <v>0.95525888999999997</v>
      </c>
    </row>
    <row r="232" spans="1:10" ht="15" x14ac:dyDescent="0.25">
      <c r="A232" s="14">
        <v>40912</v>
      </c>
      <c r="B232" s="15">
        <v>715</v>
      </c>
      <c r="C232" s="15">
        <v>715</v>
      </c>
      <c r="D232" s="5" t="s">
        <v>2</v>
      </c>
      <c r="E232" s="5" t="s">
        <v>2</v>
      </c>
      <c r="F232" s="5">
        <v>4.2682330000000004</v>
      </c>
      <c r="G232" s="12">
        <f>VLOOKUP(A232,'[1]all FNCL'!A$2:B$993,2)</f>
        <v>0.93504552892939297</v>
      </c>
      <c r="H232" s="3" t="s">
        <v>244</v>
      </c>
      <c r="I232">
        <v>0.81851206223084805</v>
      </c>
      <c r="J232" s="33">
        <f>VLOOKUP(A232,'Refi Universe'!E:F,2,0)</f>
        <v>0.94976475000000005</v>
      </c>
    </row>
    <row r="233" spans="1:10" ht="15" x14ac:dyDescent="0.25">
      <c r="A233" s="14">
        <v>40913</v>
      </c>
      <c r="B233" s="15">
        <v>736</v>
      </c>
      <c r="C233" s="15">
        <v>736</v>
      </c>
      <c r="D233" s="5" t="s">
        <v>2</v>
      </c>
      <c r="E233" s="5" t="s">
        <v>2</v>
      </c>
      <c r="F233" s="5">
        <v>4.2383309999999996</v>
      </c>
      <c r="G233" s="12">
        <f>VLOOKUP(A233,'[1]all FNCL'!A$2:B$993,2)</f>
        <v>0.951307534663687</v>
      </c>
      <c r="H233" s="3" t="s">
        <v>245</v>
      </c>
      <c r="I233">
        <v>0.81851206223084805</v>
      </c>
      <c r="J233" s="33">
        <f>VLOOKUP(A233,'Refi Universe'!E:F,2,0)</f>
        <v>0.95518174</v>
      </c>
    </row>
    <row r="234" spans="1:10" ht="15" x14ac:dyDescent="0.25">
      <c r="A234" s="14">
        <v>40914</v>
      </c>
      <c r="B234" s="15">
        <v>752</v>
      </c>
      <c r="C234" s="15">
        <v>752</v>
      </c>
      <c r="D234" s="5" t="s">
        <v>2</v>
      </c>
      <c r="E234" s="5" t="s">
        <v>2</v>
      </c>
      <c r="F234" s="5">
        <v>4.2052719999999999</v>
      </c>
      <c r="G234" s="12">
        <f>VLOOKUP(A234,'[1]all FNCL'!A$2:B$993,2)</f>
        <v>0.951307534663687</v>
      </c>
      <c r="H234" s="3" t="s">
        <v>246</v>
      </c>
      <c r="I234">
        <v>0.81851206223084805</v>
      </c>
      <c r="J234" s="33">
        <f>VLOOKUP(A234,'Refi Universe'!E:F,2,0)</f>
        <v>0.95598488999999998</v>
      </c>
    </row>
    <row r="235" spans="1:10" ht="15" x14ac:dyDescent="0.25">
      <c r="A235" s="14">
        <v>40917</v>
      </c>
      <c r="B235" s="15">
        <v>711</v>
      </c>
      <c r="C235" s="15">
        <v>711</v>
      </c>
      <c r="D235" s="5" t="s">
        <v>2</v>
      </c>
      <c r="E235" s="5" t="s">
        <v>2</v>
      </c>
      <c r="F235" s="5">
        <v>4.1875090000000004</v>
      </c>
      <c r="G235" s="12">
        <f>VLOOKUP(A235,'[1]all FNCL'!A$2:B$993,2)</f>
        <v>0.951307534663687</v>
      </c>
      <c r="H235" s="3" t="s">
        <v>247</v>
      </c>
      <c r="I235">
        <v>0.81851206223084805</v>
      </c>
      <c r="J235" s="33">
        <f>VLOOKUP(A235,'Refi Universe'!E:F,2,0)</f>
        <v>0.95587529999999998</v>
      </c>
    </row>
    <row r="236" spans="1:10" ht="15" x14ac:dyDescent="0.25">
      <c r="A236" s="14">
        <v>40918</v>
      </c>
      <c r="B236" s="15">
        <v>677</v>
      </c>
      <c r="C236" s="15">
        <v>677</v>
      </c>
      <c r="D236" s="5" t="s">
        <v>2</v>
      </c>
      <c r="E236" s="5" t="s">
        <v>2</v>
      </c>
      <c r="F236" s="5">
        <v>4.2121389999999996</v>
      </c>
      <c r="G236" s="12">
        <f>VLOOKUP(A236,'[1]all FNCL'!A$2:B$993,2)</f>
        <v>0.951307534663687</v>
      </c>
      <c r="H236" s="3" t="s">
        <v>248</v>
      </c>
      <c r="I236">
        <v>0.81207127811354496</v>
      </c>
      <c r="J236" s="33">
        <f>VLOOKUP(A236,'Refi Universe'!E:F,2,0)</f>
        <v>0.95494785000000004</v>
      </c>
    </row>
    <row r="237" spans="1:10" ht="15" x14ac:dyDescent="0.25">
      <c r="A237" s="14">
        <v>40919</v>
      </c>
      <c r="B237" s="15">
        <v>719</v>
      </c>
      <c r="C237" s="15">
        <v>719</v>
      </c>
      <c r="D237" s="5" t="s">
        <v>2</v>
      </c>
      <c r="E237" s="5" t="s">
        <v>2</v>
      </c>
      <c r="F237" s="5">
        <v>4.213279</v>
      </c>
      <c r="G237" s="12">
        <f>VLOOKUP(A237,'[1]all FNCL'!A$2:B$993,2)</f>
        <v>0.951307534663687</v>
      </c>
      <c r="H237" s="3" t="s">
        <v>249</v>
      </c>
      <c r="I237">
        <v>0.81207127811354496</v>
      </c>
      <c r="J237" s="33">
        <f>VLOOKUP(A237,'Refi Universe'!E:F,2,0)</f>
        <v>0.95327545000000002</v>
      </c>
    </row>
    <row r="238" spans="1:10" ht="15" x14ac:dyDescent="0.25">
      <c r="A238" s="14">
        <v>40920</v>
      </c>
      <c r="B238" s="15">
        <v>722</v>
      </c>
      <c r="C238" s="15">
        <v>722</v>
      </c>
      <c r="D238" s="5" t="s">
        <v>2</v>
      </c>
      <c r="E238" s="5" t="s">
        <v>2</v>
      </c>
      <c r="F238" s="5">
        <v>4.2027010000000002</v>
      </c>
      <c r="G238" s="12">
        <f>VLOOKUP(A238,'[1]all FNCL'!A$2:B$993,2)</f>
        <v>0.95320351892281396</v>
      </c>
      <c r="H238" s="3" t="s">
        <v>250</v>
      </c>
      <c r="I238">
        <v>0.81207127811354496</v>
      </c>
      <c r="J238" s="33">
        <f>VLOOKUP(A238,'Refi Universe'!E:F,2,0)</f>
        <v>0.95488927999999995</v>
      </c>
    </row>
    <row r="239" spans="1:10" ht="15" x14ac:dyDescent="0.25">
      <c r="A239" s="14">
        <v>40921</v>
      </c>
      <c r="B239" s="15">
        <v>791</v>
      </c>
      <c r="C239" s="15">
        <v>791</v>
      </c>
      <c r="D239" s="5" t="s">
        <v>2</v>
      </c>
      <c r="E239" s="5" t="s">
        <v>2</v>
      </c>
      <c r="F239" s="5">
        <v>4.1891780000000001</v>
      </c>
      <c r="G239" s="12">
        <f>VLOOKUP(A239,'[1]all FNCL'!A$2:B$993,2)</f>
        <v>0.95320351892281396</v>
      </c>
      <c r="H239" s="3" t="s">
        <v>251</v>
      </c>
      <c r="I239">
        <v>0.81207127811354496</v>
      </c>
      <c r="J239" s="33">
        <f>VLOOKUP(A239,'Refi Universe'!E:F,2,0)</f>
        <v>0.95582394000000004</v>
      </c>
    </row>
    <row r="240" spans="1:10" ht="15" x14ac:dyDescent="0.25">
      <c r="A240" s="14">
        <v>40925</v>
      </c>
      <c r="B240" s="15">
        <v>791</v>
      </c>
      <c r="C240" s="15">
        <v>791</v>
      </c>
      <c r="D240" s="5" t="s">
        <v>2</v>
      </c>
      <c r="E240" s="5" t="s">
        <v>2</v>
      </c>
      <c r="F240" s="5">
        <v>4.2145149999999996</v>
      </c>
      <c r="G240" s="12">
        <f>VLOOKUP(A240,'[1]all FNCL'!A$2:B$993,2)</f>
        <v>0.95320351892281396</v>
      </c>
      <c r="H240" s="3" t="s">
        <v>252</v>
      </c>
      <c r="I240">
        <v>0.81207127811354496</v>
      </c>
      <c r="J240" s="33">
        <f>VLOOKUP(A240,'Refi Universe'!E:F,2,0)</f>
        <v>0.95436023999999997</v>
      </c>
    </row>
    <row r="241" spans="1:10" ht="15" x14ac:dyDescent="0.25">
      <c r="A241" s="14">
        <v>40926</v>
      </c>
      <c r="B241" s="15">
        <v>759</v>
      </c>
      <c r="C241" s="15">
        <v>759</v>
      </c>
      <c r="D241" s="5" t="s">
        <v>2</v>
      </c>
      <c r="E241" s="5" t="s">
        <v>2</v>
      </c>
      <c r="F241" s="5">
        <v>4.2291660000000002</v>
      </c>
      <c r="G241" s="12">
        <f>VLOOKUP(A241,'[1]all FNCL'!A$2:B$993,2)</f>
        <v>0.95320351892281396</v>
      </c>
      <c r="H241" s="3" t="s">
        <v>253</v>
      </c>
      <c r="I241">
        <v>0.71228035501776499</v>
      </c>
      <c r="J241" s="33">
        <f>VLOOKUP(A241,'Refi Universe'!E:F,2,0)</f>
        <v>0.93659367999999998</v>
      </c>
    </row>
    <row r="242" spans="1:10" ht="15" x14ac:dyDescent="0.25">
      <c r="A242" s="14">
        <v>40927</v>
      </c>
      <c r="B242" s="15">
        <v>708</v>
      </c>
      <c r="C242" s="15">
        <v>708</v>
      </c>
      <c r="D242" s="5" t="s">
        <v>2</v>
      </c>
      <c r="E242" s="5" t="s">
        <v>2</v>
      </c>
      <c r="F242" s="5">
        <v>4.259557</v>
      </c>
      <c r="G242" s="12">
        <f>VLOOKUP(A242,'[1]all FNCL'!A$2:B$993,2)</f>
        <v>0.95352518495215399</v>
      </c>
      <c r="H242" s="3" t="s">
        <v>254</v>
      </c>
      <c r="I242">
        <v>0.71228035501776499</v>
      </c>
      <c r="J242" s="33">
        <f>VLOOKUP(A242,'Refi Universe'!E:F,2,0)</f>
        <v>0.89227334999999997</v>
      </c>
    </row>
    <row r="243" spans="1:10" ht="15" x14ac:dyDescent="0.25">
      <c r="A243" s="14">
        <v>40928</v>
      </c>
      <c r="B243" s="15">
        <v>678</v>
      </c>
      <c r="C243" s="15">
        <v>678</v>
      </c>
      <c r="D243" s="5" t="s">
        <v>2</v>
      </c>
      <c r="E243" s="5" t="s">
        <v>2</v>
      </c>
      <c r="F243" s="5">
        <v>4.2546869999999997</v>
      </c>
      <c r="G243" s="12">
        <f>VLOOKUP(A243,'[1]all FNCL'!A$2:B$993,2)</f>
        <v>0.95352518495215399</v>
      </c>
      <c r="H243" s="3" t="s">
        <v>255</v>
      </c>
      <c r="I243">
        <v>0.71228035501776499</v>
      </c>
      <c r="J243" s="33">
        <f>VLOOKUP(A243,'Refi Universe'!E:F,2,0)</f>
        <v>0.88538640000000002</v>
      </c>
    </row>
    <row r="244" spans="1:10" ht="15" x14ac:dyDescent="0.25">
      <c r="A244" s="14">
        <v>40931</v>
      </c>
      <c r="B244" s="15">
        <v>655</v>
      </c>
      <c r="C244" s="15">
        <v>655</v>
      </c>
      <c r="D244" s="5" t="s">
        <v>2</v>
      </c>
      <c r="E244" s="5" t="s">
        <v>2</v>
      </c>
      <c r="F244" s="5">
        <v>4.2392620000000001</v>
      </c>
      <c r="G244" s="12">
        <f>VLOOKUP(A244,'[1]all FNCL'!A$2:B$993,2)</f>
        <v>0.95352518495215399</v>
      </c>
      <c r="H244" s="3" t="s">
        <v>256</v>
      </c>
      <c r="I244">
        <v>0.71228035501776499</v>
      </c>
      <c r="J244" s="33">
        <f>VLOOKUP(A244,'Refi Universe'!E:F,2,0)</f>
        <v>0.88732091000000002</v>
      </c>
    </row>
    <row r="245" spans="1:10" ht="15" x14ac:dyDescent="0.25">
      <c r="A245" s="14">
        <v>40932</v>
      </c>
      <c r="B245" s="15">
        <v>689</v>
      </c>
      <c r="C245" s="15">
        <v>689</v>
      </c>
      <c r="D245" s="5" t="s">
        <v>2</v>
      </c>
      <c r="E245" s="5" t="s">
        <v>2</v>
      </c>
      <c r="F245" s="5">
        <v>4.2351720000000004</v>
      </c>
      <c r="G245" s="12">
        <f>VLOOKUP(A245,'[1]all FNCL'!A$2:B$993,2)</f>
        <v>0.95352518495215399</v>
      </c>
      <c r="H245" s="3" t="s">
        <v>257</v>
      </c>
      <c r="I245">
        <v>0.71228035501776499</v>
      </c>
      <c r="J245" s="33">
        <f>VLOOKUP(A245,'Refi Universe'!E:F,2,0)</f>
        <v>0.89611079000000005</v>
      </c>
    </row>
    <row r="246" spans="1:10" ht="15" x14ac:dyDescent="0.25">
      <c r="A246" s="14">
        <v>40933</v>
      </c>
      <c r="B246" s="15">
        <v>782</v>
      </c>
      <c r="C246" s="15">
        <v>782</v>
      </c>
      <c r="D246" s="5" t="s">
        <v>2</v>
      </c>
      <c r="E246" s="5" t="s">
        <v>2</v>
      </c>
      <c r="F246" s="5">
        <v>4.2307360000000003</v>
      </c>
      <c r="G246" s="12">
        <f>VLOOKUP(A246,'[1]all FNCL'!A$2:B$993,2)</f>
        <v>0.95352518495215399</v>
      </c>
      <c r="H246" s="3" t="s">
        <v>258</v>
      </c>
      <c r="I246">
        <v>0.79257538531726102</v>
      </c>
      <c r="J246" s="33">
        <f>VLOOKUP(A246,'Refi Universe'!E:F,2,0)</f>
        <v>0.94870708999999998</v>
      </c>
    </row>
    <row r="247" spans="1:10" ht="15" x14ac:dyDescent="0.25">
      <c r="A247" s="14">
        <v>40934</v>
      </c>
      <c r="B247" s="15">
        <v>891</v>
      </c>
      <c r="C247" s="15">
        <v>891</v>
      </c>
      <c r="D247" s="5" t="s">
        <v>2</v>
      </c>
      <c r="E247" s="5" t="s">
        <v>2</v>
      </c>
      <c r="F247" s="5">
        <v>4.226229</v>
      </c>
      <c r="G247" s="12">
        <f>VLOOKUP(A247,'[1]all FNCL'!A$2:B$993,2)</f>
        <v>0.91861521434498905</v>
      </c>
      <c r="H247" s="3" t="s">
        <v>259</v>
      </c>
      <c r="I247">
        <v>0.79257538531726102</v>
      </c>
      <c r="J247" s="33">
        <f>VLOOKUP(A247,'Refi Universe'!E:F,2,0)</f>
        <v>0.95396824999999996</v>
      </c>
    </row>
    <row r="248" spans="1:10" ht="15" x14ac:dyDescent="0.25">
      <c r="A248" s="14">
        <v>40935</v>
      </c>
      <c r="B248" s="15">
        <v>873</v>
      </c>
      <c r="C248" s="15">
        <v>873</v>
      </c>
      <c r="D248" s="5" t="s">
        <v>2</v>
      </c>
      <c r="E248" s="5" t="s">
        <v>2</v>
      </c>
      <c r="F248" s="5">
        <v>4.1677949999999999</v>
      </c>
      <c r="G248" s="12">
        <f>VLOOKUP(A248,'[1]all FNCL'!A$2:B$993,2)</f>
        <v>0.91861521434498905</v>
      </c>
      <c r="H248" s="3" t="s">
        <v>260</v>
      </c>
      <c r="I248">
        <v>0.79257538531726102</v>
      </c>
      <c r="J248" s="33">
        <f>VLOOKUP(A248,'Refi Universe'!E:F,2,0)</f>
        <v>0.95520771000000004</v>
      </c>
    </row>
    <row r="249" spans="1:10" ht="15" x14ac:dyDescent="0.25">
      <c r="A249" s="14">
        <v>40938</v>
      </c>
      <c r="B249" s="15">
        <v>932</v>
      </c>
      <c r="C249" s="15">
        <v>932</v>
      </c>
      <c r="D249" s="5" t="s">
        <v>2</v>
      </c>
      <c r="E249" s="5" t="s">
        <v>2</v>
      </c>
      <c r="F249" s="5">
        <v>4.1892800000000001</v>
      </c>
      <c r="G249" s="12">
        <f>VLOOKUP(A249,'[1]all FNCL'!A$2:B$993,2)</f>
        <v>0.91861521434498905</v>
      </c>
      <c r="H249" s="3" t="s">
        <v>261</v>
      </c>
      <c r="I249">
        <v>0.79257538531726102</v>
      </c>
      <c r="J249" s="33">
        <f>VLOOKUP(A249,'Refi Universe'!E:F,2,0)</f>
        <v>0.95519228</v>
      </c>
    </row>
    <row r="250" spans="1:10" ht="15" x14ac:dyDescent="0.25">
      <c r="A250" s="14">
        <v>40939</v>
      </c>
      <c r="B250" s="15">
        <v>939</v>
      </c>
      <c r="C250" s="15">
        <v>939</v>
      </c>
      <c r="D250" s="5" t="s">
        <v>2</v>
      </c>
      <c r="E250" s="5" t="s">
        <v>2</v>
      </c>
      <c r="F250" s="5">
        <v>4.1739940000000004</v>
      </c>
      <c r="G250" s="12">
        <f>VLOOKUP(A250,'[1]all FNCL'!A$2:B$993,2)</f>
        <v>0.91861521434498905</v>
      </c>
      <c r="H250" s="3" t="s">
        <v>262</v>
      </c>
      <c r="I250">
        <v>0.79257538531726102</v>
      </c>
      <c r="J250" s="33">
        <f>VLOOKUP(A250,'Refi Universe'!E:F,2,0)</f>
        <v>0.95587728000000005</v>
      </c>
    </row>
    <row r="251" spans="1:10" ht="15" x14ac:dyDescent="0.25">
      <c r="A251" s="14">
        <v>40940</v>
      </c>
      <c r="B251" s="15">
        <v>936</v>
      </c>
      <c r="C251" s="15">
        <v>936</v>
      </c>
      <c r="D251" s="5" t="s">
        <v>2</v>
      </c>
      <c r="E251" s="5" t="s">
        <v>2</v>
      </c>
      <c r="F251" s="5">
        <v>4.1375159999999997</v>
      </c>
      <c r="G251" s="12">
        <f>VLOOKUP(A251,'[1]all FNCL'!A$2:B$993,2)</f>
        <v>0.90547247005091003</v>
      </c>
      <c r="H251" s="3" t="s">
        <v>263</v>
      </c>
      <c r="I251">
        <v>0.76303866278122401</v>
      </c>
      <c r="J251" s="33">
        <f>VLOOKUP(A251,'Refi Universe'!E:F,2,0)</f>
        <v>0.94277608000000002</v>
      </c>
    </row>
    <row r="252" spans="1:10" ht="15" x14ac:dyDescent="0.25">
      <c r="A252" s="14">
        <v>40941</v>
      </c>
      <c r="B252" s="15">
        <v>933</v>
      </c>
      <c r="C252" s="15">
        <v>933</v>
      </c>
      <c r="D252" s="5" t="s">
        <v>2</v>
      </c>
      <c r="E252" s="5" t="s">
        <v>2</v>
      </c>
      <c r="F252" s="5">
        <v>4.0878160000000001</v>
      </c>
      <c r="G252" s="12">
        <f>VLOOKUP(A252,'[1]all FNCL'!A$2:B$993,2)</f>
        <v>0.942309298561672</v>
      </c>
      <c r="H252" s="3" t="s">
        <v>264</v>
      </c>
      <c r="I252">
        <v>0.743473360501545</v>
      </c>
      <c r="J252" s="33">
        <f>VLOOKUP(A252,'Refi Universe'!E:F,2,0)</f>
        <v>0.94442683999999999</v>
      </c>
    </row>
    <row r="253" spans="1:10" ht="15" x14ac:dyDescent="0.25">
      <c r="A253" s="14">
        <v>40942</v>
      </c>
      <c r="B253" s="15">
        <v>807</v>
      </c>
      <c r="C253" s="15">
        <v>807</v>
      </c>
      <c r="D253" s="5" t="s">
        <v>2</v>
      </c>
      <c r="E253" s="5" t="s">
        <v>2</v>
      </c>
      <c r="F253" s="5">
        <v>4.1226399999999996</v>
      </c>
      <c r="G253" s="12">
        <f>VLOOKUP(A253,'[1]all FNCL'!A$2:B$993,2)</f>
        <v>0.942309298561672</v>
      </c>
      <c r="H253" s="3" t="s">
        <v>265</v>
      </c>
      <c r="I253">
        <v>0.743473360501545</v>
      </c>
      <c r="J253" s="33">
        <f>VLOOKUP(A253,'Refi Universe'!E:F,2,0)</f>
        <v>0.94026103000000005</v>
      </c>
    </row>
    <row r="254" spans="1:10" ht="15" x14ac:dyDescent="0.25">
      <c r="A254" s="14">
        <v>40945</v>
      </c>
      <c r="B254" s="15">
        <v>813</v>
      </c>
      <c r="C254" s="15">
        <v>813</v>
      </c>
      <c r="D254" s="5" t="s">
        <v>2</v>
      </c>
      <c r="E254" s="5" t="s">
        <v>2</v>
      </c>
      <c r="F254" s="5">
        <v>4.1002840000000003</v>
      </c>
      <c r="G254" s="12">
        <f>VLOOKUP(A254,'[1]all FNCL'!A$2:B$993,2)</f>
        <v>0.942309298561672</v>
      </c>
      <c r="H254" s="3" t="s">
        <v>266</v>
      </c>
      <c r="I254">
        <v>0.743473360501545</v>
      </c>
      <c r="J254" s="33">
        <f>VLOOKUP(A254,'Refi Universe'!E:F,2,0)</f>
        <v>0.94331547000000004</v>
      </c>
    </row>
    <row r="255" spans="1:10" ht="15" x14ac:dyDescent="0.25">
      <c r="A255" s="14">
        <v>40946</v>
      </c>
      <c r="B255" s="15">
        <v>735</v>
      </c>
      <c r="C255" s="15">
        <v>735</v>
      </c>
      <c r="D255" s="5" t="s">
        <v>2</v>
      </c>
      <c r="E255" s="5" t="s">
        <v>2</v>
      </c>
      <c r="F255" s="5">
        <v>4.1018530000000002</v>
      </c>
      <c r="G255" s="12">
        <f>VLOOKUP(A255,'[1]all FNCL'!A$2:B$993,2)</f>
        <v>0.942309298561672</v>
      </c>
      <c r="H255" s="3" t="s">
        <v>267</v>
      </c>
      <c r="I255">
        <v>0.77315817508860396</v>
      </c>
      <c r="J255" s="33">
        <f>VLOOKUP(A255,'Refi Universe'!E:F,2,0)</f>
        <v>0.94164957999999999</v>
      </c>
    </row>
    <row r="256" spans="1:10" ht="15" x14ac:dyDescent="0.25">
      <c r="A256" s="14">
        <v>40947</v>
      </c>
      <c r="B256" s="15">
        <v>726</v>
      </c>
      <c r="C256" s="15">
        <v>726</v>
      </c>
      <c r="D256" s="5" t="s">
        <v>2</v>
      </c>
      <c r="E256" s="5" t="s">
        <v>2</v>
      </c>
      <c r="F256" s="5">
        <v>4.0807799999999999</v>
      </c>
      <c r="G256" s="12">
        <f>VLOOKUP(A256,'[1]all FNCL'!A$2:B$993,2)</f>
        <v>0.942309298561672</v>
      </c>
      <c r="H256" s="3" t="s">
        <v>268</v>
      </c>
      <c r="I256">
        <v>0.77315817508860396</v>
      </c>
      <c r="J256" s="33">
        <f>VLOOKUP(A256,'Refi Universe'!E:F,2,0)</f>
        <v>0.94154565999999995</v>
      </c>
    </row>
    <row r="257" spans="1:10" ht="15" x14ac:dyDescent="0.25">
      <c r="A257" s="14">
        <v>40948</v>
      </c>
      <c r="B257" s="15">
        <v>687</v>
      </c>
      <c r="C257" s="15">
        <v>687</v>
      </c>
      <c r="D257" s="5" t="s">
        <v>2</v>
      </c>
      <c r="E257" s="5" t="s">
        <v>2</v>
      </c>
      <c r="F257" s="5">
        <v>4.1298620000000001</v>
      </c>
      <c r="G257" s="12">
        <f>VLOOKUP(A257,'[1]all FNCL'!A$2:B$993,2)</f>
        <v>0.942309298561672</v>
      </c>
      <c r="H257" s="3" t="s">
        <v>269</v>
      </c>
      <c r="I257">
        <v>0.77315817508860396</v>
      </c>
      <c r="J257" s="33">
        <f>VLOOKUP(A257,'Refi Universe'!E:F,2,0)</f>
        <v>0.91185605000000003</v>
      </c>
    </row>
    <row r="258" spans="1:10" ht="15" x14ac:dyDescent="0.25">
      <c r="A258" s="14">
        <v>40949</v>
      </c>
      <c r="B258" s="15">
        <v>735</v>
      </c>
      <c r="C258" s="15">
        <v>735</v>
      </c>
      <c r="D258" s="5" t="s">
        <v>2</v>
      </c>
      <c r="E258" s="5" t="s">
        <v>2</v>
      </c>
      <c r="F258" s="5">
        <v>4.1271110000000002</v>
      </c>
      <c r="G258" s="12">
        <f>VLOOKUP(A258,'[1]all FNCL'!A$2:B$993,2)</f>
        <v>0.942309298561672</v>
      </c>
      <c r="H258" s="3" t="s">
        <v>270</v>
      </c>
      <c r="I258">
        <v>0.77315817508860396</v>
      </c>
      <c r="J258" s="33">
        <f>VLOOKUP(A258,'Refi Universe'!E:F,2,0)</f>
        <v>0.93276685999999998</v>
      </c>
    </row>
    <row r="259" spans="1:10" ht="15" x14ac:dyDescent="0.25">
      <c r="A259" s="14">
        <v>40952</v>
      </c>
      <c r="B259" s="15">
        <v>679</v>
      </c>
      <c r="C259" s="15">
        <v>679</v>
      </c>
      <c r="D259" s="5" t="s">
        <v>2</v>
      </c>
      <c r="E259" s="5" t="s">
        <v>2</v>
      </c>
      <c r="F259" s="5">
        <v>4.1264130000000003</v>
      </c>
      <c r="G259" s="12">
        <f>VLOOKUP(A259,'[1]all FNCL'!A$2:B$993,2)</f>
        <v>0.942309298561672</v>
      </c>
      <c r="H259" s="3" t="s">
        <v>271</v>
      </c>
      <c r="I259">
        <v>0.77315817508860396</v>
      </c>
      <c r="J259" s="33">
        <f>VLOOKUP(A259,'Refi Universe'!E:F,2,0)</f>
        <v>0.92851982</v>
      </c>
    </row>
    <row r="260" spans="1:10" ht="15" x14ac:dyDescent="0.25">
      <c r="A260" s="14">
        <v>40953</v>
      </c>
      <c r="B260" s="15">
        <v>707</v>
      </c>
      <c r="C260" s="15">
        <v>707</v>
      </c>
      <c r="D260" s="5" t="s">
        <v>2</v>
      </c>
      <c r="E260" s="5" t="s">
        <v>2</v>
      </c>
      <c r="F260" s="5">
        <v>4.1067970000000003</v>
      </c>
      <c r="G260" s="12">
        <f>VLOOKUP(A260,'[1]all FNCL'!A$2:B$993,2)</f>
        <v>0.942309298561672</v>
      </c>
      <c r="H260" s="3" t="s">
        <v>272</v>
      </c>
      <c r="I260">
        <v>0.82454142309345102</v>
      </c>
      <c r="J260" s="33">
        <f>VLOOKUP(A260,'Refi Universe'!E:F,2,0)</f>
        <v>0.94156269999999997</v>
      </c>
    </row>
    <row r="261" spans="1:10" ht="15" x14ac:dyDescent="0.25">
      <c r="A261" s="14">
        <v>40954</v>
      </c>
      <c r="B261" s="15">
        <v>718</v>
      </c>
      <c r="C261" s="15">
        <v>718</v>
      </c>
      <c r="D261" s="5" t="s">
        <v>2</v>
      </c>
      <c r="E261" s="5" t="s">
        <v>2</v>
      </c>
      <c r="F261" s="5">
        <v>4.1094949999999999</v>
      </c>
      <c r="G261" s="12">
        <f>VLOOKUP(A261,'[1]all FNCL'!A$2:B$993,2)</f>
        <v>0.942309298561672</v>
      </c>
      <c r="H261" s="3" t="s">
        <v>273</v>
      </c>
      <c r="I261">
        <v>0.82454142309345102</v>
      </c>
      <c r="J261" s="33">
        <f>VLOOKUP(A261,'Refi Universe'!E:F,2,0)</f>
        <v>0.94226847000000002</v>
      </c>
    </row>
    <row r="262" spans="1:10" ht="15" x14ac:dyDescent="0.25">
      <c r="A262" s="14">
        <v>40955</v>
      </c>
      <c r="B262" s="15">
        <v>664</v>
      </c>
      <c r="C262" s="15">
        <v>664</v>
      </c>
      <c r="D262" s="5" t="s">
        <v>2</v>
      </c>
      <c r="E262" s="5" t="s">
        <v>2</v>
      </c>
      <c r="F262" s="5">
        <v>4.1389899999999997</v>
      </c>
      <c r="G262" s="12">
        <f>VLOOKUP(A262,'[1]all FNCL'!A$2:B$993,2)</f>
        <v>0.942309298561672</v>
      </c>
      <c r="H262" s="3" t="s">
        <v>274</v>
      </c>
      <c r="I262">
        <v>0.82454142309345102</v>
      </c>
      <c r="J262" s="33">
        <f>VLOOKUP(A262,'Refi Universe'!E:F,2,0)</f>
        <v>0.93815767000000005</v>
      </c>
    </row>
    <row r="263" spans="1:10" ht="15" x14ac:dyDescent="0.25">
      <c r="A263" s="14">
        <v>40956</v>
      </c>
      <c r="B263" s="15">
        <v>664</v>
      </c>
      <c r="C263" s="15">
        <v>664</v>
      </c>
      <c r="D263" s="5" t="s">
        <v>2</v>
      </c>
      <c r="E263" s="5" t="s">
        <v>2</v>
      </c>
      <c r="F263" s="5">
        <v>4.1629240000000003</v>
      </c>
      <c r="G263" s="12">
        <f>VLOOKUP(A263,'[1]all FNCL'!A$2:B$993,2)</f>
        <v>0.942309298561672</v>
      </c>
      <c r="H263" s="3" t="s">
        <v>275</v>
      </c>
      <c r="I263">
        <v>0.82454142309345102</v>
      </c>
      <c r="J263" s="33">
        <f>VLOOKUP(A263,'Refi Universe'!E:F,2,0)</f>
        <v>0.91906602999999998</v>
      </c>
    </row>
    <row r="264" spans="1:10" ht="15" x14ac:dyDescent="0.25">
      <c r="A264" s="14">
        <v>40960</v>
      </c>
      <c r="B264" s="15">
        <v>650</v>
      </c>
      <c r="C264" s="15">
        <v>650</v>
      </c>
      <c r="D264" s="5" t="s">
        <v>2</v>
      </c>
      <c r="E264" s="5" t="s">
        <v>2</v>
      </c>
      <c r="F264" s="5">
        <v>4.1958849999999996</v>
      </c>
      <c r="G264" s="12">
        <f>VLOOKUP(A264,'[1]all FNCL'!A$2:B$993,2)</f>
        <v>0.942309298561672</v>
      </c>
      <c r="H264" s="3" t="s">
        <v>276</v>
      </c>
      <c r="I264">
        <v>0.82454142309345102</v>
      </c>
      <c r="J264" s="33">
        <f>VLOOKUP(A264,'Refi Universe'!E:F,2,0)</f>
        <v>0.87658771000000002</v>
      </c>
    </row>
    <row r="265" spans="1:10" ht="15" x14ac:dyDescent="0.25">
      <c r="A265" s="14">
        <v>40961</v>
      </c>
      <c r="B265" s="15">
        <v>682</v>
      </c>
      <c r="C265" s="15">
        <v>682</v>
      </c>
      <c r="D265" s="5" t="s">
        <v>2</v>
      </c>
      <c r="E265" s="5" t="s">
        <v>2</v>
      </c>
      <c r="F265" s="5">
        <v>4.1722780000000004</v>
      </c>
      <c r="G265" s="12">
        <f>VLOOKUP(A265,'[1]all FNCL'!A$2:B$993,2)</f>
        <v>0.942309298561672</v>
      </c>
      <c r="H265" s="3" t="s">
        <v>277</v>
      </c>
      <c r="I265">
        <v>0.82630589885428396</v>
      </c>
      <c r="J265" s="33">
        <f>VLOOKUP(A265,'Refi Universe'!E:F,2,0)</f>
        <v>0.90921328999999995</v>
      </c>
    </row>
    <row r="266" spans="1:10" ht="15" x14ac:dyDescent="0.25">
      <c r="A266" s="14">
        <v>40962</v>
      </c>
      <c r="B266" s="15">
        <v>661</v>
      </c>
      <c r="C266" s="15">
        <v>661</v>
      </c>
      <c r="D266" s="5" t="s">
        <v>2</v>
      </c>
      <c r="E266" s="5" t="s">
        <v>2</v>
      </c>
      <c r="F266" s="5">
        <v>4.1403350000000003</v>
      </c>
      <c r="G266" s="12">
        <f>VLOOKUP(A266,'[1]all FNCL'!A$2:B$993,2)</f>
        <v>0.92275139849227505</v>
      </c>
      <c r="H266" s="3" t="s">
        <v>278</v>
      </c>
      <c r="I266">
        <v>0.82630589885428396</v>
      </c>
      <c r="J266" s="33">
        <f>VLOOKUP(A266,'Refi Universe'!E:F,2,0)</f>
        <v>0.93221748000000004</v>
      </c>
    </row>
    <row r="267" spans="1:10" ht="15" x14ac:dyDescent="0.25">
      <c r="A267" s="14">
        <v>40963</v>
      </c>
      <c r="B267" s="15">
        <v>650</v>
      </c>
      <c r="C267" s="15">
        <v>650</v>
      </c>
      <c r="D267" s="5" t="s">
        <v>2</v>
      </c>
      <c r="E267" s="5" t="s">
        <v>2</v>
      </c>
      <c r="F267" s="5">
        <v>4.1568290000000001</v>
      </c>
      <c r="G267" s="12">
        <f>VLOOKUP(A267,'[1]all FNCL'!A$2:B$993,2)</f>
        <v>0.942309298561672</v>
      </c>
      <c r="H267" s="3" t="s">
        <v>279</v>
      </c>
      <c r="I267">
        <v>0.82630589885428396</v>
      </c>
      <c r="J267" s="33">
        <f>VLOOKUP(A267,'Refi Universe'!E:F,2,0)</f>
        <v>0.92626867999999996</v>
      </c>
    </row>
    <row r="268" spans="1:10" ht="15" x14ac:dyDescent="0.25">
      <c r="A268" s="14">
        <v>40966</v>
      </c>
      <c r="B268" s="15">
        <v>658</v>
      </c>
      <c r="C268" s="15">
        <v>658</v>
      </c>
      <c r="D268" s="5" t="s">
        <v>2</v>
      </c>
      <c r="E268" s="5" t="s">
        <v>2</v>
      </c>
      <c r="F268" s="5">
        <v>4.1518490000000003</v>
      </c>
      <c r="G268" s="12">
        <f>VLOOKUP(A268,'[1]all FNCL'!A$2:B$993,2)</f>
        <v>0.92275139849227505</v>
      </c>
      <c r="H268" s="3" t="s">
        <v>280</v>
      </c>
      <c r="I268">
        <v>0.82630589885428396</v>
      </c>
      <c r="J268" s="33">
        <f>VLOOKUP(A268,'Refi Universe'!E:F,2,0)</f>
        <v>0.93817786999999997</v>
      </c>
    </row>
    <row r="269" spans="1:10" ht="15" x14ac:dyDescent="0.25">
      <c r="A269" s="14">
        <v>40967</v>
      </c>
      <c r="B269" s="15">
        <v>641</v>
      </c>
      <c r="C269" s="15">
        <v>641</v>
      </c>
      <c r="D269" s="5" t="s">
        <v>2</v>
      </c>
      <c r="E269" s="5" t="s">
        <v>2</v>
      </c>
      <c r="F269" s="5">
        <v>4.1470130000000003</v>
      </c>
      <c r="G269" s="12">
        <f>VLOOKUP(A269,'[1]all FNCL'!A$2:B$993,2)</f>
        <v>0.92275139849227505</v>
      </c>
      <c r="H269" s="3" t="s">
        <v>281</v>
      </c>
      <c r="I269">
        <v>0.82630589885428396</v>
      </c>
      <c r="J269" s="33">
        <f>VLOOKUP(A269,'Refi Universe'!E:F,2,0)</f>
        <v>0.93960624999999998</v>
      </c>
    </row>
    <row r="270" spans="1:10" ht="15" x14ac:dyDescent="0.25">
      <c r="A270" s="14">
        <v>40968</v>
      </c>
      <c r="B270" s="15">
        <v>605</v>
      </c>
      <c r="C270" s="15">
        <v>605</v>
      </c>
      <c r="D270" s="5" t="s">
        <v>2</v>
      </c>
      <c r="E270" s="5" t="s">
        <v>2</v>
      </c>
      <c r="F270" s="5">
        <v>4.189012</v>
      </c>
      <c r="G270" s="12">
        <f>VLOOKUP(A270,'[1]all FNCL'!A$2:B$993,2)</f>
        <v>0.92275139849227505</v>
      </c>
      <c r="H270" s="3" t="s">
        <v>282</v>
      </c>
      <c r="I270">
        <v>0.82751009126472896</v>
      </c>
      <c r="J270" s="33">
        <f>VLOOKUP(A270,'Refi Universe'!E:F,2,0)</f>
        <v>0.91287035999999999</v>
      </c>
    </row>
    <row r="271" spans="1:10" ht="15" x14ac:dyDescent="0.25">
      <c r="A271" s="14">
        <v>40969</v>
      </c>
      <c r="B271" s="15">
        <v>578</v>
      </c>
      <c r="C271" s="15">
        <v>578</v>
      </c>
      <c r="D271" s="5" t="s">
        <v>2</v>
      </c>
      <c r="E271" s="5" t="s">
        <v>2</v>
      </c>
      <c r="F271" s="5">
        <v>4.196428</v>
      </c>
      <c r="G271" s="12">
        <f>VLOOKUP(A271,'[1]all FNCL'!A$2:B$993,2)</f>
        <v>0.91952398603163898</v>
      </c>
      <c r="H271" s="3" t="s">
        <v>283</v>
      </c>
      <c r="I271">
        <v>0.82751009126472896</v>
      </c>
      <c r="J271" s="33">
        <f>VLOOKUP(A271,'Refi Universe'!E:F,2,0)</f>
        <v>0.85102255000000004</v>
      </c>
    </row>
    <row r="272" spans="1:10" ht="15" x14ac:dyDescent="0.25">
      <c r="A272" s="14">
        <v>40970</v>
      </c>
      <c r="B272" s="15">
        <v>596</v>
      </c>
      <c r="C272" s="15">
        <v>596</v>
      </c>
      <c r="D272" s="5" t="s">
        <v>2</v>
      </c>
      <c r="E272" s="5" t="s">
        <v>2</v>
      </c>
      <c r="F272" s="5">
        <v>4.1804949999999996</v>
      </c>
      <c r="G272" s="12">
        <f>VLOOKUP(A272,'[1]all FNCL'!A$2:B$993,2)</f>
        <v>0.91952398603163898</v>
      </c>
      <c r="H272" s="3" t="s">
        <v>284</v>
      </c>
      <c r="I272">
        <v>0.82751009126472896</v>
      </c>
      <c r="J272" s="33">
        <f>VLOOKUP(A272,'Refi Universe'!E:F,2,0)</f>
        <v>0.88433985999999998</v>
      </c>
    </row>
    <row r="273" spans="1:10" ht="15" x14ac:dyDescent="0.25">
      <c r="A273" s="14">
        <v>40973</v>
      </c>
      <c r="B273" s="15">
        <v>584</v>
      </c>
      <c r="C273" s="15">
        <v>584</v>
      </c>
      <c r="D273" s="5" t="s">
        <v>2</v>
      </c>
      <c r="E273" s="5" t="s">
        <v>2</v>
      </c>
      <c r="F273" s="5">
        <v>4.1834639999999998</v>
      </c>
      <c r="G273" s="12">
        <f>VLOOKUP(A273,'[1]all FNCL'!A$2:B$993,2)</f>
        <v>0.91952398603163898</v>
      </c>
      <c r="H273" s="3" t="s">
        <v>285</v>
      </c>
      <c r="I273">
        <v>0.82751009126472896</v>
      </c>
      <c r="J273" s="33">
        <f>VLOOKUP(A273,'Refi Universe'!E:F,2,0)</f>
        <v>0.87754933999999996</v>
      </c>
    </row>
    <row r="274" spans="1:10" ht="15" x14ac:dyDescent="0.25">
      <c r="A274" s="14">
        <v>40974</v>
      </c>
      <c r="B274" s="15">
        <v>605</v>
      </c>
      <c r="C274" s="15">
        <v>605</v>
      </c>
      <c r="D274" s="5" t="s">
        <v>2</v>
      </c>
      <c r="E274" s="5" t="s">
        <v>2</v>
      </c>
      <c r="F274" s="5">
        <v>4.171818</v>
      </c>
      <c r="G274" s="12">
        <f>VLOOKUP(A274,'[1]all FNCL'!A$2:B$993,2)</f>
        <v>0.91952398603163898</v>
      </c>
      <c r="H274" s="3" t="s">
        <v>286</v>
      </c>
      <c r="I274">
        <v>0.81036703654126596</v>
      </c>
      <c r="J274" s="33">
        <f>VLOOKUP(A274,'Refi Universe'!E:F,2,0)</f>
        <v>0.90010062000000002</v>
      </c>
    </row>
    <row r="275" spans="1:10" ht="15" x14ac:dyDescent="0.25">
      <c r="A275" s="14">
        <v>40975</v>
      </c>
      <c r="B275" s="15">
        <v>613</v>
      </c>
      <c r="C275" s="15">
        <v>613</v>
      </c>
      <c r="D275" s="5" t="s">
        <v>2</v>
      </c>
      <c r="E275" s="5" t="s">
        <v>2</v>
      </c>
      <c r="F275" s="5">
        <v>4.1874209999999996</v>
      </c>
      <c r="G275" s="12">
        <f>VLOOKUP(A275,'[1]all FNCL'!A$2:B$993,2)</f>
        <v>0.91952398603163898</v>
      </c>
      <c r="H275" s="3" t="s">
        <v>287</v>
      </c>
      <c r="I275">
        <v>0.81666056757909999</v>
      </c>
      <c r="J275" s="33">
        <f>VLOOKUP(A275,'Refi Universe'!E:F,2,0)</f>
        <v>0.91867080999999995</v>
      </c>
    </row>
    <row r="276" spans="1:10" ht="15" x14ac:dyDescent="0.25">
      <c r="A276" s="14">
        <v>40976</v>
      </c>
      <c r="B276" s="15">
        <v>613</v>
      </c>
      <c r="C276" s="15">
        <v>613</v>
      </c>
      <c r="D276" s="5" t="s">
        <v>2</v>
      </c>
      <c r="E276" s="5" t="s">
        <v>2</v>
      </c>
      <c r="F276" s="5">
        <v>4.1941569999999997</v>
      </c>
      <c r="G276" s="12">
        <f>VLOOKUP(A276,'[1]all FNCL'!A$2:B$993,2)</f>
        <v>0.920801695575303</v>
      </c>
      <c r="H276" s="3" t="s">
        <v>288</v>
      </c>
      <c r="I276">
        <v>0.81666056757909999</v>
      </c>
      <c r="J276" s="33">
        <f>VLOOKUP(A276,'Refi Universe'!E:F,2,0)</f>
        <v>0.90661466999999996</v>
      </c>
    </row>
    <row r="277" spans="1:10" ht="15" x14ac:dyDescent="0.25">
      <c r="A277" s="14">
        <v>40977</v>
      </c>
      <c r="B277" s="15">
        <v>591</v>
      </c>
      <c r="C277" s="15">
        <v>591</v>
      </c>
      <c r="D277" s="5" t="s">
        <v>2</v>
      </c>
      <c r="E277" s="5" t="s">
        <v>2</v>
      </c>
      <c r="F277" s="5">
        <v>4.1827889999999996</v>
      </c>
      <c r="G277" s="12">
        <f>VLOOKUP(A277,'[1]all FNCL'!A$2:B$993,2)</f>
        <v>0.920801695575303</v>
      </c>
      <c r="H277" s="3" t="s">
        <v>289</v>
      </c>
      <c r="I277">
        <v>0.81666056757909999</v>
      </c>
      <c r="J277" s="33">
        <f>VLOOKUP(A277,'Refi Universe'!E:F,2,0)</f>
        <v>0.91488800000000003</v>
      </c>
    </row>
    <row r="278" spans="1:10" ht="15" x14ac:dyDescent="0.25">
      <c r="A278" s="14">
        <v>40980</v>
      </c>
      <c r="B278" s="15">
        <v>610</v>
      </c>
      <c r="C278" s="15">
        <v>610</v>
      </c>
      <c r="D278" s="5" t="s">
        <v>2</v>
      </c>
      <c r="E278" s="5" t="s">
        <v>2</v>
      </c>
      <c r="F278" s="5">
        <v>4.1863619999999999</v>
      </c>
      <c r="G278" s="12">
        <f>VLOOKUP(A278,'[1]all FNCL'!A$2:B$993,2)</f>
        <v>0.920801695575303</v>
      </c>
      <c r="H278" s="3" t="s">
        <v>290</v>
      </c>
      <c r="I278">
        <v>0.81666056757909999</v>
      </c>
      <c r="J278" s="33">
        <f>VLOOKUP(A278,'Refi Universe'!E:F,2,0)</f>
        <v>0.91615384</v>
      </c>
    </row>
    <row r="279" spans="1:10" ht="15" x14ac:dyDescent="0.25">
      <c r="A279" s="14">
        <v>40981</v>
      </c>
      <c r="B279" s="15">
        <v>579</v>
      </c>
      <c r="C279" s="15">
        <v>579</v>
      </c>
      <c r="D279" s="5" t="s">
        <v>2</v>
      </c>
      <c r="E279" s="5" t="s">
        <v>2</v>
      </c>
      <c r="F279" s="5">
        <v>4.2155259999999997</v>
      </c>
      <c r="G279" s="12">
        <f>VLOOKUP(A279,'[1]all FNCL'!A$2:B$993,2)</f>
        <v>0.920801695575303</v>
      </c>
      <c r="H279" s="3" t="s">
        <v>291</v>
      </c>
      <c r="I279">
        <v>0.81666056757909999</v>
      </c>
      <c r="J279" s="33">
        <f>VLOOKUP(A279,'Refi Universe'!E:F,2,0)</f>
        <v>0.86420087999999995</v>
      </c>
    </row>
    <row r="280" spans="1:10" ht="15" x14ac:dyDescent="0.25">
      <c r="A280" s="14">
        <v>40982</v>
      </c>
      <c r="B280" s="15">
        <v>565</v>
      </c>
      <c r="C280" s="15">
        <v>565</v>
      </c>
      <c r="D280" s="5" t="s">
        <v>2</v>
      </c>
      <c r="E280" s="5" t="s">
        <v>2</v>
      </c>
      <c r="F280" s="5">
        <v>4.2940240000000003</v>
      </c>
      <c r="G280" s="12">
        <f>VLOOKUP(A280,'[1]all FNCL'!A$2:B$993,2)</f>
        <v>0.920801695575303</v>
      </c>
      <c r="H280" s="3" t="s">
        <v>292</v>
      </c>
      <c r="I280">
        <v>0.80807149473903706</v>
      </c>
      <c r="J280" s="33">
        <f>VLOOKUP(A280,'Refi Universe'!E:F,2,0)</f>
        <v>0.77113012000000003</v>
      </c>
    </row>
    <row r="281" spans="1:10" ht="15" x14ac:dyDescent="0.25">
      <c r="A281" s="14">
        <v>40983</v>
      </c>
      <c r="B281" s="15">
        <v>568</v>
      </c>
      <c r="C281" s="15">
        <v>568</v>
      </c>
      <c r="D281" s="5" t="s">
        <v>2</v>
      </c>
      <c r="E281" s="5" t="s">
        <v>2</v>
      </c>
      <c r="F281" s="5">
        <v>4.2760509999999998</v>
      </c>
      <c r="G281" s="12">
        <f>VLOOKUP(A281,'[1]all FNCL'!A$2:B$993,2)</f>
        <v>0.91685044012466899</v>
      </c>
      <c r="H281" s="3" t="s">
        <v>293</v>
      </c>
      <c r="I281">
        <v>0.80807149473903706</v>
      </c>
      <c r="J281" s="33">
        <f>VLOOKUP(A281,'Refi Universe'!E:F,2,0)</f>
        <v>0.77902583999999997</v>
      </c>
    </row>
    <row r="282" spans="1:10" ht="15" x14ac:dyDescent="0.25">
      <c r="A282" s="14">
        <v>40984</v>
      </c>
      <c r="B282" s="15">
        <v>545</v>
      </c>
      <c r="C282" s="15">
        <v>545</v>
      </c>
      <c r="D282" s="5" t="s">
        <v>2</v>
      </c>
      <c r="E282" s="5" t="s">
        <v>2</v>
      </c>
      <c r="F282" s="5">
        <v>4.2607949999999999</v>
      </c>
      <c r="G282" s="12">
        <f>VLOOKUP(A282,'[1]all FNCL'!A$2:B$993,2)</f>
        <v>0.91685044012466899</v>
      </c>
      <c r="H282" s="3" t="s">
        <v>294</v>
      </c>
      <c r="I282">
        <v>0.80807149473903706</v>
      </c>
      <c r="J282" s="33">
        <f>VLOOKUP(A282,'Refi Universe'!E:F,2,0)</f>
        <v>0.80057159</v>
      </c>
    </row>
    <row r="283" spans="1:10" ht="15" x14ac:dyDescent="0.25">
      <c r="A283" s="14">
        <v>40987</v>
      </c>
      <c r="B283" s="15">
        <v>498</v>
      </c>
      <c r="C283" s="15">
        <v>498</v>
      </c>
      <c r="D283" s="5" t="s">
        <v>2</v>
      </c>
      <c r="E283" s="5" t="s">
        <v>2</v>
      </c>
      <c r="F283" s="5">
        <v>4.3025539999999998</v>
      </c>
      <c r="G283" s="12">
        <f>VLOOKUP(A283,'[1]all FNCL'!A$2:B$993,2)</f>
        <v>0.91685044012466899</v>
      </c>
      <c r="H283" s="3" t="s">
        <v>295</v>
      </c>
      <c r="I283">
        <v>0.80807149473903706</v>
      </c>
      <c r="J283" s="33">
        <f>VLOOKUP(A283,'Refi Universe'!E:F,2,0)</f>
        <v>0.74698810999999998</v>
      </c>
    </row>
    <row r="284" spans="1:10" ht="15" x14ac:dyDescent="0.25">
      <c r="A284" s="14">
        <v>40988</v>
      </c>
      <c r="B284" s="15">
        <v>488</v>
      </c>
      <c r="C284" s="15">
        <v>488</v>
      </c>
      <c r="D284" s="5" t="s">
        <v>2</v>
      </c>
      <c r="E284" s="5" t="s">
        <v>2</v>
      </c>
      <c r="F284" s="5">
        <v>4.3029299999999999</v>
      </c>
      <c r="G284" s="12">
        <f>VLOOKUP(A284,'[1]all FNCL'!A$2:B$993,2)</f>
        <v>0.91685044012466899</v>
      </c>
      <c r="H284" s="3" t="s">
        <v>296</v>
      </c>
      <c r="I284">
        <v>0.80807149473903706</v>
      </c>
      <c r="J284" s="33">
        <f>VLOOKUP(A284,'Refi Universe'!E:F,2,0)</f>
        <v>0.74634694000000001</v>
      </c>
    </row>
    <row r="285" spans="1:10" ht="15" x14ac:dyDescent="0.25">
      <c r="A285" s="14">
        <v>40989</v>
      </c>
      <c r="B285" s="15">
        <v>500</v>
      </c>
      <c r="C285" s="15">
        <v>500</v>
      </c>
      <c r="D285" s="5" t="s">
        <v>2</v>
      </c>
      <c r="E285" s="5" t="s">
        <v>2</v>
      </c>
      <c r="F285" s="5">
        <v>4.2703110000000004</v>
      </c>
      <c r="G285" s="12">
        <f>VLOOKUP(A285,'[1]all FNCL'!A$2:B$993,2)</f>
        <v>0.91685044012466899</v>
      </c>
      <c r="H285" s="3" t="s">
        <v>297</v>
      </c>
      <c r="I285">
        <v>0.77783403735744605</v>
      </c>
      <c r="J285" s="33">
        <f>VLOOKUP(A285,'Refi Universe'!E:F,2,0)</f>
        <v>0.80795808999999996</v>
      </c>
    </row>
    <row r="286" spans="1:10" ht="15" x14ac:dyDescent="0.25">
      <c r="A286" s="14">
        <v>40990</v>
      </c>
      <c r="B286" s="15">
        <v>497</v>
      </c>
      <c r="C286" s="15">
        <v>497</v>
      </c>
      <c r="D286" s="5" t="s">
        <v>2</v>
      </c>
      <c r="E286" s="5" t="s">
        <v>2</v>
      </c>
      <c r="F286" s="5">
        <v>4.2727779999999997</v>
      </c>
      <c r="G286" s="12">
        <f>VLOOKUP(A286,'[1]all FNCL'!A$2:B$993,2)</f>
        <v>0.80564025680948503</v>
      </c>
      <c r="H286" s="3" t="s">
        <v>298</v>
      </c>
      <c r="I286">
        <v>0.77783403735744605</v>
      </c>
      <c r="J286" s="33">
        <f>VLOOKUP(A286,'Refi Universe'!E:F,2,0)</f>
        <v>0.80795808999999996</v>
      </c>
    </row>
    <row r="287" spans="1:10" ht="15" x14ac:dyDescent="0.25">
      <c r="A287" s="14">
        <v>40991</v>
      </c>
      <c r="B287" s="15">
        <v>497</v>
      </c>
      <c r="C287" s="15">
        <v>497</v>
      </c>
      <c r="D287" s="5" t="s">
        <v>2</v>
      </c>
      <c r="E287" s="5" t="s">
        <v>2</v>
      </c>
      <c r="F287" s="5">
        <v>4.2702980000000004</v>
      </c>
      <c r="G287" s="12">
        <f>VLOOKUP(A287,'[1]all FNCL'!A$2:B$993,2)</f>
        <v>0.80564025680948503</v>
      </c>
      <c r="H287" s="3" t="s">
        <v>299</v>
      </c>
      <c r="I287">
        <v>0.77783403735744605</v>
      </c>
      <c r="J287" s="33">
        <f>VLOOKUP(A287,'Refi Universe'!E:F,2,0)</f>
        <v>0.8216253</v>
      </c>
    </row>
    <row r="288" spans="1:10" ht="15" x14ac:dyDescent="0.25">
      <c r="A288" s="14">
        <v>40994</v>
      </c>
      <c r="B288" s="15">
        <v>493</v>
      </c>
      <c r="C288" s="15">
        <v>493</v>
      </c>
      <c r="D288" s="5" t="s">
        <v>2</v>
      </c>
      <c r="E288" s="5" t="s">
        <v>2</v>
      </c>
      <c r="F288" s="5">
        <v>4.2615910000000001</v>
      </c>
      <c r="G288" s="12">
        <f>VLOOKUP(A288,'[1]all FNCL'!A$2:B$993,2)</f>
        <v>0.80564025680948503</v>
      </c>
      <c r="H288" s="3" t="s">
        <v>300</v>
      </c>
      <c r="I288">
        <v>0.69478056772037999</v>
      </c>
      <c r="J288" s="33">
        <f>VLOOKUP(A288,'Refi Universe'!E:F,2,0)</f>
        <v>0.83154335000000001</v>
      </c>
    </row>
    <row r="289" spans="1:10" ht="15" x14ac:dyDescent="0.25">
      <c r="A289" s="14">
        <v>40995</v>
      </c>
      <c r="B289" s="15">
        <v>512</v>
      </c>
      <c r="C289" s="15">
        <v>512</v>
      </c>
      <c r="D289" s="5" t="s">
        <v>2</v>
      </c>
      <c r="E289" s="5" t="s">
        <v>2</v>
      </c>
      <c r="F289" s="5">
        <v>4.2358859999999998</v>
      </c>
      <c r="G289" s="12">
        <f>VLOOKUP(A289,'[1]all FNCL'!A$2:B$993,2)</f>
        <v>0.80564025680948503</v>
      </c>
      <c r="H289" s="3" t="s">
        <v>301</v>
      </c>
      <c r="I289">
        <v>0.69478056772037999</v>
      </c>
      <c r="J289" s="33">
        <f>VLOOKUP(A289,'Refi Universe'!E:F,2,0)</f>
        <v>0.89567198000000003</v>
      </c>
    </row>
    <row r="290" spans="1:10" ht="15" x14ac:dyDescent="0.25">
      <c r="A290" s="14">
        <v>40996</v>
      </c>
      <c r="B290" s="15">
        <v>507</v>
      </c>
      <c r="C290" s="15">
        <v>507</v>
      </c>
      <c r="D290" s="5" t="s">
        <v>2</v>
      </c>
      <c r="E290" s="5" t="s">
        <v>2</v>
      </c>
      <c r="F290" s="5">
        <v>4.2435479999999997</v>
      </c>
      <c r="G290" s="12">
        <f>VLOOKUP(A290,'[1]all FNCL'!A$2:B$993,2)</f>
        <v>0.80564025680948503</v>
      </c>
      <c r="H290" s="3" t="s">
        <v>302</v>
      </c>
      <c r="I290">
        <v>0.69478056772037999</v>
      </c>
      <c r="J290" s="33">
        <f>VLOOKUP(A290,'Refi Universe'!E:F,2,0)</f>
        <v>0.90486840999999996</v>
      </c>
    </row>
    <row r="291" spans="1:10" ht="15" x14ac:dyDescent="0.25">
      <c r="A291" s="14">
        <v>40997</v>
      </c>
      <c r="B291" s="15">
        <v>503</v>
      </c>
      <c r="C291" s="15">
        <v>503</v>
      </c>
      <c r="D291" s="5" t="s">
        <v>2</v>
      </c>
      <c r="E291" s="5" t="s">
        <v>2</v>
      </c>
      <c r="F291" s="5">
        <v>4.2249290000000004</v>
      </c>
      <c r="G291" s="12">
        <f>VLOOKUP(A291,'[1]all FNCL'!A$2:B$993,2)</f>
        <v>0.87350901373716205</v>
      </c>
      <c r="H291" s="3" t="s">
        <v>303</v>
      </c>
      <c r="I291">
        <v>0.635194452728709</v>
      </c>
      <c r="J291" s="33">
        <f>VLOOKUP(A291,'Refi Universe'!E:F,2,0)</f>
        <v>0.91831567999999997</v>
      </c>
    </row>
    <row r="292" spans="1:10" ht="15" x14ac:dyDescent="0.25">
      <c r="A292" s="14">
        <v>40998</v>
      </c>
      <c r="B292" s="15">
        <v>464</v>
      </c>
      <c r="C292" s="15">
        <v>464</v>
      </c>
      <c r="D292" s="5" t="s">
        <v>2</v>
      </c>
      <c r="E292" s="5" t="s">
        <v>2</v>
      </c>
      <c r="F292" s="5">
        <v>4.2346640000000004</v>
      </c>
      <c r="G292" s="12">
        <f>VLOOKUP(A292,'[1]all FNCL'!A$2:B$993,2)</f>
        <v>0.87350901373716205</v>
      </c>
      <c r="H292" s="3" t="s">
        <v>304</v>
      </c>
      <c r="I292">
        <v>0.635194452728709</v>
      </c>
      <c r="J292" s="33">
        <f>VLOOKUP(A292,'Refi Universe'!E:F,2,0)</f>
        <v>0.89832186999999997</v>
      </c>
    </row>
    <row r="293" spans="1:10" ht="15" x14ac:dyDescent="0.25">
      <c r="A293" s="14">
        <v>41001</v>
      </c>
      <c r="B293" s="15">
        <v>463</v>
      </c>
      <c r="C293" s="15">
        <v>463</v>
      </c>
      <c r="D293" s="5" t="s">
        <v>2</v>
      </c>
      <c r="E293" s="5" t="s">
        <v>2</v>
      </c>
      <c r="F293" s="5">
        <v>4.2145159999999997</v>
      </c>
      <c r="G293" s="12">
        <f>VLOOKUP(A293,'[1]all FNCL'!A$2:B$993,2)</f>
        <v>0.86085196162229005</v>
      </c>
      <c r="H293" s="3" t="s">
        <v>305</v>
      </c>
      <c r="I293">
        <v>0.614848697284054</v>
      </c>
      <c r="J293" s="33">
        <f>VLOOKUP(A293,'Refi Universe'!E:F,2,0)</f>
        <v>0.89829537000000004</v>
      </c>
    </row>
    <row r="294" spans="1:10" ht="15" x14ac:dyDescent="0.25">
      <c r="A294" s="14">
        <v>41002</v>
      </c>
      <c r="B294" s="15">
        <v>438</v>
      </c>
      <c r="C294" s="15">
        <v>438</v>
      </c>
      <c r="D294" s="5" t="s">
        <v>2</v>
      </c>
      <c r="E294" s="5" t="s">
        <v>2</v>
      </c>
      <c r="F294" s="5">
        <v>4.2592239999999997</v>
      </c>
      <c r="G294" s="12">
        <f>VLOOKUP(A294,'[1]all FNCL'!A$2:B$993,2)</f>
        <v>0.86085196162229005</v>
      </c>
      <c r="H294" s="3" t="s">
        <v>306</v>
      </c>
      <c r="I294">
        <v>0.614848697284054</v>
      </c>
      <c r="J294" s="33">
        <f>VLOOKUP(A294,'Refi Universe'!E:F,2,0)</f>
        <v>0.80623690999999997</v>
      </c>
    </row>
    <row r="295" spans="1:10" ht="15" x14ac:dyDescent="0.25">
      <c r="A295" s="14">
        <v>41003</v>
      </c>
      <c r="B295" s="15">
        <v>451</v>
      </c>
      <c r="C295" s="15">
        <v>451</v>
      </c>
      <c r="D295" s="5" t="s">
        <v>2</v>
      </c>
      <c r="E295" s="5" t="s">
        <v>2</v>
      </c>
      <c r="F295" s="5">
        <v>4.2403719999999998</v>
      </c>
      <c r="G295" s="12">
        <f>VLOOKUP(A295,'[1]all FNCL'!A$2:B$993,2)</f>
        <v>0.86085196162229005</v>
      </c>
      <c r="H295" s="3" t="s">
        <v>307</v>
      </c>
      <c r="I295">
        <v>0.614848697284054</v>
      </c>
      <c r="J295" s="33">
        <f>VLOOKUP(A295,'Refi Universe'!E:F,2,0)</f>
        <v>0.84304774000000005</v>
      </c>
    </row>
    <row r="296" spans="1:10" ht="15" x14ac:dyDescent="0.25">
      <c r="A296" s="14">
        <v>41004</v>
      </c>
      <c r="B296" s="15">
        <v>474</v>
      </c>
      <c r="C296" s="15">
        <v>474</v>
      </c>
      <c r="D296" s="5" t="s">
        <v>2</v>
      </c>
      <c r="E296" s="5" t="s">
        <v>2</v>
      </c>
      <c r="F296" s="5">
        <v>4.2239139999999997</v>
      </c>
      <c r="G296" s="12">
        <f>VLOOKUP(A296,'[1]all FNCL'!A$2:B$993,2)</f>
        <v>0.86928745494692705</v>
      </c>
      <c r="H296" s="3" t="s">
        <v>308</v>
      </c>
      <c r="I296">
        <v>0.60559705603105995</v>
      </c>
      <c r="J296" s="33">
        <f>VLOOKUP(A296,'Refi Universe'!E:F,2,0)</f>
        <v>0.88736484000000004</v>
      </c>
    </row>
    <row r="297" spans="1:10" ht="15" x14ac:dyDescent="0.25">
      <c r="A297" s="14">
        <v>41005</v>
      </c>
      <c r="B297" s="15">
        <v>449</v>
      </c>
      <c r="C297" s="15">
        <v>449</v>
      </c>
      <c r="D297" s="5" t="s">
        <v>2</v>
      </c>
      <c r="E297" s="5" t="s">
        <v>2</v>
      </c>
      <c r="F297" s="5">
        <v>4.181514</v>
      </c>
      <c r="G297" s="12">
        <f>VLOOKUP(A297,'[1]all FNCL'!A$2:B$993,2)</f>
        <v>0.86928745494692705</v>
      </c>
      <c r="H297" s="3" t="s">
        <v>309</v>
      </c>
      <c r="I297">
        <v>0.60559705603105995</v>
      </c>
      <c r="J297" s="33">
        <f>VLOOKUP(A297,'Refi Universe'!E:F,2,0)</f>
        <v>0.9104373</v>
      </c>
    </row>
    <row r="298" spans="1:10" ht="15" x14ac:dyDescent="0.25">
      <c r="A298" s="14">
        <v>41008</v>
      </c>
      <c r="B298" s="15">
        <v>476</v>
      </c>
      <c r="C298" s="15">
        <v>476</v>
      </c>
      <c r="D298" s="5" t="s">
        <v>2</v>
      </c>
      <c r="E298" s="5" t="s">
        <v>2</v>
      </c>
      <c r="F298" s="5">
        <v>4.1731889999999998</v>
      </c>
      <c r="G298" s="12">
        <f>VLOOKUP(A298,'[1]all FNCL'!A$2:B$993,2)</f>
        <v>0.86928745494692705</v>
      </c>
      <c r="H298" s="3" t="s">
        <v>310</v>
      </c>
      <c r="I298">
        <v>0.60559705603105995</v>
      </c>
      <c r="J298" s="33">
        <f>VLOOKUP(A298,'Refi Universe'!E:F,2,0)</f>
        <v>0.91119961999999999</v>
      </c>
    </row>
    <row r="299" spans="1:10" ht="15" x14ac:dyDescent="0.25">
      <c r="A299" s="14">
        <v>41009</v>
      </c>
      <c r="B299" s="15">
        <v>516</v>
      </c>
      <c r="C299" s="15">
        <v>516</v>
      </c>
      <c r="D299" s="5" t="s">
        <v>2</v>
      </c>
      <c r="E299" s="5" t="s">
        <v>2</v>
      </c>
      <c r="F299" s="5">
        <v>4.1816969999999998</v>
      </c>
      <c r="G299" s="12">
        <f>VLOOKUP(A299,'[1]all FNCL'!A$2:B$993,2)</f>
        <v>0.86928745494692705</v>
      </c>
      <c r="H299" s="3" t="s">
        <v>311</v>
      </c>
      <c r="I299">
        <v>0.60559705603105995</v>
      </c>
      <c r="J299" s="33">
        <f>VLOOKUP(A299,'Refi Universe'!E:F,2,0)</f>
        <v>0.91121001999999995</v>
      </c>
    </row>
    <row r="300" spans="1:10" ht="15" x14ac:dyDescent="0.25">
      <c r="A300" s="14">
        <v>41010</v>
      </c>
      <c r="B300" s="15">
        <v>518</v>
      </c>
      <c r="C300" s="15">
        <v>518</v>
      </c>
      <c r="D300" s="5" t="s">
        <v>2</v>
      </c>
      <c r="E300" s="5" t="s">
        <v>2</v>
      </c>
      <c r="F300" s="5">
        <v>4.1978489999999997</v>
      </c>
      <c r="G300" s="12">
        <f>VLOOKUP(A300,'[1]all FNCL'!A$2:B$993,2)</f>
        <v>0.86928745494692705</v>
      </c>
      <c r="H300" s="3" t="s">
        <v>312</v>
      </c>
      <c r="I300">
        <v>0.57343184072471898</v>
      </c>
      <c r="J300" s="33">
        <f>VLOOKUP(A300,'Refi Universe'!E:F,2,0)</f>
        <v>0.90933637</v>
      </c>
    </row>
    <row r="301" spans="1:10" ht="15" x14ac:dyDescent="0.25">
      <c r="A301" s="14">
        <v>41011</v>
      </c>
      <c r="B301" s="15">
        <v>534</v>
      </c>
      <c r="C301" s="15">
        <v>534</v>
      </c>
      <c r="D301" s="5" t="s">
        <v>2</v>
      </c>
      <c r="E301" s="5" t="s">
        <v>2</v>
      </c>
      <c r="F301" s="5">
        <v>4.2111799999999997</v>
      </c>
      <c r="G301" s="12">
        <f>VLOOKUP(A301,'[1]all FNCL'!A$2:B$993,2)</f>
        <v>0.90843431405369401</v>
      </c>
      <c r="H301" s="3" t="s">
        <v>313</v>
      </c>
      <c r="I301">
        <v>0.57343184072471898</v>
      </c>
      <c r="J301" s="33">
        <f>VLOOKUP(A301,'Refi Universe'!E:F,2,0)</f>
        <v>0.90710064000000001</v>
      </c>
    </row>
    <row r="302" spans="1:10" ht="15" x14ac:dyDescent="0.25">
      <c r="A302" s="14">
        <v>41012</v>
      </c>
      <c r="B302" s="15">
        <v>560</v>
      </c>
      <c r="C302" s="15">
        <v>560</v>
      </c>
      <c r="D302" s="5" t="s">
        <v>2</v>
      </c>
      <c r="E302" s="5" t="s">
        <v>2</v>
      </c>
      <c r="F302" s="5">
        <v>4.1447099999999999</v>
      </c>
      <c r="G302" s="12">
        <f>VLOOKUP(A302,'[1]all FNCL'!A$2:B$993,2)</f>
        <v>0.90843431405369401</v>
      </c>
      <c r="H302" s="3" t="s">
        <v>314</v>
      </c>
      <c r="I302">
        <v>0.57343184072471898</v>
      </c>
      <c r="J302" s="33">
        <f>VLOOKUP(A302,'Refi Universe'!E:F,2,0)</f>
        <v>0.90933154999999999</v>
      </c>
    </row>
    <row r="303" spans="1:10" ht="15" x14ac:dyDescent="0.25">
      <c r="A303" s="14">
        <v>41015</v>
      </c>
      <c r="B303" s="15">
        <v>581</v>
      </c>
      <c r="C303" s="15">
        <v>581</v>
      </c>
      <c r="D303" s="5" t="s">
        <v>2</v>
      </c>
      <c r="E303" s="5" t="s">
        <v>2</v>
      </c>
      <c r="F303" s="5">
        <v>4.1417729999999997</v>
      </c>
      <c r="G303" s="12">
        <f>VLOOKUP(A303,'[1]all FNCL'!A$2:B$993,2)</f>
        <v>0.90843431405369401</v>
      </c>
      <c r="H303" s="3" t="s">
        <v>315</v>
      </c>
      <c r="I303">
        <v>0.57343184072471898</v>
      </c>
      <c r="J303" s="33">
        <f>VLOOKUP(A303,'Refi Universe'!E:F,2,0)</f>
        <v>0.90998736000000002</v>
      </c>
    </row>
    <row r="304" spans="1:10" ht="15" x14ac:dyDescent="0.25">
      <c r="A304" s="14">
        <v>41016</v>
      </c>
      <c r="B304" s="15">
        <v>587</v>
      </c>
      <c r="C304" s="15">
        <v>587</v>
      </c>
      <c r="D304" s="5" t="s">
        <v>2</v>
      </c>
      <c r="E304" s="5" t="s">
        <v>2</v>
      </c>
      <c r="F304" s="5">
        <v>4.1615469999999997</v>
      </c>
      <c r="G304" s="12">
        <f>VLOOKUP(A304,'[1]all FNCL'!A$2:B$993,2)</f>
        <v>0.90843431405369401</v>
      </c>
      <c r="H304" s="3" t="s">
        <v>316</v>
      </c>
      <c r="I304">
        <v>0.57343184072471898</v>
      </c>
      <c r="J304" s="33">
        <f>VLOOKUP(A304,'Refi Universe'!E:F,2,0)</f>
        <v>0.90800420000000004</v>
      </c>
    </row>
    <row r="305" spans="1:10" ht="15" x14ac:dyDescent="0.25">
      <c r="A305" s="14">
        <v>41017</v>
      </c>
      <c r="B305" s="15">
        <v>618</v>
      </c>
      <c r="C305" s="15">
        <v>618</v>
      </c>
      <c r="D305" s="5" t="s">
        <v>2</v>
      </c>
      <c r="E305" s="5" t="s">
        <v>2</v>
      </c>
      <c r="F305" s="5">
        <v>4.1491490000000004</v>
      </c>
      <c r="G305" s="12">
        <f>VLOOKUP(A305,'[1]all FNCL'!A$2:B$993,2)</f>
        <v>0.90843431405369401</v>
      </c>
      <c r="H305" s="3" t="s">
        <v>317</v>
      </c>
      <c r="I305">
        <v>0.60175540147873097</v>
      </c>
      <c r="J305" s="33">
        <f>VLOOKUP(A305,'Refi Universe'!E:F,2,0)</f>
        <v>0.90536366999999995</v>
      </c>
    </row>
    <row r="306" spans="1:10" ht="15" x14ac:dyDescent="0.25">
      <c r="A306" s="14">
        <v>41018</v>
      </c>
      <c r="B306" s="15">
        <v>614</v>
      </c>
      <c r="C306" s="15">
        <v>614</v>
      </c>
      <c r="D306" s="5" t="s">
        <v>2</v>
      </c>
      <c r="E306" s="5" t="s">
        <v>2</v>
      </c>
      <c r="F306" s="5">
        <v>4.1225889999999996</v>
      </c>
      <c r="G306" s="12">
        <f>VLOOKUP(A306,'[1]all FNCL'!A$2:B$993,2)</f>
        <v>0.90710064326562501</v>
      </c>
      <c r="H306" s="3" t="s">
        <v>318</v>
      </c>
      <c r="I306">
        <v>0.60175540147873097</v>
      </c>
      <c r="J306" s="33">
        <f>VLOOKUP(A306,'Refi Universe'!E:F,2,0)</f>
        <v>0.90885141000000003</v>
      </c>
    </row>
    <row r="307" spans="1:10" ht="15" x14ac:dyDescent="0.25">
      <c r="A307" s="14">
        <v>41019</v>
      </c>
      <c r="B307" s="15">
        <v>580</v>
      </c>
      <c r="C307" s="15">
        <v>580</v>
      </c>
      <c r="D307" s="5" t="s">
        <v>2</v>
      </c>
      <c r="E307" s="5" t="s">
        <v>2</v>
      </c>
      <c r="F307" s="5">
        <v>4.1301550000000002</v>
      </c>
      <c r="G307" s="12">
        <f>VLOOKUP(A307,'[1]all FNCL'!A$2:B$993,2)</f>
        <v>0.90710064326562501</v>
      </c>
      <c r="H307" s="3" t="s">
        <v>319</v>
      </c>
      <c r="I307">
        <v>0.60175540147873097</v>
      </c>
      <c r="J307" s="33">
        <f>VLOOKUP(A307,'Refi Universe'!E:F,2,0)</f>
        <v>0.90806520999999996</v>
      </c>
    </row>
    <row r="308" spans="1:10" ht="15" x14ac:dyDescent="0.25">
      <c r="A308" s="14">
        <v>41022</v>
      </c>
      <c r="B308" s="15">
        <v>593</v>
      </c>
      <c r="C308" s="15">
        <v>593</v>
      </c>
      <c r="D308" s="5" t="s">
        <v>2</v>
      </c>
      <c r="E308" s="5" t="s">
        <v>2</v>
      </c>
      <c r="F308" s="5">
        <v>4.1178749999999997</v>
      </c>
      <c r="G308" s="12">
        <f>VLOOKUP(A308,'[1]all FNCL'!A$2:B$993,2)</f>
        <v>0.90710064326562501</v>
      </c>
      <c r="H308" s="3" t="s">
        <v>320</v>
      </c>
      <c r="I308">
        <v>0.60175540147873097</v>
      </c>
      <c r="J308" s="33">
        <f>VLOOKUP(A308,'Refi Universe'!E:F,2,0)</f>
        <v>0.90994850999999999</v>
      </c>
    </row>
    <row r="309" spans="1:10" ht="15" x14ac:dyDescent="0.25">
      <c r="A309" s="14">
        <v>41023</v>
      </c>
      <c r="B309" s="15">
        <v>568</v>
      </c>
      <c r="C309" s="15">
        <v>568</v>
      </c>
      <c r="D309" s="5" t="s">
        <v>2</v>
      </c>
      <c r="E309" s="5" t="s">
        <v>2</v>
      </c>
      <c r="F309" s="5">
        <v>4.1239039999999996</v>
      </c>
      <c r="G309" s="12">
        <f>VLOOKUP(A309,'[1]all FNCL'!A$2:B$993,2)</f>
        <v>0.90710064326562501</v>
      </c>
      <c r="H309" s="3" t="s">
        <v>321</v>
      </c>
      <c r="I309">
        <v>0.41370007412069798</v>
      </c>
      <c r="J309" s="33">
        <f>VLOOKUP(A309,'Refi Universe'!E:F,2,0)</f>
        <v>0.90828774000000001</v>
      </c>
    </row>
    <row r="310" spans="1:10" ht="15" x14ac:dyDescent="0.25">
      <c r="A310" s="14">
        <v>41024</v>
      </c>
      <c r="B310" s="15">
        <v>557</v>
      </c>
      <c r="C310" s="15">
        <v>557</v>
      </c>
      <c r="D310" s="5" t="s">
        <v>2</v>
      </c>
      <c r="E310" s="5" t="s">
        <v>2</v>
      </c>
      <c r="F310" s="5">
        <v>4.1381969999999999</v>
      </c>
      <c r="G310" s="12">
        <f>VLOOKUP(A310,'[1]all FNCL'!A$2:B$993,2)</f>
        <v>0.90710064326562501</v>
      </c>
      <c r="H310" s="3" t="s">
        <v>322</v>
      </c>
      <c r="I310">
        <v>0.41370007412069798</v>
      </c>
      <c r="J310" s="33">
        <f>VLOOKUP(A310,'Refi Universe'!E:F,2,0)</f>
        <v>0.90652851000000001</v>
      </c>
    </row>
    <row r="311" spans="1:10" ht="15" x14ac:dyDescent="0.25">
      <c r="A311" s="14">
        <v>41025</v>
      </c>
      <c r="B311" s="15">
        <v>562</v>
      </c>
      <c r="C311" s="15">
        <v>562</v>
      </c>
      <c r="D311" s="5" t="s">
        <v>2</v>
      </c>
      <c r="E311" s="5" t="s">
        <v>2</v>
      </c>
      <c r="F311" s="5">
        <v>4.1258939999999997</v>
      </c>
      <c r="G311" s="12">
        <f>VLOOKUP(A311,'[1]all FNCL'!A$2:B$993,2)</f>
        <v>0.90843431405369401</v>
      </c>
      <c r="H311" s="3" t="s">
        <v>323</v>
      </c>
      <c r="I311">
        <v>0.39643390905357601</v>
      </c>
      <c r="J311" s="33">
        <f>VLOOKUP(A311,'Refi Universe'!E:F,2,0)</f>
        <v>0.90862149000000003</v>
      </c>
    </row>
    <row r="312" spans="1:10" ht="15" x14ac:dyDescent="0.25">
      <c r="A312" s="14">
        <v>41026</v>
      </c>
      <c r="B312" s="15">
        <v>554</v>
      </c>
      <c r="C312" s="15">
        <v>554</v>
      </c>
      <c r="D312" s="5" t="s">
        <v>2</v>
      </c>
      <c r="E312" s="5" t="s">
        <v>2</v>
      </c>
      <c r="F312" s="5">
        <v>4.1105790000000004</v>
      </c>
      <c r="G312" s="12">
        <f>VLOOKUP(A312,'[1]all FNCL'!A$2:B$993,2)</f>
        <v>0.90843431405369401</v>
      </c>
      <c r="H312" s="3" t="s">
        <v>324</v>
      </c>
      <c r="I312">
        <v>0.39643390905357601</v>
      </c>
      <c r="J312" s="33">
        <f>VLOOKUP(A312,'Refi Universe'!E:F,2,0)</f>
        <v>0.90994850999999999</v>
      </c>
    </row>
    <row r="313" spans="1:10" ht="15" x14ac:dyDescent="0.25">
      <c r="A313" s="14">
        <v>41029</v>
      </c>
      <c r="B313" s="15">
        <v>542</v>
      </c>
      <c r="C313" s="15">
        <v>542</v>
      </c>
      <c r="D313" s="5" t="s">
        <v>2</v>
      </c>
      <c r="E313" s="5" t="s">
        <v>2</v>
      </c>
      <c r="F313" s="5">
        <v>4.1106179999999997</v>
      </c>
      <c r="G313" s="12">
        <f>VLOOKUP(A313,'[1]all FNCL'!A$2:B$993,2)</f>
        <v>0.90843431405369401</v>
      </c>
      <c r="H313" s="3" t="s">
        <v>325</v>
      </c>
      <c r="I313">
        <v>0.43308419457729302</v>
      </c>
      <c r="J313" s="33">
        <f>VLOOKUP(A313,'Refi Universe'!E:F,2,0)</f>
        <v>0.91020621000000002</v>
      </c>
    </row>
    <row r="314" spans="1:10" ht="15" x14ac:dyDescent="0.25">
      <c r="A314" s="14">
        <v>41030</v>
      </c>
      <c r="B314" s="15">
        <v>503</v>
      </c>
      <c r="C314" s="15">
        <v>503</v>
      </c>
      <c r="D314" s="5" t="s">
        <v>2</v>
      </c>
      <c r="E314" s="5" t="s">
        <v>2</v>
      </c>
      <c r="F314" s="5">
        <v>4.1041040000000004</v>
      </c>
      <c r="G314" s="12">
        <f>VLOOKUP(A314,'[1]all FNCL'!A$2:B$993,2)</f>
        <v>0.89130997835799997</v>
      </c>
      <c r="H314" s="3" t="s">
        <v>326</v>
      </c>
      <c r="I314">
        <v>0.43308419457729302</v>
      </c>
      <c r="J314" s="33">
        <f>VLOOKUP(A314,'Refi Universe'!E:F,2,0)</f>
        <v>0.89172037999999998</v>
      </c>
    </row>
    <row r="315" spans="1:10" ht="15" x14ac:dyDescent="0.25">
      <c r="A315" s="14">
        <v>41031</v>
      </c>
      <c r="B315" s="15">
        <v>512</v>
      </c>
      <c r="C315" s="15">
        <v>512</v>
      </c>
      <c r="D315" s="5" t="s">
        <v>2</v>
      </c>
      <c r="E315" s="5" t="s">
        <v>2</v>
      </c>
      <c r="F315" s="5">
        <v>4.1126100000000001</v>
      </c>
      <c r="G315" s="12">
        <f>VLOOKUP(A315,'[1]all FNCL'!A$2:B$993,2)</f>
        <v>0.89130997835799997</v>
      </c>
      <c r="H315" s="3" t="s">
        <v>327</v>
      </c>
      <c r="I315">
        <v>0.43308419457729302</v>
      </c>
      <c r="J315" s="33">
        <f>VLOOKUP(A315,'Refi Universe'!E:F,2,0)</f>
        <v>0.89242913999999995</v>
      </c>
    </row>
    <row r="316" spans="1:10" ht="15" x14ac:dyDescent="0.25">
      <c r="A316" s="14">
        <v>41032</v>
      </c>
      <c r="B316" s="15">
        <v>486</v>
      </c>
      <c r="C316" s="15">
        <v>486</v>
      </c>
      <c r="D316" s="5" t="s">
        <v>2</v>
      </c>
      <c r="E316" s="5" t="s">
        <v>2</v>
      </c>
      <c r="F316" s="5">
        <v>4.1117119999999998</v>
      </c>
      <c r="G316" s="12">
        <f>VLOOKUP(A316,'[1]all FNCL'!A$2:B$993,2)</f>
        <v>0.89320680852935697</v>
      </c>
      <c r="H316" s="3" t="s">
        <v>328</v>
      </c>
      <c r="I316">
        <v>0.43308419457729302</v>
      </c>
      <c r="J316" s="33">
        <f>VLOOKUP(A316,'Refi Universe'!E:F,2,0)</f>
        <v>0.89178466999999995</v>
      </c>
    </row>
    <row r="317" spans="1:10" ht="15" x14ac:dyDescent="0.25">
      <c r="A317" s="14">
        <v>41033</v>
      </c>
      <c r="B317" s="15">
        <v>496</v>
      </c>
      <c r="C317" s="15">
        <v>496</v>
      </c>
      <c r="D317" s="5" t="s">
        <v>2</v>
      </c>
      <c r="E317" s="5" t="s">
        <v>2</v>
      </c>
      <c r="F317" s="5">
        <v>4.1137829999999997</v>
      </c>
      <c r="G317" s="12">
        <f>VLOOKUP(A317,'[1]all FNCL'!A$2:B$993,2)</f>
        <v>0.89320680852935697</v>
      </c>
      <c r="H317" s="3" t="s">
        <v>329</v>
      </c>
      <c r="I317">
        <v>0.43308419457729302</v>
      </c>
      <c r="J317" s="33">
        <f>VLOOKUP(A317,'Refi Universe'!E:F,2,0)</f>
        <v>0.89320864</v>
      </c>
    </row>
    <row r="318" spans="1:10" ht="15" x14ac:dyDescent="0.25">
      <c r="A318" s="14">
        <v>41036</v>
      </c>
      <c r="B318" s="15">
        <v>451</v>
      </c>
      <c r="C318" s="15">
        <v>451</v>
      </c>
      <c r="D318" s="5" t="s">
        <v>2</v>
      </c>
      <c r="E318" s="5" t="s">
        <v>2</v>
      </c>
      <c r="F318" s="5">
        <v>4.1128369999999999</v>
      </c>
      <c r="G318" s="12">
        <f>VLOOKUP(A318,'[1]all FNCL'!A$2:B$993,2)</f>
        <v>0.89320680852935697</v>
      </c>
      <c r="H318" s="3" t="s">
        <v>330</v>
      </c>
      <c r="I318">
        <v>0.34039157628197098</v>
      </c>
      <c r="J318" s="33">
        <f>VLOOKUP(A318,'Refi Universe'!E:F,2,0)</f>
        <v>0.89293347999999995</v>
      </c>
    </row>
    <row r="319" spans="1:10" ht="15" x14ac:dyDescent="0.25">
      <c r="A319" s="14">
        <v>41037</v>
      </c>
      <c r="B319" s="15">
        <v>438</v>
      </c>
      <c r="C319" s="15">
        <v>438</v>
      </c>
      <c r="D319" s="5" t="s">
        <v>2</v>
      </c>
      <c r="E319" s="5" t="s">
        <v>2</v>
      </c>
      <c r="F319" s="5">
        <v>4.114109</v>
      </c>
      <c r="G319" s="12">
        <f>VLOOKUP(A319,'[1]all FNCL'!A$2:B$993,2)</f>
        <v>0.89320680852935697</v>
      </c>
      <c r="H319" s="3" t="s">
        <v>331</v>
      </c>
      <c r="I319">
        <v>0.34039157628197098</v>
      </c>
      <c r="J319" s="33">
        <f>VLOOKUP(A319,'Refi Universe'!E:F,2,0)</f>
        <v>0.89332922000000003</v>
      </c>
    </row>
    <row r="320" spans="1:10" ht="15" x14ac:dyDescent="0.25">
      <c r="A320" s="14">
        <v>41038</v>
      </c>
      <c r="B320" s="15">
        <v>412</v>
      </c>
      <c r="C320" s="15">
        <v>412</v>
      </c>
      <c r="D320" s="5" t="s">
        <v>2</v>
      </c>
      <c r="E320" s="5" t="s">
        <v>2</v>
      </c>
      <c r="F320" s="5">
        <v>4.0983749999999999</v>
      </c>
      <c r="G320" s="12">
        <f>VLOOKUP(A320,'[1]all FNCL'!A$2:B$993,2)</f>
        <v>0.89320680852935697</v>
      </c>
      <c r="H320" s="3" t="s">
        <v>332</v>
      </c>
      <c r="I320">
        <v>0.34039157628197098</v>
      </c>
      <c r="J320" s="33">
        <f>VLOOKUP(A320,'Refi Universe'!E:F,2,0)</f>
        <v>0.89434619999999998</v>
      </c>
    </row>
    <row r="321" spans="1:10" ht="15" x14ac:dyDescent="0.25">
      <c r="A321" s="14">
        <v>41039</v>
      </c>
      <c r="B321" s="15">
        <v>412</v>
      </c>
      <c r="C321" s="15">
        <v>412</v>
      </c>
      <c r="D321" s="5" t="s">
        <v>2</v>
      </c>
      <c r="E321" s="5" t="s">
        <v>2</v>
      </c>
      <c r="F321" s="5">
        <v>4.0839679999999996</v>
      </c>
      <c r="G321" s="12">
        <f>VLOOKUP(A321,'[1]all FNCL'!A$2:B$993,2)</f>
        <v>0.89335852280722505</v>
      </c>
      <c r="H321" s="3" t="s">
        <v>333</v>
      </c>
      <c r="I321">
        <v>0.34039157628197098</v>
      </c>
      <c r="J321" s="33">
        <f>VLOOKUP(A321,'Refi Universe'!E:F,2,0)</f>
        <v>0.89447244000000004</v>
      </c>
    </row>
    <row r="322" spans="1:10" ht="15" x14ac:dyDescent="0.25">
      <c r="A322" s="14">
        <v>41040</v>
      </c>
      <c r="B322" s="15">
        <v>440</v>
      </c>
      <c r="C322" s="15">
        <v>440</v>
      </c>
      <c r="D322" s="5" t="s">
        <v>2</v>
      </c>
      <c r="E322" s="5" t="s">
        <v>2</v>
      </c>
      <c r="F322" s="5">
        <v>4.0767870000000004</v>
      </c>
      <c r="G322" s="12">
        <f>VLOOKUP(A322,'[1]all FNCL'!A$2:B$993,2)</f>
        <v>0.89335852280722505</v>
      </c>
      <c r="H322" s="3" t="s">
        <v>334</v>
      </c>
      <c r="I322">
        <v>0.426207408093986</v>
      </c>
      <c r="J322" s="33">
        <f>VLOOKUP(A322,'Refi Universe'!E:F,2,0)</f>
        <v>0.89503811</v>
      </c>
    </row>
    <row r="323" spans="1:10" ht="15" x14ac:dyDescent="0.25">
      <c r="A323" s="14">
        <v>41043</v>
      </c>
      <c r="B323" s="15">
        <v>473</v>
      </c>
      <c r="C323" s="15">
        <v>473</v>
      </c>
      <c r="D323" s="5" t="s">
        <v>2</v>
      </c>
      <c r="E323" s="5" t="s">
        <v>2</v>
      </c>
      <c r="F323" s="5">
        <v>4.0659479999999997</v>
      </c>
      <c r="G323" s="12">
        <f>VLOOKUP(A323,'[1]all FNCL'!A$2:B$993,2)</f>
        <v>0.89335852280722505</v>
      </c>
      <c r="H323" s="3" t="s">
        <v>335</v>
      </c>
      <c r="I323">
        <v>0.426207408093986</v>
      </c>
      <c r="J323" s="33">
        <f>VLOOKUP(A323,'Refi Universe'!E:F,2,0)</f>
        <v>0.89630202000000003</v>
      </c>
    </row>
    <row r="324" spans="1:10" ht="15" x14ac:dyDescent="0.25">
      <c r="A324" s="14">
        <v>41044</v>
      </c>
      <c r="B324" s="15">
        <v>478</v>
      </c>
      <c r="C324" s="15">
        <v>478</v>
      </c>
      <c r="D324" s="5" t="s">
        <v>2</v>
      </c>
      <c r="E324" s="5" t="s">
        <v>2</v>
      </c>
      <c r="F324" s="5">
        <v>4.066351</v>
      </c>
      <c r="G324" s="12">
        <f>VLOOKUP(A324,'[1]all FNCL'!A$2:B$993,2)</f>
        <v>0.89335852280722505</v>
      </c>
      <c r="H324" s="3" t="s">
        <v>336</v>
      </c>
      <c r="I324">
        <v>0.426207408093986</v>
      </c>
      <c r="J324" s="33">
        <f>VLOOKUP(A324,'Refi Universe'!E:F,2,0)</f>
        <v>0.89656175000000005</v>
      </c>
    </row>
    <row r="325" spans="1:10" ht="15" x14ac:dyDescent="0.25">
      <c r="A325" s="14">
        <v>41045</v>
      </c>
      <c r="B325" s="15">
        <v>519</v>
      </c>
      <c r="C325" s="15">
        <v>519</v>
      </c>
      <c r="D325" s="5" t="s">
        <v>2</v>
      </c>
      <c r="E325" s="5" t="s">
        <v>2</v>
      </c>
      <c r="F325" s="5">
        <v>4.0528639999999996</v>
      </c>
      <c r="G325" s="12">
        <f>VLOOKUP(A325,'[1]all FNCL'!A$2:B$993,2)</f>
        <v>0.89335852280722505</v>
      </c>
      <c r="H325" s="3" t="s">
        <v>337</v>
      </c>
      <c r="I325">
        <v>0.426207408093986</v>
      </c>
      <c r="J325" s="33">
        <f>VLOOKUP(A325,'Refi Universe'!E:F,2,0)</f>
        <v>0.89645978000000004</v>
      </c>
    </row>
    <row r="326" spans="1:10" ht="15" x14ac:dyDescent="0.25">
      <c r="A326" s="14">
        <v>41046</v>
      </c>
      <c r="B326" s="15">
        <v>584</v>
      </c>
      <c r="C326" s="15">
        <v>584</v>
      </c>
      <c r="D326" s="5" t="s">
        <v>2</v>
      </c>
      <c r="E326" s="5" t="s">
        <v>2</v>
      </c>
      <c r="F326" s="5">
        <v>4.0314810000000003</v>
      </c>
      <c r="G326" s="12">
        <f>VLOOKUP(A326,'[1]all FNCL'!A$2:B$993,2)</f>
        <v>0.89485932552840397</v>
      </c>
      <c r="H326" s="3" t="s">
        <v>338</v>
      </c>
      <c r="I326">
        <v>0.43167939138876898</v>
      </c>
      <c r="J326" s="33">
        <f>VLOOKUP(A326,'Refi Universe'!E:F,2,0)</f>
        <v>0.90122015</v>
      </c>
    </row>
    <row r="327" spans="1:10" ht="15" x14ac:dyDescent="0.25">
      <c r="A327" s="14">
        <v>41047</v>
      </c>
      <c r="B327" s="15">
        <v>561</v>
      </c>
      <c r="C327" s="15">
        <v>561</v>
      </c>
      <c r="D327" s="5" t="s">
        <v>2</v>
      </c>
      <c r="E327" s="5" t="s">
        <v>2</v>
      </c>
      <c r="F327" s="5">
        <v>4.0286109999999997</v>
      </c>
      <c r="G327" s="12">
        <f>VLOOKUP(A327,'[1]all FNCL'!A$2:B$993,2)</f>
        <v>0.89485932552840397</v>
      </c>
      <c r="H327" s="3" t="s">
        <v>339</v>
      </c>
      <c r="I327">
        <v>0.43167939138876898</v>
      </c>
      <c r="J327" s="33">
        <f>VLOOKUP(A327,'Refi Universe'!E:F,2,0)</f>
        <v>0.90049995000000005</v>
      </c>
    </row>
    <row r="328" spans="1:10" ht="15" x14ac:dyDescent="0.25">
      <c r="A328" s="14">
        <v>41050</v>
      </c>
      <c r="B328" s="15">
        <v>629</v>
      </c>
      <c r="C328" s="15">
        <v>629</v>
      </c>
      <c r="D328" s="5" t="s">
        <v>2</v>
      </c>
      <c r="E328" s="5" t="s">
        <v>2</v>
      </c>
      <c r="F328" s="5">
        <v>4.0694509999999999</v>
      </c>
      <c r="G328" s="12">
        <f>VLOOKUP(A328,'[1]all FNCL'!A$2:B$993,2)</f>
        <v>0.89485932552840397</v>
      </c>
      <c r="H328" s="3" t="s">
        <v>340</v>
      </c>
      <c r="I328">
        <v>0.43167939138876898</v>
      </c>
      <c r="J328" s="33">
        <f>VLOOKUP(A328,'Refi Universe'!E:F,2,0)</f>
        <v>0.89692227999999996</v>
      </c>
    </row>
    <row r="329" spans="1:10" ht="15" x14ac:dyDescent="0.25">
      <c r="A329" s="14">
        <v>41051</v>
      </c>
      <c r="B329" s="15">
        <v>591</v>
      </c>
      <c r="C329" s="15">
        <v>591</v>
      </c>
      <c r="D329" s="5" t="s">
        <v>2</v>
      </c>
      <c r="E329" s="5" t="s">
        <v>2</v>
      </c>
      <c r="F329" s="5">
        <v>4.0768579999999996</v>
      </c>
      <c r="G329" s="12">
        <f>VLOOKUP(A329,'[1]all FNCL'!A$2:B$993,2)</f>
        <v>0.89485932552840397</v>
      </c>
      <c r="H329" s="3" t="s">
        <v>341</v>
      </c>
      <c r="I329">
        <v>0.43167939138876898</v>
      </c>
      <c r="J329" s="33">
        <f>VLOOKUP(A329,'Refi Universe'!E:F,2,0)</f>
        <v>0.89508783999999997</v>
      </c>
    </row>
    <row r="330" spans="1:10" ht="15" x14ac:dyDescent="0.25">
      <c r="A330" s="14">
        <v>41052</v>
      </c>
      <c r="B330" s="15">
        <v>613</v>
      </c>
      <c r="C330" s="15">
        <v>613</v>
      </c>
      <c r="D330" s="5" t="s">
        <v>2</v>
      </c>
      <c r="E330" s="5" t="s">
        <v>2</v>
      </c>
      <c r="F330" s="5">
        <v>4.0707709999999997</v>
      </c>
      <c r="G330" s="12">
        <f>VLOOKUP(A330,'[1]all FNCL'!A$2:B$993,2)</f>
        <v>0.89485932552840397</v>
      </c>
      <c r="H330" s="3" t="s">
        <v>342</v>
      </c>
      <c r="I330">
        <v>0.43167939138876898</v>
      </c>
      <c r="J330" s="33">
        <f>VLOOKUP(A330,'Refi Universe'!E:F,2,0)</f>
        <v>0.89398533999999996</v>
      </c>
    </row>
    <row r="331" spans="1:10" ht="15" x14ac:dyDescent="0.25">
      <c r="A331" s="14">
        <v>41053</v>
      </c>
      <c r="B331" s="15">
        <v>620</v>
      </c>
      <c r="C331" s="15">
        <v>620</v>
      </c>
      <c r="D331" s="5" t="s">
        <v>2</v>
      </c>
      <c r="E331" s="5" t="s">
        <v>2</v>
      </c>
      <c r="F331" s="5">
        <v>4.074395</v>
      </c>
      <c r="G331" s="12">
        <f>VLOOKUP(A331,'[1]all FNCL'!A$2:B$993,2)</f>
        <v>0.89505966783361102</v>
      </c>
      <c r="H331" s="3" t="s">
        <v>343</v>
      </c>
      <c r="I331">
        <v>0.40917398895536999</v>
      </c>
      <c r="J331" s="33">
        <f>VLOOKUP(A331,'Refi Universe'!E:F,2,0)</f>
        <v>0.89292742000000003</v>
      </c>
    </row>
    <row r="332" spans="1:10" ht="15" x14ac:dyDescent="0.25">
      <c r="A332" s="14">
        <v>41054</v>
      </c>
      <c r="B332" s="15">
        <v>621</v>
      </c>
      <c r="C332" s="15">
        <v>621</v>
      </c>
      <c r="D332" s="5" t="s">
        <v>2</v>
      </c>
      <c r="E332" s="5" t="s">
        <v>2</v>
      </c>
      <c r="F332" s="5">
        <v>4.0780799999999999</v>
      </c>
      <c r="G332" s="12">
        <f>VLOOKUP(A332,'[1]all FNCL'!A$2:B$993,2)</f>
        <v>0.89505966783361102</v>
      </c>
      <c r="H332" s="3" t="s">
        <v>344</v>
      </c>
      <c r="I332">
        <v>0.40917398895536999</v>
      </c>
      <c r="J332" s="33">
        <f>VLOOKUP(A332,'Refi Universe'!E:F,2,0)</f>
        <v>0.89290855000000002</v>
      </c>
    </row>
    <row r="333" spans="1:10" ht="15" x14ac:dyDescent="0.25">
      <c r="A333" s="14">
        <v>41058</v>
      </c>
      <c r="B333" s="15">
        <v>628</v>
      </c>
      <c r="C333" s="15">
        <v>628</v>
      </c>
      <c r="D333" s="5" t="s">
        <v>2</v>
      </c>
      <c r="E333" s="5" t="s">
        <v>2</v>
      </c>
      <c r="F333" s="5">
        <v>4.0881299999999996</v>
      </c>
      <c r="G333" s="12">
        <f>VLOOKUP(A333,'[1]all FNCL'!A$2:B$993,2)</f>
        <v>0.89505966783361102</v>
      </c>
      <c r="H333" s="3" t="s">
        <v>345</v>
      </c>
      <c r="I333">
        <v>0.40917398895536999</v>
      </c>
      <c r="J333" s="33">
        <f>VLOOKUP(A333,'Refi Universe'!E:F,2,0)</f>
        <v>0.89258269999999995</v>
      </c>
    </row>
    <row r="334" spans="1:10" ht="15" x14ac:dyDescent="0.25">
      <c r="A334" s="14">
        <v>41059</v>
      </c>
      <c r="B334" s="15">
        <v>714</v>
      </c>
      <c r="C334" s="15">
        <v>714</v>
      </c>
      <c r="D334" s="5" t="s">
        <v>2</v>
      </c>
      <c r="E334" s="5" t="s">
        <v>2</v>
      </c>
      <c r="F334" s="5">
        <v>4.0514869999999998</v>
      </c>
      <c r="G334" s="12">
        <f>VLOOKUP(A334,'[1]all FNCL'!A$2:B$993,2)</f>
        <v>0.89505966783361102</v>
      </c>
      <c r="H334" s="3" t="s">
        <v>346</v>
      </c>
      <c r="I334">
        <v>0.40917398895536999</v>
      </c>
      <c r="J334" s="33">
        <f>VLOOKUP(A334,'Refi Universe'!E:F,2,0)</f>
        <v>0.89845090000000005</v>
      </c>
    </row>
    <row r="335" spans="1:10" ht="15" x14ac:dyDescent="0.25">
      <c r="A335" s="14">
        <v>41060</v>
      </c>
      <c r="B335" s="15">
        <v>765</v>
      </c>
      <c r="C335" s="15">
        <v>765</v>
      </c>
      <c r="D335" s="5" t="s">
        <v>2</v>
      </c>
      <c r="E335" s="5" t="s">
        <v>2</v>
      </c>
      <c r="F335" s="5">
        <v>4.0262029999999998</v>
      </c>
      <c r="G335" s="12">
        <f>VLOOKUP(A335,'[1]all FNCL'!A$2:B$993,2)</f>
        <v>0.89598257612375398</v>
      </c>
      <c r="H335" s="3" t="s">
        <v>347</v>
      </c>
      <c r="I335">
        <v>0.40917398895536999</v>
      </c>
      <c r="J335" s="33">
        <f>VLOOKUP(A335,'Refi Universe'!E:F,2,0)</f>
        <v>0.90149771000000001</v>
      </c>
    </row>
    <row r="336" spans="1:10" ht="15" x14ac:dyDescent="0.25">
      <c r="A336" s="14">
        <v>41061</v>
      </c>
      <c r="B336" s="15">
        <v>821</v>
      </c>
      <c r="C336" s="15">
        <v>821</v>
      </c>
      <c r="D336" s="5" t="s">
        <v>2</v>
      </c>
      <c r="E336" s="5" t="s">
        <v>2</v>
      </c>
      <c r="F336" s="5">
        <v>3.9641220000000001</v>
      </c>
      <c r="G336" s="12">
        <f>VLOOKUP(A336,'[1]all FNCL'!A$2:B$993,2)</f>
        <v>0.88344911791249303</v>
      </c>
      <c r="H336" s="3" t="s">
        <v>348</v>
      </c>
      <c r="I336">
        <v>0.40794548718226897</v>
      </c>
      <c r="J336" s="33">
        <f>VLOOKUP(A336,'Refi Universe'!E:F,2,0)</f>
        <v>0.95412836999999995</v>
      </c>
    </row>
    <row r="337" spans="1:10" ht="15" x14ac:dyDescent="0.25">
      <c r="A337" s="14">
        <v>41064</v>
      </c>
      <c r="B337" s="15">
        <v>779</v>
      </c>
      <c r="C337" s="15">
        <v>779</v>
      </c>
      <c r="D337" s="5" t="s">
        <v>2</v>
      </c>
      <c r="E337" s="5" t="s">
        <v>2</v>
      </c>
      <c r="F337" s="5">
        <v>4.0202730000000004</v>
      </c>
      <c r="G337" s="12">
        <f>VLOOKUP(A337,'[1]all FNCL'!A$2:B$993,2)</f>
        <v>0.88344911791249303</v>
      </c>
      <c r="H337" s="3" t="s">
        <v>349</v>
      </c>
      <c r="I337">
        <v>0.40794548718226897</v>
      </c>
      <c r="J337" s="33">
        <f>VLOOKUP(A337,'Refi Universe'!E:F,2,0)</f>
        <v>0.89625674</v>
      </c>
    </row>
    <row r="338" spans="1:10" ht="15" x14ac:dyDescent="0.25">
      <c r="A338" s="14">
        <v>41065</v>
      </c>
      <c r="B338" s="15">
        <v>754</v>
      </c>
      <c r="C338" s="15">
        <v>754</v>
      </c>
      <c r="D338" s="5" t="s">
        <v>2</v>
      </c>
      <c r="E338" s="5" t="s">
        <v>2</v>
      </c>
      <c r="F338" s="5">
        <v>4.052251</v>
      </c>
      <c r="G338" s="12">
        <f>VLOOKUP(A338,'[1]all FNCL'!A$2:B$993,2)</f>
        <v>0.88344911791249303</v>
      </c>
      <c r="H338" s="3" t="s">
        <v>350</v>
      </c>
      <c r="I338">
        <v>0.40794548718226897</v>
      </c>
      <c r="J338" s="33">
        <f>VLOOKUP(A338,'Refi Universe'!E:F,2,0)</f>
        <v>0.88786379000000004</v>
      </c>
    </row>
    <row r="339" spans="1:10" ht="15" x14ac:dyDescent="0.25">
      <c r="A339" s="14">
        <v>41066</v>
      </c>
      <c r="B339" s="15">
        <v>687</v>
      </c>
      <c r="C339" s="15">
        <v>687</v>
      </c>
      <c r="D339" s="5" t="s">
        <v>2</v>
      </c>
      <c r="E339" s="5" t="s">
        <v>2</v>
      </c>
      <c r="F339" s="5">
        <v>4.0453780000000004</v>
      </c>
      <c r="G339" s="12">
        <f>VLOOKUP(A339,'[1]all FNCL'!A$2:B$993,2)</f>
        <v>0.88344911791249303</v>
      </c>
      <c r="H339" s="3" t="s">
        <v>351</v>
      </c>
      <c r="I339">
        <v>0.28736143003290598</v>
      </c>
      <c r="J339" s="33">
        <f>VLOOKUP(A339,'Refi Universe'!E:F,2,0)</f>
        <v>0.88432498999999998</v>
      </c>
    </row>
    <row r="340" spans="1:10" ht="15" x14ac:dyDescent="0.25">
      <c r="A340" s="14">
        <v>41067</v>
      </c>
      <c r="B340" s="15">
        <v>655</v>
      </c>
      <c r="C340" s="15">
        <v>655</v>
      </c>
      <c r="D340" s="5" t="s">
        <v>2</v>
      </c>
      <c r="E340" s="5" t="s">
        <v>2</v>
      </c>
      <c r="F340" s="5">
        <v>4.0191910000000002</v>
      </c>
      <c r="G340" s="12">
        <f>VLOOKUP(A340,'[1]all FNCL'!A$2:B$993,2)</f>
        <v>0.89196946223805695</v>
      </c>
      <c r="H340" s="3" t="s">
        <v>352</v>
      </c>
      <c r="I340">
        <v>0.28736143003290598</v>
      </c>
      <c r="J340" s="33">
        <f>VLOOKUP(A340,'Refi Universe'!E:F,2,0)</f>
        <v>0.88658915999999999</v>
      </c>
    </row>
    <row r="341" spans="1:10" ht="15" x14ac:dyDescent="0.25">
      <c r="A341" s="14">
        <v>41068</v>
      </c>
      <c r="B341" s="15">
        <v>654</v>
      </c>
      <c r="C341" s="15">
        <v>654</v>
      </c>
      <c r="D341" s="5" t="s">
        <v>2</v>
      </c>
      <c r="E341" s="5" t="s">
        <v>2</v>
      </c>
      <c r="F341" s="5">
        <v>4.0274999999999999</v>
      </c>
      <c r="G341" s="12">
        <f>VLOOKUP(A341,'[1]all FNCL'!A$2:B$993,2)</f>
        <v>0.89196946223805695</v>
      </c>
      <c r="H341" s="3" t="s">
        <v>353</v>
      </c>
      <c r="I341">
        <v>0.28736143003290598</v>
      </c>
      <c r="J341" s="33">
        <f>VLOOKUP(A341,'Refi Universe'!E:F,2,0)</f>
        <v>0.88642206999999995</v>
      </c>
    </row>
    <row r="342" spans="1:10" ht="15" x14ac:dyDescent="0.25">
      <c r="A342" s="14">
        <v>41071</v>
      </c>
      <c r="B342" s="15">
        <v>684</v>
      </c>
      <c r="C342" s="15">
        <v>684</v>
      </c>
      <c r="D342" s="5" t="s">
        <v>2</v>
      </c>
      <c r="E342" s="5" t="s">
        <v>2</v>
      </c>
      <c r="F342" s="5">
        <v>4.0126090000000003</v>
      </c>
      <c r="G342" s="12">
        <f>VLOOKUP(A342,'[1]all FNCL'!A$2:B$993,2)</f>
        <v>0.89196946223805695</v>
      </c>
      <c r="H342" s="3" t="s">
        <v>354</v>
      </c>
      <c r="I342">
        <v>0.32609160736856702</v>
      </c>
      <c r="J342" s="33">
        <f>VLOOKUP(A342,'Refi Universe'!E:F,2,0)</f>
        <v>0.89143002999999998</v>
      </c>
    </row>
    <row r="343" spans="1:10" ht="15" x14ac:dyDescent="0.25">
      <c r="A343" s="14">
        <v>41072</v>
      </c>
      <c r="B343" s="15">
        <v>662</v>
      </c>
      <c r="C343" s="15">
        <v>662</v>
      </c>
      <c r="D343" s="5" t="s">
        <v>2</v>
      </c>
      <c r="E343" s="5" t="s">
        <v>2</v>
      </c>
      <c r="F343" s="5">
        <v>4.0417300000000003</v>
      </c>
      <c r="G343" s="12">
        <f>VLOOKUP(A343,'[1]all FNCL'!A$2:B$993,2)</f>
        <v>0.89196946223805695</v>
      </c>
      <c r="H343" s="3" t="s">
        <v>355</v>
      </c>
      <c r="I343">
        <v>0.32609160736856702</v>
      </c>
      <c r="J343" s="33">
        <f>VLOOKUP(A343,'Refi Universe'!E:F,2,0)</f>
        <v>0.88507773000000001</v>
      </c>
    </row>
    <row r="344" spans="1:10" ht="15" x14ac:dyDescent="0.25">
      <c r="A344" s="14">
        <v>41073</v>
      </c>
      <c r="B344" s="15">
        <v>691</v>
      </c>
      <c r="C344" s="15">
        <v>691</v>
      </c>
      <c r="D344" s="5" t="s">
        <v>2</v>
      </c>
      <c r="E344" s="5" t="s">
        <v>2</v>
      </c>
      <c r="F344" s="5">
        <v>4.0332100000000004</v>
      </c>
      <c r="G344" s="12">
        <f>VLOOKUP(A344,'[1]all FNCL'!A$2:B$993,2)</f>
        <v>0.89196946223805695</v>
      </c>
      <c r="H344" s="3" t="s">
        <v>356</v>
      </c>
      <c r="I344">
        <v>0.315593133253526</v>
      </c>
      <c r="J344" s="33">
        <f>VLOOKUP(A344,'Refi Universe'!E:F,2,0)</f>
        <v>0.88955698999999999</v>
      </c>
    </row>
    <row r="345" spans="1:10" ht="15" x14ac:dyDescent="0.25">
      <c r="A345" s="14">
        <v>41074</v>
      </c>
      <c r="B345" s="15">
        <v>684</v>
      </c>
      <c r="C345" s="15">
        <v>684</v>
      </c>
      <c r="D345" s="5" t="s">
        <v>2</v>
      </c>
      <c r="E345" s="5" t="s">
        <v>2</v>
      </c>
      <c r="F345" s="5">
        <v>4.0291079999999999</v>
      </c>
      <c r="G345" s="12">
        <f>VLOOKUP(A345,'[1]all FNCL'!A$2:B$993,2)</f>
        <v>0.88661468253780695</v>
      </c>
      <c r="H345" s="3" t="s">
        <v>357</v>
      </c>
      <c r="I345">
        <v>0.315593133253526</v>
      </c>
      <c r="J345" s="33">
        <f>VLOOKUP(A345,'Refi Universe'!E:F,2,0)</f>
        <v>0.89171836999999998</v>
      </c>
    </row>
    <row r="346" spans="1:10" ht="15" x14ac:dyDescent="0.25">
      <c r="A346" s="14">
        <v>41075</v>
      </c>
      <c r="B346" s="15">
        <v>705</v>
      </c>
      <c r="C346" s="15">
        <v>705</v>
      </c>
      <c r="D346" s="5" t="s">
        <v>2</v>
      </c>
      <c r="E346" s="5" t="s">
        <v>2</v>
      </c>
      <c r="F346" s="5">
        <v>4.0227839999999997</v>
      </c>
      <c r="G346" s="12">
        <f>VLOOKUP(A346,'[1]all FNCL'!A$2:B$993,2)</f>
        <v>0.88661468253780695</v>
      </c>
      <c r="H346" s="3" t="s">
        <v>358</v>
      </c>
      <c r="I346">
        <v>0.28153720559456502</v>
      </c>
      <c r="J346" s="33">
        <f>VLOOKUP(A346,'Refi Universe'!E:F,2,0)</f>
        <v>0.89594238999999998</v>
      </c>
    </row>
    <row r="347" spans="1:10" ht="15" x14ac:dyDescent="0.25">
      <c r="A347" s="14">
        <v>41078</v>
      </c>
      <c r="B347" s="15">
        <v>724</v>
      </c>
      <c r="C347" s="15">
        <v>724</v>
      </c>
      <c r="D347" s="5" t="s">
        <v>2</v>
      </c>
      <c r="E347" s="5" t="s">
        <v>2</v>
      </c>
      <c r="F347" s="5">
        <v>4.0032209999999999</v>
      </c>
      <c r="G347" s="12">
        <f>VLOOKUP(A347,'[1]all FNCL'!A$2:B$993,2)</f>
        <v>0.88661468253780695</v>
      </c>
      <c r="H347" s="3" t="s">
        <v>359</v>
      </c>
      <c r="I347">
        <v>0.28153720559456502</v>
      </c>
      <c r="J347" s="33">
        <f>VLOOKUP(A347,'Refi Universe'!E:F,2,0)</f>
        <v>0.90129705000000004</v>
      </c>
    </row>
    <row r="348" spans="1:10" ht="15" x14ac:dyDescent="0.25">
      <c r="A348" s="14">
        <v>41079</v>
      </c>
      <c r="B348" s="15">
        <v>712</v>
      </c>
      <c r="C348" s="15">
        <v>712</v>
      </c>
      <c r="D348" s="5" t="s">
        <v>2</v>
      </c>
      <c r="E348" s="5" t="s">
        <v>2</v>
      </c>
      <c r="F348" s="5">
        <v>3.986564</v>
      </c>
      <c r="G348" s="12">
        <f>VLOOKUP(A348,'[1]all FNCL'!A$2:B$993,2)</f>
        <v>0.88661468253780695</v>
      </c>
      <c r="H348" s="3" t="s">
        <v>360</v>
      </c>
      <c r="I348">
        <v>0.28153720559456502</v>
      </c>
      <c r="J348" s="33">
        <f>VLOOKUP(A348,'Refi Universe'!E:F,2,0)</f>
        <v>0.90024616000000002</v>
      </c>
    </row>
    <row r="349" spans="1:10" ht="15" x14ac:dyDescent="0.25">
      <c r="A349" s="14">
        <v>41080</v>
      </c>
      <c r="B349" s="15">
        <v>662</v>
      </c>
      <c r="C349" s="15">
        <v>662</v>
      </c>
      <c r="D349" s="5" t="s">
        <v>2</v>
      </c>
      <c r="E349" s="5" t="s">
        <v>2</v>
      </c>
      <c r="F349" s="5">
        <v>4.022545</v>
      </c>
      <c r="G349" s="12">
        <f>VLOOKUP(A349,'[1]all FNCL'!A$2:B$993,2)</f>
        <v>0.88661468253780695</v>
      </c>
      <c r="H349" s="3" t="s">
        <v>361</v>
      </c>
      <c r="I349">
        <v>0.28153720559456502</v>
      </c>
      <c r="J349" s="33">
        <f>VLOOKUP(A349,'Refi Universe'!E:F,2,0)</f>
        <v>0.89007672000000004</v>
      </c>
    </row>
    <row r="350" spans="1:10" ht="15" x14ac:dyDescent="0.25">
      <c r="A350" s="14">
        <v>41081</v>
      </c>
      <c r="B350" s="15">
        <v>660</v>
      </c>
      <c r="C350" s="15">
        <v>660</v>
      </c>
      <c r="D350" s="5" t="s">
        <v>2</v>
      </c>
      <c r="E350" s="5" t="s">
        <v>2</v>
      </c>
      <c r="F350" s="5">
        <v>3.987371</v>
      </c>
      <c r="G350" s="12">
        <f>VLOOKUP(A350,'[1]all FNCL'!A$2:B$993,2)</f>
        <v>0.89395578636495998</v>
      </c>
      <c r="H350" s="3" t="s">
        <v>362</v>
      </c>
      <c r="I350">
        <v>0.28153720559456502</v>
      </c>
      <c r="J350" s="33">
        <f>VLOOKUP(A350,'Refi Universe'!E:F,2,0)</f>
        <v>0.89465777999999996</v>
      </c>
    </row>
    <row r="351" spans="1:10" ht="15" x14ac:dyDescent="0.25">
      <c r="A351" s="14">
        <v>41082</v>
      </c>
      <c r="B351" s="15">
        <v>676</v>
      </c>
      <c r="C351" s="15">
        <v>676</v>
      </c>
      <c r="D351" s="5" t="s">
        <v>2</v>
      </c>
      <c r="E351" s="5" t="s">
        <v>2</v>
      </c>
      <c r="F351" s="5">
        <v>4.0102589999999996</v>
      </c>
      <c r="G351" s="12">
        <f>VLOOKUP(A351,'[1]all FNCL'!A$2:B$993,2)</f>
        <v>0.89395578636495998</v>
      </c>
      <c r="H351" s="3" t="s">
        <v>363</v>
      </c>
      <c r="I351">
        <v>0.28153720559456502</v>
      </c>
      <c r="J351" s="33">
        <f>VLOOKUP(A351,'Refi Universe'!E:F,2,0)</f>
        <v>0.88643691000000002</v>
      </c>
    </row>
    <row r="352" spans="1:10" ht="15" x14ac:dyDescent="0.25">
      <c r="A352" s="14">
        <v>41085</v>
      </c>
      <c r="B352" s="15">
        <v>604</v>
      </c>
      <c r="C352" s="15">
        <v>604</v>
      </c>
      <c r="D352" s="5" t="s">
        <v>2</v>
      </c>
      <c r="E352" s="5" t="s">
        <v>2</v>
      </c>
      <c r="F352" s="5">
        <v>3.899578</v>
      </c>
      <c r="G352" s="12">
        <f>VLOOKUP(A352,'[1]all FNCL'!A$2:B$993,2)</f>
        <v>0.89395578636495998</v>
      </c>
      <c r="H352" s="3" t="s">
        <v>364</v>
      </c>
      <c r="I352">
        <v>0.28153720559456502</v>
      </c>
      <c r="J352" s="33">
        <f>VLOOKUP(A352,'Refi Universe'!E:F,2,0)</f>
        <v>0.90621494000000002</v>
      </c>
    </row>
    <row r="353" spans="1:10" ht="15" x14ac:dyDescent="0.25">
      <c r="A353" s="14">
        <v>41086</v>
      </c>
      <c r="B353" s="15">
        <v>610</v>
      </c>
      <c r="C353" s="15">
        <v>610</v>
      </c>
      <c r="D353" s="5" t="s">
        <v>2</v>
      </c>
      <c r="E353" s="5" t="s">
        <v>2</v>
      </c>
      <c r="F353" s="5">
        <v>3.9503840000000001</v>
      </c>
      <c r="G353" s="12">
        <f>VLOOKUP(A353,'[1]all FNCL'!A$2:B$993,2)</f>
        <v>0.89395578636495998</v>
      </c>
      <c r="H353" s="3" t="s">
        <v>365</v>
      </c>
      <c r="I353">
        <v>0.28153720559456502</v>
      </c>
      <c r="J353" s="33">
        <f>VLOOKUP(A353,'Refi Universe'!E:F,2,0)</f>
        <v>0.89395577999999998</v>
      </c>
    </row>
    <row r="354" spans="1:10" ht="15" x14ac:dyDescent="0.25">
      <c r="A354" s="14">
        <v>41087</v>
      </c>
      <c r="B354" s="15">
        <v>595</v>
      </c>
      <c r="C354" s="15">
        <v>595</v>
      </c>
      <c r="D354" s="5" t="s">
        <v>2</v>
      </c>
      <c r="E354" s="5" t="s">
        <v>2</v>
      </c>
      <c r="F354" s="5">
        <v>3.9266779999999999</v>
      </c>
      <c r="G354" s="12">
        <f>VLOOKUP(A354,'[1]all FNCL'!A$2:B$993,2)</f>
        <v>0.89395578636495998</v>
      </c>
      <c r="H354" s="3" t="s">
        <v>366</v>
      </c>
      <c r="I354">
        <v>0.28153720559456502</v>
      </c>
      <c r="J354" s="33">
        <f>VLOOKUP(A354,'Refi Universe'!E:F,2,0)</f>
        <v>0.90152438999999995</v>
      </c>
    </row>
    <row r="355" spans="1:10" ht="15" x14ac:dyDescent="0.25">
      <c r="A355" s="14">
        <v>41088</v>
      </c>
      <c r="B355" s="15">
        <v>653</v>
      </c>
      <c r="C355" s="15">
        <v>653</v>
      </c>
      <c r="D355" s="5" t="s">
        <v>2</v>
      </c>
      <c r="E355" s="5" t="s">
        <v>2</v>
      </c>
      <c r="F355" s="5">
        <v>3.948744</v>
      </c>
      <c r="G355" s="12">
        <f>VLOOKUP(A355,'[1]all FNCL'!A$2:B$993,2)</f>
        <v>0.89395578636495998</v>
      </c>
      <c r="H355" s="3" t="s">
        <v>367</v>
      </c>
      <c r="I355">
        <v>0.28153720559456502</v>
      </c>
      <c r="J355" s="33">
        <f>VLOOKUP(A355,'Refi Universe'!E:F,2,0)</f>
        <v>0.91764312000000003</v>
      </c>
    </row>
    <row r="356" spans="1:10" ht="15" x14ac:dyDescent="0.25">
      <c r="A356" s="14">
        <v>41089</v>
      </c>
      <c r="B356" s="15">
        <v>648</v>
      </c>
      <c r="C356" s="15">
        <v>648</v>
      </c>
      <c r="D356" s="5" t="s">
        <v>2</v>
      </c>
      <c r="E356" s="5" t="s">
        <v>2</v>
      </c>
      <c r="F356" s="5">
        <v>3.97756</v>
      </c>
      <c r="G356" s="12">
        <f>VLOOKUP(A356,'[1]all FNCL'!A$2:B$993,2)</f>
        <v>0.89395578636495998</v>
      </c>
      <c r="H356" s="3" t="s">
        <v>368</v>
      </c>
      <c r="I356">
        <v>0.33139494640254802</v>
      </c>
      <c r="J356" s="33">
        <f>VLOOKUP(A356,'Refi Universe'!E:F,2,0)</f>
        <v>0.89196945999999999</v>
      </c>
    </row>
    <row r="357" spans="1:10" ht="15" x14ac:dyDescent="0.25">
      <c r="A357" s="14">
        <v>41092</v>
      </c>
      <c r="B357" s="15">
        <v>453</v>
      </c>
      <c r="C357" s="15">
        <v>453</v>
      </c>
      <c r="D357" s="5" t="s">
        <v>2</v>
      </c>
      <c r="E357" s="5" t="s">
        <v>2</v>
      </c>
      <c r="F357" s="5">
        <v>3.9210240000000001</v>
      </c>
      <c r="G357" s="12">
        <f>VLOOKUP(A357,'[1]all FNCL'!A$2:B$993,2)</f>
        <v>0.87735489357143903</v>
      </c>
      <c r="H357" s="3" t="s">
        <v>369</v>
      </c>
      <c r="I357">
        <v>0.33139494640254802</v>
      </c>
      <c r="J357" s="33">
        <f>VLOOKUP(A357,'Refi Universe'!E:F,2,0)</f>
        <v>0.90455958999999997</v>
      </c>
    </row>
    <row r="358" spans="1:10" ht="15" x14ac:dyDescent="0.25">
      <c r="A358" s="14">
        <v>41093</v>
      </c>
      <c r="B358" s="15">
        <v>455</v>
      </c>
      <c r="C358" s="15">
        <v>455</v>
      </c>
      <c r="D358" s="5" t="s">
        <v>2</v>
      </c>
      <c r="E358" s="5" t="s">
        <v>2</v>
      </c>
      <c r="F358" s="5">
        <v>3.9482659999999998</v>
      </c>
      <c r="G358" s="12">
        <f>VLOOKUP(A358,'[1]all FNCL'!A$2:B$993,2)</f>
        <v>0.87735489357143903</v>
      </c>
      <c r="H358" s="3" t="s">
        <v>370</v>
      </c>
      <c r="I358">
        <v>0.33139494640254802</v>
      </c>
      <c r="J358" s="33">
        <f>VLOOKUP(A358,'Refi Universe'!E:F,2,0)</f>
        <v>0.87981558999999998</v>
      </c>
    </row>
    <row r="359" spans="1:10" ht="15" x14ac:dyDescent="0.25">
      <c r="A359" s="14">
        <v>41095</v>
      </c>
      <c r="B359" s="15">
        <v>467</v>
      </c>
      <c r="C359" s="15">
        <v>467</v>
      </c>
      <c r="D359" s="5" t="s">
        <v>2</v>
      </c>
      <c r="E359" s="5" t="s">
        <v>2</v>
      </c>
      <c r="F359" s="5">
        <v>3.9365169999999998</v>
      </c>
      <c r="G359" s="12">
        <f>VLOOKUP(A359,'[1]all FNCL'!A$2:B$993,2)</f>
        <v>0.89133476417306701</v>
      </c>
      <c r="H359" s="3" t="s">
        <v>371</v>
      </c>
      <c r="I359">
        <v>0.33139494640254802</v>
      </c>
      <c r="J359" s="33">
        <f>VLOOKUP(A359,'Refi Universe'!E:F,2,0)</f>
        <v>0.88929053000000002</v>
      </c>
    </row>
    <row r="360" spans="1:10" ht="15" x14ac:dyDescent="0.25">
      <c r="A360" s="14">
        <v>41096</v>
      </c>
      <c r="B360" s="15">
        <v>460</v>
      </c>
      <c r="C360" s="15">
        <v>460</v>
      </c>
      <c r="D360" s="5" t="s">
        <v>2</v>
      </c>
      <c r="E360" s="5" t="s">
        <v>2</v>
      </c>
      <c r="F360" s="5">
        <v>3.8826320000000001</v>
      </c>
      <c r="G360" s="12">
        <f>VLOOKUP(A360,'[1]all FNCL'!A$2:B$993,2)</f>
        <v>0.89133476417306701</v>
      </c>
      <c r="H360" s="3" t="s">
        <v>372</v>
      </c>
      <c r="I360">
        <v>0.33139494640254802</v>
      </c>
      <c r="J360" s="33">
        <f>VLOOKUP(A360,'Refi Universe'!E:F,2,0)</f>
        <v>0.95815527</v>
      </c>
    </row>
    <row r="361" spans="1:10" ht="15" x14ac:dyDescent="0.25">
      <c r="A361" s="14">
        <v>41099</v>
      </c>
      <c r="B361" s="15">
        <v>437</v>
      </c>
      <c r="C361" s="15">
        <v>437</v>
      </c>
      <c r="D361" s="5" t="s">
        <v>2</v>
      </c>
      <c r="E361" s="5" t="s">
        <v>2</v>
      </c>
      <c r="F361" s="5">
        <v>3.8686850000000002</v>
      </c>
      <c r="G361" s="12">
        <f>VLOOKUP(A361,'[1]all FNCL'!A$2:B$993,2)</f>
        <v>0.89133476417306701</v>
      </c>
      <c r="H361" s="3" t="s">
        <v>373</v>
      </c>
      <c r="I361">
        <v>0.404422924260806</v>
      </c>
      <c r="J361" s="33">
        <f>VLOOKUP(A361,'Refi Universe'!E:F,2,0)</f>
        <v>0.97662514</v>
      </c>
    </row>
    <row r="362" spans="1:10" ht="15" x14ac:dyDescent="0.25">
      <c r="A362" s="14">
        <v>41100</v>
      </c>
      <c r="B362" s="15">
        <v>386</v>
      </c>
      <c r="C362" s="15">
        <v>386</v>
      </c>
      <c r="D362" s="5" t="s">
        <v>2</v>
      </c>
      <c r="E362" s="5" t="s">
        <v>2</v>
      </c>
      <c r="F362" s="5">
        <v>3.8353160000000002</v>
      </c>
      <c r="G362" s="12">
        <f>VLOOKUP(A362,'[1]all FNCL'!A$2:B$993,2)</f>
        <v>0.89133476417306701</v>
      </c>
      <c r="H362" s="3" t="s">
        <v>374</v>
      </c>
      <c r="I362">
        <v>0.404422924260806</v>
      </c>
      <c r="J362" s="33">
        <f>VLOOKUP(A362,'Refi Universe'!E:F,2,0)</f>
        <v>0.98419075</v>
      </c>
    </row>
    <row r="363" spans="1:10" ht="15" x14ac:dyDescent="0.25">
      <c r="A363" s="14">
        <v>41101</v>
      </c>
      <c r="B363" s="15">
        <v>369</v>
      </c>
      <c r="C363" s="15">
        <v>369</v>
      </c>
      <c r="D363" s="5" t="s">
        <v>2</v>
      </c>
      <c r="E363" s="5" t="s">
        <v>2</v>
      </c>
      <c r="F363" s="5">
        <v>3.8277399999999999</v>
      </c>
      <c r="G363" s="12">
        <f>VLOOKUP(A363,'[1]all FNCL'!A$2:B$993,2)</f>
        <v>0.89133476417306701</v>
      </c>
      <c r="H363" s="3" t="s">
        <v>375</v>
      </c>
      <c r="I363">
        <v>0.404422924260806</v>
      </c>
      <c r="J363" s="33">
        <f>VLOOKUP(A363,'Refi Universe'!E:F,2,0)</f>
        <v>0.97879925999999995</v>
      </c>
    </row>
    <row r="364" spans="1:10" ht="15" x14ac:dyDescent="0.25">
      <c r="A364" s="14">
        <v>41102</v>
      </c>
      <c r="B364" s="15">
        <v>375</v>
      </c>
      <c r="C364" s="15">
        <v>375</v>
      </c>
      <c r="D364" s="5" t="s">
        <v>2</v>
      </c>
      <c r="E364" s="5" t="s">
        <v>2</v>
      </c>
      <c r="F364" s="5">
        <v>3.8348309999999999</v>
      </c>
      <c r="G364" s="12">
        <f>VLOOKUP(A364,'[1]all FNCL'!A$2:B$993,2)</f>
        <v>0.944528095453952</v>
      </c>
      <c r="H364" s="3" t="s">
        <v>376</v>
      </c>
      <c r="I364">
        <v>0.39753455676891197</v>
      </c>
      <c r="J364" s="33">
        <f>VLOOKUP(A364,'Refi Universe'!E:F,2,0)</f>
        <v>0.98075705000000002</v>
      </c>
    </row>
    <row r="365" spans="1:10" ht="15" x14ac:dyDescent="0.25">
      <c r="A365" s="14">
        <v>41103</v>
      </c>
      <c r="B365" s="15">
        <v>358</v>
      </c>
      <c r="C365" s="15">
        <v>358</v>
      </c>
      <c r="D365" s="5" t="s">
        <v>2</v>
      </c>
      <c r="E365" s="5" t="s">
        <v>2</v>
      </c>
      <c r="F365" s="5">
        <v>3.8794409999999999</v>
      </c>
      <c r="G365" s="12">
        <f>VLOOKUP(A365,'[1]all FNCL'!A$2:B$993,2)</f>
        <v>0.944528095453952</v>
      </c>
      <c r="H365" s="3" t="s">
        <v>377</v>
      </c>
      <c r="I365">
        <v>0.39753455676891197</v>
      </c>
      <c r="J365" s="33">
        <f>VLOOKUP(A365,'Refi Universe'!E:F,2,0)</f>
        <v>0.95144748999999995</v>
      </c>
    </row>
    <row r="366" spans="1:10" ht="15" x14ac:dyDescent="0.25">
      <c r="A366" s="14">
        <v>41106</v>
      </c>
      <c r="B366" s="15">
        <v>405</v>
      </c>
      <c r="C366" s="15">
        <v>405</v>
      </c>
      <c r="D366" s="5" t="s">
        <v>2</v>
      </c>
      <c r="E366" s="5" t="s">
        <v>2</v>
      </c>
      <c r="F366" s="5">
        <v>3.8353869999999999</v>
      </c>
      <c r="G366" s="12">
        <f>VLOOKUP(A366,'[1]all FNCL'!A$2:B$993,2)</f>
        <v>0.944528095453952</v>
      </c>
      <c r="H366" s="3" t="s">
        <v>378</v>
      </c>
      <c r="I366">
        <v>0.41492382770581399</v>
      </c>
      <c r="J366" s="33">
        <f>VLOOKUP(A366,'Refi Universe'!E:F,2,0)</f>
        <v>0.98415346000000004</v>
      </c>
    </row>
    <row r="367" spans="1:10" ht="15" x14ac:dyDescent="0.25">
      <c r="A367" s="14">
        <v>41107</v>
      </c>
      <c r="B367" s="15">
        <v>398</v>
      </c>
      <c r="C367" s="15">
        <v>398</v>
      </c>
      <c r="D367" s="5" t="s">
        <v>2</v>
      </c>
      <c r="E367" s="5" t="s">
        <v>2</v>
      </c>
      <c r="F367" s="5">
        <v>3.8584770000000002</v>
      </c>
      <c r="G367" s="12">
        <f>VLOOKUP(A367,'[1]all FNCL'!A$2:B$993,2)</f>
        <v>0.944528095453952</v>
      </c>
      <c r="H367" s="3" t="s">
        <v>379</v>
      </c>
      <c r="I367">
        <v>0.41492382770581399</v>
      </c>
      <c r="J367" s="33">
        <f>VLOOKUP(A367,'Refi Universe'!E:F,2,0)</f>
        <v>0.97010662999999997</v>
      </c>
    </row>
    <row r="368" spans="1:10" ht="15" x14ac:dyDescent="0.25">
      <c r="A368" s="14">
        <v>41108</v>
      </c>
      <c r="B368" s="15">
        <v>413</v>
      </c>
      <c r="C368" s="15">
        <v>413</v>
      </c>
      <c r="D368" s="5" t="s">
        <v>2</v>
      </c>
      <c r="E368" s="5" t="s">
        <v>2</v>
      </c>
      <c r="F368" s="5">
        <v>3.8358789999999998</v>
      </c>
      <c r="G368" s="12">
        <f>VLOOKUP(A368,'[1]all FNCL'!A$2:B$993,2)</f>
        <v>0.944528095453952</v>
      </c>
      <c r="H368" s="3" t="s">
        <v>380</v>
      </c>
      <c r="I368">
        <v>0.41492382770581399</v>
      </c>
      <c r="J368" s="33">
        <f>VLOOKUP(A368,'Refi Universe'!E:F,2,0)</f>
        <v>0.98441588000000002</v>
      </c>
    </row>
    <row r="369" spans="1:10" ht="15" x14ac:dyDescent="0.25">
      <c r="A369" s="14">
        <v>41109</v>
      </c>
      <c r="B369" s="15">
        <v>411</v>
      </c>
      <c r="C369" s="15">
        <v>411</v>
      </c>
      <c r="D369" s="5" t="s">
        <v>2</v>
      </c>
      <c r="E369" s="5" t="s">
        <v>2</v>
      </c>
      <c r="F369" s="5">
        <v>3.8542329999999998</v>
      </c>
      <c r="G369" s="12">
        <f>VLOOKUP(A369,'[1]all FNCL'!A$2:B$993,2)</f>
        <v>0.97186924857157997</v>
      </c>
      <c r="H369" s="3" t="s">
        <v>381</v>
      </c>
      <c r="I369">
        <v>0.41492382770581399</v>
      </c>
      <c r="J369" s="33">
        <f>VLOOKUP(A369,'Refi Universe'!E:F,2,0)</f>
        <v>0.97879925999999995</v>
      </c>
    </row>
    <row r="370" spans="1:10" ht="15" x14ac:dyDescent="0.25">
      <c r="A370" s="14">
        <v>41110</v>
      </c>
      <c r="B370" s="15">
        <v>396</v>
      </c>
      <c r="C370" s="15">
        <v>396</v>
      </c>
      <c r="D370" s="5" t="s">
        <v>2</v>
      </c>
      <c r="E370" s="5" t="s">
        <v>2</v>
      </c>
      <c r="F370" s="5">
        <v>3.8191510000000002</v>
      </c>
      <c r="G370" s="12">
        <f>VLOOKUP(A370,'[1]all FNCL'!A$2:B$993,2)</f>
        <v>0.97186924857157997</v>
      </c>
      <c r="H370" s="3" t="s">
        <v>382</v>
      </c>
      <c r="I370">
        <v>0.41233771643317702</v>
      </c>
      <c r="J370" s="33">
        <f>VLOOKUP(A370,'Refi Universe'!E:F,2,0)</f>
        <v>0.98785926000000002</v>
      </c>
    </row>
    <row r="371" spans="1:10" ht="15" x14ac:dyDescent="0.25">
      <c r="A371" s="14">
        <v>41113</v>
      </c>
      <c r="B371" s="15">
        <v>400</v>
      </c>
      <c r="C371" s="15">
        <v>400</v>
      </c>
      <c r="D371" s="5" t="s">
        <v>2</v>
      </c>
      <c r="E371" s="5" t="s">
        <v>2</v>
      </c>
      <c r="F371" s="5">
        <v>3.7896390000000002</v>
      </c>
      <c r="G371" s="12">
        <f>VLOOKUP(A371,'[1]all FNCL'!A$2:B$993,2)</f>
        <v>0.97186924857157997</v>
      </c>
      <c r="H371" s="3" t="s">
        <v>383</v>
      </c>
      <c r="I371">
        <v>0.41233771643317702</v>
      </c>
      <c r="J371" s="33">
        <f>VLOOKUP(A371,'Refi Universe'!E:F,2,0)</f>
        <v>0.98850773000000003</v>
      </c>
    </row>
    <row r="372" spans="1:10" ht="15" x14ac:dyDescent="0.25">
      <c r="A372" s="14">
        <v>41114</v>
      </c>
      <c r="B372" s="15">
        <v>419</v>
      </c>
      <c r="C372" s="15">
        <v>419</v>
      </c>
      <c r="D372" s="5" t="s">
        <v>2</v>
      </c>
      <c r="E372" s="5" t="s">
        <v>2</v>
      </c>
      <c r="F372" s="5">
        <v>3.7645930000000001</v>
      </c>
      <c r="G372" s="12">
        <f>VLOOKUP(A372,'[1]all FNCL'!A$2:B$993,2)</f>
        <v>0.97186924857157997</v>
      </c>
      <c r="H372" s="3" t="s">
        <v>384</v>
      </c>
      <c r="I372">
        <v>0.41233771643317702</v>
      </c>
      <c r="J372" s="33">
        <f>VLOOKUP(A372,'Refi Universe'!E:F,2,0)</f>
        <v>0.98959233999999996</v>
      </c>
    </row>
    <row r="373" spans="1:10" ht="15" x14ac:dyDescent="0.25">
      <c r="A373" s="14">
        <v>41115</v>
      </c>
      <c r="B373" s="15">
        <v>416</v>
      </c>
      <c r="C373" s="15">
        <v>416</v>
      </c>
      <c r="D373" s="5" t="s">
        <v>2</v>
      </c>
      <c r="E373" s="5" t="s">
        <v>2</v>
      </c>
      <c r="F373" s="5">
        <v>3.7852109999999999</v>
      </c>
      <c r="G373" s="12">
        <f>VLOOKUP(A373,'[1]all FNCL'!A$2:B$993,2)</f>
        <v>0.97186924857157997</v>
      </c>
      <c r="H373" s="3" t="s">
        <v>385</v>
      </c>
      <c r="I373">
        <v>0.40226083862325102</v>
      </c>
      <c r="J373" s="33">
        <f>VLOOKUP(A373,'Refi Universe'!E:F,2,0)</f>
        <v>0.98728897999999998</v>
      </c>
    </row>
    <row r="374" spans="1:10" ht="15" x14ac:dyDescent="0.25">
      <c r="A374" s="14">
        <v>41116</v>
      </c>
      <c r="B374" s="15">
        <v>379</v>
      </c>
      <c r="C374" s="15">
        <v>379</v>
      </c>
      <c r="D374" s="5" t="s">
        <v>2</v>
      </c>
      <c r="E374" s="5" t="s">
        <v>2</v>
      </c>
      <c r="F374" s="5">
        <v>3.7980130000000001</v>
      </c>
      <c r="G374" s="12">
        <f>VLOOKUP(A374,'[1]all FNCL'!A$2:B$993,2)</f>
        <v>0.98447138587305705</v>
      </c>
      <c r="H374" s="3" t="s">
        <v>386</v>
      </c>
      <c r="I374">
        <v>0.40226083862325102</v>
      </c>
      <c r="J374" s="33">
        <f>VLOOKUP(A374,'Refi Universe'!E:F,2,0)</f>
        <v>0.98586468999999999</v>
      </c>
    </row>
    <row r="375" spans="1:10" ht="15" x14ac:dyDescent="0.25">
      <c r="A375" s="14">
        <v>41117</v>
      </c>
      <c r="B375" s="15">
        <v>336</v>
      </c>
      <c r="C375" s="15">
        <v>336</v>
      </c>
      <c r="D375" s="5" t="s">
        <v>2</v>
      </c>
      <c r="E375" s="5" t="s">
        <v>2</v>
      </c>
      <c r="F375" s="5">
        <v>3.8505289999999999</v>
      </c>
      <c r="G375" s="12">
        <f>VLOOKUP(A375,'[1]all FNCL'!A$2:B$993,2)</f>
        <v>0.97186924857157997</v>
      </c>
      <c r="H375" s="3" t="s">
        <v>387</v>
      </c>
      <c r="I375">
        <v>0.40226083862325102</v>
      </c>
      <c r="J375" s="33">
        <f>VLOOKUP(A375,'Refi Universe'!E:F,2,0)</f>
        <v>0.87809594999999996</v>
      </c>
    </row>
    <row r="376" spans="1:10" ht="15" x14ac:dyDescent="0.25">
      <c r="A376" s="14">
        <v>41120</v>
      </c>
      <c r="B376" s="15">
        <v>320</v>
      </c>
      <c r="C376" s="15">
        <v>320</v>
      </c>
      <c r="D376" s="5" t="s">
        <v>2</v>
      </c>
      <c r="E376" s="5" t="s">
        <v>2</v>
      </c>
      <c r="F376" s="5">
        <v>3.8049110000000002</v>
      </c>
      <c r="G376" s="12">
        <f>VLOOKUP(A376,'[1]all FNCL'!A$2:B$993,2)</f>
        <v>0.98447138587305705</v>
      </c>
      <c r="H376" s="3" t="s">
        <v>388</v>
      </c>
      <c r="I376">
        <v>0.40226083862325102</v>
      </c>
      <c r="J376" s="33">
        <f>VLOOKUP(A376,'Refi Universe'!E:F,2,0)</f>
        <v>0.97455305999999997</v>
      </c>
    </row>
    <row r="377" spans="1:10" ht="15" x14ac:dyDescent="0.25">
      <c r="A377" s="14">
        <v>41121</v>
      </c>
      <c r="B377" s="15">
        <v>288</v>
      </c>
      <c r="C377" s="15">
        <v>288</v>
      </c>
      <c r="D377" s="5" t="s">
        <v>2</v>
      </c>
      <c r="E377" s="5" t="s">
        <v>2</v>
      </c>
      <c r="F377" s="5">
        <v>3.7738589999999999</v>
      </c>
      <c r="G377" s="12">
        <f>VLOOKUP(A377,'[1]all FNCL'!A$2:B$993,2)</f>
        <v>0.98447138587305705</v>
      </c>
      <c r="H377" s="3" t="s">
        <v>389</v>
      </c>
      <c r="I377">
        <v>0.40226083862325102</v>
      </c>
      <c r="J377" s="33">
        <f>VLOOKUP(A377,'Refi Universe'!E:F,2,0)</f>
        <v>0.98007849999999996</v>
      </c>
    </row>
    <row r="378" spans="1:10" ht="15" x14ac:dyDescent="0.25">
      <c r="A378" s="14">
        <v>41122</v>
      </c>
      <c r="B378" s="15">
        <v>265</v>
      </c>
      <c r="C378" s="15">
        <v>265</v>
      </c>
      <c r="D378" s="5" t="s">
        <v>2</v>
      </c>
      <c r="E378" s="5" t="s">
        <v>2</v>
      </c>
      <c r="F378" s="5">
        <v>3.7763070000000001</v>
      </c>
      <c r="G378" s="12">
        <f>VLOOKUP(A378,'[1]all FNCL'!A$2:B$993,2)</f>
        <v>0.97289569754528904</v>
      </c>
      <c r="H378" s="3" t="s">
        <v>390</v>
      </c>
      <c r="I378">
        <v>0.44174331286746599</v>
      </c>
      <c r="J378" s="33">
        <f>VLOOKUP(A378,'Refi Universe'!E:F,2,0)</f>
        <v>0.92603561999999995</v>
      </c>
    </row>
    <row r="379" spans="1:10" ht="15" x14ac:dyDescent="0.25">
      <c r="A379" s="14">
        <v>41123</v>
      </c>
      <c r="B379" s="15">
        <v>271</v>
      </c>
      <c r="C379" s="15">
        <v>271</v>
      </c>
      <c r="D379" s="5" t="s">
        <v>2</v>
      </c>
      <c r="E379" s="5" t="s">
        <v>2</v>
      </c>
      <c r="F379" s="5">
        <v>3.77407</v>
      </c>
      <c r="G379" s="12">
        <f>VLOOKUP(A379,'[1]all FNCL'!A$2:B$993,2)</f>
        <v>0.93852225394978095</v>
      </c>
      <c r="H379" s="3" t="s">
        <v>391</v>
      </c>
      <c r="I379">
        <v>0.44174331286746599</v>
      </c>
      <c r="J379" s="33">
        <f>VLOOKUP(A379,'Refi Universe'!E:F,2,0)</f>
        <v>0.95403947</v>
      </c>
    </row>
    <row r="380" spans="1:10" ht="15" x14ac:dyDescent="0.25">
      <c r="A380" s="14">
        <v>41124</v>
      </c>
      <c r="B380" s="15">
        <v>286</v>
      </c>
      <c r="C380" s="15">
        <v>286</v>
      </c>
      <c r="D380" s="5" t="s">
        <v>2</v>
      </c>
      <c r="E380" s="5" t="s">
        <v>2</v>
      </c>
      <c r="F380" s="5">
        <v>3.831642</v>
      </c>
      <c r="G380" s="12">
        <f>VLOOKUP(A380,'[1]all FNCL'!A$2:B$993,2)</f>
        <v>0.93852225394978095</v>
      </c>
      <c r="H380" s="3" t="s">
        <v>392</v>
      </c>
      <c r="I380">
        <v>0.44174331286746599</v>
      </c>
      <c r="J380" s="33">
        <f>VLOOKUP(A380,'Refi Universe'!E:F,2,0)</f>
        <v>0.87064797000000005</v>
      </c>
    </row>
    <row r="381" spans="1:10" ht="15" x14ac:dyDescent="0.25">
      <c r="A381" s="14">
        <v>41127</v>
      </c>
      <c r="B381" s="15">
        <v>296</v>
      </c>
      <c r="C381" s="15">
        <v>296</v>
      </c>
      <c r="D381" s="5" t="s">
        <v>2</v>
      </c>
      <c r="E381" s="5" t="s">
        <v>2</v>
      </c>
      <c r="F381" s="5">
        <v>3.8311890000000002</v>
      </c>
      <c r="G381" s="12">
        <f>VLOOKUP(A381,'[1]all FNCL'!A$2:B$993,2)</f>
        <v>0.93852225394978095</v>
      </c>
      <c r="H381" s="3" t="s">
        <v>393</v>
      </c>
      <c r="I381">
        <v>0.46054051472194202</v>
      </c>
      <c r="J381" s="33">
        <f>VLOOKUP(A381,'Refi Universe'!E:F,2,0)</f>
        <v>0.87914780000000003</v>
      </c>
    </row>
    <row r="382" spans="1:10" ht="15" x14ac:dyDescent="0.25">
      <c r="A382" s="14">
        <v>41128</v>
      </c>
      <c r="B382" s="15">
        <v>305</v>
      </c>
      <c r="C382" s="15">
        <v>305</v>
      </c>
      <c r="D382" s="5" t="s">
        <v>2</v>
      </c>
      <c r="E382" s="5" t="s">
        <v>2</v>
      </c>
      <c r="F382" s="5">
        <v>3.8464839999999998</v>
      </c>
      <c r="G382" s="12">
        <f>VLOOKUP(A382,'[1]all FNCL'!A$2:B$993,2)</f>
        <v>0.93852225394978095</v>
      </c>
      <c r="H382" s="3" t="s">
        <v>394</v>
      </c>
      <c r="I382">
        <v>0.45992799651573901</v>
      </c>
      <c r="J382" s="33">
        <f>VLOOKUP(A382,'Refi Universe'!E:F,2,0)</f>
        <v>0.85676613000000001</v>
      </c>
    </row>
    <row r="383" spans="1:10" ht="15" x14ac:dyDescent="0.25">
      <c r="A383" s="14">
        <v>41129</v>
      </c>
      <c r="B383" s="15">
        <v>304</v>
      </c>
      <c r="C383" s="15">
        <v>304</v>
      </c>
      <c r="D383" s="5" t="s">
        <v>2</v>
      </c>
      <c r="E383" s="5" t="s">
        <v>2</v>
      </c>
      <c r="F383" s="5">
        <v>3.8253469999999998</v>
      </c>
      <c r="G383" s="12">
        <f>VLOOKUP(A383,'[1]all FNCL'!A$2:B$993,2)</f>
        <v>0.93852225394978095</v>
      </c>
      <c r="H383" s="3" t="s">
        <v>395</v>
      </c>
      <c r="I383">
        <v>0.45992799651573901</v>
      </c>
      <c r="J383" s="33">
        <f>VLOOKUP(A383,'Refi Universe'!E:F,2,0)</f>
        <v>0.88188845000000005</v>
      </c>
    </row>
    <row r="384" spans="1:10" ht="15" x14ac:dyDescent="0.25">
      <c r="A384" s="14">
        <v>41130</v>
      </c>
      <c r="B384" s="15">
        <v>285</v>
      </c>
      <c r="C384" s="15">
        <v>285</v>
      </c>
      <c r="D384" s="5" t="s">
        <v>2</v>
      </c>
      <c r="E384" s="5" t="s">
        <v>2</v>
      </c>
      <c r="F384" s="5">
        <v>3.8120690000000002</v>
      </c>
      <c r="G384" s="12">
        <f>VLOOKUP(A384,'[1]all FNCL'!A$2:B$993,2)</f>
        <v>0.88830449257823196</v>
      </c>
      <c r="H384" s="3" t="s">
        <v>396</v>
      </c>
      <c r="I384">
        <v>0.45992799651573901</v>
      </c>
      <c r="J384" s="33">
        <f>VLOOKUP(A384,'Refi Universe'!E:F,2,0)</f>
        <v>0.87997017</v>
      </c>
    </row>
    <row r="385" spans="1:10" ht="15" x14ac:dyDescent="0.25">
      <c r="A385" s="14">
        <v>41131</v>
      </c>
      <c r="B385" s="15">
        <v>279</v>
      </c>
      <c r="C385" s="15">
        <v>279</v>
      </c>
      <c r="D385" s="5" t="s">
        <v>2</v>
      </c>
      <c r="E385" s="5" t="s">
        <v>2</v>
      </c>
      <c r="F385" s="5">
        <v>3.8045239999999998</v>
      </c>
      <c r="G385" s="12">
        <f>VLOOKUP(A385,'[1]all FNCL'!A$2:B$993,2)</f>
        <v>0.88830449257823196</v>
      </c>
      <c r="H385" s="3" t="s">
        <v>397</v>
      </c>
      <c r="I385">
        <v>0.45992799651573901</v>
      </c>
      <c r="J385" s="33">
        <f>VLOOKUP(A385,'Refi Universe'!E:F,2,0)</f>
        <v>0.90059957999999996</v>
      </c>
    </row>
    <row r="386" spans="1:10" ht="15" x14ac:dyDescent="0.25">
      <c r="A386" s="14">
        <v>41134</v>
      </c>
      <c r="B386" s="15">
        <v>278</v>
      </c>
      <c r="C386" s="15">
        <v>278</v>
      </c>
      <c r="D386" s="5" t="s">
        <v>2</v>
      </c>
      <c r="E386" s="5" t="s">
        <v>2</v>
      </c>
      <c r="F386" s="5">
        <v>3.8090820000000001</v>
      </c>
      <c r="G386" s="12">
        <f>VLOOKUP(A386,'[1]all FNCL'!A$2:B$993,2)</f>
        <v>0.88830449257823196</v>
      </c>
      <c r="H386" s="3" t="s">
        <v>398</v>
      </c>
      <c r="I386">
        <v>0.42914615919681298</v>
      </c>
      <c r="J386" s="33">
        <f>VLOOKUP(A386,'Refi Universe'!E:F,2,0)</f>
        <v>0.90519167</v>
      </c>
    </row>
    <row r="387" spans="1:10" ht="15" x14ac:dyDescent="0.25">
      <c r="A387" s="14">
        <v>41135</v>
      </c>
      <c r="B387" s="15">
        <v>284</v>
      </c>
      <c r="C387" s="15">
        <v>284</v>
      </c>
      <c r="D387" s="5" t="s">
        <v>2</v>
      </c>
      <c r="E387" s="5" t="s">
        <v>2</v>
      </c>
      <c r="F387" s="5">
        <v>3.8369450000000001</v>
      </c>
      <c r="G387" s="12">
        <f>VLOOKUP(A387,'[1]all FNCL'!A$2:B$993,2)</f>
        <v>0.88830449257823196</v>
      </c>
      <c r="H387" s="3" t="s">
        <v>399</v>
      </c>
      <c r="I387">
        <v>0.42914615919681298</v>
      </c>
      <c r="J387" s="33">
        <f>VLOOKUP(A387,'Refi Universe'!E:F,2,0)</f>
        <v>0.85987332000000005</v>
      </c>
    </row>
    <row r="388" spans="1:10" ht="15" x14ac:dyDescent="0.25">
      <c r="A388" s="14">
        <v>41136</v>
      </c>
      <c r="B388" s="15">
        <v>303</v>
      </c>
      <c r="C388" s="15">
        <v>303</v>
      </c>
      <c r="D388" s="5" t="s">
        <v>2</v>
      </c>
      <c r="E388" s="5" t="s">
        <v>2</v>
      </c>
      <c r="F388" s="5">
        <v>3.909599</v>
      </c>
      <c r="G388" s="12">
        <f>VLOOKUP(A388,'[1]all FNCL'!A$2:B$993,2)</f>
        <v>0.88830449257823196</v>
      </c>
      <c r="H388" s="3" t="s">
        <v>400</v>
      </c>
      <c r="I388">
        <v>0.42914615919681298</v>
      </c>
      <c r="J388" s="33">
        <f>VLOOKUP(A388,'Refi Universe'!E:F,2,0)</f>
        <v>0.84554792000000001</v>
      </c>
    </row>
    <row r="389" spans="1:10" ht="15" x14ac:dyDescent="0.25">
      <c r="A389" s="14">
        <v>41137</v>
      </c>
      <c r="B389" s="15">
        <v>295</v>
      </c>
      <c r="C389" s="15">
        <v>295</v>
      </c>
      <c r="D389" s="5" t="s">
        <v>2</v>
      </c>
      <c r="E389" s="5" t="s">
        <v>2</v>
      </c>
      <c r="F389" s="5">
        <v>3.9317530000000001</v>
      </c>
      <c r="G389" s="12">
        <f>VLOOKUP(A389,'[1]all FNCL'!A$2:B$993,2)</f>
        <v>0.871668034024078</v>
      </c>
      <c r="H389" s="3" t="s">
        <v>401</v>
      </c>
      <c r="I389">
        <v>0.38756459325455</v>
      </c>
      <c r="J389" s="33">
        <f>VLOOKUP(A389,'Refi Universe'!E:F,2,0)</f>
        <v>0.84291780999999999</v>
      </c>
    </row>
    <row r="390" spans="1:10" ht="15" x14ac:dyDescent="0.25">
      <c r="A390" s="14">
        <v>41138</v>
      </c>
      <c r="B390" s="15">
        <v>291</v>
      </c>
      <c r="C390" s="15">
        <v>291</v>
      </c>
      <c r="D390" s="5" t="s">
        <v>2</v>
      </c>
      <c r="E390" s="5" t="s">
        <v>2</v>
      </c>
      <c r="F390" s="5">
        <v>3.9167260000000002</v>
      </c>
      <c r="G390" s="12">
        <f>VLOOKUP(A390,'[1]all FNCL'!A$2:B$993,2)</f>
        <v>0.871668034024078</v>
      </c>
      <c r="H390" s="3" t="s">
        <v>402</v>
      </c>
      <c r="I390">
        <v>0.38756459325455</v>
      </c>
      <c r="J390" s="33">
        <f>VLOOKUP(A390,'Refi Universe'!E:F,2,0)</f>
        <v>0.84552031000000005</v>
      </c>
    </row>
    <row r="391" spans="1:10" ht="15" x14ac:dyDescent="0.25">
      <c r="A391" s="14">
        <v>41141</v>
      </c>
      <c r="B391" s="15">
        <v>287</v>
      </c>
      <c r="C391" s="15">
        <v>287</v>
      </c>
      <c r="D391" s="5" t="s">
        <v>2</v>
      </c>
      <c r="E391" s="5" t="s">
        <v>2</v>
      </c>
      <c r="F391" s="5">
        <v>3.905341</v>
      </c>
      <c r="G391" s="12">
        <f>VLOOKUP(A391,'[1]all FNCL'!A$2:B$993,2)</f>
        <v>0.871668034024078</v>
      </c>
      <c r="H391" s="3" t="s">
        <v>403</v>
      </c>
      <c r="I391">
        <v>0.38756459325455</v>
      </c>
      <c r="J391" s="33">
        <f>VLOOKUP(A391,'Refi Universe'!E:F,2,0)</f>
        <v>0.84702736999999995</v>
      </c>
    </row>
    <row r="392" spans="1:10" ht="15" x14ac:dyDescent="0.25">
      <c r="A392" s="14">
        <v>41142</v>
      </c>
      <c r="B392" s="15">
        <v>279</v>
      </c>
      <c r="C392" s="15">
        <v>279</v>
      </c>
      <c r="D392" s="5" t="s">
        <v>2</v>
      </c>
      <c r="E392" s="5" t="s">
        <v>2</v>
      </c>
      <c r="F392" s="5">
        <v>3.9096850000000001</v>
      </c>
      <c r="G392" s="12">
        <f>VLOOKUP(A392,'[1]all FNCL'!A$2:B$993,2)</f>
        <v>0.871668034024078</v>
      </c>
      <c r="H392" s="3" t="s">
        <v>404</v>
      </c>
      <c r="I392">
        <v>0.38756459325455</v>
      </c>
      <c r="J392" s="33">
        <f>VLOOKUP(A392,'Refi Universe'!E:F,2,0)</f>
        <v>0.84653082999999996</v>
      </c>
    </row>
    <row r="393" spans="1:10" ht="15" x14ac:dyDescent="0.25">
      <c r="A393" s="14">
        <v>41143</v>
      </c>
      <c r="B393" s="15">
        <v>248</v>
      </c>
      <c r="C393" s="15">
        <v>248</v>
      </c>
      <c r="D393" s="5" t="s">
        <v>2</v>
      </c>
      <c r="E393" s="5" t="s">
        <v>2</v>
      </c>
      <c r="F393" s="5">
        <v>3.862168</v>
      </c>
      <c r="G393" s="12">
        <f>VLOOKUP(A393,'[1]all FNCL'!A$2:B$993,2)</f>
        <v>0.871668034024078</v>
      </c>
      <c r="H393" s="3" t="s">
        <v>405</v>
      </c>
      <c r="I393">
        <v>0.41376095810168201</v>
      </c>
      <c r="J393" s="33">
        <f>VLOOKUP(A393,'Refi Universe'!E:F,2,0)</f>
        <v>0.92849970000000004</v>
      </c>
    </row>
    <row r="394" spans="1:10" ht="15" x14ac:dyDescent="0.25">
      <c r="A394" s="14">
        <v>41144</v>
      </c>
      <c r="B394" s="15">
        <v>256</v>
      </c>
      <c r="C394" s="15">
        <v>256</v>
      </c>
      <c r="D394" s="5" t="s">
        <v>2</v>
      </c>
      <c r="E394" s="5" t="s">
        <v>2</v>
      </c>
      <c r="F394" s="5">
        <v>3.843178</v>
      </c>
      <c r="G394" s="12">
        <f>VLOOKUP(A394,'[1]all FNCL'!A$2:B$993,2)</f>
        <v>0.85676613742448104</v>
      </c>
      <c r="H394" s="3" t="s">
        <v>406</v>
      </c>
      <c r="I394">
        <v>0.41376095810168201</v>
      </c>
      <c r="J394" s="33">
        <f>VLOOKUP(A394,'Refi Universe'!E:F,2,0)</f>
        <v>0.97284862999999999</v>
      </c>
    </row>
    <row r="395" spans="1:10" ht="15" x14ac:dyDescent="0.25">
      <c r="A395" s="14">
        <v>41145</v>
      </c>
      <c r="B395" s="15">
        <v>255</v>
      </c>
      <c r="C395" s="15">
        <v>255</v>
      </c>
      <c r="D395" s="5" t="s">
        <v>2</v>
      </c>
      <c r="E395" s="5" t="s">
        <v>2</v>
      </c>
      <c r="F395" s="5">
        <v>3.8624849999999999</v>
      </c>
      <c r="G395" s="12">
        <f>VLOOKUP(A395,'[1]all FNCL'!A$2:B$993,2)</f>
        <v>0.85676613742448104</v>
      </c>
      <c r="H395" s="3" t="s">
        <v>407</v>
      </c>
      <c r="I395">
        <v>0.41376095810168201</v>
      </c>
      <c r="J395" s="33">
        <f>VLOOKUP(A395,'Refi Universe'!E:F,2,0)</f>
        <v>0.96075451000000001</v>
      </c>
    </row>
    <row r="396" spans="1:10" ht="15" x14ac:dyDescent="0.25">
      <c r="A396" s="14">
        <v>41148</v>
      </c>
      <c r="B396" s="15">
        <v>234</v>
      </c>
      <c r="C396" s="15">
        <v>234</v>
      </c>
      <c r="D396" s="5" t="s">
        <v>2</v>
      </c>
      <c r="E396" s="5" t="s">
        <v>2</v>
      </c>
      <c r="F396" s="5">
        <v>3.845545</v>
      </c>
      <c r="G396" s="12">
        <f>VLOOKUP(A396,'[1]all FNCL'!A$2:B$993,2)</f>
        <v>0.85676613742448104</v>
      </c>
      <c r="H396" s="3" t="s">
        <v>408</v>
      </c>
      <c r="I396">
        <v>0.41376095810168201</v>
      </c>
      <c r="J396" s="33">
        <f>VLOOKUP(A396,'Refi Universe'!E:F,2,0)</f>
        <v>0.97332927999999996</v>
      </c>
    </row>
    <row r="397" spans="1:10" ht="15" x14ac:dyDescent="0.25">
      <c r="A397" s="14">
        <v>41149</v>
      </c>
      <c r="B397" s="15">
        <v>245</v>
      </c>
      <c r="C397" s="15">
        <v>245</v>
      </c>
      <c r="D397" s="5" t="s">
        <v>2</v>
      </c>
      <c r="E397" s="5" t="s">
        <v>2</v>
      </c>
      <c r="F397" s="5">
        <v>3.8483520000000002</v>
      </c>
      <c r="G397" s="12">
        <f>VLOOKUP(A397,'[1]all FNCL'!A$2:B$993,2)</f>
        <v>0.85676613742448104</v>
      </c>
      <c r="H397" s="3" t="s">
        <v>409</v>
      </c>
      <c r="I397">
        <v>0.39685395177288302</v>
      </c>
      <c r="J397" s="33">
        <f>VLOOKUP(A397,'Refi Universe'!E:F,2,0)</f>
        <v>0.97623548000000004</v>
      </c>
    </row>
    <row r="398" spans="1:10" ht="15" x14ac:dyDescent="0.25">
      <c r="A398" s="14">
        <v>41150</v>
      </c>
      <c r="B398" s="15">
        <v>261</v>
      </c>
      <c r="C398" s="15">
        <v>261</v>
      </c>
      <c r="D398" s="5" t="s">
        <v>2</v>
      </c>
      <c r="E398" s="5" t="s">
        <v>2</v>
      </c>
      <c r="F398" s="5">
        <v>3.8780429999999999</v>
      </c>
      <c r="G398" s="12">
        <f>VLOOKUP(A398,'[1]all FNCL'!A$2:B$993,2)</f>
        <v>0.85676613742448104</v>
      </c>
      <c r="H398" s="3" t="s">
        <v>410</v>
      </c>
      <c r="I398">
        <v>0.39163572008716802</v>
      </c>
      <c r="J398" s="33">
        <f>VLOOKUP(A398,'Refi Universe'!E:F,2,0)</f>
        <v>0.89613767</v>
      </c>
    </row>
    <row r="399" spans="1:10" ht="15" x14ac:dyDescent="0.25">
      <c r="A399" s="14">
        <v>41151</v>
      </c>
      <c r="B399" s="15">
        <v>263</v>
      </c>
      <c r="C399" s="15">
        <v>263</v>
      </c>
      <c r="D399" s="5" t="s">
        <v>2</v>
      </c>
      <c r="E399" s="5" t="s">
        <v>2</v>
      </c>
      <c r="F399" s="5">
        <v>3.8618860000000002</v>
      </c>
      <c r="G399" s="12">
        <f>VLOOKUP(A399,'[1]all FNCL'!A$2:B$993,2)</f>
        <v>0.88830449257823196</v>
      </c>
      <c r="H399" s="3" t="s">
        <v>411</v>
      </c>
      <c r="I399">
        <v>0.39163572008716802</v>
      </c>
      <c r="J399" s="33">
        <f>VLOOKUP(A399,'Refi Universe'!E:F,2,0)</f>
        <v>0.93752537999999996</v>
      </c>
    </row>
    <row r="400" spans="1:10" ht="15" x14ac:dyDescent="0.25">
      <c r="A400" s="14">
        <v>41152</v>
      </c>
      <c r="B400" s="15">
        <v>227</v>
      </c>
      <c r="C400" s="15">
        <v>227</v>
      </c>
      <c r="D400" s="5" t="s">
        <v>2</v>
      </c>
      <c r="E400" s="5" t="s">
        <v>2</v>
      </c>
      <c r="F400" s="5">
        <v>3.8286829999999998</v>
      </c>
      <c r="G400" s="12">
        <f>VLOOKUP(A400,'[1]all FNCL'!A$2:B$993,2)</f>
        <v>0.88830449257823196</v>
      </c>
      <c r="H400" s="3" t="s">
        <v>412</v>
      </c>
      <c r="I400">
        <v>0.39163572008716802</v>
      </c>
      <c r="J400" s="33">
        <f>VLOOKUP(A400,'Refi Universe'!E:F,2,0)</f>
        <v>0.97362866999999997</v>
      </c>
    </row>
    <row r="401" spans="1:10" ht="15" x14ac:dyDescent="0.25">
      <c r="A401" s="14">
        <v>41156</v>
      </c>
      <c r="B401" s="15">
        <v>251</v>
      </c>
      <c r="C401" s="15">
        <v>251</v>
      </c>
      <c r="D401" s="5" t="s">
        <v>2</v>
      </c>
      <c r="E401" s="5" t="s">
        <v>2</v>
      </c>
      <c r="F401" s="5">
        <v>3.8230680000000001</v>
      </c>
      <c r="G401" s="12">
        <f>VLOOKUP(A401,'[1]all FNCL'!A$2:B$993,2)</f>
        <v>0.86613218698070704</v>
      </c>
      <c r="H401" s="3" t="s">
        <v>413</v>
      </c>
      <c r="I401">
        <v>0.347358703685412</v>
      </c>
      <c r="J401" s="33">
        <f>VLOOKUP(A401,'Refi Universe'!E:F,2,0)</f>
        <v>0.95103079999999995</v>
      </c>
    </row>
    <row r="402" spans="1:10" ht="15" x14ac:dyDescent="0.25">
      <c r="A402" s="14">
        <v>41157</v>
      </c>
      <c r="B402" s="15">
        <v>260</v>
      </c>
      <c r="C402" s="15">
        <v>260</v>
      </c>
      <c r="D402" s="5" t="s">
        <v>2</v>
      </c>
      <c r="E402" s="5" t="s">
        <v>2</v>
      </c>
      <c r="F402" s="5">
        <v>3.828884</v>
      </c>
      <c r="G402" s="12">
        <f>VLOOKUP(A402,'[1]all FNCL'!A$2:B$993,2)</f>
        <v>0.86613218698070704</v>
      </c>
      <c r="H402" s="3" t="s">
        <v>414</v>
      </c>
      <c r="I402">
        <v>0.347358703685412</v>
      </c>
      <c r="J402" s="33">
        <f>VLOOKUP(A402,'Refi Universe'!E:F,2,0)</f>
        <v>0.91761037000000001</v>
      </c>
    </row>
    <row r="403" spans="1:10" ht="15" x14ac:dyDescent="0.25">
      <c r="A403" s="14">
        <v>41158</v>
      </c>
      <c r="B403" s="15">
        <v>275</v>
      </c>
      <c r="C403" s="15">
        <v>275</v>
      </c>
      <c r="D403" s="5" t="s">
        <v>2</v>
      </c>
      <c r="E403" s="5" t="s">
        <v>2</v>
      </c>
      <c r="F403" s="5">
        <v>3.8476240000000002</v>
      </c>
      <c r="G403" s="12">
        <f>VLOOKUP(A403,'[1]all FNCL'!A$2:B$993,2)</f>
        <v>0.91761037893987496</v>
      </c>
      <c r="H403" s="3" t="s">
        <v>415</v>
      </c>
      <c r="I403">
        <v>0.347358703685412</v>
      </c>
      <c r="J403" s="33">
        <f>VLOOKUP(A403,'Refi Universe'!E:F,2,0)</f>
        <v>0.85375016000000004</v>
      </c>
    </row>
    <row r="404" spans="1:10" ht="15" x14ac:dyDescent="0.25">
      <c r="A404" s="14">
        <v>41159</v>
      </c>
      <c r="B404" s="15">
        <v>269</v>
      </c>
      <c r="C404" s="15">
        <v>269</v>
      </c>
      <c r="D404" s="5" t="s">
        <v>2</v>
      </c>
      <c r="E404" s="5" t="s">
        <v>2</v>
      </c>
      <c r="F404" s="5">
        <v>3.774203</v>
      </c>
      <c r="G404" s="12">
        <f>VLOOKUP(A404,'[1]all FNCL'!A$2:B$993,2)</f>
        <v>0.91761037893987496</v>
      </c>
      <c r="H404" s="3" t="s">
        <v>416</v>
      </c>
      <c r="I404">
        <v>0.347358703685412</v>
      </c>
      <c r="J404" s="33">
        <f>VLOOKUP(A404,'Refi Universe'!E:F,2,0)</f>
        <v>0.93681486000000003</v>
      </c>
    </row>
    <row r="405" spans="1:10" ht="15" x14ac:dyDescent="0.25">
      <c r="A405" s="14">
        <v>41162</v>
      </c>
      <c r="B405" s="15">
        <v>312</v>
      </c>
      <c r="C405" s="15">
        <v>312</v>
      </c>
      <c r="D405" s="5" t="s">
        <v>2</v>
      </c>
      <c r="E405" s="5" t="s">
        <v>2</v>
      </c>
      <c r="F405" s="5">
        <v>3.781809</v>
      </c>
      <c r="G405" s="12">
        <f>VLOOKUP(A405,'[1]all FNCL'!A$2:B$993,2)</f>
        <v>0.91761037893987496</v>
      </c>
      <c r="H405" s="3" t="s">
        <v>417</v>
      </c>
      <c r="I405">
        <v>0.347358703685412</v>
      </c>
      <c r="J405" s="33">
        <f>VLOOKUP(A405,'Refi Universe'!E:F,2,0)</f>
        <v>0.93394480999999996</v>
      </c>
    </row>
    <row r="406" spans="1:10" ht="15" x14ac:dyDescent="0.25">
      <c r="A406" s="14">
        <v>41163</v>
      </c>
      <c r="B406" s="15">
        <v>304</v>
      </c>
      <c r="C406" s="15">
        <v>304</v>
      </c>
      <c r="D406" s="5" t="s">
        <v>2</v>
      </c>
      <c r="E406" s="5" t="s">
        <v>2</v>
      </c>
      <c r="F406" s="5">
        <v>3.7744070000000001</v>
      </c>
      <c r="G406" s="12">
        <f>VLOOKUP(A406,'[1]all FNCL'!A$2:B$993,2)</f>
        <v>0.91761037893987496</v>
      </c>
      <c r="H406" s="3" t="s">
        <v>418</v>
      </c>
      <c r="I406">
        <v>0.37050298104882501</v>
      </c>
      <c r="J406" s="33">
        <f>VLOOKUP(A406,'Refi Universe'!E:F,2,0)</f>
        <v>0.91912300000000002</v>
      </c>
    </row>
    <row r="407" spans="1:10" ht="15" x14ac:dyDescent="0.25">
      <c r="A407" s="14">
        <v>41164</v>
      </c>
      <c r="B407" s="15">
        <v>335</v>
      </c>
      <c r="C407" s="15">
        <v>335</v>
      </c>
      <c r="D407" s="5" t="s">
        <v>2</v>
      </c>
      <c r="E407" s="5" t="s">
        <v>2</v>
      </c>
      <c r="F407" s="5">
        <v>3.7847789999999999</v>
      </c>
      <c r="G407" s="12">
        <f>VLOOKUP(A407,'[1]all FNCL'!A$2:B$993,2)</f>
        <v>0.91761037893987496</v>
      </c>
      <c r="H407" s="3" t="s">
        <v>419</v>
      </c>
      <c r="I407">
        <v>0.37050298104882501</v>
      </c>
      <c r="J407" s="33">
        <f>VLOOKUP(A407,'Refi Universe'!E:F,2,0)</f>
        <v>0.91912300000000002</v>
      </c>
    </row>
    <row r="408" spans="1:10" ht="15" x14ac:dyDescent="0.25">
      <c r="A408" s="14">
        <v>41165</v>
      </c>
      <c r="B408" s="15">
        <v>391</v>
      </c>
      <c r="C408" s="15">
        <v>391</v>
      </c>
      <c r="D408" s="5" t="s">
        <v>2</v>
      </c>
      <c r="E408" s="5" t="s">
        <v>2</v>
      </c>
      <c r="F408" s="5">
        <v>3.6244299999999998</v>
      </c>
      <c r="G408" s="12">
        <f>VLOOKUP(A408,'[1]all FNCL'!A$2:B$993,2)</f>
        <v>0.91761037893987496</v>
      </c>
      <c r="H408" s="3" t="s">
        <v>420</v>
      </c>
      <c r="I408">
        <v>0.37050298104882501</v>
      </c>
      <c r="J408" s="33">
        <f>VLOOKUP(A408,'Refi Universe'!E:F,2,0)</f>
        <v>0.96609250999999996</v>
      </c>
    </row>
    <row r="409" spans="1:10" ht="15" x14ac:dyDescent="0.25">
      <c r="A409" s="14">
        <v>41166</v>
      </c>
      <c r="B409" s="15">
        <v>397</v>
      </c>
      <c r="C409" s="15">
        <v>397</v>
      </c>
      <c r="D409" s="5" t="s">
        <v>2</v>
      </c>
      <c r="E409" s="5" t="s">
        <v>2</v>
      </c>
      <c r="F409" s="5">
        <v>3.6207959999999999</v>
      </c>
      <c r="G409" s="12">
        <f>VLOOKUP(A409,'[1]all FNCL'!A$2:B$993,2)</f>
        <v>0.91761037893987496</v>
      </c>
      <c r="H409" s="3" t="s">
        <v>421</v>
      </c>
      <c r="I409">
        <v>0.37050298104882501</v>
      </c>
      <c r="J409" s="33">
        <f>VLOOKUP(A409,'Refi Universe'!E:F,2,0)</f>
        <v>0.96376908999999999</v>
      </c>
    </row>
    <row r="410" spans="1:10" ht="15" x14ac:dyDescent="0.25">
      <c r="A410" s="14">
        <v>41169</v>
      </c>
      <c r="B410" s="15">
        <v>377</v>
      </c>
      <c r="C410" s="15">
        <v>377</v>
      </c>
      <c r="D410" s="5" t="s">
        <v>2</v>
      </c>
      <c r="E410" s="5" t="s">
        <v>2</v>
      </c>
      <c r="F410" s="5">
        <v>3.6348210000000001</v>
      </c>
      <c r="G410" s="12">
        <f>VLOOKUP(A410,'[1]all FNCL'!A$2:B$993,2)</f>
        <v>0.91761037893987496</v>
      </c>
      <c r="H410" s="3" t="s">
        <v>422</v>
      </c>
      <c r="I410">
        <v>0.33802122298332299</v>
      </c>
      <c r="J410" s="33">
        <f>VLOOKUP(A410,'Refi Universe'!E:F,2,0)</f>
        <v>0.96360314999999996</v>
      </c>
    </row>
    <row r="411" spans="1:10" ht="15" x14ac:dyDescent="0.25">
      <c r="A411" s="14">
        <v>41170</v>
      </c>
      <c r="B411" s="15">
        <v>365</v>
      </c>
      <c r="C411" s="15">
        <v>365</v>
      </c>
      <c r="D411" s="5" t="s">
        <v>2</v>
      </c>
      <c r="E411" s="5" t="s">
        <v>2</v>
      </c>
      <c r="F411" s="5">
        <v>3.6380189999999999</v>
      </c>
      <c r="G411" s="12">
        <f>VLOOKUP(A411,'[1]all FNCL'!A$2:B$993,2)</f>
        <v>0.91761037893987496</v>
      </c>
      <c r="H411" s="3" t="s">
        <v>423</v>
      </c>
      <c r="I411">
        <v>0.33802122298332299</v>
      </c>
      <c r="J411" s="33">
        <f>VLOOKUP(A411,'Refi Universe'!E:F,2,0)</f>
        <v>0.96375869999999997</v>
      </c>
    </row>
    <row r="412" spans="1:10" ht="15" x14ac:dyDescent="0.25">
      <c r="A412" s="14">
        <v>41171</v>
      </c>
      <c r="B412" s="15">
        <v>374</v>
      </c>
      <c r="C412" s="15">
        <v>374</v>
      </c>
      <c r="D412" s="5" t="s">
        <v>2</v>
      </c>
      <c r="E412" s="5" t="s">
        <v>2</v>
      </c>
      <c r="F412" s="5">
        <v>3.5970010000000001</v>
      </c>
      <c r="G412" s="12">
        <f>VLOOKUP(A412,'[1]all FNCL'!A$2:B$993,2)</f>
        <v>0.91761037893987496</v>
      </c>
      <c r="H412" s="3" t="s">
        <v>424</v>
      </c>
      <c r="I412">
        <v>0.33802122298332299</v>
      </c>
      <c r="J412" s="33">
        <f>VLOOKUP(A412,'Refi Universe'!E:F,2,0)</f>
        <v>0.96309924999999996</v>
      </c>
    </row>
    <row r="413" spans="1:10" ht="15" x14ac:dyDescent="0.25">
      <c r="A413" s="14">
        <v>41172</v>
      </c>
      <c r="B413" s="15">
        <v>383</v>
      </c>
      <c r="C413" s="15">
        <v>383</v>
      </c>
      <c r="D413" s="5" t="s">
        <v>2</v>
      </c>
      <c r="E413" s="5" t="s">
        <v>2</v>
      </c>
      <c r="F413" s="5">
        <v>3.5755509999999999</v>
      </c>
      <c r="G413" s="12">
        <f>VLOOKUP(A413,'[1]all FNCL'!A$2:B$993,2)</f>
        <v>0.95544116739970197</v>
      </c>
      <c r="H413" s="3" t="s">
        <v>425</v>
      </c>
      <c r="I413">
        <v>0.33802122298332299</v>
      </c>
      <c r="J413" s="33">
        <f>VLOOKUP(A413,'Refi Universe'!E:F,2,0)</f>
        <v>0.96376908999999999</v>
      </c>
    </row>
    <row r="414" spans="1:10" ht="15" x14ac:dyDescent="0.25">
      <c r="A414" s="14">
        <v>41173</v>
      </c>
      <c r="B414" s="15">
        <v>400</v>
      </c>
      <c r="C414" s="15">
        <v>400</v>
      </c>
      <c r="D414" s="5" t="s">
        <v>2</v>
      </c>
      <c r="E414" s="5" t="s">
        <v>2</v>
      </c>
      <c r="F414" s="5">
        <v>3.4866760000000001</v>
      </c>
      <c r="G414" s="12">
        <f>VLOOKUP(A414,'[1]all FNCL'!A$2:B$993,2)</f>
        <v>0.95544116739970197</v>
      </c>
      <c r="H414" s="3" t="s">
        <v>426</v>
      </c>
      <c r="I414">
        <v>0.32957871451229898</v>
      </c>
      <c r="J414" s="33">
        <f>VLOOKUP(A414,'Refi Universe'!E:F,2,0)</f>
        <v>0.96624732000000002</v>
      </c>
    </row>
    <row r="415" spans="1:10" ht="15" x14ac:dyDescent="0.25">
      <c r="A415" s="14">
        <v>41176</v>
      </c>
      <c r="B415" s="15">
        <v>456</v>
      </c>
      <c r="C415" s="15">
        <v>456</v>
      </c>
      <c r="D415" s="5" t="s">
        <v>2</v>
      </c>
      <c r="E415" s="5" t="s">
        <v>2</v>
      </c>
      <c r="F415" s="5">
        <v>3.4372020000000001</v>
      </c>
      <c r="G415" s="12">
        <f>VLOOKUP(A415,'[1]all FNCL'!A$2:B$993,2)</f>
        <v>0.95544116739970197</v>
      </c>
      <c r="H415" s="3" t="s">
        <v>427</v>
      </c>
      <c r="I415">
        <v>0.32957871451229898</v>
      </c>
      <c r="J415" s="33">
        <f>VLOOKUP(A415,'Refi Universe'!E:F,2,0)</f>
        <v>0.97373162000000002</v>
      </c>
    </row>
    <row r="416" spans="1:10" ht="15" x14ac:dyDescent="0.25">
      <c r="A416" s="14">
        <v>41177</v>
      </c>
      <c r="B416" s="15">
        <v>506</v>
      </c>
      <c r="C416" s="15">
        <v>506</v>
      </c>
      <c r="D416" s="5" t="s">
        <v>2</v>
      </c>
      <c r="E416" s="5" t="s">
        <v>2</v>
      </c>
      <c r="F416" s="5">
        <v>3.3874789999999999</v>
      </c>
      <c r="G416" s="12">
        <f>VLOOKUP(A416,'[1]all FNCL'!A$2:B$993,2)</f>
        <v>0.95544116739970197</v>
      </c>
      <c r="H416" s="3" t="s">
        <v>428</v>
      </c>
      <c r="I416">
        <v>0.32957871451229898</v>
      </c>
      <c r="J416" s="33">
        <f>VLOOKUP(A416,'Refi Universe'!E:F,2,0)</f>
        <v>0.98245824000000004</v>
      </c>
    </row>
    <row r="417" spans="1:10" ht="15" x14ac:dyDescent="0.25">
      <c r="A417" s="14">
        <v>41178</v>
      </c>
      <c r="B417" s="15">
        <v>448</v>
      </c>
      <c r="C417" s="15">
        <v>448</v>
      </c>
      <c r="D417" s="5" t="s">
        <v>2</v>
      </c>
      <c r="E417" s="5" t="s">
        <v>2</v>
      </c>
      <c r="F417" s="5">
        <v>3.378342</v>
      </c>
      <c r="G417" s="12">
        <f>VLOOKUP(A417,'[1]all FNCL'!A$2:B$993,2)</f>
        <v>0.95544116739970197</v>
      </c>
      <c r="H417" s="3" t="s">
        <v>429</v>
      </c>
      <c r="I417">
        <v>0.32957871451229898</v>
      </c>
      <c r="J417" s="33">
        <f>VLOOKUP(A417,'Refi Universe'!E:F,2,0)</f>
        <v>0.96777427999999999</v>
      </c>
    </row>
    <row r="418" spans="1:10" ht="15" x14ac:dyDescent="0.25">
      <c r="A418" s="14">
        <v>41179</v>
      </c>
      <c r="B418" s="15">
        <v>393</v>
      </c>
      <c r="C418" s="15">
        <v>393</v>
      </c>
      <c r="D418" s="5" t="s">
        <v>2</v>
      </c>
      <c r="E418" s="5" t="s">
        <v>2</v>
      </c>
      <c r="F418" s="5">
        <v>3.4208750000000001</v>
      </c>
      <c r="G418" s="12">
        <f>VLOOKUP(A418,'[1]all FNCL'!A$2:B$993,2)</f>
        <v>0.96361365224695705</v>
      </c>
      <c r="H418" s="3" t="s">
        <v>430</v>
      </c>
      <c r="I418">
        <v>0.273381996337976</v>
      </c>
      <c r="J418" s="33">
        <f>VLOOKUP(A418,'Refi Universe'!E:F,2,0)</f>
        <v>0.96460067999999999</v>
      </c>
    </row>
    <row r="419" spans="1:10" ht="15" x14ac:dyDescent="0.25">
      <c r="A419" s="14">
        <v>41180</v>
      </c>
      <c r="B419" s="15">
        <v>397</v>
      </c>
      <c r="C419" s="15">
        <v>397</v>
      </c>
      <c r="D419" s="5" t="s">
        <v>2</v>
      </c>
      <c r="E419" s="5" t="s">
        <v>2</v>
      </c>
      <c r="F419" s="5">
        <v>3.4257749999999998</v>
      </c>
      <c r="G419" s="12">
        <f>VLOOKUP(A419,'[1]all FNCL'!A$2:B$993,2)</f>
        <v>0.96361365224695705</v>
      </c>
      <c r="H419" s="3" t="s">
        <v>431</v>
      </c>
      <c r="I419">
        <v>0.273381996337976</v>
      </c>
      <c r="J419" s="33">
        <f>VLOOKUP(A419,'Refi Universe'!E:F,2,0)</f>
        <v>0.96488792999999995</v>
      </c>
    </row>
    <row r="420" spans="1:10" ht="15" x14ac:dyDescent="0.25">
      <c r="A420" s="14">
        <v>41183</v>
      </c>
      <c r="B420" s="15">
        <v>399</v>
      </c>
      <c r="C420" s="15">
        <v>399</v>
      </c>
      <c r="D420" s="5" t="s">
        <v>2</v>
      </c>
      <c r="E420" s="5" t="s">
        <v>2</v>
      </c>
      <c r="F420" s="5">
        <v>3.3922210000000002</v>
      </c>
      <c r="G420" s="12">
        <f>VLOOKUP(A420,'[1]all FNCL'!A$2:B$993,2)</f>
        <v>0.95122523158751304</v>
      </c>
      <c r="H420" s="3" t="s">
        <v>432</v>
      </c>
      <c r="I420">
        <v>0.273381996337976</v>
      </c>
      <c r="J420" s="33">
        <f>VLOOKUP(A420,'Refi Universe'!E:F,2,0)</f>
        <v>0.95609193999999997</v>
      </c>
    </row>
    <row r="421" spans="1:10" ht="15" x14ac:dyDescent="0.25">
      <c r="A421" s="14">
        <v>41184</v>
      </c>
      <c r="B421" s="15">
        <v>413</v>
      </c>
      <c r="C421" s="15">
        <v>413</v>
      </c>
      <c r="D421" s="5" t="s">
        <v>2</v>
      </c>
      <c r="E421" s="5" t="s">
        <v>2</v>
      </c>
      <c r="F421" s="5">
        <v>3.3690739999999999</v>
      </c>
      <c r="G421" s="12">
        <f>VLOOKUP(A421,'[1]all FNCL'!A$2:B$993,2)</f>
        <v>0.95122523158751304</v>
      </c>
      <c r="H421" s="3" t="s">
        <v>433</v>
      </c>
      <c r="I421">
        <v>0.273381996337976</v>
      </c>
      <c r="J421" s="33">
        <f>VLOOKUP(A421,'Refi Universe'!E:F,2,0)</f>
        <v>0.97003647000000004</v>
      </c>
    </row>
    <row r="422" spans="1:10" ht="15" x14ac:dyDescent="0.25">
      <c r="A422" s="14">
        <v>41185</v>
      </c>
      <c r="B422" s="15">
        <v>463</v>
      </c>
      <c r="C422" s="15">
        <v>463</v>
      </c>
      <c r="D422" s="5" t="s">
        <v>2</v>
      </c>
      <c r="E422" s="5" t="s">
        <v>2</v>
      </c>
      <c r="F422" s="5">
        <v>3.3973629999999999</v>
      </c>
      <c r="G422" s="12">
        <f>VLOOKUP(A422,'[1]all FNCL'!A$2:B$993,2)</f>
        <v>0.95122523158751304</v>
      </c>
      <c r="H422" s="3" t="s">
        <v>434</v>
      </c>
      <c r="I422">
        <v>0.28943231649708401</v>
      </c>
      <c r="J422" s="33">
        <f>VLOOKUP(A422,'Refi Universe'!E:F,2,0)</f>
        <v>0.95493826999999998</v>
      </c>
    </row>
    <row r="423" spans="1:10" ht="15" x14ac:dyDescent="0.25">
      <c r="A423" s="14">
        <v>41186</v>
      </c>
      <c r="B423" s="15">
        <v>492</v>
      </c>
      <c r="C423" s="15">
        <v>492</v>
      </c>
      <c r="D423" s="5" t="s">
        <v>2</v>
      </c>
      <c r="E423" s="5" t="s">
        <v>2</v>
      </c>
      <c r="F423" s="5">
        <v>3.4542730000000001</v>
      </c>
      <c r="G423" s="12">
        <f>VLOOKUP(A423,'[1]all FNCL'!A$2:B$993,2)</f>
        <v>0.95295581960362197</v>
      </c>
      <c r="H423" s="3" t="s">
        <v>435</v>
      </c>
      <c r="I423">
        <v>0.28943231649708401</v>
      </c>
      <c r="J423" s="33">
        <f>VLOOKUP(A423,'Refi Universe'!E:F,2,0)</f>
        <v>0.95072444</v>
      </c>
    </row>
    <row r="424" spans="1:10" ht="15" x14ac:dyDescent="0.25">
      <c r="A424" s="14">
        <v>41187</v>
      </c>
      <c r="B424" s="15">
        <v>527</v>
      </c>
      <c r="C424" s="15">
        <v>527</v>
      </c>
      <c r="D424" s="5" t="s">
        <v>2</v>
      </c>
      <c r="E424" s="5" t="s">
        <v>2</v>
      </c>
      <c r="F424" s="5">
        <v>3.4641609999999998</v>
      </c>
      <c r="G424" s="12">
        <f>VLOOKUP(A424,'[1]all FNCL'!A$2:B$993,2)</f>
        <v>0.95295581960362197</v>
      </c>
      <c r="H424" s="3" t="s">
        <v>436</v>
      </c>
      <c r="I424">
        <v>0.28943231649708401</v>
      </c>
      <c r="J424" s="33">
        <f>VLOOKUP(A424,'Refi Universe'!E:F,2,0)</f>
        <v>0.94919237000000001</v>
      </c>
    </row>
    <row r="425" spans="1:10" ht="15" x14ac:dyDescent="0.25">
      <c r="A425" s="14">
        <v>41191</v>
      </c>
      <c r="B425" s="15">
        <v>548</v>
      </c>
      <c r="C425" s="15">
        <v>548</v>
      </c>
      <c r="D425" s="5" t="s">
        <v>2</v>
      </c>
      <c r="E425" s="5" t="s">
        <v>2</v>
      </c>
      <c r="F425" s="5">
        <v>3.5105469999999999</v>
      </c>
      <c r="G425" s="12">
        <f>VLOOKUP(A425,'[1]all FNCL'!A$2:B$993,2)</f>
        <v>0.95295581960362197</v>
      </c>
      <c r="H425" s="3" t="s">
        <v>437</v>
      </c>
      <c r="I425">
        <v>0.28943231649708401</v>
      </c>
      <c r="J425" s="33">
        <f>VLOOKUP(A425,'Refi Universe'!E:F,2,0)</f>
        <v>0.94675193999999996</v>
      </c>
    </row>
    <row r="426" spans="1:10" ht="15" x14ac:dyDescent="0.25">
      <c r="A426" s="14">
        <v>41192</v>
      </c>
      <c r="B426" s="15">
        <v>561</v>
      </c>
      <c r="C426" s="15">
        <v>561</v>
      </c>
      <c r="D426" s="5" t="s">
        <v>2</v>
      </c>
      <c r="E426" s="5" t="s">
        <v>2</v>
      </c>
      <c r="F426" s="5">
        <v>3.4770189999999999</v>
      </c>
      <c r="G426" s="12">
        <f>VLOOKUP(A426,'[1]all FNCL'!A$2:B$993,2)</f>
        <v>0.95295581960362197</v>
      </c>
      <c r="H426" s="3" t="s">
        <v>438</v>
      </c>
      <c r="I426">
        <v>0.28943231649708401</v>
      </c>
      <c r="J426" s="33">
        <f>VLOOKUP(A426,'Refi Universe'!E:F,2,0)</f>
        <v>0.95291117000000003</v>
      </c>
    </row>
    <row r="427" spans="1:10" ht="15" x14ac:dyDescent="0.25">
      <c r="A427" s="14">
        <v>41193</v>
      </c>
      <c r="B427" s="15">
        <v>532</v>
      </c>
      <c r="C427" s="15">
        <v>532</v>
      </c>
      <c r="D427" s="5" t="s">
        <v>2</v>
      </c>
      <c r="E427" s="5" t="s">
        <v>2</v>
      </c>
      <c r="F427" s="5">
        <v>3.4562680000000001</v>
      </c>
      <c r="G427" s="12">
        <f>VLOOKUP(A427,'[1]all FNCL'!A$2:B$993,2)</f>
        <v>0.95157186742127498</v>
      </c>
      <c r="H427" s="3" t="s">
        <v>439</v>
      </c>
      <c r="I427">
        <v>0.36765798039511299</v>
      </c>
      <c r="J427" s="33">
        <f>VLOOKUP(A427,'Refi Universe'!E:F,2,0)</f>
        <v>0.95398616999999997</v>
      </c>
    </row>
    <row r="428" spans="1:10" ht="15" x14ac:dyDescent="0.25">
      <c r="A428" s="14">
        <v>41194</v>
      </c>
      <c r="B428" s="15">
        <v>518</v>
      </c>
      <c r="C428" s="15">
        <v>518</v>
      </c>
      <c r="D428" s="5" t="s">
        <v>2</v>
      </c>
      <c r="E428" s="5" t="s">
        <v>2</v>
      </c>
      <c r="F428" s="5">
        <v>3.467177</v>
      </c>
      <c r="G428" s="12">
        <f>VLOOKUP(A428,'[1]all FNCL'!A$2:B$993,2)</f>
        <v>0.95157186742127498</v>
      </c>
      <c r="H428" s="3" t="s">
        <v>440</v>
      </c>
      <c r="I428">
        <v>0.36765798039511299</v>
      </c>
      <c r="J428" s="33">
        <f>VLOOKUP(A428,'Refi Universe'!E:F,2,0)</f>
        <v>0.95492847000000003</v>
      </c>
    </row>
    <row r="429" spans="1:10" ht="15" x14ac:dyDescent="0.25">
      <c r="A429" s="14">
        <v>41197</v>
      </c>
      <c r="B429" s="15">
        <v>525</v>
      </c>
      <c r="C429" s="15">
        <v>525</v>
      </c>
      <c r="D429" s="5" t="s">
        <v>2</v>
      </c>
      <c r="E429" s="5" t="s">
        <v>2</v>
      </c>
      <c r="F429" s="5">
        <v>3.5022419999999999</v>
      </c>
      <c r="G429" s="12">
        <f>VLOOKUP(A429,'[1]all FNCL'!A$2:B$993,2)</f>
        <v>0.95157186742127498</v>
      </c>
      <c r="H429" s="3" t="s">
        <v>441</v>
      </c>
      <c r="I429">
        <v>0.36765798039511299</v>
      </c>
      <c r="J429" s="33">
        <f>VLOOKUP(A429,'Refi Universe'!E:F,2,0)</f>
        <v>0.95308886000000004</v>
      </c>
    </row>
    <row r="430" spans="1:10" ht="15" x14ac:dyDescent="0.25">
      <c r="A430" s="14">
        <v>41198</v>
      </c>
      <c r="B430" s="15">
        <v>553</v>
      </c>
      <c r="C430" s="15">
        <v>553</v>
      </c>
      <c r="D430" s="5" t="s">
        <v>2</v>
      </c>
      <c r="E430" s="5" t="s">
        <v>2</v>
      </c>
      <c r="F430" s="5">
        <v>3.531733</v>
      </c>
      <c r="G430" s="12">
        <f>VLOOKUP(A430,'[1]all FNCL'!A$2:B$993,2)</f>
        <v>0.95157186742127498</v>
      </c>
      <c r="H430" s="3" t="s">
        <v>442</v>
      </c>
      <c r="I430">
        <v>0.36765798039511299</v>
      </c>
      <c r="J430" s="33">
        <f>VLOOKUP(A430,'Refi Universe'!E:F,2,0)</f>
        <v>0.95139426999999999</v>
      </c>
    </row>
    <row r="431" spans="1:10" ht="15" x14ac:dyDescent="0.25">
      <c r="A431" s="14">
        <v>41199</v>
      </c>
      <c r="B431" s="15">
        <v>543</v>
      </c>
      <c r="C431" s="15">
        <v>543</v>
      </c>
      <c r="D431" s="5" t="s">
        <v>2</v>
      </c>
      <c r="E431" s="5" t="s">
        <v>2</v>
      </c>
      <c r="F431" s="5">
        <v>3.5984090000000002</v>
      </c>
      <c r="G431" s="12">
        <f>VLOOKUP(A431,'[1]all FNCL'!A$2:B$993,2)</f>
        <v>0.95157186742127498</v>
      </c>
      <c r="H431" s="3" t="s">
        <v>443</v>
      </c>
      <c r="I431">
        <v>0.37084428304329597</v>
      </c>
      <c r="J431" s="33">
        <f>VLOOKUP(A431,'Refi Universe'!E:F,2,0)</f>
        <v>0.93914913</v>
      </c>
    </row>
    <row r="432" spans="1:10" ht="15" x14ac:dyDescent="0.25">
      <c r="A432" s="14">
        <v>41200</v>
      </c>
      <c r="B432" s="15">
        <v>529</v>
      </c>
      <c r="C432" s="15">
        <v>529</v>
      </c>
      <c r="D432" s="5" t="s">
        <v>2</v>
      </c>
      <c r="E432" s="5" t="s">
        <v>2</v>
      </c>
      <c r="F432" s="5">
        <v>3.6313390000000001</v>
      </c>
      <c r="G432" s="12">
        <f>VLOOKUP(A432,'[1]all FNCL'!A$2:B$993,2)</f>
        <v>0.95277015909637097</v>
      </c>
      <c r="H432" s="3" t="s">
        <v>444</v>
      </c>
      <c r="I432">
        <v>0.37084428304329597</v>
      </c>
      <c r="J432" s="33">
        <f>VLOOKUP(A432,'Refi Universe'!E:F,2,0)</f>
        <v>0.91462215999999996</v>
      </c>
    </row>
    <row r="433" spans="1:10" ht="15" x14ac:dyDescent="0.25">
      <c r="A433" s="14">
        <v>41201</v>
      </c>
      <c r="B433" s="15">
        <v>544</v>
      </c>
      <c r="C433" s="15">
        <v>544</v>
      </c>
      <c r="D433" s="5" t="s">
        <v>2</v>
      </c>
      <c r="E433" s="5" t="s">
        <v>2</v>
      </c>
      <c r="F433" s="5">
        <v>3.5881439999999998</v>
      </c>
      <c r="G433" s="12">
        <f>VLOOKUP(A433,'[1]all FNCL'!A$2:B$993,2)</f>
        <v>0.95277015909637097</v>
      </c>
      <c r="H433" s="3" t="s">
        <v>445</v>
      </c>
      <c r="I433">
        <v>0.37084428304329597</v>
      </c>
      <c r="J433" s="33">
        <f>VLOOKUP(A433,'Refi Universe'!E:F,2,0)</f>
        <v>0.94491190999999997</v>
      </c>
    </row>
    <row r="434" spans="1:10" ht="15" x14ac:dyDescent="0.25">
      <c r="A434" s="14">
        <v>41204</v>
      </c>
      <c r="B434" s="15">
        <v>538</v>
      </c>
      <c r="C434" s="15">
        <v>538</v>
      </c>
      <c r="D434" s="5" t="s">
        <v>2</v>
      </c>
      <c r="E434" s="5" t="s">
        <v>2</v>
      </c>
      <c r="F434" s="5">
        <v>3.593744</v>
      </c>
      <c r="G434" s="12">
        <f>VLOOKUP(A434,'[1]all FNCL'!A$2:B$993,2)</f>
        <v>0.95277015909637097</v>
      </c>
      <c r="H434" s="3" t="s">
        <v>446</v>
      </c>
      <c r="I434">
        <v>0.37084428304329597</v>
      </c>
      <c r="J434" s="33">
        <f>VLOOKUP(A434,'Refi Universe'!E:F,2,0)</f>
        <v>0.93645276</v>
      </c>
    </row>
    <row r="435" spans="1:10" ht="15" x14ac:dyDescent="0.25">
      <c r="A435" s="14">
        <v>41205</v>
      </c>
      <c r="B435" s="15">
        <v>538</v>
      </c>
      <c r="C435" s="15">
        <v>538</v>
      </c>
      <c r="D435" s="5" t="s">
        <v>2</v>
      </c>
      <c r="E435" s="5" t="s">
        <v>2</v>
      </c>
      <c r="F435" s="5">
        <v>3.5808490000000002</v>
      </c>
      <c r="G435" s="12">
        <f>VLOOKUP(A435,'[1]all FNCL'!A$2:B$993,2)</f>
        <v>0.95277015909637097</v>
      </c>
      <c r="H435" s="3" t="s">
        <v>447</v>
      </c>
      <c r="I435">
        <v>0.37084428304329597</v>
      </c>
      <c r="J435" s="33">
        <f>VLOOKUP(A435,'Refi Universe'!E:F,2,0)</f>
        <v>0.94267858999999998</v>
      </c>
    </row>
    <row r="436" spans="1:10" ht="15" x14ac:dyDescent="0.25">
      <c r="A436" s="14">
        <v>41206</v>
      </c>
      <c r="B436" s="15">
        <v>515</v>
      </c>
      <c r="C436" s="15">
        <v>515</v>
      </c>
      <c r="D436" s="5" t="s">
        <v>2</v>
      </c>
      <c r="E436" s="5" t="s">
        <v>2</v>
      </c>
      <c r="F436" s="5">
        <v>3.6011229999999999</v>
      </c>
      <c r="G436" s="12">
        <f>VLOOKUP(A436,'[1]all FNCL'!A$2:B$993,2)</f>
        <v>0.95277015909637097</v>
      </c>
      <c r="H436" s="3" t="s">
        <v>448</v>
      </c>
      <c r="I436">
        <v>0.38154102604960499</v>
      </c>
      <c r="J436" s="33">
        <f>VLOOKUP(A436,'Refi Universe'!E:F,2,0)</f>
        <v>0.95035082999999998</v>
      </c>
    </row>
    <row r="437" spans="1:10" ht="15" x14ac:dyDescent="0.25">
      <c r="A437" s="14">
        <v>41207</v>
      </c>
      <c r="B437" s="15">
        <v>519</v>
      </c>
      <c r="C437" s="15">
        <v>519</v>
      </c>
      <c r="D437" s="5" t="s">
        <v>2</v>
      </c>
      <c r="E437" s="5" t="s">
        <v>2</v>
      </c>
      <c r="F437" s="5">
        <v>3.6235879999999998</v>
      </c>
      <c r="G437" s="12">
        <f>VLOOKUP(A437,'[1]all FNCL'!A$2:B$993,2)</f>
        <v>0.950786071684944</v>
      </c>
      <c r="H437" s="3" t="s">
        <v>449</v>
      </c>
      <c r="I437">
        <v>0.38154102604960499</v>
      </c>
      <c r="J437" s="33">
        <f>VLOOKUP(A437,'Refi Universe'!E:F,2,0)</f>
        <v>0.94293229999999995</v>
      </c>
    </row>
    <row r="438" spans="1:10" ht="15" x14ac:dyDescent="0.25">
      <c r="A438" s="14">
        <v>41208</v>
      </c>
      <c r="B438" s="15">
        <v>538</v>
      </c>
      <c r="C438" s="15">
        <v>538</v>
      </c>
      <c r="D438" s="5" t="s">
        <v>2</v>
      </c>
      <c r="E438" s="5" t="s">
        <v>2</v>
      </c>
      <c r="F438" s="5">
        <v>3.6019169999999998</v>
      </c>
      <c r="G438" s="12">
        <f>VLOOKUP(A438,'[1]all FNCL'!A$2:B$993,2)</f>
        <v>0.950786071684944</v>
      </c>
      <c r="H438" s="3" t="s">
        <v>450</v>
      </c>
      <c r="I438">
        <v>0.37772565332895602</v>
      </c>
      <c r="J438" s="33">
        <f>VLOOKUP(A438,'Refi Universe'!E:F,2,0)</f>
        <v>0.95078607000000004</v>
      </c>
    </row>
    <row r="439" spans="1:10" ht="15" x14ac:dyDescent="0.25">
      <c r="A439" s="14">
        <v>41211</v>
      </c>
      <c r="B439" s="15">
        <v>531</v>
      </c>
      <c r="C439" s="15">
        <v>531</v>
      </c>
      <c r="D439" s="5" t="s">
        <v>2</v>
      </c>
      <c r="E439" s="5" t="s">
        <v>2</v>
      </c>
      <c r="F439" s="5">
        <v>3.6006520000000002</v>
      </c>
      <c r="G439" s="12">
        <f>VLOOKUP(A439,'[1]all FNCL'!A$2:B$993,2)</f>
        <v>0.950786071684944</v>
      </c>
      <c r="H439" s="3" t="s">
        <v>451</v>
      </c>
      <c r="I439">
        <v>0.37772565332895602</v>
      </c>
      <c r="J439" s="33">
        <f>VLOOKUP(A439,'Refi Universe'!E:F,2,0)</f>
        <v>0.95225641000000005</v>
      </c>
    </row>
    <row r="440" spans="1:10" ht="15" x14ac:dyDescent="0.25">
      <c r="A440" s="14">
        <v>41213</v>
      </c>
      <c r="B440" s="15">
        <v>539</v>
      </c>
      <c r="C440" s="15">
        <v>539</v>
      </c>
      <c r="D440" s="5" t="s">
        <v>2</v>
      </c>
      <c r="E440" s="5" t="s">
        <v>2</v>
      </c>
      <c r="F440" s="5">
        <v>3.6030160000000002</v>
      </c>
      <c r="G440" s="12">
        <f>VLOOKUP(A440,'[1]all FNCL'!A$2:B$993,2)</f>
        <v>0.950786071684944</v>
      </c>
      <c r="H440" s="3" t="s">
        <v>452</v>
      </c>
      <c r="I440">
        <v>0.37772565332895602</v>
      </c>
      <c r="J440" s="33">
        <f>VLOOKUP(A440,'Refi Universe'!E:F,2,0)</f>
        <v>0.95372451000000003</v>
      </c>
    </row>
    <row r="441" spans="1:10" ht="15" x14ac:dyDescent="0.25">
      <c r="A441" s="14">
        <v>41214</v>
      </c>
      <c r="B441" s="15">
        <v>553</v>
      </c>
      <c r="C441" s="15">
        <v>553</v>
      </c>
      <c r="D441" s="5" t="s">
        <v>2</v>
      </c>
      <c r="E441" s="5" t="s">
        <v>2</v>
      </c>
      <c r="F441" s="5">
        <v>3.6319309999999998</v>
      </c>
      <c r="G441" s="12">
        <f>VLOOKUP(A441,'[1]all FNCL'!A$2:B$993,2)</f>
        <v>0.92568594546185101</v>
      </c>
      <c r="H441" s="3" t="s">
        <v>453</v>
      </c>
      <c r="I441">
        <v>0.39983029630913802</v>
      </c>
      <c r="J441" s="33">
        <f>VLOOKUP(A441,'Refi Universe'!E:F,2,0)</f>
        <v>0.92433999</v>
      </c>
    </row>
    <row r="442" spans="1:10" ht="15" x14ac:dyDescent="0.25">
      <c r="A442" s="14">
        <v>41215</v>
      </c>
      <c r="B442" s="15">
        <v>546</v>
      </c>
      <c r="C442" s="15">
        <v>546</v>
      </c>
      <c r="D442" s="5" t="s">
        <v>2</v>
      </c>
      <c r="E442" s="5" t="s">
        <v>2</v>
      </c>
      <c r="F442" s="5">
        <v>3.6132550000000001</v>
      </c>
      <c r="G442" s="12">
        <f>VLOOKUP(A442,'[1]all FNCL'!A$2:B$993,2)</f>
        <v>0.92568594546185101</v>
      </c>
      <c r="H442" s="3" t="s">
        <v>454</v>
      </c>
      <c r="I442">
        <v>0.39983029630913802</v>
      </c>
      <c r="J442" s="33">
        <f>VLOOKUP(A442,'Refi Universe'!E:F,2,0)</f>
        <v>0.92607404999999998</v>
      </c>
    </row>
    <row r="443" spans="1:10" ht="15" x14ac:dyDescent="0.25">
      <c r="A443" s="14">
        <v>41218</v>
      </c>
      <c r="B443" s="15">
        <v>535</v>
      </c>
      <c r="C443" s="15">
        <v>535</v>
      </c>
      <c r="D443" s="5" t="s">
        <v>2</v>
      </c>
      <c r="E443" s="5" t="s">
        <v>2</v>
      </c>
      <c r="F443" s="5">
        <v>3.594954</v>
      </c>
      <c r="G443" s="12">
        <f>VLOOKUP(A443,'[1]all FNCL'!A$2:B$993,2)</f>
        <v>0.92568594546185101</v>
      </c>
      <c r="H443" s="3" t="s">
        <v>455</v>
      </c>
      <c r="I443">
        <v>0.39983029630913802</v>
      </c>
      <c r="J443" s="33">
        <f>VLOOKUP(A443,'Refi Universe'!E:F,2,0)</f>
        <v>0.92775901999999999</v>
      </c>
    </row>
    <row r="444" spans="1:10" ht="15" x14ac:dyDescent="0.25">
      <c r="A444" s="14">
        <v>41219</v>
      </c>
      <c r="B444" s="15">
        <v>558</v>
      </c>
      <c r="C444" s="15">
        <v>558</v>
      </c>
      <c r="D444" s="5" t="s">
        <v>2</v>
      </c>
      <c r="E444" s="5" t="s">
        <v>2</v>
      </c>
      <c r="F444" s="5">
        <v>3.63869</v>
      </c>
      <c r="G444" s="12">
        <f>VLOOKUP(A444,'[1]all FNCL'!A$2:B$993,2)</f>
        <v>0.92568594546185101</v>
      </c>
      <c r="H444" s="3" t="s">
        <v>456</v>
      </c>
      <c r="I444">
        <v>0.39983029630913802</v>
      </c>
      <c r="J444" s="33">
        <f>VLOOKUP(A444,'Refi Universe'!E:F,2,0)</f>
        <v>0.92380282000000002</v>
      </c>
    </row>
    <row r="445" spans="1:10" ht="15" x14ac:dyDescent="0.25">
      <c r="A445" s="14">
        <v>41220</v>
      </c>
      <c r="B445" s="15">
        <v>528</v>
      </c>
      <c r="C445" s="15">
        <v>528</v>
      </c>
      <c r="D445" s="5" t="s">
        <v>2</v>
      </c>
      <c r="E445" s="5" t="s">
        <v>2</v>
      </c>
      <c r="F445" s="5">
        <v>3.5782750000000001</v>
      </c>
      <c r="G445" s="12">
        <f>VLOOKUP(A445,'[1]all FNCL'!A$2:B$993,2)</f>
        <v>0.92568594546185101</v>
      </c>
      <c r="H445" s="3" t="s">
        <v>457</v>
      </c>
      <c r="I445">
        <v>0.39983029630913802</v>
      </c>
      <c r="J445" s="33">
        <f>VLOOKUP(A445,'Refi Universe'!E:F,2,0)</f>
        <v>0.93010998</v>
      </c>
    </row>
    <row r="446" spans="1:10" ht="15" x14ac:dyDescent="0.25">
      <c r="A446" s="14">
        <v>41221</v>
      </c>
      <c r="B446" s="15">
        <v>509</v>
      </c>
      <c r="C446" s="15">
        <v>509</v>
      </c>
      <c r="D446" s="5" t="s">
        <v>2</v>
      </c>
      <c r="E446" s="5" t="s">
        <v>2</v>
      </c>
      <c r="F446" s="5">
        <v>3.5608819999999999</v>
      </c>
      <c r="G446" s="12">
        <f>VLOOKUP(A446,'[1]all FNCL'!A$2:B$993,2)</f>
        <v>0.92529425270600996</v>
      </c>
      <c r="H446" s="3" t="s">
        <v>458</v>
      </c>
      <c r="I446">
        <v>0.385235227392075</v>
      </c>
      <c r="J446" s="33">
        <f>VLOOKUP(A446,'Refi Universe'!E:F,2,0)</f>
        <v>0.93733515999999995</v>
      </c>
    </row>
    <row r="447" spans="1:10" ht="15" x14ac:dyDescent="0.25">
      <c r="A447" s="14">
        <v>41222</v>
      </c>
      <c r="B447" s="15">
        <v>508</v>
      </c>
      <c r="C447" s="15">
        <v>508</v>
      </c>
      <c r="D447" s="5" t="s">
        <v>2</v>
      </c>
      <c r="E447" s="5" t="s">
        <v>2</v>
      </c>
      <c r="F447" s="5">
        <v>3.5582440000000002</v>
      </c>
      <c r="G447" s="12">
        <f>VLOOKUP(A447,'[1]all FNCL'!A$2:B$993,2)</f>
        <v>0.92529425270600996</v>
      </c>
      <c r="H447" s="3" t="s">
        <v>459</v>
      </c>
      <c r="I447">
        <v>0.385235227392075</v>
      </c>
      <c r="J447" s="33">
        <f>VLOOKUP(A447,'Refi Universe'!E:F,2,0)</f>
        <v>0.93539373000000003</v>
      </c>
    </row>
    <row r="448" spans="1:10" ht="15" x14ac:dyDescent="0.25">
      <c r="A448" s="14">
        <v>41226</v>
      </c>
      <c r="B448" s="15">
        <v>541</v>
      </c>
      <c r="C448" s="15">
        <v>541</v>
      </c>
      <c r="D448" s="5" t="s">
        <v>2</v>
      </c>
      <c r="E448" s="5" t="s">
        <v>2</v>
      </c>
      <c r="F448" s="5">
        <v>3.5886330000000002</v>
      </c>
      <c r="G448" s="12">
        <f>VLOOKUP(A448,'[1]all FNCL'!A$2:B$993,2)</f>
        <v>0.92529425270600996</v>
      </c>
      <c r="H448" s="3" t="s">
        <v>460</v>
      </c>
      <c r="I448">
        <v>0.385235227392075</v>
      </c>
      <c r="J448" s="33">
        <f>VLOOKUP(A448,'Refi Universe'!E:F,2,0)</f>
        <v>0.93089803000000004</v>
      </c>
    </row>
    <row r="449" spans="1:10" ht="15" x14ac:dyDescent="0.25">
      <c r="A449" s="14">
        <v>41227</v>
      </c>
      <c r="B449" s="15">
        <v>542</v>
      </c>
      <c r="C449" s="15">
        <v>542</v>
      </c>
      <c r="D449" s="5" t="s">
        <v>2</v>
      </c>
      <c r="E449" s="5" t="s">
        <v>2</v>
      </c>
      <c r="F449" s="5">
        <v>3.6350210000000001</v>
      </c>
      <c r="G449" s="12">
        <f>VLOOKUP(A449,'[1]all FNCL'!A$2:B$993,2)</f>
        <v>0.92529425270600996</v>
      </c>
      <c r="H449" s="3" t="s">
        <v>461</v>
      </c>
      <c r="I449">
        <v>0.385235227392075</v>
      </c>
      <c r="J449" s="33">
        <f>VLOOKUP(A449,'Refi Universe'!E:F,2,0)</f>
        <v>0.92562493000000001</v>
      </c>
    </row>
    <row r="450" spans="1:10" ht="15" x14ac:dyDescent="0.25">
      <c r="A450" s="14">
        <v>41228</v>
      </c>
      <c r="B450" s="15">
        <v>583</v>
      </c>
      <c r="C450" s="15">
        <v>583</v>
      </c>
      <c r="D450" s="5" t="s">
        <v>2</v>
      </c>
      <c r="E450" s="5" t="s">
        <v>2</v>
      </c>
      <c r="F450" s="5">
        <v>3.6059000000000001</v>
      </c>
      <c r="G450" s="12">
        <f>VLOOKUP(A450,'[1]all FNCL'!A$2:B$993,2)</f>
        <v>0.92772026190850898</v>
      </c>
      <c r="H450" s="3" t="s">
        <v>462</v>
      </c>
      <c r="I450">
        <v>0.375411030467661</v>
      </c>
      <c r="J450" s="33">
        <f>VLOOKUP(A450,'Refi Universe'!E:F,2,0)</f>
        <v>0.92732130000000002</v>
      </c>
    </row>
    <row r="451" spans="1:10" ht="15" x14ac:dyDescent="0.25">
      <c r="A451" s="14">
        <v>41229</v>
      </c>
      <c r="B451" s="15">
        <v>598</v>
      </c>
      <c r="C451" s="15">
        <v>598</v>
      </c>
      <c r="D451" s="5" t="s">
        <v>2</v>
      </c>
      <c r="E451" s="5" t="s">
        <v>2</v>
      </c>
      <c r="F451" s="5">
        <v>3.5767890000000002</v>
      </c>
      <c r="G451" s="12">
        <f>VLOOKUP(A451,'[1]all FNCL'!A$2:B$993,2)</f>
        <v>0.92529425270600996</v>
      </c>
      <c r="H451" s="3" t="s">
        <v>463</v>
      </c>
      <c r="I451">
        <v>0.375411030467661</v>
      </c>
      <c r="J451" s="33">
        <f>VLOOKUP(A451,'Refi Universe'!E:F,2,0)</f>
        <v>0.93163985000000005</v>
      </c>
    </row>
    <row r="452" spans="1:10" ht="15" x14ac:dyDescent="0.25">
      <c r="A452" s="14">
        <v>41232</v>
      </c>
      <c r="B452" s="15">
        <v>616</v>
      </c>
      <c r="C452" s="15">
        <v>616</v>
      </c>
      <c r="D452" s="5" t="s">
        <v>2</v>
      </c>
      <c r="E452" s="5" t="s">
        <v>2</v>
      </c>
      <c r="F452" s="5">
        <v>3.5873400000000002</v>
      </c>
      <c r="G452" s="12">
        <f>VLOOKUP(A452,'[1]all FNCL'!A$2:B$993,2)</f>
        <v>0.92529425270600996</v>
      </c>
      <c r="H452" s="3" t="s">
        <v>464</v>
      </c>
      <c r="I452">
        <v>0.375411030467661</v>
      </c>
      <c r="J452" s="33">
        <f>VLOOKUP(A452,'Refi Universe'!E:F,2,0)</f>
        <v>0.92854455999999996</v>
      </c>
    </row>
    <row r="453" spans="1:10" ht="15" x14ac:dyDescent="0.25">
      <c r="A453" s="14">
        <v>41233</v>
      </c>
      <c r="B453" s="15">
        <v>633</v>
      </c>
      <c r="C453" s="15">
        <v>633</v>
      </c>
      <c r="D453" s="5" t="s">
        <v>2</v>
      </c>
      <c r="E453" s="5" t="s">
        <v>2</v>
      </c>
      <c r="F453" s="5">
        <v>3.602201</v>
      </c>
      <c r="G453" s="12">
        <f>VLOOKUP(A453,'[1]all FNCL'!A$2:B$993,2)</f>
        <v>0.92772026190850898</v>
      </c>
      <c r="H453" s="3" t="s">
        <v>465</v>
      </c>
      <c r="I453">
        <v>0.375411030467661</v>
      </c>
      <c r="J453" s="33">
        <f>VLOOKUP(A453,'Refi Universe'!E:F,2,0)</f>
        <v>0.92526991000000003</v>
      </c>
    </row>
    <row r="454" spans="1:10" ht="15" x14ac:dyDescent="0.25">
      <c r="A454" s="14">
        <v>41234</v>
      </c>
      <c r="B454" s="15">
        <v>601</v>
      </c>
      <c r="C454" s="15">
        <v>601</v>
      </c>
      <c r="D454" s="5" t="s">
        <v>2</v>
      </c>
      <c r="E454" s="5" t="s">
        <v>2</v>
      </c>
      <c r="F454" s="5">
        <v>3.623129</v>
      </c>
      <c r="G454" s="12">
        <f>VLOOKUP(A454,'[1]all FNCL'!A$2:B$993,2)</f>
        <v>0.92772026190850898</v>
      </c>
      <c r="H454" s="3" t="s">
        <v>466</v>
      </c>
      <c r="I454">
        <v>0.375411030467661</v>
      </c>
      <c r="J454" s="33">
        <f>VLOOKUP(A454,'Refi Universe'!E:F,2,0)</f>
        <v>0.92549680000000001</v>
      </c>
    </row>
    <row r="455" spans="1:10" ht="15" x14ac:dyDescent="0.25">
      <c r="A455" s="14">
        <v>41236</v>
      </c>
      <c r="B455" s="15">
        <v>588</v>
      </c>
      <c r="C455" s="15">
        <v>588</v>
      </c>
      <c r="D455" s="5" t="s">
        <v>2</v>
      </c>
      <c r="E455" s="5" t="s">
        <v>2</v>
      </c>
      <c r="F455" s="5">
        <v>3.6271200000000001</v>
      </c>
      <c r="G455" s="12">
        <f>VLOOKUP(A455,'[1]all FNCL'!A$2:B$993,2)</f>
        <v>0.92988566192488697</v>
      </c>
      <c r="H455" s="3" t="s">
        <v>467</v>
      </c>
      <c r="I455">
        <v>0.36950911021955302</v>
      </c>
      <c r="J455" s="33">
        <f>VLOOKUP(A455,'Refi Universe'!E:F,2,0)</f>
        <v>0.92490912999999997</v>
      </c>
    </row>
    <row r="456" spans="1:10" ht="15" x14ac:dyDescent="0.25">
      <c r="A456" s="14">
        <v>41239</v>
      </c>
      <c r="B456" s="15">
        <v>561</v>
      </c>
      <c r="C456" s="15">
        <v>561</v>
      </c>
      <c r="D456" s="5" t="s">
        <v>2</v>
      </c>
      <c r="E456" s="5" t="s">
        <v>2</v>
      </c>
      <c r="F456" s="5">
        <v>3.5939549999999998</v>
      </c>
      <c r="G456" s="12">
        <f>VLOOKUP(A456,'[1]all FNCL'!A$2:B$993,2)</f>
        <v>0.92988566192488697</v>
      </c>
      <c r="H456" s="3" t="s">
        <v>468</v>
      </c>
      <c r="I456">
        <v>0.36950911021955302</v>
      </c>
      <c r="J456" s="33">
        <f>VLOOKUP(A456,'Refi Universe'!E:F,2,0)</f>
        <v>0.92791716999999996</v>
      </c>
    </row>
    <row r="457" spans="1:10" ht="15" x14ac:dyDescent="0.25">
      <c r="A457" s="14">
        <v>41240</v>
      </c>
      <c r="B457" s="15">
        <v>560</v>
      </c>
      <c r="C457" s="15">
        <v>560</v>
      </c>
      <c r="D457" s="5" t="s">
        <v>2</v>
      </c>
      <c r="E457" s="5" t="s">
        <v>2</v>
      </c>
      <c r="F457" s="5">
        <v>3.56521</v>
      </c>
      <c r="G457" s="12">
        <f>VLOOKUP(A457,'[1]all FNCL'!A$2:B$993,2)</f>
        <v>0.92988566192488697</v>
      </c>
      <c r="H457" s="3" t="s">
        <v>469</v>
      </c>
      <c r="I457">
        <v>0.36618748344447</v>
      </c>
      <c r="J457" s="33">
        <f>VLOOKUP(A457,'Refi Universe'!E:F,2,0)</f>
        <v>0.94132097000000003</v>
      </c>
    </row>
    <row r="458" spans="1:10" ht="15" x14ac:dyDescent="0.25">
      <c r="A458" s="14">
        <v>41241</v>
      </c>
      <c r="B458" s="15">
        <v>548</v>
      </c>
      <c r="C458" s="15">
        <v>548</v>
      </c>
      <c r="D458" s="5" t="s">
        <v>2</v>
      </c>
      <c r="E458" s="5" t="s">
        <v>2</v>
      </c>
      <c r="F458" s="5">
        <v>3.5719699999999999</v>
      </c>
      <c r="G458" s="12">
        <f>VLOOKUP(A458,'[1]all FNCL'!A$2:B$993,2)</f>
        <v>0.92988566192488697</v>
      </c>
      <c r="H458" s="3" t="s">
        <v>470</v>
      </c>
      <c r="I458">
        <v>0.36618748344447</v>
      </c>
      <c r="J458" s="33">
        <f>VLOOKUP(A458,'Refi Universe'!E:F,2,0)</f>
        <v>0.93272887999999998</v>
      </c>
    </row>
    <row r="459" spans="1:10" ht="15" x14ac:dyDescent="0.25">
      <c r="A459" s="14">
        <v>41242</v>
      </c>
      <c r="B459" s="15">
        <v>564</v>
      </c>
      <c r="C459" s="15">
        <v>564</v>
      </c>
      <c r="D459" s="5" t="s">
        <v>2</v>
      </c>
      <c r="E459" s="5" t="s">
        <v>2</v>
      </c>
      <c r="F459" s="5">
        <v>3.5800580000000002</v>
      </c>
      <c r="G459" s="12">
        <f>VLOOKUP(A459,'[1]all FNCL'!A$2:B$993,2)</f>
        <v>0.92962672480790898</v>
      </c>
      <c r="H459" s="3" t="s">
        <v>471</v>
      </c>
      <c r="I459">
        <v>0.36618748344447</v>
      </c>
      <c r="J459" s="33">
        <f>VLOOKUP(A459,'Refi Universe'!E:F,2,0)</f>
        <v>0.92988565999999995</v>
      </c>
    </row>
    <row r="460" spans="1:10" ht="15" x14ac:dyDescent="0.25">
      <c r="A460" s="14">
        <v>41243</v>
      </c>
      <c r="B460" s="15">
        <v>571</v>
      </c>
      <c r="C460" s="15">
        <v>571</v>
      </c>
      <c r="D460" s="5" t="s">
        <v>2</v>
      </c>
      <c r="E460" s="5" t="s">
        <v>2</v>
      </c>
      <c r="F460" s="5">
        <v>3.5763229999999999</v>
      </c>
      <c r="G460" s="12">
        <f>VLOOKUP(A460,'[1]all FNCL'!A$2:B$993,2)</f>
        <v>0.92962672480790898</v>
      </c>
      <c r="H460" s="3" t="s">
        <v>472</v>
      </c>
      <c r="I460">
        <v>0.38305038505575201</v>
      </c>
      <c r="J460" s="33">
        <f>VLOOKUP(A460,'Refi Universe'!E:F,2,0)</f>
        <v>0.92988565999999995</v>
      </c>
    </row>
    <row r="461" spans="1:10" ht="15" x14ac:dyDescent="0.25">
      <c r="A461" s="14">
        <v>41246</v>
      </c>
      <c r="B461" s="15">
        <v>565</v>
      </c>
      <c r="C461" s="15">
        <v>565</v>
      </c>
      <c r="D461" s="5" t="s">
        <v>2</v>
      </c>
      <c r="E461" s="5" t="s">
        <v>2</v>
      </c>
      <c r="F461" s="5">
        <v>3.5711059999999999</v>
      </c>
      <c r="G461" s="12">
        <f>VLOOKUP(A461,'[1]all FNCL'!A$2:B$993,2)</f>
        <v>0.91261368517922603</v>
      </c>
      <c r="H461" s="3" t="s">
        <v>473</v>
      </c>
      <c r="I461">
        <v>0.38305038505575201</v>
      </c>
      <c r="J461" s="33">
        <f>VLOOKUP(A461,'Refi Universe'!E:F,2,0)</f>
        <v>0.91182074000000002</v>
      </c>
    </row>
    <row r="462" spans="1:10" ht="15" x14ac:dyDescent="0.25">
      <c r="A462" s="14">
        <v>41247</v>
      </c>
      <c r="B462" s="15">
        <v>576</v>
      </c>
      <c r="C462" s="15">
        <v>576</v>
      </c>
      <c r="D462" s="5" t="s">
        <v>2</v>
      </c>
      <c r="E462" s="5" t="s">
        <v>2</v>
      </c>
      <c r="F462" s="5">
        <v>3.5647579999999999</v>
      </c>
      <c r="G462" s="12">
        <f>VLOOKUP(A462,'[1]all FNCL'!A$2:B$993,2)</f>
        <v>0.91261368517922603</v>
      </c>
      <c r="H462" s="3" t="s">
        <v>474</v>
      </c>
      <c r="I462">
        <v>0.38305038505575201</v>
      </c>
      <c r="J462" s="33">
        <f>VLOOKUP(A462,'Refi Universe'!E:F,2,0)</f>
        <v>0.91340927999999999</v>
      </c>
    </row>
    <row r="463" spans="1:10" ht="15" x14ac:dyDescent="0.25">
      <c r="A463" s="14">
        <v>41248</v>
      </c>
      <c r="B463" s="15">
        <v>628</v>
      </c>
      <c r="C463" s="15">
        <v>628</v>
      </c>
      <c r="D463" s="5" t="s">
        <v>2</v>
      </c>
      <c r="E463" s="5" t="s">
        <v>2</v>
      </c>
      <c r="F463" s="5">
        <v>3.5767850000000001</v>
      </c>
      <c r="G463" s="12">
        <f>VLOOKUP(A463,'[1]all FNCL'!A$2:B$993,2)</f>
        <v>0.91261368517922603</v>
      </c>
      <c r="H463" s="3" t="s">
        <v>475</v>
      </c>
      <c r="I463">
        <v>0.38305038505575201</v>
      </c>
      <c r="J463" s="33">
        <f>VLOOKUP(A463,'Refi Universe'!E:F,2,0)</f>
        <v>0.91038313999999998</v>
      </c>
    </row>
    <row r="464" spans="1:10" ht="15" x14ac:dyDescent="0.25">
      <c r="A464" s="14">
        <v>41249</v>
      </c>
      <c r="B464" s="15">
        <v>634</v>
      </c>
      <c r="C464" s="15">
        <v>634</v>
      </c>
      <c r="D464" s="5" t="s">
        <v>2</v>
      </c>
      <c r="E464" s="5" t="s">
        <v>2</v>
      </c>
      <c r="F464" s="5">
        <v>3.598795</v>
      </c>
      <c r="G464" s="12">
        <f>VLOOKUP(A464,'[1]all FNCL'!A$2:B$993,2)</f>
        <v>0.91054790878492298</v>
      </c>
      <c r="H464" s="3" t="s">
        <v>476</v>
      </c>
      <c r="I464">
        <v>0.38305038505575201</v>
      </c>
      <c r="J464" s="33">
        <f>VLOOKUP(A464,'Refi Universe'!E:F,2,0)</f>
        <v>0.90949672000000004</v>
      </c>
    </row>
    <row r="465" spans="1:10" ht="15" x14ac:dyDescent="0.25">
      <c r="A465" s="14">
        <v>41250</v>
      </c>
      <c r="B465" s="15">
        <v>608</v>
      </c>
      <c r="C465" s="15">
        <v>608</v>
      </c>
      <c r="D465" s="5" t="s">
        <v>2</v>
      </c>
      <c r="E465" s="5" t="s">
        <v>2</v>
      </c>
      <c r="F465" s="5">
        <v>3.6169069999999999</v>
      </c>
      <c r="G465" s="12">
        <f>VLOOKUP(A465,'[1]all FNCL'!A$2:B$993,2)</f>
        <v>0.91054790878492298</v>
      </c>
      <c r="H465" s="3" t="s">
        <v>477</v>
      </c>
      <c r="I465">
        <v>0.36618748344447</v>
      </c>
      <c r="J465" s="33">
        <f>VLOOKUP(A465,'Refi Universe'!E:F,2,0)</f>
        <v>0.90648165999999997</v>
      </c>
    </row>
    <row r="466" spans="1:10" ht="15" x14ac:dyDescent="0.25">
      <c r="A466" s="14">
        <v>41253</v>
      </c>
      <c r="B466" s="15">
        <v>598</v>
      </c>
      <c r="C466" s="15">
        <v>598</v>
      </c>
      <c r="D466" s="5" t="s">
        <v>2</v>
      </c>
      <c r="E466" s="5" t="s">
        <v>2</v>
      </c>
      <c r="F466" s="5">
        <v>3.5843889999999998</v>
      </c>
      <c r="G466" s="12">
        <f>VLOOKUP(A466,'[1]all FNCL'!A$2:B$993,2)</f>
        <v>0.91054790878492298</v>
      </c>
      <c r="H466" s="3" t="s">
        <v>478</v>
      </c>
      <c r="I466">
        <v>0.36618748344447</v>
      </c>
      <c r="J466" s="33">
        <f>VLOOKUP(A466,'Refi Universe'!E:F,2,0)</f>
        <v>0.90822765000000005</v>
      </c>
    </row>
    <row r="467" spans="1:10" ht="15" x14ac:dyDescent="0.25">
      <c r="A467" s="14">
        <v>41254</v>
      </c>
      <c r="B467" s="15">
        <v>591</v>
      </c>
      <c r="C467" s="15">
        <v>591</v>
      </c>
      <c r="D467" s="5" t="s">
        <v>2</v>
      </c>
      <c r="E467" s="5" t="s">
        <v>2</v>
      </c>
      <c r="F467" s="5">
        <v>3.573909</v>
      </c>
      <c r="G467" s="12">
        <f>VLOOKUP(A467,'[1]all FNCL'!A$2:B$993,2)</f>
        <v>0.91054790878492298</v>
      </c>
      <c r="H467" s="3" t="s">
        <v>479</v>
      </c>
      <c r="I467">
        <v>0.36618748344447</v>
      </c>
      <c r="J467" s="33">
        <f>VLOOKUP(A467,'Refi Universe'!E:F,2,0)</f>
        <v>0.90824320000000003</v>
      </c>
    </row>
    <row r="468" spans="1:10" ht="15" x14ac:dyDescent="0.25">
      <c r="A468" s="14">
        <v>41255</v>
      </c>
      <c r="B468" s="15">
        <v>616</v>
      </c>
      <c r="C468" s="15">
        <v>616</v>
      </c>
      <c r="D468" s="5" t="s">
        <v>2</v>
      </c>
      <c r="E468" s="5" t="s">
        <v>2</v>
      </c>
      <c r="F468" s="5">
        <v>3.5826159999999998</v>
      </c>
      <c r="G468" s="12">
        <f>VLOOKUP(A468,'[1]all FNCL'!A$2:B$993,2)</f>
        <v>0.91054790878492298</v>
      </c>
      <c r="H468" s="3" t="s">
        <v>480</v>
      </c>
      <c r="I468">
        <v>0.36618748344447</v>
      </c>
      <c r="J468" s="33">
        <f>VLOOKUP(A468,'Refi Universe'!E:F,2,0)</f>
        <v>0.91013454000000005</v>
      </c>
    </row>
    <row r="469" spans="1:10" ht="15" x14ac:dyDescent="0.25">
      <c r="A469" s="14">
        <v>41256</v>
      </c>
      <c r="B469" s="15">
        <v>604</v>
      </c>
      <c r="C469" s="15">
        <v>604</v>
      </c>
      <c r="D469" s="5" t="s">
        <v>2</v>
      </c>
      <c r="E469" s="5" t="s">
        <v>2</v>
      </c>
      <c r="F469" s="5">
        <v>3.5843850000000002</v>
      </c>
      <c r="G469" s="12">
        <f>VLOOKUP(A469,'[1]all FNCL'!A$2:B$993,2)</f>
        <v>0.91261368517922603</v>
      </c>
      <c r="H469" s="3" t="s">
        <v>481</v>
      </c>
      <c r="I469">
        <v>0.36618748344447</v>
      </c>
      <c r="J469" s="33">
        <f>VLOOKUP(A469,'Refi Universe'!E:F,2,0)</f>
        <v>0.90995208000000005</v>
      </c>
    </row>
    <row r="470" spans="1:10" ht="15" x14ac:dyDescent="0.25">
      <c r="A470" s="14">
        <v>41257</v>
      </c>
      <c r="B470" s="15">
        <v>608</v>
      </c>
      <c r="C470" s="15">
        <v>608</v>
      </c>
      <c r="D470" s="5" t="s">
        <v>2</v>
      </c>
      <c r="E470" s="5" t="s">
        <v>2</v>
      </c>
      <c r="F470" s="5">
        <v>3.5794250000000001</v>
      </c>
      <c r="G470" s="12">
        <f>VLOOKUP(A470,'[1]all FNCL'!A$2:B$993,2)</f>
        <v>0.91261368517922603</v>
      </c>
      <c r="H470" s="3" t="s">
        <v>482</v>
      </c>
      <c r="I470">
        <v>0.37473459168456602</v>
      </c>
      <c r="J470" s="33">
        <f>VLOOKUP(A470,'Refi Universe'!E:F,2,0)</f>
        <v>0.91004114000000003</v>
      </c>
    </row>
    <row r="471" spans="1:10" ht="15" x14ac:dyDescent="0.25">
      <c r="A471" s="14">
        <v>41260</v>
      </c>
      <c r="B471" s="15">
        <v>602</v>
      </c>
      <c r="C471" s="15">
        <v>602</v>
      </c>
      <c r="D471" s="5" t="s">
        <v>2</v>
      </c>
      <c r="E471" s="5" t="s">
        <v>2</v>
      </c>
      <c r="F471" s="5">
        <v>3.586138</v>
      </c>
      <c r="G471" s="12">
        <f>VLOOKUP(A471,'[1]all FNCL'!A$2:B$993,2)</f>
        <v>0.91261368517922603</v>
      </c>
      <c r="H471" s="3" t="s">
        <v>483</v>
      </c>
      <c r="I471">
        <v>0.37473459168456602</v>
      </c>
      <c r="J471" s="33">
        <f>VLOOKUP(A471,'Refi Universe'!E:F,2,0)</f>
        <v>0.90980081999999995</v>
      </c>
    </row>
    <row r="472" spans="1:10" ht="15" x14ac:dyDescent="0.25">
      <c r="A472" s="14">
        <v>41261</v>
      </c>
      <c r="B472" s="15">
        <v>625</v>
      </c>
      <c r="C472" s="15">
        <v>625</v>
      </c>
      <c r="D472" s="5" t="s">
        <v>2</v>
      </c>
      <c r="E472" s="5" t="s">
        <v>2</v>
      </c>
      <c r="F472" s="5">
        <v>3.5999780000000001</v>
      </c>
      <c r="G472" s="12">
        <f>VLOOKUP(A472,'[1]all FNCL'!A$2:B$993,2)</f>
        <v>0.91261368517922603</v>
      </c>
      <c r="H472" s="3" t="s">
        <v>484</v>
      </c>
      <c r="I472">
        <v>0.37473459168456602</v>
      </c>
      <c r="J472" s="33">
        <f>VLOOKUP(A472,'Refi Universe'!E:F,2,0)</f>
        <v>0.90632723999999998</v>
      </c>
    </row>
    <row r="473" spans="1:10" ht="15" x14ac:dyDescent="0.25">
      <c r="A473" s="14">
        <v>41262</v>
      </c>
      <c r="B473" s="15">
        <v>635</v>
      </c>
      <c r="C473" s="15">
        <v>635</v>
      </c>
      <c r="D473" s="5" t="s">
        <v>2</v>
      </c>
      <c r="E473" s="5" t="s">
        <v>2</v>
      </c>
      <c r="F473" s="5">
        <v>3.5899830000000001</v>
      </c>
      <c r="G473" s="12">
        <f>VLOOKUP(A473,'[1]all FNCL'!A$2:B$993,2)</f>
        <v>0.91261368517922603</v>
      </c>
      <c r="H473" s="3" t="s">
        <v>485</v>
      </c>
      <c r="I473">
        <v>0.37473459168456602</v>
      </c>
      <c r="J473" s="33">
        <f>VLOOKUP(A473,'Refi Universe'!E:F,2,0)</f>
        <v>0.90929634999999998</v>
      </c>
    </row>
    <row r="474" spans="1:10" ht="15" x14ac:dyDescent="0.25">
      <c r="A474" s="14">
        <v>41263</v>
      </c>
      <c r="B474" s="15">
        <v>612</v>
      </c>
      <c r="C474" s="15">
        <v>612</v>
      </c>
      <c r="D474" s="5" t="s">
        <v>2</v>
      </c>
      <c r="E474" s="5" t="s">
        <v>2</v>
      </c>
      <c r="F474" s="5">
        <v>3.5770759999999999</v>
      </c>
      <c r="G474" s="12">
        <f>VLOOKUP(A474,'[1]all FNCL'!A$2:B$993,2)</f>
        <v>0.90964878851271103</v>
      </c>
      <c r="H474" s="3" t="s">
        <v>486</v>
      </c>
      <c r="I474">
        <v>0.37473459168456602</v>
      </c>
      <c r="J474" s="33">
        <f>VLOOKUP(A474,'Refi Universe'!E:F,2,0)</f>
        <v>0.90996273999999999</v>
      </c>
    </row>
    <row r="475" spans="1:10" ht="15" x14ac:dyDescent="0.25">
      <c r="A475" s="14">
        <v>41264</v>
      </c>
      <c r="B475" s="15">
        <v>627</v>
      </c>
      <c r="C475" s="15">
        <v>627</v>
      </c>
      <c r="D475" s="5" t="s">
        <v>2</v>
      </c>
      <c r="E475" s="5" t="s">
        <v>2</v>
      </c>
      <c r="F475" s="5">
        <v>3.5686710000000001</v>
      </c>
      <c r="G475" s="12">
        <f>VLOOKUP(A475,'[1]all FNCL'!A$2:B$993,2)</f>
        <v>0.90964878851271103</v>
      </c>
      <c r="H475" s="3" t="s">
        <v>487</v>
      </c>
      <c r="I475">
        <v>0.36106783694827599</v>
      </c>
      <c r="J475" s="33">
        <f>VLOOKUP(A475,'Refi Universe'!E:F,2,0)</f>
        <v>0.91263181000000004</v>
      </c>
    </row>
    <row r="476" spans="1:10" ht="15" x14ac:dyDescent="0.25">
      <c r="A476" s="14">
        <v>41267</v>
      </c>
      <c r="B476" s="15">
        <v>639</v>
      </c>
      <c r="C476" s="15">
        <v>639</v>
      </c>
      <c r="D476" s="5" t="s">
        <v>2</v>
      </c>
      <c r="E476" s="5" t="s">
        <v>2</v>
      </c>
      <c r="F476" s="5">
        <v>3.574284</v>
      </c>
      <c r="G476" s="12">
        <f>VLOOKUP(A476,'[1]all FNCL'!A$2:B$993,2)</f>
        <v>0.90964878851271103</v>
      </c>
      <c r="H476" s="3" t="s">
        <v>488</v>
      </c>
      <c r="I476">
        <v>0.36106783694827599</v>
      </c>
      <c r="J476" s="33">
        <f>VLOOKUP(A476,'Refi Universe'!E:F,2,0)</f>
        <v>0.91023827000000002</v>
      </c>
    </row>
    <row r="477" spans="1:10" ht="15" x14ac:dyDescent="0.25">
      <c r="A477" s="14">
        <v>41269</v>
      </c>
      <c r="B477" s="15">
        <v>640</v>
      </c>
      <c r="C477" s="15">
        <v>640</v>
      </c>
      <c r="D477" s="5" t="s">
        <v>2</v>
      </c>
      <c r="E477" s="5" t="s">
        <v>2</v>
      </c>
      <c r="F477" s="5">
        <v>3.5705019999999998</v>
      </c>
      <c r="G477" s="12">
        <f>VLOOKUP(A477,'[1]all FNCL'!A$2:B$993,2)</f>
        <v>0.90964878851271103</v>
      </c>
      <c r="H477" s="3" t="s">
        <v>489</v>
      </c>
      <c r="I477">
        <v>0.36106783694827599</v>
      </c>
      <c r="J477" s="33">
        <f>VLOOKUP(A477,'Refi Universe'!E:F,2,0)</f>
        <v>0.91054997000000004</v>
      </c>
    </row>
    <row r="478" spans="1:10" ht="15" x14ac:dyDescent="0.25">
      <c r="A478" s="14">
        <v>41270</v>
      </c>
      <c r="B478" s="15">
        <v>642</v>
      </c>
      <c r="C478" s="15">
        <v>642</v>
      </c>
      <c r="D478" s="5" t="s">
        <v>2</v>
      </c>
      <c r="E478" s="5" t="s">
        <v>2</v>
      </c>
      <c r="F478" s="5">
        <v>3.5626959999999999</v>
      </c>
      <c r="G478" s="12">
        <f>VLOOKUP(A478,'[1]all FNCL'!A$2:B$993,2)</f>
        <v>0.91013454847674702</v>
      </c>
      <c r="H478" s="3" t="s">
        <v>490</v>
      </c>
      <c r="I478">
        <v>0.35665287918352401</v>
      </c>
      <c r="J478" s="33">
        <f>VLOOKUP(A478,'Refi Universe'!E:F,2,0)</f>
        <v>0.91356859000000001</v>
      </c>
    </row>
    <row r="479" spans="1:10" ht="15" x14ac:dyDescent="0.25">
      <c r="A479" s="14">
        <v>41271</v>
      </c>
      <c r="B479" s="15">
        <v>636</v>
      </c>
      <c r="C479" s="15">
        <v>636</v>
      </c>
      <c r="D479" s="5" t="s">
        <v>2</v>
      </c>
      <c r="E479" s="5" t="s">
        <v>2</v>
      </c>
      <c r="F479" s="5">
        <v>3.5737809999999999</v>
      </c>
      <c r="G479" s="12">
        <f>VLOOKUP(A479,'[1]all FNCL'!A$2:B$993,2)</f>
        <v>0.91013454847674702</v>
      </c>
      <c r="H479" s="3" t="s">
        <v>491</v>
      </c>
      <c r="I479">
        <v>0.35665287918352401</v>
      </c>
      <c r="J479" s="33">
        <f>VLOOKUP(A479,'Refi Universe'!E:F,2,0)</f>
        <v>0.91245498999999997</v>
      </c>
    </row>
    <row r="480" spans="1:10" ht="15" x14ac:dyDescent="0.25">
      <c r="A480" s="14">
        <v>41274</v>
      </c>
      <c r="B480" s="15">
        <v>667</v>
      </c>
      <c r="C480" s="15">
        <v>667</v>
      </c>
      <c r="D480" s="5" t="s">
        <v>2</v>
      </c>
      <c r="E480" s="5" t="s">
        <v>2</v>
      </c>
      <c r="F480" s="5">
        <v>3.5737830000000002</v>
      </c>
      <c r="G480" s="12">
        <f>VLOOKUP(A480,'[1]all FNCL'!A$2:B$993,2)</f>
        <v>0.91013454847674702</v>
      </c>
      <c r="H480" s="3" t="s">
        <v>492</v>
      </c>
      <c r="I480">
        <v>0.35514156438481698</v>
      </c>
      <c r="J480" s="33">
        <f>VLOOKUP(A480,'Refi Universe'!E:F,2,0)</f>
        <v>0.91103829999999997</v>
      </c>
    </row>
    <row r="481" spans="1:10" ht="15" x14ac:dyDescent="0.25">
      <c r="A481" s="14">
        <v>41276</v>
      </c>
      <c r="B481" s="15">
        <v>684</v>
      </c>
      <c r="C481" s="15">
        <v>684</v>
      </c>
      <c r="D481" s="5" t="s">
        <v>2</v>
      </c>
      <c r="E481" s="5" t="s">
        <v>2</v>
      </c>
      <c r="F481" s="5">
        <v>3.569725</v>
      </c>
      <c r="G481" s="12">
        <f>VLOOKUP(A481,'[1]all FNCL'!A$2:B$993,2)</f>
        <v>0.88776607960810605</v>
      </c>
      <c r="H481" s="3" t="s">
        <v>493</v>
      </c>
      <c r="I481">
        <v>0.35514156438481698</v>
      </c>
      <c r="J481" s="33">
        <f>VLOOKUP(A481,'Refi Universe'!E:F,2,0)</f>
        <v>0.88507237000000005</v>
      </c>
    </row>
    <row r="482" spans="1:10" ht="15" x14ac:dyDescent="0.25">
      <c r="A482" s="14">
        <v>41277</v>
      </c>
      <c r="B482" s="15">
        <v>663</v>
      </c>
      <c r="C482" s="15">
        <v>663</v>
      </c>
      <c r="D482" s="5" t="s">
        <v>2</v>
      </c>
      <c r="E482" s="5" t="s">
        <v>2</v>
      </c>
      <c r="F482" s="5">
        <v>3.613594</v>
      </c>
      <c r="G482" s="12">
        <f>VLOOKUP(A482,'[1]all FNCL'!A$2:B$993,2)</f>
        <v>0.88829814088555903</v>
      </c>
      <c r="H482" s="3" t="s">
        <v>494</v>
      </c>
      <c r="I482">
        <v>0.35514156438481698</v>
      </c>
      <c r="J482" s="33">
        <f>VLOOKUP(A482,'Refi Universe'!E:F,2,0)</f>
        <v>0.85458392999999999</v>
      </c>
    </row>
    <row r="483" spans="1:10" ht="15" x14ac:dyDescent="0.25">
      <c r="A483" s="14">
        <v>41278</v>
      </c>
      <c r="B483" s="15">
        <v>661</v>
      </c>
      <c r="C483" s="15">
        <v>661</v>
      </c>
      <c r="D483" s="5" t="s">
        <v>2</v>
      </c>
      <c r="E483" s="5" t="s">
        <v>2</v>
      </c>
      <c r="F483" s="5">
        <v>3.6265070000000001</v>
      </c>
      <c r="G483" s="12">
        <f>VLOOKUP(A483,'[1]all FNCL'!A$2:B$993,2)</f>
        <v>0.88829814088555903</v>
      </c>
      <c r="H483" s="3" t="s">
        <v>495</v>
      </c>
      <c r="I483">
        <v>0.35514156438481698</v>
      </c>
      <c r="J483" s="33">
        <f>VLOOKUP(A483,'Refi Universe'!E:F,2,0)</f>
        <v>0.83571636000000005</v>
      </c>
    </row>
    <row r="484" spans="1:10" ht="15" x14ac:dyDescent="0.25">
      <c r="A484" s="14">
        <v>41281</v>
      </c>
      <c r="B484" s="15">
        <v>663</v>
      </c>
      <c r="C484" s="15">
        <v>663</v>
      </c>
      <c r="D484" s="5" t="s">
        <v>2</v>
      </c>
      <c r="E484" s="5" t="s">
        <v>2</v>
      </c>
      <c r="F484" s="5">
        <v>3.609645</v>
      </c>
      <c r="G484" s="12">
        <f>VLOOKUP(A484,'[1]all FNCL'!A$2:B$993,2)</f>
        <v>0.88829814088555903</v>
      </c>
      <c r="H484" s="3" t="s">
        <v>496</v>
      </c>
      <c r="I484">
        <v>0.35514156438481698</v>
      </c>
      <c r="J484" s="33">
        <f>VLOOKUP(A484,'Refi Universe'!E:F,2,0)</f>
        <v>0.86736603000000001</v>
      </c>
    </row>
    <row r="485" spans="1:10" ht="15" x14ac:dyDescent="0.25">
      <c r="A485" s="14">
        <v>41282</v>
      </c>
      <c r="B485" s="15">
        <v>707</v>
      </c>
      <c r="C485" s="15">
        <v>707</v>
      </c>
      <c r="D485" s="5" t="s">
        <v>2</v>
      </c>
      <c r="E485" s="5" t="s">
        <v>2</v>
      </c>
      <c r="F485" s="5">
        <v>3.608908</v>
      </c>
      <c r="G485" s="12">
        <f>VLOOKUP(A485,'[1]all FNCL'!A$2:B$993,2)</f>
        <v>0.88829814088555903</v>
      </c>
      <c r="H485" s="3" t="s">
        <v>497</v>
      </c>
      <c r="I485">
        <v>0.36665858727100598</v>
      </c>
      <c r="J485" s="33">
        <f>VLOOKUP(A485,'Refi Universe'!E:F,2,0)</f>
        <v>0.87519625000000001</v>
      </c>
    </row>
    <row r="486" spans="1:10" ht="15" x14ac:dyDescent="0.25">
      <c r="A486" s="14">
        <v>41283</v>
      </c>
      <c r="B486" s="15">
        <v>707</v>
      </c>
      <c r="C486" s="15">
        <v>707</v>
      </c>
      <c r="D486" s="5" t="s">
        <v>2</v>
      </c>
      <c r="E486" s="5" t="s">
        <v>2</v>
      </c>
      <c r="F486" s="5">
        <v>3.5986220000000002</v>
      </c>
      <c r="G486" s="12">
        <f>VLOOKUP(A486,'[1]all FNCL'!A$2:B$993,2)</f>
        <v>0.88829814088555903</v>
      </c>
      <c r="H486" s="3" t="s">
        <v>498</v>
      </c>
      <c r="I486">
        <v>0.36665858727100598</v>
      </c>
      <c r="J486" s="33">
        <f>VLOOKUP(A486,'Refi Universe'!E:F,2,0)</f>
        <v>0.88797930000000003</v>
      </c>
    </row>
    <row r="487" spans="1:10" ht="15" x14ac:dyDescent="0.25">
      <c r="A487" s="14">
        <v>41284</v>
      </c>
      <c r="B487" s="15">
        <v>665</v>
      </c>
      <c r="C487" s="15">
        <v>665</v>
      </c>
      <c r="D487" s="5" t="s">
        <v>2</v>
      </c>
      <c r="E487" s="5" t="s">
        <v>2</v>
      </c>
      <c r="F487" s="5">
        <v>3.5937899999999998</v>
      </c>
      <c r="G487" s="12">
        <f>VLOOKUP(A487,'[1]all FNCL'!A$2:B$993,2)</f>
        <v>0.88507237465235999</v>
      </c>
      <c r="H487" s="3" t="s">
        <v>499</v>
      </c>
      <c r="I487">
        <v>0.36665858727100598</v>
      </c>
      <c r="J487" s="33">
        <f>VLOOKUP(A487,'Refi Universe'!E:F,2,0)</f>
        <v>0.88539641000000002</v>
      </c>
    </row>
    <row r="488" spans="1:10" ht="15" x14ac:dyDescent="0.25">
      <c r="A488" s="14">
        <v>41285</v>
      </c>
      <c r="B488" s="15">
        <v>665</v>
      </c>
      <c r="C488" s="15">
        <v>665</v>
      </c>
      <c r="D488" s="5" t="s">
        <v>2</v>
      </c>
      <c r="E488" s="5" t="s">
        <v>2</v>
      </c>
      <c r="F488" s="5">
        <v>3.5885929999999999</v>
      </c>
      <c r="G488" s="12">
        <f>VLOOKUP(A488,'[1]all FNCL'!A$2:B$993,2)</f>
        <v>0.88507237465235999</v>
      </c>
      <c r="H488" s="3" t="s">
        <v>500</v>
      </c>
      <c r="I488">
        <v>0.36665858727100598</v>
      </c>
      <c r="J488" s="33">
        <f>VLOOKUP(A488,'Refi Universe'!E:F,2,0)</f>
        <v>0.88689883999999997</v>
      </c>
    </row>
    <row r="489" spans="1:10" ht="15" x14ac:dyDescent="0.25">
      <c r="A489" s="14">
        <v>41288</v>
      </c>
      <c r="B489" s="15">
        <v>595</v>
      </c>
      <c r="C489" s="15">
        <v>595</v>
      </c>
      <c r="D489" s="5" t="s">
        <v>2</v>
      </c>
      <c r="E489" s="5" t="s">
        <v>2</v>
      </c>
      <c r="F489" s="5">
        <v>3.5807009999999999</v>
      </c>
      <c r="G489" s="12">
        <f>VLOOKUP(A489,'[1]all FNCL'!A$2:B$993,2)</f>
        <v>0.88507237465235999</v>
      </c>
      <c r="H489" s="3" t="s">
        <v>501</v>
      </c>
      <c r="I489">
        <v>0.36665858727100598</v>
      </c>
      <c r="J489" s="33">
        <f>VLOOKUP(A489,'Refi Universe'!E:F,2,0)</f>
        <v>0.88696178000000003</v>
      </c>
    </row>
    <row r="490" spans="1:10" ht="15" x14ac:dyDescent="0.25">
      <c r="A490" s="14">
        <v>41289</v>
      </c>
      <c r="B490" s="15">
        <v>704</v>
      </c>
      <c r="C490" s="15">
        <v>704</v>
      </c>
      <c r="D490" s="5" t="s">
        <v>2</v>
      </c>
      <c r="E490" s="5" t="s">
        <v>2</v>
      </c>
      <c r="F490" s="5">
        <v>3.5911360000000001</v>
      </c>
      <c r="G490" s="12">
        <f>VLOOKUP(A490,'[1]all FNCL'!A$2:B$993,2)</f>
        <v>0.88507237465235999</v>
      </c>
      <c r="H490" s="3" t="s">
        <v>502</v>
      </c>
      <c r="I490">
        <v>0.38166972699665502</v>
      </c>
      <c r="J490" s="33">
        <f>VLOOKUP(A490,'Refi Universe'!E:F,2,0)</f>
        <v>0.88589474999999995</v>
      </c>
    </row>
    <row r="491" spans="1:10" ht="15" x14ac:dyDescent="0.25">
      <c r="A491" s="14">
        <v>41290</v>
      </c>
      <c r="B491" s="15">
        <v>699</v>
      </c>
      <c r="C491" s="15">
        <v>699</v>
      </c>
      <c r="D491" s="5" t="s">
        <v>2</v>
      </c>
      <c r="E491" s="5" t="s">
        <v>2</v>
      </c>
      <c r="F491" s="5">
        <v>3.5959180000000002</v>
      </c>
      <c r="G491" s="12">
        <f>VLOOKUP(A491,'[1]all FNCL'!A$2:B$993,2)</f>
        <v>0.88507237465235999</v>
      </c>
      <c r="H491" s="3" t="s">
        <v>503</v>
      </c>
      <c r="I491">
        <v>0.38166972699665502</v>
      </c>
      <c r="J491" s="33">
        <f>VLOOKUP(A491,'Refi Universe'!E:F,2,0)</f>
        <v>0.88589474999999995</v>
      </c>
    </row>
    <row r="492" spans="1:10" ht="15" x14ac:dyDescent="0.25">
      <c r="A492" s="14">
        <v>41291</v>
      </c>
      <c r="B492" s="15">
        <v>686</v>
      </c>
      <c r="C492" s="15">
        <v>686</v>
      </c>
      <c r="D492" s="5" t="s">
        <v>2</v>
      </c>
      <c r="E492" s="5" t="s">
        <v>2</v>
      </c>
      <c r="F492" s="5">
        <v>3.6203940000000001</v>
      </c>
      <c r="G492" s="12">
        <f>VLOOKUP(A492,'[1]all FNCL'!A$2:B$993,2)</f>
        <v>0.88631407683414698</v>
      </c>
      <c r="H492" s="3" t="s">
        <v>504</v>
      </c>
      <c r="I492">
        <v>0.38166972699665502</v>
      </c>
      <c r="J492" s="33">
        <f>VLOOKUP(A492,'Refi Universe'!E:F,2,0)</f>
        <v>0.87804391999999998</v>
      </c>
    </row>
    <row r="493" spans="1:10" ht="15" x14ac:dyDescent="0.25">
      <c r="A493" s="14">
        <v>41292</v>
      </c>
      <c r="B493" s="15">
        <v>687</v>
      </c>
      <c r="C493" s="15">
        <v>687</v>
      </c>
      <c r="D493" s="5" t="s">
        <v>2</v>
      </c>
      <c r="E493" s="5" t="s">
        <v>2</v>
      </c>
      <c r="F493" s="5">
        <v>3.6171820000000001</v>
      </c>
      <c r="G493" s="12">
        <f>VLOOKUP(A493,'[1]all FNCL'!A$2:B$993,2)</f>
        <v>0.88631407683414698</v>
      </c>
      <c r="H493" s="3" t="s">
        <v>505</v>
      </c>
      <c r="I493">
        <v>0.38166972699665502</v>
      </c>
      <c r="J493" s="33">
        <f>VLOOKUP(A493,'Refi Universe'!E:F,2,0)</f>
        <v>0.88249445999999998</v>
      </c>
    </row>
    <row r="494" spans="1:10" ht="15" x14ac:dyDescent="0.25">
      <c r="A494" s="14">
        <v>41296</v>
      </c>
      <c r="B494" s="15">
        <v>719</v>
      </c>
      <c r="C494" s="15">
        <v>719</v>
      </c>
      <c r="D494" s="5" t="s">
        <v>2</v>
      </c>
      <c r="E494" s="5" t="s">
        <v>2</v>
      </c>
      <c r="F494" s="5">
        <v>3.6288079999999998</v>
      </c>
      <c r="G494" s="12">
        <f>VLOOKUP(A494,'[1]all FNCL'!A$2:B$993,2)</f>
        <v>0.88631407683414698</v>
      </c>
      <c r="H494" s="3" t="s">
        <v>506</v>
      </c>
      <c r="I494">
        <v>0.36809292035715802</v>
      </c>
      <c r="J494" s="33">
        <f>VLOOKUP(A494,'Refi Universe'!E:F,2,0)</f>
        <v>0.88215476000000004</v>
      </c>
    </row>
    <row r="495" spans="1:10" ht="15" x14ac:dyDescent="0.25">
      <c r="A495" s="14">
        <v>41297</v>
      </c>
      <c r="B495" s="15">
        <v>717</v>
      </c>
      <c r="C495" s="15">
        <v>717</v>
      </c>
      <c r="D495" s="5" t="s">
        <v>2</v>
      </c>
      <c r="E495" s="5" t="s">
        <v>2</v>
      </c>
      <c r="F495" s="5">
        <v>3.6235439999999999</v>
      </c>
      <c r="G495" s="12">
        <f>VLOOKUP(A495,'[1]all FNCL'!A$2:B$993,2)</f>
        <v>0.88631407683414698</v>
      </c>
      <c r="H495" s="3" t="s">
        <v>507</v>
      </c>
      <c r="I495">
        <v>0.36809292035715802</v>
      </c>
      <c r="J495" s="33">
        <f>VLOOKUP(A495,'Refi Universe'!E:F,2,0)</f>
        <v>0.88439003000000005</v>
      </c>
    </row>
    <row r="496" spans="1:10" ht="15" x14ac:dyDescent="0.25">
      <c r="A496" s="14">
        <v>41298</v>
      </c>
      <c r="B496" s="15">
        <v>713</v>
      </c>
      <c r="C496" s="15">
        <v>713</v>
      </c>
      <c r="D496" s="5" t="s">
        <v>2</v>
      </c>
      <c r="E496" s="5" t="s">
        <v>2</v>
      </c>
      <c r="F496" s="5">
        <v>3.633705</v>
      </c>
      <c r="G496" s="12">
        <f>VLOOKUP(A496,'[1]all FNCL'!A$2:B$993,2)</f>
        <v>0.88379536104531298</v>
      </c>
      <c r="H496" s="3" t="s">
        <v>508</v>
      </c>
      <c r="I496">
        <v>0.36809292035715802</v>
      </c>
      <c r="J496" s="33">
        <f>VLOOKUP(A496,'Refi Universe'!E:F,2,0)</f>
        <v>0.88296931999999995</v>
      </c>
    </row>
    <row r="497" spans="1:10" ht="15" x14ac:dyDescent="0.25">
      <c r="A497" s="14">
        <v>41299</v>
      </c>
      <c r="B497" s="15">
        <v>666</v>
      </c>
      <c r="C497" s="15">
        <v>666</v>
      </c>
      <c r="D497" s="5" t="s">
        <v>2</v>
      </c>
      <c r="E497" s="5" t="s">
        <v>2</v>
      </c>
      <c r="F497" s="5">
        <v>3.6995849999999999</v>
      </c>
      <c r="G497" s="12">
        <f>VLOOKUP(A497,'[1]all FNCL'!A$2:B$993,2)</f>
        <v>0.88379536104531298</v>
      </c>
      <c r="H497" s="3" t="s">
        <v>509</v>
      </c>
      <c r="I497">
        <v>0.36809292035715802</v>
      </c>
      <c r="J497" s="33">
        <f>VLOOKUP(A497,'Refi Universe'!E:F,2,0)</f>
        <v>0.80504880000000001</v>
      </c>
    </row>
    <row r="498" spans="1:10" ht="15" x14ac:dyDescent="0.25">
      <c r="A498" s="14">
        <v>41302</v>
      </c>
      <c r="B498" s="15">
        <v>661</v>
      </c>
      <c r="C498" s="15">
        <v>661</v>
      </c>
      <c r="D498" s="5" t="s">
        <v>2</v>
      </c>
      <c r="E498" s="5" t="s">
        <v>2</v>
      </c>
      <c r="F498" s="5">
        <v>3.7182580000000001</v>
      </c>
      <c r="G498" s="12">
        <f>VLOOKUP(A498,'[1]all FNCL'!A$2:B$993,2)</f>
        <v>0.88379536104531298</v>
      </c>
      <c r="H498" s="3" t="s">
        <v>510</v>
      </c>
      <c r="I498">
        <v>0.36809292035715802</v>
      </c>
      <c r="J498" s="33">
        <f>VLOOKUP(A498,'Refi Universe'!E:F,2,0)</f>
        <v>0.76767467</v>
      </c>
    </row>
    <row r="499" spans="1:10" ht="15" x14ac:dyDescent="0.25">
      <c r="A499" s="14">
        <v>41303</v>
      </c>
      <c r="B499" s="15">
        <v>663</v>
      </c>
      <c r="C499" s="15">
        <v>663</v>
      </c>
      <c r="D499" s="5" t="s">
        <v>2</v>
      </c>
      <c r="E499" s="5" t="s">
        <v>2</v>
      </c>
      <c r="F499" s="5">
        <v>3.7236560000000001</v>
      </c>
      <c r="G499" s="12">
        <f>VLOOKUP(A499,'[1]all FNCL'!A$2:B$993,2)</f>
        <v>0.88379536104531298</v>
      </c>
      <c r="H499" s="3" t="s">
        <v>511</v>
      </c>
      <c r="I499">
        <v>0.37329753351950501</v>
      </c>
      <c r="J499" s="33">
        <f>VLOOKUP(A499,'Refi Universe'!E:F,2,0)</f>
        <v>0.75705208999999996</v>
      </c>
    </row>
    <row r="500" spans="1:10" ht="15" x14ac:dyDescent="0.25">
      <c r="A500" s="14">
        <v>41304</v>
      </c>
      <c r="B500" s="15">
        <v>643</v>
      </c>
      <c r="C500" s="15">
        <v>643</v>
      </c>
      <c r="D500" s="5" t="s">
        <v>2</v>
      </c>
      <c r="E500" s="5" t="s">
        <v>2</v>
      </c>
      <c r="F500" s="5">
        <v>3.733206</v>
      </c>
      <c r="G500" s="12">
        <f>VLOOKUP(A500,'[1]all FNCL'!A$2:B$993,2)</f>
        <v>0.88379536104531298</v>
      </c>
      <c r="H500" s="3" t="s">
        <v>512</v>
      </c>
      <c r="I500">
        <v>0.37329753351950501</v>
      </c>
      <c r="J500" s="33">
        <f>VLOOKUP(A500,'Refi Universe'!E:F,2,0)</f>
        <v>0.77275377999999995</v>
      </c>
    </row>
    <row r="501" spans="1:10" ht="15" x14ac:dyDescent="0.25">
      <c r="A501" s="14">
        <v>41305</v>
      </c>
      <c r="B501" s="15">
        <v>663</v>
      </c>
      <c r="C501" s="15">
        <v>663</v>
      </c>
      <c r="D501" s="5" t="s">
        <v>2</v>
      </c>
      <c r="E501" s="5" t="s">
        <v>2</v>
      </c>
      <c r="F501" s="5">
        <v>3.7355179999999999</v>
      </c>
      <c r="G501" s="12">
        <f>VLOOKUP(A501,'[1]all FNCL'!A$2:B$993,2)</f>
        <v>0.84748759806752005</v>
      </c>
      <c r="H501" s="3" t="s">
        <v>513</v>
      </c>
      <c r="I501">
        <v>0.37329753351950501</v>
      </c>
      <c r="J501" s="33">
        <f>VLOOKUP(A501,'Refi Universe'!E:F,2,0)</f>
        <v>0.77474962999999997</v>
      </c>
    </row>
    <row r="502" spans="1:10" ht="15" x14ac:dyDescent="0.25">
      <c r="A502" s="14">
        <v>41306</v>
      </c>
      <c r="B502" s="15">
        <v>656</v>
      </c>
      <c r="C502" s="15">
        <v>656</v>
      </c>
      <c r="D502" s="5" t="s">
        <v>2</v>
      </c>
      <c r="E502" s="5" t="s">
        <v>2</v>
      </c>
      <c r="F502" s="5">
        <v>3.734969</v>
      </c>
      <c r="G502" s="12">
        <f>VLOOKUP(A502,'[1]all FNCL'!A$2:B$993,2)</f>
        <v>0.82271172400250803</v>
      </c>
      <c r="H502" s="3" t="s">
        <v>514</v>
      </c>
      <c r="I502">
        <v>0.37329753351950501</v>
      </c>
      <c r="J502" s="33">
        <f>VLOOKUP(A502,'Refi Universe'!E:F,2,0)</f>
        <v>0.74042772999999995</v>
      </c>
    </row>
    <row r="503" spans="1:10" ht="15" x14ac:dyDescent="0.25">
      <c r="A503" s="14">
        <v>41309</v>
      </c>
      <c r="B503" s="15">
        <v>645</v>
      </c>
      <c r="C503" s="15">
        <v>645</v>
      </c>
      <c r="D503" s="5" t="s">
        <v>2</v>
      </c>
      <c r="E503" s="5" t="s">
        <v>2</v>
      </c>
      <c r="F503" s="5">
        <v>3.72092</v>
      </c>
      <c r="G503" s="12">
        <f>VLOOKUP(A503,'[1]all FNCL'!A$2:B$993,2)</f>
        <v>0.82271172400250803</v>
      </c>
      <c r="H503" s="3" t="s">
        <v>515</v>
      </c>
      <c r="I503">
        <v>0.37329753351950501</v>
      </c>
      <c r="J503" s="33">
        <f>VLOOKUP(A503,'Refi Universe'!E:F,2,0)</f>
        <v>0.77338823999999995</v>
      </c>
    </row>
    <row r="504" spans="1:10" ht="15" x14ac:dyDescent="0.25">
      <c r="A504" s="14">
        <v>41310</v>
      </c>
      <c r="B504" s="15">
        <v>622</v>
      </c>
      <c r="C504" s="15">
        <v>622</v>
      </c>
      <c r="D504" s="5" t="s">
        <v>2</v>
      </c>
      <c r="E504" s="5" t="s">
        <v>2</v>
      </c>
      <c r="F504" s="5">
        <v>3.7497929999999999</v>
      </c>
      <c r="G504" s="12">
        <f>VLOOKUP(A504,'[1]all FNCL'!A$2:B$993,2)</f>
        <v>0.82271172400250803</v>
      </c>
      <c r="H504" s="3" t="s">
        <v>516</v>
      </c>
      <c r="I504">
        <v>0.40121753760358098</v>
      </c>
      <c r="J504" s="33">
        <f>VLOOKUP(A504,'Refi Universe'!E:F,2,0)</f>
        <v>0.73569048000000004</v>
      </c>
    </row>
    <row r="505" spans="1:10" ht="15" x14ac:dyDescent="0.25">
      <c r="A505" s="14">
        <v>41311</v>
      </c>
      <c r="B505" s="15">
        <v>623</v>
      </c>
      <c r="C505" s="15">
        <v>623</v>
      </c>
      <c r="D505" s="5" t="s">
        <v>2</v>
      </c>
      <c r="E505" s="5" t="s">
        <v>2</v>
      </c>
      <c r="F505" s="5">
        <v>3.7293219999999998</v>
      </c>
      <c r="G505" s="12">
        <f>VLOOKUP(A505,'[1]all FNCL'!A$2:B$993,2)</f>
        <v>0.82271172400250803</v>
      </c>
      <c r="H505" s="3" t="s">
        <v>517</v>
      </c>
      <c r="I505">
        <v>0.40121753760358098</v>
      </c>
      <c r="J505" s="33">
        <f>VLOOKUP(A505,'Refi Universe'!E:F,2,0)</f>
        <v>0.81304865000000004</v>
      </c>
    </row>
    <row r="506" spans="1:10" ht="15" x14ac:dyDescent="0.25">
      <c r="A506" s="14">
        <v>41312</v>
      </c>
      <c r="B506" s="15">
        <v>606</v>
      </c>
      <c r="C506" s="15">
        <v>606</v>
      </c>
      <c r="D506" s="5" t="s">
        <v>2</v>
      </c>
      <c r="E506" s="5" t="s">
        <v>2</v>
      </c>
      <c r="F506" s="5">
        <v>3.724774</v>
      </c>
      <c r="G506" s="12">
        <f>VLOOKUP(A506,'[1]all FNCL'!A$2:B$993,2)</f>
        <v>0.82271172400250803</v>
      </c>
      <c r="H506" s="3" t="s">
        <v>518</v>
      </c>
      <c r="I506">
        <v>0.40121753760358098</v>
      </c>
      <c r="J506" s="33">
        <f>VLOOKUP(A506,'Refi Universe'!E:F,2,0)</f>
        <v>0.82222097000000005</v>
      </c>
    </row>
    <row r="507" spans="1:10" ht="15" x14ac:dyDescent="0.25">
      <c r="A507" s="14">
        <v>41313</v>
      </c>
      <c r="B507" s="15">
        <v>546</v>
      </c>
      <c r="C507" s="15">
        <v>546</v>
      </c>
      <c r="D507" s="5" t="s">
        <v>2</v>
      </c>
      <c r="E507" s="5" t="s">
        <v>2</v>
      </c>
      <c r="F507" s="5">
        <v>3.7215220000000002</v>
      </c>
      <c r="G507" s="12">
        <f>VLOOKUP(A507,'[1]all FNCL'!A$2:B$993,2)</f>
        <v>0.82271172400250803</v>
      </c>
      <c r="H507" s="3" t="s">
        <v>519</v>
      </c>
      <c r="I507">
        <v>0.40121753760358098</v>
      </c>
      <c r="J507" s="33">
        <f>VLOOKUP(A507,'Refi Universe'!E:F,2,0)</f>
        <v>0.79899058000000001</v>
      </c>
    </row>
    <row r="508" spans="1:10" ht="15" x14ac:dyDescent="0.25">
      <c r="A508" s="14">
        <v>41316</v>
      </c>
      <c r="B508" s="15">
        <v>607</v>
      </c>
      <c r="C508" s="15">
        <v>607</v>
      </c>
      <c r="D508" s="5">
        <v>307</v>
      </c>
      <c r="E508" s="5">
        <v>235</v>
      </c>
      <c r="F508" s="5">
        <v>3.7114240000000001</v>
      </c>
      <c r="G508" s="12">
        <f>VLOOKUP(A508,'[1]all FNCL'!A$2:B$993,2)</f>
        <v>0.82271172400250803</v>
      </c>
      <c r="H508" s="3" t="s">
        <v>520</v>
      </c>
      <c r="I508">
        <v>0.40121753760358098</v>
      </c>
      <c r="J508" s="33">
        <f>VLOOKUP(A508,'Refi Universe'!E:F,2,0)</f>
        <v>0.80855876999999998</v>
      </c>
    </row>
    <row r="509" spans="1:10" ht="15" x14ac:dyDescent="0.25">
      <c r="A509" s="14">
        <v>41317</v>
      </c>
      <c r="B509" s="15">
        <v>562</v>
      </c>
      <c r="C509" s="15">
        <v>562</v>
      </c>
      <c r="D509" s="5">
        <v>302</v>
      </c>
      <c r="E509" s="5">
        <v>171</v>
      </c>
      <c r="F509" s="5">
        <v>3.7370019999999999</v>
      </c>
      <c r="G509" s="12">
        <f>VLOOKUP(A509,'[1]all FNCL'!A$2:B$993,2)</f>
        <v>0.82271172400250803</v>
      </c>
      <c r="H509" s="3" t="s">
        <v>521</v>
      </c>
      <c r="I509">
        <v>0.40418715867892502</v>
      </c>
      <c r="J509" s="33">
        <f>VLOOKUP(A509,'Refi Universe'!E:F,2,0)</f>
        <v>0.75767121000000004</v>
      </c>
    </row>
    <row r="510" spans="1:10" ht="15" x14ac:dyDescent="0.25">
      <c r="A510" s="14">
        <v>41318</v>
      </c>
      <c r="B510" s="15">
        <v>569</v>
      </c>
      <c r="C510" s="15">
        <v>569</v>
      </c>
      <c r="D510" s="5">
        <v>296</v>
      </c>
      <c r="E510" s="5">
        <v>175</v>
      </c>
      <c r="F510" s="5">
        <v>3.765228</v>
      </c>
      <c r="G510" s="12">
        <f>VLOOKUP(A510,'[1]all FNCL'!A$2:B$993,2)</f>
        <v>0.82271172400250803</v>
      </c>
      <c r="H510" s="3" t="s">
        <v>522</v>
      </c>
      <c r="I510">
        <v>0.40418715867892502</v>
      </c>
      <c r="J510" s="33">
        <f>VLOOKUP(A510,'Refi Universe'!E:F,2,0)</f>
        <v>0.73648318000000002</v>
      </c>
    </row>
    <row r="511" spans="1:10" ht="15" x14ac:dyDescent="0.25">
      <c r="A511" s="14">
        <v>41319</v>
      </c>
      <c r="B511" s="15">
        <v>567</v>
      </c>
      <c r="C511" s="15">
        <v>567</v>
      </c>
      <c r="D511" s="5">
        <v>302</v>
      </c>
      <c r="E511" s="5">
        <v>176</v>
      </c>
      <c r="F511" s="5">
        <v>3.7383660000000001</v>
      </c>
      <c r="G511" s="12">
        <f>VLOOKUP(A511,'[1]all FNCL'!A$2:B$993,2)</f>
        <v>0.82271172400250803</v>
      </c>
      <c r="H511" s="3" t="s">
        <v>523</v>
      </c>
      <c r="I511">
        <v>0.40418715867892502</v>
      </c>
      <c r="J511" s="33">
        <f>VLOOKUP(A511,'Refi Universe'!E:F,2,0)</f>
        <v>0.77547370000000004</v>
      </c>
    </row>
    <row r="512" spans="1:10" ht="15" x14ac:dyDescent="0.25">
      <c r="A512" s="14">
        <v>41320</v>
      </c>
      <c r="B512" s="15">
        <v>582</v>
      </c>
      <c r="C512" s="15">
        <v>582</v>
      </c>
      <c r="D512" s="5">
        <v>319</v>
      </c>
      <c r="E512" s="5">
        <v>177</v>
      </c>
      <c r="F512" s="5">
        <v>3.7448959999999998</v>
      </c>
      <c r="G512" s="12">
        <f>VLOOKUP(A512,'[1]all FNCL'!A$2:B$993,2)</f>
        <v>0.82271172400250803</v>
      </c>
      <c r="H512" s="3" t="s">
        <v>524</v>
      </c>
      <c r="I512">
        <v>0.40418715867892502</v>
      </c>
      <c r="J512" s="33">
        <f>VLOOKUP(A512,'Refi Universe'!E:F,2,0)</f>
        <v>0.75767121000000004</v>
      </c>
    </row>
    <row r="513" spans="1:10" ht="15" x14ac:dyDescent="0.25">
      <c r="A513" s="14">
        <v>41324</v>
      </c>
      <c r="B513" s="15">
        <v>623</v>
      </c>
      <c r="C513" s="15">
        <v>623</v>
      </c>
      <c r="D513" s="5">
        <v>313</v>
      </c>
      <c r="E513" s="5">
        <v>187</v>
      </c>
      <c r="F513" s="5">
        <v>3.7579989999999999</v>
      </c>
      <c r="G513" s="12">
        <f>VLOOKUP(A513,'[1]all FNCL'!A$2:B$993,2)</f>
        <v>0.82271172400250803</v>
      </c>
      <c r="H513" s="3" t="s">
        <v>525</v>
      </c>
      <c r="I513">
        <v>0.40418715867892502</v>
      </c>
      <c r="J513" s="33">
        <f>VLOOKUP(A513,'Refi Universe'!E:F,2,0)</f>
        <v>0.74506516</v>
      </c>
    </row>
    <row r="514" spans="1:10" ht="15" x14ac:dyDescent="0.25">
      <c r="A514" s="14">
        <v>41325</v>
      </c>
      <c r="B514" s="15">
        <v>620</v>
      </c>
      <c r="C514" s="15">
        <v>620</v>
      </c>
      <c r="D514" s="5">
        <v>315</v>
      </c>
      <c r="E514" s="5">
        <v>192</v>
      </c>
      <c r="F514" s="5">
        <v>3.7600950000000002</v>
      </c>
      <c r="G514" s="12">
        <f>VLOOKUP(A514,'[1]all FNCL'!A$2:B$993,2)</f>
        <v>0.82271172400250803</v>
      </c>
      <c r="H514" s="3" t="s">
        <v>526</v>
      </c>
      <c r="I514">
        <v>0.43156044404796001</v>
      </c>
      <c r="J514" s="33">
        <f>VLOOKUP(A514,'Refi Universe'!E:F,2,0)</f>
        <v>0.74910363000000002</v>
      </c>
    </row>
    <row r="515" spans="1:10" ht="15" x14ac:dyDescent="0.25">
      <c r="A515" s="14">
        <v>41326</v>
      </c>
      <c r="B515" s="15">
        <v>622</v>
      </c>
      <c r="C515" s="15">
        <v>622</v>
      </c>
      <c r="D515" s="5">
        <v>317</v>
      </c>
      <c r="E515" s="5">
        <v>190</v>
      </c>
      <c r="F515" s="5">
        <v>3.7462399999999998</v>
      </c>
      <c r="G515" s="12">
        <f>VLOOKUP(A515,'[1]all FNCL'!A$2:B$993,2)</f>
        <v>0.79171461670661003</v>
      </c>
      <c r="H515" s="3" t="s">
        <v>527</v>
      </c>
      <c r="I515">
        <v>0.43156044404796001</v>
      </c>
      <c r="J515" s="33">
        <f>VLOOKUP(A515,'Refi Universe'!E:F,2,0)</f>
        <v>0.75956073000000002</v>
      </c>
    </row>
    <row r="516" spans="1:10" ht="15" x14ac:dyDescent="0.25">
      <c r="A516" s="14">
        <v>41327</v>
      </c>
      <c r="B516" s="15">
        <v>624</v>
      </c>
      <c r="C516" s="15">
        <v>624</v>
      </c>
      <c r="D516" s="5">
        <v>321</v>
      </c>
      <c r="E516" s="5">
        <v>169</v>
      </c>
      <c r="F516" s="5">
        <v>3.749736</v>
      </c>
      <c r="G516" s="12">
        <f>VLOOKUP(A516,'[1]all FNCL'!A$2:B$993,2)</f>
        <v>0.79171461670661003</v>
      </c>
      <c r="H516" s="3" t="s">
        <v>528</v>
      </c>
      <c r="I516">
        <v>0.43156044404796001</v>
      </c>
      <c r="J516" s="33">
        <f>VLOOKUP(A516,'Refi Universe'!E:F,2,0)</f>
        <v>0.76181047000000002</v>
      </c>
    </row>
    <row r="517" spans="1:10" ht="15" x14ac:dyDescent="0.25">
      <c r="A517" s="14">
        <v>41330</v>
      </c>
      <c r="B517" s="15">
        <v>636</v>
      </c>
      <c r="C517" s="15">
        <v>636</v>
      </c>
      <c r="D517" s="5">
        <v>321</v>
      </c>
      <c r="E517" s="5">
        <v>151</v>
      </c>
      <c r="F517" s="5">
        <v>3.7135729999999998</v>
      </c>
      <c r="G517" s="12">
        <f>VLOOKUP(A517,'[1]all FNCL'!A$2:B$993,2)</f>
        <v>0.79171461670661003</v>
      </c>
      <c r="H517" s="3" t="s">
        <v>529</v>
      </c>
      <c r="I517">
        <v>0.43156044404796001</v>
      </c>
      <c r="J517" s="33">
        <f>VLOOKUP(A517,'Refi Universe'!E:F,2,0)</f>
        <v>0.83204617000000003</v>
      </c>
    </row>
    <row r="518" spans="1:10" ht="15" x14ac:dyDescent="0.25">
      <c r="A518" s="14">
        <v>41331</v>
      </c>
      <c r="B518" s="15">
        <v>649</v>
      </c>
      <c r="C518" s="15">
        <v>649</v>
      </c>
      <c r="D518" s="5">
        <v>324</v>
      </c>
      <c r="E518" s="5">
        <v>159</v>
      </c>
      <c r="F518" s="5">
        <v>3.701635</v>
      </c>
      <c r="G518" s="12">
        <f>VLOOKUP(A518,'[1]all FNCL'!A$2:B$993,2)</f>
        <v>0.79171461670661003</v>
      </c>
      <c r="H518" s="3" t="s">
        <v>530</v>
      </c>
      <c r="I518">
        <v>0.44289145430937299</v>
      </c>
      <c r="J518" s="33">
        <f>VLOOKUP(A518,'Refi Universe'!E:F,2,0)</f>
        <v>0.84215019999999996</v>
      </c>
    </row>
    <row r="519" spans="1:10" ht="15" x14ac:dyDescent="0.25">
      <c r="A519" s="14">
        <v>41332</v>
      </c>
      <c r="B519" s="15">
        <v>642</v>
      </c>
      <c r="C519" s="15">
        <v>642</v>
      </c>
      <c r="D519" s="5">
        <v>320</v>
      </c>
      <c r="E519" s="5">
        <v>164</v>
      </c>
      <c r="F519" s="5">
        <v>3.717285</v>
      </c>
      <c r="G519" s="12">
        <f>VLOOKUP(A519,'[1]all FNCL'!A$2:B$993,2)</f>
        <v>0.79171461670661003</v>
      </c>
      <c r="H519" s="3" t="s">
        <v>531</v>
      </c>
      <c r="I519">
        <v>0.44289145430937299</v>
      </c>
      <c r="J519" s="33">
        <f>VLOOKUP(A519,'Refi Universe'!E:F,2,0)</f>
        <v>0.82756768000000003</v>
      </c>
    </row>
    <row r="520" spans="1:10" ht="15" x14ac:dyDescent="0.25">
      <c r="A520" s="14">
        <v>41333</v>
      </c>
      <c r="B520" s="15">
        <v>614</v>
      </c>
      <c r="C520" s="15">
        <v>614</v>
      </c>
      <c r="D520" s="5">
        <v>299</v>
      </c>
      <c r="E520" s="5">
        <v>157</v>
      </c>
      <c r="F520" s="5">
        <v>3.7038720000000001</v>
      </c>
      <c r="G520" s="12">
        <f>VLOOKUP(A520,'[1]all FNCL'!A$2:B$993,2)</f>
        <v>0.83664177858148003</v>
      </c>
      <c r="H520" s="3" t="s">
        <v>532</v>
      </c>
      <c r="I520">
        <v>0.44150761506791297</v>
      </c>
      <c r="J520" s="33">
        <f>VLOOKUP(A520,'Refi Universe'!E:F,2,0)</f>
        <v>0.84309752999999998</v>
      </c>
    </row>
    <row r="521" spans="1:10" ht="15" x14ac:dyDescent="0.25">
      <c r="A521" s="14">
        <v>41334</v>
      </c>
      <c r="B521" s="15">
        <v>619</v>
      </c>
      <c r="C521" s="15">
        <v>619</v>
      </c>
      <c r="D521" s="5">
        <v>314</v>
      </c>
      <c r="E521" s="5">
        <v>152</v>
      </c>
      <c r="F521" s="5">
        <v>3.6902650000000001</v>
      </c>
      <c r="G521" s="12">
        <f>VLOOKUP(A521,'[1]all FNCL'!A$2:B$993,2)</f>
        <v>0.81851206223084805</v>
      </c>
      <c r="H521" s="3" t="s">
        <v>533</v>
      </c>
      <c r="I521">
        <v>0.44150761506791297</v>
      </c>
      <c r="J521" s="33">
        <f>VLOOKUP(A521,'Refi Universe'!E:F,2,0)</f>
        <v>0.83067533000000005</v>
      </c>
    </row>
    <row r="522" spans="1:10" ht="15" x14ac:dyDescent="0.25">
      <c r="A522" s="14">
        <v>41337</v>
      </c>
      <c r="B522" s="15">
        <v>621</v>
      </c>
      <c r="C522" s="15">
        <v>621</v>
      </c>
      <c r="D522" s="5">
        <v>327</v>
      </c>
      <c r="E522" s="5">
        <v>164</v>
      </c>
      <c r="F522" s="5">
        <v>3.6998989999999998</v>
      </c>
      <c r="G522" s="12">
        <f>VLOOKUP(A522,'[1]all FNCL'!A$2:B$993,2)</f>
        <v>0.81851206223084805</v>
      </c>
      <c r="H522" s="3" t="s">
        <v>534</v>
      </c>
      <c r="I522">
        <v>0.44150761506791297</v>
      </c>
      <c r="J522" s="33">
        <f>VLOOKUP(A522,'Refi Universe'!E:F,2,0)</f>
        <v>0.82448531000000003</v>
      </c>
    </row>
    <row r="523" spans="1:10" ht="15" x14ac:dyDescent="0.25">
      <c r="A523" s="14">
        <v>41338</v>
      </c>
      <c r="B523" s="15">
        <v>576</v>
      </c>
      <c r="C523" s="15">
        <v>576</v>
      </c>
      <c r="D523" s="5">
        <v>292</v>
      </c>
      <c r="E523" s="5">
        <v>140</v>
      </c>
      <c r="F523" s="5">
        <v>3.7090839999999998</v>
      </c>
      <c r="G523" s="12">
        <f>VLOOKUP(A523,'[1]all FNCL'!A$2:B$993,2)</f>
        <v>0.81851206223084805</v>
      </c>
      <c r="H523" s="3" t="s">
        <v>535</v>
      </c>
      <c r="I523">
        <v>0.429907169996321</v>
      </c>
      <c r="J523" s="33">
        <f>VLOOKUP(A523,'Refi Universe'!E:F,2,0)</f>
        <v>0.81743252</v>
      </c>
    </row>
    <row r="524" spans="1:10" ht="15" x14ac:dyDescent="0.25">
      <c r="A524" s="14">
        <v>41339</v>
      </c>
      <c r="B524" s="15">
        <v>585</v>
      </c>
      <c r="C524" s="15">
        <v>585</v>
      </c>
      <c r="D524" s="5">
        <v>304</v>
      </c>
      <c r="E524" s="5">
        <v>157</v>
      </c>
      <c r="F524" s="5">
        <v>3.7366389999999998</v>
      </c>
      <c r="G524" s="12">
        <f>VLOOKUP(A524,'[1]all FNCL'!A$2:B$993,2)</f>
        <v>0.81851206223084805</v>
      </c>
      <c r="H524" s="3" t="s">
        <v>536</v>
      </c>
      <c r="I524">
        <v>0.429907169996321</v>
      </c>
      <c r="J524" s="33">
        <f>VLOOKUP(A524,'Refi Universe'!E:F,2,0)</f>
        <v>0.75669235000000001</v>
      </c>
    </row>
    <row r="525" spans="1:10" ht="15" x14ac:dyDescent="0.25">
      <c r="A525" s="14">
        <v>41340</v>
      </c>
      <c r="B525" s="15">
        <v>567</v>
      </c>
      <c r="C525" s="15">
        <v>567</v>
      </c>
      <c r="D525" s="5">
        <v>281</v>
      </c>
      <c r="E525" s="5">
        <v>149</v>
      </c>
      <c r="F525" s="5">
        <v>3.7730139999999999</v>
      </c>
      <c r="G525" s="12">
        <f>VLOOKUP(A525,'[1]all FNCL'!A$2:B$993,2)</f>
        <v>0.81207127811354496</v>
      </c>
      <c r="H525" s="3" t="s">
        <v>537</v>
      </c>
      <c r="I525">
        <v>0.429907169996321</v>
      </c>
      <c r="J525" s="33">
        <f>VLOOKUP(A525,'Refi Universe'!E:F,2,0)</f>
        <v>0.71013143999999995</v>
      </c>
    </row>
    <row r="526" spans="1:10" ht="15" x14ac:dyDescent="0.25">
      <c r="A526" s="14">
        <v>41341</v>
      </c>
      <c r="B526" s="15">
        <v>533</v>
      </c>
      <c r="C526" s="15">
        <v>533</v>
      </c>
      <c r="D526" s="5">
        <v>255</v>
      </c>
      <c r="E526" s="5">
        <v>140</v>
      </c>
      <c r="F526" s="5">
        <v>3.818473</v>
      </c>
      <c r="G526" s="12">
        <f>VLOOKUP(A526,'[1]all FNCL'!A$2:B$993,2)</f>
        <v>0.81207127811354496</v>
      </c>
      <c r="H526" s="3" t="s">
        <v>538</v>
      </c>
      <c r="I526">
        <v>0.429907169996321</v>
      </c>
      <c r="J526" s="33">
        <f>VLOOKUP(A526,'Refi Universe'!E:F,2,0)</f>
        <v>0.68844536999999995</v>
      </c>
    </row>
    <row r="527" spans="1:10" ht="15" x14ac:dyDescent="0.25">
      <c r="A527" s="14">
        <v>41344</v>
      </c>
      <c r="B527" s="15">
        <v>535</v>
      </c>
      <c r="C527" s="15">
        <v>535</v>
      </c>
      <c r="D527" s="5">
        <v>259</v>
      </c>
      <c r="E527" s="5">
        <v>142</v>
      </c>
      <c r="F527" s="5">
        <v>3.8116509999999999</v>
      </c>
      <c r="G527" s="12">
        <f>VLOOKUP(A527,'[1]all FNCL'!A$2:B$993,2)</f>
        <v>0.81207127811354496</v>
      </c>
      <c r="H527" s="3" t="s">
        <v>539</v>
      </c>
      <c r="I527">
        <v>0.429907169996321</v>
      </c>
      <c r="J527" s="33">
        <f>VLOOKUP(A527,'Refi Universe'!E:F,2,0)</f>
        <v>0.69041534999999998</v>
      </c>
    </row>
    <row r="528" spans="1:10" ht="15" x14ac:dyDescent="0.25">
      <c r="A528" s="14">
        <v>41345</v>
      </c>
      <c r="B528" s="15">
        <v>537</v>
      </c>
      <c r="C528" s="15">
        <v>537</v>
      </c>
      <c r="D528" s="5">
        <v>255</v>
      </c>
      <c r="E528" s="5">
        <v>132</v>
      </c>
      <c r="F528" s="5">
        <v>3.7911419999999998</v>
      </c>
      <c r="G528" s="12">
        <f>VLOOKUP(A528,'[1]all FNCL'!A$2:B$993,2)</f>
        <v>0.81207127811354496</v>
      </c>
      <c r="H528" s="3" t="s">
        <v>540</v>
      </c>
      <c r="I528">
        <v>0.40128471016646999</v>
      </c>
      <c r="J528" s="33">
        <f>VLOOKUP(A528,'Refi Universe'!E:F,2,0)</f>
        <v>0.69888139000000005</v>
      </c>
    </row>
    <row r="529" spans="1:10" ht="15" x14ac:dyDescent="0.25">
      <c r="A529" s="14">
        <v>41346</v>
      </c>
      <c r="B529" s="15">
        <v>535</v>
      </c>
      <c r="C529" s="15">
        <v>535</v>
      </c>
      <c r="D529" s="5">
        <v>242</v>
      </c>
      <c r="E529" s="5">
        <v>121</v>
      </c>
      <c r="F529" s="5">
        <v>3.7874829999999999</v>
      </c>
      <c r="G529" s="12">
        <f>VLOOKUP(A529,'[1]all FNCL'!A$2:B$993,2)</f>
        <v>0.81207127811354496</v>
      </c>
      <c r="H529" s="3" t="s">
        <v>541</v>
      </c>
      <c r="I529">
        <v>0.40128471016646999</v>
      </c>
      <c r="J529" s="33">
        <f>VLOOKUP(A529,'Refi Universe'!E:F,2,0)</f>
        <v>0.70688881999999997</v>
      </c>
    </row>
    <row r="530" spans="1:10" ht="15" x14ac:dyDescent="0.25">
      <c r="A530" s="14">
        <v>41347</v>
      </c>
      <c r="B530" s="15">
        <v>544</v>
      </c>
      <c r="C530" s="15">
        <v>544</v>
      </c>
      <c r="D530" s="5">
        <v>237</v>
      </c>
      <c r="E530" s="5">
        <v>129</v>
      </c>
      <c r="F530" s="5">
        <v>3.7886959999999998</v>
      </c>
      <c r="G530" s="12">
        <f>VLOOKUP(A530,'[1]all FNCL'!A$2:B$993,2)</f>
        <v>0.71228035501776499</v>
      </c>
      <c r="H530" s="3" t="s">
        <v>542</v>
      </c>
      <c r="I530">
        <v>0.40128471016646999</v>
      </c>
      <c r="J530" s="33">
        <f>VLOOKUP(A530,'Refi Universe'!E:F,2,0)</f>
        <v>0.70558498000000003</v>
      </c>
    </row>
    <row r="531" spans="1:10" ht="15" x14ac:dyDescent="0.25">
      <c r="A531" s="14">
        <v>41348</v>
      </c>
      <c r="B531" s="15">
        <v>532</v>
      </c>
      <c r="C531" s="15">
        <v>532</v>
      </c>
      <c r="D531" s="5">
        <v>231</v>
      </c>
      <c r="E531" s="5">
        <v>142</v>
      </c>
      <c r="F531" s="5">
        <v>3.7677040000000002</v>
      </c>
      <c r="G531" s="12">
        <f>VLOOKUP(A531,'[1]all FNCL'!A$2:B$993,2)</f>
        <v>0.71228035501776499</v>
      </c>
      <c r="H531" s="3" t="s">
        <v>543</v>
      </c>
      <c r="I531">
        <v>0.40128471016646999</v>
      </c>
      <c r="J531" s="33">
        <f>VLOOKUP(A531,'Refi Universe'!E:F,2,0)</f>
        <v>0.72532763</v>
      </c>
    </row>
    <row r="532" spans="1:10" ht="15" x14ac:dyDescent="0.25">
      <c r="A532" s="14">
        <v>41351</v>
      </c>
      <c r="B532" s="15">
        <v>541</v>
      </c>
      <c r="C532" s="15">
        <v>541</v>
      </c>
      <c r="D532" s="5">
        <v>244</v>
      </c>
      <c r="E532" s="5">
        <v>120</v>
      </c>
      <c r="F532" s="5">
        <v>3.7468080000000001</v>
      </c>
      <c r="G532" s="12">
        <f>VLOOKUP(A532,'[1]all FNCL'!A$2:B$993,2)</f>
        <v>0.71228035501776499</v>
      </c>
      <c r="H532" s="3" t="s">
        <v>544</v>
      </c>
      <c r="I532">
        <v>0.40128471016646999</v>
      </c>
      <c r="J532" s="33">
        <f>VLOOKUP(A532,'Refi Universe'!E:F,2,0)</f>
        <v>0.76202199999999998</v>
      </c>
    </row>
    <row r="533" spans="1:10" ht="15" x14ac:dyDescent="0.25">
      <c r="A533" s="14">
        <v>41352</v>
      </c>
      <c r="B533" s="15">
        <v>548</v>
      </c>
      <c r="C533" s="15">
        <v>548</v>
      </c>
      <c r="D533" s="5">
        <v>233</v>
      </c>
      <c r="E533" s="5">
        <v>125</v>
      </c>
      <c r="F533" s="5">
        <v>3.7326199999999998</v>
      </c>
      <c r="G533" s="12">
        <f>VLOOKUP(A533,'[1]all FNCL'!A$2:B$993,2)</f>
        <v>0.71228035501776499</v>
      </c>
      <c r="H533" s="3" t="s">
        <v>545</v>
      </c>
      <c r="I533">
        <v>0.41370374077875499</v>
      </c>
      <c r="J533" s="33">
        <f>VLOOKUP(A533,'Refi Universe'!E:F,2,0)</f>
        <v>0.78695435999999996</v>
      </c>
    </row>
    <row r="534" spans="1:10" ht="15" x14ac:dyDescent="0.25">
      <c r="A534" s="14">
        <v>41353</v>
      </c>
      <c r="B534" s="15">
        <v>547</v>
      </c>
      <c r="C534" s="15">
        <v>547</v>
      </c>
      <c r="D534" s="5">
        <v>239</v>
      </c>
      <c r="E534" s="5">
        <v>134</v>
      </c>
      <c r="F534" s="5">
        <v>3.7560690000000001</v>
      </c>
      <c r="G534" s="12">
        <f>VLOOKUP(A534,'[1]all FNCL'!A$2:B$993,2)</f>
        <v>0.71228035501776499</v>
      </c>
      <c r="H534" s="3" t="s">
        <v>546</v>
      </c>
      <c r="I534">
        <v>0.41370374077875499</v>
      </c>
      <c r="J534" s="33">
        <f>VLOOKUP(A534,'Refi Universe'!E:F,2,0)</f>
        <v>0.77084069</v>
      </c>
    </row>
    <row r="535" spans="1:10" ht="15" x14ac:dyDescent="0.25">
      <c r="A535" s="14">
        <v>41354</v>
      </c>
      <c r="B535" s="15">
        <v>536</v>
      </c>
      <c r="C535" s="15">
        <v>536</v>
      </c>
      <c r="D535" s="5">
        <v>236</v>
      </c>
      <c r="E535" s="5">
        <v>137</v>
      </c>
      <c r="F535" s="5">
        <v>3.7719969999999998</v>
      </c>
      <c r="G535" s="12">
        <f>VLOOKUP(A535,'[1]all FNCL'!A$2:B$993,2)</f>
        <v>0.79257538531726102</v>
      </c>
      <c r="H535" s="3" t="s">
        <v>547</v>
      </c>
      <c r="I535">
        <v>0.41370374077875499</v>
      </c>
      <c r="J535" s="33">
        <f>VLOOKUP(A535,'Refi Universe'!E:F,2,0)</f>
        <v>0.73465606999999999</v>
      </c>
    </row>
    <row r="536" spans="1:10" ht="15" x14ac:dyDescent="0.25">
      <c r="A536" s="14">
        <v>41355</v>
      </c>
      <c r="B536" s="15">
        <v>594</v>
      </c>
      <c r="C536" s="15">
        <v>594</v>
      </c>
      <c r="D536" s="5">
        <v>222</v>
      </c>
      <c r="E536" s="5">
        <v>124</v>
      </c>
      <c r="F536" s="5">
        <v>3.7549290000000002</v>
      </c>
      <c r="G536" s="12">
        <f>VLOOKUP(A536,'[1]all FNCL'!A$2:B$993,2)</f>
        <v>0.79257538531726102</v>
      </c>
      <c r="H536" s="3" t="s">
        <v>548</v>
      </c>
      <c r="I536">
        <v>0.41370374077875499</v>
      </c>
      <c r="J536" s="33">
        <f>VLOOKUP(A536,'Refi Universe'!E:F,2,0)</f>
        <v>0.77786171000000004</v>
      </c>
    </row>
    <row r="537" spans="1:10" ht="15" x14ac:dyDescent="0.25">
      <c r="A537" s="14">
        <v>41358</v>
      </c>
      <c r="B537" s="15">
        <v>536</v>
      </c>
      <c r="C537" s="15">
        <v>536</v>
      </c>
      <c r="D537" s="5">
        <v>227</v>
      </c>
      <c r="E537" s="5">
        <v>128</v>
      </c>
      <c r="F537" s="5">
        <v>3.7518600000000002</v>
      </c>
      <c r="G537" s="12">
        <f>VLOOKUP(A537,'[1]all FNCL'!A$2:B$993,2)</f>
        <v>0.79257538531726102</v>
      </c>
      <c r="H537" s="3" t="s">
        <v>549</v>
      </c>
      <c r="I537">
        <v>0.41370374077875499</v>
      </c>
      <c r="J537" s="33">
        <f>VLOOKUP(A537,'Refi Universe'!E:F,2,0)</f>
        <v>0.77926318999999999</v>
      </c>
    </row>
    <row r="538" spans="1:10" ht="15" x14ac:dyDescent="0.25">
      <c r="A538" s="14">
        <v>41359</v>
      </c>
      <c r="B538" s="15">
        <v>529</v>
      </c>
      <c r="C538" s="15">
        <v>529</v>
      </c>
      <c r="D538" s="5">
        <v>228</v>
      </c>
      <c r="E538" s="5">
        <v>130</v>
      </c>
      <c r="F538" s="5">
        <v>3.7549109999999999</v>
      </c>
      <c r="G538" s="12">
        <f>VLOOKUP(A538,'[1]all FNCL'!A$2:B$993,2)</f>
        <v>0.79257538531726102</v>
      </c>
      <c r="H538" s="3" t="s">
        <v>550</v>
      </c>
      <c r="I538">
        <v>0.429907169996321</v>
      </c>
      <c r="J538" s="33">
        <f>VLOOKUP(A538,'Refi Universe'!E:F,2,0)</f>
        <v>0.77702022999999998</v>
      </c>
    </row>
    <row r="539" spans="1:10" ht="15" x14ac:dyDescent="0.25">
      <c r="A539" s="14">
        <v>41360</v>
      </c>
      <c r="B539" s="15">
        <v>534</v>
      </c>
      <c r="C539" s="15">
        <v>534</v>
      </c>
      <c r="D539" s="5">
        <v>223</v>
      </c>
      <c r="E539" s="5">
        <v>123</v>
      </c>
      <c r="F539" s="5">
        <v>3.7369500000000002</v>
      </c>
      <c r="G539" s="12">
        <f>VLOOKUP(A539,'[1]all FNCL'!A$2:B$993,2)</f>
        <v>0.79257538531726102</v>
      </c>
      <c r="H539" s="3" t="s">
        <v>551</v>
      </c>
      <c r="I539">
        <v>0.429907169996321</v>
      </c>
      <c r="J539" s="33">
        <f>VLOOKUP(A539,'Refi Universe'!E:F,2,0)</f>
        <v>0.77084069</v>
      </c>
    </row>
    <row r="540" spans="1:10" ht="15" x14ac:dyDescent="0.25">
      <c r="A540" s="14">
        <v>41361</v>
      </c>
      <c r="B540" s="15">
        <v>538</v>
      </c>
      <c r="C540" s="15">
        <v>538</v>
      </c>
      <c r="D540" s="5">
        <v>227</v>
      </c>
      <c r="E540" s="5">
        <v>125</v>
      </c>
      <c r="F540" s="5">
        <v>3.7394340000000001</v>
      </c>
      <c r="G540" s="12">
        <f>VLOOKUP(A540,'[1]all FNCL'!A$2:B$993,2)</f>
        <v>0.76303866278122401</v>
      </c>
      <c r="H540" s="3" t="s">
        <v>552</v>
      </c>
      <c r="I540">
        <v>0.429907169996321</v>
      </c>
      <c r="J540" s="33">
        <f>VLOOKUP(A540,'Refi Universe'!E:F,2,0)</f>
        <v>0.76515105000000005</v>
      </c>
    </row>
    <row r="541" spans="1:10" ht="15" x14ac:dyDescent="0.25">
      <c r="A541" s="14">
        <v>41365</v>
      </c>
      <c r="B541" s="15">
        <v>543</v>
      </c>
      <c r="C541" s="15">
        <v>543</v>
      </c>
      <c r="D541" s="5">
        <v>245</v>
      </c>
      <c r="E541" s="5">
        <v>119</v>
      </c>
      <c r="F541" s="5">
        <v>3.7238410000000002</v>
      </c>
      <c r="G541" s="12">
        <f>VLOOKUP(A541,'[1]all FNCL'!A$2:B$993,2)</f>
        <v>0.743473360501545</v>
      </c>
      <c r="H541" s="3" t="s">
        <v>553</v>
      </c>
      <c r="I541">
        <v>0.42761316319375098</v>
      </c>
      <c r="J541" s="33">
        <f>VLOOKUP(A541,'Refi Universe'!E:F,2,0)</f>
        <v>0.76571301000000003</v>
      </c>
    </row>
    <row r="542" spans="1:10" ht="15" x14ac:dyDescent="0.25">
      <c r="A542" s="14">
        <v>41366</v>
      </c>
      <c r="B542" s="15">
        <v>583</v>
      </c>
      <c r="C542" s="15">
        <v>583</v>
      </c>
      <c r="D542" s="5">
        <v>262</v>
      </c>
      <c r="E542" s="5">
        <v>149</v>
      </c>
      <c r="F542" s="5">
        <v>3.7293409999999998</v>
      </c>
      <c r="G542" s="12">
        <f>VLOOKUP(A542,'[1]all FNCL'!A$2:B$993,2)</f>
        <v>0.743473360501545</v>
      </c>
      <c r="H542" s="3" t="s">
        <v>554</v>
      </c>
      <c r="I542">
        <v>0.42761316319375098</v>
      </c>
      <c r="J542" s="33">
        <f>VLOOKUP(A542,'Refi Universe'!E:F,2,0)</f>
        <v>0.74944891000000002</v>
      </c>
    </row>
    <row r="543" spans="1:10" ht="15" x14ac:dyDescent="0.25">
      <c r="A543" s="14">
        <v>41367</v>
      </c>
      <c r="B543" s="15">
        <v>602</v>
      </c>
      <c r="C543" s="15">
        <v>602</v>
      </c>
      <c r="D543" s="5">
        <v>276</v>
      </c>
      <c r="E543" s="5">
        <v>158</v>
      </c>
      <c r="F543" s="5">
        <v>3.7121919999999999</v>
      </c>
      <c r="G543" s="12">
        <f>VLOOKUP(A543,'[1]all FNCL'!A$2:B$993,2)</f>
        <v>0.743473360501545</v>
      </c>
      <c r="H543" s="3" t="s">
        <v>555</v>
      </c>
      <c r="I543">
        <v>0.43906416657041802</v>
      </c>
      <c r="J543" s="33">
        <f>VLOOKUP(A543,'Refi Universe'!E:F,2,0)</f>
        <v>0.77887764000000004</v>
      </c>
    </row>
    <row r="544" spans="1:10" ht="15" x14ac:dyDescent="0.25">
      <c r="A544" s="14">
        <v>41368</v>
      </c>
      <c r="B544" s="15">
        <v>648</v>
      </c>
      <c r="C544" s="15">
        <v>648</v>
      </c>
      <c r="D544" s="5">
        <v>285</v>
      </c>
      <c r="E544" s="5">
        <v>150</v>
      </c>
      <c r="F544" s="5">
        <v>3.6750259999999999</v>
      </c>
      <c r="G544" s="12">
        <f>VLOOKUP(A544,'[1]all FNCL'!A$2:B$993,2)</f>
        <v>0.77315817508860396</v>
      </c>
      <c r="H544" s="3" t="s">
        <v>556</v>
      </c>
      <c r="I544">
        <v>0.43906416657041802</v>
      </c>
      <c r="J544" s="33">
        <f>VLOOKUP(A544,'Refi Universe'!E:F,2,0)</f>
        <v>0.81980116999999997</v>
      </c>
    </row>
    <row r="545" spans="1:10" ht="15" x14ac:dyDescent="0.25">
      <c r="A545" s="14">
        <v>41369</v>
      </c>
      <c r="B545" s="15">
        <v>702</v>
      </c>
      <c r="C545" s="15">
        <v>702</v>
      </c>
      <c r="D545" s="5">
        <v>300</v>
      </c>
      <c r="E545" s="5">
        <v>133</v>
      </c>
      <c r="F545" s="5">
        <v>3.6373410000000002</v>
      </c>
      <c r="G545" s="12">
        <f>VLOOKUP(A545,'[1]all FNCL'!A$2:B$993,2)</f>
        <v>0.77315817508860396</v>
      </c>
      <c r="H545" s="3" t="s">
        <v>557</v>
      </c>
      <c r="I545">
        <v>0.43906416657041802</v>
      </c>
      <c r="J545" s="33">
        <f>VLOOKUP(A545,'Refi Universe'!E:F,2,0)</f>
        <v>0.82856768000000003</v>
      </c>
    </row>
    <row r="546" spans="1:10" ht="15" x14ac:dyDescent="0.25">
      <c r="A546" s="14">
        <v>41372</v>
      </c>
      <c r="B546" s="15">
        <v>695</v>
      </c>
      <c r="C546" s="15">
        <v>695</v>
      </c>
      <c r="D546" s="5">
        <v>316</v>
      </c>
      <c r="E546" s="5">
        <v>136</v>
      </c>
      <c r="F546" s="5">
        <v>3.6693169999999999</v>
      </c>
      <c r="G546" s="12">
        <f>VLOOKUP(A546,'[1]all FNCL'!A$2:B$993,2)</f>
        <v>0.77315817508860396</v>
      </c>
      <c r="H546" s="3" t="s">
        <v>558</v>
      </c>
      <c r="I546">
        <v>0.43906416657041802</v>
      </c>
      <c r="J546" s="33">
        <f>VLOOKUP(A546,'Refi Universe'!E:F,2,0)</f>
        <v>0.82265425999999997</v>
      </c>
    </row>
    <row r="547" spans="1:10" ht="15" x14ac:dyDescent="0.25">
      <c r="A547" s="14">
        <v>41373</v>
      </c>
      <c r="B547" s="15">
        <v>688</v>
      </c>
      <c r="C547" s="15">
        <v>688</v>
      </c>
      <c r="D547" s="5">
        <v>298</v>
      </c>
      <c r="E547" s="5">
        <v>107</v>
      </c>
      <c r="F547" s="5">
        <v>3.670442</v>
      </c>
      <c r="G547" s="12">
        <f>VLOOKUP(A547,'[1]all FNCL'!A$2:B$993,2)</f>
        <v>0.77315817508860396</v>
      </c>
      <c r="H547" s="3" t="s">
        <v>559</v>
      </c>
      <c r="I547">
        <v>0.420794457847457</v>
      </c>
      <c r="J547" s="33">
        <f>VLOOKUP(A547,'Refi Universe'!E:F,2,0)</f>
        <v>0.81850336999999995</v>
      </c>
    </row>
    <row r="548" spans="1:10" ht="15" x14ac:dyDescent="0.25">
      <c r="A548" s="14">
        <v>41374</v>
      </c>
      <c r="B548" s="15">
        <v>682</v>
      </c>
      <c r="C548" s="15">
        <v>682</v>
      </c>
      <c r="D548" s="5">
        <v>292</v>
      </c>
      <c r="E548" s="5">
        <v>119</v>
      </c>
      <c r="F548" s="5">
        <v>3.6980300000000002</v>
      </c>
      <c r="G548" s="12">
        <f>VLOOKUP(A548,'[1]all FNCL'!A$2:B$993,2)</f>
        <v>0.77315817508860396</v>
      </c>
      <c r="H548" s="3" t="s">
        <v>560</v>
      </c>
      <c r="I548">
        <v>0.420794457847457</v>
      </c>
      <c r="J548" s="33">
        <f>VLOOKUP(A548,'Refi Universe'!E:F,2,0)</f>
        <v>0.79452882999999996</v>
      </c>
    </row>
    <row r="549" spans="1:10" ht="15" x14ac:dyDescent="0.25">
      <c r="A549" s="14">
        <v>41375</v>
      </c>
      <c r="B549" s="15">
        <v>668</v>
      </c>
      <c r="C549" s="15">
        <v>668</v>
      </c>
      <c r="D549" s="5">
        <v>289</v>
      </c>
      <c r="E549" s="5">
        <v>114</v>
      </c>
      <c r="F549" s="5">
        <v>3.6832630000000002</v>
      </c>
      <c r="G549" s="12">
        <f>VLOOKUP(A549,'[1]all FNCL'!A$2:B$993,2)</f>
        <v>0.82454142309345102</v>
      </c>
      <c r="H549" s="3" t="s">
        <v>561</v>
      </c>
      <c r="I549">
        <v>0.420794457847457</v>
      </c>
      <c r="J549" s="33">
        <f>VLOOKUP(A549,'Refi Universe'!E:F,2,0)</f>
        <v>0.80849727999999998</v>
      </c>
    </row>
    <row r="550" spans="1:10" ht="15" x14ac:dyDescent="0.25">
      <c r="A550" s="14">
        <v>41376</v>
      </c>
      <c r="B550" s="15">
        <v>686</v>
      </c>
      <c r="C550" s="15">
        <v>686</v>
      </c>
      <c r="D550" s="5">
        <v>287</v>
      </c>
      <c r="E550" s="5">
        <v>97</v>
      </c>
      <c r="F550" s="5">
        <v>3.6509070000000001</v>
      </c>
      <c r="G550" s="12">
        <f>VLOOKUP(A550,'[1]all FNCL'!A$2:B$993,2)</f>
        <v>0.82454142309345102</v>
      </c>
      <c r="H550" s="3" t="s">
        <v>562</v>
      </c>
      <c r="I550">
        <v>0.420794457847457</v>
      </c>
      <c r="J550" s="33">
        <f>VLOOKUP(A550,'Refi Universe'!E:F,2,0)</f>
        <v>0.82477339000000005</v>
      </c>
    </row>
    <row r="551" spans="1:10" ht="15" x14ac:dyDescent="0.25">
      <c r="A551" s="14">
        <v>41379</v>
      </c>
      <c r="B551" s="15">
        <v>705</v>
      </c>
      <c r="C551" s="15">
        <v>705</v>
      </c>
      <c r="D551" s="5">
        <v>308</v>
      </c>
      <c r="E551" s="5">
        <v>104</v>
      </c>
      <c r="F551" s="5">
        <v>3.6414</v>
      </c>
      <c r="G551" s="12">
        <f>VLOOKUP(A551,'[1]all FNCL'!A$2:B$993,2)</f>
        <v>0.82454142309345102</v>
      </c>
      <c r="H551" s="3" t="s">
        <v>563</v>
      </c>
      <c r="I551">
        <v>0.420794457847457</v>
      </c>
      <c r="J551" s="33">
        <f>VLOOKUP(A551,'Refi Universe'!E:F,2,0)</f>
        <v>0.82715181999999998</v>
      </c>
    </row>
    <row r="552" spans="1:10" ht="15" x14ac:dyDescent="0.25">
      <c r="A552" s="14">
        <v>41380</v>
      </c>
      <c r="B552" s="15">
        <v>694</v>
      </c>
      <c r="C552" s="15">
        <v>694</v>
      </c>
      <c r="D552" s="5">
        <v>308</v>
      </c>
      <c r="E552" s="5">
        <v>105</v>
      </c>
      <c r="F552" s="5">
        <v>3.650299</v>
      </c>
      <c r="G552" s="12">
        <f>VLOOKUP(A552,'[1]all FNCL'!A$2:B$993,2)</f>
        <v>0.82454142309345102</v>
      </c>
      <c r="H552" s="3" t="s">
        <v>564</v>
      </c>
      <c r="I552">
        <v>0.43231309412176999</v>
      </c>
      <c r="J552" s="33">
        <f>VLOOKUP(A552,'Refi Universe'!E:F,2,0)</f>
        <v>0.82470003999999997</v>
      </c>
    </row>
    <row r="553" spans="1:10" ht="15" x14ac:dyDescent="0.25">
      <c r="A553" s="14">
        <v>41381</v>
      </c>
      <c r="B553" s="15">
        <v>688</v>
      </c>
      <c r="C553" s="15">
        <v>688</v>
      </c>
      <c r="D553" s="5">
        <v>302</v>
      </c>
      <c r="E553" s="5">
        <v>98</v>
      </c>
      <c r="F553" s="5">
        <v>3.647726</v>
      </c>
      <c r="G553" s="12">
        <f>VLOOKUP(A553,'[1]all FNCL'!A$2:B$993,2)</f>
        <v>0.82454142309345102</v>
      </c>
      <c r="H553" s="3" t="s">
        <v>565</v>
      </c>
      <c r="I553">
        <v>0.43231309412176999</v>
      </c>
      <c r="J553" s="33">
        <f>VLOOKUP(A553,'Refi Universe'!E:F,2,0)</f>
        <v>0.82774426000000001</v>
      </c>
    </row>
    <row r="554" spans="1:10" ht="15" x14ac:dyDescent="0.25">
      <c r="A554" s="14">
        <v>41382</v>
      </c>
      <c r="B554" s="15">
        <v>687</v>
      </c>
      <c r="C554" s="15">
        <v>687</v>
      </c>
      <c r="D554" s="5">
        <v>300</v>
      </c>
      <c r="E554" s="5">
        <v>91</v>
      </c>
      <c r="F554" s="5">
        <v>3.6407500000000002</v>
      </c>
      <c r="G554" s="12">
        <f>VLOOKUP(A554,'[1]all FNCL'!A$2:B$993,2)</f>
        <v>0.82630589885428396</v>
      </c>
      <c r="H554" s="3" t="s">
        <v>566</v>
      </c>
      <c r="I554">
        <v>0.43231309412176999</v>
      </c>
      <c r="J554" s="33">
        <f>VLOOKUP(A554,'Refi Universe'!E:F,2,0)</f>
        <v>0.82956596000000005</v>
      </c>
    </row>
    <row r="555" spans="1:10" ht="15" x14ac:dyDescent="0.25">
      <c r="A555" s="14">
        <v>41383</v>
      </c>
      <c r="B555" s="15">
        <v>688</v>
      </c>
      <c r="C555" s="15">
        <v>688</v>
      </c>
      <c r="D555" s="5">
        <v>302</v>
      </c>
      <c r="E555" s="5">
        <v>84</v>
      </c>
      <c r="F555" s="5">
        <v>3.6501860000000002</v>
      </c>
      <c r="G555" s="12">
        <f>VLOOKUP(A555,'[1]all FNCL'!A$2:B$993,2)</f>
        <v>0.82630589885428396</v>
      </c>
      <c r="H555" s="3" t="s">
        <v>567</v>
      </c>
      <c r="I555">
        <v>0.43231309412176999</v>
      </c>
      <c r="J555" s="33">
        <f>VLOOKUP(A555,'Refi Universe'!E:F,2,0)</f>
        <v>0.82800551</v>
      </c>
    </row>
    <row r="556" spans="1:10" ht="15" x14ac:dyDescent="0.25">
      <c r="A556" s="14">
        <v>41386</v>
      </c>
      <c r="B556" s="15">
        <v>694</v>
      </c>
      <c r="C556" s="15">
        <v>694</v>
      </c>
      <c r="D556" s="5">
        <v>305</v>
      </c>
      <c r="E556" s="5">
        <v>85</v>
      </c>
      <c r="F556" s="5">
        <v>3.648174</v>
      </c>
      <c r="G556" s="12">
        <f>VLOOKUP(A556,'[1]all FNCL'!A$2:B$993,2)</f>
        <v>0.82630589885428396</v>
      </c>
      <c r="H556" s="3" t="s">
        <v>568</v>
      </c>
      <c r="I556">
        <v>0.43231309412176999</v>
      </c>
      <c r="J556" s="33">
        <f>VLOOKUP(A556,'Refi Universe'!E:F,2,0)</f>
        <v>0.82804226999999997</v>
      </c>
    </row>
    <row r="557" spans="1:10" ht="15" x14ac:dyDescent="0.25">
      <c r="A557" s="14">
        <v>41387</v>
      </c>
      <c r="B557" s="15">
        <v>704</v>
      </c>
      <c r="C557" s="15">
        <v>704</v>
      </c>
      <c r="D557" s="5">
        <v>306</v>
      </c>
      <c r="E557" s="5">
        <v>83</v>
      </c>
      <c r="F557" s="5">
        <v>3.6452619999999998</v>
      </c>
      <c r="G557" s="12">
        <f>VLOOKUP(A557,'[1]all FNCL'!A$2:B$993,2)</f>
        <v>0.82630589885428396</v>
      </c>
      <c r="H557" s="3" t="s">
        <v>569</v>
      </c>
      <c r="I557">
        <v>0.43231309412176999</v>
      </c>
      <c r="J557" s="33">
        <f>VLOOKUP(A557,'Refi Universe'!E:F,2,0)</f>
        <v>0.82856768000000003</v>
      </c>
    </row>
    <row r="558" spans="1:10" ht="15" x14ac:dyDescent="0.25">
      <c r="A558" s="14">
        <v>41388</v>
      </c>
      <c r="B558" s="15">
        <v>686</v>
      </c>
      <c r="C558" s="15">
        <v>686</v>
      </c>
      <c r="D558" s="5">
        <v>300</v>
      </c>
      <c r="E558" s="5">
        <v>77</v>
      </c>
      <c r="F558" s="5">
        <v>3.6425350000000001</v>
      </c>
      <c r="G558" s="12">
        <f>VLOOKUP(A558,'[1]all FNCL'!A$2:B$993,2)</f>
        <v>0.82630589885428396</v>
      </c>
      <c r="H558" s="3" t="s">
        <v>570</v>
      </c>
      <c r="I558">
        <v>0.43231309412176999</v>
      </c>
      <c r="J558" s="33">
        <f>VLOOKUP(A558,'Refi Universe'!E:F,2,0)</f>
        <v>0.82574130999999995</v>
      </c>
    </row>
    <row r="559" spans="1:10" ht="15" x14ac:dyDescent="0.25">
      <c r="A559" s="14">
        <v>41389</v>
      </c>
      <c r="B559" s="15">
        <v>705</v>
      </c>
      <c r="C559" s="15">
        <v>705</v>
      </c>
      <c r="D559" s="5">
        <v>314</v>
      </c>
      <c r="E559" s="5">
        <v>92</v>
      </c>
      <c r="F559" s="5">
        <v>3.6417440000000001</v>
      </c>
      <c r="G559" s="12">
        <f>VLOOKUP(A559,'[1]all FNCL'!A$2:B$993,2)</f>
        <v>0.82751009126472896</v>
      </c>
      <c r="H559" s="3" t="s">
        <v>571</v>
      </c>
      <c r="I559">
        <v>0.43231309412176999</v>
      </c>
      <c r="J559" s="33">
        <f>VLOOKUP(A559,'Refi Universe'!E:F,2,0)</f>
        <v>0.82574130999999995</v>
      </c>
    </row>
    <row r="560" spans="1:10" ht="15" x14ac:dyDescent="0.25">
      <c r="A560" s="14">
        <v>41390</v>
      </c>
      <c r="B560" s="15">
        <v>713</v>
      </c>
      <c r="C560" s="15">
        <v>713</v>
      </c>
      <c r="D560" s="5">
        <v>312</v>
      </c>
      <c r="E560" s="5">
        <v>74</v>
      </c>
      <c r="F560" s="5">
        <v>3.626255</v>
      </c>
      <c r="G560" s="12">
        <f>VLOOKUP(A560,'[1]all FNCL'!A$2:B$993,2)</f>
        <v>0.82751009126472896</v>
      </c>
      <c r="H560" s="3" t="s">
        <v>572</v>
      </c>
      <c r="I560">
        <v>0.43231309412176999</v>
      </c>
      <c r="J560" s="33">
        <f>VLOOKUP(A560,'Refi Universe'!E:F,2,0)</f>
        <v>0.83113250999999999</v>
      </c>
    </row>
    <row r="561" spans="1:10" ht="15" x14ac:dyDescent="0.25">
      <c r="A561" s="14">
        <v>41393</v>
      </c>
      <c r="B561" s="15">
        <v>749</v>
      </c>
      <c r="C561" s="15">
        <v>749</v>
      </c>
      <c r="D561" s="5">
        <v>317</v>
      </c>
      <c r="E561" s="5">
        <v>73</v>
      </c>
      <c r="F561" s="5">
        <v>3.625337</v>
      </c>
      <c r="G561" s="12">
        <f>VLOOKUP(A561,'[1]all FNCL'!A$2:B$993,2)</f>
        <v>0.82751009126472896</v>
      </c>
      <c r="H561" s="3" t="s">
        <v>573</v>
      </c>
      <c r="I561">
        <v>0.43231309412176999</v>
      </c>
      <c r="J561" s="33">
        <f>VLOOKUP(A561,'Refi Universe'!E:F,2,0)</f>
        <v>0.83156322999999999</v>
      </c>
    </row>
    <row r="562" spans="1:10" ht="15" x14ac:dyDescent="0.25">
      <c r="A562" s="14">
        <v>41394</v>
      </c>
      <c r="B562" s="15">
        <v>784</v>
      </c>
      <c r="C562" s="15">
        <v>784</v>
      </c>
      <c r="D562" s="5">
        <v>359</v>
      </c>
      <c r="E562" s="5">
        <v>93</v>
      </c>
      <c r="F562" s="5">
        <v>3.6207479999999999</v>
      </c>
      <c r="G562" s="12">
        <f>VLOOKUP(A562,'[1]all FNCL'!A$2:B$993,2)</f>
        <v>0.82751009126472896</v>
      </c>
      <c r="H562" s="3" t="s">
        <v>574</v>
      </c>
      <c r="I562">
        <v>0.43906416657041802</v>
      </c>
      <c r="J562" s="33">
        <f>VLOOKUP(A562,'Refi Universe'!E:F,2,0)</f>
        <v>0.83356730999999995</v>
      </c>
    </row>
    <row r="563" spans="1:10" ht="15" x14ac:dyDescent="0.25">
      <c r="A563" s="14">
        <v>41395</v>
      </c>
      <c r="B563" s="15">
        <v>817</v>
      </c>
      <c r="C563" s="15">
        <v>817</v>
      </c>
      <c r="D563" s="5">
        <v>390</v>
      </c>
      <c r="E563" s="5">
        <v>101</v>
      </c>
      <c r="F563" s="5">
        <v>3.6005929999999999</v>
      </c>
      <c r="G563" s="12">
        <f>VLOOKUP(A563,'[1]all FNCL'!A$2:B$993,2)</f>
        <v>0.81036703654126596</v>
      </c>
      <c r="H563" s="3" t="s">
        <v>575</v>
      </c>
      <c r="I563">
        <v>0.43538889187038299</v>
      </c>
      <c r="J563" s="33">
        <f>VLOOKUP(A563,'Refi Universe'!E:F,2,0)</f>
        <v>0.82752897000000003</v>
      </c>
    </row>
    <row r="564" spans="1:10" ht="15" x14ac:dyDescent="0.25">
      <c r="A564" s="14">
        <v>41396</v>
      </c>
      <c r="B564" s="15">
        <v>748</v>
      </c>
      <c r="C564" s="15">
        <v>748</v>
      </c>
      <c r="D564" s="5">
        <v>356</v>
      </c>
      <c r="E564" s="5">
        <v>71</v>
      </c>
      <c r="F564" s="5">
        <v>3.6084969999999998</v>
      </c>
      <c r="G564" s="12">
        <f>VLOOKUP(A564,'[1]all FNCL'!A$2:B$993,2)</f>
        <v>0.81666056757909999</v>
      </c>
      <c r="H564" s="3" t="s">
        <v>576</v>
      </c>
      <c r="I564">
        <v>0.43538889187038299</v>
      </c>
      <c r="J564" s="33">
        <f>VLOOKUP(A564,'Refi Universe'!E:F,2,0)</f>
        <v>0.82159804000000003</v>
      </c>
    </row>
    <row r="565" spans="1:10" ht="15" x14ac:dyDescent="0.25">
      <c r="A565" s="14">
        <v>41397</v>
      </c>
      <c r="B565" s="15">
        <v>704</v>
      </c>
      <c r="C565" s="15">
        <v>704</v>
      </c>
      <c r="D565" s="5">
        <v>331</v>
      </c>
      <c r="E565" s="5">
        <v>84</v>
      </c>
      <c r="F565" s="5">
        <v>3.6440769999999998</v>
      </c>
      <c r="G565" s="12">
        <f>VLOOKUP(A565,'[1]all FNCL'!A$2:B$993,2)</f>
        <v>0.81666056757909999</v>
      </c>
      <c r="H565" s="3" t="s">
        <v>577</v>
      </c>
      <c r="I565">
        <v>0.43538889187038299</v>
      </c>
      <c r="J565" s="33">
        <f>VLOOKUP(A565,'Refi Universe'!E:F,2,0)</f>
        <v>0.80593608999999999</v>
      </c>
    </row>
    <row r="566" spans="1:10" ht="15" x14ac:dyDescent="0.25">
      <c r="A566" s="14">
        <v>41400</v>
      </c>
      <c r="B566" s="15">
        <v>715</v>
      </c>
      <c r="C566" s="15">
        <v>715</v>
      </c>
      <c r="D566" s="5">
        <v>335</v>
      </c>
      <c r="E566" s="5">
        <v>91</v>
      </c>
      <c r="F566" s="5">
        <v>3.6517949999999999</v>
      </c>
      <c r="G566" s="12">
        <f>VLOOKUP(A566,'[1]all FNCL'!A$2:B$993,2)</f>
        <v>0.81666056757909999</v>
      </c>
      <c r="H566" s="3" t="s">
        <v>578</v>
      </c>
      <c r="I566">
        <v>0.43538889187038299</v>
      </c>
      <c r="J566" s="33">
        <f>VLOOKUP(A566,'Refi Universe'!E:F,2,0)</f>
        <v>0.80165001999999996</v>
      </c>
    </row>
    <row r="567" spans="1:10" ht="15" x14ac:dyDescent="0.25">
      <c r="A567" s="14">
        <v>41401</v>
      </c>
      <c r="B567" s="15">
        <v>695</v>
      </c>
      <c r="C567" s="15">
        <v>695</v>
      </c>
      <c r="D567" s="5">
        <v>316</v>
      </c>
      <c r="E567" s="5">
        <v>81</v>
      </c>
      <c r="F567" s="5">
        <v>3.6582940000000002</v>
      </c>
      <c r="G567" s="12">
        <f>VLOOKUP(A567,'[1]all FNCL'!A$2:B$993,2)</f>
        <v>0.81666056757909999</v>
      </c>
      <c r="H567" s="3" t="s">
        <v>579</v>
      </c>
      <c r="I567">
        <v>0.42413376349642801</v>
      </c>
      <c r="J567" s="33">
        <f>VLOOKUP(A567,'Refi Universe'!E:F,2,0)</f>
        <v>0.79431673999999997</v>
      </c>
    </row>
    <row r="568" spans="1:10" ht="15" x14ac:dyDescent="0.25">
      <c r="A568" s="14">
        <v>41402</v>
      </c>
      <c r="B568" s="15">
        <v>721</v>
      </c>
      <c r="C568" s="15">
        <v>721</v>
      </c>
      <c r="D568" s="5">
        <v>317</v>
      </c>
      <c r="E568" s="5">
        <v>82</v>
      </c>
      <c r="F568" s="5">
        <v>3.6484079999999999</v>
      </c>
      <c r="G568" s="12">
        <f>VLOOKUP(A568,'[1]all FNCL'!A$2:B$993,2)</f>
        <v>0.81666056757909999</v>
      </c>
      <c r="H568" s="3" t="s">
        <v>580</v>
      </c>
      <c r="I568">
        <v>0.42413376349642801</v>
      </c>
      <c r="J568" s="33">
        <f>VLOOKUP(A568,'Refi Universe'!E:F,2,0)</f>
        <v>0.80403139000000001</v>
      </c>
    </row>
    <row r="569" spans="1:10" ht="15" x14ac:dyDescent="0.25">
      <c r="A569" s="14">
        <v>41403</v>
      </c>
      <c r="B569" s="15">
        <v>736</v>
      </c>
      <c r="C569" s="15">
        <v>736</v>
      </c>
      <c r="D569" s="5">
        <v>316</v>
      </c>
      <c r="E569" s="5">
        <v>83</v>
      </c>
      <c r="F569" s="5">
        <v>3.6567099999999999</v>
      </c>
      <c r="G569" s="12">
        <f>VLOOKUP(A569,'[1]all FNCL'!A$2:B$993,2)</f>
        <v>0.80807149473903706</v>
      </c>
      <c r="H569" s="3" t="s">
        <v>581</v>
      </c>
      <c r="I569">
        <v>0.42413376349642801</v>
      </c>
      <c r="J569" s="33">
        <f>VLOOKUP(A569,'Refi Universe'!E:F,2,0)</f>
        <v>0.79380801000000001</v>
      </c>
    </row>
    <row r="570" spans="1:10" ht="15" x14ac:dyDescent="0.25">
      <c r="A570" s="14">
        <v>41404</v>
      </c>
      <c r="B570" s="15">
        <v>684</v>
      </c>
      <c r="C570" s="15">
        <v>684</v>
      </c>
      <c r="D570" s="5">
        <v>309</v>
      </c>
      <c r="E570" s="5">
        <v>108</v>
      </c>
      <c r="F570" s="5">
        <v>3.6968770000000002</v>
      </c>
      <c r="G570" s="12">
        <f>VLOOKUP(A570,'[1]all FNCL'!A$2:B$993,2)</f>
        <v>0.80807149473903706</v>
      </c>
      <c r="H570" s="3" t="s">
        <v>582</v>
      </c>
      <c r="I570">
        <v>0.42413376349642801</v>
      </c>
      <c r="J570" s="33">
        <f>VLOOKUP(A570,'Refi Universe'!E:F,2,0)</f>
        <v>0.73210434000000002</v>
      </c>
    </row>
    <row r="571" spans="1:10" ht="15" x14ac:dyDescent="0.25">
      <c r="A571" s="14">
        <v>41407</v>
      </c>
      <c r="B571" s="15">
        <v>657</v>
      </c>
      <c r="C571" s="15">
        <v>657</v>
      </c>
      <c r="D571" s="5">
        <v>278</v>
      </c>
      <c r="E571" s="5">
        <v>102</v>
      </c>
      <c r="F571" s="5">
        <v>3.7128809999999999</v>
      </c>
      <c r="G571" s="12">
        <f>VLOOKUP(A571,'[1]all FNCL'!A$2:B$993,2)</f>
        <v>0.80807149473903706</v>
      </c>
      <c r="H571" s="3" t="s">
        <v>583</v>
      </c>
      <c r="I571">
        <v>0.42413376349642801</v>
      </c>
      <c r="J571" s="33">
        <f>VLOOKUP(A571,'Refi Universe'!E:F,2,0)</f>
        <v>0.69142342000000001</v>
      </c>
    </row>
    <row r="572" spans="1:10" ht="15" x14ac:dyDescent="0.25">
      <c r="A572" s="14">
        <v>41408</v>
      </c>
      <c r="B572" s="15">
        <v>659</v>
      </c>
      <c r="C572" s="15">
        <v>659</v>
      </c>
      <c r="D572" s="5">
        <v>285</v>
      </c>
      <c r="E572" s="5">
        <v>112</v>
      </c>
      <c r="F572" s="5">
        <v>3.7311070000000002</v>
      </c>
      <c r="G572" s="12">
        <f>VLOOKUP(A572,'[1]all FNCL'!A$2:B$993,2)</f>
        <v>0.80807149473903706</v>
      </c>
      <c r="H572" s="3" t="s">
        <v>584</v>
      </c>
      <c r="I572">
        <v>0.43538889187038299</v>
      </c>
      <c r="J572" s="33">
        <f>VLOOKUP(A572,'Refi Universe'!E:F,2,0)</f>
        <v>0.66956373000000002</v>
      </c>
    </row>
    <row r="573" spans="1:10" ht="15" x14ac:dyDescent="0.25">
      <c r="A573" s="14">
        <v>41409</v>
      </c>
      <c r="B573" s="15">
        <v>664</v>
      </c>
      <c r="C573" s="15">
        <v>664</v>
      </c>
      <c r="D573" s="5">
        <v>276</v>
      </c>
      <c r="E573" s="5">
        <v>107</v>
      </c>
      <c r="F573" s="5">
        <v>3.7349019999999999</v>
      </c>
      <c r="G573" s="12">
        <f>VLOOKUP(A573,'[1]all FNCL'!A$2:B$993,2)</f>
        <v>0.80807149473903706</v>
      </c>
      <c r="H573" s="3" t="s">
        <v>585</v>
      </c>
      <c r="I573">
        <v>0.43538889187038299</v>
      </c>
      <c r="J573" s="33">
        <f>VLOOKUP(A573,'Refi Universe'!E:F,2,0)</f>
        <v>0.72537130999999999</v>
      </c>
    </row>
    <row r="574" spans="1:10" ht="15" x14ac:dyDescent="0.25">
      <c r="A574" s="14">
        <v>41410</v>
      </c>
      <c r="B574" s="15">
        <v>704</v>
      </c>
      <c r="C574" s="15">
        <v>704</v>
      </c>
      <c r="D574" s="5">
        <v>278</v>
      </c>
      <c r="E574" s="5">
        <v>78</v>
      </c>
      <c r="F574" s="5">
        <v>3.686512</v>
      </c>
      <c r="G574" s="12">
        <f>VLOOKUP(A574,'[1]all FNCL'!A$2:B$993,2)</f>
        <v>0.80807149473903706</v>
      </c>
      <c r="H574" s="3" t="s">
        <v>586</v>
      </c>
      <c r="I574">
        <v>0.43538889187038299</v>
      </c>
      <c r="J574" s="33">
        <f>VLOOKUP(A574,'Refi Universe'!E:F,2,0)</f>
        <v>0.79431673999999997</v>
      </c>
    </row>
    <row r="575" spans="1:10" ht="15" x14ac:dyDescent="0.25">
      <c r="A575" s="14">
        <v>41411</v>
      </c>
      <c r="B575" s="15">
        <v>715</v>
      </c>
      <c r="C575" s="15">
        <v>715</v>
      </c>
      <c r="D575" s="5">
        <v>301</v>
      </c>
      <c r="E575" s="5">
        <v>130</v>
      </c>
      <c r="F575" s="5">
        <v>3.746327</v>
      </c>
      <c r="G575" s="12">
        <f>VLOOKUP(A575,'[1]all FNCL'!A$2:B$993,2)</f>
        <v>0.80807149473903706</v>
      </c>
      <c r="H575" s="3" t="s">
        <v>587</v>
      </c>
      <c r="I575">
        <v>0.43538889187038299</v>
      </c>
      <c r="J575" s="33">
        <f>VLOOKUP(A575,'Refi Universe'!E:F,2,0)</f>
        <v>0.69528027999999997</v>
      </c>
    </row>
    <row r="576" spans="1:10" ht="15" x14ac:dyDescent="0.25">
      <c r="A576" s="14">
        <v>41414</v>
      </c>
      <c r="B576" s="15">
        <v>794</v>
      </c>
      <c r="C576" s="15">
        <v>794</v>
      </c>
      <c r="D576" s="5">
        <v>297</v>
      </c>
      <c r="E576" s="5">
        <v>133</v>
      </c>
      <c r="F576" s="5">
        <v>3.7603580000000001</v>
      </c>
      <c r="G576" s="12">
        <f>VLOOKUP(A576,'[1]all FNCL'!A$2:B$993,2)</f>
        <v>0.77783403735744605</v>
      </c>
      <c r="H576" s="3" t="s">
        <v>588</v>
      </c>
      <c r="I576">
        <v>0.43538889187038299</v>
      </c>
      <c r="J576" s="33">
        <f>VLOOKUP(A576,'Refi Universe'!E:F,2,0)</f>
        <v>0.67816416000000002</v>
      </c>
    </row>
    <row r="577" spans="1:10" ht="15" x14ac:dyDescent="0.25">
      <c r="A577" s="14">
        <v>41415</v>
      </c>
      <c r="B577" s="15">
        <v>734</v>
      </c>
      <c r="C577" s="15">
        <v>734</v>
      </c>
      <c r="D577" s="5">
        <v>289</v>
      </c>
      <c r="E577" s="5">
        <v>121</v>
      </c>
      <c r="F577" s="5">
        <v>3.7369460000000001</v>
      </c>
      <c r="G577" s="12">
        <f>VLOOKUP(A577,'[1]all FNCL'!A$2:B$993,2)</f>
        <v>0.77783403735744605</v>
      </c>
      <c r="H577" s="3" t="s">
        <v>589</v>
      </c>
      <c r="I577">
        <v>0.45105980423070802</v>
      </c>
      <c r="J577" s="33">
        <f>VLOOKUP(A577,'Refi Universe'!E:F,2,0)</f>
        <v>0.72319169000000005</v>
      </c>
    </row>
    <row r="578" spans="1:10" ht="15" x14ac:dyDescent="0.25">
      <c r="A578" s="14">
        <v>41416</v>
      </c>
      <c r="B578" s="15">
        <v>660</v>
      </c>
      <c r="C578" s="15">
        <v>660</v>
      </c>
      <c r="D578" s="5">
        <v>249</v>
      </c>
      <c r="E578" s="5">
        <v>103</v>
      </c>
      <c r="F578" s="5">
        <v>3.805679</v>
      </c>
      <c r="G578" s="12">
        <f>VLOOKUP(A578,'[1]all FNCL'!A$2:B$993,2)</f>
        <v>0.77783403735744605</v>
      </c>
      <c r="H578" s="3" t="s">
        <v>590</v>
      </c>
      <c r="I578">
        <v>0.45105980423070802</v>
      </c>
      <c r="J578" s="33">
        <f>VLOOKUP(A578,'Refi Universe'!E:F,2,0)</f>
        <v>0.65091405000000002</v>
      </c>
    </row>
    <row r="579" spans="1:10" ht="15" x14ac:dyDescent="0.25">
      <c r="A579" s="14">
        <v>41417</v>
      </c>
      <c r="B579" s="15">
        <v>621</v>
      </c>
      <c r="C579" s="15">
        <v>621</v>
      </c>
      <c r="D579" s="5">
        <v>233</v>
      </c>
      <c r="E579" s="5">
        <v>104</v>
      </c>
      <c r="F579" s="5">
        <v>3.8281179999999999</v>
      </c>
      <c r="G579" s="12">
        <f>VLOOKUP(A579,'[1]all FNCL'!A$2:B$993,2)</f>
        <v>0.69478056772037999</v>
      </c>
      <c r="H579" s="3" t="s">
        <v>591</v>
      </c>
      <c r="I579">
        <v>0.45105980423070802</v>
      </c>
      <c r="J579" s="33">
        <f>VLOOKUP(A579,'Refi Universe'!E:F,2,0)</f>
        <v>0.64488252000000001</v>
      </c>
    </row>
    <row r="580" spans="1:10" ht="15" x14ac:dyDescent="0.25">
      <c r="A580" s="14">
        <v>41418</v>
      </c>
      <c r="B580" s="15">
        <v>622</v>
      </c>
      <c r="C580" s="15">
        <v>622</v>
      </c>
      <c r="D580" s="5">
        <v>250</v>
      </c>
      <c r="E580" s="5">
        <v>107</v>
      </c>
      <c r="F580" s="5">
        <v>3.8223189999999998</v>
      </c>
      <c r="G580" s="12">
        <f>VLOOKUP(A580,'[1]all FNCL'!A$2:B$993,2)</f>
        <v>0.69478056772037999</v>
      </c>
      <c r="H580" s="3" t="s">
        <v>592</v>
      </c>
      <c r="I580">
        <v>0.45105980423070802</v>
      </c>
      <c r="J580" s="33">
        <f>VLOOKUP(A580,'Refi Universe'!E:F,2,0)</f>
        <v>0.64577068999999998</v>
      </c>
    </row>
    <row r="581" spans="1:10" ht="15" x14ac:dyDescent="0.25">
      <c r="A581" s="14">
        <v>41422</v>
      </c>
      <c r="B581" s="15">
        <v>536</v>
      </c>
      <c r="C581" s="15">
        <v>536</v>
      </c>
      <c r="D581" s="5">
        <v>253</v>
      </c>
      <c r="E581" s="5">
        <v>130</v>
      </c>
      <c r="F581" s="5">
        <v>3.9159259999999998</v>
      </c>
      <c r="G581" s="12">
        <f>VLOOKUP(A581,'[1]all FNCL'!A$2:B$993,2)</f>
        <v>0.69478056772037999</v>
      </c>
      <c r="H581" s="3" t="s">
        <v>593</v>
      </c>
      <c r="I581">
        <v>0.45105980423070802</v>
      </c>
      <c r="J581" s="33">
        <f>VLOOKUP(A581,'Refi Universe'!E:F,2,0)</f>
        <v>0.63160108999999998</v>
      </c>
    </row>
    <row r="582" spans="1:10" ht="15" x14ac:dyDescent="0.25">
      <c r="A582" s="14">
        <v>41423</v>
      </c>
      <c r="B582" s="15">
        <v>528</v>
      </c>
      <c r="C582" s="15">
        <v>528</v>
      </c>
      <c r="D582" s="5">
        <v>239</v>
      </c>
      <c r="E582" s="5">
        <v>124</v>
      </c>
      <c r="F582" s="5">
        <v>3.8981460000000001</v>
      </c>
      <c r="G582" s="12">
        <f>VLOOKUP(A582,'[1]all FNCL'!A$2:B$993,2)</f>
        <v>0.69478056772037999</v>
      </c>
      <c r="H582" s="3" t="s">
        <v>594</v>
      </c>
      <c r="I582">
        <v>0.45105980423070802</v>
      </c>
      <c r="J582" s="33">
        <f>VLOOKUP(A582,'Refi Universe'!E:F,2,0)</f>
        <v>0.62947549999999997</v>
      </c>
    </row>
    <row r="583" spans="1:10" ht="15" x14ac:dyDescent="0.25">
      <c r="A583" s="14">
        <v>41424</v>
      </c>
      <c r="B583" s="15">
        <v>550</v>
      </c>
      <c r="C583" s="15">
        <v>550</v>
      </c>
      <c r="D583" s="5">
        <v>252</v>
      </c>
      <c r="E583" s="5">
        <v>130</v>
      </c>
      <c r="F583" s="5">
        <v>3.8840910000000002</v>
      </c>
      <c r="G583" s="12">
        <f>VLOOKUP(A583,'[1]all FNCL'!A$2:B$993,2)</f>
        <v>0.635194452728709</v>
      </c>
      <c r="H583" s="3" t="s">
        <v>595</v>
      </c>
      <c r="I583">
        <v>0.45105980423070802</v>
      </c>
      <c r="J583" s="33">
        <f>VLOOKUP(A583,'Refi Universe'!E:F,2,0)</f>
        <v>0.63071074000000005</v>
      </c>
    </row>
    <row r="584" spans="1:10" ht="15" x14ac:dyDescent="0.25">
      <c r="A584" s="14">
        <v>41425</v>
      </c>
      <c r="B584" s="15">
        <v>523</v>
      </c>
      <c r="C584" s="15">
        <v>523</v>
      </c>
      <c r="D584" s="5">
        <v>248</v>
      </c>
      <c r="E584" s="5">
        <v>115</v>
      </c>
      <c r="F584" s="5">
        <v>3.9224380000000001</v>
      </c>
      <c r="G584" s="12">
        <f>VLOOKUP(A584,'[1]all FNCL'!A$2:B$993,2)</f>
        <v>0.635194452728709</v>
      </c>
      <c r="H584" s="3" t="s">
        <v>596</v>
      </c>
      <c r="I584">
        <v>0.44686834225614502</v>
      </c>
      <c r="J584" s="33">
        <f>VLOOKUP(A584,'Refi Universe'!E:F,2,0)</f>
        <v>0.62532821000000005</v>
      </c>
    </row>
    <row r="585" spans="1:10" ht="15" x14ac:dyDescent="0.25">
      <c r="A585" s="14">
        <v>41428</v>
      </c>
      <c r="B585" s="15">
        <v>516</v>
      </c>
      <c r="C585" s="15">
        <v>516</v>
      </c>
      <c r="D585" s="5">
        <v>249</v>
      </c>
      <c r="E585" s="5">
        <v>129</v>
      </c>
      <c r="F585" s="5">
        <v>3.927</v>
      </c>
      <c r="G585" s="12">
        <f>VLOOKUP(A585,'[1]all FNCL'!A$2:B$993,2)</f>
        <v>0.614848697284054</v>
      </c>
      <c r="H585" s="3" t="s">
        <v>597</v>
      </c>
      <c r="I585">
        <v>0.44686834225614502</v>
      </c>
      <c r="J585" s="33">
        <f>VLOOKUP(A585,'Refi Universe'!E:F,2,0)</f>
        <v>0.60388423000000002</v>
      </c>
    </row>
    <row r="586" spans="1:10" ht="15" x14ac:dyDescent="0.25">
      <c r="A586" s="14">
        <v>41429</v>
      </c>
      <c r="B586" s="15">
        <v>537</v>
      </c>
      <c r="C586" s="15">
        <v>537</v>
      </c>
      <c r="D586" s="5">
        <v>263</v>
      </c>
      <c r="E586" s="5">
        <v>145</v>
      </c>
      <c r="F586" s="5">
        <v>3.9476049999999998</v>
      </c>
      <c r="G586" s="12">
        <f>VLOOKUP(A586,'[1]all FNCL'!A$2:B$993,2)</f>
        <v>0.614848697284054</v>
      </c>
      <c r="H586" s="3" t="s">
        <v>598</v>
      </c>
      <c r="I586">
        <v>0.44686834225614502</v>
      </c>
      <c r="J586" s="33">
        <f>VLOOKUP(A586,'Refi Universe'!E:F,2,0)</f>
        <v>0.59229140999999996</v>
      </c>
    </row>
    <row r="587" spans="1:10" ht="15" x14ac:dyDescent="0.25">
      <c r="A587" s="14">
        <v>41430</v>
      </c>
      <c r="B587" s="15">
        <v>563</v>
      </c>
      <c r="C587" s="15">
        <v>563</v>
      </c>
      <c r="D587" s="5">
        <v>286</v>
      </c>
      <c r="E587" s="5">
        <v>161</v>
      </c>
      <c r="F587" s="5">
        <v>3.938539</v>
      </c>
      <c r="G587" s="12">
        <f>VLOOKUP(A587,'[1]all FNCL'!A$2:B$993,2)</f>
        <v>0.614848697284054</v>
      </c>
      <c r="H587" s="3" t="s">
        <v>599</v>
      </c>
      <c r="I587">
        <v>0.44686834225614502</v>
      </c>
      <c r="J587" s="33">
        <f>VLOOKUP(A587,'Refi Universe'!E:F,2,0)</f>
        <v>0.60259748000000002</v>
      </c>
    </row>
    <row r="588" spans="1:10" ht="15" x14ac:dyDescent="0.25">
      <c r="A588" s="14">
        <v>41431</v>
      </c>
      <c r="B588" s="15">
        <v>579</v>
      </c>
      <c r="C588" s="15">
        <v>579</v>
      </c>
      <c r="D588" s="5">
        <v>272</v>
      </c>
      <c r="E588" s="5">
        <v>141</v>
      </c>
      <c r="F588" s="5">
        <v>3.9091450000000001</v>
      </c>
      <c r="G588" s="12">
        <f>VLOOKUP(A588,'[1]all FNCL'!A$2:B$993,2)</f>
        <v>0.60559705603105995</v>
      </c>
      <c r="H588" s="3" t="s">
        <v>600</v>
      </c>
      <c r="I588">
        <v>0.44686834225614502</v>
      </c>
      <c r="J588" s="33">
        <f>VLOOKUP(A588,'Refi Universe'!E:F,2,0)</f>
        <v>0.60807341999999998</v>
      </c>
    </row>
    <row r="589" spans="1:10" ht="15" x14ac:dyDescent="0.25">
      <c r="A589" s="14">
        <v>41432</v>
      </c>
      <c r="B589" s="15">
        <v>510</v>
      </c>
      <c r="C589" s="15">
        <v>510</v>
      </c>
      <c r="D589" s="5">
        <v>249</v>
      </c>
      <c r="E589" s="5">
        <v>131</v>
      </c>
      <c r="F589" s="5">
        <v>3.9533160000000001</v>
      </c>
      <c r="G589" s="12">
        <f>VLOOKUP(A589,'[1]all FNCL'!A$2:B$993,2)</f>
        <v>0.60559705603105995</v>
      </c>
      <c r="H589" s="3" t="s">
        <v>601</v>
      </c>
      <c r="I589">
        <v>0.44686834225614502</v>
      </c>
      <c r="J589" s="33">
        <f>VLOOKUP(A589,'Refi Universe'!E:F,2,0)</f>
        <v>0.59389106999999997</v>
      </c>
    </row>
    <row r="590" spans="1:10" ht="15" x14ac:dyDescent="0.25">
      <c r="A590" s="14">
        <v>41435</v>
      </c>
      <c r="B590" s="15">
        <v>498</v>
      </c>
      <c r="C590" s="15">
        <v>498</v>
      </c>
      <c r="D590" s="5">
        <v>236</v>
      </c>
      <c r="E590" s="5">
        <v>116</v>
      </c>
      <c r="F590" s="5">
        <v>3.9747150000000002</v>
      </c>
      <c r="G590" s="12">
        <f>VLOOKUP(A590,'[1]all FNCL'!A$2:B$993,2)</f>
        <v>0.60559705603105995</v>
      </c>
      <c r="H590" s="3" t="s">
        <v>602</v>
      </c>
      <c r="I590">
        <v>0.44686834225614502</v>
      </c>
      <c r="J590" s="33">
        <f>VLOOKUP(A590,'Refi Universe'!E:F,2,0)</f>
        <v>0.57834057000000005</v>
      </c>
    </row>
    <row r="591" spans="1:10" ht="15" x14ac:dyDescent="0.25">
      <c r="A591" s="14">
        <v>41436</v>
      </c>
      <c r="B591" s="15">
        <v>500</v>
      </c>
      <c r="C591" s="15">
        <v>500</v>
      </c>
      <c r="D591" s="5">
        <v>229</v>
      </c>
      <c r="E591" s="5">
        <v>111</v>
      </c>
      <c r="F591" s="5">
        <v>3.9492229999999999</v>
      </c>
      <c r="G591" s="12">
        <f>VLOOKUP(A591,'[1]all FNCL'!A$2:B$993,2)</f>
        <v>0.60559705603105995</v>
      </c>
      <c r="H591" s="3" t="s">
        <v>603</v>
      </c>
      <c r="I591">
        <v>0.43119648526610799</v>
      </c>
      <c r="J591" s="33">
        <f>VLOOKUP(A591,'Refi Universe'!E:F,2,0)</f>
        <v>0.59643793000000001</v>
      </c>
    </row>
    <row r="592" spans="1:10" ht="15" x14ac:dyDescent="0.25">
      <c r="A592" s="14">
        <v>41437</v>
      </c>
      <c r="B592" s="15">
        <v>496</v>
      </c>
      <c r="C592" s="15">
        <v>496</v>
      </c>
      <c r="D592" s="5">
        <v>230</v>
      </c>
      <c r="E592" s="5">
        <v>112</v>
      </c>
      <c r="F592" s="5">
        <v>3.9722360000000001</v>
      </c>
      <c r="G592" s="12">
        <f>VLOOKUP(A592,'[1]all FNCL'!A$2:B$993,2)</f>
        <v>0.60559705603105995</v>
      </c>
      <c r="H592" s="3" t="s">
        <v>604</v>
      </c>
      <c r="I592">
        <v>0.43119648526610799</v>
      </c>
      <c r="J592" s="33">
        <f>VLOOKUP(A592,'Refi Universe'!E:F,2,0)</f>
        <v>0.55153556000000004</v>
      </c>
    </row>
    <row r="593" spans="1:10" ht="15" x14ac:dyDescent="0.25">
      <c r="A593" s="14">
        <v>41438</v>
      </c>
      <c r="B593" s="15">
        <v>494</v>
      </c>
      <c r="C593" s="15">
        <v>494</v>
      </c>
      <c r="D593" s="5">
        <v>237</v>
      </c>
      <c r="E593" s="5">
        <v>107</v>
      </c>
      <c r="F593" s="5">
        <v>3.9353919999999998</v>
      </c>
      <c r="G593" s="12">
        <f>VLOOKUP(A593,'[1]all FNCL'!A$2:B$993,2)</f>
        <v>0.57343184072471898</v>
      </c>
      <c r="H593" s="3" t="s">
        <v>605</v>
      </c>
      <c r="I593">
        <v>0.43119648526610799</v>
      </c>
      <c r="J593" s="33">
        <f>VLOOKUP(A593,'Refi Universe'!E:F,2,0)</f>
        <v>0.58616818000000004</v>
      </c>
    </row>
    <row r="594" spans="1:10" ht="15" x14ac:dyDescent="0.25">
      <c r="A594" s="14">
        <v>41439</v>
      </c>
      <c r="B594" s="15">
        <v>495</v>
      </c>
      <c r="C594" s="15">
        <v>495</v>
      </c>
      <c r="D594" s="5">
        <v>252</v>
      </c>
      <c r="E594" s="5">
        <v>117</v>
      </c>
      <c r="F594" s="5">
        <v>3.905583</v>
      </c>
      <c r="G594" s="12">
        <f>VLOOKUP(A594,'[1]all FNCL'!A$2:B$993,2)</f>
        <v>0.57343184072471898</v>
      </c>
      <c r="H594" s="3" t="s">
        <v>606</v>
      </c>
      <c r="I594">
        <v>0.43119648526610799</v>
      </c>
      <c r="J594" s="33">
        <f>VLOOKUP(A594,'Refi Universe'!E:F,2,0)</f>
        <v>0.60357554000000002</v>
      </c>
    </row>
    <row r="595" spans="1:10" ht="15" x14ac:dyDescent="0.25">
      <c r="A595" s="14">
        <v>41442</v>
      </c>
      <c r="B595" s="15">
        <v>489</v>
      </c>
      <c r="C595" s="15">
        <v>489</v>
      </c>
      <c r="D595" s="5">
        <v>249</v>
      </c>
      <c r="E595" s="5">
        <v>123</v>
      </c>
      <c r="F595" s="5">
        <v>3.9459050000000002</v>
      </c>
      <c r="G595" s="12">
        <f>VLOOKUP(A595,'[1]all FNCL'!A$2:B$993,2)</f>
        <v>0.57343184072471898</v>
      </c>
      <c r="H595" s="3" t="s">
        <v>607</v>
      </c>
      <c r="I595">
        <v>0.43119648526610799</v>
      </c>
      <c r="J595" s="33">
        <f>VLOOKUP(A595,'Refi Universe'!E:F,2,0)</f>
        <v>0.57679937999999997</v>
      </c>
    </row>
    <row r="596" spans="1:10" ht="15" x14ac:dyDescent="0.25">
      <c r="A596" s="14">
        <v>41443</v>
      </c>
      <c r="B596" s="15">
        <v>473</v>
      </c>
      <c r="C596" s="15">
        <v>473</v>
      </c>
      <c r="D596" s="5">
        <v>234</v>
      </c>
      <c r="E596" s="5">
        <v>108</v>
      </c>
      <c r="F596" s="5">
        <v>3.94428</v>
      </c>
      <c r="G596" s="12">
        <f>VLOOKUP(A596,'[1]all FNCL'!A$2:B$993,2)</f>
        <v>0.57343184072471898</v>
      </c>
      <c r="H596" s="3" t="s">
        <v>608</v>
      </c>
      <c r="I596">
        <v>0.37422484012928398</v>
      </c>
      <c r="J596" s="33">
        <f>VLOOKUP(A596,'Refi Universe'!E:F,2,0)</f>
        <v>0.57834057000000005</v>
      </c>
    </row>
    <row r="597" spans="1:10" ht="15" x14ac:dyDescent="0.25">
      <c r="A597" s="14">
        <v>41444</v>
      </c>
      <c r="B597" s="15">
        <v>441</v>
      </c>
      <c r="C597" s="15">
        <v>441</v>
      </c>
      <c r="D597" s="5">
        <v>222</v>
      </c>
      <c r="E597" s="5">
        <v>110</v>
      </c>
      <c r="F597" s="5">
        <v>4.0609149999999996</v>
      </c>
      <c r="G597" s="12">
        <f>VLOOKUP(A597,'[1]all FNCL'!A$2:B$993,2)</f>
        <v>0.57343184072471898</v>
      </c>
      <c r="H597" s="3" t="s">
        <v>609</v>
      </c>
      <c r="I597">
        <v>0.37422484012928398</v>
      </c>
      <c r="J597" s="33">
        <f>VLOOKUP(A597,'Refi Universe'!E:F,2,0)</f>
        <v>0.50423591999999995</v>
      </c>
    </row>
    <row r="598" spans="1:10" ht="15" x14ac:dyDescent="0.25">
      <c r="A598" s="14">
        <v>41445</v>
      </c>
      <c r="B598" s="15">
        <v>372</v>
      </c>
      <c r="C598" s="15">
        <v>372</v>
      </c>
      <c r="D598" s="5">
        <v>202</v>
      </c>
      <c r="E598" s="5">
        <v>109</v>
      </c>
      <c r="F598" s="5">
        <v>4.1912469999999997</v>
      </c>
      <c r="G598" s="12">
        <f>VLOOKUP(A598,'[1]all FNCL'!A$2:B$993,2)</f>
        <v>0.60175540147873097</v>
      </c>
      <c r="H598" s="3" t="s">
        <v>610</v>
      </c>
      <c r="I598">
        <v>0.37422484012928398</v>
      </c>
      <c r="J598" s="33">
        <f>VLOOKUP(A598,'Refi Universe'!E:F,2,0)</f>
        <v>0.45672223000000001</v>
      </c>
    </row>
    <row r="599" spans="1:10" ht="15" x14ac:dyDescent="0.25">
      <c r="A599" s="14">
        <v>41446</v>
      </c>
      <c r="B599" s="15">
        <v>373</v>
      </c>
      <c r="C599" s="15">
        <v>373</v>
      </c>
      <c r="D599" s="5">
        <v>266</v>
      </c>
      <c r="E599" s="5">
        <v>142</v>
      </c>
      <c r="F599" s="5">
        <v>4.332382</v>
      </c>
      <c r="G599" s="12">
        <f>VLOOKUP(A599,'[1]all FNCL'!A$2:B$993,2)</f>
        <v>0.60175540147873097</v>
      </c>
      <c r="H599" s="3" t="s">
        <v>611</v>
      </c>
      <c r="I599">
        <v>0.37422484012928398</v>
      </c>
      <c r="J599" s="33">
        <f>VLOOKUP(A599,'Refi Universe'!E:F,2,0)</f>
        <v>0.44323100999999998</v>
      </c>
    </row>
    <row r="600" spans="1:10" ht="15" x14ac:dyDescent="0.25">
      <c r="A600" s="14">
        <v>41449</v>
      </c>
      <c r="B600" s="15">
        <v>377</v>
      </c>
      <c r="C600" s="15">
        <v>377</v>
      </c>
      <c r="D600" s="5">
        <v>258</v>
      </c>
      <c r="E600" s="5">
        <v>156</v>
      </c>
      <c r="F600" s="5">
        <v>4.3744639999999997</v>
      </c>
      <c r="G600" s="12">
        <f>VLOOKUP(A600,'[1]all FNCL'!A$2:B$993,2)</f>
        <v>0.60175540147873097</v>
      </c>
      <c r="H600" s="3" t="s">
        <v>612</v>
      </c>
      <c r="I600">
        <v>0.37422484012928398</v>
      </c>
      <c r="J600" s="33">
        <f>VLOOKUP(A600,'Refi Universe'!E:F,2,0)</f>
        <v>0.42893935</v>
      </c>
    </row>
    <row r="601" spans="1:10" ht="15" x14ac:dyDescent="0.25">
      <c r="A601" s="14">
        <v>41450</v>
      </c>
      <c r="B601" s="15">
        <v>380</v>
      </c>
      <c r="C601" s="15">
        <v>380</v>
      </c>
      <c r="D601" s="5">
        <v>263</v>
      </c>
      <c r="E601" s="5">
        <v>161</v>
      </c>
      <c r="F601" s="5">
        <v>4.3846170000000004</v>
      </c>
      <c r="G601" s="12">
        <f>VLOOKUP(A601,'[1]all FNCL'!A$2:B$993,2)</f>
        <v>0.60175540147873097</v>
      </c>
      <c r="H601" s="3" t="s">
        <v>613</v>
      </c>
      <c r="I601">
        <v>0.38870901214480402</v>
      </c>
      <c r="J601" s="33">
        <f>VLOOKUP(A601,'Refi Universe'!E:F,2,0)</f>
        <v>0.41918834999999999</v>
      </c>
    </row>
    <row r="602" spans="1:10" ht="15" x14ac:dyDescent="0.25">
      <c r="A602" s="14">
        <v>41451</v>
      </c>
      <c r="B602" s="15">
        <v>400</v>
      </c>
      <c r="C602" s="15">
        <v>400</v>
      </c>
      <c r="D602" s="5">
        <v>277</v>
      </c>
      <c r="E602" s="5">
        <v>165</v>
      </c>
      <c r="F602" s="5">
        <v>4.3424569999999996</v>
      </c>
      <c r="G602" s="12">
        <f>VLOOKUP(A602,'[1]all FNCL'!A$2:B$993,2)</f>
        <v>0.60175540147873097</v>
      </c>
      <c r="H602" s="3" t="s">
        <v>614</v>
      </c>
      <c r="I602">
        <v>0.38870901214480402</v>
      </c>
      <c r="J602" s="33">
        <f>VLOOKUP(A602,'Refi Universe'!E:F,2,0)</f>
        <v>0.36913066</v>
      </c>
    </row>
    <row r="603" spans="1:10" ht="15" x14ac:dyDescent="0.25">
      <c r="A603" s="14">
        <v>41452</v>
      </c>
      <c r="B603" s="15">
        <v>548</v>
      </c>
      <c r="C603" s="15">
        <v>548</v>
      </c>
      <c r="D603" s="5">
        <v>278</v>
      </c>
      <c r="E603" s="5">
        <v>161</v>
      </c>
      <c r="F603" s="5">
        <v>4.2340200000000001</v>
      </c>
      <c r="G603" s="12">
        <f>VLOOKUP(A603,'[1]all FNCL'!A$2:B$993,2)</f>
        <v>0.41370007412069798</v>
      </c>
      <c r="H603" s="3" t="s">
        <v>615</v>
      </c>
      <c r="I603">
        <v>0.38870901214480402</v>
      </c>
      <c r="J603" s="33">
        <f>VLOOKUP(A603,'Refi Universe'!E:F,2,0)</f>
        <v>0.44367911999999998</v>
      </c>
    </row>
    <row r="604" spans="1:10" ht="15" x14ac:dyDescent="0.25">
      <c r="A604" s="14">
        <v>41453</v>
      </c>
      <c r="B604" s="15">
        <v>416</v>
      </c>
      <c r="C604" s="15">
        <v>416</v>
      </c>
      <c r="D604" s="5">
        <v>276</v>
      </c>
      <c r="E604" s="5">
        <v>156</v>
      </c>
      <c r="F604" s="5">
        <v>4.2190079999999996</v>
      </c>
      <c r="G604" s="12">
        <f>VLOOKUP(A604,'[1]all FNCL'!A$2:B$993,2)</f>
        <v>0.41370007412069798</v>
      </c>
      <c r="H604" s="3" t="s">
        <v>616</v>
      </c>
      <c r="I604">
        <v>0.38870901214480402</v>
      </c>
      <c r="J604" s="33">
        <f>VLOOKUP(A604,'Refi Universe'!E:F,2,0)</f>
        <v>0.44439106</v>
      </c>
    </row>
    <row r="605" spans="1:10" ht="15" x14ac:dyDescent="0.25">
      <c r="A605" s="14">
        <v>41456</v>
      </c>
      <c r="B605" s="15">
        <v>421</v>
      </c>
      <c r="C605" s="15">
        <v>421</v>
      </c>
      <c r="D605" s="5">
        <v>255</v>
      </c>
      <c r="E605" s="5">
        <v>139</v>
      </c>
      <c r="F605" s="5">
        <v>4.2146439999999998</v>
      </c>
      <c r="G605" s="12">
        <f>VLOOKUP(A605,'[1]all FNCL'!A$2:B$993,2)</f>
        <v>0.39643390905357601</v>
      </c>
      <c r="H605" s="3" t="s">
        <v>617</v>
      </c>
      <c r="I605">
        <v>0.38430847776478</v>
      </c>
      <c r="J605" s="33">
        <f>VLOOKUP(A605,'Refi Universe'!E:F,2,0)</f>
        <v>0.42692645000000001</v>
      </c>
    </row>
    <row r="606" spans="1:10" ht="15" x14ac:dyDescent="0.25">
      <c r="A606" s="14">
        <v>41457</v>
      </c>
      <c r="B606" s="15">
        <v>393</v>
      </c>
      <c r="C606" s="15">
        <v>393</v>
      </c>
      <c r="D606" s="5">
        <v>255</v>
      </c>
      <c r="E606" s="5">
        <v>152</v>
      </c>
      <c r="F606" s="5">
        <v>4.2199439999999999</v>
      </c>
      <c r="G606" s="12">
        <f>VLOOKUP(A606,'[1]all FNCL'!A$2:B$993,2)</f>
        <v>0.39643390905357601</v>
      </c>
      <c r="H606" s="3" t="s">
        <v>618</v>
      </c>
      <c r="I606">
        <v>0.38901935972403701</v>
      </c>
      <c r="J606" s="33">
        <f>VLOOKUP(A606,'Refi Universe'!E:F,2,0)</f>
        <v>0.42614523999999998</v>
      </c>
    </row>
    <row r="607" spans="1:10" ht="15" x14ac:dyDescent="0.25">
      <c r="A607" s="14">
        <v>41458</v>
      </c>
      <c r="B607" s="15">
        <v>386</v>
      </c>
      <c r="C607" s="15">
        <v>386</v>
      </c>
      <c r="D607" s="5">
        <v>256</v>
      </c>
      <c r="E607" s="5">
        <v>153</v>
      </c>
      <c r="F607" s="5">
        <v>4.2733840000000001</v>
      </c>
      <c r="G607" s="12">
        <f>VLOOKUP(A607,'[1]all FNCL'!A$2:B$993,2)</f>
        <v>0.43308419457729302</v>
      </c>
      <c r="H607" s="3" t="s">
        <v>619</v>
      </c>
      <c r="I607">
        <v>0.38901935972403701</v>
      </c>
      <c r="J607" s="33">
        <f>VLOOKUP(A607,'Refi Universe'!E:F,2,0)</f>
        <v>0.42879772999999999</v>
      </c>
    </row>
    <row r="608" spans="1:10" ht="15" x14ac:dyDescent="0.25">
      <c r="A608" s="14">
        <v>41460</v>
      </c>
      <c r="B608" s="15">
        <v>345</v>
      </c>
      <c r="C608" s="15">
        <v>345</v>
      </c>
      <c r="D608" s="5">
        <v>247</v>
      </c>
      <c r="E608" s="5">
        <v>173</v>
      </c>
      <c r="F608" s="5">
        <v>4.5510130000000002</v>
      </c>
      <c r="G608" s="12">
        <f>VLOOKUP(A608,'[1]all FNCL'!A$2:B$993,2)</f>
        <v>0.43308419457729302</v>
      </c>
      <c r="H608" s="3" t="s">
        <v>620</v>
      </c>
      <c r="I608">
        <v>0.38901935972403701</v>
      </c>
      <c r="J608" s="33">
        <f>VLOOKUP(A608,'Refi Universe'!E:F,2,0)</f>
        <v>0.28872759999999997</v>
      </c>
    </row>
    <row r="609" spans="1:10" ht="15" x14ac:dyDescent="0.25">
      <c r="A609" s="14">
        <v>41463</v>
      </c>
      <c r="B609" s="15">
        <v>342</v>
      </c>
      <c r="C609" s="15">
        <v>342</v>
      </c>
      <c r="D609" s="5">
        <v>251</v>
      </c>
      <c r="E609" s="5">
        <v>163</v>
      </c>
      <c r="F609" s="5">
        <v>4.4292230000000004</v>
      </c>
      <c r="G609" s="12">
        <f>VLOOKUP(A609,'[1]all FNCL'!A$2:B$993,2)</f>
        <v>0.43308419457729302</v>
      </c>
      <c r="H609" s="3" t="s">
        <v>621</v>
      </c>
      <c r="I609">
        <v>0.38901935972403701</v>
      </c>
      <c r="J609" s="33">
        <f>VLOOKUP(A609,'Refi Universe'!E:F,2,0)</f>
        <v>0.33666590000000002</v>
      </c>
    </row>
    <row r="610" spans="1:10" ht="15" x14ac:dyDescent="0.25">
      <c r="A610" s="14">
        <v>41464</v>
      </c>
      <c r="B610" s="15">
        <v>326</v>
      </c>
      <c r="C610" s="15">
        <v>326</v>
      </c>
      <c r="D610" s="5">
        <v>238</v>
      </c>
      <c r="E610" s="5">
        <v>149</v>
      </c>
      <c r="F610" s="5">
        <v>4.3838499999999998</v>
      </c>
      <c r="G610" s="12">
        <f>VLOOKUP(A610,'[1]all FNCL'!A$2:B$993,2)</f>
        <v>0.43308419457729302</v>
      </c>
      <c r="H610" s="3" t="s">
        <v>622</v>
      </c>
      <c r="I610">
        <v>0.38901935972403701</v>
      </c>
      <c r="J610" s="33">
        <f>VLOOKUP(A610,'Refi Universe'!E:F,2,0)</f>
        <v>0.39961025999999999</v>
      </c>
    </row>
    <row r="611" spans="1:10" ht="15" x14ac:dyDescent="0.25">
      <c r="A611" s="14">
        <v>41465</v>
      </c>
      <c r="B611" s="15">
        <v>316</v>
      </c>
      <c r="C611" s="15">
        <v>316</v>
      </c>
      <c r="D611" s="5">
        <v>217</v>
      </c>
      <c r="E611" s="5">
        <v>152</v>
      </c>
      <c r="F611" s="5">
        <v>4.4739620000000002</v>
      </c>
      <c r="G611" s="12">
        <f>VLOOKUP(A611,'[1]all FNCL'!A$2:B$993,2)</f>
        <v>0.43308419457729302</v>
      </c>
      <c r="H611" s="3" t="s">
        <v>623</v>
      </c>
      <c r="I611">
        <v>0.42675826592863297</v>
      </c>
      <c r="J611" s="33">
        <f>VLOOKUP(A611,'Refi Universe'!E:F,2,0)</f>
        <v>0.31225017999999999</v>
      </c>
    </row>
    <row r="612" spans="1:10" ht="15" x14ac:dyDescent="0.25">
      <c r="A612" s="14">
        <v>41466</v>
      </c>
      <c r="B612" s="15">
        <v>326</v>
      </c>
      <c r="C612" s="15">
        <v>326</v>
      </c>
      <c r="D612" s="5">
        <v>222</v>
      </c>
      <c r="E612" s="5">
        <v>153</v>
      </c>
      <c r="F612" s="5">
        <v>4.3609249999999999</v>
      </c>
      <c r="G612" s="12">
        <f>VLOOKUP(A612,'[1]all FNCL'!A$2:B$993,2)</f>
        <v>0.34039157628197098</v>
      </c>
      <c r="H612" s="3" t="s">
        <v>624</v>
      </c>
      <c r="I612">
        <v>0.42675826592863297</v>
      </c>
      <c r="J612" s="33">
        <f>VLOOKUP(A612,'Refi Universe'!E:F,2,0)</f>
        <v>0.41506283999999999</v>
      </c>
    </row>
    <row r="613" spans="1:10" ht="15" x14ac:dyDescent="0.25">
      <c r="A613" s="14">
        <v>41467</v>
      </c>
      <c r="B613" s="15">
        <v>329</v>
      </c>
      <c r="C613" s="15">
        <v>329</v>
      </c>
      <c r="D613" s="5">
        <v>222</v>
      </c>
      <c r="E613" s="5">
        <v>148</v>
      </c>
      <c r="F613" s="5">
        <v>4.368252</v>
      </c>
      <c r="G613" s="12">
        <f>VLOOKUP(A613,'[1]all FNCL'!A$2:B$993,2)</f>
        <v>0.34039157628197098</v>
      </c>
      <c r="H613" s="3" t="s">
        <v>625</v>
      </c>
      <c r="I613">
        <v>0.42675826592863297</v>
      </c>
      <c r="J613" s="33">
        <f>VLOOKUP(A613,'Refi Universe'!E:F,2,0)</f>
        <v>0.41215266</v>
      </c>
    </row>
    <row r="614" spans="1:10" ht="15" x14ac:dyDescent="0.25">
      <c r="A614" s="14">
        <v>41470</v>
      </c>
      <c r="B614" s="15">
        <v>349</v>
      </c>
      <c r="C614" s="15">
        <v>349</v>
      </c>
      <c r="D614" s="5">
        <v>233</v>
      </c>
      <c r="E614" s="5">
        <v>155</v>
      </c>
      <c r="F614" s="5">
        <v>4.3053900000000001</v>
      </c>
      <c r="G614" s="12">
        <f>VLOOKUP(A614,'[1]all FNCL'!A$2:B$993,2)</f>
        <v>0.34039157628197098</v>
      </c>
      <c r="H614" s="3" t="s">
        <v>626</v>
      </c>
      <c r="I614">
        <v>0.42675826592863297</v>
      </c>
      <c r="J614" s="33">
        <f>VLOOKUP(A614,'Refi Universe'!E:F,2,0)</f>
        <v>0.42632069</v>
      </c>
    </row>
    <row r="615" spans="1:10" ht="15" x14ac:dyDescent="0.25">
      <c r="A615" s="14">
        <v>41471</v>
      </c>
      <c r="B615" s="15">
        <v>365</v>
      </c>
      <c r="C615" s="15">
        <v>365</v>
      </c>
      <c r="D615" s="5">
        <v>243</v>
      </c>
      <c r="E615" s="5">
        <v>165</v>
      </c>
      <c r="F615" s="5">
        <v>4.2927049999999998</v>
      </c>
      <c r="G615" s="12">
        <f>VLOOKUP(A615,'[1]all FNCL'!A$2:B$993,2)</f>
        <v>0.34039157628197098</v>
      </c>
      <c r="H615" s="3" t="s">
        <v>627</v>
      </c>
      <c r="I615">
        <v>0.54988615852829004</v>
      </c>
      <c r="J615" s="33">
        <f>VLOOKUP(A615,'Refi Universe'!E:F,2,0)</f>
        <v>0.42713065</v>
      </c>
    </row>
    <row r="616" spans="1:10" ht="15" x14ac:dyDescent="0.25">
      <c r="A616" s="14">
        <v>41472</v>
      </c>
      <c r="B616" s="15">
        <v>371</v>
      </c>
      <c r="C616" s="15">
        <v>371</v>
      </c>
      <c r="D616" s="5">
        <v>247</v>
      </c>
      <c r="E616" s="5">
        <v>162</v>
      </c>
      <c r="F616" s="5">
        <v>4.2497429999999996</v>
      </c>
      <c r="G616" s="12">
        <f>VLOOKUP(A616,'[1]all FNCL'!A$2:B$993,2)</f>
        <v>0.34039157628197098</v>
      </c>
      <c r="H616" s="3" t="s">
        <v>628</v>
      </c>
      <c r="I616">
        <v>0.54988615852829004</v>
      </c>
      <c r="J616" s="33">
        <f>VLOOKUP(A616,'Refi Universe'!E:F,2,0)</f>
        <v>0.43264901</v>
      </c>
    </row>
    <row r="617" spans="1:10" ht="15" x14ac:dyDescent="0.25">
      <c r="A617" s="14">
        <v>41473</v>
      </c>
      <c r="B617" s="15">
        <v>387</v>
      </c>
      <c r="C617" s="15">
        <v>387</v>
      </c>
      <c r="D617" s="5">
        <v>249</v>
      </c>
      <c r="E617" s="5">
        <v>168</v>
      </c>
      <c r="F617" s="5">
        <v>4.2917810000000003</v>
      </c>
      <c r="G617" s="12">
        <f>VLOOKUP(A617,'[1]all FNCL'!A$2:B$993,2)</f>
        <v>0.426207408093986</v>
      </c>
      <c r="H617" s="3" t="s">
        <v>629</v>
      </c>
      <c r="I617">
        <v>0.54988615852829004</v>
      </c>
      <c r="J617" s="33">
        <f>VLOOKUP(A617,'Refi Universe'!E:F,2,0)</f>
        <v>0.42837238</v>
      </c>
    </row>
    <row r="618" spans="1:10" ht="15" x14ac:dyDescent="0.25">
      <c r="A618" s="14">
        <v>41474</v>
      </c>
      <c r="B618" s="15">
        <v>534</v>
      </c>
      <c r="C618" s="15">
        <v>534</v>
      </c>
      <c r="D618" s="5">
        <v>250</v>
      </c>
      <c r="E618" s="5">
        <v>164</v>
      </c>
      <c r="F618" s="5">
        <v>4.2400859999999998</v>
      </c>
      <c r="G618" s="12">
        <f>VLOOKUP(A618,'[1]all FNCL'!A$2:B$993,2)</f>
        <v>0.426207408093986</v>
      </c>
      <c r="H618" s="3" t="s">
        <v>630</v>
      </c>
      <c r="I618">
        <v>0.54988615852829004</v>
      </c>
      <c r="J618" s="33">
        <f>VLOOKUP(A618,'Refi Universe'!E:F,2,0)</f>
        <v>0.43340129999999999</v>
      </c>
    </row>
    <row r="619" spans="1:10" ht="15" x14ac:dyDescent="0.25">
      <c r="A619" s="14">
        <v>41477</v>
      </c>
      <c r="B619" s="15">
        <v>533</v>
      </c>
      <c r="C619" s="15">
        <v>533</v>
      </c>
      <c r="D619" s="5">
        <v>249</v>
      </c>
      <c r="E619" s="5">
        <v>162</v>
      </c>
      <c r="F619" s="5">
        <v>4.2313130000000001</v>
      </c>
      <c r="G619" s="12">
        <f>VLOOKUP(A619,'[1]all FNCL'!A$2:B$993,2)</f>
        <v>0.426207408093986</v>
      </c>
      <c r="H619" s="3" t="s">
        <v>631</v>
      </c>
      <c r="I619">
        <v>0.54988615852829004</v>
      </c>
      <c r="J619" s="33">
        <f>VLOOKUP(A619,'Refi Universe'!E:F,2,0)</f>
        <v>0.43375761000000002</v>
      </c>
    </row>
    <row r="620" spans="1:10" ht="15" x14ac:dyDescent="0.25">
      <c r="A620" s="14">
        <v>41478</v>
      </c>
      <c r="B620" s="15">
        <v>532</v>
      </c>
      <c r="C620" s="15">
        <v>532</v>
      </c>
      <c r="D620" s="5">
        <v>251</v>
      </c>
      <c r="E620" s="5">
        <v>164</v>
      </c>
      <c r="F620" s="5">
        <v>4.2684480000000002</v>
      </c>
      <c r="G620" s="12">
        <f>VLOOKUP(A620,'[1]all FNCL'!A$2:B$993,2)</f>
        <v>0.426207408093986</v>
      </c>
      <c r="H620" s="3" t="s">
        <v>632</v>
      </c>
      <c r="I620">
        <v>0.57517284737260699</v>
      </c>
      <c r="J620" s="33">
        <f>VLOOKUP(A620,'Refi Universe'!E:F,2,0)</f>
        <v>0.43127566000000001</v>
      </c>
    </row>
    <row r="621" spans="1:10" ht="15" x14ac:dyDescent="0.25">
      <c r="A621" s="14">
        <v>41479</v>
      </c>
      <c r="B621" s="15">
        <v>521</v>
      </c>
      <c r="C621" s="15">
        <v>521</v>
      </c>
      <c r="D621" s="5">
        <v>244</v>
      </c>
      <c r="E621" s="5">
        <v>161</v>
      </c>
      <c r="F621" s="5">
        <v>4.3270160000000004</v>
      </c>
      <c r="G621" s="12">
        <f>VLOOKUP(A621,'[1]all FNCL'!A$2:B$993,2)</f>
        <v>0.426207408093986</v>
      </c>
      <c r="H621" s="3" t="s">
        <v>633</v>
      </c>
      <c r="I621">
        <v>0.57517284737260699</v>
      </c>
      <c r="J621" s="33">
        <f>VLOOKUP(A621,'Refi Universe'!E:F,2,0)</f>
        <v>0.42334037000000002</v>
      </c>
    </row>
    <row r="622" spans="1:10" ht="15" x14ac:dyDescent="0.25">
      <c r="A622" s="14">
        <v>41480</v>
      </c>
      <c r="B622" s="15">
        <v>528</v>
      </c>
      <c r="C622" s="15">
        <v>528</v>
      </c>
      <c r="D622" s="5">
        <v>242</v>
      </c>
      <c r="E622" s="5">
        <v>158</v>
      </c>
      <c r="F622" s="5">
        <v>4.3333539999999999</v>
      </c>
      <c r="G622" s="12">
        <f>VLOOKUP(A622,'[1]all FNCL'!A$2:B$993,2)</f>
        <v>0.43167939138876898</v>
      </c>
      <c r="H622" s="3" t="s">
        <v>634</v>
      </c>
      <c r="I622">
        <v>0.57517284737260699</v>
      </c>
      <c r="J622" s="33">
        <f>VLOOKUP(A622,'Refi Universe'!E:F,2,0)</f>
        <v>0.42186098999999999</v>
      </c>
    </row>
    <row r="623" spans="1:10" ht="15" x14ac:dyDescent="0.25">
      <c r="A623" s="14">
        <v>41481</v>
      </c>
      <c r="B623" s="15">
        <v>549</v>
      </c>
      <c r="C623" s="15">
        <v>549</v>
      </c>
      <c r="D623" s="5">
        <v>254</v>
      </c>
      <c r="E623" s="5">
        <v>166</v>
      </c>
      <c r="F623" s="5">
        <v>4.2962660000000001</v>
      </c>
      <c r="G623" s="12">
        <f>VLOOKUP(A623,'[1]all FNCL'!A$2:B$993,2)</f>
        <v>0.43167939138876898</v>
      </c>
      <c r="H623" s="3" t="s">
        <v>635</v>
      </c>
      <c r="I623">
        <v>0.57517284737260699</v>
      </c>
      <c r="J623" s="33">
        <f>VLOOKUP(A623,'Refi Universe'!E:F,2,0)</f>
        <v>0.42646224999999999</v>
      </c>
    </row>
    <row r="624" spans="1:10" ht="15" x14ac:dyDescent="0.25">
      <c r="A624" s="14">
        <v>41484</v>
      </c>
      <c r="B624" s="15">
        <v>533</v>
      </c>
      <c r="C624" s="15">
        <v>533</v>
      </c>
      <c r="D624" s="5">
        <v>246</v>
      </c>
      <c r="E624" s="5">
        <v>157</v>
      </c>
      <c r="F624" s="5">
        <v>4.3071010000000003</v>
      </c>
      <c r="G624" s="12">
        <f>VLOOKUP(A624,'[1]all FNCL'!A$2:B$993,2)</f>
        <v>0.43167939138876898</v>
      </c>
      <c r="H624" s="3" t="s">
        <v>636</v>
      </c>
      <c r="I624">
        <v>0.57517284737260699</v>
      </c>
      <c r="J624" s="33">
        <f>VLOOKUP(A624,'Refi Universe'!E:F,2,0)</f>
        <v>0.42603953</v>
      </c>
    </row>
    <row r="625" spans="1:10" ht="15" x14ac:dyDescent="0.25">
      <c r="A625" s="14">
        <v>41485</v>
      </c>
      <c r="B625" s="15">
        <v>499</v>
      </c>
      <c r="C625" s="15">
        <v>499</v>
      </c>
      <c r="D625" s="5">
        <v>229</v>
      </c>
      <c r="E625" s="5">
        <v>142</v>
      </c>
      <c r="F625" s="5">
        <v>4.3269979999999997</v>
      </c>
      <c r="G625" s="12">
        <f>VLOOKUP(A625,'[1]all FNCL'!A$2:B$993,2)</f>
        <v>0.43167939138876898</v>
      </c>
      <c r="H625" s="3" t="s">
        <v>637</v>
      </c>
      <c r="I625">
        <v>0.54355644019764404</v>
      </c>
      <c r="J625" s="33">
        <f>VLOOKUP(A625,'Refi Universe'!E:F,2,0)</f>
        <v>0.42348314999999997</v>
      </c>
    </row>
    <row r="626" spans="1:10" ht="15" x14ac:dyDescent="0.25">
      <c r="A626" s="14">
        <v>41486</v>
      </c>
      <c r="B626" s="15">
        <v>461</v>
      </c>
      <c r="C626" s="15">
        <v>461</v>
      </c>
      <c r="D626" s="5">
        <v>198</v>
      </c>
      <c r="E626" s="5">
        <v>118</v>
      </c>
      <c r="F626" s="5">
        <v>4.3098179999999999</v>
      </c>
      <c r="G626" s="12">
        <f>VLOOKUP(A626,'[1]all FNCL'!A$2:B$993,2)</f>
        <v>0.43167939138876898</v>
      </c>
      <c r="H626" s="3" t="s">
        <v>638</v>
      </c>
      <c r="I626">
        <v>0.54355644019764404</v>
      </c>
      <c r="J626" s="33">
        <f>VLOOKUP(A626,'Refi Universe'!E:F,2,0)</f>
        <v>0.42516652999999999</v>
      </c>
    </row>
    <row r="627" spans="1:10" ht="15" x14ac:dyDescent="0.25">
      <c r="A627" s="14">
        <v>41487</v>
      </c>
      <c r="B627" s="15">
        <v>427</v>
      </c>
      <c r="C627" s="15">
        <v>427</v>
      </c>
      <c r="D627" s="5">
        <v>183</v>
      </c>
      <c r="E627" s="5">
        <v>119</v>
      </c>
      <c r="F627" s="5">
        <v>4.4196200000000001</v>
      </c>
      <c r="G627" s="12">
        <f>VLOOKUP(A627,'[1]all FNCL'!A$2:B$993,2)</f>
        <v>0.40917398895536999</v>
      </c>
      <c r="H627" s="3" t="s">
        <v>639</v>
      </c>
      <c r="I627">
        <v>0.54089108147199405</v>
      </c>
      <c r="J627" s="33">
        <f>VLOOKUP(A627,'Refi Universe'!E:F,2,0)</f>
        <v>0.33232054999999999</v>
      </c>
    </row>
    <row r="628" spans="1:10" ht="15" x14ac:dyDescent="0.25">
      <c r="A628" s="14">
        <v>41488</v>
      </c>
      <c r="B628" s="15">
        <v>448</v>
      </c>
      <c r="C628" s="15">
        <v>448</v>
      </c>
      <c r="D628" s="5">
        <v>201</v>
      </c>
      <c r="E628" s="5">
        <v>122</v>
      </c>
      <c r="F628" s="5">
        <v>4.3046579999999999</v>
      </c>
      <c r="G628" s="12">
        <f>VLOOKUP(A628,'[1]all FNCL'!A$2:B$993,2)</f>
        <v>0.40917398895536999</v>
      </c>
      <c r="H628" s="3" t="s">
        <v>640</v>
      </c>
      <c r="I628">
        <v>0.54089108147199405</v>
      </c>
      <c r="J628" s="33">
        <f>VLOOKUP(A628,'Refi Universe'!E:F,2,0)</f>
        <v>0.41078564000000001</v>
      </c>
    </row>
    <row r="629" spans="1:10" ht="15" x14ac:dyDescent="0.25">
      <c r="A629" s="14">
        <v>41491</v>
      </c>
      <c r="B629" s="15">
        <v>451</v>
      </c>
      <c r="C629" s="15">
        <v>451</v>
      </c>
      <c r="D629" s="5">
        <v>200</v>
      </c>
      <c r="E629" s="5">
        <v>124</v>
      </c>
      <c r="F629" s="5">
        <v>4.3172980000000001</v>
      </c>
      <c r="G629" s="12">
        <f>VLOOKUP(A629,'[1]all FNCL'!A$2:B$993,2)</f>
        <v>0.40917398895536999</v>
      </c>
      <c r="H629" s="3" t="s">
        <v>641</v>
      </c>
      <c r="I629">
        <v>0.54089108147199405</v>
      </c>
      <c r="J629" s="33">
        <f>VLOOKUP(A629,'Refi Universe'!E:F,2,0)</f>
        <v>0.40903135000000002</v>
      </c>
    </row>
    <row r="630" spans="1:10" ht="15" x14ac:dyDescent="0.25">
      <c r="A630" s="14">
        <v>41492</v>
      </c>
      <c r="B630" s="15">
        <v>453</v>
      </c>
      <c r="C630" s="15">
        <v>453</v>
      </c>
      <c r="D630" s="5">
        <v>202</v>
      </c>
      <c r="E630" s="5">
        <v>127</v>
      </c>
      <c r="F630" s="5">
        <v>4.3416889999999997</v>
      </c>
      <c r="G630" s="12">
        <f>VLOOKUP(A630,'[1]all FNCL'!A$2:B$993,2)</f>
        <v>0.40917398895536999</v>
      </c>
      <c r="H630" s="3" t="s">
        <v>642</v>
      </c>
      <c r="I630">
        <v>0.505106736466303</v>
      </c>
      <c r="J630" s="33">
        <f>VLOOKUP(A630,'Refi Universe'!E:F,2,0)</f>
        <v>0.40437019000000002</v>
      </c>
    </row>
    <row r="631" spans="1:10" ht="15" x14ac:dyDescent="0.25">
      <c r="A631" s="14">
        <v>41493</v>
      </c>
      <c r="B631" s="15">
        <v>478</v>
      </c>
      <c r="C631" s="15">
        <v>478</v>
      </c>
      <c r="D631" s="5">
        <v>230</v>
      </c>
      <c r="E631" s="5">
        <v>154</v>
      </c>
      <c r="F631" s="5">
        <v>4.3091879999999998</v>
      </c>
      <c r="G631" s="12">
        <f>VLOOKUP(A631,'[1]all FNCL'!A$2:B$993,2)</f>
        <v>0.40917398895536999</v>
      </c>
      <c r="H631" s="3" t="s">
        <v>643</v>
      </c>
      <c r="I631">
        <v>0.505106736466303</v>
      </c>
      <c r="J631" s="33">
        <f>VLOOKUP(A631,'Refi Universe'!E:F,2,0)</f>
        <v>0.41115397999999997</v>
      </c>
    </row>
    <row r="632" spans="1:10" ht="15" x14ac:dyDescent="0.25">
      <c r="A632" s="14">
        <v>41494</v>
      </c>
      <c r="B632" s="15">
        <v>493</v>
      </c>
      <c r="C632" s="15">
        <v>493</v>
      </c>
      <c r="D632" s="5">
        <v>228</v>
      </c>
      <c r="E632" s="5">
        <v>158</v>
      </c>
      <c r="F632" s="5">
        <v>4.2849219999999999</v>
      </c>
      <c r="G632" s="12">
        <f>VLOOKUP(A632,'[1]all FNCL'!A$2:B$993,2)</f>
        <v>0.40794548718226897</v>
      </c>
      <c r="H632" s="3" t="s">
        <v>644</v>
      </c>
      <c r="I632">
        <v>0.505106736466303</v>
      </c>
      <c r="J632" s="33">
        <f>VLOOKUP(A632,'Refi Universe'!E:F,2,0)</f>
        <v>0.41331764999999998</v>
      </c>
    </row>
    <row r="633" spans="1:10" ht="15" x14ac:dyDescent="0.25">
      <c r="A633" s="14">
        <v>41495</v>
      </c>
      <c r="B633" s="15">
        <v>476</v>
      </c>
      <c r="C633" s="15">
        <v>476</v>
      </c>
      <c r="D633" s="5">
        <v>209</v>
      </c>
      <c r="E633" s="5">
        <v>136</v>
      </c>
      <c r="F633" s="5">
        <v>4.2689269999999997</v>
      </c>
      <c r="G633" s="12">
        <f>VLOOKUP(A633,'[1]all FNCL'!A$2:B$993,2)</f>
        <v>0.40794548718226897</v>
      </c>
      <c r="H633" s="3" t="s">
        <v>645</v>
      </c>
      <c r="I633">
        <v>0.505106736466303</v>
      </c>
      <c r="J633" s="33">
        <f>VLOOKUP(A633,'Refi Universe'!E:F,2,0)</f>
        <v>0.41576205999999999</v>
      </c>
    </row>
    <row r="634" spans="1:10" ht="15" x14ac:dyDescent="0.25">
      <c r="A634" s="14">
        <v>41498</v>
      </c>
      <c r="B634" s="15">
        <v>466</v>
      </c>
      <c r="C634" s="15">
        <v>466</v>
      </c>
      <c r="D634" s="5">
        <v>208</v>
      </c>
      <c r="E634" s="5">
        <v>143</v>
      </c>
      <c r="F634" s="5">
        <v>4.2884739999999999</v>
      </c>
      <c r="G634" s="12">
        <f>VLOOKUP(A634,'[1]all FNCL'!A$2:B$993,2)</f>
        <v>0.40794548718226897</v>
      </c>
      <c r="H634" s="3" t="s">
        <v>646</v>
      </c>
      <c r="I634">
        <v>0.51180256347737196</v>
      </c>
      <c r="J634" s="33">
        <f>VLOOKUP(A634,'Refi Universe'!E:F,2,0)</f>
        <v>0.41321912</v>
      </c>
    </row>
    <row r="635" spans="1:10" ht="15" x14ac:dyDescent="0.25">
      <c r="A635" s="14">
        <v>41499</v>
      </c>
      <c r="B635" s="15">
        <v>446</v>
      </c>
      <c r="C635" s="15">
        <v>446</v>
      </c>
      <c r="D635" s="5">
        <v>203</v>
      </c>
      <c r="E635" s="5">
        <v>139</v>
      </c>
      <c r="F635" s="5">
        <v>4.3789179999999996</v>
      </c>
      <c r="G635" s="12">
        <f>VLOOKUP(A635,'[1]all FNCL'!A$2:B$993,2)</f>
        <v>0.40794548718226897</v>
      </c>
      <c r="H635" s="3" t="s">
        <v>647</v>
      </c>
      <c r="I635">
        <v>0.51180256347737196</v>
      </c>
      <c r="J635" s="33">
        <f>VLOOKUP(A635,'Refi Universe'!E:F,2,0)</f>
        <v>0.39312795</v>
      </c>
    </row>
    <row r="636" spans="1:10" ht="15" x14ac:dyDescent="0.25">
      <c r="A636" s="14">
        <v>41500</v>
      </c>
      <c r="B636" s="15">
        <v>432</v>
      </c>
      <c r="C636" s="15">
        <v>432</v>
      </c>
      <c r="D636" s="5">
        <v>193</v>
      </c>
      <c r="E636" s="5">
        <v>130</v>
      </c>
      <c r="F636" s="5">
        <v>4.3761840000000003</v>
      </c>
      <c r="G636" s="12">
        <f>VLOOKUP(A636,'[1]all FNCL'!A$2:B$993,2)</f>
        <v>0.40794548718226897</v>
      </c>
      <c r="H636" s="3" t="s">
        <v>648</v>
      </c>
      <c r="I636">
        <v>0.51180256347737196</v>
      </c>
      <c r="J636" s="33">
        <f>VLOOKUP(A636,'Refi Universe'!E:F,2,0)</f>
        <v>0.37743947</v>
      </c>
    </row>
    <row r="637" spans="1:10" ht="15" x14ac:dyDescent="0.25">
      <c r="A637" s="14">
        <v>41501</v>
      </c>
      <c r="B637" s="15">
        <v>421</v>
      </c>
      <c r="C637" s="15">
        <v>421</v>
      </c>
      <c r="D637" s="5">
        <v>192</v>
      </c>
      <c r="E637" s="5">
        <v>131</v>
      </c>
      <c r="F637" s="5">
        <v>4.433179</v>
      </c>
      <c r="G637" s="12">
        <f>VLOOKUP(A637,'[1]all FNCL'!A$2:B$993,2)</f>
        <v>0.40794548718226897</v>
      </c>
      <c r="H637" s="3" t="s">
        <v>649</v>
      </c>
      <c r="I637">
        <v>0.51180256347737196</v>
      </c>
      <c r="J637" s="33">
        <f>VLOOKUP(A637,'Refi Universe'!E:F,2,0)</f>
        <v>0.31455759999999999</v>
      </c>
    </row>
    <row r="638" spans="1:10" ht="15" x14ac:dyDescent="0.25">
      <c r="A638" s="14">
        <v>41502</v>
      </c>
      <c r="B638" s="15">
        <v>430</v>
      </c>
      <c r="C638" s="15">
        <v>430</v>
      </c>
      <c r="D638" s="5">
        <v>207</v>
      </c>
      <c r="E638" s="5">
        <v>146</v>
      </c>
      <c r="F638" s="5">
        <v>4.5159229999999999</v>
      </c>
      <c r="G638" s="12">
        <f>VLOOKUP(A638,'[1]all FNCL'!A$2:B$993,2)</f>
        <v>0.40794548718226897</v>
      </c>
      <c r="H638" s="3" t="s">
        <v>650</v>
      </c>
      <c r="I638">
        <v>0.51180256347737196</v>
      </c>
      <c r="J638" s="33">
        <f>VLOOKUP(A638,'Refi Universe'!E:F,2,0)</f>
        <v>0.28031014999999998</v>
      </c>
    </row>
    <row r="639" spans="1:10" ht="15" x14ac:dyDescent="0.25">
      <c r="A639" s="14">
        <v>41505</v>
      </c>
      <c r="B639" s="15">
        <v>433</v>
      </c>
      <c r="C639" s="15">
        <v>433</v>
      </c>
      <c r="D639" s="5">
        <v>212</v>
      </c>
      <c r="E639" s="5">
        <v>146</v>
      </c>
      <c r="F639" s="5">
        <v>4.5824210000000001</v>
      </c>
      <c r="G639" s="12">
        <f>VLOOKUP(A639,'[1]all FNCL'!A$2:B$993,2)</f>
        <v>0.40794548718226897</v>
      </c>
      <c r="H639" s="3" t="s">
        <v>651</v>
      </c>
      <c r="I639">
        <v>0.53125439488383197</v>
      </c>
      <c r="J639" s="33">
        <f>VLOOKUP(A639,'Refi Universe'!E:F,2,0)</f>
        <v>0.27263881000000001</v>
      </c>
    </row>
    <row r="640" spans="1:10" ht="15" x14ac:dyDescent="0.25">
      <c r="A640" s="14">
        <v>41506</v>
      </c>
      <c r="B640" s="15">
        <v>436</v>
      </c>
      <c r="C640" s="15">
        <v>436</v>
      </c>
      <c r="D640" s="5">
        <v>214</v>
      </c>
      <c r="E640" s="5">
        <v>143</v>
      </c>
      <c r="F640" s="5">
        <v>4.5112750000000004</v>
      </c>
      <c r="G640" s="12">
        <f>VLOOKUP(A640,'[1]all FNCL'!A$2:B$993,2)</f>
        <v>0.40794548718226897</v>
      </c>
      <c r="H640" s="3" t="s">
        <v>652</v>
      </c>
      <c r="I640">
        <v>0.53125439488383197</v>
      </c>
      <c r="J640" s="33">
        <f>VLOOKUP(A640,'Refi Universe'!E:F,2,0)</f>
        <v>0.28096123000000001</v>
      </c>
    </row>
    <row r="641" spans="1:10" ht="15" x14ac:dyDescent="0.25">
      <c r="A641" s="14">
        <v>41507</v>
      </c>
      <c r="B641" s="15">
        <v>433</v>
      </c>
      <c r="C641" s="15">
        <v>433</v>
      </c>
      <c r="D641" s="5">
        <v>220</v>
      </c>
      <c r="E641" s="5">
        <v>153</v>
      </c>
      <c r="F641" s="5">
        <v>4.5430260000000002</v>
      </c>
      <c r="G641" s="12">
        <f>VLOOKUP(A641,'[1]all FNCL'!A$2:B$993,2)</f>
        <v>0.40794548718226897</v>
      </c>
      <c r="H641" s="3" t="s">
        <v>653</v>
      </c>
      <c r="I641">
        <v>0.53125439488383197</v>
      </c>
      <c r="J641" s="33">
        <f>VLOOKUP(A641,'Refi Universe'!E:F,2,0)</f>
        <v>0.27644807999999998</v>
      </c>
    </row>
    <row r="642" spans="1:10" ht="15" x14ac:dyDescent="0.25">
      <c r="A642" s="14">
        <v>41508</v>
      </c>
      <c r="B642" s="15">
        <v>432</v>
      </c>
      <c r="C642" s="15">
        <v>432</v>
      </c>
      <c r="D642" s="5">
        <v>221</v>
      </c>
      <c r="E642" s="5">
        <v>154</v>
      </c>
      <c r="F642" s="5">
        <v>4.5814560000000002</v>
      </c>
      <c r="G642" s="12">
        <f>VLOOKUP(A642,'[1]all FNCL'!A$2:B$993,2)</f>
        <v>0.28736143003290598</v>
      </c>
      <c r="H642" s="3" t="s">
        <v>654</v>
      </c>
      <c r="I642">
        <v>0.53125439488383197</v>
      </c>
      <c r="J642" s="33">
        <f>VLOOKUP(A642,'Refi Universe'!E:F,2,0)</f>
        <v>0.27358157</v>
      </c>
    </row>
    <row r="643" spans="1:10" ht="15" x14ac:dyDescent="0.25">
      <c r="A643" s="14">
        <v>41509</v>
      </c>
      <c r="B643" s="15">
        <v>434</v>
      </c>
      <c r="C643" s="15">
        <v>434</v>
      </c>
      <c r="D643" s="5">
        <v>226</v>
      </c>
      <c r="E643" s="5">
        <v>137</v>
      </c>
      <c r="F643" s="5">
        <v>4.4852080000000001</v>
      </c>
      <c r="G643" s="12">
        <f>VLOOKUP(A643,'[1]all FNCL'!A$2:B$993,2)</f>
        <v>0.28736143003290598</v>
      </c>
      <c r="H643" s="3" t="s">
        <v>655</v>
      </c>
      <c r="I643">
        <v>0.54741627949472405</v>
      </c>
      <c r="J643" s="33">
        <f>VLOOKUP(A643,'Refi Universe'!E:F,2,0)</f>
        <v>0.29198242000000002</v>
      </c>
    </row>
    <row r="644" spans="1:10" ht="15" x14ac:dyDescent="0.25">
      <c r="A644" s="14">
        <v>41512</v>
      </c>
      <c r="B644" s="15">
        <v>421</v>
      </c>
      <c r="C644" s="15">
        <v>421</v>
      </c>
      <c r="D644" s="5">
        <v>202</v>
      </c>
      <c r="E644" s="5">
        <v>127</v>
      </c>
      <c r="F644" s="5">
        <v>4.4500039999999998</v>
      </c>
      <c r="G644" s="12">
        <f>VLOOKUP(A644,'[1]all FNCL'!A$2:B$993,2)</f>
        <v>0.28736143003290598</v>
      </c>
      <c r="H644" s="3" t="s">
        <v>656</v>
      </c>
      <c r="I644">
        <v>0.54741627949472405</v>
      </c>
      <c r="J644" s="33">
        <f>VLOOKUP(A644,'Refi Universe'!E:F,2,0)</f>
        <v>0.30800234999999998</v>
      </c>
    </row>
    <row r="645" spans="1:10" ht="15" x14ac:dyDescent="0.25">
      <c r="A645" s="14">
        <v>41513</v>
      </c>
      <c r="B645" s="15">
        <v>427</v>
      </c>
      <c r="C645" s="15">
        <v>427</v>
      </c>
      <c r="D645" s="5">
        <v>199</v>
      </c>
      <c r="E645" s="5">
        <v>124</v>
      </c>
      <c r="F645" s="5">
        <v>4.387518</v>
      </c>
      <c r="G645" s="12">
        <f>VLOOKUP(A645,'[1]all FNCL'!A$2:B$993,2)</f>
        <v>0.28736143003290598</v>
      </c>
      <c r="H645" s="3" t="s">
        <v>657</v>
      </c>
      <c r="I645">
        <v>0.54296193584840502</v>
      </c>
      <c r="J645" s="33">
        <f>VLOOKUP(A645,'Refi Universe'!E:F,2,0)</f>
        <v>0.38014408</v>
      </c>
    </row>
    <row r="646" spans="1:10" ht="15" x14ac:dyDescent="0.25">
      <c r="A646" s="14">
        <v>41514</v>
      </c>
      <c r="B646" s="15">
        <v>425</v>
      </c>
      <c r="C646" s="15">
        <v>425</v>
      </c>
      <c r="D646" s="5">
        <v>209</v>
      </c>
      <c r="E646" s="5">
        <v>120</v>
      </c>
      <c r="F646" s="5">
        <v>4.448137</v>
      </c>
      <c r="G646" s="12">
        <f>VLOOKUP(A646,'[1]all FNCL'!A$2:B$993,2)</f>
        <v>0.28736143003290598</v>
      </c>
      <c r="H646" s="3" t="s">
        <v>658</v>
      </c>
      <c r="I646">
        <v>0.54296193584840502</v>
      </c>
      <c r="J646" s="33">
        <f>VLOOKUP(A646,'Refi Universe'!E:F,2,0)</f>
        <v>0.35578878000000003</v>
      </c>
    </row>
    <row r="647" spans="1:10" ht="15" x14ac:dyDescent="0.25">
      <c r="A647" s="14">
        <v>41515</v>
      </c>
      <c r="B647" s="15">
        <v>418</v>
      </c>
      <c r="C647" s="15">
        <v>418</v>
      </c>
      <c r="D647" s="5">
        <v>202</v>
      </c>
      <c r="E647" s="5">
        <v>113</v>
      </c>
      <c r="F647" s="5">
        <v>4.4076550000000001</v>
      </c>
      <c r="G647" s="12">
        <f>VLOOKUP(A647,'[1]all FNCL'!A$2:B$993,2)</f>
        <v>0.32609160736856702</v>
      </c>
      <c r="H647" s="3" t="s">
        <v>659</v>
      </c>
      <c r="I647">
        <v>0.54296193584840502</v>
      </c>
      <c r="J647" s="33">
        <f>VLOOKUP(A647,'Refi Universe'!E:F,2,0)</f>
        <v>0.39563315999999998</v>
      </c>
    </row>
    <row r="648" spans="1:10" ht="15" x14ac:dyDescent="0.25">
      <c r="A648" s="14">
        <v>41516</v>
      </c>
      <c r="B648" s="15">
        <v>409</v>
      </c>
      <c r="C648" s="15">
        <v>409</v>
      </c>
      <c r="D648" s="5">
        <v>197</v>
      </c>
      <c r="E648" s="5">
        <v>110</v>
      </c>
      <c r="F648" s="5">
        <v>4.4122310000000002</v>
      </c>
      <c r="G648" s="12">
        <f>VLOOKUP(A648,'[1]all FNCL'!A$2:B$993,2)</f>
        <v>0.32609160736856702</v>
      </c>
      <c r="H648" s="3" t="s">
        <v>660</v>
      </c>
      <c r="I648">
        <v>0.57616107650745496</v>
      </c>
      <c r="J648" s="33">
        <f>VLOOKUP(A648,'Refi Universe'!E:F,2,0)</f>
        <v>0.39522167000000002</v>
      </c>
    </row>
    <row r="649" spans="1:10" ht="15" x14ac:dyDescent="0.25">
      <c r="A649" s="14">
        <v>41520</v>
      </c>
      <c r="B649" s="15">
        <v>393</v>
      </c>
      <c r="C649" s="15">
        <v>393</v>
      </c>
      <c r="D649" s="5">
        <v>198</v>
      </c>
      <c r="E649" s="5">
        <v>114</v>
      </c>
      <c r="F649" s="5">
        <v>4.5040579999999997</v>
      </c>
      <c r="G649" s="12">
        <f>VLOOKUP(A649,'[1]all FNCL'!A$2:B$993,2)</f>
        <v>0.315593133253526</v>
      </c>
      <c r="H649" s="3" t="s">
        <v>661</v>
      </c>
      <c r="I649">
        <v>0.57616107650745496</v>
      </c>
      <c r="J649" s="33">
        <f>VLOOKUP(A649,'Refi Universe'!E:F,2,0)</f>
        <v>0.29002791</v>
      </c>
    </row>
    <row r="650" spans="1:10" ht="15" x14ac:dyDescent="0.25">
      <c r="A650" s="14">
        <v>41521</v>
      </c>
      <c r="B650" s="15">
        <v>379</v>
      </c>
      <c r="C650" s="15">
        <v>379</v>
      </c>
      <c r="D650" s="5">
        <v>179</v>
      </c>
      <c r="E650" s="5">
        <v>109</v>
      </c>
      <c r="F650" s="5">
        <v>4.5572249999999999</v>
      </c>
      <c r="G650" s="12">
        <f>VLOOKUP(A650,'[1]all FNCL'!A$2:B$993,2)</f>
        <v>0.315593133253526</v>
      </c>
      <c r="H650" s="3" t="s">
        <v>662</v>
      </c>
      <c r="I650">
        <v>0.57616107650745496</v>
      </c>
      <c r="J650" s="33">
        <f>VLOOKUP(A650,'Refi Universe'!E:F,2,0)</f>
        <v>0.26443326</v>
      </c>
    </row>
    <row r="651" spans="1:10" ht="15" x14ac:dyDescent="0.25">
      <c r="A651" s="14">
        <v>41522</v>
      </c>
      <c r="B651" s="15">
        <v>355</v>
      </c>
      <c r="C651" s="15">
        <v>355</v>
      </c>
      <c r="D651" s="5">
        <v>163</v>
      </c>
      <c r="E651" s="5">
        <v>101</v>
      </c>
      <c r="F651" s="5">
        <v>4.6526839999999998</v>
      </c>
      <c r="G651" s="12">
        <f>VLOOKUP(A651,'[1]all FNCL'!A$2:B$993,2)</f>
        <v>0.28153720559456502</v>
      </c>
      <c r="H651" s="3" t="s">
        <v>663</v>
      </c>
      <c r="I651">
        <v>0.57616107650745496</v>
      </c>
      <c r="J651" s="33">
        <f>VLOOKUP(A651,'Refi Universe'!E:F,2,0)</f>
        <v>0.25826391999999998</v>
      </c>
    </row>
    <row r="652" spans="1:10" ht="15" x14ac:dyDescent="0.25">
      <c r="A652" s="14">
        <v>41523</v>
      </c>
      <c r="B652" s="15">
        <v>358</v>
      </c>
      <c r="C652" s="15">
        <v>358</v>
      </c>
      <c r="D652" s="5">
        <v>160</v>
      </c>
      <c r="E652" s="5">
        <v>98</v>
      </c>
      <c r="F652" s="5">
        <v>4.5937229999999998</v>
      </c>
      <c r="G652" s="12">
        <f>VLOOKUP(A652,'[1]all FNCL'!A$2:B$993,2)</f>
        <v>0.28153720559456502</v>
      </c>
      <c r="H652" s="3" t="s">
        <v>664</v>
      </c>
      <c r="I652">
        <v>0.57616107650745496</v>
      </c>
      <c r="J652" s="33">
        <f>VLOOKUP(A652,'Refi Universe'!E:F,2,0)</f>
        <v>0.26194300999999998</v>
      </c>
    </row>
    <row r="653" spans="1:10" ht="15" x14ac:dyDescent="0.25">
      <c r="A653" s="14">
        <v>41526</v>
      </c>
      <c r="B653" s="15">
        <v>356</v>
      </c>
      <c r="C653" s="15">
        <v>356</v>
      </c>
      <c r="D653" s="5">
        <v>155</v>
      </c>
      <c r="E653" s="5">
        <v>94</v>
      </c>
      <c r="F653" s="5">
        <v>4.526478</v>
      </c>
      <c r="G653" s="12">
        <f>VLOOKUP(A653,'[1]all FNCL'!A$2:B$993,2)</f>
        <v>0.28153720559456502</v>
      </c>
      <c r="H653" s="3" t="s">
        <v>665</v>
      </c>
      <c r="I653">
        <v>0.56511283574971805</v>
      </c>
      <c r="J653" s="33">
        <f>VLOOKUP(A653,'Refi Universe'!E:F,2,0)</f>
        <v>0.26769354000000001</v>
      </c>
    </row>
    <row r="654" spans="1:10" ht="15" x14ac:dyDescent="0.25">
      <c r="A654" s="14">
        <v>41527</v>
      </c>
      <c r="B654" s="15">
        <v>330</v>
      </c>
      <c r="C654" s="15">
        <v>330</v>
      </c>
      <c r="D654" s="5">
        <v>132</v>
      </c>
      <c r="E654" s="5">
        <v>77</v>
      </c>
      <c r="F654" s="5">
        <v>4.5759449999999999</v>
      </c>
      <c r="G654" s="12">
        <f>VLOOKUP(A654,'[1]all FNCL'!A$2:B$993,2)</f>
        <v>0.28153720559456502</v>
      </c>
      <c r="H654" s="3" t="s">
        <v>666</v>
      </c>
      <c r="I654">
        <v>0.56511283574971805</v>
      </c>
      <c r="J654" s="33">
        <f>VLOOKUP(A654,'Refi Universe'!E:F,2,0)</f>
        <v>0.26296286000000002</v>
      </c>
    </row>
    <row r="655" spans="1:10" ht="15" x14ac:dyDescent="0.25">
      <c r="A655" s="14">
        <v>41528</v>
      </c>
      <c r="B655" s="15">
        <v>378</v>
      </c>
      <c r="C655" s="15">
        <v>378</v>
      </c>
      <c r="D655" s="5">
        <v>154</v>
      </c>
      <c r="E655" s="5">
        <v>92</v>
      </c>
      <c r="F655" s="5">
        <v>4.5479190000000003</v>
      </c>
      <c r="G655" s="12">
        <f>VLOOKUP(A655,'[1]all FNCL'!A$2:B$993,2)</f>
        <v>0.28153720559456502</v>
      </c>
      <c r="H655" s="3" t="s">
        <v>667</v>
      </c>
      <c r="I655">
        <v>0.56511283574971805</v>
      </c>
      <c r="J655" s="33">
        <f>VLOOKUP(A655,'Refi Universe'!E:F,2,0)</f>
        <v>0.28595882</v>
      </c>
    </row>
    <row r="656" spans="1:10" ht="15" x14ac:dyDescent="0.25">
      <c r="A656" s="14">
        <v>41529</v>
      </c>
      <c r="B656" s="15">
        <v>360</v>
      </c>
      <c r="C656" s="15">
        <v>360</v>
      </c>
      <c r="D656" s="5">
        <v>123</v>
      </c>
      <c r="E656" s="5">
        <v>75</v>
      </c>
      <c r="F656" s="5">
        <v>4.5441859999999998</v>
      </c>
      <c r="G656" s="12">
        <f>VLOOKUP(A656,'[1]all FNCL'!A$2:B$993,2)</f>
        <v>0.28153720559456502</v>
      </c>
      <c r="H656" s="3" t="s">
        <v>668</v>
      </c>
      <c r="I656">
        <v>0.56511283574971805</v>
      </c>
      <c r="J656" s="33">
        <f>VLOOKUP(A656,'Refi Universe'!E:F,2,0)</f>
        <v>0.28637426999999999</v>
      </c>
    </row>
    <row r="657" spans="1:10" ht="15" x14ac:dyDescent="0.25">
      <c r="A657" s="14">
        <v>41530</v>
      </c>
      <c r="B657" s="15">
        <v>347</v>
      </c>
      <c r="C657" s="15">
        <v>347</v>
      </c>
      <c r="D657" s="5">
        <v>115</v>
      </c>
      <c r="E657" s="5">
        <v>69</v>
      </c>
      <c r="F657" s="5">
        <v>4.5283620000000004</v>
      </c>
      <c r="G657" s="12">
        <f>VLOOKUP(A657,'[1]all FNCL'!A$2:B$993,2)</f>
        <v>0.28153720559456502</v>
      </c>
      <c r="H657" s="3" t="s">
        <v>669</v>
      </c>
      <c r="I657">
        <v>0.56511283574971805</v>
      </c>
      <c r="J657" s="33">
        <f>VLOOKUP(A657,'Refi Universe'!E:F,2,0)</f>
        <v>0.2925217</v>
      </c>
    </row>
    <row r="658" spans="1:10" ht="15" x14ac:dyDescent="0.25">
      <c r="A658" s="14">
        <v>41533</v>
      </c>
      <c r="B658" s="15">
        <v>364</v>
      </c>
      <c r="C658" s="15">
        <v>364</v>
      </c>
      <c r="D658" s="5">
        <v>120</v>
      </c>
      <c r="E658" s="5">
        <v>67</v>
      </c>
      <c r="F658" s="5">
        <v>4.4865870000000001</v>
      </c>
      <c r="G658" s="12">
        <f>VLOOKUP(A658,'[1]all FNCL'!A$2:B$993,2)</f>
        <v>0.28153720559456502</v>
      </c>
      <c r="H658" s="3" t="s">
        <v>670</v>
      </c>
      <c r="I658">
        <v>0.60670206616303102</v>
      </c>
      <c r="J658" s="33">
        <f>VLOOKUP(A658,'Refi Universe'!E:F,2,0)</f>
        <v>0.33935362000000002</v>
      </c>
    </row>
    <row r="659" spans="1:10" ht="15" x14ac:dyDescent="0.25">
      <c r="A659" s="14">
        <v>41534</v>
      </c>
      <c r="B659" s="15">
        <v>379</v>
      </c>
      <c r="C659" s="15">
        <v>379</v>
      </c>
      <c r="D659" s="5">
        <v>133</v>
      </c>
      <c r="E659" s="5">
        <v>80</v>
      </c>
      <c r="F659" s="5">
        <v>4.4717979999999997</v>
      </c>
      <c r="G659" s="12">
        <f>VLOOKUP(A659,'[1]all FNCL'!A$2:B$993,2)</f>
        <v>0.28153720559456502</v>
      </c>
      <c r="H659" s="3" t="s">
        <v>671</v>
      </c>
      <c r="I659">
        <v>0.60670206616303102</v>
      </c>
      <c r="J659" s="33">
        <f>VLOOKUP(A659,'Refi Universe'!E:F,2,0)</f>
        <v>0.35600051999999999</v>
      </c>
    </row>
    <row r="660" spans="1:10" ht="15" x14ac:dyDescent="0.25">
      <c r="A660" s="14">
        <v>41535</v>
      </c>
      <c r="B660" s="15">
        <v>426</v>
      </c>
      <c r="C660" s="15">
        <v>426</v>
      </c>
      <c r="D660" s="5">
        <v>146</v>
      </c>
      <c r="E660" s="5">
        <v>79</v>
      </c>
      <c r="F660" s="5">
        <v>4.3142310000000004</v>
      </c>
      <c r="G660" s="12">
        <f>VLOOKUP(A660,'[1]all FNCL'!A$2:B$993,2)</f>
        <v>0.28153720559456502</v>
      </c>
      <c r="H660" s="3" t="s">
        <v>672</v>
      </c>
      <c r="I660">
        <v>0.60670206616303102</v>
      </c>
      <c r="J660" s="33">
        <f>VLOOKUP(A660,'Refi Universe'!E:F,2,0)</f>
        <v>0.40430395000000002</v>
      </c>
    </row>
    <row r="661" spans="1:10" ht="15" x14ac:dyDescent="0.25">
      <c r="A661" s="14">
        <v>41536</v>
      </c>
      <c r="B661" s="15">
        <v>442</v>
      </c>
      <c r="C661" s="15">
        <v>442</v>
      </c>
      <c r="D661" s="5">
        <v>154</v>
      </c>
      <c r="E661" s="5">
        <v>92</v>
      </c>
      <c r="F661" s="5">
        <v>4.3248689999999996</v>
      </c>
      <c r="G661" s="12">
        <f>VLOOKUP(A661,'[1]all FNCL'!A$2:B$993,2)</f>
        <v>0.33139494640254802</v>
      </c>
      <c r="H661" s="3" t="s">
        <v>673</v>
      </c>
      <c r="I661">
        <v>0.60670206616303102</v>
      </c>
      <c r="J661" s="33">
        <f>VLOOKUP(A661,'Refi Universe'!E:F,2,0)</f>
        <v>0.40169234999999998</v>
      </c>
    </row>
    <row r="662" spans="1:10" ht="15" x14ac:dyDescent="0.25">
      <c r="A662" s="14">
        <v>41537</v>
      </c>
      <c r="B662" s="15">
        <v>413</v>
      </c>
      <c r="C662" s="15">
        <v>413</v>
      </c>
      <c r="D662" s="5">
        <v>137</v>
      </c>
      <c r="E662" s="5">
        <v>81</v>
      </c>
      <c r="F662" s="5">
        <v>4.3319609999999997</v>
      </c>
      <c r="G662" s="12">
        <f>VLOOKUP(A662,'[1]all FNCL'!A$2:B$993,2)</f>
        <v>0.33139494640254802</v>
      </c>
      <c r="H662" s="3" t="s">
        <v>674</v>
      </c>
      <c r="I662">
        <v>0.59762468592169804</v>
      </c>
      <c r="J662" s="33">
        <f>VLOOKUP(A662,'Refi Universe'!E:F,2,0)</f>
        <v>0.40062763000000001</v>
      </c>
    </row>
    <row r="663" spans="1:10" ht="15" x14ac:dyDescent="0.25">
      <c r="A663" s="14">
        <v>41540</v>
      </c>
      <c r="B663" s="15">
        <v>424</v>
      </c>
      <c r="C663" s="15">
        <v>424</v>
      </c>
      <c r="D663" s="5">
        <v>141</v>
      </c>
      <c r="E663" s="5">
        <v>86</v>
      </c>
      <c r="F663" s="5">
        <v>4.306292</v>
      </c>
      <c r="G663" s="12">
        <f>VLOOKUP(A663,'[1]all FNCL'!A$2:B$993,2)</f>
        <v>0.33139494640254802</v>
      </c>
      <c r="H663" s="3" t="s">
        <v>675</v>
      </c>
      <c r="I663">
        <v>0.59762468592169804</v>
      </c>
      <c r="J663" s="33">
        <f>VLOOKUP(A663,'Refi Universe'!E:F,2,0)</f>
        <v>0.40442292000000002</v>
      </c>
    </row>
    <row r="664" spans="1:10" ht="15" x14ac:dyDescent="0.25">
      <c r="A664" s="14">
        <v>41541</v>
      </c>
      <c r="B664" s="15">
        <v>431</v>
      </c>
      <c r="C664" s="15">
        <v>431</v>
      </c>
      <c r="D664" s="5">
        <v>141</v>
      </c>
      <c r="E664" s="5">
        <v>79</v>
      </c>
      <c r="F664" s="5">
        <v>4.2530380000000001</v>
      </c>
      <c r="G664" s="12">
        <f>VLOOKUP(A664,'[1]all FNCL'!A$2:B$993,2)</f>
        <v>0.33139494640254802</v>
      </c>
      <c r="H664" s="3" t="s">
        <v>676</v>
      </c>
      <c r="I664">
        <v>0.59762468592169804</v>
      </c>
      <c r="J664" s="33">
        <f>VLOOKUP(A664,'Refi Universe'!E:F,2,0)</f>
        <v>0.40942932999999998</v>
      </c>
    </row>
    <row r="665" spans="1:10" ht="15" x14ac:dyDescent="0.25">
      <c r="A665" s="14">
        <v>41542</v>
      </c>
      <c r="B665" s="15">
        <v>441</v>
      </c>
      <c r="C665" s="15">
        <v>441</v>
      </c>
      <c r="D665" s="5">
        <v>147</v>
      </c>
      <c r="E665" s="5">
        <v>83</v>
      </c>
      <c r="F665" s="5">
        <v>4.2150129999999999</v>
      </c>
      <c r="G665" s="12">
        <f>VLOOKUP(A665,'[1]all FNCL'!A$2:B$993,2)</f>
        <v>0.33139494640254802</v>
      </c>
      <c r="H665" s="3" t="s">
        <v>677</v>
      </c>
      <c r="I665">
        <v>0.59762468592169804</v>
      </c>
      <c r="J665" s="33">
        <f>VLOOKUP(A665,'Refi Universe'!E:F,2,0)</f>
        <v>0.41205318000000002</v>
      </c>
    </row>
    <row r="666" spans="1:10" ht="15" x14ac:dyDescent="0.25">
      <c r="A666" s="14">
        <v>41543</v>
      </c>
      <c r="B666" s="15">
        <v>413</v>
      </c>
      <c r="C666" s="15">
        <v>413</v>
      </c>
      <c r="D666" s="5">
        <v>127</v>
      </c>
      <c r="E666" s="5">
        <v>64</v>
      </c>
      <c r="F666" s="5">
        <v>4.2382929999999996</v>
      </c>
      <c r="G666" s="12">
        <f>VLOOKUP(A666,'[1]all FNCL'!A$2:B$993,2)</f>
        <v>0.404422924260806</v>
      </c>
      <c r="H666" s="3" t="s">
        <v>678</v>
      </c>
      <c r="I666">
        <v>0.58158481943829898</v>
      </c>
      <c r="J666" s="33">
        <f>VLOOKUP(A666,'Refi Universe'!E:F,2,0)</f>
        <v>0.40892709999999999</v>
      </c>
    </row>
    <row r="667" spans="1:10" ht="15" x14ac:dyDescent="0.25">
      <c r="A667" s="14">
        <v>41544</v>
      </c>
      <c r="B667" s="15">
        <v>405</v>
      </c>
      <c r="C667" s="15">
        <v>405</v>
      </c>
      <c r="D667" s="5">
        <v>128</v>
      </c>
      <c r="E667" s="5">
        <v>62</v>
      </c>
      <c r="F667" s="5">
        <v>4.2150129999999999</v>
      </c>
      <c r="G667" s="12">
        <f>VLOOKUP(A667,'[1]all FNCL'!A$2:B$993,2)</f>
        <v>0.404422924260806</v>
      </c>
      <c r="H667" s="3" t="s">
        <v>679</v>
      </c>
      <c r="I667">
        <v>0.57715851233210802</v>
      </c>
      <c r="J667" s="33">
        <f>VLOOKUP(A667,'Refi Universe'!E:F,2,0)</f>
        <v>0.41228937999999998</v>
      </c>
    </row>
    <row r="668" spans="1:10" ht="15" x14ac:dyDescent="0.25">
      <c r="A668" s="14">
        <v>41547</v>
      </c>
      <c r="B668" s="15">
        <v>401</v>
      </c>
      <c r="C668" s="15">
        <v>401</v>
      </c>
      <c r="D668" s="5">
        <v>126</v>
      </c>
      <c r="E668" s="5">
        <v>59</v>
      </c>
      <c r="F668" s="5">
        <v>4.2141549999999999</v>
      </c>
      <c r="G668" s="12">
        <f>VLOOKUP(A668,'[1]all FNCL'!A$2:B$993,2)</f>
        <v>0.404422924260806</v>
      </c>
      <c r="H668" s="3" t="s">
        <v>680</v>
      </c>
      <c r="I668">
        <v>0.57710358293411501</v>
      </c>
      <c r="J668" s="33">
        <f>VLOOKUP(A668,'Refi Universe'!E:F,2,0)</f>
        <v>0.41213623999999999</v>
      </c>
    </row>
    <row r="669" spans="1:10" ht="15" x14ac:dyDescent="0.25">
      <c r="A669" s="14">
        <v>41548</v>
      </c>
      <c r="B669" s="15">
        <v>383</v>
      </c>
      <c r="C669" s="15">
        <v>383</v>
      </c>
      <c r="D669" s="5">
        <v>115</v>
      </c>
      <c r="E669" s="5">
        <v>49</v>
      </c>
      <c r="F669" s="5">
        <v>4.2297310000000001</v>
      </c>
      <c r="G669" s="12">
        <f>VLOOKUP(A669,'[1]all FNCL'!A$2:B$993,2)</f>
        <v>0.39753455676891197</v>
      </c>
      <c r="H669" s="3" t="s">
        <v>681</v>
      </c>
      <c r="I669">
        <v>0.57710358293411501</v>
      </c>
      <c r="J669" s="33">
        <f>VLOOKUP(A669,'Refi Universe'!E:F,2,0)</f>
        <v>0.40735265999999998</v>
      </c>
    </row>
    <row r="670" spans="1:10" ht="15" x14ac:dyDescent="0.25">
      <c r="A670" s="14">
        <v>41549</v>
      </c>
      <c r="B670" s="15">
        <v>388</v>
      </c>
      <c r="C670" s="15">
        <v>388</v>
      </c>
      <c r="D670" s="5">
        <v>119</v>
      </c>
      <c r="E670" s="5">
        <v>52</v>
      </c>
      <c r="F670" s="5">
        <v>4.2219639999999998</v>
      </c>
      <c r="G670" s="12">
        <f>VLOOKUP(A670,'[1]all FNCL'!A$2:B$993,2)</f>
        <v>0.39753455676891197</v>
      </c>
      <c r="H670" s="3" t="s">
        <v>682</v>
      </c>
      <c r="I670">
        <v>0.57710358293411501</v>
      </c>
      <c r="J670" s="33">
        <f>VLOOKUP(A670,'Refi Universe'!E:F,2,0)</f>
        <v>0.41492382</v>
      </c>
    </row>
    <row r="671" spans="1:10" ht="15" x14ac:dyDescent="0.25">
      <c r="A671" s="14">
        <v>41550</v>
      </c>
      <c r="B671" s="15">
        <v>397</v>
      </c>
      <c r="C671" s="15">
        <v>397</v>
      </c>
      <c r="D671" s="5">
        <v>125</v>
      </c>
      <c r="E671" s="5">
        <v>57</v>
      </c>
      <c r="F671" s="5">
        <v>4.2039229999999996</v>
      </c>
      <c r="G671" s="12">
        <f>VLOOKUP(A671,'[1]all FNCL'!A$2:B$993,2)</f>
        <v>0.41492382770581399</v>
      </c>
      <c r="H671" s="3" t="s">
        <v>683</v>
      </c>
      <c r="I671">
        <v>0.62970048301444503</v>
      </c>
      <c r="J671" s="33">
        <f>VLOOKUP(A671,'Refi Universe'!E:F,2,0)</f>
        <v>0.42005614000000002</v>
      </c>
    </row>
    <row r="672" spans="1:10" ht="15" x14ac:dyDescent="0.25">
      <c r="A672" s="14">
        <v>41551</v>
      </c>
      <c r="B672" s="15">
        <v>373</v>
      </c>
      <c r="C672" s="15">
        <v>373</v>
      </c>
      <c r="D672" s="5">
        <v>110</v>
      </c>
      <c r="E672" s="5">
        <v>52</v>
      </c>
      <c r="F672" s="5">
        <v>4.2288449999999997</v>
      </c>
      <c r="G672" s="12">
        <f>VLOOKUP(A672,'[1]all FNCL'!A$2:B$993,2)</f>
        <v>0.41492382770581399</v>
      </c>
      <c r="H672" s="3" t="s">
        <v>684</v>
      </c>
      <c r="I672">
        <v>0.62970048301444503</v>
      </c>
      <c r="J672" s="33">
        <f>VLOOKUP(A672,'Refi Universe'!E:F,2,0)</f>
        <v>0.41384989999999999</v>
      </c>
    </row>
    <row r="673" spans="1:10" ht="15" x14ac:dyDescent="0.25">
      <c r="A673" s="14">
        <v>41554</v>
      </c>
      <c r="B673" s="15">
        <v>345</v>
      </c>
      <c r="C673" s="15">
        <v>345</v>
      </c>
      <c r="D673" s="5">
        <v>99</v>
      </c>
      <c r="E673" s="5">
        <v>41</v>
      </c>
      <c r="F673" s="5">
        <v>4.2323079999999997</v>
      </c>
      <c r="G673" s="12">
        <f>VLOOKUP(A673,'[1]all FNCL'!A$2:B$993,2)</f>
        <v>0.41492382770581399</v>
      </c>
      <c r="H673" s="3" t="s">
        <v>685</v>
      </c>
      <c r="I673">
        <v>0.62970048301444503</v>
      </c>
      <c r="J673" s="33">
        <f>VLOOKUP(A673,'Refi Universe'!E:F,2,0)</f>
        <v>0.41384989999999999</v>
      </c>
    </row>
    <row r="674" spans="1:10" ht="15" x14ac:dyDescent="0.25">
      <c r="A674" s="14">
        <v>41555</v>
      </c>
      <c r="B674" s="15">
        <v>337</v>
      </c>
      <c r="C674" s="15">
        <v>337</v>
      </c>
      <c r="D674" s="5">
        <v>100</v>
      </c>
      <c r="E674" s="5">
        <v>42</v>
      </c>
      <c r="F674" s="5">
        <v>4.244415</v>
      </c>
      <c r="G674" s="12">
        <f>VLOOKUP(A674,'[1]all FNCL'!A$2:B$993,2)</f>
        <v>0.41492382770581399</v>
      </c>
      <c r="H674" s="3" t="s">
        <v>686</v>
      </c>
      <c r="I674">
        <v>0.62970048301444503</v>
      </c>
      <c r="J674" s="33">
        <f>VLOOKUP(A674,'Refi Universe'!E:F,2,0)</f>
        <v>0.40977889000000001</v>
      </c>
    </row>
    <row r="675" spans="1:10" ht="15" x14ac:dyDescent="0.25">
      <c r="A675" s="14">
        <v>41556</v>
      </c>
      <c r="B675" s="15">
        <v>345</v>
      </c>
      <c r="C675" s="15">
        <v>345</v>
      </c>
      <c r="D675" s="5">
        <v>112</v>
      </c>
      <c r="E675" s="5">
        <v>63</v>
      </c>
      <c r="F675" s="5">
        <v>4.2452810000000003</v>
      </c>
      <c r="G675" s="12">
        <f>VLOOKUP(A675,'[1]all FNCL'!A$2:B$993,2)</f>
        <v>0.41492382770581399</v>
      </c>
      <c r="H675" s="3" t="s">
        <v>687</v>
      </c>
      <c r="I675">
        <v>0.62970048301444503</v>
      </c>
      <c r="J675" s="33">
        <f>VLOOKUP(A675,'Refi Universe'!E:F,2,0)</f>
        <v>0.40868282</v>
      </c>
    </row>
    <row r="676" spans="1:10" ht="15" x14ac:dyDescent="0.25">
      <c r="A676" s="14">
        <v>41557</v>
      </c>
      <c r="B676" s="15">
        <v>336</v>
      </c>
      <c r="C676" s="15">
        <v>336</v>
      </c>
      <c r="D676" s="5">
        <v>109</v>
      </c>
      <c r="E676" s="5">
        <v>66</v>
      </c>
      <c r="F676" s="5">
        <v>4.2557</v>
      </c>
      <c r="G676" s="12">
        <f>VLOOKUP(A676,'[1]all FNCL'!A$2:B$993,2)</f>
        <v>0.41233771643317702</v>
      </c>
      <c r="H676" s="3" t="s">
        <v>688</v>
      </c>
      <c r="I676">
        <v>0.65257308969636896</v>
      </c>
      <c r="J676" s="33">
        <f>VLOOKUP(A676,'Refi Universe'!E:F,2,0)</f>
        <v>0.40641392999999998</v>
      </c>
    </row>
    <row r="677" spans="1:10" ht="15" x14ac:dyDescent="0.25">
      <c r="A677" s="14">
        <v>41558</v>
      </c>
      <c r="B677" s="15">
        <v>342</v>
      </c>
      <c r="C677" s="15">
        <v>342</v>
      </c>
      <c r="D677" s="5">
        <v>118</v>
      </c>
      <c r="E677" s="5">
        <v>69</v>
      </c>
      <c r="F677" s="5">
        <v>4.261774</v>
      </c>
      <c r="G677" s="12">
        <f>VLOOKUP(A677,'[1]all FNCL'!A$2:B$993,2)</f>
        <v>0.41233771643317702</v>
      </c>
      <c r="H677" s="3">
        <v>42020</v>
      </c>
      <c r="I677">
        <v>0.65257308969636896</v>
      </c>
      <c r="J677" s="33">
        <f>VLOOKUP(A677,'Refi Universe'!E:F,2,0)</f>
        <v>0.40564359</v>
      </c>
    </row>
    <row r="678" spans="1:10" ht="15" x14ac:dyDescent="0.25">
      <c r="A678" s="14">
        <v>41562</v>
      </c>
      <c r="B678" s="15">
        <v>353</v>
      </c>
      <c r="C678" s="15">
        <v>353</v>
      </c>
      <c r="D678" s="5">
        <v>124</v>
      </c>
      <c r="E678" s="5">
        <v>76</v>
      </c>
      <c r="F678" s="5">
        <v>4.2937139999999996</v>
      </c>
      <c r="G678" s="12">
        <f>VLOOKUP(A678,'[1]all FNCL'!A$2:B$993,2)</f>
        <v>0.41233771643317702</v>
      </c>
      <c r="J678" s="33">
        <f>VLOOKUP(A678,'Refi Universe'!E:F,2,0)</f>
        <v>0.39927588000000003</v>
      </c>
    </row>
    <row r="679" spans="1:10" ht="15" x14ac:dyDescent="0.25">
      <c r="A679" s="14">
        <v>41563</v>
      </c>
      <c r="B679" s="15">
        <v>358</v>
      </c>
      <c r="C679" s="15">
        <v>358</v>
      </c>
      <c r="D679" s="5">
        <v>127</v>
      </c>
      <c r="E679" s="5">
        <v>76</v>
      </c>
      <c r="F679" s="5">
        <v>4.2574639999999997</v>
      </c>
      <c r="G679" s="12">
        <f>VLOOKUP(A679,'[1]all FNCL'!A$2:B$993,2)</f>
        <v>0.41233771643317702</v>
      </c>
      <c r="J679" s="33">
        <f>VLOOKUP(A679,'Refi Universe'!E:F,2,0)</f>
        <v>0.40419688999999998</v>
      </c>
    </row>
    <row r="680" spans="1:10" ht="15" x14ac:dyDescent="0.25">
      <c r="A680" s="14">
        <v>41564</v>
      </c>
      <c r="B680" s="15">
        <v>381</v>
      </c>
      <c r="C680" s="15">
        <v>381</v>
      </c>
      <c r="D680" s="5">
        <v>133</v>
      </c>
      <c r="E680" s="5">
        <v>77</v>
      </c>
      <c r="F680" s="5">
        <v>4.1830020000000001</v>
      </c>
      <c r="G680" s="12">
        <f>VLOOKUP(A680,'[1]all FNCL'!A$2:B$993,2)</f>
        <v>0.40226083862325102</v>
      </c>
      <c r="J680" s="33">
        <f>VLOOKUP(A680,'Refi Universe'!E:F,2,0)</f>
        <v>0.42440229000000002</v>
      </c>
    </row>
    <row r="681" spans="1:10" ht="15" x14ac:dyDescent="0.25">
      <c r="A681" s="14">
        <v>41565</v>
      </c>
      <c r="B681" s="15">
        <v>391</v>
      </c>
      <c r="C681" s="15">
        <v>391</v>
      </c>
      <c r="D681" s="5">
        <v>115</v>
      </c>
      <c r="E681" s="5">
        <v>62</v>
      </c>
      <c r="F681" s="5">
        <v>4.1838540000000002</v>
      </c>
      <c r="G681" s="12">
        <f>VLOOKUP(A681,'[1]all FNCL'!A$2:B$993,2)</f>
        <v>0.40226083862325102</v>
      </c>
      <c r="J681" s="33">
        <f>VLOOKUP(A681,'Refi Universe'!E:F,2,0)</f>
        <v>0.42308899</v>
      </c>
    </row>
    <row r="682" spans="1:10" ht="15" x14ac:dyDescent="0.25">
      <c r="A682" s="14">
        <v>41568</v>
      </c>
      <c r="B682" s="15">
        <v>383</v>
      </c>
      <c r="C682" s="15">
        <v>383</v>
      </c>
      <c r="D682" s="5">
        <v>120</v>
      </c>
      <c r="E682" s="5">
        <v>62</v>
      </c>
      <c r="F682" s="5">
        <v>4.2024850000000002</v>
      </c>
      <c r="G682" s="12">
        <f>VLOOKUP(A682,'[1]all FNCL'!A$2:B$993,2)</f>
        <v>0.40226083862325102</v>
      </c>
      <c r="J682" s="33">
        <f>VLOOKUP(A682,'Refi Universe'!E:F,2,0)</f>
        <v>0.41834654999999998</v>
      </c>
    </row>
    <row r="683" spans="1:10" ht="15" x14ac:dyDescent="0.25">
      <c r="A683" s="14">
        <v>41569</v>
      </c>
      <c r="B683" s="15">
        <v>414</v>
      </c>
      <c r="C683" s="15">
        <v>414</v>
      </c>
      <c r="D683" s="5">
        <v>133</v>
      </c>
      <c r="E683" s="5">
        <v>69</v>
      </c>
      <c r="F683" s="5">
        <v>4.1211840000000004</v>
      </c>
      <c r="G683" s="12">
        <f>VLOOKUP(A683,'[1]all FNCL'!A$2:B$993,2)</f>
        <v>0.40226083862325102</v>
      </c>
      <c r="J683" s="33">
        <f>VLOOKUP(A683,'Refi Universe'!E:F,2,0)</f>
        <v>0.45559037000000002</v>
      </c>
    </row>
    <row r="684" spans="1:10" ht="15" x14ac:dyDescent="0.25">
      <c r="A684" s="14">
        <v>41570</v>
      </c>
      <c r="B684" s="15">
        <v>416</v>
      </c>
      <c r="C684" s="15">
        <v>416</v>
      </c>
      <c r="D684" s="5">
        <v>133</v>
      </c>
      <c r="E684" s="5">
        <v>69</v>
      </c>
      <c r="F684" s="5">
        <v>4.0981740000000002</v>
      </c>
      <c r="G684" s="12">
        <f>VLOOKUP(A684,'[1]all FNCL'!A$2:B$993,2)</f>
        <v>0.40226083862325102</v>
      </c>
      <c r="J684" s="33">
        <f>VLOOKUP(A684,'Refi Universe'!E:F,2,0)</f>
        <v>0.47251102</v>
      </c>
    </row>
    <row r="685" spans="1:10" ht="15" x14ac:dyDescent="0.25">
      <c r="A685" s="14">
        <v>41571</v>
      </c>
      <c r="B685" s="15">
        <v>412</v>
      </c>
      <c r="C685" s="15">
        <v>412</v>
      </c>
      <c r="D685" s="5">
        <v>135</v>
      </c>
      <c r="E685" s="5">
        <v>71</v>
      </c>
      <c r="F685" s="5">
        <v>4.1195120000000003</v>
      </c>
      <c r="G685" s="12">
        <f>VLOOKUP(A685,'[1]all FNCL'!A$2:B$993,2)</f>
        <v>0.44174331286746599</v>
      </c>
      <c r="J685" s="33">
        <f>VLOOKUP(A685,'Refi Universe'!E:F,2,0)</f>
        <v>0.45620115</v>
      </c>
    </row>
    <row r="686" spans="1:10" ht="15" x14ac:dyDescent="0.25">
      <c r="A686" s="14">
        <v>41575</v>
      </c>
      <c r="B686" s="15">
        <v>436</v>
      </c>
      <c r="C686" s="15">
        <v>436</v>
      </c>
      <c r="D686" s="5">
        <v>136</v>
      </c>
      <c r="E686" s="5">
        <v>71</v>
      </c>
      <c r="F686" s="5">
        <v>4.0981959999999997</v>
      </c>
      <c r="G686" s="12">
        <f>VLOOKUP(A686,'[1]all FNCL'!A$2:B$993,2)</f>
        <v>0.44174331286746599</v>
      </c>
      <c r="J686" s="33">
        <f>VLOOKUP(A686,'Refi Universe'!E:F,2,0)</f>
        <v>0.47004080999999998</v>
      </c>
    </row>
    <row r="687" spans="1:10" ht="15" x14ac:dyDescent="0.25">
      <c r="A687" s="14">
        <v>41576</v>
      </c>
      <c r="B687" s="15">
        <v>452</v>
      </c>
      <c r="C687" s="15">
        <v>452</v>
      </c>
      <c r="D687" s="5">
        <v>141</v>
      </c>
      <c r="E687" s="5">
        <v>73</v>
      </c>
      <c r="F687" s="5">
        <v>4.1022959999999999</v>
      </c>
      <c r="G687" s="12">
        <f>VLOOKUP(A687,'[1]all FNCL'!A$2:B$993,2)</f>
        <v>0.44174331286746599</v>
      </c>
      <c r="J687" s="33">
        <f>VLOOKUP(A687,'Refi Universe'!E:F,2,0)</f>
        <v>0.47251102</v>
      </c>
    </row>
    <row r="688" spans="1:10" ht="15" x14ac:dyDescent="0.25">
      <c r="A688" s="14">
        <v>41577</v>
      </c>
      <c r="B688" s="15">
        <v>450</v>
      </c>
      <c r="C688" s="15">
        <v>450</v>
      </c>
      <c r="D688" s="5">
        <v>150</v>
      </c>
      <c r="E688" s="5">
        <v>77</v>
      </c>
      <c r="F688" s="5">
        <v>4.0965629999999997</v>
      </c>
      <c r="G688" s="12">
        <f>VLOOKUP(A688,'[1]all FNCL'!A$2:B$993,2)</f>
        <v>0.44174331286746599</v>
      </c>
      <c r="J688" s="33">
        <f>VLOOKUP(A688,'Refi Universe'!E:F,2,0)</f>
        <v>0.46022834000000001</v>
      </c>
    </row>
    <row r="689" spans="1:10" ht="15" x14ac:dyDescent="0.25">
      <c r="A689" s="14">
        <v>41578</v>
      </c>
      <c r="B689" s="15">
        <v>428</v>
      </c>
      <c r="C689" s="15">
        <v>428</v>
      </c>
      <c r="D689" s="5">
        <v>152</v>
      </c>
      <c r="E689" s="5">
        <v>77</v>
      </c>
      <c r="F689" s="5">
        <v>4.1039149999999998</v>
      </c>
      <c r="G689" s="12">
        <f>VLOOKUP(A689,'[1]all FNCL'!A$2:B$993,2)</f>
        <v>0.46054051472194202</v>
      </c>
      <c r="J689" s="33">
        <f>VLOOKUP(A689,'Refi Universe'!E:F,2,0)</f>
        <v>0.44816967000000002</v>
      </c>
    </row>
    <row r="690" spans="1:10" ht="15" x14ac:dyDescent="0.25">
      <c r="A690" s="14">
        <v>41579</v>
      </c>
      <c r="B690" s="15">
        <v>393</v>
      </c>
      <c r="C690" s="15">
        <v>393</v>
      </c>
      <c r="D690" s="5">
        <v>154</v>
      </c>
      <c r="E690" s="5">
        <v>78</v>
      </c>
      <c r="F690" s="5">
        <v>4.1210760000000004</v>
      </c>
      <c r="G690" s="12">
        <f>VLOOKUP(A690,'[1]all FNCL'!A$2:B$993,2)</f>
        <v>0.45992799651573901</v>
      </c>
      <c r="J690" s="33">
        <f>VLOOKUP(A690,'Refi Universe'!E:F,2,0)</f>
        <v>0.41875307000000001</v>
      </c>
    </row>
    <row r="691" spans="1:10" ht="15" x14ac:dyDescent="0.25">
      <c r="A691" s="14">
        <v>41582</v>
      </c>
      <c r="B691" s="15">
        <v>391</v>
      </c>
      <c r="C691" s="15">
        <v>391</v>
      </c>
      <c r="D691" s="5">
        <v>145</v>
      </c>
      <c r="E691" s="5">
        <v>75</v>
      </c>
      <c r="F691" s="5">
        <v>4.1833710000000002</v>
      </c>
      <c r="G691" s="12">
        <f>VLOOKUP(A691,'[1]all FNCL'!A$2:B$993,2)</f>
        <v>0.45992799651573901</v>
      </c>
      <c r="J691" s="33">
        <f>VLOOKUP(A691,'Refi Universe'!E:F,2,0)</f>
        <v>0.42327273999999998</v>
      </c>
    </row>
    <row r="692" spans="1:10" ht="15" x14ac:dyDescent="0.25">
      <c r="A692" s="14">
        <v>41583</v>
      </c>
      <c r="B692" s="15">
        <v>360</v>
      </c>
      <c r="C692" s="15">
        <v>360</v>
      </c>
      <c r="D692" s="5">
        <v>128</v>
      </c>
      <c r="E692" s="5">
        <v>64</v>
      </c>
      <c r="F692" s="5">
        <v>4.1697689999999996</v>
      </c>
      <c r="G692" s="12">
        <f>VLOOKUP(A692,'[1]all FNCL'!A$2:B$993,2)</f>
        <v>0.45992799651573901</v>
      </c>
      <c r="J692" s="33">
        <f>VLOOKUP(A692,'Refi Universe'!E:F,2,0)</f>
        <v>0.40444497000000001</v>
      </c>
    </row>
    <row r="693" spans="1:10" ht="15" x14ac:dyDescent="0.25">
      <c r="A693" s="14">
        <v>41584</v>
      </c>
      <c r="B693" s="15">
        <v>351</v>
      </c>
      <c r="C693" s="15">
        <v>351</v>
      </c>
      <c r="D693" s="5">
        <v>107</v>
      </c>
      <c r="E693" s="5">
        <v>57</v>
      </c>
      <c r="F693" s="5">
        <v>4.2282770000000003</v>
      </c>
      <c r="G693" s="12">
        <f>VLOOKUP(A693,'[1]all FNCL'!A$2:B$993,2)</f>
        <v>0.45992799651573901</v>
      </c>
      <c r="J693" s="33">
        <f>VLOOKUP(A693,'Refi Universe'!E:F,2,0)</f>
        <v>0.41274392999999998</v>
      </c>
    </row>
    <row r="694" spans="1:10" ht="15" x14ac:dyDescent="0.25">
      <c r="A694" s="14">
        <v>41585</v>
      </c>
      <c r="B694" s="15">
        <v>334</v>
      </c>
      <c r="C694" s="15">
        <v>334</v>
      </c>
      <c r="D694" s="5">
        <v>108</v>
      </c>
      <c r="E694" s="5">
        <v>58</v>
      </c>
      <c r="F694" s="5">
        <v>4.2163440000000003</v>
      </c>
      <c r="G694" s="12">
        <f>VLOOKUP(A694,'[1]all FNCL'!A$2:B$993,2)</f>
        <v>0.42914615919681298</v>
      </c>
      <c r="J694" s="33">
        <f>VLOOKUP(A694,'Refi Universe'!E:F,2,0)</f>
        <v>0.41435673000000001</v>
      </c>
    </row>
    <row r="695" spans="1:10" ht="15" x14ac:dyDescent="0.25">
      <c r="A695" s="14">
        <v>41586</v>
      </c>
      <c r="B695" s="15">
        <v>293</v>
      </c>
      <c r="C695" s="15">
        <v>293</v>
      </c>
      <c r="D695" s="5">
        <v>101</v>
      </c>
      <c r="E695" s="5">
        <v>56</v>
      </c>
      <c r="F695" s="5">
        <v>4.2112569999999998</v>
      </c>
      <c r="G695" s="12">
        <f>VLOOKUP(A695,'[1]all FNCL'!A$2:B$993,2)</f>
        <v>0.42914615919681298</v>
      </c>
      <c r="J695" s="33">
        <f>VLOOKUP(A695,'Refi Universe'!E:F,2,0)</f>
        <v>0.38823085000000002</v>
      </c>
    </row>
    <row r="696" spans="1:10" ht="15" x14ac:dyDescent="0.25">
      <c r="A696" s="14">
        <v>41590</v>
      </c>
      <c r="B696" s="15">
        <v>297</v>
      </c>
      <c r="C696" s="15">
        <v>297</v>
      </c>
      <c r="D696" s="5">
        <v>91</v>
      </c>
      <c r="E696" s="5">
        <v>51</v>
      </c>
      <c r="F696" s="5">
        <v>4.3172030000000001</v>
      </c>
      <c r="G696" s="12">
        <f>VLOOKUP(A696,'[1]all FNCL'!A$2:B$993,2)</f>
        <v>0.42914615919681298</v>
      </c>
      <c r="J696" s="33">
        <f>VLOOKUP(A696,'Refi Universe'!E:F,2,0)</f>
        <v>0.38747167999999999</v>
      </c>
    </row>
    <row r="697" spans="1:10" ht="15" x14ac:dyDescent="0.25">
      <c r="A697" s="14">
        <v>41591</v>
      </c>
      <c r="B697" s="15">
        <v>331</v>
      </c>
      <c r="C697" s="15">
        <v>331</v>
      </c>
      <c r="D697" s="5">
        <v>88</v>
      </c>
      <c r="E697" s="5">
        <v>47</v>
      </c>
      <c r="F697" s="5">
        <v>4.3251179999999998</v>
      </c>
      <c r="G697" s="12">
        <f>VLOOKUP(A697,'[1]all FNCL'!A$2:B$993,2)</f>
        <v>0.42914615919681298</v>
      </c>
      <c r="J697" s="33">
        <f>VLOOKUP(A697,'Refi Universe'!E:F,2,0)</f>
        <v>0.38690331</v>
      </c>
    </row>
    <row r="698" spans="1:10" ht="15" x14ac:dyDescent="0.25">
      <c r="A698" s="14">
        <v>41592</v>
      </c>
      <c r="B698" s="15">
        <v>338</v>
      </c>
      <c r="C698" s="15">
        <v>338</v>
      </c>
      <c r="D698" s="5">
        <v>106</v>
      </c>
      <c r="E698" s="5">
        <v>54</v>
      </c>
      <c r="F698" s="5">
        <v>4.2918529999999997</v>
      </c>
      <c r="G698" s="12">
        <f>VLOOKUP(A698,'[1]all FNCL'!A$2:B$993,2)</f>
        <v>0.42914615919681298</v>
      </c>
      <c r="J698" s="33">
        <f>VLOOKUP(A698,'Refi Universe'!E:F,2,0)</f>
        <v>0.39450030000000003</v>
      </c>
    </row>
    <row r="699" spans="1:10" ht="15" x14ac:dyDescent="0.25">
      <c r="A699" s="14">
        <v>41593</v>
      </c>
      <c r="B699" s="15">
        <v>334</v>
      </c>
      <c r="C699" s="15">
        <v>334</v>
      </c>
      <c r="D699" s="5">
        <v>109</v>
      </c>
      <c r="E699" s="5">
        <v>62</v>
      </c>
      <c r="F699" s="5">
        <v>4.2463699999999998</v>
      </c>
      <c r="G699" s="12">
        <f>VLOOKUP(A699,'[1]all FNCL'!A$2:B$993,2)</f>
        <v>0.38756459325455</v>
      </c>
      <c r="J699" s="33">
        <f>VLOOKUP(A699,'Refi Universe'!E:F,2,0)</f>
        <v>0.39599199000000002</v>
      </c>
    </row>
    <row r="700" spans="1:10" ht="15" x14ac:dyDescent="0.25">
      <c r="A700" s="14">
        <v>41596</v>
      </c>
      <c r="B700" s="15">
        <v>336</v>
      </c>
      <c r="C700" s="15">
        <v>336</v>
      </c>
      <c r="D700" s="5">
        <v>108</v>
      </c>
      <c r="E700" s="5">
        <v>59</v>
      </c>
      <c r="F700" s="5">
        <v>4.2412400000000003</v>
      </c>
      <c r="G700" s="12">
        <f>VLOOKUP(A700,'[1]all FNCL'!A$2:B$993,2)</f>
        <v>0.38756459325455</v>
      </c>
      <c r="J700" s="33">
        <f>VLOOKUP(A700,'Refi Universe'!E:F,2,0)</f>
        <v>0.40298490999999997</v>
      </c>
    </row>
    <row r="701" spans="1:10" ht="15" x14ac:dyDescent="0.25">
      <c r="A701" s="14">
        <v>41597</v>
      </c>
      <c r="B701" s="15">
        <v>317</v>
      </c>
      <c r="C701" s="15">
        <v>317</v>
      </c>
      <c r="D701" s="5">
        <v>104</v>
      </c>
      <c r="E701" s="5">
        <v>54</v>
      </c>
      <c r="F701" s="5">
        <v>4.2098779999999998</v>
      </c>
      <c r="G701" s="12">
        <f>VLOOKUP(A701,'[1]all FNCL'!A$2:B$993,2)</f>
        <v>0.38756459325455</v>
      </c>
      <c r="J701" s="33">
        <f>VLOOKUP(A701,'Refi Universe'!E:F,2,0)</f>
        <v>0.39630022999999998</v>
      </c>
    </row>
    <row r="702" spans="1:10" ht="15" x14ac:dyDescent="0.25">
      <c r="A702" s="14">
        <v>41598</v>
      </c>
      <c r="B702" s="15">
        <v>295</v>
      </c>
      <c r="C702" s="15">
        <v>295</v>
      </c>
      <c r="D702" s="5">
        <v>98</v>
      </c>
      <c r="E702" s="5">
        <v>52</v>
      </c>
      <c r="F702" s="5">
        <v>4.2386590000000002</v>
      </c>
      <c r="G702" s="12">
        <f>VLOOKUP(A702,'[1]all FNCL'!A$2:B$993,2)</f>
        <v>0.38756459325455</v>
      </c>
      <c r="J702" s="33">
        <f>VLOOKUP(A702,'Refi Universe'!E:F,2,0)</f>
        <v>0.39806186999999998</v>
      </c>
    </row>
    <row r="703" spans="1:10" ht="15" x14ac:dyDescent="0.25">
      <c r="A703" s="14">
        <v>41599</v>
      </c>
      <c r="B703" s="15">
        <v>322</v>
      </c>
      <c r="C703" s="15">
        <v>322</v>
      </c>
      <c r="D703" s="5">
        <v>90</v>
      </c>
      <c r="E703" s="5">
        <v>49</v>
      </c>
      <c r="F703" s="5">
        <v>4.2943160000000002</v>
      </c>
      <c r="G703" s="12">
        <f>VLOOKUP(A703,'[1]all FNCL'!A$2:B$993,2)</f>
        <v>0.41376095810168201</v>
      </c>
      <c r="J703" s="33">
        <f>VLOOKUP(A703,'Refi Universe'!E:F,2,0)</f>
        <v>0.39857682999999999</v>
      </c>
    </row>
    <row r="704" spans="1:10" ht="15" x14ac:dyDescent="0.25">
      <c r="A704" s="14">
        <v>41600</v>
      </c>
      <c r="B704" s="15">
        <v>335</v>
      </c>
      <c r="C704" s="15">
        <v>335</v>
      </c>
      <c r="D704" s="5">
        <v>95</v>
      </c>
      <c r="E704" s="5">
        <v>55</v>
      </c>
      <c r="F704" s="5">
        <v>4.2925800000000001</v>
      </c>
      <c r="G704" s="12">
        <f>VLOOKUP(A704,'[1]all FNCL'!A$2:B$993,2)</f>
        <v>0.41376095810168201</v>
      </c>
      <c r="J704" s="33">
        <f>VLOOKUP(A704,'Refi Universe'!E:F,2,0)</f>
        <v>0.40216698000000001</v>
      </c>
    </row>
    <row r="705" spans="1:10" ht="15" x14ac:dyDescent="0.25">
      <c r="A705" s="14">
        <v>41603</v>
      </c>
      <c r="B705" s="15">
        <v>327</v>
      </c>
      <c r="C705" s="15">
        <v>327</v>
      </c>
      <c r="D705" s="5">
        <v>93</v>
      </c>
      <c r="E705" s="5">
        <v>54</v>
      </c>
      <c r="F705" s="5">
        <v>4.2839660000000004</v>
      </c>
      <c r="G705" s="12">
        <f>VLOOKUP(A705,'[1]all FNCL'!A$2:B$993,2)</f>
        <v>0.41376095810168201</v>
      </c>
      <c r="J705" s="33">
        <f>VLOOKUP(A705,'Refi Universe'!E:F,2,0)</f>
        <v>0.40159792999999999</v>
      </c>
    </row>
    <row r="706" spans="1:10" ht="15" x14ac:dyDescent="0.25">
      <c r="A706" s="14">
        <v>41604</v>
      </c>
      <c r="B706" s="15">
        <v>334</v>
      </c>
      <c r="C706" s="15">
        <v>334</v>
      </c>
      <c r="D706" s="5">
        <v>89</v>
      </c>
      <c r="E706" s="5">
        <v>49</v>
      </c>
      <c r="F706" s="5">
        <v>4.285679</v>
      </c>
      <c r="G706" s="12">
        <f>VLOOKUP(A706,'[1]all FNCL'!A$2:B$993,2)</f>
        <v>0.41376095810168201</v>
      </c>
      <c r="J706" s="33">
        <f>VLOOKUP(A706,'Refi Universe'!E:F,2,0)</f>
        <v>0.40444497000000001</v>
      </c>
    </row>
    <row r="707" spans="1:10" ht="15" x14ac:dyDescent="0.25">
      <c r="A707" s="14">
        <v>41605</v>
      </c>
      <c r="B707" s="15">
        <v>320</v>
      </c>
      <c r="C707" s="15">
        <v>320</v>
      </c>
      <c r="D707" s="5">
        <v>93</v>
      </c>
      <c r="E707" s="5">
        <v>52</v>
      </c>
      <c r="F707" s="5">
        <v>4.2720250000000002</v>
      </c>
      <c r="G707" s="12">
        <f>VLOOKUP(A707,'[1]all FNCL'!A$2:B$993,2)</f>
        <v>0.39685395177288302</v>
      </c>
      <c r="J707" s="33">
        <f>VLOOKUP(A707,'Refi Universe'!E:F,2,0)</f>
        <v>0.39288242000000001</v>
      </c>
    </row>
    <row r="708" spans="1:10" ht="15" x14ac:dyDescent="0.25">
      <c r="A708" s="14">
        <v>41607</v>
      </c>
      <c r="B708" s="15">
        <v>324</v>
      </c>
      <c r="C708" s="15">
        <v>324</v>
      </c>
      <c r="D708" s="5">
        <v>92</v>
      </c>
      <c r="E708" s="5">
        <v>53</v>
      </c>
      <c r="F708" s="5">
        <v>4.3134269999999999</v>
      </c>
      <c r="G708" s="12">
        <f>VLOOKUP(A708,'[1]all FNCL'!A$2:B$993,2)</f>
        <v>0.39685395177288302</v>
      </c>
      <c r="J708" s="33">
        <f>VLOOKUP(A708,'Refi Universe'!E:F,2,0)</f>
        <v>0.39248038000000002</v>
      </c>
    </row>
    <row r="709" spans="1:10" ht="15" x14ac:dyDescent="0.25">
      <c r="A709" s="14">
        <v>41610</v>
      </c>
      <c r="B709" s="15">
        <v>297</v>
      </c>
      <c r="C709" s="15">
        <v>297</v>
      </c>
      <c r="D709" s="5">
        <v>90</v>
      </c>
      <c r="E709" s="5">
        <v>51</v>
      </c>
      <c r="F709" s="5">
        <v>4.3143000000000002</v>
      </c>
      <c r="G709" s="12">
        <f>VLOOKUP(A709,'[1]all FNCL'!A$2:B$993,2)</f>
        <v>0.39163572008716802</v>
      </c>
      <c r="J709" s="33">
        <f>VLOOKUP(A709,'Refi Universe'!E:F,2,0)</f>
        <v>0.37676027000000001</v>
      </c>
    </row>
    <row r="710" spans="1:10" ht="15" x14ac:dyDescent="0.25">
      <c r="A710" s="14">
        <v>41611</v>
      </c>
      <c r="B710" s="15">
        <v>300</v>
      </c>
      <c r="C710" s="15">
        <v>300</v>
      </c>
      <c r="D710" s="5">
        <v>89</v>
      </c>
      <c r="E710" s="5">
        <v>52</v>
      </c>
      <c r="F710" s="5">
        <v>4.3746660000000004</v>
      </c>
      <c r="G710" s="12">
        <f>VLOOKUP(A710,'[1]all FNCL'!A$2:B$993,2)</f>
        <v>0.39163572008716802</v>
      </c>
      <c r="J710" s="33">
        <f>VLOOKUP(A710,'Refi Universe'!E:F,2,0)</f>
        <v>0.37704095999999998</v>
      </c>
    </row>
    <row r="711" spans="1:10" ht="15" x14ac:dyDescent="0.25">
      <c r="A711" s="14">
        <v>41612</v>
      </c>
      <c r="B711" s="15">
        <v>281</v>
      </c>
      <c r="C711" s="15">
        <v>281</v>
      </c>
      <c r="D711" s="5">
        <v>87</v>
      </c>
      <c r="E711" s="5">
        <v>52</v>
      </c>
      <c r="F711" s="5">
        <v>4.375559</v>
      </c>
      <c r="G711" s="12">
        <f>VLOOKUP(A711,'[1]all FNCL'!A$2:B$993,2)</f>
        <v>0.39163572008716802</v>
      </c>
      <c r="J711" s="33">
        <f>VLOOKUP(A711,'Refi Universe'!E:F,2,0)</f>
        <v>0.34044994000000001</v>
      </c>
    </row>
    <row r="712" spans="1:10" ht="15" x14ac:dyDescent="0.25">
      <c r="A712" s="14">
        <v>41613</v>
      </c>
      <c r="B712" s="15">
        <v>282</v>
      </c>
      <c r="C712" s="15">
        <v>282</v>
      </c>
      <c r="D712" s="5">
        <v>90</v>
      </c>
      <c r="E712" s="5">
        <v>54</v>
      </c>
      <c r="F712" s="5">
        <v>4.4251339999999999</v>
      </c>
      <c r="G712" s="12">
        <f>VLOOKUP(A712,'[1]all FNCL'!A$2:B$993,2)</f>
        <v>0.347358703685412</v>
      </c>
      <c r="J712" s="33">
        <f>VLOOKUP(A712,'Refi Universe'!E:F,2,0)</f>
        <v>0.32814632999999999</v>
      </c>
    </row>
    <row r="713" spans="1:10" ht="15" x14ac:dyDescent="0.25">
      <c r="A713" s="14">
        <v>41614</v>
      </c>
      <c r="B713" s="15">
        <v>273</v>
      </c>
      <c r="C713" s="15">
        <v>273</v>
      </c>
      <c r="D713" s="5">
        <v>92</v>
      </c>
      <c r="E713" s="5">
        <v>56</v>
      </c>
      <c r="F713" s="5">
        <v>4.4378849999999996</v>
      </c>
      <c r="G713" s="12">
        <f>VLOOKUP(A713,'[1]all FNCL'!A$2:B$993,2)</f>
        <v>0.347358703685412</v>
      </c>
      <c r="J713" s="33">
        <f>VLOOKUP(A713,'Refi Universe'!E:F,2,0)</f>
        <v>0.34216846000000001</v>
      </c>
    </row>
    <row r="714" spans="1:10" ht="15" x14ac:dyDescent="0.25">
      <c r="A714" s="14">
        <v>41617</v>
      </c>
      <c r="B714" s="15">
        <v>278</v>
      </c>
      <c r="C714" s="15">
        <v>278</v>
      </c>
      <c r="D714" s="5">
        <v>86</v>
      </c>
      <c r="E714" s="5">
        <v>48</v>
      </c>
      <c r="F714" s="5">
        <v>4.4224129999999997</v>
      </c>
      <c r="G714" s="12">
        <f>VLOOKUP(A714,'[1]all FNCL'!A$2:B$993,2)</f>
        <v>0.347358703685412</v>
      </c>
      <c r="J714" s="33">
        <f>VLOOKUP(A714,'Refi Universe'!E:F,2,0)</f>
        <v>0.36453579000000003</v>
      </c>
    </row>
    <row r="715" spans="1:10" ht="15" x14ac:dyDescent="0.25">
      <c r="A715" s="14">
        <v>41618</v>
      </c>
      <c r="B715" s="15">
        <v>264</v>
      </c>
      <c r="C715" s="15">
        <v>264</v>
      </c>
      <c r="D715" s="5">
        <v>87</v>
      </c>
      <c r="E715" s="5">
        <v>48</v>
      </c>
      <c r="F715" s="5">
        <v>4.3962399999999997</v>
      </c>
      <c r="G715" s="12">
        <f>VLOOKUP(A715,'[1]all FNCL'!A$2:B$993,2)</f>
        <v>0.347358703685412</v>
      </c>
      <c r="J715" s="33">
        <f>VLOOKUP(A715,'Refi Universe'!E:F,2,0)</f>
        <v>0.37537373000000002</v>
      </c>
    </row>
    <row r="716" spans="1:10" ht="15" x14ac:dyDescent="0.25">
      <c r="A716" s="14">
        <v>41619</v>
      </c>
      <c r="B716" s="15">
        <v>261</v>
      </c>
      <c r="C716" s="15">
        <v>261</v>
      </c>
      <c r="D716" s="5">
        <v>73</v>
      </c>
      <c r="E716" s="5">
        <v>38</v>
      </c>
      <c r="F716" s="5">
        <v>4.3596269999999997</v>
      </c>
      <c r="G716" s="12">
        <f>VLOOKUP(A716,'[1]all FNCL'!A$2:B$993,2)</f>
        <v>0.347358703685412</v>
      </c>
      <c r="J716" s="33">
        <f>VLOOKUP(A716,'Refi Universe'!E:F,2,0)</f>
        <v>0.37034011999999999</v>
      </c>
    </row>
    <row r="717" spans="1:10" ht="15" x14ac:dyDescent="0.25">
      <c r="A717" s="14">
        <v>41620</v>
      </c>
      <c r="B717" s="15">
        <v>242</v>
      </c>
      <c r="C717" s="15">
        <v>242</v>
      </c>
      <c r="D717" s="5">
        <v>78</v>
      </c>
      <c r="E717" s="5">
        <v>43</v>
      </c>
      <c r="F717" s="5">
        <v>4.4034370000000003</v>
      </c>
      <c r="G717" s="12">
        <f>VLOOKUP(A717,'[1]all FNCL'!A$2:B$993,2)</f>
        <v>0.37050298104882501</v>
      </c>
      <c r="J717" s="33">
        <f>VLOOKUP(A717,'Refi Universe'!E:F,2,0)</f>
        <v>0.35777890000000001</v>
      </c>
    </row>
    <row r="718" spans="1:10" ht="15" x14ac:dyDescent="0.25">
      <c r="A718" s="14">
        <v>41621</v>
      </c>
      <c r="B718" s="15">
        <v>242</v>
      </c>
      <c r="C718" s="15">
        <v>242</v>
      </c>
      <c r="D718" s="5">
        <v>76</v>
      </c>
      <c r="E718" s="5">
        <v>40</v>
      </c>
      <c r="F718" s="5">
        <v>4.42964</v>
      </c>
      <c r="G718" s="12">
        <f>VLOOKUP(A718,'[1]all FNCL'!A$2:B$993,2)</f>
        <v>0.37050298104882501</v>
      </c>
      <c r="J718" s="33">
        <f>VLOOKUP(A718,'Refi Universe'!E:F,2,0)</f>
        <v>0.36453579000000003</v>
      </c>
    </row>
    <row r="719" spans="1:10" ht="15" x14ac:dyDescent="0.25">
      <c r="A719" s="14">
        <v>41624</v>
      </c>
      <c r="B719" s="15">
        <v>243</v>
      </c>
      <c r="C719" s="15">
        <v>243</v>
      </c>
      <c r="D719" s="5">
        <v>72</v>
      </c>
      <c r="E719" s="5">
        <v>37</v>
      </c>
      <c r="F719" s="5">
        <v>4.4151590000000001</v>
      </c>
      <c r="G719" s="12">
        <f>VLOOKUP(A719,'[1]all FNCL'!A$2:B$993,2)</f>
        <v>0.37050298104882501</v>
      </c>
      <c r="J719" s="33">
        <f>VLOOKUP(A719,'Refi Universe'!E:F,2,0)</f>
        <v>0.36327559999999998</v>
      </c>
    </row>
    <row r="720" spans="1:10" ht="15" x14ac:dyDescent="0.25">
      <c r="A720" s="14">
        <v>41625</v>
      </c>
      <c r="B720" s="15">
        <v>255</v>
      </c>
      <c r="C720" s="15">
        <v>255</v>
      </c>
      <c r="D720" s="5">
        <v>74</v>
      </c>
      <c r="E720" s="5">
        <v>38</v>
      </c>
      <c r="F720" s="5">
        <v>4.416963</v>
      </c>
      <c r="G720" s="12">
        <f>VLOOKUP(A720,'[1]all FNCL'!A$2:B$993,2)</f>
        <v>0.37050298104882501</v>
      </c>
      <c r="J720" s="33">
        <f>VLOOKUP(A720,'Refi Universe'!E:F,2,0)</f>
        <v>0.37416398000000001</v>
      </c>
    </row>
    <row r="721" spans="1:10" ht="15" x14ac:dyDescent="0.25">
      <c r="A721" s="14">
        <v>41626</v>
      </c>
      <c r="B721" s="15">
        <v>241</v>
      </c>
      <c r="C721" s="15">
        <v>241</v>
      </c>
      <c r="D721" s="5">
        <v>74</v>
      </c>
      <c r="E721" s="5">
        <v>37</v>
      </c>
      <c r="F721" s="5">
        <v>4.3881860000000001</v>
      </c>
      <c r="G721" s="12">
        <f>VLOOKUP(A721,'[1]all FNCL'!A$2:B$993,2)</f>
        <v>0.37050298104882501</v>
      </c>
      <c r="J721" s="33">
        <f>VLOOKUP(A721,'Refi Universe'!E:F,2,0)</f>
        <v>0.32708043999999997</v>
      </c>
    </row>
    <row r="722" spans="1:10" ht="15" x14ac:dyDescent="0.25">
      <c r="A722" s="14">
        <v>41627</v>
      </c>
      <c r="B722" s="15">
        <v>211</v>
      </c>
      <c r="C722" s="15">
        <v>211</v>
      </c>
      <c r="D722" s="5">
        <v>76</v>
      </c>
      <c r="E722" s="5">
        <v>41</v>
      </c>
      <c r="F722" s="5">
        <v>4.4296189999999998</v>
      </c>
      <c r="G722" s="12">
        <f>VLOOKUP(A722,'[1]all FNCL'!A$2:B$993,2)</f>
        <v>0.33802122298332299</v>
      </c>
      <c r="J722" s="33">
        <f>VLOOKUP(A722,'Refi Universe'!E:F,2,0)</f>
        <v>0.27857630999999999</v>
      </c>
    </row>
    <row r="723" spans="1:10" ht="15" x14ac:dyDescent="0.25">
      <c r="A723" s="14">
        <v>41628</v>
      </c>
      <c r="B723" s="15">
        <v>204</v>
      </c>
      <c r="C723" s="15">
        <v>204</v>
      </c>
      <c r="D723" s="5">
        <v>67</v>
      </c>
      <c r="E723" s="5">
        <v>41</v>
      </c>
      <c r="F723" s="5">
        <v>4.464213</v>
      </c>
      <c r="G723" s="12">
        <f>VLOOKUP(A723,'[1]all FNCL'!A$2:B$993,2)</f>
        <v>0.33802122298332299</v>
      </c>
      <c r="J723" s="33">
        <f>VLOOKUP(A723,'Refi Universe'!E:F,2,0)</f>
        <v>0.34672830999999998</v>
      </c>
    </row>
    <row r="724" spans="1:10" ht="15" x14ac:dyDescent="0.25">
      <c r="A724" s="14">
        <v>41631</v>
      </c>
      <c r="B724" s="15">
        <v>236</v>
      </c>
      <c r="C724" s="15">
        <v>236</v>
      </c>
      <c r="D724" s="5">
        <v>47</v>
      </c>
      <c r="E724" s="5">
        <v>20</v>
      </c>
      <c r="F724" s="5">
        <v>4.412471</v>
      </c>
      <c r="G724" s="12">
        <f>VLOOKUP(A724,'[1]all FNCL'!A$2:B$993,2)</f>
        <v>0.33802122298332299</v>
      </c>
      <c r="J724" s="33">
        <f>VLOOKUP(A724,'Refi Universe'!E:F,2,0)</f>
        <v>0.32708043999999997</v>
      </c>
    </row>
    <row r="725" spans="1:10" ht="15" x14ac:dyDescent="0.25">
      <c r="A725" s="14">
        <v>41632</v>
      </c>
      <c r="B725" s="15">
        <v>238</v>
      </c>
      <c r="C725" s="15">
        <v>238</v>
      </c>
      <c r="D725" s="5">
        <v>66</v>
      </c>
      <c r="E725" s="5">
        <v>40</v>
      </c>
      <c r="F725" s="5">
        <v>4.4260000000000002</v>
      </c>
      <c r="G725" s="12">
        <f>VLOOKUP(A725,'[1]all FNCL'!A$2:B$993,2)</f>
        <v>0.33802122298332299</v>
      </c>
      <c r="J725" s="33">
        <f>VLOOKUP(A725,'Refi Universe'!E:F,2,0)</f>
        <v>0.28242096999999999</v>
      </c>
    </row>
    <row r="726" spans="1:10" ht="15" x14ac:dyDescent="0.25">
      <c r="A726" s="14">
        <v>41634</v>
      </c>
      <c r="B726" s="15">
        <v>236</v>
      </c>
      <c r="C726" s="15">
        <v>236</v>
      </c>
      <c r="D726" s="5">
        <v>72</v>
      </c>
      <c r="E726" s="5">
        <v>42</v>
      </c>
      <c r="F726" s="5">
        <v>4.4881000000000002</v>
      </c>
      <c r="G726" s="12">
        <f>VLOOKUP(A726,'[1]all FNCL'!A$2:B$993,2)</f>
        <v>0.32957871451229898</v>
      </c>
      <c r="J726" s="33">
        <f>VLOOKUP(A726,'Refi Universe'!E:F,2,0)</f>
        <v>0.28170294000000001</v>
      </c>
    </row>
    <row r="727" spans="1:10" ht="15" x14ac:dyDescent="0.25">
      <c r="A727" s="14">
        <v>41635</v>
      </c>
      <c r="B727" s="15">
        <v>237</v>
      </c>
      <c r="C727" s="15">
        <v>237</v>
      </c>
      <c r="D727" s="5">
        <v>68</v>
      </c>
      <c r="E727" s="5">
        <v>38</v>
      </c>
      <c r="F727" s="5">
        <v>4.4890230000000004</v>
      </c>
      <c r="G727" s="12">
        <f>VLOOKUP(A727,'[1]all FNCL'!A$2:B$993,2)</f>
        <v>0.32957871451229898</v>
      </c>
      <c r="J727" s="33">
        <f>VLOOKUP(A727,'Refi Universe'!E:F,2,0)</f>
        <v>0.28295542000000001</v>
      </c>
    </row>
    <row r="728" spans="1:10" ht="15" x14ac:dyDescent="0.25">
      <c r="A728" s="14">
        <v>41638</v>
      </c>
      <c r="B728" s="15">
        <v>238</v>
      </c>
      <c r="C728" s="15">
        <v>238</v>
      </c>
      <c r="D728" s="5">
        <v>69</v>
      </c>
      <c r="E728" s="5">
        <v>38</v>
      </c>
      <c r="F728" s="5">
        <v>4.4881000000000002</v>
      </c>
      <c r="G728" s="12">
        <f>VLOOKUP(A728,'[1]all FNCL'!A$2:B$993,2)</f>
        <v>0.32957871451229898</v>
      </c>
      <c r="J728" s="33">
        <f>VLOOKUP(A728,'Refi Universe'!E:F,2,0)</f>
        <v>0.32171274</v>
      </c>
    </row>
    <row r="729" spans="1:10" ht="15" x14ac:dyDescent="0.25">
      <c r="A729" s="14">
        <v>41639</v>
      </c>
      <c r="B729" s="15">
        <v>236</v>
      </c>
      <c r="C729" s="15">
        <v>236</v>
      </c>
      <c r="D729" s="5">
        <v>65</v>
      </c>
      <c r="E729" s="5">
        <v>34</v>
      </c>
      <c r="F729" s="5">
        <v>4.4578329999999999</v>
      </c>
      <c r="G729" s="12">
        <f>VLOOKUP(A729,'[1]all FNCL'!A$2:B$993,2)</f>
        <v>0.32957871451229898</v>
      </c>
      <c r="J729" s="33">
        <f>VLOOKUP(A729,'Refi Universe'!E:F,2,0)</f>
        <v>0.26847971999999998</v>
      </c>
    </row>
    <row r="730" spans="1:10" ht="15" x14ac:dyDescent="0.25">
      <c r="A730" s="14">
        <v>41641</v>
      </c>
      <c r="B730" s="15">
        <v>244</v>
      </c>
      <c r="C730" s="15">
        <v>244</v>
      </c>
      <c r="D730" s="5">
        <v>63</v>
      </c>
      <c r="E730" s="5">
        <v>32</v>
      </c>
      <c r="F730" s="5">
        <v>4.4687619999999999</v>
      </c>
      <c r="G730" s="12">
        <f>VLOOKUP(A730,'[1]all FNCL'!A$2:B$993,2)</f>
        <v>0.273381996337976</v>
      </c>
      <c r="J730" s="33">
        <f>VLOOKUP(A730,'Refi Universe'!E:F,2,0)</f>
        <v>0.26125130000000002</v>
      </c>
    </row>
    <row r="731" spans="1:10" ht="15" x14ac:dyDescent="0.25">
      <c r="A731" s="14">
        <v>41642</v>
      </c>
      <c r="B731" s="15">
        <v>235</v>
      </c>
      <c r="C731" s="15">
        <v>235</v>
      </c>
      <c r="D731" s="5">
        <v>66</v>
      </c>
      <c r="E731" s="5">
        <v>32</v>
      </c>
      <c r="F731" s="5">
        <v>4.4811199999999998</v>
      </c>
      <c r="G731" s="12">
        <f>VLOOKUP(A731,'[1]all FNCL'!A$2:B$993,2)</f>
        <v>0.273381996337976</v>
      </c>
      <c r="J731" s="33">
        <f>VLOOKUP(A731,'Refi Universe'!E:F,2,0)</f>
        <v>0.25966006000000003</v>
      </c>
    </row>
    <row r="732" spans="1:10" ht="15" x14ac:dyDescent="0.25">
      <c r="A732" s="14">
        <v>41645</v>
      </c>
      <c r="B732" s="15">
        <v>248</v>
      </c>
      <c r="C732" s="15">
        <v>248</v>
      </c>
      <c r="D732" s="5">
        <v>64</v>
      </c>
      <c r="E732" s="5">
        <v>34</v>
      </c>
      <c r="F732" s="5">
        <v>4.4885010000000003</v>
      </c>
      <c r="G732" s="12">
        <f>VLOOKUP(A732,'[1]all FNCL'!A$2:B$993,2)</f>
        <v>0.273381996337976</v>
      </c>
      <c r="J732" s="33">
        <f>VLOOKUP(A732,'Refi Universe'!E:F,2,0)</f>
        <v>0.27050189000000002</v>
      </c>
    </row>
    <row r="733" spans="1:10" ht="15" x14ac:dyDescent="0.25">
      <c r="A733" s="14">
        <v>41646</v>
      </c>
      <c r="B733" s="15">
        <v>253</v>
      </c>
      <c r="C733" s="15">
        <v>253</v>
      </c>
      <c r="D733" s="5">
        <v>64</v>
      </c>
      <c r="E733" s="5">
        <v>36</v>
      </c>
      <c r="F733" s="5">
        <v>4.4591789999999998</v>
      </c>
      <c r="G733" s="12">
        <f>VLOOKUP(A733,'[1]all FNCL'!A$2:B$993,2)</f>
        <v>0.273381996337976</v>
      </c>
      <c r="J733" s="33">
        <f>VLOOKUP(A733,'Refi Universe'!E:F,2,0)</f>
        <v>0.30341024</v>
      </c>
    </row>
    <row r="734" spans="1:10" ht="15" x14ac:dyDescent="0.25">
      <c r="A734" s="14">
        <v>41647</v>
      </c>
      <c r="B734" s="15">
        <v>241</v>
      </c>
      <c r="C734" s="15">
        <v>241</v>
      </c>
      <c r="D734" s="5">
        <v>66</v>
      </c>
      <c r="E734" s="5">
        <v>34</v>
      </c>
      <c r="F734" s="5">
        <v>4.4292569999999998</v>
      </c>
      <c r="G734" s="12">
        <f>VLOOKUP(A734,'[1]all FNCL'!A$2:B$993,2)</f>
        <v>0.273381996337976</v>
      </c>
      <c r="J734" s="33">
        <f>VLOOKUP(A734,'Refi Universe'!E:F,2,0)</f>
        <v>0.27876012999999999</v>
      </c>
    </row>
    <row r="735" spans="1:10" ht="15" x14ac:dyDescent="0.25">
      <c r="A735" s="14">
        <v>41648</v>
      </c>
      <c r="B735" s="15">
        <v>241</v>
      </c>
      <c r="C735" s="15">
        <v>241</v>
      </c>
      <c r="D735" s="5">
        <v>58</v>
      </c>
      <c r="E735" s="5">
        <v>36</v>
      </c>
      <c r="F735" s="5">
        <v>4.476502</v>
      </c>
      <c r="G735" s="12">
        <f>VLOOKUP(A735,'[1]all FNCL'!A$2:B$993,2)</f>
        <v>0.28943231649708401</v>
      </c>
      <c r="J735" s="33">
        <f>VLOOKUP(A735,'Refi Universe'!E:F,2,0)</f>
        <v>0.30155963000000002</v>
      </c>
    </row>
    <row r="736" spans="1:10" ht="15" x14ac:dyDescent="0.25">
      <c r="A736" s="14">
        <v>41649</v>
      </c>
      <c r="B736" s="15">
        <v>249</v>
      </c>
      <c r="C736" s="15">
        <v>249</v>
      </c>
      <c r="D736" s="5">
        <v>59</v>
      </c>
      <c r="E736" s="5">
        <v>33</v>
      </c>
      <c r="F736" s="5">
        <v>4.4600840000000002</v>
      </c>
      <c r="G736" s="12">
        <f>VLOOKUP(A736,'[1]all FNCL'!A$2:B$993,2)</f>
        <v>0.28943231649708401</v>
      </c>
      <c r="J736" s="33">
        <f>VLOOKUP(A736,'Refi Universe'!E:F,2,0)</f>
        <v>0.36933837000000003</v>
      </c>
    </row>
    <row r="737" spans="1:10" ht="15" x14ac:dyDescent="0.25">
      <c r="A737" s="14">
        <v>41652</v>
      </c>
      <c r="B737" s="15">
        <v>259</v>
      </c>
      <c r="C737" s="15">
        <v>259</v>
      </c>
      <c r="D737" s="5">
        <v>53</v>
      </c>
      <c r="E737" s="5">
        <v>31</v>
      </c>
      <c r="F737" s="5">
        <v>4.3642390000000004</v>
      </c>
      <c r="G737" s="12">
        <f>VLOOKUP(A737,'[1]all FNCL'!A$2:B$993,2)</f>
        <v>0.28943231649708401</v>
      </c>
      <c r="J737" s="33">
        <f>VLOOKUP(A737,'Refi Universe'!E:F,2,0)</f>
        <v>0.37578397000000002</v>
      </c>
    </row>
    <row r="738" spans="1:10" ht="15" x14ac:dyDescent="0.25">
      <c r="A738" s="14">
        <v>41653</v>
      </c>
      <c r="B738" s="15">
        <v>249</v>
      </c>
      <c r="C738" s="15">
        <v>249</v>
      </c>
      <c r="D738" s="5">
        <v>54</v>
      </c>
      <c r="E738" s="5">
        <v>29</v>
      </c>
      <c r="F738" s="5">
        <v>4.3268599999999999</v>
      </c>
      <c r="G738" s="12">
        <f>VLOOKUP(A738,'[1]all FNCL'!A$2:B$993,2)</f>
        <v>0.28943231649708401</v>
      </c>
      <c r="J738" s="33">
        <f>VLOOKUP(A738,'Refi Universe'!E:F,2,0)</f>
        <v>0.36774881999999998</v>
      </c>
    </row>
    <row r="739" spans="1:10" ht="15" x14ac:dyDescent="0.25">
      <c r="A739" s="14">
        <v>41654</v>
      </c>
      <c r="B739" s="15">
        <v>246</v>
      </c>
      <c r="C739" s="15">
        <v>246</v>
      </c>
      <c r="D739" s="5">
        <v>52</v>
      </c>
      <c r="E739" s="5">
        <v>34</v>
      </c>
      <c r="F739" s="5">
        <v>4.3765320000000001</v>
      </c>
      <c r="G739" s="12">
        <f>VLOOKUP(A739,'[1]all FNCL'!A$2:B$993,2)</f>
        <v>0.28943231649708401</v>
      </c>
      <c r="J739" s="33">
        <f>VLOOKUP(A739,'Refi Universe'!E:F,2,0)</f>
        <v>0.36667421</v>
      </c>
    </row>
    <row r="740" spans="1:10" ht="15" x14ac:dyDescent="0.25">
      <c r="A740" s="14">
        <v>41655</v>
      </c>
      <c r="B740" s="15">
        <v>254</v>
      </c>
      <c r="C740" s="15">
        <v>254</v>
      </c>
      <c r="D740" s="5">
        <v>51</v>
      </c>
      <c r="E740" s="5">
        <v>30</v>
      </c>
      <c r="F740" s="5">
        <v>4.3862829999999997</v>
      </c>
      <c r="G740" s="12">
        <f>VLOOKUP(A740,'[1]all FNCL'!A$2:B$993,2)</f>
        <v>0.36765798039511299</v>
      </c>
      <c r="J740" s="33">
        <f>VLOOKUP(A740,'Refi Universe'!E:F,2,0)</f>
        <v>0.37351021000000001</v>
      </c>
    </row>
    <row r="741" spans="1:10" ht="15" x14ac:dyDescent="0.25">
      <c r="A741" s="14">
        <v>41656</v>
      </c>
      <c r="B741" s="15">
        <v>253</v>
      </c>
      <c r="C741" s="15">
        <v>253</v>
      </c>
      <c r="D741" s="5">
        <v>48</v>
      </c>
      <c r="E741" s="5">
        <v>25</v>
      </c>
      <c r="F741" s="5">
        <v>4.3528560000000001</v>
      </c>
      <c r="G741" s="12">
        <f>VLOOKUP(A741,'[1]all FNCL'!A$2:B$993,2)</f>
        <v>0.36765798039511299</v>
      </c>
      <c r="J741" s="33">
        <f>VLOOKUP(A741,'Refi Universe'!E:F,2,0)</f>
        <v>0.37537902000000001</v>
      </c>
    </row>
    <row r="742" spans="1:10" ht="15" x14ac:dyDescent="0.25">
      <c r="A742" s="14">
        <v>41660</v>
      </c>
      <c r="B742" s="15">
        <v>257</v>
      </c>
      <c r="C742" s="15">
        <v>257</v>
      </c>
      <c r="D742" s="5">
        <v>47</v>
      </c>
      <c r="E742" s="5">
        <v>25</v>
      </c>
      <c r="F742" s="5">
        <v>4.3363820000000004</v>
      </c>
      <c r="G742" s="12">
        <f>VLOOKUP(A742,'[1]all FNCL'!A$2:B$993,2)</f>
        <v>0.36765798039511299</v>
      </c>
      <c r="J742" s="33">
        <f>VLOOKUP(A742,'Refi Universe'!E:F,2,0)</f>
        <v>0.375996</v>
      </c>
    </row>
    <row r="743" spans="1:10" ht="15" x14ac:dyDescent="0.25">
      <c r="A743" s="14">
        <v>41661</v>
      </c>
      <c r="B743" s="15">
        <v>235</v>
      </c>
      <c r="C743" s="15">
        <v>235</v>
      </c>
      <c r="D743" s="5">
        <v>49</v>
      </c>
      <c r="E743" s="5">
        <v>28</v>
      </c>
      <c r="F743" s="5">
        <v>4.332077</v>
      </c>
      <c r="G743" s="12">
        <f>VLOOKUP(A743,'[1]all FNCL'!A$2:B$993,2)</f>
        <v>0.36765798039511299</v>
      </c>
      <c r="J743" s="33">
        <f>VLOOKUP(A743,'Refi Universe'!E:F,2,0)</f>
        <v>0.36503538000000002</v>
      </c>
    </row>
    <row r="744" spans="1:10" ht="15" x14ac:dyDescent="0.25">
      <c r="A744" s="14">
        <v>41662</v>
      </c>
      <c r="B744" s="15">
        <v>231</v>
      </c>
      <c r="C744" s="15">
        <v>231</v>
      </c>
      <c r="D744" s="5">
        <v>42</v>
      </c>
      <c r="E744" s="5">
        <v>29</v>
      </c>
      <c r="F744" s="5">
        <v>4.3720990000000004</v>
      </c>
      <c r="G744" s="12">
        <f>VLOOKUP(A744,'[1]all FNCL'!A$2:B$993,2)</f>
        <v>0.37084428304329597</v>
      </c>
      <c r="J744" s="33">
        <f>VLOOKUP(A744,'Refi Universe'!E:F,2,0)</f>
        <v>0.37453638</v>
      </c>
    </row>
    <row r="745" spans="1:10" ht="15" x14ac:dyDescent="0.25">
      <c r="A745" s="14">
        <v>41663</v>
      </c>
      <c r="B745" s="15">
        <v>242</v>
      </c>
      <c r="C745" s="15">
        <v>242</v>
      </c>
      <c r="D745" s="5">
        <v>46</v>
      </c>
      <c r="E745" s="5">
        <v>36</v>
      </c>
      <c r="F745" s="5">
        <v>4.3303849999999997</v>
      </c>
      <c r="G745" s="12">
        <f>VLOOKUP(A745,'[1]all FNCL'!A$2:B$993,2)</f>
        <v>0.37084428304329597</v>
      </c>
      <c r="J745" s="33">
        <f>VLOOKUP(A745,'Refi Universe'!E:F,2,0)</f>
        <v>0.38154102000000001</v>
      </c>
    </row>
    <row r="746" spans="1:10" ht="15" x14ac:dyDescent="0.25">
      <c r="A746" s="14">
        <v>41666</v>
      </c>
      <c r="B746" s="15">
        <v>241</v>
      </c>
      <c r="C746" s="15">
        <v>241</v>
      </c>
      <c r="D746" s="5">
        <v>42</v>
      </c>
      <c r="E746" s="5">
        <v>28</v>
      </c>
      <c r="F746" s="5">
        <v>4.2913259999999998</v>
      </c>
      <c r="G746" s="12">
        <f>VLOOKUP(A746,'[1]all FNCL'!A$2:B$993,2)</f>
        <v>0.37084428304329597</v>
      </c>
      <c r="J746" s="33">
        <f>VLOOKUP(A746,'Refi Universe'!E:F,2,0)</f>
        <v>0.37460282</v>
      </c>
    </row>
    <row r="747" spans="1:10" ht="15" x14ac:dyDescent="0.25">
      <c r="A747" s="14">
        <v>41667</v>
      </c>
      <c r="B747" s="15">
        <v>243</v>
      </c>
      <c r="C747" s="15">
        <v>243</v>
      </c>
      <c r="D747" s="5">
        <v>42</v>
      </c>
      <c r="E747" s="5">
        <v>30</v>
      </c>
      <c r="F747" s="5">
        <v>4.3286540000000002</v>
      </c>
      <c r="G747" s="12">
        <f>VLOOKUP(A747,'[1]all FNCL'!A$2:B$993,2)</f>
        <v>0.37084428304329597</v>
      </c>
      <c r="J747" s="33">
        <f>VLOOKUP(A747,'Refi Universe'!E:F,2,0)</f>
        <v>0.37568222000000001</v>
      </c>
    </row>
    <row r="748" spans="1:10" ht="15" x14ac:dyDescent="0.25">
      <c r="A748" s="14">
        <v>41668</v>
      </c>
      <c r="B748" s="15">
        <v>250</v>
      </c>
      <c r="C748" s="15">
        <v>250</v>
      </c>
      <c r="D748" s="5">
        <v>42</v>
      </c>
      <c r="E748" s="5">
        <v>28</v>
      </c>
      <c r="F748" s="5">
        <v>4.3166950000000002</v>
      </c>
      <c r="G748" s="12">
        <f>VLOOKUP(A748,'[1]all FNCL'!A$2:B$993,2)</f>
        <v>0.37084428304329597</v>
      </c>
      <c r="J748" s="33">
        <f>VLOOKUP(A748,'Refi Universe'!E:F,2,0)</f>
        <v>0.38811614</v>
      </c>
    </row>
    <row r="749" spans="1:10" ht="15" x14ac:dyDescent="0.25">
      <c r="A749" s="14">
        <v>41669</v>
      </c>
      <c r="B749" s="15">
        <v>250</v>
      </c>
      <c r="C749" s="15">
        <v>250</v>
      </c>
      <c r="D749" s="5">
        <v>40</v>
      </c>
      <c r="E749" s="5">
        <v>24</v>
      </c>
      <c r="F749" s="5">
        <v>4.2698770000000001</v>
      </c>
      <c r="G749" s="12">
        <f>VLOOKUP(A749,'[1]all FNCL'!A$2:B$993,2)</f>
        <v>0.38154102604960499</v>
      </c>
      <c r="J749" s="33">
        <f>VLOOKUP(A749,'Refi Universe'!E:F,2,0)</f>
        <v>0.38669977</v>
      </c>
    </row>
    <row r="750" spans="1:10" ht="15" x14ac:dyDescent="0.25">
      <c r="A750" s="14">
        <v>41670</v>
      </c>
      <c r="B750" s="15">
        <v>263</v>
      </c>
      <c r="C750" s="15">
        <v>263</v>
      </c>
      <c r="D750" s="5">
        <v>38</v>
      </c>
      <c r="E750" s="5">
        <v>23</v>
      </c>
      <c r="F750" s="5">
        <v>4.2822519999999997</v>
      </c>
      <c r="G750" s="12">
        <f>VLOOKUP(A750,'[1]all FNCL'!A$2:B$993,2)</f>
        <v>0.38154102604960499</v>
      </c>
      <c r="J750" s="33">
        <f>VLOOKUP(A750,'Refi Universe'!E:F,2,0)</f>
        <v>0.39414626000000003</v>
      </c>
    </row>
    <row r="751" spans="1:10" ht="15" x14ac:dyDescent="0.25">
      <c r="A751" s="14">
        <v>41673</v>
      </c>
      <c r="B751" s="15">
        <v>280</v>
      </c>
      <c r="C751" s="15">
        <v>280</v>
      </c>
      <c r="D751" s="5">
        <v>51</v>
      </c>
      <c r="E751" s="5">
        <v>27</v>
      </c>
      <c r="F751" s="5">
        <v>4.2607609999999996</v>
      </c>
      <c r="G751" s="12">
        <f>VLOOKUP(A751,'[1]all FNCL'!A$2:B$993,2)</f>
        <v>0.37772565332895602</v>
      </c>
      <c r="J751" s="33">
        <f>VLOOKUP(A751,'Refi Universe'!E:F,2,0)</f>
        <v>0.41262241999999999</v>
      </c>
    </row>
    <row r="752" spans="1:10" ht="15" x14ac:dyDescent="0.25">
      <c r="A752" s="14">
        <v>41674</v>
      </c>
      <c r="B752" s="15">
        <v>285</v>
      </c>
      <c r="C752" s="15">
        <v>285</v>
      </c>
      <c r="D752" s="5">
        <v>57</v>
      </c>
      <c r="E752" s="5">
        <v>30</v>
      </c>
      <c r="F752" s="5">
        <v>4.2065289999999997</v>
      </c>
      <c r="G752" s="12">
        <f>VLOOKUP(A752,'[1]all FNCL'!A$2:B$993,2)</f>
        <v>0.37772565332895602</v>
      </c>
      <c r="J752" s="33">
        <f>VLOOKUP(A752,'Refi Universe'!E:F,2,0)</f>
        <v>0.40068102999999999</v>
      </c>
    </row>
    <row r="753" spans="1:10" ht="15" x14ac:dyDescent="0.25">
      <c r="A753" s="14">
        <v>41675</v>
      </c>
      <c r="B753" s="15">
        <v>280</v>
      </c>
      <c r="C753" s="15">
        <v>280</v>
      </c>
      <c r="D753" s="5">
        <v>54</v>
      </c>
      <c r="E753" s="5">
        <v>34</v>
      </c>
      <c r="F753" s="5">
        <v>4.2328039999999998</v>
      </c>
      <c r="G753" s="12">
        <f>VLOOKUP(A753,'[1]all FNCL'!A$2:B$993,2)</f>
        <v>0.37772565332895602</v>
      </c>
      <c r="J753" s="33">
        <f>VLOOKUP(A753,'Refi Universe'!E:F,2,0)</f>
        <v>0.39173230999999997</v>
      </c>
    </row>
    <row r="754" spans="1:10" ht="15" x14ac:dyDescent="0.25">
      <c r="A754" s="14">
        <v>41676</v>
      </c>
      <c r="B754" s="15">
        <v>265</v>
      </c>
      <c r="C754" s="15">
        <v>265</v>
      </c>
      <c r="D754" s="5">
        <v>56</v>
      </c>
      <c r="E754" s="5">
        <v>29</v>
      </c>
      <c r="F754" s="5">
        <v>4.2717470000000004</v>
      </c>
      <c r="G754" s="12">
        <f>VLOOKUP(A754,'[1]all FNCL'!A$2:B$993,2)</f>
        <v>0.39983029630913802</v>
      </c>
      <c r="J754" s="33">
        <f>VLOOKUP(A754,'Refi Universe'!E:F,2,0)</f>
        <v>0.38532630000000001</v>
      </c>
    </row>
    <row r="755" spans="1:10" ht="15" x14ac:dyDescent="0.25">
      <c r="A755" s="14">
        <v>41677</v>
      </c>
      <c r="B755" s="15">
        <v>243</v>
      </c>
      <c r="C755" s="15">
        <v>243</v>
      </c>
      <c r="D755" s="5">
        <v>51</v>
      </c>
      <c r="E755" s="5">
        <v>25</v>
      </c>
      <c r="F755" s="5">
        <v>4.2874100000000004</v>
      </c>
      <c r="G755" s="12">
        <f>VLOOKUP(A755,'[1]all FNCL'!A$2:B$993,2)</f>
        <v>0.39983029630913802</v>
      </c>
      <c r="J755" s="33">
        <f>VLOOKUP(A755,'Refi Universe'!E:F,2,0)</f>
        <v>0.39589350000000001</v>
      </c>
    </row>
    <row r="756" spans="1:10" ht="15" x14ac:dyDescent="0.25">
      <c r="A756" s="14">
        <v>41680</v>
      </c>
      <c r="B756" s="15">
        <v>244</v>
      </c>
      <c r="C756" s="15">
        <v>244</v>
      </c>
      <c r="D756" s="5">
        <v>38</v>
      </c>
      <c r="E756" s="5">
        <v>8</v>
      </c>
      <c r="F756" s="5">
        <v>4.2584910000000002</v>
      </c>
      <c r="G756" s="12">
        <f>VLOOKUP(A756,'[1]all FNCL'!A$2:B$993,2)</f>
        <v>0.39983029630913802</v>
      </c>
      <c r="J756" s="33">
        <f>VLOOKUP(A756,'Refi Universe'!E:F,2,0)</f>
        <v>0.39378672999999997</v>
      </c>
    </row>
    <row r="757" spans="1:10" ht="15" x14ac:dyDescent="0.25">
      <c r="A757" s="14">
        <v>41681</v>
      </c>
      <c r="B757" s="15">
        <v>260</v>
      </c>
      <c r="C757" s="15">
        <v>260</v>
      </c>
      <c r="D757" s="5">
        <v>40</v>
      </c>
      <c r="E757" s="5">
        <v>10</v>
      </c>
      <c r="F757" s="5">
        <v>4.2634840000000001</v>
      </c>
      <c r="G757" s="12">
        <f>VLOOKUP(A757,'[1]all FNCL'!A$2:B$993,2)</f>
        <v>0.39983029630913802</v>
      </c>
      <c r="J757" s="33">
        <f>VLOOKUP(A757,'Refi Universe'!E:F,2,0)</f>
        <v>0.38426450000000001</v>
      </c>
    </row>
    <row r="758" spans="1:10" ht="15" x14ac:dyDescent="0.25">
      <c r="A758" s="14">
        <v>41682</v>
      </c>
      <c r="B758" s="15">
        <v>220</v>
      </c>
      <c r="C758" s="15">
        <v>220</v>
      </c>
      <c r="D758" s="5">
        <v>47</v>
      </c>
      <c r="E758" s="5">
        <v>17</v>
      </c>
      <c r="F758" s="5">
        <v>4.2931600000000003</v>
      </c>
      <c r="G758" s="12">
        <f>VLOOKUP(A758,'[1]all FNCL'!A$2:B$993,2)</f>
        <v>0.39983029630913802</v>
      </c>
      <c r="J758" s="33">
        <f>VLOOKUP(A758,'Refi Universe'!E:F,2,0)</f>
        <v>0.37451881999999997</v>
      </c>
    </row>
    <row r="759" spans="1:10" ht="15" x14ac:dyDescent="0.25">
      <c r="A759" s="14">
        <v>41683</v>
      </c>
      <c r="B759" s="15">
        <v>238</v>
      </c>
      <c r="C759" s="15">
        <v>238</v>
      </c>
      <c r="D759" s="5">
        <v>31</v>
      </c>
      <c r="E759" s="5">
        <v>14</v>
      </c>
      <c r="F759" s="5">
        <v>4.3355009999999998</v>
      </c>
      <c r="G759" s="12">
        <f>VLOOKUP(A759,'[1]all FNCL'!A$2:B$993,2)</f>
        <v>0.385235227392075</v>
      </c>
      <c r="J759" s="33">
        <f>VLOOKUP(A759,'Refi Universe'!E:F,2,0)</f>
        <v>0.38252577999999998</v>
      </c>
    </row>
    <row r="760" spans="1:10" ht="15" x14ac:dyDescent="0.25">
      <c r="A760" s="14">
        <v>41684</v>
      </c>
      <c r="B760" s="15">
        <v>233</v>
      </c>
      <c r="C760" s="15">
        <v>233</v>
      </c>
      <c r="D760" s="5">
        <v>42</v>
      </c>
      <c r="E760" s="5">
        <v>22</v>
      </c>
      <c r="F760" s="5">
        <v>4.3049270000000002</v>
      </c>
      <c r="G760" s="12">
        <f>VLOOKUP(A760,'[1]all FNCL'!A$2:B$993,2)</f>
        <v>0.385235227392075</v>
      </c>
      <c r="J760" s="33">
        <f>VLOOKUP(A760,'Refi Universe'!E:F,2,0)</f>
        <v>0.37644865</v>
      </c>
    </row>
    <row r="761" spans="1:10" ht="15" x14ac:dyDescent="0.25">
      <c r="A761" s="14">
        <v>41688</v>
      </c>
      <c r="B761" s="15">
        <v>241</v>
      </c>
      <c r="C761" s="15">
        <v>241</v>
      </c>
      <c r="D761" s="5">
        <v>43</v>
      </c>
      <c r="E761" s="5">
        <v>23</v>
      </c>
      <c r="F761" s="5">
        <v>4.3269500000000001</v>
      </c>
      <c r="G761" s="12">
        <f>VLOOKUP(A761,'[1]all FNCL'!A$2:B$993,2)</f>
        <v>0.385235227392075</v>
      </c>
      <c r="J761" s="33">
        <f>VLOOKUP(A761,'Refi Universe'!E:F,2,0)</f>
        <v>0.38072624999999999</v>
      </c>
    </row>
    <row r="762" spans="1:10" ht="15" x14ac:dyDescent="0.25">
      <c r="A762" s="14">
        <v>41689</v>
      </c>
      <c r="B762" s="15">
        <v>239</v>
      </c>
      <c r="C762" s="15">
        <v>239</v>
      </c>
      <c r="D762" s="5">
        <v>45</v>
      </c>
      <c r="E762" s="5">
        <v>23</v>
      </c>
      <c r="F762" s="5">
        <v>4.306622</v>
      </c>
      <c r="G762" s="12">
        <f>VLOOKUP(A762,'[1]all FNCL'!A$2:B$993,2)</f>
        <v>0.385235227392075</v>
      </c>
      <c r="J762" s="33">
        <f>VLOOKUP(A762,'Refi Universe'!E:F,2,0)</f>
        <v>0.37407465000000001</v>
      </c>
    </row>
    <row r="763" spans="1:10" ht="15" x14ac:dyDescent="0.25">
      <c r="A763" s="14">
        <v>41690</v>
      </c>
      <c r="B763" s="15">
        <v>233</v>
      </c>
      <c r="C763" s="15">
        <v>233</v>
      </c>
      <c r="D763" s="5">
        <v>43</v>
      </c>
      <c r="E763" s="5">
        <v>23</v>
      </c>
      <c r="F763" s="5">
        <v>4.3226870000000002</v>
      </c>
      <c r="G763" s="12">
        <f>VLOOKUP(A763,'[1]all FNCL'!A$2:B$993,2)</f>
        <v>0.375411030467661</v>
      </c>
      <c r="J763" s="33">
        <f>VLOOKUP(A763,'Refi Universe'!E:F,2,0)</f>
        <v>0.37039466999999998</v>
      </c>
    </row>
    <row r="764" spans="1:10" ht="15" x14ac:dyDescent="0.25">
      <c r="A764" s="14">
        <v>41691</v>
      </c>
      <c r="B764" s="15">
        <v>235</v>
      </c>
      <c r="C764" s="15">
        <v>235</v>
      </c>
      <c r="D764" s="5">
        <v>42</v>
      </c>
      <c r="E764" s="5">
        <v>23</v>
      </c>
      <c r="F764" s="5">
        <v>4.33887</v>
      </c>
      <c r="G764" s="12">
        <f>VLOOKUP(A764,'[1]all FNCL'!A$2:B$993,2)</f>
        <v>0.375411030467661</v>
      </c>
      <c r="J764" s="33">
        <f>VLOOKUP(A764,'Refi Universe'!E:F,2,0)</f>
        <v>0.3734152</v>
      </c>
    </row>
    <row r="765" spans="1:10" ht="15" x14ac:dyDescent="0.25">
      <c r="A765" s="14">
        <v>41694</v>
      </c>
      <c r="B765" s="15">
        <v>235</v>
      </c>
      <c r="C765" s="15">
        <v>235</v>
      </c>
      <c r="D765" s="5">
        <v>42</v>
      </c>
      <c r="E765" s="5">
        <v>19</v>
      </c>
      <c r="F765" s="5">
        <v>4.3235450000000002</v>
      </c>
      <c r="G765" s="12">
        <f>VLOOKUP(A765,'[1]all FNCL'!A$2:B$993,2)</f>
        <v>0.375411030467661</v>
      </c>
      <c r="J765" s="33">
        <f>VLOOKUP(A765,'Refi Universe'!E:F,2,0)</f>
        <v>0.37197777999999998</v>
      </c>
    </row>
    <row r="766" spans="1:10" ht="15" x14ac:dyDescent="0.25">
      <c r="A766" s="14">
        <v>41695</v>
      </c>
      <c r="B766" s="15">
        <v>242</v>
      </c>
      <c r="C766" s="15">
        <v>242</v>
      </c>
      <c r="D766" s="5">
        <v>43</v>
      </c>
      <c r="E766" s="5">
        <v>23</v>
      </c>
      <c r="F766" s="5">
        <v>4.3286410000000002</v>
      </c>
      <c r="G766" s="12">
        <f>VLOOKUP(A766,'[1]all FNCL'!A$2:B$993,2)</f>
        <v>0.375411030467661</v>
      </c>
      <c r="J766" s="33">
        <f>VLOOKUP(A766,'Refi Universe'!E:F,2,0)</f>
        <v>0.38281317999999998</v>
      </c>
    </row>
    <row r="767" spans="1:10" ht="15" x14ac:dyDescent="0.25">
      <c r="A767" s="14">
        <v>41696</v>
      </c>
      <c r="B767" s="15">
        <v>243</v>
      </c>
      <c r="C767" s="15">
        <v>243</v>
      </c>
      <c r="D767" s="5">
        <v>45</v>
      </c>
      <c r="E767" s="5">
        <v>29</v>
      </c>
      <c r="F767" s="5">
        <v>4.285126</v>
      </c>
      <c r="G767" s="12">
        <f>VLOOKUP(A767,'[1]all FNCL'!A$2:B$993,2)</f>
        <v>0.375411030467661</v>
      </c>
      <c r="J767" s="33">
        <f>VLOOKUP(A767,'Refi Universe'!E:F,2,0)</f>
        <v>0.37644865</v>
      </c>
    </row>
    <row r="768" spans="1:10" ht="15" x14ac:dyDescent="0.25">
      <c r="A768" s="14">
        <v>41697</v>
      </c>
      <c r="B768" s="15">
        <v>244</v>
      </c>
      <c r="C768" s="15">
        <v>244</v>
      </c>
      <c r="D768" s="5">
        <v>44</v>
      </c>
      <c r="E768" s="5">
        <v>31</v>
      </c>
      <c r="F768" s="5">
        <v>4.2720890000000002</v>
      </c>
      <c r="G768" s="12">
        <f>VLOOKUP(A768,'[1]all FNCL'!A$2:B$993,2)</f>
        <v>0.36950911021955302</v>
      </c>
      <c r="J768" s="33">
        <f>VLOOKUP(A768,'Refi Universe'!E:F,2,0)</f>
        <v>0.38166811</v>
      </c>
    </row>
    <row r="769" spans="1:10" ht="15" x14ac:dyDescent="0.25">
      <c r="A769" s="14">
        <v>41698</v>
      </c>
      <c r="B769" s="15">
        <v>230</v>
      </c>
      <c r="C769" s="15">
        <v>230</v>
      </c>
      <c r="D769" s="5">
        <v>39</v>
      </c>
      <c r="E769" s="5">
        <v>28</v>
      </c>
      <c r="F769" s="5">
        <v>4.2548700000000004</v>
      </c>
      <c r="G769" s="12">
        <f>VLOOKUP(A769,'[1]all FNCL'!A$2:B$993,2)</f>
        <v>0.36950911021955302</v>
      </c>
      <c r="J769" s="33">
        <f>VLOOKUP(A769,'Refi Universe'!E:F,2,0)</f>
        <v>0.37864172000000001</v>
      </c>
    </row>
    <row r="770" spans="1:10" ht="15" x14ac:dyDescent="0.25">
      <c r="A770" s="14">
        <v>41701</v>
      </c>
      <c r="B770" s="15">
        <v>243</v>
      </c>
      <c r="C770" s="15">
        <v>243</v>
      </c>
      <c r="D770" s="5">
        <v>37</v>
      </c>
      <c r="E770" s="5">
        <v>27</v>
      </c>
      <c r="F770" s="5">
        <v>4.2688030000000001</v>
      </c>
      <c r="G770" s="12">
        <f>VLOOKUP(A770,'[1]all FNCL'!A$2:B$993,2)</f>
        <v>0.36618748344447</v>
      </c>
      <c r="J770" s="33">
        <f>VLOOKUP(A770,'Refi Universe'!E:F,2,0)</f>
        <v>0.38146136000000003</v>
      </c>
    </row>
    <row r="771" spans="1:10" ht="15" x14ac:dyDescent="0.25">
      <c r="A771" s="14">
        <v>41702</v>
      </c>
      <c r="B771" s="15">
        <v>228</v>
      </c>
      <c r="C771" s="15">
        <v>228</v>
      </c>
      <c r="D771" s="5">
        <v>38</v>
      </c>
      <c r="E771" s="5">
        <v>26</v>
      </c>
      <c r="F771" s="5">
        <v>4.2437430000000003</v>
      </c>
      <c r="G771" s="12">
        <f>VLOOKUP(A771,'[1]all FNCL'!A$2:B$993,2)</f>
        <v>0.36618748344447</v>
      </c>
      <c r="J771" s="33">
        <f>VLOOKUP(A771,'Refi Universe'!E:F,2,0)</f>
        <v>0.36705627000000002</v>
      </c>
    </row>
    <row r="772" spans="1:10" ht="15" x14ac:dyDescent="0.25">
      <c r="A772" s="14">
        <v>41703</v>
      </c>
      <c r="B772" s="15">
        <v>226</v>
      </c>
      <c r="C772" s="15">
        <v>226</v>
      </c>
      <c r="D772" s="5">
        <v>39</v>
      </c>
      <c r="E772" s="5">
        <v>27</v>
      </c>
      <c r="F772" s="5">
        <v>4.3044330000000004</v>
      </c>
      <c r="G772" s="12">
        <f>VLOOKUP(A772,'[1]all FNCL'!A$2:B$993,2)</f>
        <v>0.36618748344447</v>
      </c>
      <c r="J772" s="33">
        <f>VLOOKUP(A772,'Refi Universe'!E:F,2,0)</f>
        <v>0.37511482000000002</v>
      </c>
    </row>
    <row r="773" spans="1:10" ht="15" x14ac:dyDescent="0.25">
      <c r="A773" s="14">
        <v>41704</v>
      </c>
      <c r="B773" s="15">
        <v>218</v>
      </c>
      <c r="C773" s="15">
        <v>218</v>
      </c>
      <c r="D773" s="5">
        <v>36</v>
      </c>
      <c r="E773" s="5">
        <v>29</v>
      </c>
      <c r="F773" s="5">
        <v>4.3044330000000004</v>
      </c>
      <c r="G773" s="12">
        <f>VLOOKUP(A773,'[1]all FNCL'!A$2:B$993,2)</f>
        <v>0.38305038505575201</v>
      </c>
      <c r="J773" s="33">
        <f>VLOOKUP(A773,'Refi Universe'!E:F,2,0)</f>
        <v>0.37076211999999997</v>
      </c>
    </row>
    <row r="774" spans="1:10" ht="15" x14ac:dyDescent="0.25">
      <c r="A774" s="14">
        <v>41705</v>
      </c>
      <c r="B774" s="15">
        <v>198</v>
      </c>
      <c r="C774" s="15">
        <v>198</v>
      </c>
      <c r="D774" s="5">
        <v>36</v>
      </c>
      <c r="E774" s="5">
        <v>27</v>
      </c>
      <c r="F774" s="5">
        <v>4.3237719999999999</v>
      </c>
      <c r="G774" s="12">
        <f>VLOOKUP(A774,'[1]all FNCL'!A$2:B$993,2)</f>
        <v>0.38305038505575201</v>
      </c>
      <c r="J774" s="33">
        <f>VLOOKUP(A774,'Refi Universe'!E:F,2,0)</f>
        <v>0.36521861</v>
      </c>
    </row>
    <row r="775" spans="1:10" ht="15" x14ac:dyDescent="0.25">
      <c r="A775" s="14">
        <v>41708</v>
      </c>
      <c r="B775" s="15">
        <v>203</v>
      </c>
      <c r="C775" s="15">
        <v>203</v>
      </c>
      <c r="D775" s="5">
        <v>37</v>
      </c>
      <c r="E775" s="5">
        <v>17</v>
      </c>
      <c r="F775" s="5">
        <v>4.3553850000000001</v>
      </c>
      <c r="G775" s="12">
        <f>VLOOKUP(A775,'[1]all FNCL'!A$2:B$993,2)</f>
        <v>0.38305038505575201</v>
      </c>
      <c r="J775" s="33">
        <f>VLOOKUP(A775,'Refi Universe'!E:F,2,0)</f>
        <v>0.36689958</v>
      </c>
    </row>
    <row r="776" spans="1:10" ht="15" x14ac:dyDescent="0.25">
      <c r="A776" s="14">
        <v>41709</v>
      </c>
      <c r="B776" s="15">
        <v>208</v>
      </c>
      <c r="C776" s="15">
        <v>208</v>
      </c>
      <c r="D776" s="5">
        <v>29</v>
      </c>
      <c r="E776" s="5">
        <v>16</v>
      </c>
      <c r="F776" s="5">
        <v>4.344163</v>
      </c>
      <c r="G776" s="12">
        <f>VLOOKUP(A776,'[1]all FNCL'!A$2:B$993,2)</f>
        <v>0.38305038505575201</v>
      </c>
      <c r="J776" s="33">
        <f>VLOOKUP(A776,'Refi Universe'!E:F,2,0)</f>
        <v>0.36705627000000002</v>
      </c>
    </row>
    <row r="777" spans="1:10" ht="15" x14ac:dyDescent="0.25">
      <c r="A777" s="14">
        <v>41710</v>
      </c>
      <c r="B777" s="15">
        <v>208</v>
      </c>
      <c r="C777" s="15">
        <v>208</v>
      </c>
      <c r="D777" s="5">
        <v>31</v>
      </c>
      <c r="E777" s="5">
        <v>23</v>
      </c>
      <c r="F777" s="5">
        <v>4.3407559999999998</v>
      </c>
      <c r="G777" s="12">
        <f>VLOOKUP(A777,'[1]all FNCL'!A$2:B$993,2)</f>
        <v>0.38305038505575201</v>
      </c>
      <c r="J777" s="33">
        <f>VLOOKUP(A777,'Refi Universe'!E:F,2,0)</f>
        <v>0.37541637</v>
      </c>
    </row>
    <row r="778" spans="1:10" ht="15" x14ac:dyDescent="0.25">
      <c r="A778" s="14">
        <v>41711</v>
      </c>
      <c r="B778" s="15">
        <v>227</v>
      </c>
      <c r="C778" s="15">
        <v>227</v>
      </c>
      <c r="D778" s="5">
        <v>27</v>
      </c>
      <c r="E778" s="5">
        <v>22</v>
      </c>
      <c r="F778" s="5">
        <v>4.3145439999999997</v>
      </c>
      <c r="G778" s="12">
        <f>VLOOKUP(A778,'[1]all FNCL'!A$2:B$993,2)</f>
        <v>0.36618748344447</v>
      </c>
      <c r="J778" s="33">
        <f>VLOOKUP(A778,'Refi Universe'!E:F,2,0)</f>
        <v>0.39003900000000002</v>
      </c>
    </row>
    <row r="779" spans="1:10" ht="15" x14ac:dyDescent="0.25">
      <c r="A779" s="14">
        <v>41712</v>
      </c>
      <c r="B779" s="15">
        <v>219</v>
      </c>
      <c r="C779" s="15">
        <v>219</v>
      </c>
      <c r="D779" s="5">
        <v>30</v>
      </c>
      <c r="E779" s="5">
        <v>19</v>
      </c>
      <c r="F779" s="5">
        <v>4.2637229999999997</v>
      </c>
      <c r="G779" s="12">
        <f>VLOOKUP(A779,'[1]all FNCL'!A$2:B$993,2)</f>
        <v>0.36618748344447</v>
      </c>
      <c r="J779" s="33">
        <f>VLOOKUP(A779,'Refi Universe'!E:F,2,0)</f>
        <v>0.38471656999999998</v>
      </c>
    </row>
    <row r="780" spans="1:10" ht="15" x14ac:dyDescent="0.25">
      <c r="A780" s="14">
        <v>41715</v>
      </c>
      <c r="B780" s="15">
        <v>212</v>
      </c>
      <c r="C780" s="15">
        <v>212</v>
      </c>
      <c r="D780" s="5">
        <v>27</v>
      </c>
      <c r="E780" s="5">
        <v>18</v>
      </c>
      <c r="F780" s="5">
        <v>4.2775090000000002</v>
      </c>
      <c r="G780" s="12">
        <f>VLOOKUP(A780,'[1]all FNCL'!A$2:B$993,2)</f>
        <v>0.36618748344447</v>
      </c>
      <c r="J780" s="33">
        <f>VLOOKUP(A780,'Refi Universe'!E:F,2,0)</f>
        <v>0.37328842000000001</v>
      </c>
    </row>
    <row r="781" spans="1:10" ht="15" x14ac:dyDescent="0.25">
      <c r="A781" s="14">
        <v>41716</v>
      </c>
      <c r="B781" s="15">
        <v>217</v>
      </c>
      <c r="C781" s="15">
        <v>217</v>
      </c>
      <c r="D781" s="5">
        <v>25</v>
      </c>
      <c r="E781" s="5">
        <v>17</v>
      </c>
      <c r="F781" s="5">
        <v>4.3170169999999999</v>
      </c>
      <c r="G781" s="12">
        <f>VLOOKUP(A781,'[1]all FNCL'!A$2:B$993,2)</f>
        <v>0.36618748344447</v>
      </c>
      <c r="J781" s="33">
        <f>VLOOKUP(A781,'Refi Universe'!E:F,2,0)</f>
        <v>0.37829073000000002</v>
      </c>
    </row>
    <row r="782" spans="1:10" ht="15" x14ac:dyDescent="0.25">
      <c r="A782" s="14">
        <v>41717</v>
      </c>
      <c r="B782" s="15">
        <v>187</v>
      </c>
      <c r="C782" s="15">
        <v>187</v>
      </c>
      <c r="D782" s="5">
        <v>25</v>
      </c>
      <c r="E782" s="5">
        <v>20</v>
      </c>
      <c r="F782" s="5">
        <v>4.2995070000000002</v>
      </c>
      <c r="G782" s="12">
        <f>VLOOKUP(A782,'[1]all FNCL'!A$2:B$993,2)</f>
        <v>0.36618748344447</v>
      </c>
      <c r="J782" s="33">
        <f>VLOOKUP(A782,'Refi Universe'!E:F,2,0)</f>
        <v>0.36629566000000002</v>
      </c>
    </row>
    <row r="783" spans="1:10" ht="15" x14ac:dyDescent="0.25">
      <c r="A783" s="14">
        <v>41718</v>
      </c>
      <c r="B783" s="15">
        <v>185</v>
      </c>
      <c r="C783" s="15">
        <v>185</v>
      </c>
      <c r="D783" s="5">
        <v>13</v>
      </c>
      <c r="E783" s="5">
        <v>9</v>
      </c>
      <c r="F783" s="5">
        <v>4.364738</v>
      </c>
      <c r="G783" s="12">
        <f>VLOOKUP(A783,'[1]all FNCL'!A$2:B$993,2)</f>
        <v>0.37473459168456602</v>
      </c>
      <c r="J783" s="33">
        <f>VLOOKUP(A783,'Refi Universe'!E:F,2,0)</f>
        <v>0.36442224000000001</v>
      </c>
    </row>
    <row r="784" spans="1:10" ht="15" x14ac:dyDescent="0.25">
      <c r="A784" s="14">
        <v>41719</v>
      </c>
      <c r="B784" s="15">
        <v>196</v>
      </c>
      <c r="C784" s="15">
        <v>196</v>
      </c>
      <c r="D784" s="5">
        <v>19</v>
      </c>
      <c r="E784" s="5">
        <v>18</v>
      </c>
      <c r="F784" s="5">
        <v>4.3777759999999999</v>
      </c>
      <c r="G784" s="12">
        <f>VLOOKUP(A784,'[1]all FNCL'!A$2:B$993,2)</f>
        <v>0.37473459168456602</v>
      </c>
      <c r="J784" s="33">
        <f>VLOOKUP(A784,'Refi Universe'!E:F,2,0)</f>
        <v>0.36875239999999998</v>
      </c>
    </row>
    <row r="785" spans="1:10" ht="15" x14ac:dyDescent="0.25">
      <c r="A785" s="14">
        <v>41722</v>
      </c>
      <c r="B785" s="15">
        <v>189</v>
      </c>
      <c r="C785" s="15">
        <v>189</v>
      </c>
      <c r="D785" s="5">
        <v>13</v>
      </c>
      <c r="E785" s="5">
        <v>15</v>
      </c>
      <c r="F785" s="5">
        <v>4.3492240000000004</v>
      </c>
      <c r="G785" s="12">
        <f>VLOOKUP(A785,'[1]all FNCL'!A$2:B$993,2)</f>
        <v>0.37473459168456602</v>
      </c>
      <c r="J785" s="33">
        <f>VLOOKUP(A785,'Refi Universe'!E:F,2,0)</f>
        <v>0.36875239999999998</v>
      </c>
    </row>
    <row r="786" spans="1:10" ht="15" x14ac:dyDescent="0.25">
      <c r="A786" s="14">
        <v>41723</v>
      </c>
      <c r="B786" s="15">
        <v>192</v>
      </c>
      <c r="C786" s="15">
        <v>192</v>
      </c>
      <c r="D786" s="5">
        <v>12</v>
      </c>
      <c r="E786" s="5">
        <v>11</v>
      </c>
      <c r="F786" s="5">
        <v>4.347505</v>
      </c>
      <c r="G786" s="12">
        <f>VLOOKUP(A786,'[1]all FNCL'!A$2:B$993,2)</f>
        <v>0.37473459168456602</v>
      </c>
      <c r="J786" s="33">
        <f>VLOOKUP(A786,'Refi Universe'!E:F,2,0)</f>
        <v>0.36900695</v>
      </c>
    </row>
    <row r="787" spans="1:10" ht="15" x14ac:dyDescent="0.25">
      <c r="A787" s="14">
        <v>41724</v>
      </c>
      <c r="B787" s="15">
        <v>205</v>
      </c>
      <c r="C787" s="15">
        <v>205</v>
      </c>
      <c r="D787" s="5">
        <v>14</v>
      </c>
      <c r="E787" s="5">
        <v>13</v>
      </c>
      <c r="F787" s="5">
        <v>4.3492240000000004</v>
      </c>
      <c r="G787" s="12">
        <f>VLOOKUP(A787,'[1]all FNCL'!A$2:B$993,2)</f>
        <v>0.37473459168456602</v>
      </c>
      <c r="J787" s="33">
        <f>VLOOKUP(A787,'Refi Universe'!E:F,2,0)</f>
        <v>0.36965078000000001</v>
      </c>
    </row>
    <row r="788" spans="1:10" ht="15" x14ac:dyDescent="0.25">
      <c r="A788" s="14">
        <v>41725</v>
      </c>
      <c r="B788" s="15">
        <v>208</v>
      </c>
      <c r="C788" s="15">
        <v>208</v>
      </c>
      <c r="D788" s="5">
        <v>21</v>
      </c>
      <c r="E788" s="5">
        <v>19</v>
      </c>
      <c r="F788" s="5">
        <v>4.3271839999999999</v>
      </c>
      <c r="G788" s="12">
        <f>VLOOKUP(A788,'[1]all FNCL'!A$2:B$993,2)</f>
        <v>0.36106783694827599</v>
      </c>
      <c r="J788" s="33">
        <f>VLOOKUP(A788,'Refi Universe'!E:F,2,0)</f>
        <v>0.372867</v>
      </c>
    </row>
    <row r="789" spans="1:10" ht="15" x14ac:dyDescent="0.25">
      <c r="A789" s="14">
        <v>41726</v>
      </c>
      <c r="B789" s="15">
        <v>202</v>
      </c>
      <c r="C789" s="15">
        <v>202</v>
      </c>
      <c r="D789" s="5">
        <v>18</v>
      </c>
      <c r="E789" s="5">
        <v>13</v>
      </c>
      <c r="F789" s="5">
        <v>4.3087999999999997</v>
      </c>
      <c r="G789" s="12">
        <f>VLOOKUP(A789,'[1]all FNCL'!A$2:B$993,2)</f>
        <v>0.36106783694827599</v>
      </c>
      <c r="J789" s="33">
        <f>VLOOKUP(A789,'Refi Universe'!E:F,2,0)</f>
        <v>0.36821619999999999</v>
      </c>
    </row>
    <row r="790" spans="1:10" ht="15" x14ac:dyDescent="0.25">
      <c r="A790" s="14">
        <v>41729</v>
      </c>
      <c r="B790" s="15">
        <v>198</v>
      </c>
      <c r="C790" s="15">
        <v>198</v>
      </c>
      <c r="D790" s="5">
        <v>16</v>
      </c>
      <c r="E790" s="5">
        <v>11</v>
      </c>
      <c r="F790" s="5">
        <v>4.3305400000000001</v>
      </c>
      <c r="G790" s="12">
        <f>VLOOKUP(A790,'[1]all FNCL'!A$2:B$993,2)</f>
        <v>0.36106783694827599</v>
      </c>
      <c r="J790" s="33">
        <f>VLOOKUP(A790,'Refi Universe'!E:F,2,0)</f>
        <v>0.36629566000000002</v>
      </c>
    </row>
    <row r="791" spans="1:10" ht="15" x14ac:dyDescent="0.25">
      <c r="A791" s="14">
        <v>41730</v>
      </c>
      <c r="B791" s="15">
        <v>199</v>
      </c>
      <c r="C791" s="15">
        <v>199</v>
      </c>
      <c r="D791" s="5">
        <v>16</v>
      </c>
      <c r="E791" s="5">
        <v>9</v>
      </c>
      <c r="F791" s="5">
        <v>4.3457549999999996</v>
      </c>
      <c r="G791" s="12">
        <f>VLOOKUP(A791,'[1]all FNCL'!A$2:B$993,2)</f>
        <v>0.35665287918352401</v>
      </c>
      <c r="J791" s="33">
        <f>VLOOKUP(A791,'Refi Universe'!E:F,2,0)</f>
        <v>0.35763015999999997</v>
      </c>
    </row>
    <row r="792" spans="1:10" ht="15" x14ac:dyDescent="0.25">
      <c r="A792" s="14">
        <v>41731</v>
      </c>
      <c r="B792" s="15">
        <v>192</v>
      </c>
      <c r="C792" s="15">
        <v>192</v>
      </c>
      <c r="D792" s="5">
        <v>19</v>
      </c>
      <c r="E792" s="5">
        <v>14</v>
      </c>
      <c r="F792" s="5">
        <v>4.3677359999999998</v>
      </c>
      <c r="G792" s="12">
        <f>VLOOKUP(A792,'[1]all FNCL'!A$2:B$993,2)</f>
        <v>0.35665287918352401</v>
      </c>
      <c r="J792" s="33">
        <f>VLOOKUP(A792,'Refi Universe'!E:F,2,0)</f>
        <v>0.32510613999999999</v>
      </c>
    </row>
    <row r="793" spans="1:10" ht="15" x14ac:dyDescent="0.25">
      <c r="A793" s="14">
        <v>41732</v>
      </c>
      <c r="B793" s="15">
        <v>197</v>
      </c>
      <c r="C793" s="15">
        <v>197</v>
      </c>
      <c r="D793" s="5">
        <v>20</v>
      </c>
      <c r="E793" s="5">
        <v>19</v>
      </c>
      <c r="F793" s="5">
        <v>4.3965480000000001</v>
      </c>
      <c r="G793" s="12">
        <f>VLOOKUP(A793,'[1]all FNCL'!A$2:B$993,2)</f>
        <v>0.35514156438481698</v>
      </c>
      <c r="J793" s="33">
        <f>VLOOKUP(A793,'Refi Universe'!E:F,2,0)</f>
        <v>0.34278551000000002</v>
      </c>
    </row>
    <row r="794" spans="1:10" ht="15" x14ac:dyDescent="0.25">
      <c r="A794" s="14">
        <v>41733</v>
      </c>
      <c r="B794" s="15">
        <v>205</v>
      </c>
      <c r="C794" s="15">
        <v>205</v>
      </c>
      <c r="D794" s="5">
        <v>19</v>
      </c>
      <c r="E794" s="5">
        <v>17</v>
      </c>
      <c r="F794" s="5">
        <v>4.379016</v>
      </c>
      <c r="G794" s="12">
        <f>VLOOKUP(A794,'[1]all FNCL'!A$2:B$993,2)</f>
        <v>0.35514156438481698</v>
      </c>
      <c r="J794" s="33">
        <f>VLOOKUP(A794,'Refi Universe'!E:F,2,0)</f>
        <v>0.35888523</v>
      </c>
    </row>
    <row r="795" spans="1:10" ht="15" x14ac:dyDescent="0.25">
      <c r="A795" s="14">
        <v>41736</v>
      </c>
      <c r="B795" s="15">
        <v>211</v>
      </c>
      <c r="C795" s="15">
        <v>211</v>
      </c>
      <c r="D795" s="5">
        <v>23</v>
      </c>
      <c r="E795" s="5">
        <v>17</v>
      </c>
      <c r="F795" s="5">
        <v>4.3302399999999999</v>
      </c>
      <c r="G795" s="12">
        <f>VLOOKUP(A795,'[1]all FNCL'!A$2:B$993,2)</f>
        <v>0.35514156438481698</v>
      </c>
      <c r="J795" s="33">
        <f>VLOOKUP(A795,'Refi Universe'!E:F,2,0)</f>
        <v>0.36410197</v>
      </c>
    </row>
    <row r="796" spans="1:10" ht="15" x14ac:dyDescent="0.25">
      <c r="A796" s="14">
        <v>41737</v>
      </c>
      <c r="B796" s="15">
        <v>215</v>
      </c>
      <c r="C796" s="15">
        <v>215</v>
      </c>
      <c r="D796" s="5">
        <v>28</v>
      </c>
      <c r="E796" s="5">
        <v>19</v>
      </c>
      <c r="F796" s="5">
        <v>4.301984</v>
      </c>
      <c r="G796" s="12">
        <f>VLOOKUP(A796,'[1]all FNCL'!A$2:B$993,2)</f>
        <v>0.35514156438481698</v>
      </c>
      <c r="J796" s="33">
        <f>VLOOKUP(A796,'Refi Universe'!E:F,2,0)</f>
        <v>0.36809291999999999</v>
      </c>
    </row>
    <row r="797" spans="1:10" ht="15" x14ac:dyDescent="0.25">
      <c r="A797" s="14">
        <v>41738</v>
      </c>
      <c r="B797" s="15">
        <v>218</v>
      </c>
      <c r="C797" s="15">
        <v>218</v>
      </c>
      <c r="D797" s="5">
        <v>27</v>
      </c>
      <c r="E797" s="5">
        <v>17</v>
      </c>
      <c r="F797" s="5">
        <v>4.2841779999999998</v>
      </c>
      <c r="G797" s="12">
        <f>VLOOKUP(A797,'[1]all FNCL'!A$2:B$993,2)</f>
        <v>0.35514156438481698</v>
      </c>
      <c r="J797" s="33">
        <f>VLOOKUP(A797,'Refi Universe'!E:F,2,0)</f>
        <v>0.37418036999999998</v>
      </c>
    </row>
    <row r="798" spans="1:10" ht="15" x14ac:dyDescent="0.25">
      <c r="A798" s="14">
        <v>41739</v>
      </c>
      <c r="B798" s="15">
        <v>209</v>
      </c>
      <c r="C798" s="15">
        <v>209</v>
      </c>
      <c r="D798" s="5">
        <v>36</v>
      </c>
      <c r="E798" s="5">
        <v>18</v>
      </c>
      <c r="F798" s="5">
        <v>4.2841779999999998</v>
      </c>
      <c r="G798" s="12">
        <f>VLOOKUP(A798,'[1]all FNCL'!A$2:B$993,2)</f>
        <v>0.36665858727100598</v>
      </c>
      <c r="J798" s="33">
        <f>VLOOKUP(A798,'Refi Universe'!E:F,2,0)</f>
        <v>0.39074209999999998</v>
      </c>
    </row>
    <row r="799" spans="1:10" ht="15" x14ac:dyDescent="0.25">
      <c r="A799" s="14">
        <v>41740</v>
      </c>
      <c r="B799" s="15">
        <v>206</v>
      </c>
      <c r="C799" s="15">
        <v>206</v>
      </c>
      <c r="D799" s="5">
        <v>24</v>
      </c>
      <c r="E799" s="5">
        <v>9</v>
      </c>
      <c r="F799" s="5">
        <v>4.2388260000000004</v>
      </c>
      <c r="G799" s="12">
        <f>VLOOKUP(A799,'[1]all FNCL'!A$2:B$993,2)</f>
        <v>0.36665858727100598</v>
      </c>
      <c r="J799" s="33">
        <f>VLOOKUP(A799,'Refi Universe'!E:F,2,0)</f>
        <v>0.39074209999999998</v>
      </c>
    </row>
    <row r="800" spans="1:10" ht="15" x14ac:dyDescent="0.25">
      <c r="A800" s="14">
        <v>41743</v>
      </c>
      <c r="B800" s="15">
        <v>204</v>
      </c>
      <c r="C800" s="15">
        <v>204</v>
      </c>
      <c r="D800" s="5">
        <v>23</v>
      </c>
      <c r="E800" s="5">
        <v>8</v>
      </c>
      <c r="F800" s="5">
        <v>4.2396349999999998</v>
      </c>
      <c r="G800" s="12">
        <f>VLOOKUP(A800,'[1]all FNCL'!A$2:B$993,2)</f>
        <v>0.36665858727100598</v>
      </c>
      <c r="J800" s="33">
        <f>VLOOKUP(A800,'Refi Universe'!E:F,2,0)</f>
        <v>0.38166971999999999</v>
      </c>
    </row>
    <row r="801" spans="1:10" ht="15" x14ac:dyDescent="0.25">
      <c r="A801" s="14">
        <v>41744</v>
      </c>
      <c r="B801" s="15">
        <v>217</v>
      </c>
      <c r="C801" s="15">
        <v>217</v>
      </c>
      <c r="D801" s="5">
        <v>21</v>
      </c>
      <c r="E801" s="5">
        <v>6</v>
      </c>
      <c r="F801" s="5">
        <v>4.2594070000000004</v>
      </c>
      <c r="G801" s="12">
        <f>VLOOKUP(A801,'[1]all FNCL'!A$2:B$993,2)</f>
        <v>0.36665858727100598</v>
      </c>
      <c r="J801" s="33">
        <f>VLOOKUP(A801,'Refi Universe'!E:F,2,0)</f>
        <v>0.38310160999999998</v>
      </c>
    </row>
    <row r="802" spans="1:10" ht="15" x14ac:dyDescent="0.25">
      <c r="A802" s="14">
        <v>41745</v>
      </c>
      <c r="B802" s="15">
        <v>207</v>
      </c>
      <c r="C802" s="15">
        <v>207</v>
      </c>
      <c r="D802" s="5">
        <v>22</v>
      </c>
      <c r="E802" s="5">
        <v>3</v>
      </c>
      <c r="F802" s="5">
        <v>4.2570129999999997</v>
      </c>
      <c r="G802" s="12">
        <f>VLOOKUP(A802,'[1]all FNCL'!A$2:B$993,2)</f>
        <v>0.36665858727100598</v>
      </c>
      <c r="J802" s="33">
        <f>VLOOKUP(A802,'Refi Universe'!E:F,2,0)</f>
        <v>0.37764312999999999</v>
      </c>
    </row>
    <row r="803" spans="1:10" ht="15" x14ac:dyDescent="0.25">
      <c r="A803" s="14">
        <v>41746</v>
      </c>
      <c r="B803" s="15">
        <v>198</v>
      </c>
      <c r="C803" s="15">
        <v>198</v>
      </c>
      <c r="D803" s="5">
        <v>23</v>
      </c>
      <c r="E803" s="5">
        <v>2</v>
      </c>
      <c r="F803" s="5">
        <v>4.2666089999999999</v>
      </c>
      <c r="G803" s="12">
        <f>VLOOKUP(A803,'[1]all FNCL'!A$2:B$993,2)</f>
        <v>0.38166972699665502</v>
      </c>
      <c r="J803" s="33">
        <f>VLOOKUP(A803,'Refi Universe'!E:F,2,0)</f>
        <v>0.36524489999999998</v>
      </c>
    </row>
    <row r="804" spans="1:10" ht="15" x14ac:dyDescent="0.25">
      <c r="A804" s="14">
        <v>41750</v>
      </c>
      <c r="B804" s="15">
        <v>204</v>
      </c>
      <c r="C804" s="15">
        <v>204</v>
      </c>
      <c r="D804" s="5">
        <v>22</v>
      </c>
      <c r="E804" s="5">
        <v>2</v>
      </c>
      <c r="F804" s="5">
        <v>4.3116669999999999</v>
      </c>
      <c r="G804" s="12">
        <f>VLOOKUP(A804,'[1]all FNCL'!A$2:B$993,2)</f>
        <v>0.38166972699665502</v>
      </c>
      <c r="J804" s="33">
        <f>VLOOKUP(A804,'Refi Universe'!E:F,2,0)</f>
        <v>0.36314741</v>
      </c>
    </row>
    <row r="805" spans="1:10" ht="15" x14ac:dyDescent="0.25">
      <c r="A805" s="14">
        <v>41751</v>
      </c>
      <c r="B805" s="15">
        <v>196</v>
      </c>
      <c r="C805" s="15">
        <v>196</v>
      </c>
      <c r="D805" s="5">
        <v>29</v>
      </c>
      <c r="E805" s="5">
        <v>8</v>
      </c>
      <c r="F805" s="5">
        <v>4.3232730000000004</v>
      </c>
      <c r="G805" s="12">
        <f>VLOOKUP(A805,'[1]all FNCL'!A$2:B$993,2)</f>
        <v>0.38166972699665502</v>
      </c>
      <c r="J805" s="33">
        <f>VLOOKUP(A805,'Refi Universe'!E:F,2,0)</f>
        <v>0.36404024000000001</v>
      </c>
    </row>
    <row r="806" spans="1:10" ht="15" x14ac:dyDescent="0.25">
      <c r="A806" s="14">
        <v>41752</v>
      </c>
      <c r="B806" s="15">
        <v>198</v>
      </c>
      <c r="C806" s="15">
        <v>198</v>
      </c>
      <c r="D806" s="5">
        <v>20</v>
      </c>
      <c r="E806" s="5">
        <v>0</v>
      </c>
      <c r="F806" s="5">
        <v>4.3182879999999999</v>
      </c>
      <c r="G806" s="12">
        <f>VLOOKUP(A806,'[1]all FNCL'!A$2:B$993,2)</f>
        <v>0.38166972699665502</v>
      </c>
      <c r="J806" s="33">
        <f>VLOOKUP(A806,'Refi Universe'!E:F,2,0)</f>
        <v>0.38124049999999998</v>
      </c>
    </row>
    <row r="807" spans="1:10" ht="15" x14ac:dyDescent="0.25">
      <c r="A807" s="14">
        <v>41753</v>
      </c>
      <c r="B807" s="15">
        <v>207</v>
      </c>
      <c r="C807" s="15">
        <v>207</v>
      </c>
      <c r="D807" s="5">
        <v>19</v>
      </c>
      <c r="E807" s="5">
        <v>-6</v>
      </c>
      <c r="F807" s="5">
        <v>4.2825600000000001</v>
      </c>
      <c r="G807" s="12">
        <f>VLOOKUP(A807,'[1]all FNCL'!A$2:B$993,2)</f>
        <v>0.36809292035715802</v>
      </c>
      <c r="J807" s="33">
        <f>VLOOKUP(A807,'Refi Universe'!E:F,2,0)</f>
        <v>0.38310160999999998</v>
      </c>
    </row>
    <row r="808" spans="1:10" ht="15" x14ac:dyDescent="0.25">
      <c r="A808" s="14">
        <v>41754</v>
      </c>
      <c r="B808" s="15">
        <v>47</v>
      </c>
      <c r="C808" s="15">
        <v>47</v>
      </c>
      <c r="D808" s="5">
        <v>18</v>
      </c>
      <c r="E808" s="5">
        <v>-6</v>
      </c>
      <c r="F808" s="5">
        <v>4.2794030000000003</v>
      </c>
      <c r="G808" s="12">
        <f>VLOOKUP(A808,'[1]all FNCL'!A$2:B$993,2)</f>
        <v>0.36809292035715802</v>
      </c>
      <c r="J808" s="33">
        <f>VLOOKUP(A808,'Refi Universe'!E:F,2,0)</f>
        <v>0.39074209999999998</v>
      </c>
    </row>
    <row r="809" spans="1:10" ht="15" x14ac:dyDescent="0.25">
      <c r="A809" s="14">
        <v>41757</v>
      </c>
      <c r="B809" s="15">
        <v>52</v>
      </c>
      <c r="C809" s="15">
        <v>52</v>
      </c>
      <c r="D809" s="5">
        <v>15</v>
      </c>
      <c r="E809" s="5">
        <v>-7</v>
      </c>
      <c r="F809" s="5">
        <v>4.261177</v>
      </c>
      <c r="G809" s="12">
        <f>VLOOKUP(A809,'[1]all FNCL'!A$2:B$993,2)</f>
        <v>0.36809292035715802</v>
      </c>
      <c r="J809" s="33">
        <f>VLOOKUP(A809,'Refi Universe'!E:F,2,0)</f>
        <v>0.38804882000000002</v>
      </c>
    </row>
    <row r="810" spans="1:10" ht="15" x14ac:dyDescent="0.25">
      <c r="A810" s="14">
        <v>41758</v>
      </c>
      <c r="B810" s="15">
        <v>51</v>
      </c>
      <c r="C810" s="15">
        <v>51</v>
      </c>
      <c r="D810" s="5">
        <v>14</v>
      </c>
      <c r="E810" s="5">
        <v>-7</v>
      </c>
      <c r="F810" s="5">
        <v>4.2691150000000002</v>
      </c>
      <c r="G810" s="12">
        <f>VLOOKUP(A810,'[1]all FNCL'!A$2:B$993,2)</f>
        <v>0.36809292035715802</v>
      </c>
      <c r="J810" s="33">
        <f>VLOOKUP(A810,'Refi Universe'!E:F,2,0)</f>
        <v>0.38065389999999999</v>
      </c>
    </row>
    <row r="811" spans="1:10" ht="15" x14ac:dyDescent="0.25">
      <c r="A811" s="14">
        <v>41759</v>
      </c>
      <c r="B811" s="15">
        <v>190</v>
      </c>
      <c r="C811" s="15">
        <v>190</v>
      </c>
      <c r="D811" s="5">
        <v>16</v>
      </c>
      <c r="E811" s="5">
        <v>-5</v>
      </c>
      <c r="F811" s="5">
        <v>4.2841129999999996</v>
      </c>
      <c r="G811" s="12">
        <f>VLOOKUP(A811,'[1]all FNCL'!A$2:B$993,2)</f>
        <v>0.36809292035715802</v>
      </c>
      <c r="J811" s="33">
        <f>VLOOKUP(A811,'Refi Universe'!E:F,2,0)</f>
        <v>0.38362900999999999</v>
      </c>
    </row>
    <row r="812" spans="1:10" ht="15" x14ac:dyDescent="0.25">
      <c r="A812" s="14">
        <v>41760</v>
      </c>
      <c r="B812" s="15">
        <v>191</v>
      </c>
      <c r="C812" s="15">
        <v>191</v>
      </c>
      <c r="D812" s="5">
        <v>14</v>
      </c>
      <c r="E812" s="5">
        <v>-9</v>
      </c>
      <c r="F812" s="5">
        <v>4.2509579999999998</v>
      </c>
      <c r="G812" s="12">
        <f>VLOOKUP(A812,'[1]all FNCL'!A$2:B$993,2)</f>
        <v>0.37329753351950501</v>
      </c>
      <c r="J812" s="33">
        <f>VLOOKUP(A812,'Refi Universe'!E:F,2,0)</f>
        <v>0.39536387000000001</v>
      </c>
    </row>
    <row r="813" spans="1:10" ht="15" x14ac:dyDescent="0.25">
      <c r="A813" s="14">
        <v>41761</v>
      </c>
      <c r="B813" s="15">
        <v>180</v>
      </c>
      <c r="C813" s="15">
        <v>180</v>
      </c>
      <c r="D813" s="5">
        <v>5</v>
      </c>
      <c r="E813" s="5">
        <v>-16</v>
      </c>
      <c r="F813" s="5">
        <v>4.2188400000000001</v>
      </c>
      <c r="G813" s="12">
        <f>VLOOKUP(A813,'[1]all FNCL'!A$2:B$993,2)</f>
        <v>0.37329753351950501</v>
      </c>
      <c r="J813" s="33">
        <f>VLOOKUP(A813,'Refi Universe'!E:F,2,0)</f>
        <v>0.40005795999999999</v>
      </c>
    </row>
    <row r="814" spans="1:10" ht="15" x14ac:dyDescent="0.25">
      <c r="A814" s="14">
        <v>41764</v>
      </c>
      <c r="B814" s="15">
        <v>187</v>
      </c>
      <c r="C814" s="15">
        <v>187</v>
      </c>
      <c r="D814" s="5">
        <v>-5</v>
      </c>
      <c r="E814" s="5">
        <v>-22</v>
      </c>
      <c r="F814" s="5">
        <v>4.2119710000000001</v>
      </c>
      <c r="G814" s="12">
        <f>VLOOKUP(A814,'[1]all FNCL'!A$2:B$993,2)</f>
        <v>0.37329753351950501</v>
      </c>
      <c r="J814" s="33">
        <f>VLOOKUP(A814,'Refi Universe'!E:F,2,0)</f>
        <v>0.39494004999999999</v>
      </c>
    </row>
    <row r="815" spans="1:10" ht="15" x14ac:dyDescent="0.25">
      <c r="A815" s="14">
        <v>41765</v>
      </c>
      <c r="B815" s="15">
        <v>184</v>
      </c>
      <c r="C815" s="15">
        <v>184</v>
      </c>
      <c r="D815" s="5">
        <v>0</v>
      </c>
      <c r="E815" s="5">
        <v>-20</v>
      </c>
      <c r="F815" s="5">
        <v>4.2188319999999999</v>
      </c>
      <c r="G815" s="12">
        <f>VLOOKUP(A815,'[1]all FNCL'!A$2:B$993,2)</f>
        <v>0.37329753351950501</v>
      </c>
      <c r="J815" s="33">
        <f>VLOOKUP(A815,'Refi Universe'!E:F,2,0)</f>
        <v>0.40250726999999997</v>
      </c>
    </row>
    <row r="816" spans="1:10" ht="15" x14ac:dyDescent="0.25">
      <c r="A816" s="14">
        <v>41766</v>
      </c>
      <c r="B816" s="15">
        <v>187</v>
      </c>
      <c r="C816" s="15">
        <v>187</v>
      </c>
      <c r="D816" s="5">
        <v>-3</v>
      </c>
      <c r="E816" s="5">
        <v>-20</v>
      </c>
      <c r="F816" s="5">
        <v>4.2059430000000004</v>
      </c>
      <c r="G816" s="12">
        <f>VLOOKUP(A816,'[1]all FNCL'!A$2:B$993,2)</f>
        <v>0.37329753351950501</v>
      </c>
      <c r="J816" s="33">
        <f>VLOOKUP(A816,'Refi Universe'!E:F,2,0)</f>
        <v>0.42496286</v>
      </c>
    </row>
    <row r="817" spans="1:10" ht="15" x14ac:dyDescent="0.25">
      <c r="A817" s="14">
        <v>41767</v>
      </c>
      <c r="B817" s="15">
        <v>201</v>
      </c>
      <c r="C817" s="15">
        <v>201</v>
      </c>
      <c r="D817" s="5">
        <v>2</v>
      </c>
      <c r="E817" s="5">
        <v>-20</v>
      </c>
      <c r="F817" s="5">
        <v>4.1809700000000003</v>
      </c>
      <c r="G817" s="12">
        <f>VLOOKUP(A817,'[1]all FNCL'!A$2:B$993,2)</f>
        <v>0.40121753760358098</v>
      </c>
      <c r="J817" s="33">
        <f>VLOOKUP(A817,'Refi Universe'!E:F,2,0)</f>
        <v>0.42930450999999997</v>
      </c>
    </row>
    <row r="818" spans="1:10" ht="15" x14ac:dyDescent="0.25">
      <c r="A818" s="14">
        <v>41768</v>
      </c>
      <c r="B818" s="15">
        <v>193</v>
      </c>
      <c r="C818" s="15">
        <v>193</v>
      </c>
      <c r="D818" s="5">
        <v>5</v>
      </c>
      <c r="E818" s="5">
        <v>-16</v>
      </c>
      <c r="F818" s="5">
        <v>4.1756279999999997</v>
      </c>
      <c r="G818" s="12">
        <f>VLOOKUP(A818,'[1]all FNCL'!A$2:B$993,2)</f>
        <v>0.40121753760358098</v>
      </c>
      <c r="J818" s="33">
        <f>VLOOKUP(A818,'Refi Universe'!E:F,2,0)</f>
        <v>0.41122847000000001</v>
      </c>
    </row>
    <row r="819" spans="1:10" ht="15" x14ac:dyDescent="0.25">
      <c r="A819" s="14">
        <v>41771</v>
      </c>
      <c r="B819" s="15">
        <v>188</v>
      </c>
      <c r="C819" s="15">
        <v>188</v>
      </c>
      <c r="D819" s="5">
        <v>8</v>
      </c>
      <c r="E819" s="5">
        <v>-13</v>
      </c>
      <c r="F819" s="5">
        <v>4.2036340000000001</v>
      </c>
      <c r="G819" s="12">
        <f>VLOOKUP(A819,'[1]all FNCL'!A$2:B$993,2)</f>
        <v>0.40121753760358098</v>
      </c>
      <c r="J819" s="33">
        <f>VLOOKUP(A819,'Refi Universe'!E:F,2,0)</f>
        <v>0.40149435999999999</v>
      </c>
    </row>
    <row r="820" spans="1:10" ht="15" x14ac:dyDescent="0.25">
      <c r="A820" s="14">
        <v>41772</v>
      </c>
      <c r="B820" s="15">
        <v>190</v>
      </c>
      <c r="C820" s="15">
        <v>190</v>
      </c>
      <c r="D820" s="5">
        <v>7</v>
      </c>
      <c r="E820" s="5">
        <v>-12</v>
      </c>
      <c r="F820" s="5">
        <v>4.224831</v>
      </c>
      <c r="G820" s="12">
        <f>VLOOKUP(A820,'[1]all FNCL'!A$2:B$993,2)</f>
        <v>0.40121753760358098</v>
      </c>
      <c r="J820" s="33">
        <f>VLOOKUP(A820,'Refi Universe'!E:F,2,0)</f>
        <v>0.40866859999999999</v>
      </c>
    </row>
    <row r="821" spans="1:10" ht="15" x14ac:dyDescent="0.25">
      <c r="A821" s="14">
        <v>41773</v>
      </c>
      <c r="B821" s="15">
        <v>196</v>
      </c>
      <c r="C821" s="15">
        <v>196</v>
      </c>
      <c r="D821" s="5">
        <v>7</v>
      </c>
      <c r="E821" s="5">
        <v>-14</v>
      </c>
      <c r="F821" s="5">
        <v>4.2073910000000003</v>
      </c>
      <c r="G821" s="12">
        <f>VLOOKUP(A821,'[1]all FNCL'!A$2:B$993,2)</f>
        <v>0.40121753760358098</v>
      </c>
      <c r="J821" s="33">
        <f>VLOOKUP(A821,'Refi Universe'!E:F,2,0)</f>
        <v>0.44368063000000002</v>
      </c>
    </row>
    <row r="822" spans="1:10" ht="15" x14ac:dyDescent="0.25">
      <c r="A822" s="14">
        <v>41774</v>
      </c>
      <c r="B822" s="15">
        <v>201</v>
      </c>
      <c r="C822" s="15">
        <v>201</v>
      </c>
      <c r="D822" s="5">
        <v>3</v>
      </c>
      <c r="E822" s="5">
        <v>-23</v>
      </c>
      <c r="F822" s="5">
        <v>4.1490169999999997</v>
      </c>
      <c r="G822" s="12">
        <f>VLOOKUP(A822,'[1]all FNCL'!A$2:B$993,2)</f>
        <v>0.40418715867892502</v>
      </c>
      <c r="J822" s="33">
        <f>VLOOKUP(A822,'Refi Universe'!E:F,2,0)</f>
        <v>0.45737897</v>
      </c>
    </row>
    <row r="823" spans="1:10" ht="15" x14ac:dyDescent="0.25">
      <c r="A823" s="14">
        <v>41775</v>
      </c>
      <c r="B823" s="15">
        <v>189</v>
      </c>
      <c r="C823" s="15">
        <v>189</v>
      </c>
      <c r="D823" s="5">
        <v>1</v>
      </c>
      <c r="E823" s="5">
        <v>-26</v>
      </c>
      <c r="F823" s="5">
        <v>4.1383749999999999</v>
      </c>
      <c r="G823" s="12">
        <f>VLOOKUP(A823,'[1]all FNCL'!A$2:B$993,2)</f>
        <v>0.40418715867892502</v>
      </c>
      <c r="J823" s="33">
        <f>VLOOKUP(A823,'Refi Universe'!E:F,2,0)</f>
        <v>0.43683117999999999</v>
      </c>
    </row>
    <row r="824" spans="1:10" ht="15" x14ac:dyDescent="0.25">
      <c r="A824" s="14">
        <v>41778</v>
      </c>
      <c r="B824" s="15">
        <v>196</v>
      </c>
      <c r="C824" s="15">
        <v>196</v>
      </c>
      <c r="D824" s="5">
        <v>2</v>
      </c>
      <c r="E824" s="5">
        <v>-27</v>
      </c>
      <c r="F824" s="5">
        <v>4.1598660000000001</v>
      </c>
      <c r="G824" s="12">
        <f>VLOOKUP(A824,'[1]all FNCL'!A$2:B$993,2)</f>
        <v>0.40418715867892502</v>
      </c>
      <c r="J824" s="33">
        <f>VLOOKUP(A824,'Refi Universe'!E:F,2,0)</f>
        <v>0.42645669000000003</v>
      </c>
    </row>
    <row r="825" spans="1:10" ht="15" x14ac:dyDescent="0.25">
      <c r="A825" s="14">
        <v>41779</v>
      </c>
      <c r="B825" s="15">
        <v>196</v>
      </c>
      <c r="C825" s="15">
        <v>196</v>
      </c>
      <c r="D825" s="5">
        <v>3</v>
      </c>
      <c r="E825" s="5">
        <v>-22</v>
      </c>
      <c r="F825" s="5">
        <v>4.1726650000000003</v>
      </c>
      <c r="G825" s="12">
        <f>VLOOKUP(A825,'[1]all FNCL'!A$2:B$993,2)</f>
        <v>0.40418715867892502</v>
      </c>
      <c r="J825" s="33">
        <f>VLOOKUP(A825,'Refi Universe'!E:F,2,0)</f>
        <v>0.44898321000000002</v>
      </c>
    </row>
    <row r="826" spans="1:10" ht="15" x14ac:dyDescent="0.25">
      <c r="A826" s="14">
        <v>41780</v>
      </c>
      <c r="B826" s="15">
        <v>186</v>
      </c>
      <c r="C826" s="15">
        <v>186</v>
      </c>
      <c r="D826" s="5">
        <v>1</v>
      </c>
      <c r="E826" s="5">
        <v>-25</v>
      </c>
      <c r="F826" s="5">
        <v>4.1460239999999997</v>
      </c>
      <c r="G826" s="12">
        <f>VLOOKUP(A826,'[1]all FNCL'!A$2:B$993,2)</f>
        <v>0.40418715867892502</v>
      </c>
      <c r="J826" s="33">
        <f>VLOOKUP(A826,'Refi Universe'!E:F,2,0)</f>
        <v>0.44799454</v>
      </c>
    </row>
    <row r="827" spans="1:10" ht="15" x14ac:dyDescent="0.25">
      <c r="A827" s="14">
        <v>41781</v>
      </c>
      <c r="B827" s="15">
        <v>177</v>
      </c>
      <c r="C827" s="15">
        <v>177</v>
      </c>
      <c r="D827" s="5">
        <v>-2</v>
      </c>
      <c r="E827" s="5">
        <v>-28</v>
      </c>
      <c r="F827" s="5">
        <v>4.1544129999999999</v>
      </c>
      <c r="G827" s="12">
        <f>VLOOKUP(A827,'[1]all FNCL'!A$2:B$993,2)</f>
        <v>0.43156044404796001</v>
      </c>
      <c r="J827" s="33">
        <f>VLOOKUP(A827,'Refi Universe'!E:F,2,0)</f>
        <v>0.43740635</v>
      </c>
    </row>
    <row r="828" spans="1:10" ht="15" x14ac:dyDescent="0.25">
      <c r="A828" s="14">
        <v>41782</v>
      </c>
      <c r="B828" s="15">
        <v>177</v>
      </c>
      <c r="C828" s="15">
        <v>177</v>
      </c>
      <c r="D828" s="5">
        <v>-4</v>
      </c>
      <c r="E828" s="5">
        <v>-29</v>
      </c>
      <c r="F828" s="5">
        <v>4.1644319999999997</v>
      </c>
      <c r="G828" s="12">
        <f>VLOOKUP(A828,'[1]all FNCL'!A$2:B$993,2)</f>
        <v>0.43156044404796001</v>
      </c>
      <c r="J828" s="33">
        <f>VLOOKUP(A828,'Refi Universe'!E:F,2,0)</f>
        <v>0.44289145000000002</v>
      </c>
    </row>
    <row r="829" spans="1:10" ht="15" x14ac:dyDescent="0.25">
      <c r="A829" s="14">
        <v>41786</v>
      </c>
      <c r="B829" s="15">
        <v>177</v>
      </c>
      <c r="C829" s="15">
        <v>177</v>
      </c>
      <c r="D829" s="5">
        <v>-7</v>
      </c>
      <c r="E829" s="5">
        <v>-30</v>
      </c>
      <c r="F829" s="5">
        <v>4.1575309999999996</v>
      </c>
      <c r="G829" s="12">
        <f>VLOOKUP(A829,'[1]all FNCL'!A$2:B$993,2)</f>
        <v>0.43156044404796001</v>
      </c>
      <c r="J829" s="33">
        <f>VLOOKUP(A829,'Refi Universe'!E:F,2,0)</f>
        <v>0.45865688999999998</v>
      </c>
    </row>
    <row r="830" spans="1:10" ht="15" x14ac:dyDescent="0.25">
      <c r="A830" s="14">
        <v>41787</v>
      </c>
      <c r="B830" s="15">
        <v>191</v>
      </c>
      <c r="C830" s="15">
        <v>191</v>
      </c>
      <c r="D830" s="5">
        <v>-11</v>
      </c>
      <c r="E830" s="5">
        <v>-33</v>
      </c>
      <c r="F830" s="5">
        <v>4.141591</v>
      </c>
      <c r="G830" s="12">
        <f>VLOOKUP(A830,'[1]all FNCL'!A$2:B$993,2)</f>
        <v>0.43156044404796001</v>
      </c>
      <c r="J830" s="33">
        <f>VLOOKUP(A830,'Refi Universe'!E:F,2,0)</f>
        <v>0.52091710000000002</v>
      </c>
    </row>
    <row r="831" spans="1:10" ht="15" x14ac:dyDescent="0.25">
      <c r="A831" s="14">
        <v>41788</v>
      </c>
      <c r="B831" s="15">
        <v>193</v>
      </c>
      <c r="C831" s="15">
        <v>193</v>
      </c>
      <c r="D831" s="5">
        <v>-17</v>
      </c>
      <c r="E831" s="5">
        <v>-38</v>
      </c>
      <c r="F831" s="5">
        <v>4.0755809999999997</v>
      </c>
      <c r="G831" s="12">
        <f>VLOOKUP(A831,'[1]all FNCL'!A$2:B$993,2)</f>
        <v>0.44289145430937299</v>
      </c>
      <c r="J831" s="33">
        <f>VLOOKUP(A831,'Refi Universe'!E:F,2,0)</f>
        <v>0.50196399000000003</v>
      </c>
    </row>
    <row r="832" spans="1:10" ht="15" x14ac:dyDescent="0.25">
      <c r="A832" s="14">
        <v>41789</v>
      </c>
      <c r="B832" s="15">
        <v>186</v>
      </c>
      <c r="C832" s="15">
        <v>186</v>
      </c>
      <c r="D832" s="5">
        <v>-11</v>
      </c>
      <c r="E832" s="5">
        <v>-37</v>
      </c>
      <c r="F832" s="5">
        <v>4.095504</v>
      </c>
      <c r="G832" s="12">
        <f>VLOOKUP(A832,'[1]all FNCL'!A$2:B$993,2)</f>
        <v>0.44289145430937299</v>
      </c>
      <c r="J832" s="33">
        <f>VLOOKUP(A832,'Refi Universe'!E:F,2,0)</f>
        <v>0.49500455999999998</v>
      </c>
    </row>
    <row r="833" spans="1:10" ht="15" x14ac:dyDescent="0.25">
      <c r="A833" s="14">
        <v>41792</v>
      </c>
      <c r="B833" s="15">
        <v>177</v>
      </c>
      <c r="C833" s="15">
        <v>177</v>
      </c>
      <c r="D833" s="5">
        <v>-6</v>
      </c>
      <c r="E833" s="5">
        <v>-36</v>
      </c>
      <c r="F833" s="5">
        <v>4.1051520000000004</v>
      </c>
      <c r="G833" s="12">
        <f>VLOOKUP(A833,'[1]all FNCL'!A$2:B$993,2)</f>
        <v>0.44150761506791297</v>
      </c>
      <c r="J833" s="33">
        <f>VLOOKUP(A833,'Refi Universe'!E:F,2,0)</f>
        <v>0.43706715000000002</v>
      </c>
    </row>
    <row r="834" spans="1:10" ht="15" x14ac:dyDescent="0.25">
      <c r="A834" s="14">
        <v>41793</v>
      </c>
      <c r="B834" s="15">
        <v>164</v>
      </c>
      <c r="C834" s="15">
        <v>164</v>
      </c>
      <c r="D834" s="5">
        <v>-3</v>
      </c>
      <c r="E834" s="5">
        <v>-28</v>
      </c>
      <c r="F834" s="5">
        <v>4.157063</v>
      </c>
      <c r="G834" s="12">
        <f>VLOOKUP(A834,'[1]all FNCL'!A$2:B$993,2)</f>
        <v>0.44150761506791297</v>
      </c>
      <c r="J834" s="33">
        <f>VLOOKUP(A834,'Refi Universe'!E:F,2,0)</f>
        <v>0.41014107999999999</v>
      </c>
    </row>
    <row r="835" spans="1:10" ht="15" x14ac:dyDescent="0.25">
      <c r="A835" s="14">
        <v>41794</v>
      </c>
      <c r="B835" s="15">
        <v>159</v>
      </c>
      <c r="C835" s="15">
        <v>159</v>
      </c>
      <c r="D835" s="5">
        <v>-8</v>
      </c>
      <c r="E835" s="5">
        <v>-30</v>
      </c>
      <c r="F835" s="5">
        <v>4.1975899999999999</v>
      </c>
      <c r="G835" s="12">
        <f>VLOOKUP(A835,'[1]all FNCL'!A$2:B$993,2)</f>
        <v>0.44150761506791297</v>
      </c>
      <c r="J835" s="33">
        <f>VLOOKUP(A835,'Refi Universe'!E:F,2,0)</f>
        <v>0.42071955</v>
      </c>
    </row>
    <row r="836" spans="1:10" ht="15" x14ac:dyDescent="0.25">
      <c r="A836" s="14">
        <v>41795</v>
      </c>
      <c r="B836" s="15">
        <v>160</v>
      </c>
      <c r="C836" s="15">
        <v>160</v>
      </c>
      <c r="D836" s="5">
        <v>-8</v>
      </c>
      <c r="E836" s="5">
        <v>-33</v>
      </c>
      <c r="F836" s="5">
        <v>4.2013040000000004</v>
      </c>
      <c r="G836" s="12">
        <f>VLOOKUP(A836,'[1]all FNCL'!A$2:B$993,2)</f>
        <v>0.429907169996321</v>
      </c>
      <c r="J836" s="33">
        <f>VLOOKUP(A836,'Refi Universe'!E:F,2,0)</f>
        <v>0.43452885000000002</v>
      </c>
    </row>
    <row r="837" spans="1:10" ht="15" x14ac:dyDescent="0.25">
      <c r="A837" s="14">
        <v>41796</v>
      </c>
      <c r="B837" s="15">
        <v>160</v>
      </c>
      <c r="C837" s="15">
        <v>160</v>
      </c>
      <c r="D837" s="5">
        <v>-12</v>
      </c>
      <c r="E837" s="5">
        <v>-37</v>
      </c>
      <c r="F837" s="5">
        <v>4.1811720000000001</v>
      </c>
      <c r="G837" s="12">
        <f>VLOOKUP(A837,'[1]all FNCL'!A$2:B$993,2)</f>
        <v>0.429907169996321</v>
      </c>
      <c r="J837" s="33">
        <f>VLOOKUP(A837,'Refi Universe'!E:F,2,0)</f>
        <v>0.42843293999999998</v>
      </c>
    </row>
    <row r="838" spans="1:10" ht="15" x14ac:dyDescent="0.25">
      <c r="A838" s="14">
        <v>41799</v>
      </c>
      <c r="B838" s="15">
        <v>167</v>
      </c>
      <c r="C838" s="15">
        <v>167</v>
      </c>
      <c r="D838" s="5">
        <v>2</v>
      </c>
      <c r="E838" s="5">
        <v>-18</v>
      </c>
      <c r="F838" s="5">
        <v>4.1902249999999999</v>
      </c>
      <c r="G838" s="12">
        <f>VLOOKUP(A838,'[1]all FNCL'!A$2:B$993,2)</f>
        <v>0.429907169996321</v>
      </c>
      <c r="J838" s="33">
        <f>VLOOKUP(A838,'Refi Universe'!E:F,2,0)</f>
        <v>0.42031565999999998</v>
      </c>
    </row>
    <row r="839" spans="1:10" ht="15" x14ac:dyDescent="0.25">
      <c r="A839" s="14">
        <v>41800</v>
      </c>
      <c r="B839" s="15">
        <v>148</v>
      </c>
      <c r="C839" s="15">
        <v>148</v>
      </c>
      <c r="D839" s="5">
        <v>2</v>
      </c>
      <c r="E839" s="5">
        <v>-15</v>
      </c>
      <c r="F839" s="5">
        <v>4.2027380000000001</v>
      </c>
      <c r="G839" s="12">
        <f>VLOOKUP(A839,'[1]all FNCL'!A$2:B$993,2)</f>
        <v>0.429907169996321</v>
      </c>
      <c r="J839" s="33">
        <f>VLOOKUP(A839,'Refi Universe'!E:F,2,0)</f>
        <v>0.41014107999999999</v>
      </c>
    </row>
    <row r="840" spans="1:10" ht="15" x14ac:dyDescent="0.25">
      <c r="A840" s="14">
        <v>41801</v>
      </c>
      <c r="B840" s="15">
        <v>152</v>
      </c>
      <c r="C840" s="15">
        <v>152</v>
      </c>
      <c r="D840" s="5">
        <v>3</v>
      </c>
      <c r="E840" s="5">
        <v>-12</v>
      </c>
      <c r="F840" s="5">
        <v>4.2168850000000004</v>
      </c>
      <c r="G840" s="12">
        <f>VLOOKUP(A840,'[1]all FNCL'!A$2:B$993,2)</f>
        <v>0.429907169996321</v>
      </c>
      <c r="J840" s="33">
        <f>VLOOKUP(A840,'Refi Universe'!E:F,2,0)</f>
        <v>0.40406526999999998</v>
      </c>
    </row>
    <row r="841" spans="1:10" ht="15" x14ac:dyDescent="0.25">
      <c r="A841" s="14">
        <v>41802</v>
      </c>
      <c r="B841" s="15">
        <v>149</v>
      </c>
      <c r="C841" s="15">
        <v>149</v>
      </c>
      <c r="D841" s="5">
        <v>7</v>
      </c>
      <c r="E841" s="5">
        <v>-12</v>
      </c>
      <c r="F841" s="5">
        <v>4.2138809999999998</v>
      </c>
      <c r="G841" s="12">
        <f>VLOOKUP(A841,'[1]all FNCL'!A$2:B$993,2)</f>
        <v>0.40128471016646999</v>
      </c>
      <c r="J841" s="33">
        <f>VLOOKUP(A841,'Refi Universe'!E:F,2,0)</f>
        <v>0.42476902</v>
      </c>
    </row>
    <row r="842" spans="1:10" ht="15" x14ac:dyDescent="0.25">
      <c r="A842" s="14">
        <v>41803</v>
      </c>
      <c r="B842" s="15">
        <v>143</v>
      </c>
      <c r="C842" s="15">
        <v>143</v>
      </c>
      <c r="D842" s="5">
        <v>3</v>
      </c>
      <c r="E842" s="5">
        <v>-13</v>
      </c>
      <c r="F842" s="5">
        <v>4.1805640000000004</v>
      </c>
      <c r="G842" s="12">
        <f>VLOOKUP(A842,'[1]all FNCL'!A$2:B$993,2)</f>
        <v>0.40128471016646999</v>
      </c>
      <c r="J842" s="33">
        <f>VLOOKUP(A842,'Refi Universe'!E:F,2,0)</f>
        <v>0.41768483000000001</v>
      </c>
    </row>
    <row r="843" spans="1:10" ht="15" x14ac:dyDescent="0.25">
      <c r="A843" s="14">
        <v>41806</v>
      </c>
      <c r="B843" s="15">
        <v>147</v>
      </c>
      <c r="C843" s="15">
        <v>147</v>
      </c>
      <c r="D843" s="5">
        <v>-4</v>
      </c>
      <c r="E843" s="5">
        <v>-21</v>
      </c>
      <c r="F843" s="5">
        <v>4.1924760000000001</v>
      </c>
      <c r="G843" s="12">
        <f>VLOOKUP(A843,'[1]all FNCL'!A$2:B$993,2)</f>
        <v>0.40128471016646999</v>
      </c>
      <c r="J843" s="33">
        <f>VLOOKUP(A843,'Refi Universe'!E:F,2,0)</f>
        <v>0.42322926999999999</v>
      </c>
    </row>
    <row r="844" spans="1:10" ht="15" x14ac:dyDescent="0.25">
      <c r="A844" s="14">
        <v>41807</v>
      </c>
      <c r="B844" s="15">
        <v>133</v>
      </c>
      <c r="C844" s="15">
        <v>133</v>
      </c>
      <c r="D844" s="5">
        <v>-10</v>
      </c>
      <c r="E844" s="5">
        <v>-21</v>
      </c>
      <c r="F844" s="5">
        <v>4.182817</v>
      </c>
      <c r="G844" s="12">
        <f>VLOOKUP(A844,'[1]all FNCL'!A$2:B$993,2)</f>
        <v>0.40128471016646999</v>
      </c>
      <c r="J844" s="33">
        <f>VLOOKUP(A844,'Refi Universe'!E:F,2,0)</f>
        <v>0.39932106000000001</v>
      </c>
    </row>
    <row r="845" spans="1:10" ht="15" x14ac:dyDescent="0.25">
      <c r="A845" s="14">
        <v>41808</v>
      </c>
      <c r="B845" s="15">
        <v>127</v>
      </c>
      <c r="C845" s="15">
        <v>127</v>
      </c>
      <c r="D845" s="5">
        <v>-6</v>
      </c>
      <c r="E845" s="5">
        <v>-12</v>
      </c>
      <c r="F845" s="5">
        <v>4.2250750000000004</v>
      </c>
      <c r="G845" s="12">
        <f>VLOOKUP(A845,'[1]all FNCL'!A$2:B$993,2)</f>
        <v>0.40128471016646999</v>
      </c>
      <c r="J845" s="33">
        <f>VLOOKUP(A845,'Refi Universe'!E:F,2,0)</f>
        <v>0.42635938000000001</v>
      </c>
    </row>
    <row r="846" spans="1:10" ht="15" x14ac:dyDescent="0.25">
      <c r="A846" s="14">
        <v>41809</v>
      </c>
      <c r="B846" s="15">
        <v>127</v>
      </c>
      <c r="C846" s="15">
        <v>127</v>
      </c>
      <c r="D846" s="5">
        <v>-12</v>
      </c>
      <c r="E846" s="5">
        <v>-21</v>
      </c>
      <c r="F846" s="5">
        <v>4.1946849999999998</v>
      </c>
      <c r="G846" s="12">
        <f>VLOOKUP(A846,'[1]all FNCL'!A$2:B$993,2)</f>
        <v>0.41370374077875499</v>
      </c>
      <c r="J846" s="33">
        <f>VLOOKUP(A846,'Refi Universe'!E:F,2,0)</f>
        <v>0.43522570999999999</v>
      </c>
    </row>
    <row r="847" spans="1:10" ht="15" x14ac:dyDescent="0.25">
      <c r="A847" s="14">
        <v>41810</v>
      </c>
      <c r="B847" s="15">
        <v>114</v>
      </c>
      <c r="C847" s="15">
        <v>114</v>
      </c>
      <c r="D847" s="5">
        <v>-13</v>
      </c>
      <c r="E847" s="5">
        <v>-25</v>
      </c>
      <c r="F847" s="5">
        <v>4.1836359999999999</v>
      </c>
      <c r="G847" s="12">
        <f>VLOOKUP(A847,'[1]all FNCL'!A$2:B$993,2)</f>
        <v>0.41370374077875499</v>
      </c>
      <c r="J847" s="33">
        <f>VLOOKUP(A847,'Refi Universe'!E:F,2,0)</f>
        <v>0.43655733000000002</v>
      </c>
    </row>
    <row r="848" spans="1:10" ht="15" x14ac:dyDescent="0.25">
      <c r="A848" s="14">
        <v>41813</v>
      </c>
      <c r="B848" s="15">
        <v>114</v>
      </c>
      <c r="C848" s="15">
        <v>114</v>
      </c>
      <c r="D848" s="5">
        <v>-20</v>
      </c>
      <c r="E848" s="5">
        <v>-28</v>
      </c>
      <c r="F848" s="5">
        <v>4.1821529999999996</v>
      </c>
      <c r="G848" s="12">
        <f>VLOOKUP(A848,'[1]all FNCL'!A$2:B$993,2)</f>
        <v>0.41370374077875499</v>
      </c>
      <c r="J848" s="33">
        <f>VLOOKUP(A848,'Refi Universe'!E:F,2,0)</f>
        <v>0.43452885000000002</v>
      </c>
    </row>
    <row r="849" spans="1:10" ht="15" x14ac:dyDescent="0.25">
      <c r="A849" s="14">
        <v>41814</v>
      </c>
      <c r="B849" s="15">
        <v>112</v>
      </c>
      <c r="C849" s="15">
        <v>112</v>
      </c>
      <c r="D849" s="5">
        <v>-24</v>
      </c>
      <c r="E849" s="5">
        <v>-30</v>
      </c>
      <c r="F849" s="5">
        <v>4.1843680000000001</v>
      </c>
      <c r="G849" s="12">
        <f>VLOOKUP(A849,'[1]all FNCL'!A$2:B$993,2)</f>
        <v>0.41370374077875499</v>
      </c>
      <c r="J849" s="33">
        <f>VLOOKUP(A849,'Refi Universe'!E:F,2,0)</f>
        <v>0.45198268000000003</v>
      </c>
    </row>
    <row r="850" spans="1:10" ht="15" x14ac:dyDescent="0.25">
      <c r="A850" s="14">
        <v>41815</v>
      </c>
      <c r="B850" s="15">
        <v>122</v>
      </c>
      <c r="C850" s="15">
        <v>122</v>
      </c>
      <c r="D850" s="5">
        <v>-23</v>
      </c>
      <c r="E850" s="5">
        <v>-30</v>
      </c>
      <c r="F850" s="5">
        <v>4.1675529999999998</v>
      </c>
      <c r="G850" s="12">
        <f>VLOOKUP(A850,'[1]all FNCL'!A$2:B$993,2)</f>
        <v>0.41370374077875499</v>
      </c>
      <c r="J850" s="33">
        <f>VLOOKUP(A850,'Refi Universe'!E:F,2,0)</f>
        <v>0.49225047999999999</v>
      </c>
    </row>
    <row r="851" spans="1:10" ht="15" x14ac:dyDescent="0.25">
      <c r="A851" s="14">
        <v>41816</v>
      </c>
      <c r="B851" s="15">
        <v>127</v>
      </c>
      <c r="C851" s="15">
        <v>127</v>
      </c>
      <c r="D851" s="5">
        <v>-22</v>
      </c>
      <c r="E851" s="5">
        <v>-29</v>
      </c>
      <c r="F851" s="5">
        <v>4.1512549999999999</v>
      </c>
      <c r="G851" s="12">
        <f>VLOOKUP(A851,'[1]all FNCL'!A$2:B$993,2)</f>
        <v>0.429907169996321</v>
      </c>
      <c r="J851" s="33">
        <f>VLOOKUP(A851,'Refi Universe'!E:F,2,0)</f>
        <v>0.51066940999999999</v>
      </c>
    </row>
    <row r="852" spans="1:10" ht="15" x14ac:dyDescent="0.25">
      <c r="A852" s="14">
        <v>41817</v>
      </c>
      <c r="B852" s="15">
        <v>136</v>
      </c>
      <c r="C852" s="15">
        <v>136</v>
      </c>
      <c r="D852" s="5">
        <v>-23</v>
      </c>
      <c r="E852" s="5">
        <v>-29</v>
      </c>
      <c r="F852" s="5">
        <v>4.1322590000000003</v>
      </c>
      <c r="G852" s="12">
        <f>VLOOKUP(A852,'[1]all FNCL'!A$2:B$993,2)</f>
        <v>0.429907169996321</v>
      </c>
      <c r="J852" s="33">
        <f>VLOOKUP(A852,'Refi Universe'!E:F,2,0)</f>
        <v>0.50844522999999997</v>
      </c>
    </row>
    <row r="853" spans="1:10" ht="15" x14ac:dyDescent="0.25">
      <c r="A853" s="14">
        <v>41820</v>
      </c>
      <c r="B853" s="15">
        <v>125</v>
      </c>
      <c r="C853" s="15">
        <v>125</v>
      </c>
      <c r="D853" s="5">
        <v>-19</v>
      </c>
      <c r="E853" s="5">
        <v>-26</v>
      </c>
      <c r="F853" s="5">
        <v>4.1337260000000002</v>
      </c>
      <c r="G853" s="12">
        <f>VLOOKUP(A853,'[1]all FNCL'!A$2:B$993,2)</f>
        <v>0.429907169996321</v>
      </c>
      <c r="J853" s="33">
        <f>VLOOKUP(A853,'Refi Universe'!E:F,2,0)</f>
        <v>0.51776922999999997</v>
      </c>
    </row>
    <row r="854" spans="1:10" ht="15" x14ac:dyDescent="0.25">
      <c r="A854" s="14">
        <v>41821</v>
      </c>
      <c r="B854" s="15">
        <v>120</v>
      </c>
      <c r="C854" s="15">
        <v>120</v>
      </c>
      <c r="D854" s="5">
        <v>-25</v>
      </c>
      <c r="E854" s="5">
        <v>-33</v>
      </c>
      <c r="F854" s="5">
        <v>4.126436</v>
      </c>
      <c r="G854" s="12">
        <f>VLOOKUP(A854,'[1]all FNCL'!A$2:B$993,2)</f>
        <v>0.42761316319375098</v>
      </c>
      <c r="J854" s="33">
        <f>VLOOKUP(A854,'Refi Universe'!E:F,2,0)</f>
        <v>0.47824238000000002</v>
      </c>
    </row>
    <row r="855" spans="1:10" ht="15" x14ac:dyDescent="0.25">
      <c r="A855" s="14">
        <v>41822</v>
      </c>
      <c r="B855" s="15">
        <v>106</v>
      </c>
      <c r="C855" s="15">
        <v>106</v>
      </c>
      <c r="D855" s="5">
        <v>-29</v>
      </c>
      <c r="E855" s="5">
        <v>-29</v>
      </c>
      <c r="F855" s="5">
        <v>4.1615190000000002</v>
      </c>
      <c r="G855" s="12">
        <f>VLOOKUP(A855,'[1]all FNCL'!A$2:B$993,2)</f>
        <v>0.42761316319375098</v>
      </c>
      <c r="J855" s="33">
        <f>VLOOKUP(A855,'Refi Universe'!E:F,2,0)</f>
        <v>0.43030836</v>
      </c>
    </row>
    <row r="856" spans="1:10" ht="15" x14ac:dyDescent="0.25">
      <c r="A856" s="14">
        <v>41823</v>
      </c>
      <c r="B856" s="15">
        <v>99</v>
      </c>
      <c r="C856" s="15">
        <v>99</v>
      </c>
      <c r="D856" s="5">
        <v>-28</v>
      </c>
      <c r="E856" s="5">
        <v>-32</v>
      </c>
      <c r="F856" s="5">
        <v>4.1944220000000003</v>
      </c>
      <c r="G856" s="12">
        <f>VLOOKUP(A856,'[1]all FNCL'!A$2:B$993,2)</f>
        <v>0.43906416657041802</v>
      </c>
      <c r="J856" s="33">
        <f>VLOOKUP(A856,'Refi Universe'!E:F,2,0)</f>
        <v>0.41770215999999999</v>
      </c>
    </row>
    <row r="857" spans="1:10" ht="15" x14ac:dyDescent="0.25">
      <c r="A857" s="14">
        <v>41827</v>
      </c>
      <c r="B857" s="15">
        <v>103</v>
      </c>
      <c r="C857" s="15">
        <v>103</v>
      </c>
      <c r="D857" s="5">
        <v>-33</v>
      </c>
      <c r="E857" s="5">
        <v>-34</v>
      </c>
      <c r="F857" s="5">
        <v>4.211964</v>
      </c>
      <c r="G857" s="12">
        <f>VLOOKUP(A857,'[1]all FNCL'!A$2:B$993,2)</f>
        <v>0.43906416657041802</v>
      </c>
      <c r="J857" s="33">
        <f>VLOOKUP(A857,'Refi Universe'!E:F,2,0)</f>
        <v>0.42606885999999999</v>
      </c>
    </row>
    <row r="858" spans="1:10" ht="15" x14ac:dyDescent="0.25">
      <c r="A858" s="14">
        <v>41828</v>
      </c>
      <c r="B858" s="15">
        <v>112</v>
      </c>
      <c r="C858" s="15">
        <v>112</v>
      </c>
      <c r="D858" s="5">
        <v>-32</v>
      </c>
      <c r="E858" s="5">
        <v>-34</v>
      </c>
      <c r="F858" s="5">
        <v>4.1997039999999997</v>
      </c>
      <c r="G858" s="12">
        <f>VLOOKUP(A858,'[1]all FNCL'!A$2:B$993,2)</f>
        <v>0.43906416657041802</v>
      </c>
      <c r="J858" s="33">
        <f>VLOOKUP(A858,'Refi Universe'!E:F,2,0)</f>
        <v>0.44795372</v>
      </c>
    </row>
    <row r="859" spans="1:10" ht="15" x14ac:dyDescent="0.25">
      <c r="A859" s="14">
        <v>41829</v>
      </c>
      <c r="B859" s="15">
        <v>107</v>
      </c>
      <c r="C859" s="15">
        <v>107</v>
      </c>
      <c r="D859" s="5">
        <v>-22</v>
      </c>
      <c r="E859" s="5">
        <v>-25</v>
      </c>
      <c r="F859" s="5">
        <v>4.1790849999999997</v>
      </c>
      <c r="G859" s="12">
        <f>VLOOKUP(A859,'[1]all FNCL'!A$2:B$993,2)</f>
        <v>0.43906416657041802</v>
      </c>
      <c r="J859" s="33">
        <f>VLOOKUP(A859,'Refi Universe'!E:F,2,0)</f>
        <v>0.44063657000000001</v>
      </c>
    </row>
    <row r="860" spans="1:10" ht="15" x14ac:dyDescent="0.25">
      <c r="A860" s="14">
        <v>41830</v>
      </c>
      <c r="B860" s="15">
        <v>118</v>
      </c>
      <c r="C860" s="15">
        <v>118</v>
      </c>
      <c r="D860" s="5">
        <v>-26</v>
      </c>
      <c r="E860" s="5">
        <v>-27</v>
      </c>
      <c r="F860" s="5">
        <v>4.1675129999999996</v>
      </c>
      <c r="G860" s="12">
        <f>VLOOKUP(A860,'[1]all FNCL'!A$2:B$993,2)</f>
        <v>0.420794457847457</v>
      </c>
      <c r="J860" s="33">
        <f>VLOOKUP(A860,'Refi Universe'!E:F,2,0)</f>
        <v>0.45347109000000002</v>
      </c>
    </row>
    <row r="861" spans="1:10" ht="15" x14ac:dyDescent="0.25">
      <c r="A861" s="14">
        <v>41831</v>
      </c>
      <c r="B861" s="15">
        <v>113</v>
      </c>
      <c r="C861" s="15">
        <v>113</v>
      </c>
      <c r="D861" s="5">
        <v>-20</v>
      </c>
      <c r="E861" s="5">
        <v>-26</v>
      </c>
      <c r="F861" s="5">
        <v>4.1550370000000001</v>
      </c>
      <c r="G861" s="12">
        <f>VLOOKUP(A861,'[1]all FNCL'!A$2:B$993,2)</f>
        <v>0.420794457847457</v>
      </c>
      <c r="J861" s="33">
        <f>VLOOKUP(A861,'Refi Universe'!E:F,2,0)</f>
        <v>0.46728881999999999</v>
      </c>
    </row>
    <row r="862" spans="1:10" ht="15" x14ac:dyDescent="0.25">
      <c r="A862" s="14">
        <v>41834</v>
      </c>
      <c r="B862" s="15">
        <v>112</v>
      </c>
      <c r="C862" s="15">
        <v>112</v>
      </c>
      <c r="D862" s="5">
        <v>-26</v>
      </c>
      <c r="E862" s="5">
        <v>-30</v>
      </c>
      <c r="F862" s="5">
        <v>4.1448749999999999</v>
      </c>
      <c r="G862" s="12">
        <f>VLOOKUP(A862,'[1]all FNCL'!A$2:B$993,2)</f>
        <v>0.420794457847457</v>
      </c>
      <c r="J862" s="33">
        <f>VLOOKUP(A862,'Refi Universe'!E:F,2,0)</f>
        <v>0.43683656999999998</v>
      </c>
    </row>
    <row r="863" spans="1:10" ht="15" x14ac:dyDescent="0.25">
      <c r="A863" s="14">
        <v>41835</v>
      </c>
      <c r="B863" s="15">
        <v>117</v>
      </c>
      <c r="C863" s="15">
        <v>117</v>
      </c>
      <c r="D863" s="5">
        <v>-18</v>
      </c>
      <c r="E863" s="5">
        <v>-23</v>
      </c>
      <c r="F863" s="5">
        <v>4.1710349999999998</v>
      </c>
      <c r="G863" s="12">
        <f>VLOOKUP(A863,'[1]all FNCL'!A$2:B$993,2)</f>
        <v>0.420794457847457</v>
      </c>
      <c r="J863" s="33">
        <f>VLOOKUP(A863,'Refi Universe'!E:F,2,0)</f>
        <v>0.43107715000000002</v>
      </c>
    </row>
    <row r="864" spans="1:10" ht="15" x14ac:dyDescent="0.25">
      <c r="A864" s="14">
        <v>41836</v>
      </c>
      <c r="B864" s="15">
        <v>115</v>
      </c>
      <c r="C864" s="15">
        <v>115</v>
      </c>
      <c r="D864" s="5">
        <v>-21</v>
      </c>
      <c r="E864" s="5">
        <v>-26</v>
      </c>
      <c r="F864" s="5">
        <v>4.1775229999999999</v>
      </c>
      <c r="G864" s="12">
        <f>VLOOKUP(A864,'[1]all FNCL'!A$2:B$993,2)</f>
        <v>0.420794457847457</v>
      </c>
      <c r="J864" s="33">
        <f>VLOOKUP(A864,'Refi Universe'!E:F,2,0)</f>
        <v>0.43663878</v>
      </c>
    </row>
    <row r="865" spans="1:10" ht="15" x14ac:dyDescent="0.25">
      <c r="A865" s="14">
        <v>41837</v>
      </c>
      <c r="B865" s="15">
        <v>121</v>
      </c>
      <c r="C865" s="15">
        <v>121</v>
      </c>
      <c r="D865" s="5">
        <v>-19</v>
      </c>
      <c r="E865" s="5">
        <v>-26</v>
      </c>
      <c r="F865" s="5">
        <v>4.180428</v>
      </c>
      <c r="G865" s="12">
        <f>VLOOKUP(A865,'[1]all FNCL'!A$2:B$993,2)</f>
        <v>0.43231309412176999</v>
      </c>
      <c r="J865" s="33">
        <f>VLOOKUP(A865,'Refi Universe'!E:F,2,0)</f>
        <v>0.47910324999999998</v>
      </c>
    </row>
    <row r="866" spans="1:10" ht="15" x14ac:dyDescent="0.25">
      <c r="A866" s="14">
        <v>41838</v>
      </c>
      <c r="B866" s="15">
        <v>126</v>
      </c>
      <c r="C866" s="15">
        <v>126</v>
      </c>
      <c r="D866" s="5">
        <v>-18</v>
      </c>
      <c r="E866" s="5">
        <v>-30</v>
      </c>
      <c r="F866" s="5">
        <v>4.1429049999999998</v>
      </c>
      <c r="G866" s="12">
        <f>VLOOKUP(A866,'[1]all FNCL'!A$2:B$993,2)</f>
        <v>0.43231309412176999</v>
      </c>
      <c r="J866" s="33">
        <f>VLOOKUP(A866,'Refi Universe'!E:F,2,0)</f>
        <v>0.47910324999999998</v>
      </c>
    </row>
    <row r="867" spans="1:10" ht="15" x14ac:dyDescent="0.25">
      <c r="A867" s="14">
        <v>41841</v>
      </c>
      <c r="B867" s="15">
        <v>136</v>
      </c>
      <c r="C867" s="15">
        <v>136</v>
      </c>
      <c r="D867" s="5">
        <v>-18</v>
      </c>
      <c r="E867" s="5">
        <v>-36</v>
      </c>
      <c r="F867" s="5">
        <v>4.1429049999999998</v>
      </c>
      <c r="G867" s="12">
        <f>VLOOKUP(A867,'[1]all FNCL'!A$2:B$993,2)</f>
        <v>0.43231309412176999</v>
      </c>
      <c r="J867" s="33">
        <f>VLOOKUP(A867,'Refi Universe'!E:F,2,0)</f>
        <v>0.48273333000000002</v>
      </c>
    </row>
    <row r="868" spans="1:10" ht="15" x14ac:dyDescent="0.25">
      <c r="A868" s="14">
        <v>41842</v>
      </c>
      <c r="B868" s="15">
        <v>136</v>
      </c>
      <c r="C868" s="15">
        <v>136</v>
      </c>
      <c r="D868" s="5">
        <v>-12</v>
      </c>
      <c r="E868" s="5">
        <v>-35</v>
      </c>
      <c r="F868" s="5">
        <v>4.1400620000000004</v>
      </c>
      <c r="G868" s="12">
        <f>VLOOKUP(A868,'[1]all FNCL'!A$2:B$993,2)</f>
        <v>0.43231309412176999</v>
      </c>
      <c r="J868" s="33">
        <f>VLOOKUP(A868,'Refi Universe'!E:F,2,0)</f>
        <v>0.48811768</v>
      </c>
    </row>
    <row r="869" spans="1:10" ht="15" x14ac:dyDescent="0.25">
      <c r="A869" s="14">
        <v>41843</v>
      </c>
      <c r="B869" s="15">
        <v>146</v>
      </c>
      <c r="C869" s="15">
        <v>146</v>
      </c>
      <c r="D869" s="5">
        <v>-12</v>
      </c>
      <c r="E869" s="5">
        <v>-33</v>
      </c>
      <c r="F869" s="5">
        <v>4.1350160000000002</v>
      </c>
      <c r="G869" s="12">
        <f>VLOOKUP(A869,'[1]all FNCL'!A$2:B$993,2)</f>
        <v>0.43231309412176999</v>
      </c>
      <c r="J869" s="33">
        <f>VLOOKUP(A869,'Refi Universe'!E:F,2,0)</f>
        <v>0.44795372</v>
      </c>
    </row>
    <row r="870" spans="1:10" ht="15" x14ac:dyDescent="0.25">
      <c r="A870" s="14">
        <v>41844</v>
      </c>
      <c r="B870" s="15">
        <v>130</v>
      </c>
      <c r="C870" s="15">
        <v>130</v>
      </c>
      <c r="D870" s="5">
        <v>-10</v>
      </c>
      <c r="E870" s="5">
        <v>-32</v>
      </c>
      <c r="F870" s="5">
        <v>4.1428859999999998</v>
      </c>
      <c r="G870" s="12">
        <f>VLOOKUP(A870,'[1]all FNCL'!A$2:B$993,2)</f>
        <v>0.43231309412176999</v>
      </c>
      <c r="J870" s="33">
        <f>VLOOKUP(A870,'Refi Universe'!E:F,2,0)</f>
        <v>0.41588460999999999</v>
      </c>
    </row>
    <row r="871" spans="1:10" ht="15" x14ac:dyDescent="0.25">
      <c r="A871" s="14">
        <v>41845</v>
      </c>
      <c r="B871" s="15">
        <v>135</v>
      </c>
      <c r="C871" s="15">
        <v>135</v>
      </c>
      <c r="D871" s="5">
        <v>-10</v>
      </c>
      <c r="E871" s="5">
        <v>-30</v>
      </c>
      <c r="F871" s="5">
        <v>4.178706</v>
      </c>
      <c r="G871" s="12">
        <f>VLOOKUP(A871,'[1]all FNCL'!A$2:B$993,2)</f>
        <v>0.43231309412176999</v>
      </c>
      <c r="J871" s="33">
        <f>VLOOKUP(A871,'Refi Universe'!E:F,2,0)</f>
        <v>0.44317708</v>
      </c>
    </row>
    <row r="872" spans="1:10" ht="15" x14ac:dyDescent="0.25">
      <c r="A872" s="14">
        <v>41848</v>
      </c>
      <c r="B872" s="15">
        <v>139</v>
      </c>
      <c r="C872" s="15">
        <v>139</v>
      </c>
      <c r="D872" s="5">
        <v>-11</v>
      </c>
      <c r="E872" s="5">
        <v>-35</v>
      </c>
      <c r="F872" s="5">
        <v>4.1514280000000001</v>
      </c>
      <c r="G872" s="12">
        <f>VLOOKUP(A872,'[1]all FNCL'!A$2:B$993,2)</f>
        <v>0.43231309412176999</v>
      </c>
      <c r="J872" s="33">
        <f>VLOOKUP(A872,'Refi Universe'!E:F,2,0)</f>
        <v>0.43261189</v>
      </c>
    </row>
    <row r="873" spans="1:10" ht="15" x14ac:dyDescent="0.25">
      <c r="A873" s="14">
        <v>41849</v>
      </c>
      <c r="B873" s="15">
        <v>149</v>
      </c>
      <c r="C873" s="15">
        <v>149</v>
      </c>
      <c r="D873" s="5">
        <v>-7</v>
      </c>
      <c r="E873" s="5">
        <v>-31</v>
      </c>
      <c r="F873" s="5">
        <v>4.1579660000000001</v>
      </c>
      <c r="G873" s="12">
        <f>VLOOKUP(A873,'[1]all FNCL'!A$2:B$993,2)</f>
        <v>0.43231309412176999</v>
      </c>
      <c r="J873" s="33">
        <f>VLOOKUP(A873,'Refi Universe'!E:F,2,0)</f>
        <v>0.44959285999999998</v>
      </c>
    </row>
    <row r="874" spans="1:10" ht="15" x14ac:dyDescent="0.25">
      <c r="A874" s="14">
        <v>41850</v>
      </c>
      <c r="B874" s="15">
        <v>123</v>
      </c>
      <c r="C874" s="15">
        <v>123</v>
      </c>
      <c r="D874" s="5">
        <v>-4</v>
      </c>
      <c r="E874" s="5">
        <v>-31</v>
      </c>
      <c r="F874" s="5">
        <v>4.1415940000000004</v>
      </c>
      <c r="G874" s="12">
        <f>VLOOKUP(A874,'[1]all FNCL'!A$2:B$993,2)</f>
        <v>0.43231309412176999</v>
      </c>
      <c r="J874" s="33">
        <f>VLOOKUP(A874,'Refi Universe'!E:F,2,0)</f>
        <v>0.42414057999999999</v>
      </c>
    </row>
    <row r="875" spans="1:10" ht="15" x14ac:dyDescent="0.25">
      <c r="A875" s="14">
        <v>41851</v>
      </c>
      <c r="B875" s="15">
        <v>-15</v>
      </c>
      <c r="C875" s="15">
        <v>-15</v>
      </c>
      <c r="D875" s="5">
        <v>-16</v>
      </c>
      <c r="E875" s="5">
        <v>-35</v>
      </c>
      <c r="F875" s="5">
        <v>4.2008349999999997</v>
      </c>
      <c r="G875" s="12">
        <f>VLOOKUP(A875,'[1]all FNCL'!A$2:B$993,2)</f>
        <v>0.43906416657041802</v>
      </c>
      <c r="J875" s="33">
        <f>VLOOKUP(A875,'Refi Universe'!E:F,2,0)</f>
        <v>0.41925241000000002</v>
      </c>
    </row>
    <row r="876" spans="1:10" ht="15" x14ac:dyDescent="0.25">
      <c r="A876" s="14">
        <v>41852</v>
      </c>
      <c r="B876" s="15">
        <v>136</v>
      </c>
      <c r="C876" s="15">
        <v>136</v>
      </c>
      <c r="D876" s="5">
        <v>-14</v>
      </c>
      <c r="E876" s="5">
        <v>-32</v>
      </c>
      <c r="F876" s="5">
        <v>4.210934</v>
      </c>
      <c r="G876" s="12">
        <f>VLOOKUP(A876,'[1]all FNCL'!A$2:B$993,2)</f>
        <v>0.43538889187038299</v>
      </c>
      <c r="J876" s="33">
        <f>VLOOKUP(A876,'Refi Universe'!E:F,2,0)</f>
        <v>0.44509471</v>
      </c>
    </row>
    <row r="877" spans="1:10" ht="15" x14ac:dyDescent="0.25">
      <c r="A877" s="14">
        <v>41855</v>
      </c>
      <c r="B877" s="15">
        <v>143</v>
      </c>
      <c r="C877" s="15">
        <v>143</v>
      </c>
      <c r="D877" s="5">
        <v>-10</v>
      </c>
      <c r="E877" s="5">
        <v>-32</v>
      </c>
      <c r="F877" s="5">
        <v>4.1723590000000002</v>
      </c>
      <c r="G877" s="12">
        <f>VLOOKUP(A877,'[1]all FNCL'!A$2:B$993,2)</f>
        <v>0.43538889187038299</v>
      </c>
      <c r="J877" s="33">
        <f>VLOOKUP(A877,'Refi Universe'!E:F,2,0)</f>
        <v>0.45464160999999997</v>
      </c>
    </row>
    <row r="878" spans="1:10" ht="15" x14ac:dyDescent="0.25">
      <c r="A878" s="14">
        <v>41856</v>
      </c>
      <c r="B878" s="15">
        <v>148</v>
      </c>
      <c r="C878" s="15">
        <v>148</v>
      </c>
      <c r="D878" s="5">
        <v>-9</v>
      </c>
      <c r="E878" s="5">
        <v>-29</v>
      </c>
      <c r="F878" s="5">
        <v>4.1674160000000002</v>
      </c>
      <c r="G878" s="12">
        <f>VLOOKUP(A878,'[1]all FNCL'!A$2:B$993,2)</f>
        <v>0.43538889187038299</v>
      </c>
      <c r="J878" s="33">
        <f>VLOOKUP(A878,'Refi Universe'!E:F,2,0)</f>
        <v>0.45575253999999998</v>
      </c>
    </row>
    <row r="879" spans="1:10" ht="15" x14ac:dyDescent="0.25">
      <c r="A879" s="14">
        <v>41857</v>
      </c>
      <c r="B879" s="15">
        <v>161</v>
      </c>
      <c r="C879" s="15">
        <v>161</v>
      </c>
      <c r="D879" s="5">
        <v>-15</v>
      </c>
      <c r="E879" s="5">
        <v>-30</v>
      </c>
      <c r="F879" s="5">
        <v>4.1660159999999999</v>
      </c>
      <c r="G879" s="12">
        <f>VLOOKUP(A879,'[1]all FNCL'!A$2:B$993,2)</f>
        <v>0.43538889187038299</v>
      </c>
      <c r="J879" s="33">
        <f>VLOOKUP(A879,'Refi Universe'!E:F,2,0)</f>
        <v>0.43155733000000002</v>
      </c>
    </row>
    <row r="880" spans="1:10" ht="15" x14ac:dyDescent="0.25">
      <c r="A880" s="14">
        <v>41858</v>
      </c>
      <c r="B880" s="15">
        <v>156</v>
      </c>
      <c r="C880" s="15">
        <v>156</v>
      </c>
      <c r="D880" s="5">
        <v>1</v>
      </c>
      <c r="E880" s="5">
        <v>-25</v>
      </c>
      <c r="F880" s="5">
        <v>4.1646229999999997</v>
      </c>
      <c r="G880" s="12">
        <f>VLOOKUP(A880,'[1]all FNCL'!A$2:B$993,2)</f>
        <v>0.42413376349642801</v>
      </c>
      <c r="J880" s="33">
        <f>VLOOKUP(A880,'Refi Universe'!E:F,2,0)</f>
        <v>0.46029262999999998</v>
      </c>
    </row>
    <row r="881" spans="1:10" ht="15" x14ac:dyDescent="0.25">
      <c r="A881" s="14">
        <v>41859</v>
      </c>
      <c r="B881" s="15">
        <v>161</v>
      </c>
      <c r="C881" s="15">
        <v>161</v>
      </c>
      <c r="D881" s="5">
        <v>0</v>
      </c>
      <c r="E881" s="5">
        <v>-26</v>
      </c>
      <c r="F881" s="5">
        <v>4.1418379999999999</v>
      </c>
      <c r="G881" s="12">
        <f>VLOOKUP(A881,'[1]all FNCL'!A$2:B$993,2)</f>
        <v>0.42413376349642801</v>
      </c>
      <c r="J881" s="33">
        <f>VLOOKUP(A881,'Refi Universe'!E:F,2,0)</f>
        <v>0.46856598999999999</v>
      </c>
    </row>
    <row r="882" spans="1:10" ht="15" x14ac:dyDescent="0.25">
      <c r="A882" s="14">
        <v>41862</v>
      </c>
      <c r="B882" s="15">
        <v>163</v>
      </c>
      <c r="C882" s="15">
        <v>163</v>
      </c>
      <c r="D882" s="5">
        <v>5</v>
      </c>
      <c r="E882" s="5">
        <v>-28</v>
      </c>
      <c r="F882" s="5">
        <v>4.1340599999999998</v>
      </c>
      <c r="G882" s="12">
        <f>VLOOKUP(A882,'[1]all FNCL'!A$2:B$993,2)</f>
        <v>0.42413376349642801</v>
      </c>
      <c r="J882" s="33">
        <f>VLOOKUP(A882,'Refi Universe'!E:F,2,0)</f>
        <v>0.45912554999999999</v>
      </c>
    </row>
    <row r="883" spans="1:10" ht="15" x14ac:dyDescent="0.25">
      <c r="A883" s="14">
        <v>41863</v>
      </c>
      <c r="B883" s="15">
        <v>167</v>
      </c>
      <c r="C883" s="15">
        <v>167</v>
      </c>
      <c r="D883" s="5">
        <v>2</v>
      </c>
      <c r="E883" s="5">
        <v>-26</v>
      </c>
      <c r="F883" s="5">
        <v>4.1411309999999997</v>
      </c>
      <c r="G883" s="12">
        <f>VLOOKUP(A883,'[1]all FNCL'!A$2:B$993,2)</f>
        <v>0.42413376349642801</v>
      </c>
      <c r="J883" s="33">
        <f>VLOOKUP(A883,'Refi Universe'!E:F,2,0)</f>
        <v>0.44966915000000002</v>
      </c>
    </row>
    <row r="884" spans="1:10" ht="15" x14ac:dyDescent="0.25">
      <c r="A884" s="14">
        <v>41864</v>
      </c>
      <c r="B884" s="15">
        <v>169</v>
      </c>
      <c r="C884" s="15">
        <v>169</v>
      </c>
      <c r="D884" s="5">
        <v>7</v>
      </c>
      <c r="E884" s="5">
        <v>-22</v>
      </c>
      <c r="F884" s="5">
        <v>4.1487629999999998</v>
      </c>
      <c r="G884" s="12">
        <f>VLOOKUP(A884,'[1]all FNCL'!A$2:B$993,2)</f>
        <v>0.42413376349642801</v>
      </c>
      <c r="J884" s="33">
        <f>VLOOKUP(A884,'Refi Universe'!E:F,2,0)</f>
        <v>0.47060174999999999</v>
      </c>
    </row>
    <row r="885" spans="1:10" ht="15" x14ac:dyDescent="0.25">
      <c r="A885" s="14">
        <v>41865</v>
      </c>
      <c r="B885" s="15">
        <v>164</v>
      </c>
      <c r="C885" s="15">
        <v>164</v>
      </c>
      <c r="D885" s="5">
        <v>6</v>
      </c>
      <c r="E885" s="5">
        <v>-25</v>
      </c>
      <c r="F885" s="5">
        <v>4.1278490000000003</v>
      </c>
      <c r="G885" s="12">
        <f>VLOOKUP(A885,'[1]all FNCL'!A$2:B$993,2)</f>
        <v>0.43538889187038299</v>
      </c>
      <c r="J885" s="33">
        <f>VLOOKUP(A885,'Refi Universe'!E:F,2,0)</f>
        <v>0.48660392000000002</v>
      </c>
    </row>
    <row r="886" spans="1:10" ht="15" x14ac:dyDescent="0.25">
      <c r="A886" s="14">
        <v>41866</v>
      </c>
      <c r="B886" s="15">
        <v>177</v>
      </c>
      <c r="C886" s="15">
        <v>177</v>
      </c>
      <c r="D886" s="5">
        <v>-2</v>
      </c>
      <c r="E886" s="5">
        <v>-32</v>
      </c>
      <c r="F886" s="5">
        <v>4.1134719999999998</v>
      </c>
      <c r="G886" s="12">
        <f>VLOOKUP(A886,'[1]all FNCL'!A$2:B$993,2)</f>
        <v>0.43538889187038299</v>
      </c>
      <c r="J886" s="33">
        <f>VLOOKUP(A886,'Refi Universe'!E:F,2,0)</f>
        <v>0.52088334000000003</v>
      </c>
    </row>
    <row r="887" spans="1:10" ht="15" x14ac:dyDescent="0.25">
      <c r="A887" s="14">
        <v>41869</v>
      </c>
      <c r="B887" s="15">
        <v>169</v>
      </c>
      <c r="C887" s="15">
        <v>169</v>
      </c>
      <c r="D887" s="5">
        <v>0</v>
      </c>
      <c r="E887" s="5">
        <v>-35</v>
      </c>
      <c r="F887" s="5">
        <v>4.0848360000000001</v>
      </c>
      <c r="G887" s="12">
        <f>VLOOKUP(A887,'[1]all FNCL'!A$2:B$993,2)</f>
        <v>0.43538889187038299</v>
      </c>
      <c r="J887" s="33">
        <f>VLOOKUP(A887,'Refi Universe'!E:F,2,0)</f>
        <v>0.48660392000000002</v>
      </c>
    </row>
    <row r="888" spans="1:10" ht="15" x14ac:dyDescent="0.25">
      <c r="A888" s="14">
        <v>41870</v>
      </c>
      <c r="B888" s="15">
        <v>168</v>
      </c>
      <c r="C888" s="15">
        <v>168</v>
      </c>
      <c r="D888" s="5">
        <v>3</v>
      </c>
      <c r="E888" s="5">
        <v>-33</v>
      </c>
      <c r="F888" s="5">
        <v>4.1127330000000004</v>
      </c>
      <c r="G888" s="12">
        <f>VLOOKUP(A888,'[1]all FNCL'!A$2:B$993,2)</f>
        <v>0.43538889187038299</v>
      </c>
      <c r="J888" s="33">
        <f>VLOOKUP(A888,'Refi Universe'!E:F,2,0)</f>
        <v>0.46856598999999999</v>
      </c>
    </row>
    <row r="889" spans="1:10" ht="15" x14ac:dyDescent="0.25">
      <c r="A889" s="14">
        <v>41871</v>
      </c>
      <c r="B889" s="15">
        <v>151</v>
      </c>
      <c r="C889" s="15">
        <v>151</v>
      </c>
      <c r="D889" s="5">
        <v>1</v>
      </c>
      <c r="E889" s="5">
        <v>-30</v>
      </c>
      <c r="F889" s="5">
        <v>4.1283799999999999</v>
      </c>
      <c r="G889" s="12">
        <f>VLOOKUP(A889,'[1]all FNCL'!A$2:B$993,2)</f>
        <v>0.43538889187038299</v>
      </c>
      <c r="J889" s="33">
        <f>VLOOKUP(A889,'Refi Universe'!E:F,2,0)</f>
        <v>0.46301792000000003</v>
      </c>
    </row>
    <row r="890" spans="1:10" ht="15" x14ac:dyDescent="0.25">
      <c r="A890" s="14">
        <v>41872</v>
      </c>
      <c r="B890" s="15">
        <v>142</v>
      </c>
      <c r="C890" s="15">
        <v>142</v>
      </c>
      <c r="D890" s="5">
        <v>-9</v>
      </c>
      <c r="E890" s="5">
        <v>-35</v>
      </c>
      <c r="F890" s="5">
        <v>4.1422429999999997</v>
      </c>
      <c r="G890" s="12">
        <f>VLOOKUP(A890,'[1]all FNCL'!A$2:B$993,2)</f>
        <v>0.45105980423070802</v>
      </c>
      <c r="J890" s="33">
        <f>VLOOKUP(A890,'Refi Universe'!E:F,2,0)</f>
        <v>0.48298119</v>
      </c>
    </row>
    <row r="891" spans="1:10" ht="15" x14ac:dyDescent="0.25">
      <c r="A891" s="14">
        <v>41873</v>
      </c>
      <c r="B891" s="15">
        <v>136</v>
      </c>
      <c r="C891" s="15">
        <v>136</v>
      </c>
      <c r="D891" s="5">
        <v>-9</v>
      </c>
      <c r="E891" s="5">
        <v>-36</v>
      </c>
      <c r="F891" s="5">
        <v>4.1236220000000001</v>
      </c>
      <c r="G891" s="12">
        <f>VLOOKUP(A891,'[1]all FNCL'!A$2:B$993,2)</f>
        <v>0.45105980423070802</v>
      </c>
      <c r="J891" s="33">
        <f>VLOOKUP(A891,'Refi Universe'!E:F,2,0)</f>
        <v>0.48718482000000002</v>
      </c>
    </row>
    <row r="892" spans="1:10" ht="15" x14ac:dyDescent="0.25">
      <c r="A892" s="14">
        <v>41876</v>
      </c>
      <c r="B892" s="15">
        <v>149</v>
      </c>
      <c r="C892" s="15">
        <v>149</v>
      </c>
      <c r="D892" s="5">
        <v>-19</v>
      </c>
      <c r="E892" s="5">
        <v>-45</v>
      </c>
      <c r="F892" s="5">
        <v>4.1209049999999996</v>
      </c>
      <c r="G892" s="12">
        <f>VLOOKUP(A892,'[1]all FNCL'!A$2:B$993,2)</f>
        <v>0.45105980423070802</v>
      </c>
      <c r="J892" s="33">
        <f>VLOOKUP(A892,'Refi Universe'!E:F,2,0)</f>
        <v>0.49504305999999998</v>
      </c>
    </row>
    <row r="893" spans="1:10" ht="15" x14ac:dyDescent="0.25">
      <c r="A893" s="14">
        <v>41877</v>
      </c>
      <c r="B893" s="15">
        <v>153</v>
      </c>
      <c r="C893" s="15">
        <v>153</v>
      </c>
      <c r="D893" s="5">
        <v>-11</v>
      </c>
      <c r="E893" s="5">
        <v>-40</v>
      </c>
      <c r="F893" s="5">
        <v>4.1115570000000004</v>
      </c>
      <c r="G893" s="12">
        <f>VLOOKUP(A893,'[1]all FNCL'!A$2:B$993,2)</f>
        <v>0.45105980423070802</v>
      </c>
      <c r="J893" s="33">
        <f>VLOOKUP(A893,'Refi Universe'!E:F,2,0)</f>
        <v>0.50171093</v>
      </c>
    </row>
    <row r="894" spans="1:10" ht="15" x14ac:dyDescent="0.25">
      <c r="A894" s="14">
        <v>41878</v>
      </c>
      <c r="B894" s="15">
        <v>150</v>
      </c>
      <c r="C894" s="15">
        <v>150</v>
      </c>
      <c r="D894" s="5">
        <v>-6</v>
      </c>
      <c r="E894" s="5">
        <v>-35</v>
      </c>
      <c r="F894" s="5">
        <v>4.1063299999999998</v>
      </c>
      <c r="G894" s="12">
        <f>VLOOKUP(A894,'[1]all FNCL'!A$2:B$993,2)</f>
        <v>0.45105980423070802</v>
      </c>
      <c r="J894" s="33">
        <f>VLOOKUP(A894,'Refi Universe'!E:F,2,0)</f>
        <v>0.51857653999999997</v>
      </c>
    </row>
    <row r="895" spans="1:10" ht="15" x14ac:dyDescent="0.25">
      <c r="A895" s="14">
        <v>41879</v>
      </c>
      <c r="B895" s="15">
        <v>159</v>
      </c>
      <c r="C895" s="15">
        <v>159</v>
      </c>
      <c r="D895" s="5">
        <v>-8</v>
      </c>
      <c r="E895" s="5">
        <v>-42</v>
      </c>
      <c r="F895" s="5">
        <v>4.0868349999999998</v>
      </c>
      <c r="G895" s="12">
        <f>VLOOKUP(A895,'[1]all FNCL'!A$2:B$993,2)</f>
        <v>0.45105980423070802</v>
      </c>
      <c r="J895" s="33">
        <f>VLOOKUP(A895,'Refi Universe'!E:F,2,0)</f>
        <v>0.53780130000000004</v>
      </c>
    </row>
    <row r="896" spans="1:10" ht="15" x14ac:dyDescent="0.25">
      <c r="A896" s="14">
        <v>41880</v>
      </c>
      <c r="B896" s="15">
        <v>150</v>
      </c>
      <c r="C896" s="15">
        <v>150</v>
      </c>
      <c r="D896" s="5">
        <v>-12</v>
      </c>
      <c r="E896" s="5">
        <v>-41</v>
      </c>
      <c r="F896" s="5">
        <v>4.0768250000000004</v>
      </c>
      <c r="G896" s="12">
        <f>VLOOKUP(A896,'[1]all FNCL'!A$2:B$993,2)</f>
        <v>0.45105980423070802</v>
      </c>
      <c r="J896" s="33">
        <f>VLOOKUP(A896,'Refi Universe'!E:F,2,0)</f>
        <v>0.53590711999999996</v>
      </c>
    </row>
    <row r="897" spans="1:10" ht="15" x14ac:dyDescent="0.25">
      <c r="A897" s="14">
        <v>41884</v>
      </c>
      <c r="B897" s="15">
        <v>139</v>
      </c>
      <c r="C897" s="15">
        <v>139</v>
      </c>
      <c r="D897" s="5">
        <v>-14</v>
      </c>
      <c r="E897" s="5">
        <v>-40</v>
      </c>
      <c r="F897" s="5">
        <v>4.0762169999999998</v>
      </c>
      <c r="G897" s="12">
        <f>VLOOKUP(A897,'[1]all FNCL'!A$2:B$993,2)</f>
        <v>0.44686834225614502</v>
      </c>
      <c r="J897" s="33">
        <f>VLOOKUP(A897,'Refi Universe'!E:F,2,0)</f>
        <v>0.48863521999999998</v>
      </c>
    </row>
    <row r="898" spans="1:10" ht="15" x14ac:dyDescent="0.25">
      <c r="A898" s="14">
        <v>41885</v>
      </c>
      <c r="B898" s="15">
        <v>125</v>
      </c>
      <c r="C898" s="15">
        <v>125</v>
      </c>
      <c r="D898" s="5">
        <v>-11</v>
      </c>
      <c r="E898" s="5">
        <v>-37</v>
      </c>
      <c r="F898" s="5">
        <v>4.1075840000000001</v>
      </c>
      <c r="G898" s="12">
        <f>VLOOKUP(A898,'[1]all FNCL'!A$2:B$993,2)</f>
        <v>0.44686834225614502</v>
      </c>
      <c r="J898" s="33">
        <f>VLOOKUP(A898,'Refi Universe'!E:F,2,0)</f>
        <v>0.47231786999999997</v>
      </c>
    </row>
    <row r="899" spans="1:10" ht="15" x14ac:dyDescent="0.25">
      <c r="A899" s="14">
        <v>41886</v>
      </c>
      <c r="B899" s="15">
        <v>124</v>
      </c>
      <c r="C899" s="15">
        <v>124</v>
      </c>
      <c r="D899" s="5">
        <v>-27</v>
      </c>
      <c r="E899" s="5">
        <v>-47</v>
      </c>
      <c r="F899" s="5">
        <v>4.1023889999999996</v>
      </c>
      <c r="G899" s="12">
        <f>VLOOKUP(A899,'[1]all FNCL'!A$2:B$993,2)</f>
        <v>0.44686834225614502</v>
      </c>
      <c r="J899" s="33">
        <f>VLOOKUP(A899,'Refi Universe'!E:F,2,0)</f>
        <v>0.44790039999999998</v>
      </c>
    </row>
    <row r="900" spans="1:10" ht="15" x14ac:dyDescent="0.25">
      <c r="A900" s="14">
        <v>41887</v>
      </c>
      <c r="B900" s="15">
        <v>119</v>
      </c>
      <c r="C900" s="15">
        <v>119</v>
      </c>
      <c r="D900" s="5">
        <v>-25</v>
      </c>
      <c r="E900" s="5">
        <v>-47</v>
      </c>
      <c r="F900" s="5">
        <v>4.1215359999999999</v>
      </c>
      <c r="G900" s="12">
        <f>VLOOKUP(A900,'[1]all FNCL'!A$2:B$993,2)</f>
        <v>0.44686834225614502</v>
      </c>
      <c r="J900" s="33">
        <f>VLOOKUP(A900,'Refi Universe'!E:F,2,0)</f>
        <v>0.43695918</v>
      </c>
    </row>
    <row r="901" spans="1:10" ht="15" x14ac:dyDescent="0.25">
      <c r="A901" s="14">
        <v>41890</v>
      </c>
      <c r="B901" s="15">
        <v>122</v>
      </c>
      <c r="C901" s="15">
        <v>122</v>
      </c>
      <c r="D901" s="5">
        <v>-29</v>
      </c>
      <c r="E901" s="5">
        <v>-51</v>
      </c>
      <c r="F901" s="5">
        <v>4.1310520000000004</v>
      </c>
      <c r="G901" s="12">
        <f>VLOOKUP(A901,'[1]all FNCL'!A$2:B$993,2)</f>
        <v>0.44686834225614502</v>
      </c>
      <c r="J901" s="33">
        <f>VLOOKUP(A901,'Refi Universe'!E:F,2,0)</f>
        <v>0.43049915999999999</v>
      </c>
    </row>
    <row r="902" spans="1:10" ht="15" x14ac:dyDescent="0.25">
      <c r="A902" s="14">
        <v>41891</v>
      </c>
      <c r="B902" s="15">
        <v>109</v>
      </c>
      <c r="C902" s="15">
        <v>109</v>
      </c>
      <c r="D902" s="5">
        <v>-32</v>
      </c>
      <c r="E902" s="5">
        <v>-55</v>
      </c>
      <c r="F902" s="5">
        <v>4.1386329999999996</v>
      </c>
      <c r="G902" s="12">
        <f>VLOOKUP(A902,'[1]all FNCL'!A$2:B$993,2)</f>
        <v>0.44686834225614502</v>
      </c>
      <c r="J902" s="33">
        <f>VLOOKUP(A902,'Refi Universe'!E:F,2,0)</f>
        <v>0.4137323</v>
      </c>
    </row>
    <row r="903" spans="1:10" ht="15" x14ac:dyDescent="0.25">
      <c r="A903" s="14">
        <v>41892</v>
      </c>
      <c r="B903" s="15">
        <v>117</v>
      </c>
      <c r="C903" s="15">
        <v>117</v>
      </c>
      <c r="D903" s="5">
        <v>-41</v>
      </c>
      <c r="E903" s="5">
        <v>-57</v>
      </c>
      <c r="F903" s="5">
        <v>4.1566280000000004</v>
      </c>
      <c r="G903" s="12">
        <f>VLOOKUP(A903,'[1]all FNCL'!A$2:B$993,2)</f>
        <v>0.44686834225614502</v>
      </c>
      <c r="J903" s="33">
        <f>VLOOKUP(A903,'Refi Universe'!E:F,2,0)</f>
        <v>0.43049915999999999</v>
      </c>
    </row>
    <row r="904" spans="1:10" ht="15" x14ac:dyDescent="0.25">
      <c r="A904" s="14">
        <v>41893</v>
      </c>
      <c r="B904" s="15">
        <v>119</v>
      </c>
      <c r="C904" s="15">
        <v>119</v>
      </c>
      <c r="D904" s="5">
        <v>-28</v>
      </c>
      <c r="E904" s="5">
        <v>-56</v>
      </c>
      <c r="F904" s="5">
        <v>4.1804100000000002</v>
      </c>
      <c r="G904" s="12">
        <f>VLOOKUP(A904,'[1]all FNCL'!A$2:B$993,2)</f>
        <v>0.43119648526610799</v>
      </c>
      <c r="J904" s="33">
        <f>VLOOKUP(A904,'Refi Universe'!E:F,2,0)</f>
        <v>0.43119647999999999</v>
      </c>
    </row>
    <row r="905" spans="1:10" ht="15" x14ac:dyDescent="0.25">
      <c r="A905" s="14">
        <v>41894</v>
      </c>
      <c r="B905" s="15">
        <v>131</v>
      </c>
      <c r="C905" s="15">
        <v>131</v>
      </c>
      <c r="D905" s="5">
        <v>-25</v>
      </c>
      <c r="E905" s="5">
        <v>-48</v>
      </c>
      <c r="F905" s="5">
        <v>4.1796990000000003</v>
      </c>
      <c r="G905" s="12">
        <f>VLOOKUP(A905,'[1]all FNCL'!A$2:B$993,2)</f>
        <v>0.43119648526610799</v>
      </c>
      <c r="J905" s="33">
        <f>VLOOKUP(A905,'Refi Universe'!E:F,2,0)</f>
        <v>0.39612236000000001</v>
      </c>
    </row>
    <row r="906" spans="1:10" ht="15" x14ac:dyDescent="0.25">
      <c r="A906" s="14">
        <v>41897</v>
      </c>
      <c r="B906" s="15">
        <v>131</v>
      </c>
      <c r="C906" s="15">
        <v>131</v>
      </c>
      <c r="D906" s="5">
        <v>-14</v>
      </c>
      <c r="E906" s="5">
        <v>-34</v>
      </c>
      <c r="F906" s="5">
        <v>4.2257800000000003</v>
      </c>
      <c r="G906" s="12">
        <f>VLOOKUP(A906,'[1]all FNCL'!A$2:B$993,2)</f>
        <v>0.43119648526610799</v>
      </c>
      <c r="J906" s="33">
        <f>VLOOKUP(A906,'Refi Universe'!E:F,2,0)</f>
        <v>0.40726297</v>
      </c>
    </row>
    <row r="907" spans="1:10" ht="15" x14ac:dyDescent="0.25">
      <c r="A907" s="14">
        <v>41898</v>
      </c>
      <c r="B907" s="15">
        <v>137</v>
      </c>
      <c r="C907" s="15">
        <v>137</v>
      </c>
      <c r="D907" s="5">
        <v>-14</v>
      </c>
      <c r="E907" s="5">
        <v>-35</v>
      </c>
      <c r="F907" s="5">
        <v>4.2103210000000004</v>
      </c>
      <c r="G907" s="12">
        <f>VLOOKUP(A907,'[1]all FNCL'!A$2:B$993,2)</f>
        <v>0.43119648526610799</v>
      </c>
      <c r="J907" s="33">
        <f>VLOOKUP(A907,'Refi Universe'!E:F,2,0)</f>
        <v>0.40479328999999997</v>
      </c>
    </row>
    <row r="908" spans="1:10" ht="15" x14ac:dyDescent="0.25">
      <c r="A908" s="14">
        <v>41899</v>
      </c>
      <c r="B908" s="15">
        <v>137</v>
      </c>
      <c r="C908" s="15">
        <v>137</v>
      </c>
      <c r="D908" s="5">
        <v>-10</v>
      </c>
      <c r="E908" s="5">
        <v>-33</v>
      </c>
      <c r="F908" s="5">
        <v>4.2117769999999997</v>
      </c>
      <c r="G908" s="12">
        <f>VLOOKUP(A908,'[1]all FNCL'!A$2:B$993,2)</f>
        <v>0.43119648526610799</v>
      </c>
      <c r="J908" s="33">
        <f>VLOOKUP(A908,'Refi Universe'!E:F,2,0)</f>
        <v>0.39334992000000002</v>
      </c>
    </row>
    <row r="909" spans="1:10" ht="15" x14ac:dyDescent="0.25">
      <c r="A909" s="14">
        <v>41900</v>
      </c>
      <c r="B909" s="15">
        <v>133</v>
      </c>
      <c r="C909" s="15">
        <v>133</v>
      </c>
      <c r="D909" s="5">
        <v>-13</v>
      </c>
      <c r="E909" s="5">
        <v>-35</v>
      </c>
      <c r="F909" s="5">
        <v>4.2176400000000003</v>
      </c>
      <c r="G909" s="12">
        <f>VLOOKUP(A909,'[1]all FNCL'!A$2:B$993,2)</f>
        <v>0.37422484012928398</v>
      </c>
      <c r="J909" s="33">
        <f>VLOOKUP(A909,'Refi Universe'!E:F,2,0)</f>
        <v>0.38833265</v>
      </c>
    </row>
    <row r="910" spans="1:10" ht="15" x14ac:dyDescent="0.25">
      <c r="A910" s="14">
        <v>41901</v>
      </c>
      <c r="B910" s="15">
        <v>129</v>
      </c>
      <c r="C910" s="15">
        <v>129</v>
      </c>
      <c r="D910" s="5">
        <v>-15</v>
      </c>
      <c r="E910" s="5">
        <v>-37</v>
      </c>
      <c r="F910" s="5">
        <v>4.2220709999999997</v>
      </c>
      <c r="G910" s="12">
        <f>VLOOKUP(A910,'[1]all FNCL'!A$2:B$993,2)</f>
        <v>0.37422484012928398</v>
      </c>
      <c r="J910" s="33">
        <f>VLOOKUP(A910,'Refi Universe'!E:F,2,0)</f>
        <v>0.40994187999999998</v>
      </c>
    </row>
    <row r="911" spans="1:10" ht="15" x14ac:dyDescent="0.25">
      <c r="A911" s="14">
        <v>41904</v>
      </c>
      <c r="B911" s="15">
        <v>134</v>
      </c>
      <c r="C911" s="15">
        <v>134</v>
      </c>
      <c r="D911" s="5">
        <v>-23</v>
      </c>
      <c r="E911" s="5">
        <v>-43</v>
      </c>
      <c r="F911" s="5">
        <v>4.1939970000000004</v>
      </c>
      <c r="G911" s="12">
        <f>VLOOKUP(A911,'[1]all FNCL'!A$2:B$993,2)</f>
        <v>0.37422484012928398</v>
      </c>
      <c r="J911" s="33">
        <f>VLOOKUP(A911,'Refi Universe'!E:F,2,0)</f>
        <v>0.41911308000000003</v>
      </c>
    </row>
    <row r="912" spans="1:10" ht="15" x14ac:dyDescent="0.25">
      <c r="A912" s="14">
        <v>41905</v>
      </c>
      <c r="B912" s="15">
        <v>132</v>
      </c>
      <c r="C912" s="15">
        <v>132</v>
      </c>
      <c r="D912" s="5">
        <v>-19</v>
      </c>
      <c r="E912" s="5">
        <v>-38</v>
      </c>
      <c r="F912" s="5">
        <v>4.1813929999999999</v>
      </c>
      <c r="G912" s="12">
        <f>VLOOKUP(A912,'[1]all FNCL'!A$2:B$993,2)</f>
        <v>0.37422484012928398</v>
      </c>
      <c r="J912" s="33">
        <f>VLOOKUP(A912,'Refi Universe'!E:F,2,0)</f>
        <v>0.43566015000000002</v>
      </c>
    </row>
    <row r="913" spans="1:10" ht="15" x14ac:dyDescent="0.25">
      <c r="A913" s="14">
        <v>41906</v>
      </c>
      <c r="B913" s="15">
        <v>121</v>
      </c>
      <c r="C913" s="15">
        <v>121</v>
      </c>
      <c r="D913" s="5">
        <v>-23</v>
      </c>
      <c r="E913" s="5">
        <v>-42</v>
      </c>
      <c r="F913" s="5">
        <v>4.1642260000000002</v>
      </c>
      <c r="G913" s="12">
        <f>VLOOKUP(A913,'[1]all FNCL'!A$2:B$993,2)</f>
        <v>0.37422484012928398</v>
      </c>
      <c r="J913" s="33">
        <f>VLOOKUP(A913,'Refi Universe'!E:F,2,0)</f>
        <v>0.41973912000000002</v>
      </c>
    </row>
    <row r="914" spans="1:10" ht="15" x14ac:dyDescent="0.25">
      <c r="A914" s="14">
        <v>41907</v>
      </c>
      <c r="B914" s="15">
        <v>121</v>
      </c>
      <c r="C914" s="15">
        <v>121</v>
      </c>
      <c r="D914" s="5">
        <v>-30</v>
      </c>
      <c r="E914" s="5">
        <v>-46</v>
      </c>
      <c r="F914" s="5">
        <v>4.1806660000000004</v>
      </c>
      <c r="G914" s="12">
        <f>VLOOKUP(A914,'[1]all FNCL'!A$2:B$993,2)</f>
        <v>0.38870901214480402</v>
      </c>
      <c r="J914" s="33">
        <f>VLOOKUP(A914,'Refi Universe'!E:F,2,0)</f>
        <v>0.45034148000000002</v>
      </c>
    </row>
    <row r="915" spans="1:10" ht="15" x14ac:dyDescent="0.25">
      <c r="A915" s="14">
        <v>41908</v>
      </c>
      <c r="B915" s="15">
        <v>118</v>
      </c>
      <c r="C915" s="15">
        <v>118</v>
      </c>
      <c r="D915" s="5">
        <v>-34</v>
      </c>
      <c r="E915" s="5">
        <v>-52</v>
      </c>
      <c r="F915" s="5">
        <v>4.1518480000000002</v>
      </c>
      <c r="G915" s="12">
        <f>VLOOKUP(A915,'[1]all FNCL'!A$2:B$993,2)</f>
        <v>0.38870901214480402</v>
      </c>
      <c r="J915" s="33">
        <f>VLOOKUP(A915,'Refi Universe'!E:F,2,0)</f>
        <v>0.43658808999999998</v>
      </c>
    </row>
    <row r="916" spans="1:10" ht="15" x14ac:dyDescent="0.25">
      <c r="A916" s="14">
        <v>41911</v>
      </c>
      <c r="B916" s="15">
        <v>119</v>
      </c>
      <c r="C916" s="15">
        <v>119</v>
      </c>
      <c r="D916" s="5">
        <v>-32</v>
      </c>
      <c r="E916" s="5">
        <v>-50</v>
      </c>
      <c r="F916" s="5">
        <v>4.1622019999999997</v>
      </c>
      <c r="G916" s="12">
        <f>VLOOKUP(A916,'[1]all FNCL'!A$2:B$993,2)</f>
        <v>0.38870901214480402</v>
      </c>
      <c r="J916" s="33">
        <f>VLOOKUP(A916,'Refi Universe'!E:F,2,0)</f>
        <v>0.45435885999999998</v>
      </c>
    </row>
    <row r="917" spans="1:10" ht="15" x14ac:dyDescent="0.25">
      <c r="A917" s="14">
        <v>41912</v>
      </c>
      <c r="B917" s="15">
        <v>128</v>
      </c>
      <c r="C917" s="15">
        <v>128</v>
      </c>
      <c r="D917" s="5">
        <v>-38</v>
      </c>
      <c r="E917" s="5">
        <v>-53</v>
      </c>
      <c r="F917" s="5">
        <v>4.1485240000000001</v>
      </c>
      <c r="G917" s="12">
        <f>VLOOKUP(A917,'[1]all FNCL'!A$2:B$993,2)</f>
        <v>0.38870901214480402</v>
      </c>
      <c r="J917" s="33">
        <f>VLOOKUP(A917,'Refi Universe'!E:F,2,0)</f>
        <v>0.44080891</v>
      </c>
    </row>
    <row r="918" spans="1:10" ht="15" x14ac:dyDescent="0.25">
      <c r="A918" s="14">
        <v>41913</v>
      </c>
      <c r="B918" s="15">
        <v>127</v>
      </c>
      <c r="C918" s="15">
        <v>127</v>
      </c>
      <c r="D918" s="5">
        <v>-31</v>
      </c>
      <c r="E918" s="5">
        <v>-52</v>
      </c>
      <c r="F918" s="5">
        <v>4.1580490000000001</v>
      </c>
      <c r="G918" s="12">
        <f>VLOOKUP(A918,'[1]all FNCL'!A$2:B$993,2)</f>
        <v>0.38430847776478</v>
      </c>
      <c r="J918" s="33">
        <f>VLOOKUP(A918,'Refi Universe'!E:F,2,0)</f>
        <v>0.48681100999999999</v>
      </c>
    </row>
    <row r="919" spans="1:10" ht="15" x14ac:dyDescent="0.25">
      <c r="A919" s="14">
        <v>41914</v>
      </c>
      <c r="B919" s="15">
        <v>124</v>
      </c>
      <c r="C919" s="15">
        <v>124</v>
      </c>
      <c r="D919" s="5">
        <v>-37</v>
      </c>
      <c r="E919" s="5">
        <v>-63</v>
      </c>
      <c r="F919" s="5">
        <v>4.0991809999999997</v>
      </c>
      <c r="G919" s="12">
        <f>VLOOKUP(A919,'[1]all FNCL'!A$2:B$993,2)</f>
        <v>0.38901935972403701</v>
      </c>
      <c r="J919" s="33">
        <f>VLOOKUP(A919,'Refi Universe'!E:F,2,0)</f>
        <v>0.47555366999999998</v>
      </c>
    </row>
    <row r="920" spans="1:10" ht="15" x14ac:dyDescent="0.25">
      <c r="A920" s="14">
        <v>41915</v>
      </c>
      <c r="B920" s="15">
        <v>109</v>
      </c>
      <c r="C920" s="15">
        <v>109</v>
      </c>
      <c r="D920" s="5">
        <v>-36</v>
      </c>
      <c r="E920" s="5">
        <v>-63</v>
      </c>
      <c r="F920" s="5">
        <v>4.1113160000000004</v>
      </c>
      <c r="G920" s="12">
        <f>VLOOKUP(A920,'[1]all FNCL'!A$2:B$993,2)</f>
        <v>0.38901935972403701</v>
      </c>
      <c r="J920" s="33">
        <f>VLOOKUP(A920,'Refi Universe'!E:F,2,0)</f>
        <v>0.47165448999999998</v>
      </c>
    </row>
    <row r="921" spans="1:10" ht="15" x14ac:dyDescent="0.25">
      <c r="A921" s="14">
        <v>41918</v>
      </c>
      <c r="B921" s="15">
        <v>128</v>
      </c>
      <c r="C921" s="15">
        <v>128</v>
      </c>
      <c r="D921" s="5">
        <v>-45</v>
      </c>
      <c r="E921" s="5">
        <v>-71</v>
      </c>
      <c r="F921" s="5">
        <v>4.1163220000000003</v>
      </c>
      <c r="G921" s="12">
        <f>VLOOKUP(A921,'[1]all FNCL'!A$2:B$993,2)</f>
        <v>0.38901935972403701</v>
      </c>
      <c r="J921" s="33">
        <f>VLOOKUP(A921,'Refi Universe'!E:F,2,0)</f>
        <v>0.48395365000000001</v>
      </c>
    </row>
    <row r="922" spans="1:10" ht="15" x14ac:dyDescent="0.25">
      <c r="A922" s="14">
        <v>41919</v>
      </c>
      <c r="B922" s="15">
        <v>132</v>
      </c>
      <c r="C922" s="15">
        <v>132</v>
      </c>
      <c r="D922" s="5">
        <v>-45</v>
      </c>
      <c r="E922" s="5">
        <v>-72</v>
      </c>
      <c r="F922" s="5">
        <v>4.1040150000000004</v>
      </c>
      <c r="G922" s="12">
        <f>VLOOKUP(A922,'[1]all FNCL'!A$2:B$993,2)</f>
        <v>0.38901935972403701</v>
      </c>
      <c r="J922" s="33">
        <f>VLOOKUP(A922,'Refi Universe'!E:F,2,0)</f>
        <v>0.53872109999999995</v>
      </c>
    </row>
    <row r="923" spans="1:10" ht="15" x14ac:dyDescent="0.25">
      <c r="A923" s="14">
        <v>41920</v>
      </c>
      <c r="B923" s="15">
        <v>144</v>
      </c>
      <c r="C923" s="15">
        <v>144</v>
      </c>
      <c r="D923" s="5">
        <v>-46</v>
      </c>
      <c r="E923" s="5">
        <v>-82</v>
      </c>
      <c r="F923" s="5">
        <v>4.0672160000000002</v>
      </c>
      <c r="G923" s="12">
        <f>VLOOKUP(A923,'[1]all FNCL'!A$2:B$993,2)</f>
        <v>0.38901935972403701</v>
      </c>
      <c r="J923" s="33">
        <f>VLOOKUP(A923,'Refi Universe'!E:F,2,0)</f>
        <v>0.53950783999999996</v>
      </c>
    </row>
    <row r="924" spans="1:10" ht="15" x14ac:dyDescent="0.25">
      <c r="A924" s="14">
        <v>41921</v>
      </c>
      <c r="B924" s="15">
        <v>144</v>
      </c>
      <c r="C924" s="15">
        <v>144</v>
      </c>
      <c r="D924" s="5">
        <v>-44</v>
      </c>
      <c r="E924" s="5">
        <v>-74</v>
      </c>
      <c r="F924" s="5">
        <v>4.036251</v>
      </c>
      <c r="G924" s="12">
        <f>VLOOKUP(A924,'[1]all FNCL'!A$2:B$993,2)</f>
        <v>0.42675826592863297</v>
      </c>
      <c r="J924" s="33">
        <f>VLOOKUP(A924,'Refi Universe'!E:F,2,0)</f>
        <v>0.53786215000000004</v>
      </c>
    </row>
    <row r="925" spans="1:10" ht="15" x14ac:dyDescent="0.25">
      <c r="A925" s="14">
        <v>41922</v>
      </c>
      <c r="B925" s="15">
        <v>145</v>
      </c>
      <c r="C925" s="15">
        <v>145</v>
      </c>
      <c r="D925" s="5">
        <v>-44</v>
      </c>
      <c r="E925" s="5">
        <v>-76</v>
      </c>
      <c r="F925" s="5">
        <v>4.0349069999999996</v>
      </c>
      <c r="G925" s="12">
        <f>VLOOKUP(A925,'[1]all FNCL'!A$2:B$993,2)</f>
        <v>0.42675826592863297</v>
      </c>
      <c r="J925" s="33">
        <f>VLOOKUP(A925,'Refi Universe'!E:F,2,0)</f>
        <v>0.54040732000000002</v>
      </c>
    </row>
    <row r="926" spans="1:10" ht="15" x14ac:dyDescent="0.25">
      <c r="A926" s="14">
        <v>41926</v>
      </c>
      <c r="B926" s="15">
        <v>175</v>
      </c>
      <c r="C926" s="15">
        <v>175</v>
      </c>
      <c r="D926" s="5">
        <v>-43</v>
      </c>
      <c r="E926" s="5">
        <v>-79</v>
      </c>
      <c r="F926" s="5">
        <v>4.0328530000000002</v>
      </c>
      <c r="G926" s="12">
        <f>VLOOKUP(A926,'[1]all FNCL'!A$2:B$993,2)</f>
        <v>0.42675826592863297</v>
      </c>
      <c r="J926" s="33">
        <f>VLOOKUP(A926,'Refi Universe'!E:F,2,0)</f>
        <v>0.58185359999999997</v>
      </c>
    </row>
    <row r="927" spans="1:10" ht="15" x14ac:dyDescent="0.25">
      <c r="A927" s="14">
        <v>41927</v>
      </c>
      <c r="B927" s="15">
        <v>181</v>
      </c>
      <c r="C927" s="15">
        <v>181</v>
      </c>
      <c r="D927" s="5">
        <v>-30</v>
      </c>
      <c r="E927" s="5">
        <v>-82</v>
      </c>
      <c r="F927" s="5">
        <v>3.9661330000000001</v>
      </c>
      <c r="G927" s="12">
        <f>VLOOKUP(A927,'[1]all FNCL'!A$2:B$993,2)</f>
        <v>0.42675826592863297</v>
      </c>
      <c r="J927" s="33">
        <f>VLOOKUP(A927,'Refi Universe'!E:F,2,0)</f>
        <v>0.61046866</v>
      </c>
    </row>
    <row r="928" spans="1:10" ht="15" x14ac:dyDescent="0.25">
      <c r="A928" s="14">
        <v>41928</v>
      </c>
      <c r="B928" s="15">
        <v>186</v>
      </c>
      <c r="C928" s="15">
        <v>186</v>
      </c>
      <c r="D928" s="5">
        <v>-20</v>
      </c>
      <c r="E928" s="5">
        <v>-93</v>
      </c>
      <c r="F928" s="5">
        <v>3.8927969999999998</v>
      </c>
      <c r="G928" s="12">
        <f>VLOOKUP(A928,'[1]all FNCL'!A$2:B$993,2)</f>
        <v>0.54988615852829004</v>
      </c>
      <c r="J928" s="33">
        <f>VLOOKUP(A928,'Refi Universe'!E:F,2,0)</f>
        <v>0.58581174999999996</v>
      </c>
    </row>
    <row r="929" spans="1:10" ht="15" x14ac:dyDescent="0.25">
      <c r="A929" s="14">
        <v>41929</v>
      </c>
      <c r="B929" s="15">
        <v>185</v>
      </c>
      <c r="C929" s="15">
        <v>185</v>
      </c>
      <c r="D929" s="5">
        <v>-4</v>
      </c>
      <c r="E929" s="5">
        <v>-72</v>
      </c>
      <c r="F929" s="5">
        <v>3.948213</v>
      </c>
      <c r="G929" s="12">
        <f>VLOOKUP(A929,'[1]all FNCL'!A$2:B$993,2)</f>
        <v>0.54988615852829004</v>
      </c>
      <c r="J929" s="33">
        <f>VLOOKUP(A929,'Refi Universe'!E:F,2,0)</f>
        <v>0.5809723</v>
      </c>
    </row>
    <row r="930" spans="1:10" ht="15" x14ac:dyDescent="0.25">
      <c r="A930" s="14">
        <v>41932</v>
      </c>
      <c r="B930" s="15">
        <v>191</v>
      </c>
      <c r="C930" s="15">
        <v>191</v>
      </c>
      <c r="D930" s="5">
        <v>-5</v>
      </c>
      <c r="E930" s="5">
        <v>-53</v>
      </c>
      <c r="F930" s="5">
        <v>3.958996</v>
      </c>
      <c r="G930" s="12">
        <f>VLOOKUP(A930,'[1]all FNCL'!A$2:B$993,2)</f>
        <v>0.54988615852829004</v>
      </c>
      <c r="J930" s="33">
        <f>VLOOKUP(A930,'Refi Universe'!E:F,2,0)</f>
        <v>0.58745733</v>
      </c>
    </row>
    <row r="931" spans="1:10" ht="15" x14ac:dyDescent="0.25">
      <c r="A931" s="14">
        <v>41933</v>
      </c>
      <c r="B931" s="15">
        <v>195</v>
      </c>
      <c r="C931" s="15">
        <v>195</v>
      </c>
      <c r="D931" s="5">
        <v>-1</v>
      </c>
      <c r="E931" s="5">
        <v>-52</v>
      </c>
      <c r="F931" s="5">
        <v>3.9436969999999998</v>
      </c>
      <c r="G931" s="12">
        <f>VLOOKUP(A931,'[1]all FNCL'!A$2:B$993,2)</f>
        <v>0.54988615852829004</v>
      </c>
      <c r="J931" s="33">
        <f>VLOOKUP(A931,'Refi Universe'!E:F,2,0)</f>
        <v>0.58248991000000006</v>
      </c>
    </row>
    <row r="932" spans="1:10" ht="15" x14ac:dyDescent="0.25">
      <c r="A932" s="14">
        <v>41934</v>
      </c>
      <c r="B932" s="15">
        <v>205</v>
      </c>
      <c r="C932" s="15">
        <v>205</v>
      </c>
      <c r="D932" s="5">
        <v>3</v>
      </c>
      <c r="E932" s="5">
        <v>-54</v>
      </c>
      <c r="F932" s="5">
        <v>3.9569260000000002</v>
      </c>
      <c r="G932" s="12">
        <f>VLOOKUP(A932,'[1]all FNCL'!A$2:B$993,2)</f>
        <v>0.54988615852829004</v>
      </c>
      <c r="J932" s="33">
        <f>VLOOKUP(A932,'Refi Universe'!E:F,2,0)</f>
        <v>0.58371083000000001</v>
      </c>
    </row>
    <row r="933" spans="1:10" ht="15" x14ac:dyDescent="0.25">
      <c r="A933" s="14">
        <v>41935</v>
      </c>
      <c r="B933" s="15">
        <v>178</v>
      </c>
      <c r="C933" s="15">
        <v>178</v>
      </c>
      <c r="D933" s="5">
        <v>9</v>
      </c>
      <c r="E933" s="5">
        <v>-53</v>
      </c>
      <c r="F933" s="5">
        <v>3.9656419999999999</v>
      </c>
      <c r="G933" s="12">
        <f>VLOOKUP(A933,'[1]all FNCL'!A$2:B$993,2)</f>
        <v>0.57517284737260699</v>
      </c>
      <c r="J933" s="33">
        <f>VLOOKUP(A933,'Refi Universe'!E:F,2,0)</f>
        <v>0.57350184999999998</v>
      </c>
    </row>
    <row r="934" spans="1:10" ht="15" x14ac:dyDescent="0.25">
      <c r="A934" s="14">
        <v>41936</v>
      </c>
      <c r="B934" s="15">
        <v>169</v>
      </c>
      <c r="C934" s="15">
        <v>169</v>
      </c>
      <c r="D934" s="5">
        <v>-11</v>
      </c>
      <c r="E934" s="5">
        <v>-60</v>
      </c>
      <c r="F934" s="5">
        <v>3.993633</v>
      </c>
      <c r="G934" s="12">
        <f>VLOOKUP(A934,'[1]all FNCL'!A$2:B$993,2)</f>
        <v>0.57517284737260699</v>
      </c>
      <c r="J934" s="33">
        <f>VLOOKUP(A934,'Refi Universe'!E:F,2,0)</f>
        <v>0.56916891000000003</v>
      </c>
    </row>
    <row r="935" spans="1:10" ht="15" x14ac:dyDescent="0.25">
      <c r="A935" s="14">
        <v>41939</v>
      </c>
      <c r="B935" s="15">
        <v>165</v>
      </c>
      <c r="C935" s="15">
        <v>165</v>
      </c>
      <c r="D935" s="5">
        <v>-15</v>
      </c>
      <c r="E935" s="5">
        <v>-63</v>
      </c>
      <c r="F935" s="5">
        <v>4.006202</v>
      </c>
      <c r="G935" s="12">
        <f>VLOOKUP(A935,'[1]all FNCL'!A$2:B$993,2)</f>
        <v>0.57517284737260699</v>
      </c>
      <c r="J935" s="33">
        <f>VLOOKUP(A935,'Refi Universe'!E:F,2,0)</f>
        <v>0.57517284000000002</v>
      </c>
    </row>
    <row r="936" spans="1:10" ht="15" x14ac:dyDescent="0.25">
      <c r="A936" s="14">
        <v>41940</v>
      </c>
      <c r="B936" s="15">
        <v>161</v>
      </c>
      <c r="C936" s="15">
        <v>161</v>
      </c>
      <c r="D936" s="5">
        <v>-22</v>
      </c>
      <c r="E936" s="5">
        <v>-66</v>
      </c>
      <c r="F936" s="5">
        <v>3.9929389999999998</v>
      </c>
      <c r="G936" s="12">
        <f>VLOOKUP(A936,'[1]all FNCL'!A$2:B$993,2)</f>
        <v>0.57517284737260699</v>
      </c>
      <c r="J936" s="33">
        <f>VLOOKUP(A936,'Refi Universe'!E:F,2,0)</f>
        <v>0.56621257999999997</v>
      </c>
    </row>
    <row r="937" spans="1:10" ht="15" x14ac:dyDescent="0.25">
      <c r="A937" s="14">
        <v>41941</v>
      </c>
      <c r="B937" s="15">
        <v>132</v>
      </c>
      <c r="C937" s="15">
        <v>132</v>
      </c>
      <c r="D937" s="5">
        <v>-20</v>
      </c>
      <c r="E937" s="5">
        <v>-63</v>
      </c>
      <c r="F937" s="5">
        <v>4.0083679999999999</v>
      </c>
      <c r="G937" s="12">
        <f>VLOOKUP(A937,'[1]all FNCL'!A$2:B$993,2)</f>
        <v>0.57517284737260699</v>
      </c>
      <c r="J937" s="33">
        <f>VLOOKUP(A937,'Refi Universe'!E:F,2,0)</f>
        <v>0.55231045999999995</v>
      </c>
    </row>
    <row r="938" spans="1:10" ht="15" x14ac:dyDescent="0.25">
      <c r="A938" s="14">
        <v>41942</v>
      </c>
      <c r="B938" s="15">
        <v>139</v>
      </c>
      <c r="C938" s="15">
        <v>139</v>
      </c>
      <c r="D938" s="5">
        <v>-33</v>
      </c>
      <c r="E938" s="5">
        <v>-68</v>
      </c>
      <c r="F938" s="5">
        <v>4.0331409999999996</v>
      </c>
      <c r="G938" s="12">
        <f>VLOOKUP(A938,'[1]all FNCL'!A$2:B$993,2)</f>
        <v>0.54355644019764404</v>
      </c>
      <c r="J938" s="33">
        <f>VLOOKUP(A938,'Refi Universe'!E:F,2,0)</f>
        <v>0.56428913000000003</v>
      </c>
    </row>
    <row r="939" spans="1:10" ht="15" x14ac:dyDescent="0.25">
      <c r="A939" s="14">
        <v>41943</v>
      </c>
      <c r="B939" s="15">
        <v>135</v>
      </c>
      <c r="C939" s="15">
        <v>135</v>
      </c>
      <c r="D939" s="5">
        <v>-38</v>
      </c>
      <c r="E939" s="5">
        <v>-68</v>
      </c>
      <c r="F939" s="5">
        <v>4.0196240000000003</v>
      </c>
      <c r="G939" s="12">
        <f>VLOOKUP(A939,'[1]all FNCL'!A$2:B$993,2)</f>
        <v>0.54355644019764404</v>
      </c>
      <c r="J939" s="33">
        <f>VLOOKUP(A939,'Refi Universe'!E:F,2,0)</f>
        <v>0.55191319999999999</v>
      </c>
    </row>
    <row r="940" spans="1:10" ht="15" x14ac:dyDescent="0.25">
      <c r="A940" s="14">
        <v>41946</v>
      </c>
      <c r="B940" s="15">
        <v>136</v>
      </c>
      <c r="C940" s="15">
        <v>136</v>
      </c>
      <c r="D940" s="5">
        <v>-34</v>
      </c>
      <c r="E940" s="5">
        <v>-65</v>
      </c>
      <c r="F940" s="5">
        <v>4.034999</v>
      </c>
      <c r="G940" s="12">
        <f>VLOOKUP(A940,'[1]all FNCL'!A$2:B$993,2)</f>
        <v>0.54089108147199405</v>
      </c>
      <c r="J940" s="33">
        <f>VLOOKUP(A940,'Refi Universe'!E:F,2,0)</f>
        <v>0.51669485000000004</v>
      </c>
    </row>
    <row r="941" spans="1:10" ht="15" x14ac:dyDescent="0.25">
      <c r="A941" s="14">
        <v>41947</v>
      </c>
      <c r="B941" s="15">
        <v>131</v>
      </c>
      <c r="C941" s="15">
        <v>131</v>
      </c>
      <c r="D941" s="5">
        <v>-35</v>
      </c>
      <c r="E941" s="5">
        <v>-63</v>
      </c>
      <c r="F941" s="5">
        <v>4.0554730000000001</v>
      </c>
      <c r="G941" s="12">
        <f>VLOOKUP(A941,'[1]all FNCL'!A$2:B$993,2)</f>
        <v>0.54089108147199405</v>
      </c>
      <c r="J941" s="33">
        <f>VLOOKUP(A941,'Refi Universe'!E:F,2,0)</f>
        <v>0.52073263000000003</v>
      </c>
    </row>
    <row r="942" spans="1:10" ht="15" x14ac:dyDescent="0.25">
      <c r="A942" s="14">
        <v>41948</v>
      </c>
      <c r="B942" s="15">
        <v>130</v>
      </c>
      <c r="C942" s="15">
        <v>130</v>
      </c>
      <c r="D942" s="5">
        <v>-42</v>
      </c>
      <c r="E942" s="5">
        <v>-68</v>
      </c>
      <c r="F942" s="5">
        <v>4.0535119999999996</v>
      </c>
      <c r="G942" s="12">
        <f>VLOOKUP(A942,'[1]all FNCL'!A$2:B$993,2)</f>
        <v>0.54089108147199405</v>
      </c>
      <c r="J942" s="33">
        <f>VLOOKUP(A942,'Refi Universe'!E:F,2,0)</f>
        <v>0.53403869000000004</v>
      </c>
    </row>
    <row r="943" spans="1:10" ht="15" x14ac:dyDescent="0.25">
      <c r="A943" s="14">
        <v>41949</v>
      </c>
      <c r="B943" s="15">
        <v>130</v>
      </c>
      <c r="C943" s="15">
        <v>130</v>
      </c>
      <c r="D943" s="5">
        <v>-43</v>
      </c>
      <c r="E943" s="5">
        <v>-68</v>
      </c>
      <c r="F943" s="5">
        <v>4.0567719999999996</v>
      </c>
      <c r="G943" s="12">
        <f>VLOOKUP(A943,'[1]all FNCL'!A$2:B$993,2)</f>
        <v>0.505106736466303</v>
      </c>
      <c r="J943" s="33">
        <f>VLOOKUP(A943,'Refi Universe'!E:F,2,0)</f>
        <v>0.52681778999999995</v>
      </c>
    </row>
    <row r="944" spans="1:10" ht="15" x14ac:dyDescent="0.25">
      <c r="A944" s="14">
        <v>41950</v>
      </c>
      <c r="B944" s="15">
        <v>128</v>
      </c>
      <c r="C944" s="15">
        <v>128</v>
      </c>
      <c r="D944" s="5">
        <v>-43</v>
      </c>
      <c r="E944" s="5">
        <v>-68</v>
      </c>
      <c r="F944" s="5">
        <v>4.0593630000000003</v>
      </c>
      <c r="G944" s="12">
        <f>VLOOKUP(A944,'[1]all FNCL'!A$2:B$993,2)</f>
        <v>0.505106736466303</v>
      </c>
      <c r="J944" s="33">
        <f>VLOOKUP(A944,'Refi Universe'!E:F,2,0)</f>
        <v>0.56332722000000002</v>
      </c>
    </row>
    <row r="945" spans="1:10" ht="15" x14ac:dyDescent="0.25">
      <c r="A945" s="14">
        <v>41953</v>
      </c>
      <c r="B945" s="15">
        <v>132</v>
      </c>
      <c r="C945" s="15">
        <v>132</v>
      </c>
      <c r="D945" s="5">
        <v>-47</v>
      </c>
      <c r="E945" s="5">
        <v>-72</v>
      </c>
      <c r="F945" s="5">
        <v>4.0273529999999997</v>
      </c>
      <c r="G945" s="12">
        <f>VLOOKUP(A945,'[1]all FNCL'!A$2:B$993,2)</f>
        <v>0.505106736466303</v>
      </c>
      <c r="J945" s="33">
        <f>VLOOKUP(A945,'Refi Universe'!E:F,2,0)</f>
        <v>0.54089107999999997</v>
      </c>
    </row>
    <row r="946" spans="1:10" ht="15" x14ac:dyDescent="0.25">
      <c r="A946" s="14">
        <v>41955</v>
      </c>
      <c r="B946" s="15">
        <v>130</v>
      </c>
      <c r="C946" s="15">
        <v>130</v>
      </c>
      <c r="D946" s="5">
        <v>-42</v>
      </c>
      <c r="E946" s="5">
        <v>-70</v>
      </c>
      <c r="F946" s="5">
        <v>4.0470459999999999</v>
      </c>
      <c r="G946" s="12">
        <f>VLOOKUP(A946,'[1]all FNCL'!A$2:B$993,2)</f>
        <v>0.505106736466303</v>
      </c>
      <c r="J946" s="33">
        <f>VLOOKUP(A946,'Refi Universe'!E:F,2,0)</f>
        <v>0.55171208000000005</v>
      </c>
    </row>
    <row r="947" spans="1:10" ht="15" x14ac:dyDescent="0.25">
      <c r="A947" s="14">
        <v>41956</v>
      </c>
      <c r="B947" s="15">
        <v>134</v>
      </c>
      <c r="C947" s="15">
        <v>134</v>
      </c>
      <c r="D947" s="5">
        <v>-43</v>
      </c>
      <c r="E947" s="5">
        <v>-69</v>
      </c>
      <c r="F947" s="5">
        <v>4.0470459999999999</v>
      </c>
      <c r="G947" s="12">
        <f>VLOOKUP(A947,'[1]all FNCL'!A$2:B$993,2)</f>
        <v>0.51180256347737196</v>
      </c>
      <c r="J947" s="33">
        <f>VLOOKUP(A947,'Refi Universe'!E:F,2,0)</f>
        <v>0.55857886000000001</v>
      </c>
    </row>
    <row r="948" spans="1:10" ht="15" x14ac:dyDescent="0.25">
      <c r="A948" s="14">
        <v>41957</v>
      </c>
      <c r="B948" s="15">
        <v>132</v>
      </c>
      <c r="C948" s="15">
        <v>132</v>
      </c>
      <c r="D948" s="5">
        <v>-40</v>
      </c>
      <c r="E948" s="5">
        <v>-68</v>
      </c>
      <c r="F948" s="5">
        <v>4.0394930000000002</v>
      </c>
      <c r="G948" s="12">
        <f>VLOOKUP(A948,'[1]all FNCL'!A$2:B$993,2)</f>
        <v>0.51180256347737196</v>
      </c>
      <c r="J948" s="33">
        <f>VLOOKUP(A948,'Refi Universe'!E:F,2,0)</f>
        <v>0.57386685999999998</v>
      </c>
    </row>
    <row r="949" spans="1:10" ht="15" x14ac:dyDescent="0.25">
      <c r="A949" s="14">
        <v>41960</v>
      </c>
      <c r="B949" s="15">
        <v>136</v>
      </c>
      <c r="C949" s="15">
        <v>136</v>
      </c>
      <c r="D949" s="5">
        <v>-45</v>
      </c>
      <c r="E949" s="5">
        <v>-74</v>
      </c>
      <c r="F949" s="5">
        <v>4.0195829999999999</v>
      </c>
      <c r="G949" s="12">
        <f>VLOOKUP(A949,'[1]all FNCL'!A$2:B$993,2)</f>
        <v>0.51180256347737196</v>
      </c>
      <c r="J949" s="33">
        <f>VLOOKUP(A949,'Refi Universe'!E:F,2,0)</f>
        <v>0.57256868000000005</v>
      </c>
    </row>
    <row r="950" spans="1:10" ht="15" x14ac:dyDescent="0.25">
      <c r="A950" s="14">
        <v>41961</v>
      </c>
      <c r="B950" s="15">
        <v>131</v>
      </c>
      <c r="C950" s="15">
        <v>131</v>
      </c>
      <c r="D950" s="5">
        <v>-43</v>
      </c>
      <c r="E950" s="5">
        <v>-73</v>
      </c>
      <c r="F950" s="5">
        <v>4.021611</v>
      </c>
      <c r="G950" s="12">
        <f>VLOOKUP(A950,'[1]all FNCL'!A$2:B$993,2)</f>
        <v>0.51180256347737196</v>
      </c>
      <c r="J950" s="33">
        <f>VLOOKUP(A950,'Refi Universe'!E:F,2,0)</f>
        <v>0.57506597999999998</v>
      </c>
    </row>
    <row r="951" spans="1:10" ht="15" x14ac:dyDescent="0.25">
      <c r="A951" s="14">
        <v>41962</v>
      </c>
      <c r="B951" s="15">
        <v>124</v>
      </c>
      <c r="C951" s="15">
        <v>124</v>
      </c>
      <c r="D951" s="5">
        <v>-47</v>
      </c>
      <c r="E951" s="5">
        <v>-74</v>
      </c>
      <c r="F951" s="5">
        <v>4.0122080000000002</v>
      </c>
      <c r="G951" s="12">
        <f>VLOOKUP(A951,'[1]all FNCL'!A$2:B$993,2)</f>
        <v>0.51180256347737196</v>
      </c>
      <c r="J951" s="33">
        <f>VLOOKUP(A951,'Refi Universe'!E:F,2,0)</f>
        <v>0.56281760999999997</v>
      </c>
    </row>
    <row r="952" spans="1:10" ht="15" x14ac:dyDescent="0.25">
      <c r="A952" s="14">
        <v>41963</v>
      </c>
      <c r="B952" s="15">
        <v>129</v>
      </c>
      <c r="C952" s="15">
        <v>129</v>
      </c>
      <c r="D952" s="5">
        <v>-49</v>
      </c>
      <c r="E952" s="5">
        <v>-75</v>
      </c>
      <c r="F952" s="5">
        <v>4.0287139999999999</v>
      </c>
      <c r="G952" s="12">
        <f>VLOOKUP(A952,'[1]all FNCL'!A$2:B$993,2)</f>
        <v>0.53125439488383197</v>
      </c>
      <c r="J952" s="33">
        <f>VLOOKUP(A952,'Refi Universe'!E:F,2,0)</f>
        <v>0.57240922999999999</v>
      </c>
    </row>
    <row r="953" spans="1:10" ht="15" x14ac:dyDescent="0.25">
      <c r="A953" s="14">
        <v>41964</v>
      </c>
      <c r="B953" s="15">
        <v>128</v>
      </c>
      <c r="C953" s="15">
        <v>128</v>
      </c>
      <c r="D953" s="5">
        <v>-48</v>
      </c>
      <c r="E953" s="5">
        <v>-77</v>
      </c>
      <c r="F953" s="5">
        <v>4.0136079999999996</v>
      </c>
      <c r="G953" s="12">
        <f>VLOOKUP(A953,'[1]all FNCL'!A$2:B$993,2)</f>
        <v>0.53125439488383197</v>
      </c>
      <c r="J953" s="33">
        <f>VLOOKUP(A953,'Refi Universe'!E:F,2,0)</f>
        <v>0.57608892</v>
      </c>
    </row>
    <row r="954" spans="1:10" ht="15" x14ac:dyDescent="0.25">
      <c r="A954" s="14">
        <v>41967</v>
      </c>
      <c r="B954" s="15">
        <v>125</v>
      </c>
      <c r="C954" s="15">
        <v>125</v>
      </c>
      <c r="D954" s="5">
        <v>-49</v>
      </c>
      <c r="E954" s="5">
        <v>-79</v>
      </c>
      <c r="F954" s="5">
        <v>4.001366</v>
      </c>
      <c r="G954" s="12">
        <f>VLOOKUP(A954,'[1]all FNCL'!A$2:B$993,2)</f>
        <v>0.53125439488383197</v>
      </c>
      <c r="J954" s="33">
        <f>VLOOKUP(A954,'Refi Universe'!E:F,2,0)</f>
        <v>0.57921135000000001</v>
      </c>
    </row>
    <row r="955" spans="1:10" ht="15" x14ac:dyDescent="0.25">
      <c r="A955" s="14">
        <v>41968</v>
      </c>
      <c r="B955" s="15">
        <v>129</v>
      </c>
      <c r="C955" s="15">
        <v>129</v>
      </c>
      <c r="D955" s="5">
        <v>-55</v>
      </c>
      <c r="E955" s="5">
        <v>-86</v>
      </c>
      <c r="F955" s="5">
        <v>3.9951699999999999</v>
      </c>
      <c r="G955" s="12">
        <f>VLOOKUP(A955,'[1]all FNCL'!A$2:B$993,2)</f>
        <v>0.53125439488383197</v>
      </c>
      <c r="J955" s="33">
        <f>VLOOKUP(A955,'Refi Universe'!E:F,2,0)</f>
        <v>0.59653157000000001</v>
      </c>
    </row>
    <row r="956" spans="1:10" ht="15" x14ac:dyDescent="0.25">
      <c r="A956" s="14">
        <v>41969</v>
      </c>
      <c r="B956" s="15">
        <v>129</v>
      </c>
      <c r="C956" s="15">
        <v>129</v>
      </c>
      <c r="D956" s="5">
        <v>-54</v>
      </c>
      <c r="E956" s="5">
        <v>-93</v>
      </c>
      <c r="F956" s="5">
        <v>3.9607860000000001</v>
      </c>
      <c r="G956" s="12">
        <f>VLOOKUP(A956,'[1]all FNCL'!A$2:B$993,2)</f>
        <v>0.54741627949472405</v>
      </c>
      <c r="J956" s="33">
        <f>VLOOKUP(A956,'Refi Universe'!E:F,2,0)</f>
        <v>0.58658396999999995</v>
      </c>
    </row>
    <row r="957" spans="1:10" ht="15" x14ac:dyDescent="0.25">
      <c r="A957" s="14">
        <v>41971</v>
      </c>
      <c r="B957" s="15">
        <v>144</v>
      </c>
      <c r="C957" s="15">
        <v>144</v>
      </c>
      <c r="D957" s="5">
        <v>-57</v>
      </c>
      <c r="E957" s="5">
        <v>-97</v>
      </c>
      <c r="F957" s="5">
        <v>3.9495339999999999</v>
      </c>
      <c r="G957" s="12">
        <f>VLOOKUP(A957,'[1]all FNCL'!A$2:B$993,2)</f>
        <v>0.54741627949472405</v>
      </c>
      <c r="J957" s="33">
        <f>VLOOKUP(A957,'Refi Universe'!E:F,2,0)</f>
        <v>0.60133714000000005</v>
      </c>
    </row>
    <row r="958" spans="1:10" ht="15" x14ac:dyDescent="0.25">
      <c r="A958" s="14">
        <v>41974</v>
      </c>
      <c r="B958" s="15">
        <v>150</v>
      </c>
      <c r="C958" s="15">
        <v>150</v>
      </c>
      <c r="D958" s="5">
        <v>-56</v>
      </c>
      <c r="E958" s="5">
        <v>-96</v>
      </c>
      <c r="F958" s="5">
        <v>3.9350909999999999</v>
      </c>
      <c r="G958" s="12">
        <f>VLOOKUP(A958,'[1]all FNCL'!A$2:B$993,2)</f>
        <v>0.54296193584840502</v>
      </c>
      <c r="J958" s="33">
        <f>VLOOKUP(A958,'Refi Universe'!E:F,2,0)</f>
        <v>0.59072795</v>
      </c>
    </row>
    <row r="959" spans="1:10" ht="15" x14ac:dyDescent="0.25">
      <c r="A959" s="14">
        <v>41975</v>
      </c>
      <c r="B959" s="15">
        <v>147</v>
      </c>
      <c r="C959" s="15">
        <v>147</v>
      </c>
      <c r="D959" s="5">
        <v>-44</v>
      </c>
      <c r="E959" s="5">
        <v>-90</v>
      </c>
      <c r="F959" s="5">
        <v>3.9349409999999998</v>
      </c>
      <c r="G959" s="12">
        <f>VLOOKUP(A959,'[1]all FNCL'!A$2:B$993,2)</f>
        <v>0.54296193584840502</v>
      </c>
      <c r="J959" s="33">
        <f>VLOOKUP(A959,'Refi Universe'!E:F,2,0)</f>
        <v>0.57114505000000004</v>
      </c>
    </row>
    <row r="960" spans="1:10" ht="15" x14ac:dyDescent="0.25">
      <c r="A960" s="14">
        <v>41976</v>
      </c>
      <c r="B960" s="15">
        <v>135</v>
      </c>
      <c r="C960" s="15">
        <v>135</v>
      </c>
      <c r="D960" s="5">
        <v>-38</v>
      </c>
      <c r="E960" s="5">
        <v>-81</v>
      </c>
      <c r="F960" s="5">
        <v>3.9759760000000002</v>
      </c>
      <c r="G960" s="12">
        <f>VLOOKUP(A960,'[1]all FNCL'!A$2:B$993,2)</f>
        <v>0.54296193584840502</v>
      </c>
      <c r="J960" s="33">
        <f>VLOOKUP(A960,'Refi Universe'!E:F,2,0)</f>
        <v>0.57867104999999996</v>
      </c>
    </row>
    <row r="961" spans="1:10" ht="15" x14ac:dyDescent="0.25">
      <c r="A961" s="14">
        <v>41977</v>
      </c>
      <c r="B961" s="15">
        <v>123</v>
      </c>
      <c r="C961" s="15">
        <v>123</v>
      </c>
      <c r="D961" s="5">
        <v>-53</v>
      </c>
      <c r="E961" s="5">
        <v>-84</v>
      </c>
      <c r="F961" s="5">
        <v>3.9766499999999998</v>
      </c>
      <c r="G961" s="12">
        <f>VLOOKUP(A961,'[1]all FNCL'!A$2:B$993,2)</f>
        <v>0.57616107650745496</v>
      </c>
      <c r="J961" s="33">
        <f>VLOOKUP(A961,'Refi Universe'!E:F,2,0)</f>
        <v>0.58835028</v>
      </c>
    </row>
    <row r="962" spans="1:10" ht="15" x14ac:dyDescent="0.25">
      <c r="A962" s="14">
        <v>41978</v>
      </c>
      <c r="B962" s="15">
        <v>98</v>
      </c>
      <c r="C962" s="15">
        <v>98</v>
      </c>
      <c r="D962" s="5">
        <v>-62</v>
      </c>
      <c r="E962" s="5">
        <v>-94</v>
      </c>
      <c r="F962" s="5">
        <v>3.9605160000000001</v>
      </c>
      <c r="G962" s="12">
        <f>VLOOKUP(A962,'[1]all FNCL'!A$2:B$993,2)</f>
        <v>0.57616107650745496</v>
      </c>
      <c r="J962" s="33">
        <f>VLOOKUP(A962,'Refi Universe'!E:F,2,0)</f>
        <v>0.57239673000000002</v>
      </c>
    </row>
    <row r="963" spans="1:10" ht="15" x14ac:dyDescent="0.25">
      <c r="A963" s="14">
        <v>41981</v>
      </c>
      <c r="B963" s="15">
        <v>104</v>
      </c>
      <c r="C963" s="15">
        <v>104</v>
      </c>
      <c r="D963" s="5">
        <v>-76</v>
      </c>
      <c r="E963" s="5">
        <v>-99</v>
      </c>
      <c r="F963" s="5">
        <v>3.993401</v>
      </c>
      <c r="G963" s="12">
        <f>VLOOKUP(A963,'[1]all FNCL'!A$2:B$993,2)</f>
        <v>0.57616107650745496</v>
      </c>
      <c r="J963" s="33">
        <f>VLOOKUP(A963,'Refi Universe'!E:F,2,0)</f>
        <v>0.58594712999999998</v>
      </c>
    </row>
    <row r="964" spans="1:10" ht="15" x14ac:dyDescent="0.25">
      <c r="A964" s="14">
        <v>41982</v>
      </c>
      <c r="B964" s="15">
        <v>116</v>
      </c>
      <c r="C964" s="15">
        <v>116</v>
      </c>
      <c r="D964" s="5">
        <v>-77</v>
      </c>
      <c r="E964" s="5">
        <v>-103</v>
      </c>
      <c r="F964" s="5">
        <v>3.9612430000000001</v>
      </c>
      <c r="G964" s="12">
        <f>VLOOKUP(A964,'[1]all FNCL'!A$2:B$993,2)</f>
        <v>0.57616107650745496</v>
      </c>
      <c r="J964" s="33">
        <f>VLOOKUP(A964,'Refi Universe'!E:F,2,0)</f>
        <v>0.59463946999999995</v>
      </c>
    </row>
    <row r="965" spans="1:10" ht="15" x14ac:dyDescent="0.25">
      <c r="A965" s="14">
        <v>41983</v>
      </c>
      <c r="B965" s="15">
        <v>124</v>
      </c>
      <c r="C965" s="15">
        <v>124</v>
      </c>
      <c r="D965" s="5">
        <v>-69</v>
      </c>
      <c r="E965" s="5">
        <v>-90</v>
      </c>
      <c r="F965" s="5">
        <v>3.9506299999999999</v>
      </c>
      <c r="G965" s="12">
        <f>VLOOKUP(A965,'[1]all FNCL'!A$2:B$993,2)</f>
        <v>0.57616107650745496</v>
      </c>
      <c r="J965" s="33">
        <f>VLOOKUP(A965,'Refi Universe'!E:F,2,0)</f>
        <v>0.59762468000000002</v>
      </c>
    </row>
    <row r="966" spans="1:10" ht="15" x14ac:dyDescent="0.25">
      <c r="A966" s="14">
        <v>41984</v>
      </c>
      <c r="B966" s="15">
        <v>118</v>
      </c>
      <c r="C966" s="15">
        <v>118</v>
      </c>
      <c r="D966" s="5">
        <v>-68</v>
      </c>
      <c r="E966" s="5">
        <v>-86</v>
      </c>
      <c r="F966" s="5">
        <v>3.9304350000000001</v>
      </c>
      <c r="G966" s="12">
        <f>VLOOKUP(A966,'[1]all FNCL'!A$2:B$993,2)</f>
        <v>0.56511283574971805</v>
      </c>
      <c r="J966" s="33">
        <f>VLOOKUP(A966,'Refi Universe'!E:F,2,0)</f>
        <v>0.59234335000000005</v>
      </c>
    </row>
    <row r="967" spans="1:10" ht="15" x14ac:dyDescent="0.25">
      <c r="A967" s="14">
        <v>41985</v>
      </c>
      <c r="B967" s="15">
        <v>136</v>
      </c>
      <c r="C967" s="15">
        <v>136</v>
      </c>
      <c r="D967" s="5">
        <v>-67</v>
      </c>
      <c r="E967" s="5">
        <v>-89</v>
      </c>
      <c r="F967" s="5">
        <v>3.9364180000000002</v>
      </c>
      <c r="G967" s="12">
        <f>VLOOKUP(A967,'[1]all FNCL'!A$2:B$993,2)</f>
        <v>0.56511283574971805</v>
      </c>
      <c r="J967" s="33">
        <f>VLOOKUP(A967,'Refi Universe'!E:F,2,0)</f>
        <v>0.61318455999999999</v>
      </c>
    </row>
    <row r="968" spans="1:10" ht="15" x14ac:dyDescent="0.25">
      <c r="A968" s="14">
        <v>41988</v>
      </c>
      <c r="B968" s="15">
        <v>147</v>
      </c>
      <c r="C968" s="15">
        <v>147</v>
      </c>
      <c r="D968" s="5">
        <v>-59</v>
      </c>
      <c r="E968" s="5">
        <v>-93</v>
      </c>
      <c r="F968" s="5">
        <v>3.8996940000000002</v>
      </c>
      <c r="G968" s="12">
        <f>VLOOKUP(A968,'[1]all FNCL'!A$2:B$993,2)</f>
        <v>0.56511283574971805</v>
      </c>
      <c r="J968" s="33">
        <f>VLOOKUP(A968,'Refi Universe'!E:F,2,0)</f>
        <v>0.60500788999999999</v>
      </c>
    </row>
    <row r="969" spans="1:10" ht="15" x14ac:dyDescent="0.25">
      <c r="A969" s="14">
        <v>41989</v>
      </c>
      <c r="B969" s="15">
        <v>160</v>
      </c>
      <c r="C969" s="15">
        <v>160</v>
      </c>
      <c r="D969" s="5">
        <v>-45</v>
      </c>
      <c r="E969" s="5">
        <v>-80</v>
      </c>
      <c r="F969" s="5">
        <v>3.9197540000000002</v>
      </c>
      <c r="G969" s="12">
        <f>VLOOKUP(A969,'[1]all FNCL'!A$2:B$993,2)</f>
        <v>0.56511283574971805</v>
      </c>
      <c r="J969" s="33">
        <f>VLOOKUP(A969,'Refi Universe'!E:F,2,0)</f>
        <v>0.61851102999999996</v>
      </c>
    </row>
    <row r="970" spans="1:10" ht="15" x14ac:dyDescent="0.25">
      <c r="A970" s="14">
        <v>41990</v>
      </c>
      <c r="B970" s="15">
        <v>138</v>
      </c>
      <c r="C970" s="15">
        <v>138</v>
      </c>
      <c r="D970" s="5">
        <v>-45</v>
      </c>
      <c r="E970" s="5">
        <v>-83</v>
      </c>
      <c r="F970" s="5">
        <v>3.89228</v>
      </c>
      <c r="G970" s="12">
        <f>VLOOKUP(A970,'[1]all FNCL'!A$2:B$993,2)</f>
        <v>0.56511283574971805</v>
      </c>
      <c r="J970" s="33">
        <f>VLOOKUP(A970,'Refi Universe'!E:F,2,0)</f>
        <v>0.60999000999999997</v>
      </c>
    </row>
    <row r="971" spans="1:10" ht="15" x14ac:dyDescent="0.25">
      <c r="A971" s="14">
        <v>41991</v>
      </c>
      <c r="B971" s="15">
        <v>130</v>
      </c>
      <c r="C971" s="15">
        <v>130</v>
      </c>
      <c r="D971" s="5">
        <v>-55</v>
      </c>
      <c r="E971" s="5">
        <v>-79</v>
      </c>
      <c r="F971" s="5">
        <v>3.9230900000000002</v>
      </c>
      <c r="G971" s="12">
        <f>VLOOKUP(A971,'[1]all FNCL'!A$2:B$993,2)</f>
        <v>0.60670206616303102</v>
      </c>
      <c r="J971" s="33">
        <f>VLOOKUP(A971,'Refi Universe'!E:F,2,0)</f>
        <v>0.60467766000000001</v>
      </c>
    </row>
    <row r="972" spans="1:10" ht="15" x14ac:dyDescent="0.25">
      <c r="A972" s="14">
        <v>41992</v>
      </c>
      <c r="B972" s="15">
        <v>117</v>
      </c>
      <c r="C972" s="15">
        <v>117</v>
      </c>
      <c r="D972" s="5">
        <v>-62</v>
      </c>
      <c r="E972" s="5">
        <v>-83</v>
      </c>
      <c r="F972" s="5">
        <v>3.9336899999999999</v>
      </c>
      <c r="G972" s="12">
        <f>VLOOKUP(A972,'[1]all FNCL'!A$2:B$993,2)</f>
        <v>0.60670206616303102</v>
      </c>
      <c r="J972" s="33">
        <f>VLOOKUP(A972,'Refi Universe'!E:F,2,0)</f>
        <v>0.61106543000000002</v>
      </c>
    </row>
    <row r="973" spans="1:10" ht="15" x14ac:dyDescent="0.25">
      <c r="A973" s="14">
        <v>41995</v>
      </c>
      <c r="B973" s="15">
        <v>120</v>
      </c>
      <c r="C973" s="15">
        <v>120</v>
      </c>
      <c r="D973" s="5">
        <v>-71</v>
      </c>
      <c r="E973" s="5">
        <v>-95</v>
      </c>
      <c r="F973" s="5">
        <v>3.9197199999999999</v>
      </c>
      <c r="G973" s="12">
        <f>VLOOKUP(A973,'[1]all FNCL'!A$2:B$993,2)</f>
        <v>0.60670206616303102</v>
      </c>
      <c r="J973" s="33">
        <f>VLOOKUP(A973,'Refi Universe'!E:F,2,0)</f>
        <v>0.61490803999999999</v>
      </c>
    </row>
    <row r="974" spans="1:10" ht="15" x14ac:dyDescent="0.25">
      <c r="A974" s="14">
        <v>41996</v>
      </c>
      <c r="B974" s="15">
        <v>128</v>
      </c>
      <c r="C974" s="15">
        <v>128</v>
      </c>
      <c r="D974" s="5">
        <v>-71</v>
      </c>
      <c r="E974" s="5">
        <v>-96</v>
      </c>
      <c r="F974" s="5">
        <v>3.916131</v>
      </c>
      <c r="G974" s="12">
        <f>VLOOKUP(A974,'[1]all FNCL'!A$2:B$993,2)</f>
        <v>0.60670206616303102</v>
      </c>
      <c r="J974" s="33">
        <f>VLOOKUP(A974,'Refi Universe'!E:F,2,0)</f>
        <v>0.58426213999999999</v>
      </c>
    </row>
    <row r="975" spans="1:10" ht="15" x14ac:dyDescent="0.25">
      <c r="A975" s="14">
        <v>41997</v>
      </c>
      <c r="B975" s="15">
        <v>118</v>
      </c>
      <c r="C975" s="15">
        <v>118</v>
      </c>
      <c r="D975" s="5">
        <v>-58</v>
      </c>
      <c r="E975" s="5">
        <v>-77</v>
      </c>
      <c r="F975" s="5">
        <v>3.9622950000000001</v>
      </c>
      <c r="G975" s="12">
        <f>VLOOKUP(A975,'[1]all FNCL'!A$2:B$993,2)</f>
        <v>0.59762468592169804</v>
      </c>
      <c r="J975" s="33">
        <f>VLOOKUP(A975,'Refi Universe'!E:F,2,0)</f>
        <v>0.59024577</v>
      </c>
    </row>
    <row r="976" spans="1:10" ht="15" x14ac:dyDescent="0.25">
      <c r="A976" s="14">
        <v>41999</v>
      </c>
      <c r="B976" s="15">
        <v>110</v>
      </c>
      <c r="C976" s="15">
        <v>110</v>
      </c>
      <c r="D976" s="5">
        <v>-69</v>
      </c>
      <c r="E976" s="5">
        <v>-87</v>
      </c>
      <c r="F976" s="5">
        <v>3.9622950000000001</v>
      </c>
      <c r="G976" s="12">
        <f>VLOOKUP(A976,'[1]all FNCL'!A$2:B$993,2)</f>
        <v>0.59762468592169804</v>
      </c>
      <c r="J976" s="33">
        <f>VLOOKUP(A976,'Refi Universe'!E:F,2,0)</f>
        <v>0.59844739000000002</v>
      </c>
    </row>
    <row r="977" spans="1:10" ht="15" x14ac:dyDescent="0.25">
      <c r="A977" s="14">
        <v>42002</v>
      </c>
      <c r="B977" s="15">
        <v>113</v>
      </c>
      <c r="C977" s="15">
        <v>113</v>
      </c>
      <c r="D977" s="5">
        <v>-75</v>
      </c>
      <c r="E977" s="5">
        <v>-93</v>
      </c>
      <c r="F977" s="5">
        <v>3.9521799999999998</v>
      </c>
      <c r="G977" s="12">
        <f>VLOOKUP(A977,'[1]all FNCL'!A$2:B$993,2)</f>
        <v>0.59762468592169804</v>
      </c>
      <c r="J977" s="33">
        <f>VLOOKUP(A977,'Refi Universe'!E:F,2,0)</f>
        <v>0.60730706999999995</v>
      </c>
    </row>
    <row r="978" spans="1:10" ht="15" x14ac:dyDescent="0.25">
      <c r="A978" s="14">
        <v>42003</v>
      </c>
      <c r="B978" s="15">
        <v>114</v>
      </c>
      <c r="C978" s="15">
        <v>114</v>
      </c>
      <c r="D978" s="5">
        <v>-78</v>
      </c>
      <c r="E978" s="5">
        <v>-97</v>
      </c>
      <c r="F978" s="5">
        <v>3.9318230000000001</v>
      </c>
      <c r="G978" s="12">
        <f>VLOOKUP(A978,'[1]all FNCL'!A$2:B$993,2)</f>
        <v>0.59762468592169804</v>
      </c>
      <c r="J978" s="33">
        <f>VLOOKUP(A978,'Refi Universe'!E:F,2,0)</f>
        <v>0.60957428000000002</v>
      </c>
    </row>
    <row r="979" spans="1:10" ht="15" x14ac:dyDescent="0.25">
      <c r="A979" s="14">
        <v>42004</v>
      </c>
      <c r="B979" s="15">
        <v>110</v>
      </c>
      <c r="C979" s="15">
        <v>110</v>
      </c>
      <c r="D979" s="5">
        <v>-76</v>
      </c>
      <c r="E979" s="5">
        <v>-92</v>
      </c>
      <c r="F979" s="5">
        <v>3.9279999999999999</v>
      </c>
      <c r="G979" s="12">
        <f>VLOOKUP(A979,'[1]all FNCL'!A$2:B$993,2)</f>
        <v>0.58158481943829898</v>
      </c>
      <c r="J979" s="33">
        <f>VLOOKUP(A979,'Refi Universe'!E:F,2,0)</f>
        <v>0.60249396</v>
      </c>
    </row>
    <row r="980" spans="1:10" ht="15" x14ac:dyDescent="0.25">
      <c r="A980" s="14">
        <v>42006</v>
      </c>
      <c r="B980" s="15">
        <v>110</v>
      </c>
      <c r="C980" s="15">
        <v>110</v>
      </c>
      <c r="D980" s="5">
        <v>-80</v>
      </c>
      <c r="E980" s="5">
        <v>-100</v>
      </c>
      <c r="F980" s="5">
        <v>3.9192749999999998</v>
      </c>
      <c r="G980" s="12">
        <f>VLOOKUP(A980,'[1]all FNCL'!A$2:B$993,2)</f>
        <v>0.57715851233210802</v>
      </c>
      <c r="J980" s="33">
        <f>VLOOKUP(A980,'Refi Universe'!E:F,2,0)</f>
        <v>0.61630004999999999</v>
      </c>
    </row>
    <row r="981" spans="1:10" ht="15" x14ac:dyDescent="0.25">
      <c r="A981" s="14">
        <v>42009</v>
      </c>
      <c r="B981" s="15">
        <v>108</v>
      </c>
      <c r="C981" s="15">
        <v>108</v>
      </c>
      <c r="D981" s="5">
        <v>-84</v>
      </c>
      <c r="E981" s="5">
        <v>-106</v>
      </c>
      <c r="F981" s="5">
        <v>3.888744</v>
      </c>
      <c r="G981" s="12">
        <f>VLOOKUP(A981,'[1]all FNCL'!A$2:B$993,2)</f>
        <v>0.57710358293411501</v>
      </c>
      <c r="J981" s="33">
        <f>VLOOKUP(A981,'Refi Universe'!E:F,2,0)</f>
        <v>0.64440816999999995</v>
      </c>
    </row>
    <row r="982" spans="1:10" ht="15" x14ac:dyDescent="0.25">
      <c r="A982" s="14">
        <v>42010</v>
      </c>
      <c r="B982" s="15">
        <v>128</v>
      </c>
      <c r="C982" s="15">
        <v>128</v>
      </c>
      <c r="D982" s="5">
        <v>-84</v>
      </c>
      <c r="E982" s="5">
        <v>-124</v>
      </c>
      <c r="F982" s="5">
        <v>3.8389440000000001</v>
      </c>
      <c r="G982" s="12">
        <f>VLOOKUP(A982,'[1]all FNCL'!A$2:B$993,2)</f>
        <v>0.57710358293411501</v>
      </c>
      <c r="J982" s="33">
        <f>VLOOKUP(A982,'Refi Universe'!E:F,2,0)</f>
        <v>0.67838461999999999</v>
      </c>
    </row>
    <row r="983" spans="1:10" ht="15" x14ac:dyDescent="0.25">
      <c r="A983" s="14">
        <v>42011</v>
      </c>
      <c r="B983" s="15">
        <v>138</v>
      </c>
      <c r="C983" s="15">
        <v>138</v>
      </c>
      <c r="D983" s="5">
        <v>-68</v>
      </c>
      <c r="E983" s="5">
        <v>-117</v>
      </c>
      <c r="F983" s="5">
        <v>3.7950119999999998</v>
      </c>
      <c r="G983" s="12">
        <f>VLOOKUP(A983,'[1]all FNCL'!A$2:B$993,2)</f>
        <v>0.57710358293411501</v>
      </c>
      <c r="J983" s="33">
        <f>VLOOKUP(A983,'Refi Universe'!E:F,2,0)</f>
        <v>0.65653189999999995</v>
      </c>
    </row>
    <row r="984" spans="1:10" ht="15" x14ac:dyDescent="0.25">
      <c r="A984" s="14">
        <v>42012</v>
      </c>
      <c r="B984" s="15">
        <v>146</v>
      </c>
      <c r="C984" s="15">
        <v>146</v>
      </c>
      <c r="D984" s="5">
        <v>-62</v>
      </c>
      <c r="E984" s="5">
        <v>-115</v>
      </c>
      <c r="F984" s="5">
        <v>3.8020130000000001</v>
      </c>
      <c r="G984" s="12">
        <f>VLOOKUP(A984,'[1]all FNCL'!A$2:B$993,2)</f>
        <v>0.62970048301444503</v>
      </c>
      <c r="J984" s="33">
        <f>VLOOKUP(A984,'Refi Universe'!E:F,2,0)</f>
        <v>0.63669825000000002</v>
      </c>
    </row>
    <row r="985" spans="1:10" ht="15" x14ac:dyDescent="0.25">
      <c r="A985" s="14">
        <v>42013</v>
      </c>
      <c r="B985" s="15">
        <v>177</v>
      </c>
      <c r="C985" s="15">
        <v>177</v>
      </c>
      <c r="D985" s="5">
        <v>-43</v>
      </c>
      <c r="E985" s="5">
        <v>-89</v>
      </c>
      <c r="F985" s="5">
        <v>3.8289740000000001</v>
      </c>
      <c r="G985" s="12">
        <f>VLOOKUP(A985,'[1]all FNCL'!A$2:B$993,2)</f>
        <v>0.62970048301444503</v>
      </c>
      <c r="J985" s="33">
        <f>VLOOKUP(A985,'Refi Universe'!E:F,2,0)</f>
        <v>0.64879244000000003</v>
      </c>
    </row>
    <row r="986" spans="1:10" ht="15" x14ac:dyDescent="0.25">
      <c r="A986" s="14">
        <v>42016</v>
      </c>
      <c r="B986" s="15">
        <v>184</v>
      </c>
      <c r="C986" s="15">
        <v>184</v>
      </c>
      <c r="D986" s="5">
        <v>-21</v>
      </c>
      <c r="E986" s="5">
        <v>-72</v>
      </c>
      <c r="F986" s="5">
        <v>3.8178519999999998</v>
      </c>
      <c r="G986" s="12">
        <f>VLOOKUP(A986,'[1]all FNCL'!A$2:B$993,2)</f>
        <v>0.62970048301444503</v>
      </c>
      <c r="J986" s="33">
        <f>VLOOKUP(A986,'Refi Universe'!E:F,2,0)</f>
        <v>0.66995446999999997</v>
      </c>
    </row>
    <row r="987" spans="1:10" ht="15" x14ac:dyDescent="0.25">
      <c r="A987" s="14">
        <v>42017</v>
      </c>
      <c r="B987" s="15">
        <v>218</v>
      </c>
      <c r="C987" s="15">
        <v>218</v>
      </c>
      <c r="D987" s="5">
        <v>-13</v>
      </c>
      <c r="E987" s="5">
        <v>-77</v>
      </c>
      <c r="F987" s="5">
        <v>3.7845279999999999</v>
      </c>
      <c r="G987" s="12">
        <f>VLOOKUP(A987,'[1]all FNCL'!A$2:B$993,2)</f>
        <v>0.62970048301444503</v>
      </c>
      <c r="J987" s="33">
        <f>VLOOKUP(A987,'Refi Universe'!E:F,2,0)</f>
        <v>0.67716757999999999</v>
      </c>
    </row>
    <row r="988" spans="1:10" ht="15" x14ac:dyDescent="0.25">
      <c r="A988" s="14">
        <v>42018</v>
      </c>
      <c r="B988" s="15">
        <v>235</v>
      </c>
      <c r="C988" s="15">
        <v>235</v>
      </c>
      <c r="D988" s="5">
        <v>16</v>
      </c>
      <c r="E988" s="5">
        <v>-59</v>
      </c>
      <c r="F988" s="5">
        <v>3.773949</v>
      </c>
      <c r="G988" s="12">
        <f>VLOOKUP(A988,'[1]all FNCL'!A$2:B$993,2)</f>
        <v>0.62970048301444503</v>
      </c>
      <c r="J988" s="33">
        <f>VLOOKUP(A988,'Refi Universe'!E:F,2,0)</f>
        <v>0.75092638</v>
      </c>
    </row>
    <row r="989" spans="1:10" ht="15" x14ac:dyDescent="0.25">
      <c r="A989" s="14">
        <v>42019</v>
      </c>
      <c r="B989" s="15">
        <v>296</v>
      </c>
      <c r="C989" s="15">
        <v>296</v>
      </c>
      <c r="D989" s="5">
        <v>28</v>
      </c>
      <c r="E989" s="5">
        <v>-68</v>
      </c>
      <c r="F989" s="5">
        <v>3.7356370000000001</v>
      </c>
      <c r="G989" s="12">
        <f>VLOOKUP(A989,'[1]all FNCL'!A$2:B$993,2)</f>
        <v>0.65278570887391996</v>
      </c>
      <c r="J989" s="33">
        <f>VLOOKUP(A989,'Refi Universe'!E:F,2,0)</f>
        <v>0.77820301999999997</v>
      </c>
    </row>
    <row r="990" spans="1:10" ht="15" x14ac:dyDescent="0.25">
      <c r="A990" s="14">
        <v>42020</v>
      </c>
      <c r="B990" s="15">
        <v>258</v>
      </c>
      <c r="C990" s="15">
        <v>258</v>
      </c>
      <c r="D990" s="5">
        <v>81</v>
      </c>
      <c r="E990" s="5">
        <v>-36</v>
      </c>
      <c r="F990" s="5">
        <v>3.7254879999999999</v>
      </c>
      <c r="G990" s="12">
        <f>VLOOKUP(A990,'[1]all FNCL'!A$2:B$993,2)</f>
        <v>0.65278570887391996</v>
      </c>
      <c r="J990" s="33">
        <f>VLOOKUP(A990,'Refi Universe'!E:F,2,0)</f>
        <v>0.69078755999999997</v>
      </c>
    </row>
    <row r="991" spans="1:10" ht="15" x14ac:dyDescent="0.25">
      <c r="A991" s="14">
        <v>42024</v>
      </c>
      <c r="B991" s="15">
        <v>282</v>
      </c>
      <c r="C991" s="15">
        <v>282</v>
      </c>
      <c r="D991" s="5">
        <v>58</v>
      </c>
      <c r="E991" s="5">
        <v>-32</v>
      </c>
      <c r="F991" s="5">
        <v>3.7648779999999999</v>
      </c>
      <c r="G991" s="12">
        <f>VLOOKUP(A991,'[1]all FNCL'!A$2:B$993,2)</f>
        <v>0.65278570887391996</v>
      </c>
      <c r="J991" s="33">
        <f>VLOOKUP(A991,'Refi Universe'!E:F,2,0)</f>
        <v>0.68268572999999999</v>
      </c>
    </row>
    <row r="992" spans="1:10" ht="15" x14ac:dyDescent="0.25">
      <c r="A992" s="14">
        <v>42025</v>
      </c>
      <c r="B992" s="15">
        <v>275</v>
      </c>
      <c r="C992" s="15">
        <v>275</v>
      </c>
      <c r="D992" s="5">
        <v>75</v>
      </c>
      <c r="E992" s="5">
        <v>-26</v>
      </c>
      <c r="F992" s="5">
        <v>3.76959</v>
      </c>
      <c r="G992" s="12">
        <f>VLOOKUP(A992,'[1]all FNCL'!A$2:B$993,2)</f>
        <v>0.65278570887391996</v>
      </c>
      <c r="J992" s="33">
        <f>VLOOKUP(A992,'Refi Universe'!E:F,2,0)</f>
        <v>0.63813522</v>
      </c>
    </row>
    <row r="993" spans="1:10" ht="15" x14ac:dyDescent="0.25">
      <c r="A993" s="14">
        <v>42026</v>
      </c>
      <c r="B993" s="15">
        <v>274</v>
      </c>
      <c r="C993" s="15">
        <v>274</v>
      </c>
      <c r="D993" s="5">
        <v>74</v>
      </c>
      <c r="E993" s="5">
        <v>-17</v>
      </c>
      <c r="F993" s="5">
        <v>3.7903609999999999</v>
      </c>
      <c r="G993" s="12">
        <f>VLOOKUP(A993,'[1]all FNCL'!A$2:B$993,2)</f>
        <v>0.65278570887391996</v>
      </c>
      <c r="J993" s="33">
        <f>VLOOKUP(A993,'Refi Universe'!E:F,2,0)</f>
        <v>0.63573738000000002</v>
      </c>
    </row>
    <row r="994" spans="1:10" ht="15" x14ac:dyDescent="0.25">
      <c r="A994" s="14">
        <v>42027</v>
      </c>
      <c r="B994" s="15">
        <v>294</v>
      </c>
      <c r="C994" s="15">
        <v>294</v>
      </c>
      <c r="D994" s="13"/>
      <c r="E994" s="13"/>
      <c r="F994" s="13"/>
      <c r="G994" s="11">
        <v>0.66264885680248997</v>
      </c>
      <c r="J994" s="33">
        <f>VLOOKUP(A994,'Refi Universe'!E:F,2,0)</f>
        <v>0.65375899999999998</v>
      </c>
    </row>
    <row r="995" spans="1:10" ht="15" x14ac:dyDescent="0.25">
      <c r="A995" s="14">
        <v>42030</v>
      </c>
      <c r="B995" s="15">
        <v>304</v>
      </c>
      <c r="C995" s="15">
        <v>304</v>
      </c>
      <c r="D995" s="13"/>
      <c r="E995" s="13"/>
      <c r="F995" s="13"/>
      <c r="G995" s="11">
        <v>0.66264885680248997</v>
      </c>
      <c r="J995" s="33">
        <f>VLOOKUP(A995,'Refi Universe'!E:F,2,0)</f>
        <v>0.64299956000000003</v>
      </c>
    </row>
    <row r="996" spans="1:10" ht="15" x14ac:dyDescent="0.25">
      <c r="A996" s="14">
        <v>42031</v>
      </c>
      <c r="B996" s="15">
        <v>330</v>
      </c>
      <c r="C996" s="15">
        <v>330</v>
      </c>
      <c r="D996" s="13"/>
      <c r="E996" s="13"/>
      <c r="F996" s="13"/>
      <c r="G996" s="11">
        <v>0.66264885680248997</v>
      </c>
      <c r="J996" s="33">
        <f>VLOOKUP(A996,'Refi Universe'!E:F,2,0)</f>
        <v>0.64752867000000003</v>
      </c>
    </row>
    <row r="997" spans="1:10" ht="15" x14ac:dyDescent="0.25">
      <c r="A997" s="14">
        <v>42032</v>
      </c>
      <c r="B997" s="15">
        <v>337</v>
      </c>
      <c r="C997" s="15">
        <v>337</v>
      </c>
      <c r="D997" s="13"/>
      <c r="E997" s="13"/>
      <c r="F997" s="13"/>
      <c r="G997" s="11">
        <v>0.66264885680248997</v>
      </c>
      <c r="J997" s="33">
        <f>VLOOKUP(A997,'Refi Universe'!E:F,2,0)</f>
        <v>0.70869574000000002</v>
      </c>
    </row>
    <row r="998" spans="1:10" ht="15" x14ac:dyDescent="0.25">
      <c r="A998" s="14">
        <v>42033</v>
      </c>
      <c r="B998" s="15">
        <v>318</v>
      </c>
      <c r="C998" s="15">
        <v>318</v>
      </c>
      <c r="D998" s="13"/>
      <c r="E998" s="13"/>
      <c r="F998" s="13"/>
      <c r="G998" s="11">
        <v>0.66264885680248997</v>
      </c>
      <c r="J998" s="33">
        <f>VLOOKUP(A998,'Refi Universe'!E:F,2,0)</f>
        <v>0.70072699999999999</v>
      </c>
    </row>
    <row r="999" spans="1:10" ht="15" x14ac:dyDescent="0.25">
      <c r="A999" s="14">
        <v>42034</v>
      </c>
      <c r="B999" s="15">
        <v>346</v>
      </c>
      <c r="C999" s="15">
        <v>346</v>
      </c>
      <c r="D999" s="13"/>
      <c r="E999" s="13"/>
      <c r="F999" s="13"/>
      <c r="G999" s="11">
        <v>0.66264885680248997</v>
      </c>
      <c r="J999" s="33">
        <f>VLOOKUP(A999,'Refi Universe'!E:F,2,0)</f>
        <v>0.76666900999999998</v>
      </c>
    </row>
    <row r="1000" spans="1:10" ht="15" x14ac:dyDescent="0.25">
      <c r="A1000" s="14">
        <v>42037</v>
      </c>
      <c r="B1000" s="15">
        <v>343</v>
      </c>
      <c r="C1000" s="15">
        <v>343</v>
      </c>
      <c r="D1000" s="13"/>
      <c r="E1000" s="13"/>
      <c r="F1000" s="13"/>
      <c r="G1000" s="11">
        <v>0.66264885680248997</v>
      </c>
      <c r="J1000" s="33">
        <f>VLOOKUP(A1000,'Refi Universe'!E:F,2,0)</f>
        <v>0.76793736999999995</v>
      </c>
    </row>
    <row r="1001" spans="1:10" ht="15" x14ac:dyDescent="0.25">
      <c r="A1001" s="14">
        <v>42038</v>
      </c>
      <c r="B1001" s="15">
        <v>276</v>
      </c>
      <c r="C1001" s="15">
        <v>276</v>
      </c>
      <c r="D1001" s="13"/>
      <c r="E1001" s="13"/>
      <c r="F1001" s="13"/>
      <c r="G1001" s="11">
        <v>0.68438167594716104</v>
      </c>
      <c r="J1001" s="33">
        <f>VLOOKUP(A1001,'Refi Universe'!E:F,2,0)</f>
        <v>0.67780158999999995</v>
      </c>
    </row>
    <row r="1002" spans="1:10" ht="15" x14ac:dyDescent="0.25">
      <c r="A1002" s="14">
        <v>42039</v>
      </c>
      <c r="B1002" s="15">
        <v>251</v>
      </c>
      <c r="C1002" s="15">
        <v>251</v>
      </c>
      <c r="D1002" s="13"/>
      <c r="E1002" s="13"/>
      <c r="F1002" s="13"/>
      <c r="G1002" s="11">
        <v>0.68438167594716104</v>
      </c>
      <c r="J1002" s="33">
        <f>VLOOKUP(A1002,'Refi Universe'!E:F,2,0)</f>
        <v>0.65356482999999999</v>
      </c>
    </row>
    <row r="1003" spans="1:10" ht="15" x14ac:dyDescent="0.25">
      <c r="A1003" s="14">
        <v>42040</v>
      </c>
      <c r="B1003" s="15">
        <v>234</v>
      </c>
      <c r="C1003" s="15">
        <v>234</v>
      </c>
      <c r="D1003" s="13"/>
      <c r="E1003" s="13"/>
      <c r="F1003" s="13"/>
      <c r="G1003" s="11">
        <v>0.68438167594716104</v>
      </c>
      <c r="J1003" s="33">
        <f>VLOOKUP(A1003,'Refi Universe'!E:F,2,0)</f>
        <v>0.65571170999999995</v>
      </c>
    </row>
    <row r="1004" spans="1:10" ht="15" x14ac:dyDescent="0.25">
      <c r="A1004" s="14">
        <v>42041</v>
      </c>
      <c r="B1004" s="15">
        <v>165</v>
      </c>
      <c r="C1004" s="15">
        <v>165</v>
      </c>
      <c r="D1004" s="13"/>
      <c r="E1004" s="13"/>
      <c r="F1004" s="13"/>
      <c r="G1004" s="11">
        <v>0.68438167594716104</v>
      </c>
      <c r="J1004" s="33">
        <f>VLOOKUP(A1004,'Refi Universe'!E:F,2,0)</f>
        <v>0.61649233999999997</v>
      </c>
    </row>
    <row r="1005" spans="1:10" ht="15" x14ac:dyDescent="0.25">
      <c r="A1005" s="14">
        <v>42044</v>
      </c>
      <c r="B1005" s="15">
        <v>183</v>
      </c>
      <c r="C1005" s="15">
        <v>183</v>
      </c>
      <c r="D1005" s="13"/>
      <c r="E1005" s="13"/>
      <c r="F1005" s="13"/>
      <c r="G1005" s="11">
        <v>0.68438167594716104</v>
      </c>
      <c r="J1005" s="33">
        <f>VLOOKUP(A1005,'Refi Universe'!E:F,2,0)</f>
        <v>0.61306892999999996</v>
      </c>
    </row>
    <row r="1006" spans="1:10" ht="15" x14ac:dyDescent="0.25">
      <c r="A1006" s="14">
        <v>42045</v>
      </c>
      <c r="B1006" s="15">
        <v>174</v>
      </c>
      <c r="C1006" s="15">
        <v>174</v>
      </c>
      <c r="D1006" s="13"/>
      <c r="E1006" s="13"/>
      <c r="F1006" s="13"/>
      <c r="G1006" s="11">
        <v>0.64890841265420796</v>
      </c>
      <c r="J1006" s="33">
        <f>VLOOKUP(A1006,'Refi Universe'!E:F,2,0)</f>
        <v>0.58853548</v>
      </c>
    </row>
    <row r="1007" spans="1:10" ht="15" x14ac:dyDescent="0.25">
      <c r="A1007" s="14">
        <v>42046</v>
      </c>
      <c r="B1007" s="15">
        <v>160</v>
      </c>
      <c r="C1007" s="15">
        <v>160</v>
      </c>
      <c r="D1007" s="13"/>
      <c r="E1007" s="13"/>
      <c r="F1007" s="13"/>
      <c r="G1007" s="11">
        <v>0.64890841265420796</v>
      </c>
      <c r="J1007" s="33">
        <f>VLOOKUP(A1007,'Refi Universe'!E:F,2,0)</f>
        <v>0.62854273999999999</v>
      </c>
    </row>
    <row r="1008" spans="1:10" ht="15" x14ac:dyDescent="0.25">
      <c r="A1008" s="14">
        <v>42047</v>
      </c>
      <c r="B1008" s="15">
        <v>193</v>
      </c>
      <c r="C1008" s="15">
        <v>193</v>
      </c>
      <c r="D1008" s="13"/>
      <c r="E1008" s="13"/>
      <c r="F1008" s="13"/>
      <c r="G1008" s="11">
        <v>0.64890841265420796</v>
      </c>
      <c r="J1008" s="33">
        <f>VLOOKUP(A1008,'Refi Universe'!E:F,2,0)</f>
        <v>0.63304419999999995</v>
      </c>
    </row>
    <row r="1009" spans="1:10" ht="15" x14ac:dyDescent="0.25">
      <c r="A1009" s="14">
        <v>42048</v>
      </c>
      <c r="B1009" s="15">
        <v>189</v>
      </c>
      <c r="C1009" s="15">
        <v>189</v>
      </c>
      <c r="D1009" s="13"/>
      <c r="E1009" s="13"/>
      <c r="F1009" s="13"/>
      <c r="G1009" s="11">
        <v>0.64890841265420796</v>
      </c>
      <c r="J1009" s="33">
        <f>VLOOKUP(A1009,'Refi Universe'!E:F,2,0)</f>
        <v>0.62768749999999995</v>
      </c>
    </row>
    <row r="1010" spans="1:10" ht="15" x14ac:dyDescent="0.25">
      <c r="A1010" s="14">
        <v>42052</v>
      </c>
      <c r="B1010" s="15">
        <v>127</v>
      </c>
      <c r="C1010" s="15">
        <v>127</v>
      </c>
      <c r="D1010" s="13"/>
      <c r="E1010" s="13"/>
      <c r="F1010" s="13"/>
      <c r="G1010" s="11">
        <v>0.64890841265420796</v>
      </c>
      <c r="J1010" s="33">
        <f>VLOOKUP(A1010,'Refi Universe'!E:F,2,0)</f>
        <v>0.57876243000000005</v>
      </c>
    </row>
    <row r="1011" spans="1:10" ht="15" x14ac:dyDescent="0.25">
      <c r="A1011" s="14">
        <v>42053</v>
      </c>
      <c r="B1011" s="15">
        <v>159</v>
      </c>
      <c r="C1011" s="15">
        <v>159</v>
      </c>
      <c r="D1011" s="13"/>
      <c r="E1011" s="13"/>
      <c r="F1011" s="13"/>
      <c r="G1011" s="11">
        <v>0.63</v>
      </c>
      <c r="J1011" s="33">
        <f>VLOOKUP(A1011,'Refi Universe'!E:F,2,0)</f>
        <v>0.61774534000000003</v>
      </c>
    </row>
    <row r="1012" spans="1:10" ht="15" x14ac:dyDescent="0.25">
      <c r="A1012" s="14">
        <v>42054</v>
      </c>
      <c r="B1012" s="15">
        <v>141</v>
      </c>
      <c r="C1012" s="15">
        <v>141</v>
      </c>
      <c r="D1012" s="13"/>
      <c r="E1012" s="13"/>
      <c r="F1012" s="13"/>
      <c r="G1012" s="11">
        <v>0.63</v>
      </c>
      <c r="J1012" s="33">
        <f>VLOOKUP(A1012,'Refi Universe'!E:F,2,0)</f>
        <v>0.60779223000000004</v>
      </c>
    </row>
    <row r="1013" spans="1:10" ht="15" x14ac:dyDescent="0.25">
      <c r="A1013" s="14">
        <v>42055</v>
      </c>
      <c r="B1013" s="15">
        <v>137</v>
      </c>
      <c r="C1013" s="15">
        <v>137</v>
      </c>
      <c r="D1013" s="13"/>
      <c r="E1013" s="13"/>
      <c r="F1013" s="13"/>
      <c r="G1013" s="11">
        <v>0.63</v>
      </c>
      <c r="J1013" s="33">
        <f>VLOOKUP(A1013,'Refi Universe'!E:F,2,0)</f>
        <v>0.60118245999999997</v>
      </c>
    </row>
    <row r="1014" spans="1:10" ht="15" x14ac:dyDescent="0.25">
      <c r="A1014" s="14">
        <v>42058</v>
      </c>
      <c r="B1014" s="15">
        <v>148</v>
      </c>
      <c r="C1014" s="15">
        <v>148</v>
      </c>
      <c r="D1014" s="13"/>
      <c r="E1014" s="13"/>
      <c r="F1014" s="13"/>
      <c r="G1014" s="11">
        <v>0.63</v>
      </c>
      <c r="J1014" s="33">
        <f>VLOOKUP(A1014,'Refi Universe'!E:F,2,0)</f>
        <v>0.61867640999999995</v>
      </c>
    </row>
    <row r="1015" spans="1:10" ht="15" x14ac:dyDescent="0.25">
      <c r="A1015" s="14">
        <v>42059</v>
      </c>
      <c r="B1015" s="15">
        <v>145</v>
      </c>
      <c r="C1015" s="15">
        <v>145</v>
      </c>
      <c r="D1015" s="13"/>
      <c r="E1015" s="13"/>
      <c r="F1015" s="13"/>
      <c r="G1015" s="11">
        <v>0.61</v>
      </c>
      <c r="J1015" s="33">
        <f>VLOOKUP(A1015,'Refi Universe'!E:F,2,0)</f>
        <v>0.63591737999999998</v>
      </c>
    </row>
    <row r="1016" spans="1:10" ht="15" x14ac:dyDescent="0.25">
      <c r="A1016" s="14">
        <v>42060</v>
      </c>
      <c r="B1016" s="15">
        <v>176</v>
      </c>
      <c r="C1016" s="15">
        <v>176</v>
      </c>
      <c r="D1016" s="13"/>
      <c r="E1016" s="13"/>
      <c r="F1016" s="13"/>
      <c r="G1016" s="11">
        <v>0.61</v>
      </c>
      <c r="J1016" s="33">
        <f>VLOOKUP(A1016,'Refi Universe'!E:F,2,0)</f>
        <v>0.63216313999999996</v>
      </c>
    </row>
    <row r="1017" spans="1:10" ht="15" x14ac:dyDescent="0.25">
      <c r="A1017" s="14">
        <v>42061</v>
      </c>
      <c r="B1017" s="15">
        <v>158</v>
      </c>
      <c r="C1017" s="15">
        <v>158</v>
      </c>
      <c r="D1017" s="13"/>
      <c r="E1017" s="13"/>
      <c r="F1017" s="13"/>
      <c r="G1017" s="11">
        <v>0.61</v>
      </c>
      <c r="J1017" s="33">
        <f>VLOOKUP(A1017,'Refi Universe'!E:F,2,0)</f>
        <v>0.62146232000000001</v>
      </c>
    </row>
    <row r="1018" spans="1:10" ht="15" x14ac:dyDescent="0.25">
      <c r="A1018" s="14">
        <v>42062</v>
      </c>
      <c r="B1018" s="15">
        <v>146</v>
      </c>
      <c r="C1018" s="15">
        <v>146</v>
      </c>
      <c r="D1018" s="13"/>
      <c r="E1018" s="13"/>
      <c r="F1018" s="13"/>
      <c r="G1018" s="11">
        <v>0.61</v>
      </c>
      <c r="J1018" s="33">
        <f>VLOOKUP(A1018,'Refi Universe'!E:F,2,0)</f>
        <v>0.62925392000000002</v>
      </c>
    </row>
    <row r="1019" spans="1:10" ht="15" x14ac:dyDescent="0.25">
      <c r="A1019" s="14">
        <v>42065</v>
      </c>
      <c r="B1019" s="15">
        <v>148</v>
      </c>
      <c r="C1019" s="15">
        <v>148</v>
      </c>
      <c r="D1019" s="13"/>
      <c r="E1019" s="13"/>
      <c r="F1019" s="13"/>
      <c r="G1019" s="11">
        <v>0.61</v>
      </c>
      <c r="J1019" s="33">
        <f>VLOOKUP(A1019,'Refi Universe'!E:F,2,0)</f>
        <v>0.60068379999999999</v>
      </c>
    </row>
    <row r="1020" spans="1:10" ht="15" x14ac:dyDescent="0.25">
      <c r="A1020" s="14">
        <v>42066</v>
      </c>
      <c r="B1020" s="15">
        <v>139</v>
      </c>
      <c r="C1020" s="15">
        <v>139</v>
      </c>
      <c r="D1020" s="13"/>
      <c r="E1020" s="13"/>
      <c r="F1020" s="13"/>
      <c r="G1020" s="11">
        <v>0.62</v>
      </c>
      <c r="J1020" s="33">
        <f>VLOOKUP(A1020,'Refi Universe'!E:F,2,0)</f>
        <v>0.58614091000000001</v>
      </c>
    </row>
    <row r="1021" spans="1:10" ht="15" x14ac:dyDescent="0.25">
      <c r="A1021" s="14">
        <v>42067</v>
      </c>
      <c r="B1021" s="15">
        <v>143</v>
      </c>
      <c r="C1021" s="15">
        <v>143</v>
      </c>
      <c r="D1021" s="13"/>
      <c r="E1021" s="13"/>
      <c r="F1021" s="13"/>
      <c r="G1021" s="11">
        <v>0.62</v>
      </c>
      <c r="J1021" s="33">
        <f>VLOOKUP(A1021,'Refi Universe'!E:F,2,0)</f>
        <v>0.60724995999999998</v>
      </c>
    </row>
    <row r="1022" spans="1:10" ht="15" x14ac:dyDescent="0.25">
      <c r="A1022" s="14">
        <v>42068</v>
      </c>
      <c r="B1022" s="15">
        <v>145</v>
      </c>
      <c r="C1022" s="15">
        <v>145</v>
      </c>
      <c r="D1022" s="13"/>
      <c r="E1022" s="13"/>
      <c r="F1022" s="13"/>
      <c r="G1022" s="11">
        <v>0.62</v>
      </c>
      <c r="J1022" s="33">
        <f>VLOOKUP(A1022,'Refi Universe'!E:F,2,0)</f>
        <v>0.61056266000000003</v>
      </c>
    </row>
    <row r="1023" spans="1:10" ht="15" x14ac:dyDescent="0.25">
      <c r="A1023" s="14">
        <v>42069</v>
      </c>
      <c r="B1023" s="15">
        <v>124</v>
      </c>
      <c r="C1023" s="15">
        <v>124</v>
      </c>
      <c r="D1023" s="13"/>
      <c r="E1023" s="13"/>
      <c r="F1023" s="13"/>
      <c r="G1023" s="11">
        <v>0.62</v>
      </c>
      <c r="J1023" s="33">
        <f>VLOOKUP(A1023,'Refi Universe'!E:F,2,0)</f>
        <v>0.5608168</v>
      </c>
    </row>
    <row r="1024" spans="1:10" ht="15" x14ac:dyDescent="0.25">
      <c r="A1024" s="14">
        <v>42072</v>
      </c>
      <c r="B1024" s="15">
        <v>124</v>
      </c>
      <c r="C1024" s="15">
        <v>124</v>
      </c>
      <c r="D1024" s="13"/>
      <c r="E1024" s="13"/>
      <c r="F1024" s="13"/>
      <c r="G1024" s="11">
        <v>0.62</v>
      </c>
      <c r="J1024" s="33">
        <f>VLOOKUP(A1024,'Refi Universe'!E:F,2,0)</f>
        <v>0.5745268</v>
      </c>
    </row>
    <row r="1025" spans="1:10" ht="15" x14ac:dyDescent="0.25">
      <c r="A1025" s="14">
        <v>42073</v>
      </c>
      <c r="B1025" s="15">
        <v>117</v>
      </c>
      <c r="C1025" s="15">
        <v>117</v>
      </c>
      <c r="D1025" s="13"/>
      <c r="E1025" s="13"/>
      <c r="F1025" s="13"/>
      <c r="G1025" s="11">
        <v>0.62</v>
      </c>
      <c r="J1025" s="33">
        <f>VLOOKUP(A1025,'Refi Universe'!E:F,2,0)</f>
        <v>0.59759189999999995</v>
      </c>
    </row>
    <row r="1026" spans="1:10" ht="15" x14ac:dyDescent="0.25">
      <c r="A1026" s="14">
        <v>42074</v>
      </c>
      <c r="B1026" s="15">
        <v>124</v>
      </c>
      <c r="C1026" s="15">
        <v>124</v>
      </c>
      <c r="D1026" s="13"/>
      <c r="E1026" s="13"/>
      <c r="F1026" s="13"/>
      <c r="G1026" s="11">
        <v>0.62</v>
      </c>
      <c r="J1026" s="33">
        <f>VLOOKUP(A1026,'Refi Universe'!E:F,2,0)</f>
        <v>0.59157618999999995</v>
      </c>
    </row>
    <row r="1027" spans="1:10" ht="15" x14ac:dyDescent="0.25">
      <c r="A1027" s="14">
        <v>42075</v>
      </c>
      <c r="B1027" s="15">
        <v>131</v>
      </c>
      <c r="C1027" s="15">
        <v>131</v>
      </c>
      <c r="D1027" s="13"/>
      <c r="E1027" s="13"/>
      <c r="F1027" s="13"/>
      <c r="G1027" s="11">
        <v>0.62</v>
      </c>
      <c r="J1027" s="33">
        <f>VLOOKUP(A1027,'Refi Universe'!E:F,2,0)</f>
        <v>0.59610173</v>
      </c>
    </row>
    <row r="1028" spans="1:10" ht="15" x14ac:dyDescent="0.25">
      <c r="A1028" s="14">
        <v>42076</v>
      </c>
      <c r="B1028" s="15">
        <v>127</v>
      </c>
      <c r="C1028" s="15">
        <v>127</v>
      </c>
      <c r="D1028" s="13"/>
      <c r="E1028" s="13"/>
      <c r="F1028" s="13"/>
      <c r="G1028" s="11">
        <v>0.62</v>
      </c>
      <c r="J1028" s="33">
        <f>VLOOKUP(A1028,'Refi Universe'!E:F,2,0)</f>
        <v>0.59032121000000004</v>
      </c>
    </row>
    <row r="1029" spans="1:10" ht="15" x14ac:dyDescent="0.25">
      <c r="A1029" s="14">
        <v>42079</v>
      </c>
      <c r="B1029" s="15">
        <v>131</v>
      </c>
      <c r="C1029" s="15">
        <v>131</v>
      </c>
      <c r="D1029" s="13"/>
      <c r="E1029" s="13"/>
      <c r="F1029" s="13"/>
      <c r="G1029" s="11">
        <v>0.57999999999999996</v>
      </c>
      <c r="J1029" s="33">
        <f>VLOOKUP(A1029,'Refi Universe'!E:F,2,0)</f>
        <v>0.59252170000000004</v>
      </c>
    </row>
    <row r="1030" spans="1:10" ht="15" x14ac:dyDescent="0.25">
      <c r="A1030" s="14">
        <v>42080</v>
      </c>
      <c r="B1030" s="15">
        <v>139</v>
      </c>
      <c r="C1030" s="15">
        <v>139</v>
      </c>
      <c r="D1030" s="13"/>
      <c r="E1030" s="13"/>
      <c r="F1030" s="13"/>
      <c r="G1030" s="11">
        <v>0.57999999999999996</v>
      </c>
      <c r="J1030" s="33">
        <f>VLOOKUP(A1030,'Refi Universe'!E:F,2,0)</f>
        <v>0.60466905000000004</v>
      </c>
    </row>
    <row r="1031" spans="1:10" ht="15" x14ac:dyDescent="0.25">
      <c r="A1031" s="14">
        <v>42081</v>
      </c>
      <c r="B1031" s="15">
        <v>179</v>
      </c>
      <c r="C1031" s="15">
        <v>179</v>
      </c>
      <c r="D1031" s="13"/>
      <c r="E1031" s="13"/>
      <c r="F1031" s="13"/>
      <c r="G1031" s="11">
        <v>0.57999999999999996</v>
      </c>
      <c r="J1031" s="33">
        <f>VLOOKUP(A1031,'Refi Universe'!E:F,2,0)</f>
        <v>0.64537546000000001</v>
      </c>
    </row>
    <row r="1032" spans="1:10" ht="15" x14ac:dyDescent="0.25">
      <c r="A1032" s="14">
        <v>42082</v>
      </c>
      <c r="B1032" s="15">
        <v>174</v>
      </c>
      <c r="C1032" s="15">
        <v>174</v>
      </c>
      <c r="D1032" s="13"/>
      <c r="E1032" s="13"/>
      <c r="F1032" s="13"/>
      <c r="G1032" s="11">
        <v>0.57999999999999996</v>
      </c>
      <c r="J1032" s="33">
        <f>VLOOKUP(A1032,'Refi Universe'!E:F,2,0)</f>
        <v>0.63880055000000002</v>
      </c>
    </row>
    <row r="1033" spans="1:10" ht="15" x14ac:dyDescent="0.25">
      <c r="A1033" s="14">
        <v>42083</v>
      </c>
      <c r="B1033" s="15">
        <v>176</v>
      </c>
      <c r="C1033" s="15">
        <v>176</v>
      </c>
      <c r="D1033" s="13"/>
      <c r="E1033" s="13"/>
      <c r="F1033" s="13"/>
      <c r="G1033" s="11">
        <v>0.61</v>
      </c>
      <c r="J1033" s="33">
        <f>VLOOKUP(A1033,'Refi Universe'!E:F,2,0)</f>
        <v>0.65412296000000003</v>
      </c>
    </row>
    <row r="1034" spans="1:10" ht="15" x14ac:dyDescent="0.25">
      <c r="A1034" s="14">
        <v>42086</v>
      </c>
      <c r="B1034" s="15">
        <v>176</v>
      </c>
      <c r="C1034" s="15">
        <v>176</v>
      </c>
      <c r="D1034" s="13"/>
      <c r="E1034" s="13"/>
      <c r="F1034" s="13"/>
      <c r="G1034" s="11">
        <v>0.61</v>
      </c>
      <c r="J1034" s="33">
        <f>VLOOKUP(A1034,'Refi Universe'!E:F,2,0)</f>
        <v>0.66015654000000001</v>
      </c>
    </row>
    <row r="1035" spans="1:10" ht="15" x14ac:dyDescent="0.25">
      <c r="A1035" s="14">
        <v>42087</v>
      </c>
      <c r="B1035" s="15">
        <v>172</v>
      </c>
      <c r="C1035" s="15">
        <v>172</v>
      </c>
      <c r="D1035" s="13"/>
      <c r="E1035" s="13"/>
      <c r="F1035" s="13"/>
      <c r="G1035" s="11">
        <v>0.61</v>
      </c>
      <c r="J1035" s="33">
        <f>VLOOKUP(A1035,'Refi Universe'!E:F,2,0)</f>
        <v>0.69357480999999999</v>
      </c>
    </row>
    <row r="1036" spans="1:10" ht="15" x14ac:dyDescent="0.25">
      <c r="A1036" s="14">
        <v>42088</v>
      </c>
      <c r="B1036" s="15">
        <v>176</v>
      </c>
      <c r="C1036" s="15">
        <v>176</v>
      </c>
      <c r="D1036" s="13"/>
      <c r="E1036" s="13"/>
      <c r="F1036" s="13"/>
      <c r="G1036" s="11">
        <v>0.61</v>
      </c>
      <c r="J1036" s="33">
        <f>VLOOKUP(A1036,'Refi Universe'!E:F,2,0)</f>
        <v>0.64140439000000005</v>
      </c>
    </row>
    <row r="1037" spans="1:10" ht="15" x14ac:dyDescent="0.25">
      <c r="A1037" s="14">
        <v>42089</v>
      </c>
      <c r="B1037" s="15">
        <v>165</v>
      </c>
      <c r="C1037" s="15">
        <v>165</v>
      </c>
      <c r="D1037" s="13"/>
      <c r="E1037" s="13"/>
      <c r="F1037" s="13"/>
      <c r="G1037" s="11">
        <v>0.61</v>
      </c>
      <c r="J1037" s="33">
        <f>VLOOKUP(A1037,'Refi Universe'!E:F,2,0)</f>
        <v>0.60937196000000005</v>
      </c>
    </row>
    <row r="1038" spans="1:10" ht="15" x14ac:dyDescent="0.25">
      <c r="A1038" s="14">
        <v>42090</v>
      </c>
      <c r="B1038" s="15">
        <v>156</v>
      </c>
      <c r="C1038" s="15">
        <v>156</v>
      </c>
      <c r="D1038" s="13"/>
      <c r="E1038" s="13"/>
      <c r="F1038" s="13"/>
      <c r="G1038" s="11">
        <v>0.64</v>
      </c>
      <c r="J1038" s="33">
        <f>VLOOKUP(A1038,'Refi Universe'!E:F,2,0)</f>
        <v>0.62801742999999999</v>
      </c>
    </row>
    <row r="1039" spans="1:10" ht="15" x14ac:dyDescent="0.25">
      <c r="A1039" s="14">
        <v>42093</v>
      </c>
      <c r="B1039" s="15">
        <v>165</v>
      </c>
      <c r="C1039" s="15">
        <v>165</v>
      </c>
      <c r="D1039" s="13"/>
      <c r="E1039" s="13"/>
      <c r="F1039" s="13"/>
      <c r="G1039" s="11">
        <v>0.64</v>
      </c>
      <c r="J1039" s="33">
        <f>VLOOKUP(A1039,'Refi Universe'!E:F,2,0)</f>
        <v>0.62881770999999997</v>
      </c>
    </row>
    <row r="1040" spans="1:10" ht="15" x14ac:dyDescent="0.25">
      <c r="A1040" s="14">
        <v>42094</v>
      </c>
      <c r="B1040" s="15">
        <v>172</v>
      </c>
      <c r="C1040" s="15">
        <v>172</v>
      </c>
      <c r="D1040" s="13"/>
      <c r="E1040" s="13"/>
      <c r="F1040" s="13"/>
      <c r="G1040" s="11">
        <v>0.64</v>
      </c>
      <c r="J1040" s="33">
        <f>VLOOKUP(A1040,'Refi Universe'!E:F,2,0)</f>
        <v>0.64278259999999998</v>
      </c>
    </row>
    <row r="1041" spans="1:10" ht="15" x14ac:dyDescent="0.25">
      <c r="A1041" s="14">
        <v>42095</v>
      </c>
      <c r="B1041" s="15">
        <v>181</v>
      </c>
      <c r="C1041" s="15">
        <v>181</v>
      </c>
      <c r="D1041" s="13"/>
      <c r="E1041" s="13"/>
      <c r="F1041" s="13"/>
      <c r="G1041" s="11">
        <v>0.64</v>
      </c>
      <c r="J1041" s="33">
        <f>VLOOKUP(A1041,'Refi Universe'!E:F,2,0)</f>
        <v>0.66718633000000005</v>
      </c>
    </row>
    <row r="1042" spans="1:10" ht="15" x14ac:dyDescent="0.25">
      <c r="A1042" s="14">
        <v>42096</v>
      </c>
      <c r="B1042" s="15">
        <v>175</v>
      </c>
      <c r="C1042" s="15">
        <v>175</v>
      </c>
      <c r="D1042" s="13"/>
      <c r="E1042" s="13"/>
      <c r="F1042" s="13"/>
      <c r="G1042" s="11">
        <v>0.64</v>
      </c>
      <c r="J1042" s="33">
        <f>VLOOKUP(A1042,'Refi Universe'!E:F,2,0)</f>
        <v>0.63871856000000005</v>
      </c>
    </row>
    <row r="1043" spans="1:10" ht="15" x14ac:dyDescent="0.25">
      <c r="A1043" s="14">
        <v>42097</v>
      </c>
      <c r="B1043" s="15">
        <v>188</v>
      </c>
      <c r="C1043" s="15">
        <v>188</v>
      </c>
      <c r="D1043" s="13"/>
      <c r="E1043" s="13"/>
      <c r="F1043" s="13"/>
      <c r="G1043" s="11">
        <v>0.63</v>
      </c>
      <c r="J1043" s="33">
        <f>VLOOKUP(A1043,'Refi Universe'!E:F,2,0)</f>
        <v>0.67304171000000002</v>
      </c>
    </row>
    <row r="1044" spans="1:10" ht="15" x14ac:dyDescent="0.25">
      <c r="A1044" s="14">
        <v>42100</v>
      </c>
      <c r="B1044" s="15">
        <v>187</v>
      </c>
      <c r="C1044" s="15">
        <v>187</v>
      </c>
      <c r="D1044" s="13"/>
      <c r="E1044" s="13"/>
      <c r="F1044" s="13"/>
      <c r="G1044" s="11">
        <v>0.63</v>
      </c>
      <c r="J1044" s="33">
        <f>VLOOKUP(A1044,'Refi Universe'!E:F,2,0)</f>
        <v>0.64741552000000002</v>
      </c>
    </row>
    <row r="1045" spans="1:10" ht="15" x14ac:dyDescent="0.25">
      <c r="A1045" s="14">
        <v>42101</v>
      </c>
      <c r="B1045" s="15">
        <v>176</v>
      </c>
      <c r="C1045" s="15">
        <v>176</v>
      </c>
      <c r="D1045" s="13"/>
      <c r="E1045" s="13"/>
      <c r="F1045" s="13"/>
      <c r="G1045" s="11">
        <v>0.63</v>
      </c>
      <c r="J1045" s="33">
        <f>VLOOKUP(A1045,'Refi Universe'!E:F,2,0)</f>
        <v>0.64951369999999997</v>
      </c>
    </row>
    <row r="1046" spans="1:10" ht="15" x14ac:dyDescent="0.25">
      <c r="A1046" s="14">
        <v>42102</v>
      </c>
      <c r="B1046" s="15">
        <v>181</v>
      </c>
      <c r="C1046" s="15">
        <v>181</v>
      </c>
      <c r="D1046" s="13"/>
      <c r="E1046" s="13"/>
      <c r="F1046" s="13"/>
      <c r="G1046" s="11">
        <v>0.63</v>
      </c>
      <c r="J1046" s="33">
        <f>VLOOKUP(A1046,'Refi Universe'!E:F,2,0)</f>
        <v>0.64690194999999995</v>
      </c>
    </row>
    <row r="1047" spans="1:10" ht="15" x14ac:dyDescent="0.25">
      <c r="A1047" s="14">
        <v>42103</v>
      </c>
      <c r="B1047" s="15">
        <v>185</v>
      </c>
      <c r="C1047" s="15">
        <v>185</v>
      </c>
      <c r="D1047" s="13"/>
      <c r="E1047" s="13"/>
      <c r="F1047" s="13"/>
      <c r="G1047" s="11">
        <v>0.63</v>
      </c>
      <c r="J1047" s="33">
        <f>VLOOKUP(A1047,'Refi Universe'!E:F,2,0)</f>
        <v>0.63509870000000002</v>
      </c>
    </row>
    <row r="1048" spans="1:10" ht="15" x14ac:dyDescent="0.25">
      <c r="A1048" s="14">
        <v>42104</v>
      </c>
      <c r="B1048" s="15">
        <v>180</v>
      </c>
      <c r="C1048" s="15">
        <v>180</v>
      </c>
      <c r="D1048" s="13"/>
      <c r="E1048" s="13"/>
      <c r="F1048" s="13"/>
      <c r="G1048" s="11">
        <v>0.64</v>
      </c>
      <c r="J1048" s="33">
        <f>VLOOKUP(A1048,'Refi Universe'!E:F,2,0)</f>
        <v>0.62711605000000004</v>
      </c>
    </row>
    <row r="1049" spans="1:10" ht="15" x14ac:dyDescent="0.25">
      <c r="A1049" s="14">
        <v>42107</v>
      </c>
      <c r="B1049" s="15">
        <v>194</v>
      </c>
      <c r="C1049" s="15">
        <v>194</v>
      </c>
      <c r="D1049" s="13"/>
      <c r="E1049" s="13"/>
      <c r="F1049" s="13"/>
      <c r="G1049" s="11">
        <v>0.64</v>
      </c>
      <c r="J1049" s="33">
        <f>VLOOKUP(A1049,'Refi Universe'!E:F,2,0)</f>
        <v>0.63732171999999998</v>
      </c>
    </row>
    <row r="1050" spans="1:10" ht="15" x14ac:dyDescent="0.25">
      <c r="A1050" s="14">
        <v>42108</v>
      </c>
      <c r="B1050" s="15">
        <v>203</v>
      </c>
      <c r="C1050" s="15">
        <v>203</v>
      </c>
      <c r="D1050" s="13"/>
      <c r="E1050" s="13"/>
      <c r="F1050" s="13"/>
      <c r="G1050" s="11">
        <v>0.64</v>
      </c>
      <c r="J1050" s="33">
        <f>VLOOKUP(A1050,'Refi Universe'!E:F,2,0)</f>
        <v>0.66014222</v>
      </c>
    </row>
    <row r="1051" spans="1:10" ht="15" x14ac:dyDescent="0.25">
      <c r="A1051" s="14">
        <v>42109</v>
      </c>
      <c r="B1051" s="15">
        <v>204</v>
      </c>
      <c r="C1051" s="15">
        <v>204</v>
      </c>
      <c r="D1051" s="13"/>
      <c r="E1051" s="13"/>
      <c r="F1051" s="13"/>
      <c r="G1051" s="11">
        <v>0.64</v>
      </c>
      <c r="J1051" s="33">
        <f>VLOOKUP(A1051,'Refi Universe'!E:F,2,0)</f>
        <v>0.64826311000000003</v>
      </c>
    </row>
    <row r="1052" spans="1:10" ht="15" x14ac:dyDescent="0.25">
      <c r="A1052" s="14">
        <v>42110</v>
      </c>
      <c r="B1052" s="15">
        <v>203</v>
      </c>
      <c r="C1052" s="15">
        <v>203</v>
      </c>
      <c r="D1052" s="13"/>
      <c r="E1052" s="13"/>
      <c r="F1052" s="13"/>
      <c r="G1052" s="11">
        <v>0.64</v>
      </c>
      <c r="J1052" s="33">
        <f>VLOOKUP(A1052,'Refi Universe'!E:F,2,0)</f>
        <v>0.65379001000000003</v>
      </c>
    </row>
    <row r="1053" spans="1:10" ht="15" x14ac:dyDescent="0.25">
      <c r="A1053" s="14">
        <v>42111</v>
      </c>
      <c r="B1053" s="15">
        <v>185</v>
      </c>
      <c r="C1053" s="15">
        <v>185</v>
      </c>
      <c r="D1053" s="13"/>
      <c r="E1053" s="13"/>
      <c r="F1053" s="13"/>
      <c r="G1053" s="11">
        <v>0.63</v>
      </c>
      <c r="J1053" s="33">
        <f>VLOOKUP(A1053,'Refi Universe'!E:F,2,0)</f>
        <v>0.65890435000000003</v>
      </c>
    </row>
    <row r="1054" spans="1:10" ht="15" x14ac:dyDescent="0.25">
      <c r="A1054" s="14">
        <v>42114</v>
      </c>
      <c r="B1054" s="15">
        <v>182</v>
      </c>
      <c r="C1054" s="15">
        <v>182</v>
      </c>
      <c r="D1054" s="13"/>
      <c r="E1054" s="13"/>
      <c r="F1054" s="13"/>
      <c r="G1054" s="11">
        <v>0.63</v>
      </c>
      <c r="J1054" s="33">
        <f>VLOOKUP(A1054,'Refi Universe'!E:F,2,0)</f>
        <v>0.64190619000000004</v>
      </c>
    </row>
    <row r="1055" spans="1:10" ht="15" x14ac:dyDescent="0.25">
      <c r="A1055" s="14">
        <v>42115</v>
      </c>
      <c r="B1055" s="15">
        <v>170</v>
      </c>
      <c r="C1055" s="15">
        <v>170</v>
      </c>
      <c r="D1055" s="13"/>
      <c r="E1055" s="13"/>
      <c r="F1055" s="13"/>
      <c r="G1055" s="11">
        <v>0.63</v>
      </c>
      <c r="J1055" s="33">
        <f>VLOOKUP(A1055,'Refi Universe'!E:F,2,0)</f>
        <v>0.63233556000000002</v>
      </c>
    </row>
    <row r="1056" spans="1:10" ht="15" x14ac:dyDescent="0.25">
      <c r="A1056" s="14">
        <v>42116</v>
      </c>
      <c r="B1056" s="15">
        <v>153</v>
      </c>
      <c r="C1056" s="15">
        <v>153</v>
      </c>
      <c r="D1056" s="13"/>
      <c r="E1056" s="13"/>
      <c r="F1056" s="13"/>
      <c r="G1056" s="11">
        <v>0.63</v>
      </c>
      <c r="J1056" s="33">
        <f>VLOOKUP(A1056,'Refi Universe'!E:F,2,0)</f>
        <v>0.61916736999999999</v>
      </c>
    </row>
    <row r="1057" spans="1:10" ht="15" x14ac:dyDescent="0.25">
      <c r="A1057" s="14">
        <v>42117</v>
      </c>
      <c r="B1057" s="15">
        <v>167</v>
      </c>
      <c r="C1057" s="15">
        <v>167</v>
      </c>
      <c r="D1057" s="13"/>
      <c r="E1057" s="13"/>
      <c r="F1057" s="13"/>
      <c r="G1057" s="11">
        <v>0.63</v>
      </c>
      <c r="J1057" s="33">
        <f>VLOOKUP(A1057,'Refi Universe'!E:F,2,0)</f>
        <v>0.62872844000000006</v>
      </c>
    </row>
    <row r="1058" spans="1:10" ht="15" x14ac:dyDescent="0.25">
      <c r="A1058" s="14">
        <v>42118</v>
      </c>
      <c r="B1058" s="15">
        <v>156</v>
      </c>
      <c r="C1058" s="15">
        <v>156</v>
      </c>
      <c r="D1058" s="13"/>
      <c r="E1058" s="13"/>
      <c r="F1058" s="13"/>
      <c r="G1058" s="11">
        <v>0.63</v>
      </c>
      <c r="J1058" s="33">
        <f>VLOOKUP(A1058,'Refi Universe'!E:F,2,0)</f>
        <v>0.63907605999999995</v>
      </c>
    </row>
    <row r="1059" spans="1:10" ht="15" x14ac:dyDescent="0.25">
      <c r="A1059" s="14">
        <v>42121</v>
      </c>
      <c r="B1059" s="15">
        <v>157</v>
      </c>
      <c r="C1059" s="15">
        <v>157</v>
      </c>
      <c r="D1059" s="13"/>
      <c r="E1059" s="13"/>
      <c r="F1059" s="13"/>
      <c r="G1059" s="11">
        <v>0.65</v>
      </c>
      <c r="J1059" s="33">
        <f>VLOOKUP(A1059,'Refi Universe'!E:F,2,0)</f>
        <v>0.63426943000000002</v>
      </c>
    </row>
    <row r="1060" spans="1:10" ht="15" x14ac:dyDescent="0.25">
      <c r="A1060" s="14">
        <v>42122</v>
      </c>
      <c r="B1060" s="15">
        <v>151</v>
      </c>
      <c r="C1060" s="15">
        <v>151</v>
      </c>
      <c r="D1060" s="13"/>
      <c r="E1060" s="13"/>
      <c r="F1060" s="13"/>
      <c r="G1060" s="11">
        <v>0.65</v>
      </c>
      <c r="J1060" s="33">
        <f>VLOOKUP(A1060,'Refi Universe'!E:F,2,0)</f>
        <v>0.6113807</v>
      </c>
    </row>
    <row r="1061" spans="1:10" ht="15" x14ac:dyDescent="0.25">
      <c r="A1061" s="14">
        <v>42123</v>
      </c>
      <c r="B1061" s="15">
        <v>137</v>
      </c>
      <c r="C1061" s="15">
        <v>137</v>
      </c>
      <c r="D1061" s="13"/>
      <c r="E1061" s="13"/>
      <c r="F1061" s="13"/>
      <c r="G1061" s="11">
        <v>0.65</v>
      </c>
      <c r="J1061" s="33">
        <f>VLOOKUP(A1061,'Refi Universe'!E:F,2,0)</f>
        <v>0.60890275999999999</v>
      </c>
    </row>
    <row r="1062" spans="1:10" ht="15" x14ac:dyDescent="0.25">
      <c r="A1062" s="14">
        <v>42124</v>
      </c>
      <c r="B1062" s="15">
        <v>121</v>
      </c>
      <c r="C1062" s="15">
        <v>121</v>
      </c>
      <c r="D1062" s="13"/>
      <c r="E1062" s="13"/>
      <c r="F1062" s="13"/>
      <c r="G1062" s="11">
        <v>0.64</v>
      </c>
      <c r="J1062" s="33">
        <f>VLOOKUP(A1062,'Refi Universe'!E:F,2,0)</f>
        <v>0.60856288999999997</v>
      </c>
    </row>
    <row r="1063" spans="1:10" ht="15" x14ac:dyDescent="0.25">
      <c r="A1063" s="14">
        <v>42125</v>
      </c>
      <c r="B1063" s="15">
        <v>129</v>
      </c>
      <c r="C1063" s="15">
        <v>129</v>
      </c>
      <c r="D1063" s="13"/>
      <c r="E1063" s="13"/>
      <c r="F1063" s="13"/>
      <c r="G1063" s="11">
        <v>0.64</v>
      </c>
      <c r="J1063" s="33">
        <f>VLOOKUP(A1063,'Refi Universe'!E:F,2,0)</f>
        <v>0.57527417999999997</v>
      </c>
    </row>
    <row r="1064" spans="1:10" ht="15" x14ac:dyDescent="0.25">
      <c r="A1064" s="14">
        <v>42128</v>
      </c>
      <c r="B1064" s="15">
        <v>115</v>
      </c>
      <c r="C1064" s="15">
        <v>115</v>
      </c>
      <c r="D1064" s="13"/>
      <c r="E1064" s="13"/>
      <c r="F1064" s="13"/>
      <c r="G1064" s="11">
        <v>0.64</v>
      </c>
      <c r="J1064" s="33">
        <f>VLOOKUP(A1064,'Refi Universe'!E:F,2,0)</f>
        <v>0.56343195999999995</v>
      </c>
    </row>
    <row r="1065" spans="1:10" ht="15" x14ac:dyDescent="0.25">
      <c r="A1065" s="14">
        <v>42129</v>
      </c>
      <c r="B1065" s="15">
        <v>99</v>
      </c>
      <c r="C1065" s="15">
        <v>99</v>
      </c>
      <c r="D1065" s="13"/>
      <c r="E1065" s="13"/>
      <c r="F1065" s="13"/>
      <c r="G1065" s="11">
        <v>0.64</v>
      </c>
      <c r="J1065" s="33">
        <f>VLOOKUP(A1065,'Refi Universe'!E:F,2,0)</f>
        <v>0.54434817000000002</v>
      </c>
    </row>
    <row r="1066" spans="1:10" ht="15" x14ac:dyDescent="0.25">
      <c r="A1066" s="14">
        <v>42130</v>
      </c>
      <c r="B1066" s="15">
        <v>94</v>
      </c>
      <c r="C1066" s="15">
        <v>94</v>
      </c>
      <c r="D1066" s="13"/>
      <c r="E1066" s="13"/>
      <c r="F1066" s="13"/>
      <c r="G1066" s="11">
        <v>0.64</v>
      </c>
      <c r="J1066" s="33">
        <f>VLOOKUP(A1066,'Refi Universe'!E:F,2,0)</f>
        <v>0.54383247000000001</v>
      </c>
    </row>
    <row r="1067" spans="1:10" ht="15" x14ac:dyDescent="0.25">
      <c r="A1067" s="14">
        <v>42131</v>
      </c>
      <c r="B1067" s="15">
        <v>92</v>
      </c>
      <c r="C1067" s="15">
        <v>92</v>
      </c>
      <c r="D1067" s="13"/>
      <c r="E1067" s="13"/>
      <c r="F1067" s="13"/>
      <c r="G1067" s="11">
        <v>0.57999999999999996</v>
      </c>
      <c r="J1067" s="33">
        <f>VLOOKUP(A1067,'Refi Universe'!E:F,2,0)</f>
        <v>0.57105379999999994</v>
      </c>
    </row>
    <row r="1068" spans="1:10" ht="15" x14ac:dyDescent="0.25">
      <c r="A1068" s="14">
        <v>42132</v>
      </c>
      <c r="B1068" s="15">
        <v>92</v>
      </c>
      <c r="C1068" s="15">
        <v>92</v>
      </c>
      <c r="D1068" s="13"/>
      <c r="E1068" s="13"/>
      <c r="F1068" s="13"/>
      <c r="G1068" s="11">
        <v>0.57999999999999996</v>
      </c>
      <c r="J1068" s="33">
        <f>VLOOKUP(A1068,'Refi Universe'!E:F,2,0)</f>
        <v>0.59227565999999998</v>
      </c>
    </row>
    <row r="1069" spans="1:10" ht="15" x14ac:dyDescent="0.25">
      <c r="A1069" s="14">
        <v>42135</v>
      </c>
      <c r="B1069" s="15">
        <v>100</v>
      </c>
      <c r="C1069" s="15">
        <v>100</v>
      </c>
      <c r="D1069" s="13"/>
      <c r="E1069" s="13"/>
      <c r="F1069" s="13"/>
      <c r="G1069" s="11">
        <v>0.57999999999999996</v>
      </c>
      <c r="J1069" s="33">
        <f>VLOOKUP(A1069,'Refi Universe'!E:F,2,0)</f>
        <v>0.54383247000000001</v>
      </c>
    </row>
    <row r="1070" spans="1:10" ht="15" x14ac:dyDescent="0.25">
      <c r="A1070" s="14">
        <v>42136</v>
      </c>
      <c r="B1070" s="15">
        <v>105</v>
      </c>
      <c r="C1070" s="15">
        <v>105</v>
      </c>
      <c r="D1070" s="13"/>
      <c r="E1070" s="13"/>
      <c r="F1070" s="13"/>
      <c r="G1070" s="11">
        <v>0.57999999999999996</v>
      </c>
      <c r="J1070" s="33">
        <f>VLOOKUP(A1070,'Refi Universe'!E:F,2,0)</f>
        <v>0.53697927999999995</v>
      </c>
    </row>
    <row r="1071" spans="1:10" ht="15" x14ac:dyDescent="0.25">
      <c r="A1071" s="14">
        <v>42137</v>
      </c>
      <c r="B1071" s="15">
        <v>106</v>
      </c>
      <c r="C1071" s="15">
        <v>106</v>
      </c>
      <c r="D1071" s="13"/>
      <c r="E1071" s="13"/>
      <c r="F1071" s="13"/>
      <c r="G1071" s="11">
        <v>0.57999999999999996</v>
      </c>
      <c r="J1071" s="33">
        <f>VLOOKUP(A1071,'Refi Universe'!E:F,2,0)</f>
        <v>0.53282945000000004</v>
      </c>
    </row>
    <row r="1072" spans="1:10" ht="15" x14ac:dyDescent="0.25">
      <c r="A1072" s="14">
        <v>42138</v>
      </c>
      <c r="B1072" s="15">
        <v>110</v>
      </c>
      <c r="C1072" s="15">
        <v>110</v>
      </c>
      <c r="D1072" s="13"/>
      <c r="E1072" s="13"/>
      <c r="F1072" s="13"/>
      <c r="G1072" s="11">
        <v>0.57999999999999996</v>
      </c>
      <c r="J1072" s="33">
        <f>VLOOKUP(A1072,'Refi Universe'!E:F,2,0)</f>
        <v>0.55462948999999995</v>
      </c>
    </row>
    <row r="1073" spans="1:10" ht="15" x14ac:dyDescent="0.25">
      <c r="A1073" s="14">
        <v>42139</v>
      </c>
      <c r="B1073" s="15">
        <v>120</v>
      </c>
      <c r="C1073" s="15">
        <v>120</v>
      </c>
      <c r="D1073" s="13"/>
      <c r="E1073" s="13"/>
      <c r="F1073" s="13"/>
      <c r="G1073" s="11">
        <v>0.56000000000000005</v>
      </c>
      <c r="J1073" s="33">
        <f>VLOOKUP(A1073,'Refi Universe'!E:F,2,0)</f>
        <v>0.58997149000000004</v>
      </c>
    </row>
    <row r="1074" spans="1:10" ht="15" x14ac:dyDescent="0.25">
      <c r="A1074" s="14">
        <v>42142</v>
      </c>
      <c r="B1074" s="15">
        <v>116</v>
      </c>
      <c r="C1074" s="15">
        <v>116</v>
      </c>
      <c r="D1074" s="13"/>
      <c r="E1074" s="13"/>
      <c r="F1074" s="13"/>
      <c r="G1074" s="11">
        <v>0.56000000000000005</v>
      </c>
      <c r="J1074" s="33">
        <f>VLOOKUP(A1074,'Refi Universe'!E:F,2,0)</f>
        <v>0.56506259999999997</v>
      </c>
    </row>
    <row r="1075" spans="1:10" ht="15" x14ac:dyDescent="0.25">
      <c r="A1075" s="14">
        <v>42143</v>
      </c>
      <c r="B1075" s="15">
        <v>96</v>
      </c>
      <c r="C1075" s="15">
        <v>96</v>
      </c>
      <c r="D1075" s="13"/>
      <c r="E1075" s="13"/>
      <c r="F1075" s="13"/>
      <c r="G1075" s="11">
        <v>0.56000000000000005</v>
      </c>
      <c r="J1075" s="33">
        <f>VLOOKUP(A1075,'Refi Universe'!E:F,2,0)</f>
        <v>0.54660865999999997</v>
      </c>
    </row>
    <row r="1076" spans="1:10" ht="15" x14ac:dyDescent="0.25">
      <c r="A1076" s="14">
        <v>42144</v>
      </c>
      <c r="B1076" s="15">
        <v>105</v>
      </c>
      <c r="C1076" s="15">
        <v>105</v>
      </c>
      <c r="D1076" s="13"/>
      <c r="E1076" s="13"/>
      <c r="F1076" s="13"/>
      <c r="G1076" s="11">
        <v>0.56000000000000005</v>
      </c>
      <c r="J1076" s="33">
        <f>VLOOKUP(A1076,'Refi Universe'!E:F,2,0)</f>
        <v>0.54219410999999995</v>
      </c>
    </row>
    <row r="1077" spans="1:10" ht="15" x14ac:dyDescent="0.25">
      <c r="A1077" s="14">
        <v>42145</v>
      </c>
      <c r="B1077" s="15">
        <v>132</v>
      </c>
      <c r="C1077" s="15">
        <v>132</v>
      </c>
      <c r="D1077" s="13"/>
      <c r="E1077" s="13"/>
      <c r="F1077" s="13"/>
      <c r="G1077" s="11">
        <v>0.56000000000000005</v>
      </c>
      <c r="J1077" s="33">
        <f>VLOOKUP(A1077,'Refi Universe'!E:F,2,0)</f>
        <v>0.56754351999999997</v>
      </c>
    </row>
    <row r="1078" spans="1:10" ht="15" x14ac:dyDescent="0.25">
      <c r="A1078" s="14">
        <v>42146</v>
      </c>
      <c r="B1078" s="15">
        <v>118</v>
      </c>
      <c r="C1078" s="15">
        <v>118</v>
      </c>
      <c r="D1078" s="13"/>
      <c r="E1078" s="13"/>
      <c r="F1078" s="13"/>
      <c r="G1078" s="11">
        <v>0.55000000000000004</v>
      </c>
      <c r="J1078" s="33">
        <f>VLOOKUP(A1078,'Refi Universe'!E:F,2,0)</f>
        <v>0.55246136000000001</v>
      </c>
    </row>
    <row r="1079" spans="1:10" ht="15" x14ac:dyDescent="0.25">
      <c r="A1079" s="14">
        <v>42150</v>
      </c>
      <c r="B1079" s="15">
        <v>128</v>
      </c>
      <c r="C1079" s="15">
        <v>128</v>
      </c>
      <c r="D1079" s="13"/>
      <c r="E1079" s="13"/>
      <c r="F1079" s="13"/>
      <c r="G1079" s="11">
        <v>0.55000000000000004</v>
      </c>
      <c r="J1079" s="33">
        <f>VLOOKUP(A1079,'Refi Universe'!E:F,2,0)</f>
        <v>0.57070580999999998</v>
      </c>
    </row>
    <row r="1080" spans="1:10" ht="15" x14ac:dyDescent="0.25">
      <c r="A1080" s="14">
        <v>42151</v>
      </c>
      <c r="B1080" s="15">
        <v>119</v>
      </c>
      <c r="C1080" s="15">
        <v>119</v>
      </c>
      <c r="D1080" s="13"/>
      <c r="E1080" s="13"/>
      <c r="F1080" s="13"/>
      <c r="G1080" s="11">
        <v>0.55000000000000004</v>
      </c>
      <c r="J1080" s="33">
        <f>VLOOKUP(A1080,'Refi Universe'!E:F,2,0)</f>
        <v>0.55839386999999996</v>
      </c>
    </row>
    <row r="1081" spans="1:10" ht="15" x14ac:dyDescent="0.25">
      <c r="A1081" s="14">
        <v>42152</v>
      </c>
      <c r="B1081" s="15">
        <v>124</v>
      </c>
      <c r="C1081" s="15">
        <v>124</v>
      </c>
      <c r="D1081" s="13"/>
      <c r="E1081" s="13"/>
      <c r="F1081" s="13"/>
      <c r="G1081" s="11">
        <v>0.55000000000000004</v>
      </c>
      <c r="J1081" s="33">
        <f>VLOOKUP(A1081,'Refi Universe'!E:F,2,0)</f>
        <v>0.56120232000000003</v>
      </c>
    </row>
    <row r="1082" spans="1:10" ht="15" x14ac:dyDescent="0.25">
      <c r="A1082" s="14">
        <v>42153</v>
      </c>
      <c r="B1082" s="15">
        <v>124</v>
      </c>
      <c r="C1082" s="15">
        <v>124</v>
      </c>
      <c r="D1082" s="13"/>
      <c r="E1082" s="13"/>
      <c r="F1082" s="13"/>
      <c r="G1082" s="11">
        <v>0.55000000000000004</v>
      </c>
      <c r="J1082" s="33">
        <f>VLOOKUP(A1082,'Refi Universe'!E:F,2,0)</f>
        <v>0.57203724</v>
      </c>
    </row>
    <row r="1083" spans="1:10" ht="15" x14ac:dyDescent="0.25">
      <c r="A1083" s="14">
        <v>42156</v>
      </c>
      <c r="B1083" s="15">
        <v>120</v>
      </c>
      <c r="C1083" s="15">
        <v>120</v>
      </c>
      <c r="D1083" s="13"/>
      <c r="E1083" s="13"/>
      <c r="F1083" s="13"/>
      <c r="G1083" s="11">
        <v>0.55000000000000004</v>
      </c>
      <c r="J1083" s="33">
        <f>VLOOKUP(A1083,'Refi Universe'!E:F,2,0)</f>
        <v>0.52927780000000002</v>
      </c>
    </row>
    <row r="1084" spans="1:10" ht="15" x14ac:dyDescent="0.25">
      <c r="A1084" s="14">
        <v>42157</v>
      </c>
      <c r="B1084" s="15">
        <v>106</v>
      </c>
      <c r="C1084" s="15">
        <v>106</v>
      </c>
      <c r="D1084" s="13"/>
      <c r="E1084" s="13"/>
      <c r="F1084" s="13"/>
      <c r="G1084" s="11">
        <v>0.55000000000000004</v>
      </c>
      <c r="J1084" s="33">
        <f>VLOOKUP(A1084,'Refi Universe'!E:F,2,0)</f>
        <v>0.50560183999999997</v>
      </c>
    </row>
    <row r="1085" spans="1:10" ht="15" x14ac:dyDescent="0.25">
      <c r="A1085" s="14">
        <v>42158</v>
      </c>
      <c r="B1085" s="15">
        <v>109</v>
      </c>
      <c r="C1085" s="15">
        <v>109</v>
      </c>
      <c r="D1085" s="13"/>
      <c r="E1085" s="13"/>
      <c r="F1085" s="13"/>
      <c r="G1085" s="11">
        <v>0.55000000000000004</v>
      </c>
      <c r="J1085" s="33">
        <f>VLOOKUP(A1085,'Refi Universe'!E:F,2,0)</f>
        <v>0.46091277000000003</v>
      </c>
    </row>
    <row r="1086" spans="1:10" ht="15" x14ac:dyDescent="0.25">
      <c r="A1086" s="14">
        <v>42159</v>
      </c>
      <c r="B1086" s="15">
        <v>112</v>
      </c>
      <c r="C1086" s="15">
        <v>112</v>
      </c>
      <c r="D1086" s="13"/>
      <c r="E1086" s="13"/>
      <c r="F1086" s="13"/>
      <c r="G1086" s="11">
        <v>0.54</v>
      </c>
      <c r="J1086" s="33">
        <f>VLOOKUP(A1086,'Refi Universe'!E:F,2,0)</f>
        <v>0.49867202999999999</v>
      </c>
    </row>
    <row r="1087" spans="1:10" ht="15" x14ac:dyDescent="0.25">
      <c r="A1087" s="14">
        <v>42160</v>
      </c>
      <c r="B1087" s="15">
        <v>87</v>
      </c>
      <c r="C1087" s="15">
        <v>87</v>
      </c>
      <c r="D1087" s="13"/>
      <c r="E1087" s="13"/>
      <c r="F1087" s="13"/>
      <c r="G1087" s="11">
        <v>0.54</v>
      </c>
      <c r="J1087" s="33">
        <f>VLOOKUP(A1087,'Refi Universe'!E:F,2,0)</f>
        <v>0.43004924</v>
      </c>
    </row>
    <row r="1088" spans="1:10" ht="15" x14ac:dyDescent="0.25">
      <c r="A1088" s="14">
        <v>42163</v>
      </c>
      <c r="B1088" s="15">
        <v>88</v>
      </c>
      <c r="C1088" s="15">
        <v>88</v>
      </c>
      <c r="D1088" s="13"/>
      <c r="E1088" s="13"/>
      <c r="F1088" s="13"/>
      <c r="G1088" s="11">
        <v>0.54</v>
      </c>
      <c r="J1088" s="33">
        <f>VLOOKUP(A1088,'Refi Universe'!E:F,2,0)</f>
        <v>0.45300783</v>
      </c>
    </row>
    <row r="1089" spans="1:10" ht="15" x14ac:dyDescent="0.25">
      <c r="A1089" s="14">
        <v>42164</v>
      </c>
      <c r="B1089" s="15">
        <v>87</v>
      </c>
      <c r="C1089" s="15">
        <v>87</v>
      </c>
      <c r="D1089" s="13"/>
      <c r="E1089" s="13"/>
      <c r="F1089" s="13"/>
      <c r="G1089" s="11">
        <v>0.54</v>
      </c>
      <c r="J1089" s="33">
        <f>VLOOKUP(A1089,'Refi Universe'!E:F,2,0)</f>
        <v>0.42406532000000002</v>
      </c>
    </row>
    <row r="1090" spans="1:10" ht="15" x14ac:dyDescent="0.25">
      <c r="A1090" s="14">
        <v>42165</v>
      </c>
      <c r="B1090" s="15">
        <v>84</v>
      </c>
      <c r="C1090" s="15">
        <v>84</v>
      </c>
      <c r="D1090" s="13"/>
      <c r="E1090" s="13"/>
      <c r="F1090" s="13"/>
      <c r="G1090" s="11">
        <v>0.54</v>
      </c>
      <c r="J1090" s="33">
        <f>VLOOKUP(A1090,'Refi Universe'!E:F,2,0)</f>
        <v>0.40268363000000001</v>
      </c>
    </row>
    <row r="1091" spans="1:10" ht="15" x14ac:dyDescent="0.25">
      <c r="A1091" s="14">
        <v>42166</v>
      </c>
      <c r="B1091" s="15">
        <v>86</v>
      </c>
      <c r="C1091" s="15">
        <v>86</v>
      </c>
      <c r="D1091" s="13"/>
      <c r="E1091" s="13"/>
      <c r="F1091" s="13"/>
      <c r="G1091" s="11">
        <v>0.54</v>
      </c>
      <c r="J1091" s="33">
        <f>VLOOKUP(A1091,'Refi Universe'!E:F,2,0)</f>
        <v>0.47962304</v>
      </c>
    </row>
    <row r="1092" spans="1:10" ht="15" x14ac:dyDescent="0.25">
      <c r="A1092" s="14">
        <v>42167</v>
      </c>
      <c r="B1092" s="15">
        <v>93</v>
      </c>
      <c r="C1092" s="15">
        <v>93</v>
      </c>
      <c r="D1092" s="13"/>
      <c r="E1092" s="13"/>
      <c r="F1092" s="13"/>
      <c r="G1092" s="11">
        <v>0.45</v>
      </c>
      <c r="J1092" s="33">
        <f>VLOOKUP(A1092,'Refi Universe'!E:F,2,0)</f>
        <v>0.46608720999999997</v>
      </c>
    </row>
    <row r="1093" spans="1:10" ht="15" x14ac:dyDescent="0.25">
      <c r="A1093" s="14">
        <v>42170</v>
      </c>
      <c r="B1093" s="15">
        <v>101</v>
      </c>
      <c r="C1093" s="15">
        <v>101</v>
      </c>
      <c r="D1093" s="13"/>
      <c r="E1093" s="13"/>
      <c r="F1093" s="13"/>
      <c r="G1093" s="11">
        <v>0.45</v>
      </c>
      <c r="J1093" s="33">
        <f>VLOOKUP(A1093,'Refi Universe'!E:F,2,0)</f>
        <v>0.47166384</v>
      </c>
    </row>
    <row r="1094" spans="1:10" ht="15" x14ac:dyDescent="0.25">
      <c r="A1094" s="14">
        <v>42171</v>
      </c>
      <c r="B1094" s="15">
        <v>101</v>
      </c>
      <c r="C1094" s="15">
        <v>101</v>
      </c>
      <c r="D1094" s="13"/>
      <c r="E1094" s="13"/>
      <c r="F1094" s="13"/>
      <c r="G1094" s="11">
        <v>0.45</v>
      </c>
      <c r="J1094" s="33">
        <f>VLOOKUP(A1094,'Refi Universe'!E:F,2,0)</f>
        <v>0.49552404999999999</v>
      </c>
    </row>
    <row r="1095" spans="1:10" ht="15" x14ac:dyDescent="0.25">
      <c r="A1095" s="14">
        <v>42172</v>
      </c>
      <c r="B1095" s="15">
        <v>95</v>
      </c>
      <c r="C1095" s="15">
        <v>95</v>
      </c>
      <c r="D1095" s="13"/>
      <c r="E1095" s="13"/>
      <c r="F1095" s="13"/>
      <c r="G1095" s="11">
        <v>0.45</v>
      </c>
      <c r="J1095" s="33">
        <f>VLOOKUP(A1095,'Refi Universe'!E:F,2,0)</f>
        <v>0.49291583999999999</v>
      </c>
    </row>
    <row r="1096" spans="1:10" ht="15" x14ac:dyDescent="0.25">
      <c r="A1096" s="14">
        <v>42173</v>
      </c>
      <c r="B1096" s="15">
        <v>89</v>
      </c>
      <c r="C1096" s="15">
        <v>89</v>
      </c>
      <c r="D1096" s="13"/>
      <c r="E1096" s="13"/>
      <c r="F1096" s="13"/>
      <c r="G1096" s="11">
        <v>0.45</v>
      </c>
      <c r="J1096" s="33">
        <f>VLOOKUP(A1096,'Refi Universe'!E:F,2,0)</f>
        <v>0.48320742999999999</v>
      </c>
    </row>
    <row r="1097" spans="1:10" ht="15" x14ac:dyDescent="0.25">
      <c r="A1097" s="14">
        <v>42174</v>
      </c>
      <c r="B1097" s="15">
        <v>93</v>
      </c>
      <c r="C1097" s="15">
        <v>93</v>
      </c>
      <c r="D1097" s="13"/>
      <c r="E1097" s="13"/>
      <c r="F1097" s="13"/>
      <c r="G1097" s="11">
        <v>0.47</v>
      </c>
      <c r="J1097" s="33">
        <f>VLOOKUP(A1097,'Refi Universe'!E:F,2,0)</f>
        <v>0.51637186999999996</v>
      </c>
    </row>
    <row r="1098" spans="1:10" ht="15" x14ac:dyDescent="0.25">
      <c r="A1098" s="14">
        <v>42177</v>
      </c>
      <c r="B1098" s="15">
        <v>91</v>
      </c>
      <c r="C1098" s="15">
        <v>91</v>
      </c>
      <c r="D1098" s="13"/>
      <c r="E1098" s="13"/>
      <c r="F1098" s="13"/>
      <c r="G1098" s="11">
        <v>0.47</v>
      </c>
      <c r="J1098" s="33">
        <f>VLOOKUP(A1098,'Refi Universe'!E:F,2,0)</f>
        <v>0.45692780999999999</v>
      </c>
    </row>
    <row r="1099" spans="1:10" ht="15" x14ac:dyDescent="0.25">
      <c r="A1099" s="14">
        <v>42178</v>
      </c>
      <c r="B1099" s="15">
        <v>84</v>
      </c>
      <c r="C1099" s="15">
        <v>84</v>
      </c>
      <c r="D1099" s="13"/>
      <c r="E1099" s="13"/>
      <c r="F1099" s="13"/>
      <c r="G1099" s="11">
        <v>0.47</v>
      </c>
      <c r="J1099" s="33">
        <f>VLOOKUP(A1099,'Refi Universe'!E:F,2,0)</f>
        <v>0.42691006999999997</v>
      </c>
    </row>
    <row r="1100" spans="1:10" ht="15" x14ac:dyDescent="0.25">
      <c r="A1100" s="14">
        <v>42179</v>
      </c>
      <c r="B1100" s="15">
        <v>91</v>
      </c>
      <c r="C1100" s="15">
        <v>91</v>
      </c>
      <c r="D1100" s="13"/>
      <c r="E1100" s="13"/>
      <c r="F1100" s="13"/>
      <c r="G1100" s="11">
        <v>0.47</v>
      </c>
      <c r="J1100" s="33">
        <f>VLOOKUP(A1100,'Refi Universe'!E:F,2,0)</f>
        <v>0.43110091</v>
      </c>
    </row>
    <row r="1101" spans="1:10" ht="15" x14ac:dyDescent="0.25">
      <c r="A1101" s="14">
        <v>42180</v>
      </c>
      <c r="B1101" s="15">
        <v>89</v>
      </c>
      <c r="C1101" s="15">
        <v>89</v>
      </c>
      <c r="D1101" s="13"/>
      <c r="E1101" s="13"/>
      <c r="F1101" s="13"/>
      <c r="G1101" s="11">
        <v>0.45</v>
      </c>
      <c r="J1101" s="33">
        <f>VLOOKUP(A1101,'Refi Universe'!E:F,2,0)</f>
        <v>0.41325156000000002</v>
      </c>
    </row>
    <row r="1102" spans="1:10" ht="15" x14ac:dyDescent="0.25">
      <c r="A1102" s="14">
        <v>42181</v>
      </c>
      <c r="B1102" s="15">
        <v>85</v>
      </c>
      <c r="C1102" s="15">
        <v>85</v>
      </c>
      <c r="D1102" s="13"/>
      <c r="E1102" s="13"/>
      <c r="F1102" s="13"/>
      <c r="G1102" s="11">
        <v>0.45</v>
      </c>
      <c r="J1102" s="33">
        <f>VLOOKUP(A1102,'Refi Universe'!E:F,2,0)</f>
        <v>0.35438286000000002</v>
      </c>
    </row>
    <row r="1103" spans="1:10" ht="15" x14ac:dyDescent="0.25">
      <c r="A1103" s="14">
        <v>42184</v>
      </c>
      <c r="B1103" s="15">
        <v>102</v>
      </c>
      <c r="C1103" s="15">
        <v>102</v>
      </c>
      <c r="D1103" s="13"/>
      <c r="E1103" s="13"/>
      <c r="F1103" s="13"/>
      <c r="G1103" s="11">
        <v>0.45</v>
      </c>
      <c r="J1103" s="33">
        <f>VLOOKUP(A1103,'Refi Universe'!E:F,2,0)</f>
        <v>0.43423267999999998</v>
      </c>
    </row>
    <row r="1104" spans="1:10" ht="15" x14ac:dyDescent="0.25">
      <c r="A1104" s="14">
        <v>42185</v>
      </c>
      <c r="B1104" s="15">
        <v>104</v>
      </c>
      <c r="C1104" s="15">
        <v>104</v>
      </c>
      <c r="D1104" s="13"/>
      <c r="E1104" s="13"/>
      <c r="F1104" s="13"/>
      <c r="G1104" s="11">
        <v>0.45</v>
      </c>
      <c r="J1104" s="33">
        <f>VLOOKUP(A1104,'Refi Universe'!E:F,2,0)</f>
        <v>0.4424227</v>
      </c>
    </row>
    <row r="1105" spans="1:10" ht="15" x14ac:dyDescent="0.25">
      <c r="A1105" s="14">
        <v>42186</v>
      </c>
      <c r="B1105" s="15">
        <v>99</v>
      </c>
      <c r="C1105" s="15">
        <v>99</v>
      </c>
      <c r="D1105" s="13"/>
      <c r="E1105" s="13"/>
      <c r="F1105" s="13"/>
      <c r="G1105" s="11">
        <v>0.45</v>
      </c>
      <c r="J1105" s="33">
        <f>VLOOKUP(A1105,'Refi Universe'!E:F,2,0)</f>
        <v>0.39231037000000002</v>
      </c>
    </row>
    <row r="1106" spans="1:10" ht="15" x14ac:dyDescent="0.25">
      <c r="A1106" s="14">
        <v>42187</v>
      </c>
      <c r="B1106" s="15">
        <v>108</v>
      </c>
      <c r="C1106" s="15">
        <v>108</v>
      </c>
      <c r="D1106" s="13"/>
      <c r="E1106" s="13"/>
      <c r="F1106" s="13"/>
      <c r="G1106" s="11">
        <v>0.43</v>
      </c>
      <c r="J1106" s="33">
        <f>VLOOKUP(A1106,'Refi Universe'!E:F,2,0)</f>
        <v>0.41464839999999997</v>
      </c>
    </row>
    <row r="1107" spans="1:10" ht="15" x14ac:dyDescent="0.25">
      <c r="A1107" s="14">
        <v>42191</v>
      </c>
      <c r="B1107" s="15">
        <v>107</v>
      </c>
      <c r="C1107" s="15">
        <v>107</v>
      </c>
      <c r="D1107" s="13"/>
      <c r="E1107" s="13"/>
      <c r="F1107" s="13"/>
      <c r="G1107" s="11">
        <v>0.43</v>
      </c>
      <c r="J1107" s="33">
        <f>VLOOKUP(A1107,'Refi Universe'!E:F,2,0)</f>
        <v>0.48204760000000002</v>
      </c>
    </row>
    <row r="1108" spans="1:10" ht="15" x14ac:dyDescent="0.25">
      <c r="A1108" s="14">
        <v>42192</v>
      </c>
      <c r="B1108" s="15">
        <v>107</v>
      </c>
      <c r="C1108" s="15">
        <v>107</v>
      </c>
      <c r="D1108" s="13"/>
      <c r="E1108" s="13"/>
      <c r="F1108" s="13"/>
      <c r="G1108" s="11">
        <v>0.43</v>
      </c>
      <c r="J1108" s="33">
        <f>VLOOKUP(A1108,'Refi Universe'!E:F,2,0)</f>
        <v>0.50027485000000005</v>
      </c>
    </row>
    <row r="1109" spans="1:10" ht="15" x14ac:dyDescent="0.25">
      <c r="A1109" s="14">
        <v>42193</v>
      </c>
      <c r="B1109" s="15">
        <v>106</v>
      </c>
      <c r="C1109" s="15">
        <v>106</v>
      </c>
      <c r="D1109" s="13"/>
      <c r="E1109" s="13"/>
      <c r="F1109" s="13"/>
      <c r="G1109" s="11">
        <v>0.43</v>
      </c>
      <c r="J1109" s="33">
        <f>VLOOKUP(A1109,'Refi Universe'!E:F,2,0)</f>
        <v>0.49109761000000002</v>
      </c>
    </row>
    <row r="1110" spans="1:10" ht="15" x14ac:dyDescent="0.25">
      <c r="A1110" s="14">
        <v>42194</v>
      </c>
      <c r="B1110" s="15">
        <v>105</v>
      </c>
      <c r="C1110" s="15">
        <v>105</v>
      </c>
      <c r="D1110" s="13"/>
      <c r="E1110" s="13"/>
      <c r="F1110" s="13"/>
      <c r="G1110" s="11">
        <v>0.45</v>
      </c>
      <c r="J1110" s="33">
        <f>VLOOKUP(A1110,'Refi Universe'!E:F,2,0)</f>
        <v>0.43686424000000001</v>
      </c>
    </row>
    <row r="1111" spans="1:10" ht="15" x14ac:dyDescent="0.25">
      <c r="A1111" s="14">
        <v>42195</v>
      </c>
      <c r="B1111" s="15">
        <v>95</v>
      </c>
      <c r="C1111" s="15">
        <v>95</v>
      </c>
      <c r="D1111" s="13"/>
      <c r="E1111" s="13"/>
      <c r="F1111" s="13"/>
      <c r="G1111" s="11">
        <v>0.45</v>
      </c>
      <c r="J1111" s="33">
        <f>VLOOKUP(A1111,'Refi Universe'!E:F,2,0)</f>
        <v>0.36671435000000002</v>
      </c>
    </row>
    <row r="1112" spans="1:10" ht="15" x14ac:dyDescent="0.25">
      <c r="A1112" s="14">
        <v>42198</v>
      </c>
      <c r="B1112" s="15">
        <v>97</v>
      </c>
      <c r="C1112" s="15">
        <v>97</v>
      </c>
      <c r="D1112" s="13"/>
      <c r="E1112" s="13"/>
      <c r="F1112" s="13"/>
      <c r="G1112" s="11">
        <v>0.45</v>
      </c>
      <c r="J1112" s="33">
        <f>VLOOKUP(A1112,'Refi Universe'!E:F,2,0)</f>
        <v>0.36916188</v>
      </c>
    </row>
    <row r="1113" spans="1:10" ht="15" x14ac:dyDescent="0.25">
      <c r="A1113" s="14">
        <v>42199</v>
      </c>
      <c r="B1113" s="15">
        <v>103</v>
      </c>
      <c r="C1113" s="15">
        <v>103</v>
      </c>
      <c r="D1113" s="13"/>
      <c r="E1113" s="13"/>
      <c r="F1113" s="13"/>
      <c r="G1113" s="11">
        <v>0.45</v>
      </c>
      <c r="J1113" s="33">
        <f>VLOOKUP(A1113,'Refi Universe'!E:F,2,0)</f>
        <v>0.39714528999999998</v>
      </c>
    </row>
    <row r="1114" spans="1:10" ht="15" x14ac:dyDescent="0.25">
      <c r="A1114" s="14">
        <v>42200</v>
      </c>
      <c r="B1114" s="15">
        <v>104</v>
      </c>
      <c r="C1114" s="15">
        <v>104</v>
      </c>
      <c r="D1114" s="13"/>
      <c r="E1114" s="13"/>
      <c r="F1114" s="13"/>
      <c r="G1114" s="11">
        <v>0.45</v>
      </c>
      <c r="J1114" s="33">
        <f>VLOOKUP(A1114,'Refi Universe'!E:F,2,0)</f>
        <v>0.43686424000000001</v>
      </c>
    </row>
    <row r="1115" spans="1:10" ht="15" x14ac:dyDescent="0.25">
      <c r="A1115" s="14">
        <v>42201</v>
      </c>
      <c r="B1115" s="15">
        <v>107</v>
      </c>
      <c r="C1115" s="15">
        <v>107</v>
      </c>
      <c r="D1115" s="13"/>
      <c r="E1115" s="13"/>
      <c r="F1115" s="13"/>
      <c r="G1115" s="11">
        <v>0.42</v>
      </c>
      <c r="J1115" s="33">
        <f>VLOOKUP(A1115,'Refi Universe'!E:F,2,0)</f>
        <v>0.43721469000000002</v>
      </c>
    </row>
    <row r="1116" spans="1:10" ht="15" x14ac:dyDescent="0.25">
      <c r="A1116" s="14">
        <v>42202</v>
      </c>
      <c r="B1116" s="15">
        <v>105</v>
      </c>
      <c r="C1116" s="15">
        <v>105</v>
      </c>
      <c r="D1116" s="13"/>
      <c r="E1116" s="13"/>
      <c r="F1116" s="13"/>
      <c r="G1116" s="11">
        <v>0.42</v>
      </c>
      <c r="J1116" s="33">
        <f>VLOOKUP(A1116,'Refi Universe'!E:F,2,0)</f>
        <v>0.44583529999999999</v>
      </c>
    </row>
    <row r="1117" spans="1:10" ht="15" x14ac:dyDescent="0.25">
      <c r="A1117" s="14">
        <v>42205</v>
      </c>
      <c r="B1117" s="15">
        <v>102</v>
      </c>
      <c r="C1117" s="15">
        <v>102</v>
      </c>
      <c r="D1117" s="13"/>
      <c r="E1117" s="13"/>
      <c r="F1117" s="13"/>
      <c r="G1117" s="11">
        <v>0.42</v>
      </c>
      <c r="J1117" s="33">
        <f>VLOOKUP(A1117,'Refi Universe'!E:F,2,0)</f>
        <v>0.43253349000000002</v>
      </c>
    </row>
    <row r="1118" spans="1:10" ht="15" x14ac:dyDescent="0.25">
      <c r="A1118" s="14">
        <v>42206</v>
      </c>
      <c r="B1118" s="15">
        <v>103</v>
      </c>
      <c r="C1118" s="15">
        <v>103</v>
      </c>
      <c r="D1118" s="13"/>
      <c r="E1118" s="13"/>
      <c r="F1118" s="13"/>
      <c r="G1118" s="11">
        <v>0.42</v>
      </c>
      <c r="J1118" s="33">
        <f>VLOOKUP(A1118,'Refi Universe'!E:F,2,0)</f>
        <v>0.45450624000000001</v>
      </c>
    </row>
    <row r="1119" spans="1:10" ht="15" x14ac:dyDescent="0.25">
      <c r="A1119" s="14">
        <v>42207</v>
      </c>
      <c r="B1119" s="15">
        <v>97</v>
      </c>
      <c r="C1119" s="15">
        <v>97</v>
      </c>
      <c r="D1119" s="13"/>
      <c r="E1119" s="13"/>
      <c r="F1119" s="13"/>
      <c r="G1119" s="11">
        <v>0.42</v>
      </c>
      <c r="J1119" s="33">
        <f>VLOOKUP(A1119,'Refi Universe'!E:F,2,0)</f>
        <v>0.46379726999999998</v>
      </c>
    </row>
    <row r="1120" spans="1:10" ht="15" x14ac:dyDescent="0.25">
      <c r="A1120" s="14">
        <v>42208</v>
      </c>
      <c r="B1120" s="15">
        <v>96</v>
      </c>
      <c r="C1120" s="15">
        <v>96</v>
      </c>
      <c r="D1120" s="13"/>
      <c r="E1120" s="13"/>
      <c r="F1120" s="13"/>
      <c r="G1120" s="11">
        <v>0.45</v>
      </c>
      <c r="J1120" s="33">
        <f>VLOOKUP(A1120,'Refi Universe'!E:F,2,0)</f>
        <v>0.48346902000000003</v>
      </c>
    </row>
    <row r="1121" spans="1:10" ht="15" x14ac:dyDescent="0.25">
      <c r="A1121" s="14">
        <v>42209</v>
      </c>
      <c r="B1121" s="15">
        <v>97</v>
      </c>
      <c r="C1121" s="15">
        <v>97</v>
      </c>
      <c r="D1121" s="13"/>
      <c r="E1121" s="13"/>
      <c r="F1121" s="13"/>
      <c r="G1121" s="11">
        <v>0.45</v>
      </c>
      <c r="J1121" s="33">
        <f>VLOOKUP(A1121,'Refi Universe'!E:F,2,0)</f>
        <v>0.47806061999999999</v>
      </c>
    </row>
    <row r="1122" spans="1:10" ht="15" x14ac:dyDescent="0.25">
      <c r="A1122" s="14">
        <v>42212</v>
      </c>
      <c r="B1122" s="15">
        <v>106</v>
      </c>
      <c r="C1122" s="15">
        <v>106</v>
      </c>
      <c r="D1122" s="13"/>
      <c r="E1122" s="13"/>
      <c r="F1122" s="13"/>
      <c r="G1122" s="11">
        <v>0.45</v>
      </c>
      <c r="J1122" s="33">
        <f>VLOOKUP(A1122,'Refi Universe'!E:F,2,0)</f>
        <v>0.49836355999999998</v>
      </c>
    </row>
    <row r="1123" spans="1:10" ht="15" x14ac:dyDescent="0.25">
      <c r="A1123" s="14">
        <v>42213</v>
      </c>
      <c r="B1123" s="15">
        <v>107</v>
      </c>
      <c r="C1123" s="15">
        <v>107</v>
      </c>
      <c r="D1123" s="13"/>
      <c r="E1123" s="13"/>
      <c r="F1123" s="13"/>
      <c r="G1123" s="11">
        <v>0.45</v>
      </c>
      <c r="J1123" s="33">
        <f>VLOOKUP(A1123,'Refi Universe'!E:F,2,0)</f>
        <v>0.50078915000000002</v>
      </c>
    </row>
    <row r="1124" spans="1:10" ht="15" x14ac:dyDescent="0.25">
      <c r="A1124" s="14">
        <v>42214</v>
      </c>
      <c r="B1124" s="15">
        <v>120</v>
      </c>
      <c r="C1124" s="15">
        <v>120</v>
      </c>
      <c r="D1124" s="13"/>
      <c r="E1124" s="13"/>
      <c r="F1124" s="13"/>
      <c r="G1124" s="11">
        <v>0.45</v>
      </c>
      <c r="J1124" s="33">
        <f>VLOOKUP(A1124,'Refi Universe'!E:F,2,0)</f>
        <v>0.48791089999999998</v>
      </c>
    </row>
    <row r="1125" spans="1:10" ht="15" x14ac:dyDescent="0.25">
      <c r="A1125" s="14">
        <v>42215</v>
      </c>
      <c r="B1125" s="15">
        <v>109</v>
      </c>
      <c r="C1125" s="15">
        <v>109</v>
      </c>
      <c r="D1125" s="13"/>
      <c r="E1125" s="13"/>
      <c r="F1125" s="13"/>
      <c r="G1125" s="11">
        <v>0.5</v>
      </c>
      <c r="J1125" s="33">
        <f>VLOOKUP(A1125,'Refi Universe'!E:F,2,0)</f>
        <v>0.48860219999999999</v>
      </c>
    </row>
    <row r="1126" spans="1:10" ht="15" x14ac:dyDescent="0.25">
      <c r="A1126" s="14">
        <v>42216</v>
      </c>
      <c r="B1126" s="15">
        <v>123</v>
      </c>
      <c r="C1126" s="15">
        <v>123</v>
      </c>
      <c r="D1126" s="13"/>
      <c r="E1126" s="13"/>
      <c r="F1126" s="13"/>
      <c r="G1126" s="11">
        <v>0.5</v>
      </c>
      <c r="J1126" s="33">
        <f>VLOOKUP(A1126,'Refi Universe'!E:F,2,0)</f>
        <v>0.51760958999999995</v>
      </c>
    </row>
    <row r="1127" spans="1:10" ht="15" x14ac:dyDescent="0.25">
      <c r="A1127" s="14">
        <v>42219</v>
      </c>
      <c r="B1127" s="15">
        <v>127</v>
      </c>
      <c r="C1127" s="15">
        <v>127</v>
      </c>
      <c r="D1127" s="13"/>
      <c r="E1127" s="13"/>
      <c r="F1127" s="13"/>
      <c r="G1127" s="11">
        <v>0.5</v>
      </c>
      <c r="J1127" s="33">
        <f>VLOOKUP(A1127,'Refi Universe'!E:F,2,0)</f>
        <v>0.52361420000000003</v>
      </c>
    </row>
    <row r="1128" spans="1:10" ht="15" x14ac:dyDescent="0.25">
      <c r="A1128" s="14">
        <v>42220</v>
      </c>
      <c r="B1128" s="15">
        <v>114</v>
      </c>
      <c r="C1128" s="15">
        <v>114</v>
      </c>
      <c r="D1128" s="13"/>
      <c r="E1128" s="13"/>
      <c r="F1128" s="13"/>
      <c r="G1128" s="11">
        <v>0.5</v>
      </c>
      <c r="J1128" s="33">
        <f>VLOOKUP(A1128,'Refi Universe'!E:F,2,0)</f>
        <v>0.49985484000000002</v>
      </c>
    </row>
    <row r="1129" spans="1:10" ht="15" x14ac:dyDescent="0.25">
      <c r="A1129" s="14">
        <v>42221</v>
      </c>
      <c r="B1129" s="15">
        <v>125</v>
      </c>
      <c r="C1129" s="15">
        <v>125</v>
      </c>
      <c r="D1129" s="13"/>
      <c r="E1129" s="13"/>
      <c r="F1129" s="13"/>
      <c r="G1129" s="11">
        <v>0.5</v>
      </c>
      <c r="J1129" s="33">
        <f>VLOOKUP(A1129,'Refi Universe'!E:F,2,0)</f>
        <v>0.49262108999999998</v>
      </c>
    </row>
    <row r="1130" spans="1:10" ht="15" x14ac:dyDescent="0.25">
      <c r="A1130" s="14">
        <v>42222</v>
      </c>
      <c r="B1130" s="15">
        <v>123</v>
      </c>
      <c r="C1130" s="15">
        <v>123</v>
      </c>
      <c r="D1130" s="13"/>
      <c r="E1130" s="13"/>
      <c r="F1130" s="13"/>
      <c r="G1130" s="11">
        <v>0.52</v>
      </c>
      <c r="J1130" s="33">
        <f>VLOOKUP(A1130,'Refi Universe'!E:F,2,0)</f>
        <v>0.50436276000000002</v>
      </c>
    </row>
    <row r="1131" spans="1:10" ht="15" x14ac:dyDescent="0.25">
      <c r="A1131" s="14">
        <v>42223</v>
      </c>
      <c r="B1131" s="15">
        <v>117</v>
      </c>
      <c r="C1131" s="15">
        <v>117</v>
      </c>
      <c r="D1131" s="13"/>
      <c r="E1131" s="13"/>
      <c r="F1131" s="13"/>
      <c r="G1131" s="11">
        <v>0.52</v>
      </c>
      <c r="J1131" s="33">
        <f>VLOOKUP(A1131,'Refi Universe'!E:F,2,0)</f>
        <v>0.52122531999999999</v>
      </c>
    </row>
    <row r="1132" spans="1:10" ht="15" x14ac:dyDescent="0.25">
      <c r="A1132" s="14">
        <v>42226</v>
      </c>
      <c r="B1132" s="15">
        <v>110</v>
      </c>
      <c r="C1132" s="15">
        <v>110</v>
      </c>
      <c r="D1132" s="13"/>
      <c r="E1132" s="13"/>
      <c r="F1132" s="13"/>
      <c r="G1132" s="11">
        <v>0.52</v>
      </c>
      <c r="J1132" s="33">
        <f>VLOOKUP(A1132,'Refi Universe'!E:F,2,0)</f>
        <v>0.50362235</v>
      </c>
    </row>
    <row r="1133" spans="1:10" ht="15" x14ac:dyDescent="0.25">
      <c r="A1133" s="14">
        <v>42227</v>
      </c>
      <c r="B1133" s="15">
        <v>113</v>
      </c>
      <c r="C1133" s="15">
        <v>113</v>
      </c>
      <c r="D1133" s="13"/>
      <c r="E1133" s="13"/>
      <c r="F1133" s="13"/>
      <c r="G1133" s="11">
        <v>0.52</v>
      </c>
      <c r="J1133" s="33">
        <f>VLOOKUP(A1133,'Refi Universe'!E:F,2,0)</f>
        <v>0.54047655999999999</v>
      </c>
    </row>
    <row r="1134" spans="1:10" ht="15" x14ac:dyDescent="0.25">
      <c r="A1134" s="14">
        <v>42228</v>
      </c>
      <c r="B1134" s="15">
        <v>124</v>
      </c>
      <c r="C1134" s="15">
        <v>124</v>
      </c>
      <c r="D1134" s="13"/>
      <c r="E1134" s="13"/>
      <c r="F1134" s="13"/>
      <c r="G1134" s="11">
        <v>0.52</v>
      </c>
      <c r="J1134" s="33">
        <f>VLOOKUP(A1134,'Refi Universe'!E:F,2,0)</f>
        <v>0.51406275000000001</v>
      </c>
    </row>
    <row r="1135" spans="1:10" ht="15" x14ac:dyDescent="0.25">
      <c r="A1135" s="14">
        <v>42229</v>
      </c>
      <c r="B1135" s="15">
        <v>112</v>
      </c>
      <c r="C1135" s="15">
        <v>112</v>
      </c>
      <c r="D1135" s="13"/>
      <c r="E1135" s="13"/>
      <c r="F1135" s="13"/>
      <c r="G1135" s="11">
        <v>0.51</v>
      </c>
      <c r="J1135" s="33">
        <f>VLOOKUP(A1135,'Refi Universe'!E:F,2,0)</f>
        <v>0.49770785000000001</v>
      </c>
    </row>
    <row r="1136" spans="1:10" ht="15" x14ac:dyDescent="0.25">
      <c r="A1136" s="14">
        <v>42230</v>
      </c>
      <c r="B1136" s="15">
        <v>112</v>
      </c>
      <c r="C1136" s="15">
        <v>112</v>
      </c>
      <c r="D1136" s="13"/>
      <c r="E1136" s="13"/>
      <c r="F1136" s="13"/>
      <c r="G1136" s="11">
        <v>0.51</v>
      </c>
      <c r="J1136" s="33">
        <f>VLOOKUP(A1136,'Refi Universe'!E:F,2,0)</f>
        <v>0.48956336</v>
      </c>
    </row>
    <row r="1137" spans="1:10" ht="15" x14ac:dyDescent="0.25">
      <c r="A1137" s="14">
        <v>42233</v>
      </c>
      <c r="B1137" s="15">
        <v>116</v>
      </c>
      <c r="C1137" s="15">
        <v>116</v>
      </c>
      <c r="D1137" s="13"/>
      <c r="E1137" s="13"/>
      <c r="F1137" s="13"/>
      <c r="G1137" s="11">
        <v>0.51</v>
      </c>
      <c r="J1137" s="33">
        <f>VLOOKUP(A1137,'Refi Universe'!E:F,2,0)</f>
        <v>0.50021404999999997</v>
      </c>
    </row>
    <row r="1138" spans="1:10" ht="15" x14ac:dyDescent="0.25">
      <c r="A1138" s="14">
        <v>42234</v>
      </c>
      <c r="B1138" s="15">
        <v>114</v>
      </c>
      <c r="C1138" s="15">
        <v>114</v>
      </c>
      <c r="D1138" s="13"/>
      <c r="E1138" s="13"/>
      <c r="F1138" s="13"/>
      <c r="G1138" s="11">
        <v>0.51</v>
      </c>
      <c r="J1138" s="33">
        <f>VLOOKUP(A1138,'Refi Universe'!E:F,2,0)</f>
        <v>0.49077204000000002</v>
      </c>
    </row>
    <row r="1139" spans="1:10" ht="15" x14ac:dyDescent="0.25">
      <c r="A1139" s="14">
        <v>42235</v>
      </c>
      <c r="B1139" s="15">
        <v>124</v>
      </c>
      <c r="C1139" s="15">
        <v>124</v>
      </c>
      <c r="D1139" s="13"/>
      <c r="E1139" s="13"/>
      <c r="F1139" s="13"/>
      <c r="G1139" s="11">
        <v>0.51</v>
      </c>
      <c r="J1139" s="33">
        <f>VLOOKUP(A1139,'Refi Universe'!E:F,2,0)</f>
        <v>0.52031886000000005</v>
      </c>
    </row>
    <row r="1140" spans="1:10" ht="15" x14ac:dyDescent="0.25">
      <c r="A1140" s="14">
        <v>42236</v>
      </c>
      <c r="B1140" s="15">
        <v>129</v>
      </c>
      <c r="C1140" s="15">
        <v>129</v>
      </c>
      <c r="D1140" s="13"/>
      <c r="E1140" s="13"/>
      <c r="F1140" s="13"/>
      <c r="G1140" s="11">
        <v>0.51</v>
      </c>
      <c r="J1140" s="33">
        <f>VLOOKUP(A1140,'Refi Universe'!E:F,2,0)</f>
        <v>0.53631419999999996</v>
      </c>
    </row>
    <row r="1141" spans="1:10" ht="15" x14ac:dyDescent="0.25">
      <c r="A1141" s="14">
        <v>42237</v>
      </c>
      <c r="B1141" s="15">
        <v>135</v>
      </c>
      <c r="C1141" s="15">
        <v>135</v>
      </c>
      <c r="D1141" s="13"/>
      <c r="E1141" s="13"/>
      <c r="F1141" s="13"/>
      <c r="G1141" s="11">
        <v>0.51</v>
      </c>
      <c r="J1141" s="33">
        <f>VLOOKUP(A1141,'Refi Universe'!E:F,2,0)</f>
        <v>0.54741704999999996</v>
      </c>
    </row>
    <row r="1142" spans="1:10" ht="15" x14ac:dyDescent="0.25">
      <c r="A1142" s="14">
        <v>42240</v>
      </c>
      <c r="B1142" s="15">
        <v>148</v>
      </c>
      <c r="C1142" s="15">
        <v>148</v>
      </c>
      <c r="D1142" s="13"/>
      <c r="E1142" s="13"/>
      <c r="F1142" s="13"/>
      <c r="G1142" s="11">
        <v>0.51</v>
      </c>
      <c r="J1142" s="33">
        <f>VLOOKUP(A1142,'Refi Universe'!E:F,2,0)</f>
        <v>0.56736513</v>
      </c>
    </row>
    <row r="1143" spans="1:10" ht="15" x14ac:dyDescent="0.25">
      <c r="A1143" s="14">
        <v>42241</v>
      </c>
      <c r="B1143" s="15">
        <v>128</v>
      </c>
      <c r="C1143" s="15">
        <v>128</v>
      </c>
      <c r="D1143" s="13"/>
      <c r="E1143" s="13"/>
      <c r="F1143" s="13"/>
      <c r="G1143" s="11">
        <v>0.51</v>
      </c>
      <c r="J1143" s="33">
        <f>VLOOKUP(A1143,'Refi Universe'!E:F,2,0)</f>
        <v>0.51305791999999995</v>
      </c>
    </row>
    <row r="1144" spans="1:10" ht="15" x14ac:dyDescent="0.25">
      <c r="A1144" s="14">
        <v>42242</v>
      </c>
      <c r="B1144" s="15">
        <v>135</v>
      </c>
      <c r="C1144" s="15">
        <v>135</v>
      </c>
      <c r="D1144" s="13"/>
      <c r="E1144" s="13"/>
      <c r="F1144" s="13"/>
      <c r="G1144" s="11">
        <v>0.51</v>
      </c>
      <c r="J1144" s="33">
        <f>VLOOKUP(A1144,'Refi Universe'!E:F,2,0)</f>
        <v>0.51647642000000005</v>
      </c>
    </row>
    <row r="1145" spans="1:10" ht="15" x14ac:dyDescent="0.25">
      <c r="A1145" s="14">
        <v>42243</v>
      </c>
      <c r="B1145" s="15">
        <v>133</v>
      </c>
      <c r="C1145" s="15">
        <v>133</v>
      </c>
      <c r="D1145" s="13"/>
      <c r="E1145" s="13"/>
      <c r="F1145" s="13"/>
      <c r="G1145" s="11">
        <v>0.55000000000000004</v>
      </c>
      <c r="J1145" s="33">
        <f>VLOOKUP(A1145,'Refi Universe'!E:F,2,0)</f>
        <v>0.51793573000000004</v>
      </c>
    </row>
    <row r="1146" spans="1:10" ht="15" x14ac:dyDescent="0.25">
      <c r="A1146" s="14">
        <v>42244</v>
      </c>
      <c r="B1146" s="15">
        <v>126</v>
      </c>
      <c r="C1146" s="15">
        <v>126</v>
      </c>
      <c r="D1146" s="13"/>
      <c r="E1146" s="13"/>
      <c r="F1146" s="13"/>
      <c r="G1146" s="11">
        <v>0.55000000000000004</v>
      </c>
      <c r="J1146" s="33">
        <f>VLOOKUP(A1146,'Refi Universe'!E:F,2,0)</f>
        <v>0.51574027</v>
      </c>
    </row>
    <row r="1147" spans="1:10" ht="15" x14ac:dyDescent="0.25">
      <c r="A1147" s="14">
        <v>42247</v>
      </c>
      <c r="B1147" s="15">
        <v>129</v>
      </c>
      <c r="C1147" s="15">
        <v>129</v>
      </c>
      <c r="D1147" s="13"/>
      <c r="E1147" s="13"/>
      <c r="F1147" s="13"/>
      <c r="G1147" s="11">
        <v>0.55000000000000004</v>
      </c>
      <c r="J1147" s="33">
        <f>VLOOKUP(A1147,'Refi Universe'!E:F,2,0)</f>
        <v>0.50869439000000005</v>
      </c>
    </row>
    <row r="1148" spans="1:10" ht="15" x14ac:dyDescent="0.25">
      <c r="A1148" s="14">
        <v>42248</v>
      </c>
      <c r="B1148" s="15">
        <v>131</v>
      </c>
      <c r="C1148" s="15">
        <v>131</v>
      </c>
      <c r="D1148" s="13"/>
      <c r="E1148" s="13"/>
      <c r="F1148" s="13"/>
      <c r="G1148" s="11">
        <v>0.55000000000000004</v>
      </c>
      <c r="J1148" s="33">
        <f>VLOOKUP(A1148,'Refi Universe'!E:F,2,0)</f>
        <v>0.51178652000000002</v>
      </c>
    </row>
    <row r="1149" spans="1:10" ht="15" x14ac:dyDescent="0.25">
      <c r="A1149" s="14">
        <v>42249</v>
      </c>
      <c r="B1149" s="15">
        <v>135</v>
      </c>
      <c r="C1149" s="15">
        <v>135</v>
      </c>
      <c r="D1149" s="13"/>
      <c r="E1149" s="13"/>
      <c r="F1149" s="13"/>
      <c r="G1149" s="11">
        <v>0.55000000000000004</v>
      </c>
      <c r="J1149" s="33">
        <f>VLOOKUP(A1149,'Refi Universe'!E:F,2,0)</f>
        <v>0.50599921999999997</v>
      </c>
    </row>
    <row r="1150" spans="1:10" ht="15" x14ac:dyDescent="0.25">
      <c r="A1150" s="14">
        <v>42250</v>
      </c>
      <c r="B1150" s="15">
        <v>149</v>
      </c>
      <c r="C1150" s="15">
        <v>149</v>
      </c>
      <c r="D1150" s="13"/>
      <c r="E1150" s="13"/>
      <c r="F1150" s="13"/>
      <c r="G1150" s="11">
        <v>0.52</v>
      </c>
      <c r="J1150" s="33">
        <f>VLOOKUP(A1150,'Refi Universe'!E:F,2,0)</f>
        <v>0.51889669999999999</v>
      </c>
    </row>
    <row r="1151" spans="1:10" ht="15" x14ac:dyDescent="0.25">
      <c r="A1151" s="14">
        <v>42251</v>
      </c>
      <c r="B1151" s="15">
        <v>145</v>
      </c>
      <c r="C1151" s="15">
        <v>145</v>
      </c>
      <c r="D1151" s="13"/>
      <c r="E1151" s="13"/>
      <c r="F1151" s="13"/>
      <c r="G1151" s="11">
        <v>0.52</v>
      </c>
      <c r="J1151" s="33">
        <f>VLOOKUP(A1151,'Refi Universe'!E:F,2,0)</f>
        <v>0.53448357999999996</v>
      </c>
    </row>
    <row r="1152" spans="1:10" ht="15" x14ac:dyDescent="0.25">
      <c r="A1152" s="14">
        <v>42255</v>
      </c>
      <c r="B1152" s="15">
        <v>130</v>
      </c>
      <c r="C1152" s="15">
        <v>130</v>
      </c>
      <c r="D1152" s="13"/>
      <c r="E1152" s="13"/>
      <c r="F1152" s="13"/>
      <c r="G1152" s="11">
        <v>0.52</v>
      </c>
      <c r="J1152" s="33">
        <f>VLOOKUP(A1152,'Refi Universe'!E:F,2,0)</f>
        <v>0.51178652000000002</v>
      </c>
    </row>
    <row r="1153" spans="1:10" ht="15" x14ac:dyDescent="0.25">
      <c r="A1153" s="14">
        <v>42256</v>
      </c>
      <c r="B1153" s="15">
        <v>129</v>
      </c>
      <c r="C1153" s="15">
        <v>129</v>
      </c>
      <c r="D1153" s="13"/>
      <c r="E1153" s="13"/>
      <c r="F1153" s="13"/>
      <c r="G1153" s="11">
        <v>0.52</v>
      </c>
      <c r="J1153" s="33">
        <f>VLOOKUP(A1153,'Refi Universe'!E:F,2,0)</f>
        <v>0.50698535</v>
      </c>
    </row>
    <row r="1154" spans="1:10" ht="15" x14ac:dyDescent="0.25">
      <c r="A1154" s="14">
        <v>42257</v>
      </c>
      <c r="B1154" s="15">
        <v>127</v>
      </c>
      <c r="C1154" s="15">
        <v>127</v>
      </c>
      <c r="D1154" s="13"/>
      <c r="E1154" s="13"/>
      <c r="F1154" s="13"/>
      <c r="G1154" s="11">
        <v>0.51</v>
      </c>
      <c r="J1154" s="33">
        <f>VLOOKUP(A1154,'Refi Universe'!E:F,2,0)</f>
        <v>0.49792618999999999</v>
      </c>
    </row>
    <row r="1155" spans="1:10" ht="15" x14ac:dyDescent="0.25">
      <c r="A1155" s="14">
        <v>42258</v>
      </c>
      <c r="B1155" s="15">
        <v>134</v>
      </c>
      <c r="C1155" s="15">
        <v>134</v>
      </c>
      <c r="D1155" s="13"/>
      <c r="E1155" s="13"/>
      <c r="F1155" s="13"/>
      <c r="G1155" s="11">
        <v>0.51</v>
      </c>
      <c r="J1155" s="33">
        <f>VLOOKUP(A1155,'Refi Universe'!E:F,2,0)</f>
        <v>0.50244840000000002</v>
      </c>
    </row>
    <row r="1156" spans="1:10" ht="15" x14ac:dyDescent="0.25">
      <c r="A1156" s="14">
        <v>42261</v>
      </c>
      <c r="B1156" s="15">
        <v>134</v>
      </c>
      <c r="C1156" s="15">
        <v>134</v>
      </c>
      <c r="D1156" s="13"/>
      <c r="E1156" s="13"/>
      <c r="F1156" s="13"/>
      <c r="G1156" s="11">
        <v>0.51</v>
      </c>
      <c r="J1156" s="33">
        <f>VLOOKUP(A1156,'Refi Universe'!E:F,2,0)</f>
        <v>0.50553360999999997</v>
      </c>
    </row>
    <row r="1157" spans="1:10" ht="15" x14ac:dyDescent="0.25">
      <c r="A1157" s="14">
        <v>42262</v>
      </c>
      <c r="B1157" s="15">
        <v>128</v>
      </c>
      <c r="C1157" s="15">
        <v>128</v>
      </c>
      <c r="D1157" s="13"/>
      <c r="E1157" s="13"/>
      <c r="F1157" s="13"/>
      <c r="G1157" s="11">
        <v>0.51</v>
      </c>
      <c r="J1157" s="33">
        <f>VLOOKUP(A1157,'Refi Universe'!E:F,2,0)</f>
        <v>0.47261544999999999</v>
      </c>
    </row>
    <row r="1158" spans="1:10" ht="15" x14ac:dyDescent="0.25">
      <c r="A1158" s="14">
        <v>42263</v>
      </c>
      <c r="B1158" s="15">
        <v>131</v>
      </c>
      <c r="C1158" s="15">
        <v>131</v>
      </c>
      <c r="D1158" s="13"/>
      <c r="E1158" s="13"/>
      <c r="F1158" s="13"/>
      <c r="G1158" s="11">
        <v>0.51</v>
      </c>
      <c r="J1158" s="33">
        <f>VLOOKUP(A1158,'Refi Universe'!E:F,2,0)</f>
        <v>0.49091327000000001</v>
      </c>
    </row>
    <row r="1159" spans="1:10" ht="15" x14ac:dyDescent="0.25">
      <c r="A1159" s="14">
        <v>42264</v>
      </c>
      <c r="B1159" s="15">
        <v>139</v>
      </c>
      <c r="C1159" s="15">
        <v>139</v>
      </c>
      <c r="D1159" s="13"/>
      <c r="E1159" s="13"/>
      <c r="F1159" s="13"/>
      <c r="G1159" s="11">
        <v>0.51</v>
      </c>
      <c r="J1159" s="33">
        <f>VLOOKUP(A1159,'Refi Universe'!E:F,2,0)</f>
        <v>0.52915392000000006</v>
      </c>
    </row>
    <row r="1160" spans="1:10" ht="15" x14ac:dyDescent="0.25">
      <c r="A1160" s="14">
        <v>42265</v>
      </c>
      <c r="B1160" s="15">
        <v>147</v>
      </c>
      <c r="C1160" s="15">
        <v>147</v>
      </c>
      <c r="D1160" s="13"/>
      <c r="E1160" s="13"/>
      <c r="F1160" s="13"/>
      <c r="G1160" s="11">
        <v>0.51</v>
      </c>
      <c r="J1160" s="33">
        <f>VLOOKUP(A1160,'Refi Universe'!E:F,2,0)</f>
        <v>0.55836633000000002</v>
      </c>
    </row>
    <row r="1161" spans="1:10" ht="15" x14ac:dyDescent="0.25">
      <c r="A1161" s="14">
        <v>42268</v>
      </c>
      <c r="B1161" s="15">
        <v>141</v>
      </c>
      <c r="C1161" s="15">
        <v>141</v>
      </c>
      <c r="D1161" s="13"/>
      <c r="E1161" s="13"/>
      <c r="F1161" s="13"/>
      <c r="G1161" s="11">
        <v>0.51</v>
      </c>
      <c r="J1161" s="33">
        <f>VLOOKUP(A1161,'Refi Universe'!E:F,2,0)</f>
        <v>0.51756157999999997</v>
      </c>
    </row>
    <row r="1162" spans="1:10" ht="15" x14ac:dyDescent="0.25">
      <c r="A1162" s="14">
        <v>42269</v>
      </c>
      <c r="B1162" s="15">
        <v>147</v>
      </c>
      <c r="C1162" s="15">
        <v>147</v>
      </c>
      <c r="D1162" s="13"/>
      <c r="E1162" s="13"/>
      <c r="F1162" s="13"/>
      <c r="G1162" s="11">
        <v>0.51</v>
      </c>
      <c r="J1162" s="33">
        <f>VLOOKUP(A1162,'Refi Universe'!E:F,2,0)</f>
        <v>0.54699834000000003</v>
      </c>
    </row>
    <row r="1163" spans="1:10" ht="15" x14ac:dyDescent="0.25">
      <c r="A1163" s="14">
        <v>42270</v>
      </c>
      <c r="B1163" s="15">
        <v>141</v>
      </c>
      <c r="C1163" s="15">
        <v>141</v>
      </c>
      <c r="D1163" s="13"/>
      <c r="E1163" s="13"/>
      <c r="F1163" s="13"/>
      <c r="G1163" s="11">
        <v>0.51</v>
      </c>
      <c r="J1163" s="33">
        <f>VLOOKUP(A1163,'Refi Universe'!E:F,2,0)</f>
        <v>0.51456749000000002</v>
      </c>
    </row>
    <row r="1164" spans="1:10" ht="15" x14ac:dyDescent="0.25">
      <c r="A1164" s="14">
        <v>42271</v>
      </c>
      <c r="B1164" s="15">
        <v>151</v>
      </c>
      <c r="C1164" s="15">
        <v>151</v>
      </c>
      <c r="D1164" s="13"/>
      <c r="E1164" s="13"/>
      <c r="F1164" s="13"/>
      <c r="G1164" s="11">
        <v>0.52</v>
      </c>
      <c r="J1164" s="33">
        <f>VLOOKUP(A1164,'Refi Universe'!E:F,2,0)</f>
        <v>0.51546252000000004</v>
      </c>
    </row>
    <row r="1165" spans="1:10" ht="15" x14ac:dyDescent="0.25">
      <c r="A1165" s="14">
        <v>42272</v>
      </c>
      <c r="B1165" s="15">
        <v>142</v>
      </c>
      <c r="C1165" s="15">
        <v>142</v>
      </c>
      <c r="D1165" s="13"/>
      <c r="E1165" s="13"/>
      <c r="F1165" s="13"/>
      <c r="G1165" s="11">
        <v>0.52</v>
      </c>
      <c r="J1165" s="33">
        <f>VLOOKUP(A1165,'Refi Universe'!E:F,2,0)</f>
        <v>0.50470086000000003</v>
      </c>
    </row>
    <row r="1166" spans="1:10" ht="15" x14ac:dyDescent="0.25">
      <c r="A1166" s="14">
        <v>42275</v>
      </c>
      <c r="B1166" s="15">
        <v>148</v>
      </c>
      <c r="C1166" s="15">
        <v>148</v>
      </c>
      <c r="D1166" s="13"/>
      <c r="E1166" s="13"/>
      <c r="F1166" s="13"/>
      <c r="G1166" s="11">
        <v>0.52</v>
      </c>
      <c r="J1166" s="33">
        <f>VLOOKUP(A1166,'Refi Universe'!E:F,2,0)</f>
        <v>0.52561398999999998</v>
      </c>
    </row>
    <row r="1167" spans="1:10" ht="15" x14ac:dyDescent="0.25">
      <c r="A1167" s="14">
        <v>42276</v>
      </c>
      <c r="B1167" s="15">
        <v>152</v>
      </c>
      <c r="C1167" s="15">
        <v>152</v>
      </c>
      <c r="D1167" s="13"/>
      <c r="E1167" s="13"/>
      <c r="F1167" s="13"/>
      <c r="G1167" s="11">
        <v>0.52</v>
      </c>
      <c r="J1167" s="33">
        <f>VLOOKUP(A1167,'Refi Universe'!E:F,2,0)</f>
        <v>0.54699834000000003</v>
      </c>
    </row>
    <row r="1168" spans="1:10" ht="15" x14ac:dyDescent="0.25">
      <c r="A1168" s="14">
        <v>42277</v>
      </c>
      <c r="B1168" s="15">
        <v>160</v>
      </c>
      <c r="C1168" s="15">
        <v>160</v>
      </c>
      <c r="D1168" s="13"/>
      <c r="E1168" s="13"/>
      <c r="F1168" s="13"/>
      <c r="G1168" s="11">
        <v>0.52</v>
      </c>
      <c r="J1168" s="33">
        <f>VLOOKUP(A1168,'Refi Universe'!E:F,2,0)</f>
        <v>0.55419123999999997</v>
      </c>
    </row>
    <row r="1169" spans="1:10" ht="15" x14ac:dyDescent="0.25">
      <c r="A1169" s="14">
        <v>42278</v>
      </c>
      <c r="B1169" s="15">
        <v>180</v>
      </c>
      <c r="C1169" s="15">
        <v>180</v>
      </c>
      <c r="D1169" s="13"/>
      <c r="E1169" s="13"/>
      <c r="F1169" s="13"/>
      <c r="G1169" s="11">
        <v>0.53</v>
      </c>
      <c r="J1169" s="33">
        <f>VLOOKUP(A1169,'Refi Universe'!E:F,2,0)</f>
        <v>0.56462911000000005</v>
      </c>
    </row>
    <row r="1170" spans="1:10" ht="15" x14ac:dyDescent="0.25">
      <c r="A1170" s="14">
        <v>42279</v>
      </c>
      <c r="B1170" s="15">
        <v>202</v>
      </c>
      <c r="C1170" s="15">
        <v>202</v>
      </c>
      <c r="D1170" s="13"/>
      <c r="E1170" s="13"/>
      <c r="F1170" s="13"/>
      <c r="G1170" s="11">
        <v>0.53</v>
      </c>
      <c r="J1170" s="33">
        <f>VLOOKUP(A1170,'Refi Universe'!E:F,2,0)</f>
        <v>0.59206276000000002</v>
      </c>
    </row>
    <row r="1171" spans="1:10" ht="15" x14ac:dyDescent="0.25">
      <c r="A1171" s="14">
        <v>42282</v>
      </c>
      <c r="B1171" s="15">
        <v>202</v>
      </c>
      <c r="C1171" s="15">
        <v>202</v>
      </c>
      <c r="G1171" s="11">
        <v>0.53</v>
      </c>
      <c r="J1171" s="33">
        <f>VLOOKUP(A1171,'Refi Universe'!E:F,2,0)</f>
        <v>0.56743953999999996</v>
      </c>
    </row>
    <row r="1172" spans="1:10" ht="15" x14ac:dyDescent="0.25">
      <c r="A1172" s="14">
        <v>42283</v>
      </c>
      <c r="B1172" s="15">
        <v>185</v>
      </c>
      <c r="C1172" s="15">
        <v>185</v>
      </c>
      <c r="G1172" s="11">
        <v>0.53</v>
      </c>
      <c r="J1172" s="33">
        <f>VLOOKUP(A1172,'Refi Universe'!E:F,2,0)</f>
        <v>0.57890863999999997</v>
      </c>
    </row>
    <row r="1173" spans="1:10" ht="15" x14ac:dyDescent="0.25">
      <c r="A1173" s="14">
        <v>42284</v>
      </c>
      <c r="B1173" s="15">
        <v>189</v>
      </c>
      <c r="C1173" s="15">
        <v>189</v>
      </c>
      <c r="G1173" s="11">
        <v>0.53</v>
      </c>
      <c r="J1173" s="33">
        <f>VLOOKUP(A1173,'Refi Universe'!E:F,2,0)</f>
        <v>0.57359285000000004</v>
      </c>
    </row>
    <row r="1174" spans="1:10" ht="15" x14ac:dyDescent="0.25">
      <c r="A1174" s="14">
        <v>42285</v>
      </c>
      <c r="B1174" s="15">
        <v>189</v>
      </c>
      <c r="C1174" s="15">
        <v>189</v>
      </c>
      <c r="G1174" s="11">
        <v>0.57894029457192531</v>
      </c>
      <c r="J1174" s="33">
        <f>VLOOKUP(A1174,'Refi Universe'!E:F,2,0)</f>
        <v>0.54491213000000005</v>
      </c>
    </row>
    <row r="1175" spans="1:10" ht="15" x14ac:dyDescent="0.25">
      <c r="A1175" s="14">
        <v>42286</v>
      </c>
      <c r="B1175" s="15">
        <v>180</v>
      </c>
      <c r="C1175" s="15">
        <v>180</v>
      </c>
      <c r="G1175" s="11">
        <v>0.57894029457192531</v>
      </c>
      <c r="J1175" s="33">
        <f>VLOOKUP(A1175,'Refi Universe'!E:F,2,0)</f>
        <v>0.54440880999999997</v>
      </c>
    </row>
    <row r="1176" spans="1:10" ht="15" x14ac:dyDescent="0.25">
      <c r="A1176" s="14">
        <v>42290</v>
      </c>
      <c r="B1176" s="15">
        <v>198</v>
      </c>
      <c r="C1176" s="15">
        <v>198</v>
      </c>
      <c r="G1176" s="11">
        <v>0.57894029457192531</v>
      </c>
      <c r="J1176" s="33">
        <f>VLOOKUP(A1176,'Refi Universe'!E:F,2,0)</f>
        <v>0.56100377000000001</v>
      </c>
    </row>
    <row r="1177" spans="1:10" ht="15" x14ac:dyDescent="0.25">
      <c r="A1177" s="14">
        <v>42291</v>
      </c>
      <c r="B1177" s="15">
        <v>200</v>
      </c>
      <c r="C1177" s="15">
        <v>200</v>
      </c>
      <c r="G1177" s="11">
        <v>0.57894029457192531</v>
      </c>
      <c r="J1177" s="33">
        <f>VLOOKUP(A1177,'Refi Universe'!E:F,2,0)</f>
        <v>0.58353460999999995</v>
      </c>
    </row>
    <row r="1178" spans="1:10" ht="15" x14ac:dyDescent="0.25">
      <c r="A1178" s="14">
        <v>42292</v>
      </c>
      <c r="B1178" s="15">
        <v>199</v>
      </c>
      <c r="C1178" s="15">
        <v>199</v>
      </c>
      <c r="G1178" s="11">
        <v>0.54767612302289337</v>
      </c>
      <c r="J1178" s="33">
        <f>VLOOKUP(A1178,'Refi Universe'!E:F,2,0)</f>
        <v>0.57359285000000004</v>
      </c>
    </row>
    <row r="1179" spans="1:10" ht="15" x14ac:dyDescent="0.25">
      <c r="A1179" s="14">
        <v>42293</v>
      </c>
      <c r="B1179" s="15">
        <v>197</v>
      </c>
      <c r="C1179" s="15">
        <v>197</v>
      </c>
      <c r="G1179" s="11">
        <v>0.54767612302289337</v>
      </c>
      <c r="J1179" s="33">
        <f>VLOOKUP(A1179,'Refi Universe'!E:F,2,0)</f>
        <v>0.57089999999999996</v>
      </c>
    </row>
    <row r="1180" spans="1:10" ht="15" x14ac:dyDescent="0.25">
      <c r="A1180" s="14">
        <v>42296</v>
      </c>
      <c r="B1180" s="15">
        <v>204</v>
      </c>
      <c r="C1180" s="15">
        <v>204</v>
      </c>
      <c r="G1180" s="11">
        <f>IF(ISNA(VLOOKUP(A1180,'Refi Universe'!A:B,2,0)),G1179,VLOOKUP(A1180,'Refi Universe'!A:B,2,0))</f>
        <v>0.54767612302289337</v>
      </c>
      <c r="J1180" s="33">
        <f>VLOOKUP(A1180,'Refi Universe'!E:F,2,0)</f>
        <v>0.56985229999999998</v>
      </c>
    </row>
    <row r="1181" spans="1:10" ht="15" x14ac:dyDescent="0.25">
      <c r="A1181" s="14">
        <v>42297</v>
      </c>
      <c r="B1181" s="15">
        <v>197</v>
      </c>
      <c r="C1181" s="15">
        <v>197</v>
      </c>
      <c r="G1181" s="11">
        <f>IF(ISNA(VLOOKUP(A1181,'Refi Universe'!A:B,2,0)),G1180,VLOOKUP(A1181,'Refi Universe'!A:B,2,0))</f>
        <v>0.54767612302289337</v>
      </c>
      <c r="J1181" s="33">
        <f>VLOOKUP(A1181,'Refi Universe'!E:F,2,0)</f>
        <v>0.54682167000000004</v>
      </c>
    </row>
    <row r="1182" spans="1:10" ht="15" x14ac:dyDescent="0.25">
      <c r="A1182" s="14">
        <v>42298</v>
      </c>
      <c r="B1182" s="15">
        <v>196</v>
      </c>
      <c r="C1182" s="15">
        <v>196</v>
      </c>
      <c r="G1182" s="11">
        <f>IF(ISNA(VLOOKUP(A1182,'Refi Universe'!A:B,2,0)),G1181,VLOOKUP(A1182,'Refi Universe'!A:B,2,0))</f>
        <v>0.54767612302289337</v>
      </c>
      <c r="J1182" s="33">
        <f>VLOOKUP(A1182,'Refi Universe'!E:F,2,0)</f>
        <v>0.55860147999999998</v>
      </c>
    </row>
    <row r="1183" spans="1:10" ht="15" x14ac:dyDescent="0.25">
      <c r="A1183" s="14">
        <v>42299</v>
      </c>
      <c r="B1183" s="15">
        <v>204</v>
      </c>
      <c r="C1183" s="15">
        <v>204</v>
      </c>
      <c r="G1183" s="11">
        <f>IF(ISNA(VLOOKUP(A1183,'Refi Universe'!A:B,2,0)),G1182,VLOOKUP(A1183,'Refi Universe'!A:B,2,0))</f>
        <v>0.56317380692680197</v>
      </c>
      <c r="J1183" s="33">
        <f>VLOOKUP(A1183,'Refi Universe'!E:F,2,0)</f>
        <v>0.57587261000000001</v>
      </c>
    </row>
    <row r="1184" spans="1:10" ht="15" x14ac:dyDescent="0.25">
      <c r="A1184" s="14">
        <v>42300</v>
      </c>
      <c r="B1184" s="15">
        <v>188</v>
      </c>
      <c r="C1184" s="15">
        <v>188</v>
      </c>
      <c r="G1184" s="11">
        <f>IF(ISNA(VLOOKUP(A1184,'Refi Universe'!A:B,2,0)),G1183,VLOOKUP(A1184,'Refi Universe'!A:B,2,0))</f>
        <v>0.56317380692680197</v>
      </c>
      <c r="J1184" s="33">
        <f>VLOOKUP(A1184,'Refi Universe'!E:F,2,0)</f>
        <v>0.54362469000000002</v>
      </c>
    </row>
    <row r="1185" spans="1:10" ht="15" x14ac:dyDescent="0.25">
      <c r="A1185" s="14">
        <v>42303</v>
      </c>
      <c r="B1185" s="15">
        <v>185</v>
      </c>
      <c r="C1185" s="15">
        <v>185</v>
      </c>
      <c r="G1185" s="11">
        <f>IF(ISNA(VLOOKUP(A1185,'Refi Universe'!A:B,2,0)),G1184,VLOOKUP(A1185,'Refi Universe'!A:B,2,0))</f>
        <v>0.56317380692680197</v>
      </c>
      <c r="J1185" s="33">
        <f>VLOOKUP(A1185,'Refi Universe'!E:F,2,0)</f>
        <v>0.55113287</v>
      </c>
    </row>
    <row r="1186" spans="1:10" ht="15" x14ac:dyDescent="0.25">
      <c r="A1186" s="14">
        <v>42304</v>
      </c>
      <c r="B1186" s="15">
        <v>189</v>
      </c>
      <c r="C1186" s="15">
        <v>189</v>
      </c>
      <c r="G1186" s="11">
        <f>IF(ISNA(VLOOKUP(A1186,'Refi Universe'!A:B,2,0)),G1185,VLOOKUP(A1186,'Refi Universe'!A:B,2,0))</f>
        <v>0.56317380692680197</v>
      </c>
      <c r="J1186" s="33">
        <f>VLOOKUP(A1186,'Refi Universe'!E:F,2,0)</f>
        <v>0.57160407999999996</v>
      </c>
    </row>
    <row r="1187" spans="1:10" ht="15" x14ac:dyDescent="0.25">
      <c r="A1187" s="14">
        <v>42305</v>
      </c>
      <c r="B1187" s="15">
        <v>170</v>
      </c>
      <c r="C1187" s="15">
        <v>170</v>
      </c>
      <c r="G1187" s="11">
        <f>IF(ISNA(VLOOKUP(A1187,'Refi Universe'!A:B,2,0)),G1186,VLOOKUP(A1187,'Refi Universe'!A:B,2,0))</f>
        <v>0.56317380692680197</v>
      </c>
      <c r="J1187" s="33">
        <f>VLOOKUP(A1187,'Refi Universe'!E:F,2,0)</f>
        <v>0.55113287</v>
      </c>
    </row>
    <row r="1188" spans="1:10" ht="15" x14ac:dyDescent="0.25">
      <c r="A1188" s="14">
        <v>42306</v>
      </c>
      <c r="B1188" s="15">
        <v>168</v>
      </c>
      <c r="C1188" s="15">
        <v>168</v>
      </c>
      <c r="G1188" s="11">
        <f>IF(ISNA(VLOOKUP(A1188,'Refi Universe'!A:B,2,0)),G1187,VLOOKUP(A1188,'Refi Universe'!A:B,2,0))</f>
        <v>0.57894029457192531</v>
      </c>
      <c r="J1188" s="33">
        <f>VLOOKUP(A1188,'Refi Universe'!E:F,2,0)</f>
        <v>0.50746528000000002</v>
      </c>
    </row>
    <row r="1189" spans="1:10" ht="15" x14ac:dyDescent="0.25">
      <c r="A1189" s="14">
        <v>42307</v>
      </c>
      <c r="B1189" s="15">
        <v>155</v>
      </c>
      <c r="C1189" s="15">
        <v>155</v>
      </c>
      <c r="G1189" s="11">
        <f>IF(ISNA(VLOOKUP(A1189,'Refi Universe'!A:B,2,0)),G1188,VLOOKUP(A1189,'Refi Universe'!A:B,2,0))</f>
        <v>0.57894029457192531</v>
      </c>
      <c r="J1189" s="33">
        <f>VLOOKUP(A1189,'Refi Universe'!E:F,2,0)</f>
        <v>0.52637942999999998</v>
      </c>
    </row>
    <row r="1190" spans="1:10" ht="15" x14ac:dyDescent="0.25">
      <c r="A1190" s="14">
        <v>42310</v>
      </c>
      <c r="B1190" s="15">
        <v>146</v>
      </c>
      <c r="C1190" s="15">
        <v>146</v>
      </c>
      <c r="G1190" s="11">
        <f>IF(ISNA(VLOOKUP(A1190,'Refi Universe'!A:B,2,0)),G1189,VLOOKUP(A1190,'Refi Universe'!A:B,2,0))</f>
        <v>0.57894029457192531</v>
      </c>
      <c r="J1190" s="33">
        <f>VLOOKUP(A1190,'Refi Universe'!E:F,2,0)</f>
        <v>0.50891735999999999</v>
      </c>
    </row>
    <row r="1191" spans="1:10" ht="15" x14ac:dyDescent="0.25">
      <c r="A1191" s="14">
        <v>42311</v>
      </c>
      <c r="B1191" s="15">
        <v>142</v>
      </c>
      <c r="C1191" s="15">
        <v>142</v>
      </c>
      <c r="G1191" s="11">
        <f>IF(ISNA(VLOOKUP(A1191,'Refi Universe'!A:B,2,0)),G1190,VLOOKUP(A1191,'Refi Universe'!A:B,2,0))</f>
        <v>0.57894029457192531</v>
      </c>
      <c r="J1191" s="33">
        <f>VLOOKUP(A1191,'Refi Universe'!E:F,2,0)</f>
        <v>0.49479933999999998</v>
      </c>
    </row>
    <row r="1192" spans="1:10" ht="15" x14ac:dyDescent="0.25">
      <c r="A1192" s="14">
        <v>42312</v>
      </c>
      <c r="B1192" s="15">
        <v>131</v>
      </c>
      <c r="C1192" s="15">
        <v>131</v>
      </c>
      <c r="G1192" s="11">
        <f>IF(ISNA(VLOOKUP(A1192,'Refi Universe'!A:B,2,0)),G1191,VLOOKUP(A1192,'Refi Universe'!A:B,2,0))</f>
        <v>0.57894029457192531</v>
      </c>
      <c r="J1192" s="33">
        <f>VLOOKUP(A1192,'Refi Universe'!E:F,2,0)</f>
        <v>0.48993692</v>
      </c>
    </row>
    <row r="1193" spans="1:10" ht="15" x14ac:dyDescent="0.25">
      <c r="A1193" s="14">
        <v>42313</v>
      </c>
      <c r="B1193" s="15">
        <v>128</v>
      </c>
      <c r="C1193" s="15">
        <v>128</v>
      </c>
      <c r="G1193" s="11">
        <f>IF(ISNA(VLOOKUP(A1193,'Refi Universe'!A:B,2,0)),G1192,VLOOKUP(A1193,'Refi Universe'!A:B,2,0))</f>
        <v>0.51511509569715663</v>
      </c>
      <c r="J1193" s="33">
        <f>VLOOKUP(A1193,'Refi Universe'!E:F,2,0)</f>
        <v>0.48840109999999998</v>
      </c>
    </row>
    <row r="1194" spans="1:10" ht="15" x14ac:dyDescent="0.25">
      <c r="A1194" s="14">
        <v>42314</v>
      </c>
      <c r="B1194" s="15">
        <v>123</v>
      </c>
      <c r="C1194" s="15">
        <v>123</v>
      </c>
      <c r="G1194" s="11">
        <f>IF(ISNA(VLOOKUP(A1194,'Refi Universe'!A:B,2,0)),G1193,VLOOKUP(A1194,'Refi Universe'!A:B,2,0))</f>
        <v>0.51511509569715663</v>
      </c>
      <c r="J1194" s="33">
        <f>VLOOKUP(A1194,'Refi Universe'!E:F,2,0)</f>
        <v>0.45491517999999997</v>
      </c>
    </row>
    <row r="1195" spans="1:10" ht="15" x14ac:dyDescent="0.25">
      <c r="A1195" s="14">
        <v>42317</v>
      </c>
      <c r="B1195" s="15">
        <v>119</v>
      </c>
      <c r="C1195" s="15">
        <v>119</v>
      </c>
      <c r="G1195" s="11">
        <f>IF(ISNA(VLOOKUP(A1195,'Refi Universe'!A:B,2,0)),G1194,VLOOKUP(A1195,'Refi Universe'!A:B,2,0))</f>
        <v>0.51511509569715663</v>
      </c>
      <c r="J1195" s="33">
        <f>VLOOKUP(A1195,'Refi Universe'!E:F,2,0)</f>
        <v>0.43414174</v>
      </c>
    </row>
    <row r="1196" spans="1:10" ht="15" x14ac:dyDescent="0.25">
      <c r="A1196" s="14">
        <v>42318</v>
      </c>
      <c r="B1196" s="15">
        <v>113</v>
      </c>
      <c r="C1196" s="15">
        <v>113</v>
      </c>
      <c r="G1196" s="11">
        <f>IF(ISNA(VLOOKUP(A1196,'Refi Universe'!A:B,2,0)),G1195,VLOOKUP(A1196,'Refi Universe'!A:B,2,0))</f>
        <v>0.51511509569715663</v>
      </c>
      <c r="J1196" s="33">
        <f>VLOOKUP(A1196,'Refi Universe'!E:F,2,0)</f>
        <v>0.45419498000000003</v>
      </c>
    </row>
    <row r="1197" spans="1:10" ht="15" x14ac:dyDescent="0.25">
      <c r="A1197" s="14">
        <v>42320</v>
      </c>
      <c r="B1197" s="15">
        <v>135</v>
      </c>
      <c r="C1197" s="15">
        <v>135</v>
      </c>
      <c r="G1197" s="11">
        <f>IF(ISNA(VLOOKUP(A1197,'Refi Universe'!A:B,2,0)),G1196,VLOOKUP(A1197,'Refi Universe'!A:B,2,0))</f>
        <v>0.4725306175940911</v>
      </c>
      <c r="J1197" s="33">
        <f>VLOOKUP(A1197,'Refi Universe'!E:F,2,0)</f>
        <v>0.44028864000000001</v>
      </c>
    </row>
    <row r="1198" spans="1:10" ht="15" x14ac:dyDescent="0.25">
      <c r="A1198" s="14">
        <v>42321</v>
      </c>
      <c r="B1198" s="15">
        <v>122</v>
      </c>
      <c r="C1198" s="15">
        <v>122</v>
      </c>
      <c r="G1198" s="11">
        <f>IF(ISNA(VLOOKUP(A1198,'Refi Universe'!A:B,2,0)),G1197,VLOOKUP(A1198,'Refi Universe'!A:B,2,0))</f>
        <v>0.4725306175940911</v>
      </c>
      <c r="J1198" s="33">
        <f>VLOOKUP(A1198,'Refi Universe'!E:F,2,0)</f>
        <v>0.46793132999999998</v>
      </c>
    </row>
    <row r="1199" spans="1:10" ht="15" x14ac:dyDescent="0.25">
      <c r="A1199" s="14">
        <v>42324</v>
      </c>
      <c r="B1199" s="15">
        <v>135</v>
      </c>
      <c r="C1199" s="15">
        <v>135</v>
      </c>
      <c r="G1199" s="11">
        <f>IF(ISNA(VLOOKUP(A1199,'Refi Universe'!A:B,2,0)),G1198,VLOOKUP(A1199,'Refi Universe'!A:B,2,0))</f>
        <v>0.4725306175940911</v>
      </c>
      <c r="J1199" s="33">
        <f>VLOOKUP(A1199,'Refi Universe'!E:F,2,0)</f>
        <v>0.47244762000000001</v>
      </c>
    </row>
    <row r="1200" spans="1:10" ht="15" x14ac:dyDescent="0.25">
      <c r="A1200" s="14">
        <v>42325</v>
      </c>
      <c r="B1200" s="15">
        <v>125</v>
      </c>
      <c r="C1200" s="15">
        <v>125</v>
      </c>
      <c r="G1200" s="11">
        <f>IF(ISNA(VLOOKUP(A1200,'Refi Universe'!A:B,2,0)),G1199,VLOOKUP(A1200,'Refi Universe'!A:B,2,0))</f>
        <v>0.4725306175940911</v>
      </c>
      <c r="J1200" s="33">
        <f>VLOOKUP(A1200,'Refi Universe'!E:F,2,0)</f>
        <v>0.47802441000000001</v>
      </c>
    </row>
    <row r="1201" spans="1:10" ht="15" x14ac:dyDescent="0.25">
      <c r="A1201" s="14">
        <v>42326</v>
      </c>
      <c r="B1201" s="15">
        <v>124</v>
      </c>
      <c r="C1201" s="15">
        <v>124</v>
      </c>
      <c r="G1201" s="11">
        <f>IF(ISNA(VLOOKUP(A1201,'Refi Universe'!A:B,2,0)),G1200,VLOOKUP(A1201,'Refi Universe'!A:B,2,0))</f>
        <v>0.4725306175940911</v>
      </c>
      <c r="J1201" s="33">
        <f>VLOOKUP(A1201,'Refi Universe'!E:F,2,0)</f>
        <v>0.48255048</v>
      </c>
    </row>
    <row r="1202" spans="1:10" ht="15" x14ac:dyDescent="0.25">
      <c r="A1202" s="14">
        <v>42327</v>
      </c>
      <c r="B1202" s="15">
        <v>120</v>
      </c>
      <c r="C1202" s="15">
        <v>120</v>
      </c>
      <c r="G1202" s="11">
        <f>IF(ISNA(VLOOKUP(A1202,'Refi Universe'!A:B,2,0)),G1201,VLOOKUP(A1202,'Refi Universe'!A:B,2,0))</f>
        <v>0.47861527230793388</v>
      </c>
      <c r="J1202" s="33">
        <f>VLOOKUP(A1202,'Refi Universe'!E:F,2,0)</f>
        <v>0.48797668999999999</v>
      </c>
    </row>
    <row r="1203" spans="1:10" ht="15" x14ac:dyDescent="0.25">
      <c r="A1203" s="14">
        <v>42328</v>
      </c>
      <c r="B1203" s="15">
        <v>103</v>
      </c>
      <c r="C1203" s="15">
        <v>103</v>
      </c>
      <c r="G1203" s="11">
        <f>IF(ISNA(VLOOKUP(A1203,'Refi Universe'!A:B,2,0)),G1202,VLOOKUP(A1203,'Refi Universe'!A:B,2,0))</f>
        <v>0.47861527230793388</v>
      </c>
      <c r="J1203" s="33">
        <f>VLOOKUP(A1203,'Refi Universe'!E:F,2,0)</f>
        <v>0.48276687000000001</v>
      </c>
    </row>
    <row r="1204" spans="1:10" ht="15" x14ac:dyDescent="0.25">
      <c r="A1204" s="14">
        <v>42331</v>
      </c>
      <c r="B1204" s="15">
        <v>104</v>
      </c>
      <c r="C1204" s="15">
        <v>104</v>
      </c>
      <c r="G1204" s="11">
        <f>IF(ISNA(VLOOKUP(A1204,'Refi Universe'!A:B,2,0)),G1203,VLOOKUP(A1204,'Refi Universe'!A:B,2,0))</f>
        <v>0.47861527230793388</v>
      </c>
      <c r="J1204" s="33">
        <f>VLOOKUP(A1204,'Refi Universe'!E:F,2,0)</f>
        <v>0.48276687000000001</v>
      </c>
    </row>
    <row r="1205" spans="1:10" ht="15" x14ac:dyDescent="0.25">
      <c r="A1205" s="14">
        <v>42332</v>
      </c>
      <c r="B1205" s="15">
        <v>117</v>
      </c>
      <c r="C1205" s="15">
        <v>117</v>
      </c>
      <c r="G1205" s="11">
        <f>IF(ISNA(VLOOKUP(A1205,'Refi Universe'!A:B,2,0)),G1204,VLOOKUP(A1205,'Refi Universe'!A:B,2,0))</f>
        <v>0.47861527230793388</v>
      </c>
      <c r="J1205" s="33">
        <f>VLOOKUP(A1205,'Refi Universe'!E:F,2,0)</f>
        <v>0.48422739999999997</v>
      </c>
    </row>
    <row r="1206" spans="1:10" ht="15" x14ac:dyDescent="0.25">
      <c r="A1206" s="14">
        <v>42333</v>
      </c>
      <c r="B1206" s="15">
        <v>107</v>
      </c>
      <c r="C1206" s="15">
        <v>107</v>
      </c>
      <c r="G1206" s="11">
        <f>IF(ISNA(VLOOKUP(A1206,'Refi Universe'!A:B,2,0)),G1205,VLOOKUP(A1206,'Refi Universe'!A:B,2,0))</f>
        <v>0.47590352827743421</v>
      </c>
      <c r="J1206" s="33">
        <f>VLOOKUP(A1206,'Refi Universe'!E:F,2,0)</f>
        <v>0.47208881000000003</v>
      </c>
    </row>
    <row r="1207" spans="1:10" ht="15" x14ac:dyDescent="0.25">
      <c r="A1207" s="14">
        <v>42335</v>
      </c>
      <c r="B1207" s="15">
        <v>107</v>
      </c>
      <c r="C1207" s="15">
        <v>107</v>
      </c>
      <c r="G1207" s="11">
        <f>IF(ISNA(VLOOKUP(A1207,'Refi Universe'!A:B,2,0)),G1206,VLOOKUP(A1207,'Refi Universe'!A:B,2,0))</f>
        <v>0.47590352827743421</v>
      </c>
      <c r="J1207" s="33">
        <f>VLOOKUP(A1207,'Refi Universe'!E:F,2,0)</f>
        <v>0.47558492000000002</v>
      </c>
    </row>
    <row r="1208" spans="1:10" ht="15" x14ac:dyDescent="0.25">
      <c r="A1208" s="14">
        <v>42338</v>
      </c>
      <c r="B1208" s="15">
        <v>104</v>
      </c>
      <c r="C1208" s="15">
        <v>104</v>
      </c>
      <c r="G1208" s="11">
        <f>IF(ISNA(VLOOKUP(A1208,'Refi Universe'!A:B,2,0)),G1207,VLOOKUP(A1208,'Refi Universe'!A:B,2,0))</f>
        <v>0.47590352827743421</v>
      </c>
      <c r="J1208" s="33">
        <f>VLOOKUP(A1208,'Refi Universe'!E:F,2,0)</f>
        <v>0.48084427000000002</v>
      </c>
    </row>
    <row r="1209" spans="1:10" ht="15" x14ac:dyDescent="0.25">
      <c r="A1209" s="14">
        <v>42339</v>
      </c>
      <c r="B1209" s="15">
        <v>108</v>
      </c>
      <c r="C1209" s="15">
        <v>108</v>
      </c>
      <c r="G1209" s="11">
        <f>IF(ISNA(VLOOKUP(A1209,'Refi Universe'!A:B,2,0)),G1208,VLOOKUP(A1209,'Refi Universe'!A:B,2,0))</f>
        <v>0.47590352827743421</v>
      </c>
      <c r="J1209" s="33">
        <f>VLOOKUP(A1209,'Refi Universe'!E:F,2,0)</f>
        <v>0.49107161999999999</v>
      </c>
    </row>
    <row r="1210" spans="1:10" ht="15" x14ac:dyDescent="0.25">
      <c r="A1210" s="14">
        <v>42340</v>
      </c>
      <c r="B1210" s="15">
        <v>101</v>
      </c>
      <c r="C1210" s="15">
        <v>101</v>
      </c>
      <c r="G1210" s="11">
        <f>IF(ISNA(VLOOKUP(A1210,'Refi Universe'!A:B,2,0)),G1209,VLOOKUP(A1210,'Refi Universe'!A:B,2,0))</f>
        <v>0.47590352827743421</v>
      </c>
      <c r="J1210" s="33">
        <f>VLOOKUP(A1210,'Refi Universe'!E:F,2,0)</f>
        <v>0.48488554</v>
      </c>
    </row>
    <row r="1211" spans="1:10" ht="15" x14ac:dyDescent="0.25">
      <c r="A1211" s="14">
        <v>42341</v>
      </c>
      <c r="B1211" s="15">
        <v>102</v>
      </c>
      <c r="C1211" s="15">
        <v>102</v>
      </c>
      <c r="G1211" s="11">
        <f>IF(ISNA(VLOOKUP(A1211,'Refi Universe'!A:B,2,0)),G1210,VLOOKUP(A1211,'Refi Universe'!A:B,2,0))</f>
        <v>0.48721504831495865</v>
      </c>
      <c r="J1211" s="33">
        <f>VLOOKUP(A1211,'Refi Universe'!E:F,2,0)</f>
        <v>0.40747510999999997</v>
      </c>
    </row>
    <row r="1212" spans="1:10" ht="15" x14ac:dyDescent="0.25">
      <c r="A1212" s="14">
        <v>42342</v>
      </c>
      <c r="B1212" s="15">
        <v>85</v>
      </c>
      <c r="C1212" s="15">
        <v>85</v>
      </c>
      <c r="G1212" s="11">
        <f>IF(ISNA(VLOOKUP(A1212,'Refi Universe'!A:B,2,0)),G1211,VLOOKUP(A1212,'Refi Universe'!A:B,2,0))</f>
        <v>0.48721504831495865</v>
      </c>
      <c r="J1212" s="33">
        <f>VLOOKUP(A1212,'Refi Universe'!E:F,2,0)</f>
        <v>0.4507641</v>
      </c>
    </row>
    <row r="1213" spans="1:10" ht="15" x14ac:dyDescent="0.25">
      <c r="A1213" s="14">
        <v>42345</v>
      </c>
      <c r="B1213" s="15">
        <v>77</v>
      </c>
      <c r="C1213" s="15">
        <v>77</v>
      </c>
      <c r="G1213" s="11">
        <f>IF(ISNA(VLOOKUP(A1213,'Refi Universe'!A:B,2,0)),G1212,VLOOKUP(A1213,'Refi Universe'!A:B,2,0))</f>
        <v>0.48721504831495865</v>
      </c>
      <c r="J1213" s="33">
        <f>VLOOKUP(A1213,'Refi Universe'!E:F,2,0)</f>
        <v>0.47633645000000002</v>
      </c>
    </row>
    <row r="1214" spans="1:10" ht="15" x14ac:dyDescent="0.25">
      <c r="A1214" s="14">
        <v>42346</v>
      </c>
      <c r="B1214" s="15">
        <v>89</v>
      </c>
      <c r="C1214" s="15">
        <v>89</v>
      </c>
      <c r="G1214" s="11">
        <f>IF(ISNA(VLOOKUP(A1214,'Refi Universe'!A:B,2,0)),G1213,VLOOKUP(A1214,'Refi Universe'!A:B,2,0))</f>
        <v>0.48721504831495865</v>
      </c>
      <c r="J1214" s="33">
        <f>VLOOKUP(A1214,'Refi Universe'!E:F,2,0)</f>
        <v>0.46573657000000002</v>
      </c>
    </row>
    <row r="1215" spans="1:10" ht="15" x14ac:dyDescent="0.25">
      <c r="A1215" s="14">
        <v>42347</v>
      </c>
      <c r="B1215" s="15">
        <v>88</v>
      </c>
      <c r="C1215" s="15">
        <v>88</v>
      </c>
      <c r="G1215" s="11">
        <f>IF(ISNA(VLOOKUP(A1215,'Refi Universe'!A:B,2,0)),G1214,VLOOKUP(A1215,'Refi Universe'!A:B,2,0))</f>
        <v>0.48721504831495865</v>
      </c>
      <c r="J1215" s="33">
        <f>VLOOKUP(A1215,'Refi Universe'!E:F,2,0)</f>
        <v>0.48373664</v>
      </c>
    </row>
    <row r="1216" spans="1:10" ht="15" x14ac:dyDescent="0.25">
      <c r="A1216" s="14">
        <v>42348</v>
      </c>
      <c r="B1216" s="15">
        <v>85</v>
      </c>
      <c r="C1216" s="15">
        <v>85</v>
      </c>
      <c r="G1216" s="11">
        <f>IF(ISNA(VLOOKUP(A1216,'Refi Universe'!A:B,2,0)),G1215,VLOOKUP(A1216,'Refi Universe'!A:B,2,0))</f>
        <v>0.48108278915877944</v>
      </c>
      <c r="J1216" s="33">
        <f>VLOOKUP(A1216,'Refi Universe'!E:F,2,0)</f>
        <v>0.47195742000000002</v>
      </c>
    </row>
    <row r="1217" spans="1:10" ht="15" x14ac:dyDescent="0.25">
      <c r="A1217" s="14">
        <v>42349</v>
      </c>
      <c r="B1217" s="15">
        <v>80</v>
      </c>
      <c r="C1217" s="15">
        <v>80</v>
      </c>
      <c r="G1217" s="11">
        <f>IF(ISNA(VLOOKUP(A1217,'Refi Universe'!A:B,2,0)),G1216,VLOOKUP(A1217,'Refi Universe'!A:B,2,0))</f>
        <v>0.48108278915877944</v>
      </c>
      <c r="J1217" s="33">
        <f>VLOOKUP(A1217,'Refi Universe'!E:F,2,0)</f>
        <v>0.49263546000000003</v>
      </c>
    </row>
    <row r="1218" spans="1:10" ht="15" x14ac:dyDescent="0.25">
      <c r="A1218" s="17">
        <v>42352</v>
      </c>
      <c r="B1218" s="18">
        <v>91</v>
      </c>
      <c r="C1218" s="18">
        <v>91</v>
      </c>
      <c r="G1218" s="11">
        <f>IF(ISNA(VLOOKUP(A1218,'Refi Universe'!A:B,2,0)),G1217,VLOOKUP(A1218,'Refi Universe'!A:B,2,0))</f>
        <v>0.48108278915877944</v>
      </c>
      <c r="J1218" s="33">
        <f>VLOOKUP(A1218,'Refi Universe'!E:F,2,0)</f>
        <v>0.47264946000000002</v>
      </c>
    </row>
    <row r="1219" spans="1:10" ht="15" x14ac:dyDescent="0.25">
      <c r="A1219" s="17">
        <v>42353</v>
      </c>
      <c r="B1219" s="18">
        <v>92</v>
      </c>
      <c r="C1219" s="18">
        <v>92</v>
      </c>
      <c r="G1219" s="11">
        <f>IF(ISNA(VLOOKUP(A1219,'Refi Universe'!A:B,2,0)),G1218,VLOOKUP(A1219,'Refi Universe'!A:B,2,0))</f>
        <v>0.48108278915877944</v>
      </c>
      <c r="J1219" s="33">
        <f>VLOOKUP(A1219,'Refi Universe'!E:F,2,0)</f>
        <v>0.45523454000000002</v>
      </c>
    </row>
    <row r="1220" spans="1:10" ht="15" x14ac:dyDescent="0.25">
      <c r="A1220" s="17">
        <v>42354</v>
      </c>
      <c r="B1220" s="18">
        <v>90</v>
      </c>
      <c r="C1220" s="18">
        <v>90</v>
      </c>
      <c r="G1220" s="11">
        <f>IF(ISNA(VLOOKUP(A1220,'Refi Universe'!A:B,2,0)),G1219,VLOOKUP(A1220,'Refi Universe'!A:B,2,0))</f>
        <v>0.48108278915877944</v>
      </c>
      <c r="J1220" s="33">
        <f>VLOOKUP(A1220,'Refi Universe'!E:F,2,0)</f>
        <v>0.44349123000000001</v>
      </c>
    </row>
    <row r="1221" spans="1:10" ht="15" x14ac:dyDescent="0.25">
      <c r="A1221" s="17">
        <v>42355</v>
      </c>
      <c r="B1221" s="18">
        <v>89</v>
      </c>
      <c r="C1221" s="18">
        <v>89</v>
      </c>
      <c r="G1221" s="11">
        <f>IF(ISNA(VLOOKUP(A1221,'Refi Universe'!A:B,2,0)),G1220,VLOOKUP(A1221,'Refi Universe'!A:B,2,0))</f>
        <v>0.4742419215656577</v>
      </c>
      <c r="J1221" s="33">
        <f>VLOOKUP(A1221,'Refi Universe'!E:F,2,0)</f>
        <v>0.4698406</v>
      </c>
    </row>
    <row r="1222" spans="1:10" ht="15" x14ac:dyDescent="0.25">
      <c r="A1222" s="17">
        <v>42356</v>
      </c>
      <c r="B1222" s="18">
        <v>95</v>
      </c>
      <c r="C1222" s="18">
        <v>95</v>
      </c>
      <c r="G1222" s="11">
        <f>IF(ISNA(VLOOKUP(A1222,'Refi Universe'!A:B,2,0)),G1221,VLOOKUP(A1222,'Refi Universe'!A:B,2,0))</f>
        <v>0.4742419215656577</v>
      </c>
      <c r="J1222" s="33">
        <f>VLOOKUP(A1222,'Refi Universe'!E:F,2,0)</f>
        <v>0.47921917000000003</v>
      </c>
    </row>
    <row r="1223" spans="1:10" ht="15" x14ac:dyDescent="0.25">
      <c r="A1223" s="17">
        <v>42359</v>
      </c>
      <c r="B1223" s="18">
        <v>97</v>
      </c>
      <c r="C1223" s="18">
        <v>97</v>
      </c>
      <c r="G1223" s="11">
        <f>IF(ISNA(VLOOKUP(A1223,'Refi Universe'!A:B,2,0)),G1222,VLOOKUP(A1223,'Refi Universe'!A:B,2,0))</f>
        <v>0.4742419215656577</v>
      </c>
      <c r="J1223" s="33">
        <f>VLOOKUP(A1223,'Refi Universe'!E:F,2,0)</f>
        <v>0.47717956</v>
      </c>
    </row>
    <row r="1224" spans="1:10" ht="15" x14ac:dyDescent="0.25">
      <c r="A1224" s="17">
        <v>42360</v>
      </c>
      <c r="B1224" s="18">
        <v>104</v>
      </c>
      <c r="C1224" s="18">
        <v>104</v>
      </c>
      <c r="G1224" s="11">
        <f>IF(ISNA(VLOOKUP(A1224,'Refi Universe'!A:B,2,0)),G1223,VLOOKUP(A1224,'Refi Universe'!A:B,2,0))</f>
        <v>0.4742419215656577</v>
      </c>
      <c r="J1224" s="33">
        <f>VLOOKUP(A1224,'Refi Universe'!E:F,2,0)</f>
        <v>0.45523454000000002</v>
      </c>
    </row>
    <row r="1225" spans="1:10" ht="15" x14ac:dyDescent="0.25">
      <c r="A1225" s="17">
        <v>42361</v>
      </c>
      <c r="B1225" s="18">
        <v>112</v>
      </c>
      <c r="C1225" s="18">
        <v>112</v>
      </c>
      <c r="G1225" s="11">
        <f>IF(ISNA(VLOOKUP(A1225,'Refi Universe'!A:B,2,0)),G1224,VLOOKUP(A1225,'Refi Universe'!A:B,2,0))</f>
        <v>0.4742419215656577</v>
      </c>
      <c r="J1225" s="33">
        <f>VLOOKUP(A1225,'Refi Universe'!E:F,2,0)</f>
        <v>0.44537185000000001</v>
      </c>
    </row>
    <row r="1226" spans="1:10" ht="15" x14ac:dyDescent="0.25">
      <c r="A1226" s="17">
        <v>42362</v>
      </c>
      <c r="B1226" s="18">
        <v>100</v>
      </c>
      <c r="C1226" s="18">
        <v>100</v>
      </c>
      <c r="G1226" s="11">
        <f>IF(ISNA(VLOOKUP(A1226,'Refi Universe'!A:B,2,0)),G1225,VLOOKUP(A1226,'Refi Universe'!A:B,2,0))</f>
        <v>0.47802441207346119</v>
      </c>
      <c r="J1226" s="33">
        <f>VLOOKUP(A1226,'Refi Universe'!E:F,2,0)</f>
        <v>0.45615067999999998</v>
      </c>
    </row>
    <row r="1227" spans="1:10" ht="15" x14ac:dyDescent="0.25">
      <c r="A1227" s="17">
        <v>42366</v>
      </c>
      <c r="B1227" s="18">
        <v>104</v>
      </c>
      <c r="C1227" s="18">
        <v>104</v>
      </c>
      <c r="G1227" s="11">
        <f>IF(ISNA(VLOOKUP(A1227,'Refi Universe'!A:B,2,0)),G1226,VLOOKUP(A1227,'Refi Universe'!A:B,2,0))</f>
        <v>0.47802441207346119</v>
      </c>
      <c r="J1227" s="33">
        <f>VLOOKUP(A1227,'Refi Universe'!E:F,2,0)</f>
        <v>0.47089364</v>
      </c>
    </row>
    <row r="1228" spans="1:10" ht="15" x14ac:dyDescent="0.25">
      <c r="A1228" s="17">
        <v>42367</v>
      </c>
      <c r="B1228" s="18">
        <v>112</v>
      </c>
      <c r="C1228" s="18">
        <v>112</v>
      </c>
      <c r="G1228" s="11">
        <f>IF(ISNA(VLOOKUP(A1228,'Refi Universe'!A:B,2,0)),G1227,VLOOKUP(A1228,'Refi Universe'!A:B,2,0))</f>
        <v>0.47802441207346119</v>
      </c>
      <c r="J1228" s="33">
        <f>VLOOKUP(A1228,'Refi Universe'!E:F,2,0)</f>
        <v>0.43395194999999998</v>
      </c>
    </row>
    <row r="1229" spans="1:10" ht="15" x14ac:dyDescent="0.25">
      <c r="A1229" s="17">
        <v>42368</v>
      </c>
      <c r="B1229" s="18">
        <v>103</v>
      </c>
      <c r="C1229" s="18">
        <v>103</v>
      </c>
      <c r="G1229" s="11">
        <f>IF(ISNA(VLOOKUP(A1229,'Refi Universe'!A:B,2,0)),G1228,VLOOKUP(A1229,'Refi Universe'!A:B,2,0))</f>
        <v>0.47802441207346119</v>
      </c>
      <c r="J1229" s="33">
        <f>VLOOKUP(A1229,'Refi Universe'!E:F,2,0)</f>
        <v>0.42925727000000002</v>
      </c>
    </row>
    <row r="1230" spans="1:10" ht="15" x14ac:dyDescent="0.25">
      <c r="A1230" s="17">
        <v>42369</v>
      </c>
      <c r="B1230" s="18">
        <v>94</v>
      </c>
      <c r="C1230" s="18">
        <v>94</v>
      </c>
      <c r="G1230" s="11">
        <f>IF(ISNA(VLOOKUP(A1230,'Refi Universe'!A:B,2,0)),G1229,VLOOKUP(A1230,'Refi Universe'!A:B,2,0))</f>
        <v>0.44657507929969392</v>
      </c>
      <c r="J1230" s="33">
        <f>VLOOKUP(A1230,'Refi Universe'!E:F,2,0)</f>
        <v>0.46126540999999999</v>
      </c>
    </row>
    <row r="1231" spans="1:10" ht="15" x14ac:dyDescent="0.25">
      <c r="A1231" s="17">
        <v>42373</v>
      </c>
      <c r="B1231" s="18">
        <v>108</v>
      </c>
      <c r="C1231" s="18">
        <v>108</v>
      </c>
      <c r="G1231" s="11">
        <f>IF(ISNA(VLOOKUP(A1231,'Refi Universe'!A:B,2,0)),G1230,VLOOKUP(A1231,'Refi Universe'!A:B,2,0))</f>
        <v>0.44657507929969392</v>
      </c>
      <c r="J1231" s="33">
        <f>VLOOKUP(A1231,'Refi Universe'!E:F,2,0)</f>
        <v>0.46317427999999999</v>
      </c>
    </row>
    <row r="1232" spans="1:10" ht="15" x14ac:dyDescent="0.25">
      <c r="A1232" s="17">
        <v>42374</v>
      </c>
      <c r="B1232" s="18">
        <v>109</v>
      </c>
      <c r="C1232" s="18">
        <v>109</v>
      </c>
      <c r="G1232" s="11">
        <f>IF(ISNA(VLOOKUP(A1232,'Refi Universe'!A:B,2,0)),G1231,VLOOKUP(A1232,'Refi Universe'!A:B,2,0))</f>
        <v>0.44657507929969392</v>
      </c>
      <c r="J1232" s="33">
        <f>VLOOKUP(A1232,'Refi Universe'!E:F,2,0)</f>
        <v>0.46228602000000002</v>
      </c>
    </row>
    <row r="1233" spans="1:10" ht="15" x14ac:dyDescent="0.25">
      <c r="A1233" s="17">
        <v>42375</v>
      </c>
      <c r="B1233" s="18">
        <v>112</v>
      </c>
      <c r="C1233" s="18">
        <v>112</v>
      </c>
      <c r="G1233" s="11">
        <f>IF(ISNA(VLOOKUP(A1233,'Refi Universe'!A:B,2,0)),G1232,VLOOKUP(A1233,'Refi Universe'!A:B,2,0))</f>
        <v>0.44657507929969392</v>
      </c>
      <c r="J1233" s="33">
        <f>VLOOKUP(A1233,'Refi Universe'!E:F,2,0)</f>
        <v>0.47847035999999998</v>
      </c>
    </row>
    <row r="1234" spans="1:10" ht="15" x14ac:dyDescent="0.25">
      <c r="A1234" s="17">
        <v>42376</v>
      </c>
      <c r="B1234" s="18">
        <v>122</v>
      </c>
      <c r="C1234" s="18">
        <v>122</v>
      </c>
      <c r="G1234" s="11">
        <f>IF(ISNA(VLOOKUP(A1234,'Refi Universe'!A:B,2,0)),G1233,VLOOKUP(A1234,'Refi Universe'!A:B,2,0))</f>
        <v>0.46862901952602543</v>
      </c>
      <c r="J1234" s="33">
        <f>VLOOKUP(A1234,'Refi Universe'!E:F,2,0)</f>
        <v>0.48494499000000002</v>
      </c>
    </row>
    <row r="1235" spans="1:10" ht="15" x14ac:dyDescent="0.25">
      <c r="A1235" s="17">
        <v>42377</v>
      </c>
      <c r="B1235" s="18">
        <v>125</v>
      </c>
      <c r="C1235" s="18">
        <v>125</v>
      </c>
      <c r="G1235" s="11">
        <f>IF(ISNA(VLOOKUP(A1235,'Refi Universe'!A:B,2,0)),G1234,VLOOKUP(A1235,'Refi Universe'!A:B,2,0))</f>
        <v>0.46862901952602543</v>
      </c>
      <c r="J1235" s="33">
        <f>VLOOKUP(A1235,'Refi Universe'!E:F,2,0)</f>
        <v>0.49696595999999998</v>
      </c>
    </row>
    <row r="1236" spans="1:10" ht="15" x14ac:dyDescent="0.25">
      <c r="A1236" s="17">
        <v>42380</v>
      </c>
      <c r="B1236" s="18">
        <v>127</v>
      </c>
      <c r="C1236" s="18">
        <v>127</v>
      </c>
      <c r="G1236" s="11">
        <f>IF(ISNA(VLOOKUP(A1236,'Refi Universe'!A:B,2,0)),G1235,VLOOKUP(A1236,'Refi Universe'!A:B,2,0))</f>
        <v>0.46862901952602543</v>
      </c>
      <c r="J1236" s="33">
        <f>VLOOKUP(A1236,'Refi Universe'!E:F,2,0)</f>
        <v>0.49069705000000002</v>
      </c>
    </row>
    <row r="1237" spans="1:10" ht="15" x14ac:dyDescent="0.25">
      <c r="A1237" s="17">
        <v>42381</v>
      </c>
      <c r="B1237" s="18">
        <v>133</v>
      </c>
      <c r="C1237" s="18">
        <v>133</v>
      </c>
      <c r="G1237" s="11">
        <f>IF(ISNA(VLOOKUP(A1237,'Refi Universe'!A:B,2,0)),G1236,VLOOKUP(A1237,'Refi Universe'!A:B,2,0))</f>
        <v>0.46862901952602543</v>
      </c>
      <c r="J1237" s="33">
        <f>VLOOKUP(A1237,'Refi Universe'!E:F,2,0)</f>
        <v>0.52167472000000004</v>
      </c>
    </row>
    <row r="1238" spans="1:10" ht="15" x14ac:dyDescent="0.25">
      <c r="A1238" s="17">
        <v>42382</v>
      </c>
      <c r="B1238" s="18">
        <v>157</v>
      </c>
      <c r="C1238" s="18">
        <v>157</v>
      </c>
      <c r="G1238" s="11">
        <f>IF(ISNA(VLOOKUP(A1238,'Refi Universe'!A:B,2,0)),G1237,VLOOKUP(A1238,'Refi Universe'!A:B,2,0))</f>
        <v>0.46862901952602543</v>
      </c>
      <c r="J1238" s="33">
        <f>VLOOKUP(A1238,'Refi Universe'!E:F,2,0)</f>
        <v>0.50384284000000001</v>
      </c>
    </row>
    <row r="1239" spans="1:10" ht="15" x14ac:dyDescent="0.25">
      <c r="A1239" s="17">
        <v>42383</v>
      </c>
      <c r="B1239" s="18">
        <v>167</v>
      </c>
      <c r="C1239" s="18">
        <v>167</v>
      </c>
      <c r="G1239" s="11">
        <f>IF(ISNA(VLOOKUP(A1239,'Refi Universe'!A:B,2,0)),G1238,VLOOKUP(A1239,'Refi Universe'!A:B,2,0))</f>
        <v>0.48424776223671406</v>
      </c>
      <c r="J1239" s="33">
        <f>VLOOKUP(A1239,'Refi Universe'!E:F,2,0)</f>
        <v>0.49594749999999999</v>
      </c>
    </row>
    <row r="1240" spans="1:10" ht="15" x14ac:dyDescent="0.25">
      <c r="A1240" s="17">
        <v>42384</v>
      </c>
      <c r="B1240" s="18">
        <v>177</v>
      </c>
      <c r="C1240" s="18">
        <v>177</v>
      </c>
      <c r="G1240" s="11">
        <f>IF(ISNA(VLOOKUP(A1240,'Refi Universe'!A:B,2,0)),G1239,VLOOKUP(A1240,'Refi Universe'!A:B,2,0))</f>
        <v>0.48424776223671406</v>
      </c>
      <c r="J1240" s="33">
        <f>VLOOKUP(A1240,'Refi Universe'!E:F,2,0)</f>
        <v>0.52107168000000004</v>
      </c>
    </row>
    <row r="1241" spans="1:10" ht="15" x14ac:dyDescent="0.25">
      <c r="A1241" s="17">
        <v>42388</v>
      </c>
      <c r="B1241" s="18">
        <v>169</v>
      </c>
      <c r="C1241" s="18">
        <v>169</v>
      </c>
      <c r="G1241" s="11">
        <f>IF(ISNA(VLOOKUP(A1241,'Refi Universe'!A:B,2,0)),G1240,VLOOKUP(A1241,'Refi Universe'!A:B,2,0))</f>
        <v>0.48424776223671406</v>
      </c>
      <c r="J1241" s="33">
        <f>VLOOKUP(A1241,'Refi Universe'!E:F,2,0)</f>
        <v>0.51856720000000001</v>
      </c>
    </row>
    <row r="1242" spans="1:10" ht="15" x14ac:dyDescent="0.25">
      <c r="A1242" s="17">
        <v>42389</v>
      </c>
      <c r="B1242" s="18">
        <v>185</v>
      </c>
      <c r="C1242" s="18">
        <v>185</v>
      </c>
      <c r="G1242" s="11">
        <f>IF(ISNA(VLOOKUP(A1242,'Refi Universe'!A:B,2,0)),G1241,VLOOKUP(A1242,'Refi Universe'!A:B,2,0))</f>
        <v>0.48424776223671406</v>
      </c>
      <c r="J1242" s="33">
        <f>VLOOKUP(A1242,'Refi Universe'!E:F,2,0)</f>
        <v>0.51737109000000003</v>
      </c>
    </row>
    <row r="1243" spans="1:10" ht="15" x14ac:dyDescent="0.25">
      <c r="A1243" s="17">
        <v>42390</v>
      </c>
      <c r="C1243" s="22">
        <v>180</v>
      </c>
      <c r="G1243" s="11">
        <f>IF(ISNA(VLOOKUP(A1243,'Refi Universe'!A:B,2,0)),G1242,VLOOKUP(A1243,'Refi Universe'!A:B,2,0))</f>
        <v>0.53686726891255199</v>
      </c>
      <c r="J1243" s="33" t="e">
        <f>VLOOKUP(A1243,'Refi Universe'!E:F,2,0)</f>
        <v>#N/A</v>
      </c>
    </row>
    <row r="1244" spans="1:10" ht="15" x14ac:dyDescent="0.25">
      <c r="A1244" s="17">
        <v>42391</v>
      </c>
      <c r="G1244" s="11">
        <f>IF(ISNA(VLOOKUP(A1244,'Refi Universe'!A:B,2,0)),G1243,VLOOKUP(A1244,'Refi Universe'!A:B,2,0))</f>
        <v>0.53686726891255199</v>
      </c>
      <c r="J1244" s="33" t="e">
        <f>VLOOKUP(A1244,'Refi Universe'!E:F,2,0)</f>
        <v>#N/A</v>
      </c>
    </row>
  </sheetData>
  <pageMargins left="0.75" right="0.75" top="1" bottom="1" header="0.5" footer="0.5"/>
  <pageSetup paperSize="9" firstPageNumber="0" fitToWidth="0" fitToHeight="0" pageOrder="overThenDown"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19"/>
  <sheetViews>
    <sheetView zoomScaleNormal="100" workbookViewId="0">
      <selection activeCell="A37" sqref="A37"/>
    </sheetView>
  </sheetViews>
  <sheetFormatPr defaultRowHeight="12.75" x14ac:dyDescent="0.2"/>
  <cols>
    <col min="1" max="1" width="228" bestFit="1" customWidth="1"/>
  </cols>
  <sheetData>
    <row r="1" spans="1:1" ht="60" x14ac:dyDescent="0.25">
      <c r="A1" s="1" t="s">
        <v>3</v>
      </c>
    </row>
    <row r="2" spans="1:1" ht="15" x14ac:dyDescent="0.25">
      <c r="A2" s="2" t="s">
        <v>4</v>
      </c>
    </row>
    <row r="3" spans="1:1" ht="15" x14ac:dyDescent="0.25">
      <c r="A3" s="2" t="s">
        <v>5</v>
      </c>
    </row>
    <row r="4" spans="1:1" ht="15" x14ac:dyDescent="0.25">
      <c r="A4" s="2" t="s">
        <v>4</v>
      </c>
    </row>
    <row r="5" spans="1:1" ht="105" x14ac:dyDescent="0.25">
      <c r="A5" s="1" t="s">
        <v>6</v>
      </c>
    </row>
    <row r="6" spans="1:1" ht="15" x14ac:dyDescent="0.25">
      <c r="A6" s="2" t="s">
        <v>4</v>
      </c>
    </row>
    <row r="7" spans="1:1" ht="15" x14ac:dyDescent="0.25">
      <c r="A7" s="1" t="s">
        <v>7</v>
      </c>
    </row>
    <row r="8" spans="1:1" ht="15" x14ac:dyDescent="0.25">
      <c r="A8" s="2" t="s">
        <v>4</v>
      </c>
    </row>
    <row r="9" spans="1:1" ht="30" x14ac:dyDescent="0.25">
      <c r="A9" s="1" t="s">
        <v>8</v>
      </c>
    </row>
    <row r="10" spans="1:1" ht="15" x14ac:dyDescent="0.25">
      <c r="A10" s="2" t="s">
        <v>4</v>
      </c>
    </row>
    <row r="11" spans="1:1" ht="45" x14ac:dyDescent="0.25">
      <c r="A11" s="1" t="s">
        <v>9</v>
      </c>
    </row>
    <row r="12" spans="1:1" ht="15" x14ac:dyDescent="0.25">
      <c r="A12" s="2" t="s">
        <v>4</v>
      </c>
    </row>
    <row r="13" spans="1:1" ht="45" x14ac:dyDescent="0.25">
      <c r="A13" s="1" t="s">
        <v>10</v>
      </c>
    </row>
    <row r="14" spans="1:1" ht="15" x14ac:dyDescent="0.25">
      <c r="A14" s="2" t="s">
        <v>4</v>
      </c>
    </row>
    <row r="15" spans="1:1" ht="45" x14ac:dyDescent="0.25">
      <c r="A15" s="1" t="s">
        <v>11</v>
      </c>
    </row>
    <row r="16" spans="1:1" ht="15" x14ac:dyDescent="0.25">
      <c r="A16" s="2" t="s">
        <v>4</v>
      </c>
    </row>
    <row r="17" spans="1:1" ht="15" x14ac:dyDescent="0.25">
      <c r="A17" s="1" t="s">
        <v>12</v>
      </c>
    </row>
    <row r="18" spans="1:1" ht="15" x14ac:dyDescent="0.25">
      <c r="A18" s="2" t="s">
        <v>4</v>
      </c>
    </row>
    <row r="19" spans="1:1" ht="30" x14ac:dyDescent="0.25">
      <c r="A19" s="1" t="s">
        <v>13</v>
      </c>
    </row>
  </sheetData>
  <pageMargins left="0.75" right="0.75" top="1" bottom="1" header="0.5" footer="0.5"/>
  <pageSetup paperSize="9" scale="0" firstPageNumber="0" fitToWidth="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1262"/>
  <sheetViews>
    <sheetView workbookViewId="0">
      <selection activeCell="E1" sqref="E1"/>
    </sheetView>
  </sheetViews>
  <sheetFormatPr defaultRowHeight="12.75" x14ac:dyDescent="0.2"/>
  <cols>
    <col min="1" max="1" width="10.42578125" style="21" bestFit="1" customWidth="1"/>
    <col min="2" max="2" width="9.140625" style="21"/>
    <col min="5" max="5" width="10.140625" bestFit="1" customWidth="1"/>
    <col min="6" max="6" width="11" bestFit="1" customWidth="1"/>
  </cols>
  <sheetData>
    <row r="1" spans="1:6" x14ac:dyDescent="0.2">
      <c r="A1" s="19">
        <v>42390</v>
      </c>
      <c r="B1" s="20">
        <v>0.53686726891255199</v>
      </c>
      <c r="E1" t="s">
        <v>2004</v>
      </c>
      <c r="F1">
        <v>0</v>
      </c>
    </row>
    <row r="2" spans="1:6" x14ac:dyDescent="0.2">
      <c r="A2" s="19">
        <v>42383</v>
      </c>
      <c r="B2" s="20">
        <v>0.48424776223671406</v>
      </c>
      <c r="E2" s="3">
        <v>40548</v>
      </c>
      <c r="F2">
        <v>0.61432783999999996</v>
      </c>
    </row>
    <row r="3" spans="1:6" x14ac:dyDescent="0.2">
      <c r="A3" s="19">
        <v>42376</v>
      </c>
      <c r="B3" s="20">
        <v>0.46862901952602543</v>
      </c>
      <c r="E3" s="3">
        <v>40549</v>
      </c>
      <c r="F3">
        <v>0.61885564999999998</v>
      </c>
    </row>
    <row r="4" spans="1:6" x14ac:dyDescent="0.2">
      <c r="A4" s="19">
        <v>42369</v>
      </c>
      <c r="B4" s="20">
        <v>0.44657507929969392</v>
      </c>
      <c r="E4" s="3">
        <v>40550</v>
      </c>
      <c r="F4">
        <v>0.62793781999999998</v>
      </c>
    </row>
    <row r="5" spans="1:6" x14ac:dyDescent="0.2">
      <c r="A5" s="19">
        <v>42362</v>
      </c>
      <c r="B5" s="20">
        <v>0.47802441207346119</v>
      </c>
      <c r="E5" s="3">
        <v>40553</v>
      </c>
      <c r="F5">
        <v>0.62991810000000004</v>
      </c>
    </row>
    <row r="6" spans="1:6" x14ac:dyDescent="0.2">
      <c r="A6" s="19">
        <v>42355</v>
      </c>
      <c r="B6" s="20">
        <v>0.4742419215656577</v>
      </c>
      <c r="E6" s="3">
        <v>40554</v>
      </c>
      <c r="F6">
        <v>0.62592524999999999</v>
      </c>
    </row>
    <row r="7" spans="1:6" x14ac:dyDescent="0.2">
      <c r="A7" s="19">
        <v>42348</v>
      </c>
      <c r="B7" s="20">
        <v>0.48108278915877944</v>
      </c>
      <c r="E7" s="3">
        <v>40555</v>
      </c>
      <c r="F7">
        <v>0.62811490000000003</v>
      </c>
    </row>
    <row r="8" spans="1:6" x14ac:dyDescent="0.2">
      <c r="A8" s="19">
        <v>42341</v>
      </c>
      <c r="B8" s="20">
        <v>0.48721504831495865</v>
      </c>
      <c r="E8" s="3">
        <v>40556</v>
      </c>
      <c r="F8">
        <v>0.63372353999999997</v>
      </c>
    </row>
    <row r="9" spans="1:6" x14ac:dyDescent="0.2">
      <c r="A9" s="19">
        <v>42333</v>
      </c>
      <c r="B9" s="20">
        <v>0.47590352827743421</v>
      </c>
      <c r="E9" s="3">
        <v>40557</v>
      </c>
      <c r="F9">
        <v>0.63236365000000005</v>
      </c>
    </row>
    <row r="10" spans="1:6" x14ac:dyDescent="0.2">
      <c r="A10" s="19">
        <v>42327</v>
      </c>
      <c r="B10" s="20">
        <v>0.47861527230793388</v>
      </c>
      <c r="E10" s="3">
        <v>40561</v>
      </c>
      <c r="F10">
        <v>0.62729840000000003</v>
      </c>
    </row>
    <row r="11" spans="1:6" x14ac:dyDescent="0.2">
      <c r="A11" s="19">
        <v>42320</v>
      </c>
      <c r="B11" s="20">
        <v>0.4725306175940911</v>
      </c>
      <c r="E11" s="3">
        <v>40562</v>
      </c>
      <c r="F11">
        <v>0.62516853999999999</v>
      </c>
    </row>
    <row r="12" spans="1:6" x14ac:dyDescent="0.2">
      <c r="A12" s="19">
        <v>42313</v>
      </c>
      <c r="B12" s="20">
        <v>0.51511509569715663</v>
      </c>
      <c r="E12" s="3">
        <v>40563</v>
      </c>
      <c r="F12">
        <v>0.61496306000000001</v>
      </c>
    </row>
    <row r="13" spans="1:6" x14ac:dyDescent="0.2">
      <c r="A13" s="19">
        <v>42306</v>
      </c>
      <c r="B13" s="20">
        <v>0.57894029457192531</v>
      </c>
      <c r="E13" s="3">
        <v>40564</v>
      </c>
      <c r="F13">
        <v>0.61842282000000004</v>
      </c>
    </row>
    <row r="14" spans="1:6" x14ac:dyDescent="0.2">
      <c r="A14" s="19">
        <v>42299</v>
      </c>
      <c r="B14" s="20">
        <v>0.56317380692680197</v>
      </c>
      <c r="E14" s="3">
        <v>40567</v>
      </c>
      <c r="F14">
        <v>0.61714575000000005</v>
      </c>
    </row>
    <row r="15" spans="1:6" x14ac:dyDescent="0.2">
      <c r="A15" s="19">
        <v>42292</v>
      </c>
      <c r="B15" s="20">
        <v>0.54767612302289337</v>
      </c>
      <c r="E15" s="3">
        <v>40568</v>
      </c>
      <c r="F15">
        <v>0.62309117999999997</v>
      </c>
    </row>
    <row r="16" spans="1:6" x14ac:dyDescent="0.2">
      <c r="A16" s="19">
        <v>42285</v>
      </c>
      <c r="B16" s="20">
        <v>0.57894029457192531</v>
      </c>
      <c r="E16" s="3">
        <v>40569</v>
      </c>
      <c r="F16">
        <v>0.61885564999999998</v>
      </c>
    </row>
    <row r="17" spans="1:6" x14ac:dyDescent="0.2">
      <c r="A17" s="19">
        <v>42278</v>
      </c>
      <c r="B17" s="20">
        <v>0.53391651509517579</v>
      </c>
      <c r="E17" s="3">
        <v>40570</v>
      </c>
      <c r="F17">
        <v>0.62455685000000005</v>
      </c>
    </row>
    <row r="18" spans="1:6" x14ac:dyDescent="0.2">
      <c r="A18" s="19">
        <v>42271</v>
      </c>
      <c r="B18" s="20">
        <v>0.51886914028697095</v>
      </c>
      <c r="E18" s="3">
        <v>40571</v>
      </c>
      <c r="F18">
        <v>0.62672625999999998</v>
      </c>
    </row>
    <row r="19" spans="1:6" x14ac:dyDescent="0.2">
      <c r="A19" s="19">
        <v>42264</v>
      </c>
      <c r="B19" s="20">
        <v>0.50986906278318977</v>
      </c>
      <c r="E19" s="3">
        <v>40574</v>
      </c>
      <c r="F19">
        <v>0.62499473999999999</v>
      </c>
    </row>
    <row r="20" spans="1:6" x14ac:dyDescent="0.2">
      <c r="A20" s="19">
        <v>42257</v>
      </c>
      <c r="B20" s="20">
        <v>0.51338156329073437</v>
      </c>
      <c r="E20" s="3">
        <v>40575</v>
      </c>
      <c r="F20">
        <v>0.60627326999999998</v>
      </c>
    </row>
    <row r="21" spans="1:6" x14ac:dyDescent="0.2">
      <c r="A21" s="19">
        <v>42250</v>
      </c>
      <c r="B21" s="20">
        <v>0.51680555655781346</v>
      </c>
      <c r="E21" s="3">
        <v>40576</v>
      </c>
      <c r="F21">
        <v>0.58304511999999997</v>
      </c>
    </row>
    <row r="22" spans="1:6" x14ac:dyDescent="0.2">
      <c r="A22" s="19">
        <v>42243</v>
      </c>
      <c r="B22" s="20">
        <v>0.54776588117858471</v>
      </c>
      <c r="E22" s="3">
        <v>40577</v>
      </c>
      <c r="F22">
        <v>0.55486214</v>
      </c>
    </row>
    <row r="23" spans="1:6" x14ac:dyDescent="0.2">
      <c r="A23" s="19">
        <v>42236</v>
      </c>
      <c r="B23" s="20">
        <v>0.51006923311843089</v>
      </c>
      <c r="E23" s="3">
        <v>40578</v>
      </c>
      <c r="F23">
        <v>0.51847262000000005</v>
      </c>
    </row>
    <row r="24" spans="1:6" x14ac:dyDescent="0.2">
      <c r="A24" s="19">
        <v>42229</v>
      </c>
      <c r="B24" s="20">
        <v>0.50777768656321565</v>
      </c>
      <c r="E24" s="3">
        <v>40581</v>
      </c>
      <c r="F24">
        <v>0.51165344999999995</v>
      </c>
    </row>
    <row r="25" spans="1:6" x14ac:dyDescent="0.2">
      <c r="A25" s="19">
        <v>42222</v>
      </c>
      <c r="B25" s="20">
        <v>0.51562387102608387</v>
      </c>
      <c r="E25" s="3">
        <v>40582</v>
      </c>
      <c r="F25">
        <v>0.47964870999999998</v>
      </c>
    </row>
    <row r="26" spans="1:6" x14ac:dyDescent="0.2">
      <c r="A26" s="19">
        <v>42215</v>
      </c>
      <c r="B26" s="20">
        <v>0.49912270122048025</v>
      </c>
      <c r="E26" s="3">
        <v>40583</v>
      </c>
      <c r="F26">
        <v>0.49256091000000002</v>
      </c>
    </row>
    <row r="27" spans="1:6" x14ac:dyDescent="0.2">
      <c r="A27" s="19">
        <v>42208</v>
      </c>
      <c r="B27" s="20">
        <v>0.45300783987214877</v>
      </c>
      <c r="E27" s="3">
        <v>40584</v>
      </c>
      <c r="F27">
        <v>0.47335128999999998</v>
      </c>
    </row>
    <row r="28" spans="1:6" x14ac:dyDescent="0.2">
      <c r="A28" s="19">
        <v>42201</v>
      </c>
      <c r="B28" s="20">
        <v>0.42011365068788514</v>
      </c>
      <c r="E28" s="3">
        <v>40585</v>
      </c>
      <c r="F28">
        <v>0.50149840000000001</v>
      </c>
    </row>
    <row r="29" spans="1:6" x14ac:dyDescent="0.2">
      <c r="A29" s="19">
        <v>42194</v>
      </c>
      <c r="B29" s="20">
        <v>0.45300783987214877</v>
      </c>
      <c r="E29" s="3">
        <v>40588</v>
      </c>
      <c r="F29">
        <v>0.51758932000000002</v>
      </c>
    </row>
    <row r="30" spans="1:6" x14ac:dyDescent="0.2">
      <c r="A30" s="19">
        <v>42187</v>
      </c>
      <c r="B30" s="20">
        <v>0.42691007799753877</v>
      </c>
      <c r="E30" s="3">
        <v>40589</v>
      </c>
      <c r="F30">
        <v>0.52073837999999995</v>
      </c>
    </row>
    <row r="31" spans="1:6" x14ac:dyDescent="0.2">
      <c r="A31" s="19">
        <v>42180</v>
      </c>
      <c r="B31" s="20">
        <v>0.45889007356496508</v>
      </c>
      <c r="E31" s="3">
        <v>40590</v>
      </c>
      <c r="F31">
        <v>0.54280907</v>
      </c>
    </row>
    <row r="32" spans="1:6" x14ac:dyDescent="0.2">
      <c r="A32" s="19">
        <v>42173</v>
      </c>
      <c r="B32" s="20">
        <v>0.47504859154397289</v>
      </c>
      <c r="E32" s="3">
        <v>40591</v>
      </c>
      <c r="F32">
        <v>0.57526359999999999</v>
      </c>
    </row>
    <row r="33" spans="1:6" x14ac:dyDescent="0.2">
      <c r="A33" s="19">
        <v>42166</v>
      </c>
      <c r="B33" s="20">
        <v>0.46172473046300011</v>
      </c>
      <c r="E33" s="3">
        <v>40592</v>
      </c>
      <c r="F33">
        <v>0.56400059000000002</v>
      </c>
    </row>
    <row r="34" spans="1:6" x14ac:dyDescent="0.2">
      <c r="A34" s="19">
        <v>42159</v>
      </c>
      <c r="B34" s="20">
        <v>0.54951676769042945</v>
      </c>
      <c r="E34" s="3">
        <v>40596</v>
      </c>
      <c r="F34">
        <v>0.60264123999999997</v>
      </c>
    </row>
    <row r="35" spans="1:6" x14ac:dyDescent="0.2">
      <c r="A35" s="19">
        <v>42152</v>
      </c>
      <c r="B35" s="20">
        <v>0.55902460267794318</v>
      </c>
      <c r="E35" s="3">
        <v>40597</v>
      </c>
      <c r="F35">
        <v>0.59292308999999999</v>
      </c>
    </row>
    <row r="36" spans="1:6" x14ac:dyDescent="0.2">
      <c r="A36" s="19">
        <v>42145</v>
      </c>
      <c r="B36" s="20">
        <v>0.56247001508658589</v>
      </c>
      <c r="E36" s="3">
        <v>40598</v>
      </c>
      <c r="F36">
        <v>0.60476841999999997</v>
      </c>
    </row>
    <row r="37" spans="1:6" x14ac:dyDescent="0.2">
      <c r="A37" s="19">
        <v>42138</v>
      </c>
      <c r="B37" s="20">
        <v>0.57098174826031445</v>
      </c>
      <c r="E37" s="3">
        <v>40599</v>
      </c>
      <c r="F37">
        <v>0.60606985000000002</v>
      </c>
    </row>
    <row r="38" spans="1:6" x14ac:dyDescent="0.2">
      <c r="A38" s="19">
        <v>42131</v>
      </c>
      <c r="B38" s="20">
        <v>0.59037176491848908</v>
      </c>
      <c r="E38" s="3">
        <v>40602</v>
      </c>
      <c r="F38">
        <v>0.61003046000000005</v>
      </c>
    </row>
    <row r="39" spans="1:6" x14ac:dyDescent="0.2">
      <c r="A39" s="19">
        <v>42124</v>
      </c>
      <c r="B39" s="20">
        <v>0.64603046293502864</v>
      </c>
      <c r="E39" s="3">
        <v>40603</v>
      </c>
      <c r="F39">
        <v>0.59558513000000002</v>
      </c>
    </row>
    <row r="40" spans="1:6" x14ac:dyDescent="0.2">
      <c r="A40" s="19">
        <v>42117</v>
      </c>
      <c r="B40" s="20">
        <v>0.65844284474757131</v>
      </c>
      <c r="E40" s="3">
        <v>40604</v>
      </c>
      <c r="F40">
        <v>0.58351578000000004</v>
      </c>
    </row>
    <row r="41" spans="1:6" x14ac:dyDescent="0.2">
      <c r="A41" s="19">
        <v>42110</v>
      </c>
      <c r="B41" s="20">
        <v>0.64019129085731785</v>
      </c>
      <c r="E41" s="3">
        <v>40605</v>
      </c>
      <c r="F41">
        <v>0.53234148000000003</v>
      </c>
    </row>
    <row r="42" spans="1:6" x14ac:dyDescent="0.2">
      <c r="A42" s="19">
        <v>42103</v>
      </c>
      <c r="B42" s="20">
        <v>0.65412296677072113</v>
      </c>
      <c r="E42" s="3">
        <v>40606</v>
      </c>
      <c r="F42">
        <v>0.59023831000000004</v>
      </c>
    </row>
    <row r="43" spans="1:6" x14ac:dyDescent="0.2">
      <c r="A43" s="19">
        <v>42096</v>
      </c>
      <c r="B43" s="20">
        <v>0.63757021314193218</v>
      </c>
      <c r="E43" s="3">
        <v>40609</v>
      </c>
      <c r="F43">
        <v>0.58586853000000005</v>
      </c>
    </row>
    <row r="44" spans="1:6" x14ac:dyDescent="0.2">
      <c r="A44" s="19">
        <v>42089</v>
      </c>
      <c r="B44" s="20">
        <v>0.64890841265420796</v>
      </c>
      <c r="E44" s="3">
        <v>40610</v>
      </c>
      <c r="F44">
        <v>0.56167012999999999</v>
      </c>
    </row>
    <row r="45" spans="1:6" x14ac:dyDescent="0.2">
      <c r="A45" s="19">
        <v>42082</v>
      </c>
      <c r="B45" s="20">
        <v>0.61916808494400521</v>
      </c>
      <c r="E45" s="3">
        <v>40611</v>
      </c>
      <c r="F45">
        <v>0.59508150000000004</v>
      </c>
    </row>
    <row r="46" spans="1:6" x14ac:dyDescent="0.2">
      <c r="A46" s="19">
        <v>42075</v>
      </c>
      <c r="B46" s="20">
        <v>0.58615251978310723</v>
      </c>
      <c r="E46" s="3">
        <v>40612</v>
      </c>
      <c r="F46">
        <v>0.60077108000000001</v>
      </c>
    </row>
    <row r="47" spans="1:6" x14ac:dyDescent="0.2">
      <c r="A47" s="19">
        <v>42068</v>
      </c>
      <c r="B47" s="20">
        <v>0.62830808931498816</v>
      </c>
      <c r="E47" s="3">
        <v>40613</v>
      </c>
      <c r="F47">
        <v>0.60004701999999999</v>
      </c>
    </row>
    <row r="48" spans="1:6" x14ac:dyDescent="0.2">
      <c r="A48" s="19">
        <v>42061</v>
      </c>
      <c r="B48" s="20">
        <v>0.61469145921482737</v>
      </c>
      <c r="E48" s="3">
        <v>40616</v>
      </c>
      <c r="F48">
        <v>0.60217085000000004</v>
      </c>
    </row>
    <row r="49" spans="1:6" x14ac:dyDescent="0.2">
      <c r="A49" s="19">
        <v>42054</v>
      </c>
      <c r="B49" s="20">
        <v>0.62918563533375538</v>
      </c>
      <c r="E49" s="3">
        <v>40617</v>
      </c>
      <c r="F49">
        <v>0.60247856</v>
      </c>
    </row>
    <row r="50" spans="1:6" x14ac:dyDescent="0.2">
      <c r="A50" s="19">
        <v>42047</v>
      </c>
      <c r="B50" s="20">
        <v>0.65089272690592892</v>
      </c>
      <c r="E50" s="3">
        <v>40618</v>
      </c>
      <c r="F50">
        <v>0.61038948999999998</v>
      </c>
    </row>
    <row r="51" spans="1:6" x14ac:dyDescent="0.2">
      <c r="A51" s="19">
        <v>42040</v>
      </c>
      <c r="B51" s="20">
        <v>0.68613791923063638</v>
      </c>
      <c r="E51" s="3">
        <v>40619</v>
      </c>
      <c r="F51">
        <v>0.60804641999999998</v>
      </c>
    </row>
    <row r="52" spans="1:6" x14ac:dyDescent="0.2">
      <c r="A52" s="19">
        <v>42033</v>
      </c>
      <c r="B52" s="20">
        <v>0.66237769243691424</v>
      </c>
      <c r="E52" s="3">
        <v>40620</v>
      </c>
      <c r="F52">
        <v>0.60703149000000001</v>
      </c>
    </row>
    <row r="53" spans="1:6" x14ac:dyDescent="0.2">
      <c r="A53" s="19">
        <v>42026</v>
      </c>
      <c r="B53" s="20">
        <v>0.66443740132152351</v>
      </c>
      <c r="E53" s="3">
        <v>40623</v>
      </c>
      <c r="F53">
        <v>0.60312644999999998</v>
      </c>
    </row>
    <row r="54" spans="1:6" x14ac:dyDescent="0.2">
      <c r="A54" s="19">
        <v>42019</v>
      </c>
      <c r="B54" s="20">
        <v>0.66237769243691424</v>
      </c>
      <c r="E54" s="3">
        <v>40624</v>
      </c>
      <c r="F54">
        <v>0.60101419</v>
      </c>
    </row>
    <row r="55" spans="1:6" x14ac:dyDescent="0.2">
      <c r="A55" s="19">
        <v>42012</v>
      </c>
      <c r="B55" s="20">
        <v>0.63535246046030358</v>
      </c>
      <c r="E55" s="3">
        <v>40625</v>
      </c>
      <c r="F55">
        <v>0.59292115999999995</v>
      </c>
    </row>
    <row r="56" spans="1:6" x14ac:dyDescent="0.2">
      <c r="A56" s="19">
        <v>42004</v>
      </c>
      <c r="B56" s="20">
        <v>0.59452652549193286</v>
      </c>
      <c r="E56" s="3">
        <v>40626</v>
      </c>
      <c r="F56">
        <v>0.59047442999999999</v>
      </c>
    </row>
    <row r="57" spans="1:6" x14ac:dyDescent="0.2">
      <c r="E57" s="3">
        <v>40627</v>
      </c>
      <c r="F57">
        <v>0.57229280000000005</v>
      </c>
    </row>
    <row r="58" spans="1:6" x14ac:dyDescent="0.2">
      <c r="E58" s="3">
        <v>40630</v>
      </c>
      <c r="F58">
        <v>0.57025108000000002</v>
      </c>
    </row>
    <row r="59" spans="1:6" x14ac:dyDescent="0.2">
      <c r="E59" s="3">
        <v>40631</v>
      </c>
      <c r="F59">
        <v>0.54296453</v>
      </c>
    </row>
    <row r="60" spans="1:6" x14ac:dyDescent="0.2">
      <c r="E60" s="3">
        <v>40632</v>
      </c>
      <c r="F60">
        <v>0.59292115999999995</v>
      </c>
    </row>
    <row r="61" spans="1:6" x14ac:dyDescent="0.2">
      <c r="E61" s="3">
        <v>40633</v>
      </c>
      <c r="F61">
        <v>0.59330693000000001</v>
      </c>
    </row>
    <row r="62" spans="1:6" x14ac:dyDescent="0.2">
      <c r="E62" s="3">
        <v>40634</v>
      </c>
      <c r="F62">
        <v>0.58564293999999995</v>
      </c>
    </row>
    <row r="63" spans="1:6" x14ac:dyDescent="0.2">
      <c r="E63" s="3">
        <v>40637</v>
      </c>
      <c r="F63">
        <v>0.58600547000000003</v>
      </c>
    </row>
    <row r="64" spans="1:6" x14ac:dyDescent="0.2">
      <c r="E64" s="3">
        <v>40638</v>
      </c>
      <c r="F64">
        <v>0.56064663999999997</v>
      </c>
    </row>
    <row r="65" spans="5:6" x14ac:dyDescent="0.2">
      <c r="E65" s="3">
        <v>40639</v>
      </c>
      <c r="F65">
        <v>0.55462959000000001</v>
      </c>
    </row>
    <row r="66" spans="5:6" x14ac:dyDescent="0.2">
      <c r="E66" s="3">
        <v>40640</v>
      </c>
      <c r="F66">
        <v>0.55713210000000002</v>
      </c>
    </row>
    <row r="67" spans="5:6" x14ac:dyDescent="0.2">
      <c r="E67" s="3">
        <v>40641</v>
      </c>
      <c r="F67">
        <v>0.55076780000000003</v>
      </c>
    </row>
    <row r="68" spans="5:6" x14ac:dyDescent="0.2">
      <c r="E68" s="3">
        <v>40644</v>
      </c>
      <c r="F68">
        <v>0.55462959000000001</v>
      </c>
    </row>
    <row r="69" spans="5:6" x14ac:dyDescent="0.2">
      <c r="E69" s="3">
        <v>40645</v>
      </c>
      <c r="F69">
        <v>0.58436579</v>
      </c>
    </row>
    <row r="70" spans="5:6" x14ac:dyDescent="0.2">
      <c r="E70" s="3">
        <v>40646</v>
      </c>
      <c r="F70">
        <v>0.58820517000000005</v>
      </c>
    </row>
    <row r="71" spans="5:6" x14ac:dyDescent="0.2">
      <c r="E71" s="3">
        <v>40647</v>
      </c>
      <c r="F71">
        <v>0.58773812999999997</v>
      </c>
    </row>
    <row r="72" spans="5:6" x14ac:dyDescent="0.2">
      <c r="E72" s="3">
        <v>40648</v>
      </c>
      <c r="F72">
        <v>0.59459154000000003</v>
      </c>
    </row>
    <row r="73" spans="5:6" x14ac:dyDescent="0.2">
      <c r="E73" s="3">
        <v>40651</v>
      </c>
      <c r="F73">
        <v>0.59752002000000004</v>
      </c>
    </row>
    <row r="74" spans="5:6" x14ac:dyDescent="0.2">
      <c r="E74" s="3">
        <v>40652</v>
      </c>
      <c r="F74">
        <v>0.59807111999999996</v>
      </c>
    </row>
    <row r="75" spans="5:6" x14ac:dyDescent="0.2">
      <c r="E75" s="3">
        <v>40653</v>
      </c>
      <c r="F75">
        <v>0.59394553000000005</v>
      </c>
    </row>
    <row r="76" spans="5:6" x14ac:dyDescent="0.2">
      <c r="E76" s="3">
        <v>40654</v>
      </c>
      <c r="F76">
        <v>0.59386766000000002</v>
      </c>
    </row>
    <row r="77" spans="5:6" x14ac:dyDescent="0.2">
      <c r="E77" s="3">
        <v>40658</v>
      </c>
      <c r="F77">
        <v>0.59596400999999999</v>
      </c>
    </row>
    <row r="78" spans="5:6" x14ac:dyDescent="0.2">
      <c r="E78" s="3">
        <v>40659</v>
      </c>
      <c r="F78">
        <v>0.59816915999999998</v>
      </c>
    </row>
    <row r="79" spans="5:6" x14ac:dyDescent="0.2">
      <c r="E79" s="3">
        <v>40660</v>
      </c>
      <c r="F79">
        <v>0.59476454999999995</v>
      </c>
    </row>
    <row r="80" spans="5:6" x14ac:dyDescent="0.2">
      <c r="E80" s="3">
        <v>40661</v>
      </c>
      <c r="F80">
        <v>0.59958840999999996</v>
      </c>
    </row>
    <row r="81" spans="5:6" x14ac:dyDescent="0.2">
      <c r="E81" s="3">
        <v>40662</v>
      </c>
      <c r="F81">
        <v>0.60214741999999999</v>
      </c>
    </row>
    <row r="82" spans="5:6" x14ac:dyDescent="0.2">
      <c r="E82" s="3">
        <v>40665</v>
      </c>
      <c r="F82">
        <v>0.59420903000000003</v>
      </c>
    </row>
    <row r="83" spans="5:6" x14ac:dyDescent="0.2">
      <c r="E83" s="3">
        <v>40666</v>
      </c>
      <c r="F83">
        <v>0.59809005999999998</v>
      </c>
    </row>
    <row r="84" spans="5:6" x14ac:dyDescent="0.2">
      <c r="E84" s="3">
        <v>40667</v>
      </c>
      <c r="F84">
        <v>0.59849596999999999</v>
      </c>
    </row>
    <row r="85" spans="5:6" x14ac:dyDescent="0.2">
      <c r="E85" s="3">
        <v>40668</v>
      </c>
      <c r="F85">
        <v>0.60970157999999997</v>
      </c>
    </row>
    <row r="86" spans="5:6" x14ac:dyDescent="0.2">
      <c r="E86" s="3">
        <v>40669</v>
      </c>
      <c r="F86">
        <v>0.61279925000000002</v>
      </c>
    </row>
    <row r="87" spans="5:6" x14ac:dyDescent="0.2">
      <c r="E87" s="3">
        <v>40672</v>
      </c>
      <c r="F87">
        <v>0.61802575999999998</v>
      </c>
    </row>
    <row r="88" spans="5:6" x14ac:dyDescent="0.2">
      <c r="E88" s="3">
        <v>40673</v>
      </c>
      <c r="F88">
        <v>0.60476870999999999</v>
      </c>
    </row>
    <row r="89" spans="5:6" x14ac:dyDescent="0.2">
      <c r="E89" s="3">
        <v>40674</v>
      </c>
      <c r="F89">
        <v>0.60725342000000004</v>
      </c>
    </row>
    <row r="90" spans="5:6" x14ac:dyDescent="0.2">
      <c r="E90" s="3">
        <v>40675</v>
      </c>
      <c r="F90">
        <v>0.60131517999999995</v>
      </c>
    </row>
    <row r="91" spans="5:6" x14ac:dyDescent="0.2">
      <c r="E91" s="3">
        <v>40676</v>
      </c>
      <c r="F91">
        <v>0.60620629999999998</v>
      </c>
    </row>
    <row r="92" spans="5:6" x14ac:dyDescent="0.2">
      <c r="E92" s="3">
        <v>40679</v>
      </c>
      <c r="F92">
        <v>0.61009265000000001</v>
      </c>
    </row>
    <row r="93" spans="5:6" x14ac:dyDescent="0.2">
      <c r="E93" s="3">
        <v>40680</v>
      </c>
      <c r="F93">
        <v>0.61572481999999995</v>
      </c>
    </row>
    <row r="94" spans="5:6" x14ac:dyDescent="0.2">
      <c r="E94" s="3">
        <v>40681</v>
      </c>
      <c r="F94">
        <v>0.60756730999999997</v>
      </c>
    </row>
    <row r="95" spans="5:6" x14ac:dyDescent="0.2">
      <c r="E95" s="3">
        <v>40682</v>
      </c>
      <c r="F95">
        <v>0.60650216000000001</v>
      </c>
    </row>
    <row r="96" spans="5:6" x14ac:dyDescent="0.2">
      <c r="E96" s="3">
        <v>40683</v>
      </c>
      <c r="F96">
        <v>0.60913379999999995</v>
      </c>
    </row>
    <row r="97" spans="5:6" x14ac:dyDescent="0.2">
      <c r="E97" s="3">
        <v>40686</v>
      </c>
      <c r="F97">
        <v>0.60791371999999999</v>
      </c>
    </row>
    <row r="98" spans="5:6" x14ac:dyDescent="0.2">
      <c r="E98" s="3">
        <v>40687</v>
      </c>
      <c r="F98">
        <v>0.61190235000000004</v>
      </c>
    </row>
    <row r="99" spans="5:6" x14ac:dyDescent="0.2">
      <c r="E99" s="3">
        <v>40688</v>
      </c>
      <c r="F99">
        <v>0.61919310000000005</v>
      </c>
    </row>
    <row r="100" spans="5:6" x14ac:dyDescent="0.2">
      <c r="E100" s="3">
        <v>40689</v>
      </c>
      <c r="F100">
        <v>0.67825385000000005</v>
      </c>
    </row>
    <row r="101" spans="5:6" x14ac:dyDescent="0.2">
      <c r="E101" s="3">
        <v>40690</v>
      </c>
      <c r="F101">
        <v>0.64911578000000003</v>
      </c>
    </row>
    <row r="102" spans="5:6" x14ac:dyDescent="0.2">
      <c r="E102" s="3">
        <v>40694</v>
      </c>
      <c r="F102">
        <v>0.64966367000000003</v>
      </c>
    </row>
    <row r="103" spans="5:6" x14ac:dyDescent="0.2">
      <c r="E103" s="3">
        <v>40695</v>
      </c>
      <c r="F103">
        <v>0.75998626000000002</v>
      </c>
    </row>
    <row r="104" spans="5:6" x14ac:dyDescent="0.2">
      <c r="E104" s="3">
        <v>40696</v>
      </c>
      <c r="F104">
        <v>0.65772775999999999</v>
      </c>
    </row>
    <row r="105" spans="5:6" x14ac:dyDescent="0.2">
      <c r="E105" s="3">
        <v>40697</v>
      </c>
      <c r="F105">
        <v>0.69546646999999995</v>
      </c>
    </row>
    <row r="106" spans="5:6" x14ac:dyDescent="0.2">
      <c r="E106" s="3">
        <v>40700</v>
      </c>
      <c r="F106">
        <v>0.68036317000000002</v>
      </c>
    </row>
    <row r="107" spans="5:6" x14ac:dyDescent="0.2">
      <c r="E107" s="3">
        <v>40701</v>
      </c>
      <c r="F107">
        <v>0.68885443999999996</v>
      </c>
    </row>
    <row r="108" spans="5:6" x14ac:dyDescent="0.2">
      <c r="E108" s="3">
        <v>40702</v>
      </c>
      <c r="F108">
        <v>0.79623065000000004</v>
      </c>
    </row>
    <row r="109" spans="5:6" x14ac:dyDescent="0.2">
      <c r="E109" s="3">
        <v>40703</v>
      </c>
      <c r="F109">
        <v>0.74020900999999995</v>
      </c>
    </row>
    <row r="110" spans="5:6" x14ac:dyDescent="0.2">
      <c r="E110" s="3">
        <v>40704</v>
      </c>
      <c r="F110">
        <v>0.73871514999999999</v>
      </c>
    </row>
    <row r="111" spans="5:6" x14ac:dyDescent="0.2">
      <c r="E111" s="3">
        <v>40707</v>
      </c>
      <c r="F111">
        <v>0.70826939</v>
      </c>
    </row>
    <row r="112" spans="5:6" x14ac:dyDescent="0.2">
      <c r="E112" s="3">
        <v>40708</v>
      </c>
      <c r="F112">
        <v>0.62299667999999997</v>
      </c>
    </row>
    <row r="113" spans="5:6" x14ac:dyDescent="0.2">
      <c r="E113" s="3">
        <v>40709</v>
      </c>
      <c r="F113">
        <v>0.74517188999999995</v>
      </c>
    </row>
    <row r="114" spans="5:6" x14ac:dyDescent="0.2">
      <c r="E114" s="3">
        <v>40710</v>
      </c>
      <c r="F114">
        <v>0.77727851000000003</v>
      </c>
    </row>
    <row r="115" spans="5:6" x14ac:dyDescent="0.2">
      <c r="E115" s="3">
        <v>40711</v>
      </c>
      <c r="F115">
        <v>0.74517188999999995</v>
      </c>
    </row>
    <row r="116" spans="5:6" x14ac:dyDescent="0.2">
      <c r="E116" s="3">
        <v>40714</v>
      </c>
      <c r="F116">
        <v>0.69050447000000004</v>
      </c>
    </row>
    <row r="117" spans="5:6" x14ac:dyDescent="0.2">
      <c r="E117" s="3">
        <v>40715</v>
      </c>
      <c r="F117">
        <v>0.67585764999999998</v>
      </c>
    </row>
    <row r="118" spans="5:6" x14ac:dyDescent="0.2">
      <c r="E118" s="3">
        <v>40716</v>
      </c>
      <c r="F118">
        <v>0.66686383999999999</v>
      </c>
    </row>
    <row r="119" spans="5:6" x14ac:dyDescent="0.2">
      <c r="E119" s="3">
        <v>40717</v>
      </c>
      <c r="F119">
        <v>0.79592470000000004</v>
      </c>
    </row>
    <row r="120" spans="5:6" x14ac:dyDescent="0.2">
      <c r="E120" s="3">
        <v>40718</v>
      </c>
      <c r="F120">
        <v>0.79623065000000004</v>
      </c>
    </row>
    <row r="121" spans="5:6" x14ac:dyDescent="0.2">
      <c r="E121" s="3">
        <v>40721</v>
      </c>
      <c r="F121">
        <v>0.72719493999999996</v>
      </c>
    </row>
    <row r="122" spans="5:6" x14ac:dyDescent="0.2">
      <c r="E122" s="3">
        <v>40722</v>
      </c>
      <c r="F122">
        <v>0.62099919000000003</v>
      </c>
    </row>
    <row r="123" spans="5:6" x14ac:dyDescent="0.2">
      <c r="E123" s="3">
        <v>40723</v>
      </c>
      <c r="F123">
        <v>0.61234429999999995</v>
      </c>
    </row>
    <row r="124" spans="5:6" x14ac:dyDescent="0.2">
      <c r="E124" s="3">
        <v>40724</v>
      </c>
      <c r="F124">
        <v>0.60136347999999995</v>
      </c>
    </row>
    <row r="125" spans="5:6" x14ac:dyDescent="0.2">
      <c r="E125" s="3">
        <v>40725</v>
      </c>
      <c r="F125">
        <v>0.58820852000000001</v>
      </c>
    </row>
    <row r="126" spans="5:6" x14ac:dyDescent="0.2">
      <c r="E126" s="3">
        <v>40729</v>
      </c>
      <c r="F126">
        <v>0.59769616999999997</v>
      </c>
    </row>
    <row r="127" spans="5:6" x14ac:dyDescent="0.2">
      <c r="E127" s="3">
        <v>40730</v>
      </c>
      <c r="F127">
        <v>0.61325107999999995</v>
      </c>
    </row>
    <row r="128" spans="5:6" x14ac:dyDescent="0.2">
      <c r="E128" s="3">
        <v>40731</v>
      </c>
      <c r="F128">
        <v>0.59328561000000002</v>
      </c>
    </row>
    <row r="129" spans="5:6" x14ac:dyDescent="0.2">
      <c r="E129" s="3">
        <v>40732</v>
      </c>
      <c r="F129">
        <v>0.64318423000000002</v>
      </c>
    </row>
    <row r="130" spans="5:6" x14ac:dyDescent="0.2">
      <c r="E130" s="3">
        <v>40735</v>
      </c>
      <c r="F130">
        <v>0.73745605000000003</v>
      </c>
    </row>
    <row r="131" spans="5:6" x14ac:dyDescent="0.2">
      <c r="E131" s="3">
        <v>40736</v>
      </c>
      <c r="F131">
        <v>0.75550598999999996</v>
      </c>
    </row>
    <row r="132" spans="5:6" x14ac:dyDescent="0.2">
      <c r="E132" s="3">
        <v>40737</v>
      </c>
      <c r="F132">
        <v>0.81113716999999996</v>
      </c>
    </row>
    <row r="133" spans="5:6" x14ac:dyDescent="0.2">
      <c r="E133" s="3">
        <v>40738</v>
      </c>
      <c r="F133">
        <v>0.76763572000000002</v>
      </c>
    </row>
    <row r="134" spans="5:6" x14ac:dyDescent="0.2">
      <c r="E134" s="3">
        <v>40739</v>
      </c>
      <c r="F134">
        <v>0.79244053999999997</v>
      </c>
    </row>
    <row r="135" spans="5:6" x14ac:dyDescent="0.2">
      <c r="E135" s="3">
        <v>40742</v>
      </c>
      <c r="F135">
        <v>0.74490188999999996</v>
      </c>
    </row>
    <row r="136" spans="5:6" x14ac:dyDescent="0.2">
      <c r="E136" s="3">
        <v>40743</v>
      </c>
      <c r="F136">
        <v>0.76129506000000002</v>
      </c>
    </row>
    <row r="137" spans="5:6" x14ac:dyDescent="0.2">
      <c r="E137" s="3">
        <v>40744</v>
      </c>
      <c r="F137">
        <v>0.64717546999999997</v>
      </c>
    </row>
    <row r="138" spans="5:6" x14ac:dyDescent="0.2">
      <c r="E138" s="3">
        <v>40745</v>
      </c>
      <c r="F138">
        <v>0.62002716000000002</v>
      </c>
    </row>
    <row r="139" spans="5:6" x14ac:dyDescent="0.2">
      <c r="E139" s="3">
        <v>40746</v>
      </c>
      <c r="F139">
        <v>0.63756215999999999</v>
      </c>
    </row>
    <row r="140" spans="5:6" x14ac:dyDescent="0.2">
      <c r="E140" s="3">
        <v>40749</v>
      </c>
      <c r="F140">
        <v>0.61502153000000004</v>
      </c>
    </row>
    <row r="141" spans="5:6" x14ac:dyDescent="0.2">
      <c r="E141" s="3">
        <v>40750</v>
      </c>
      <c r="F141">
        <v>0.63153959999999998</v>
      </c>
    </row>
    <row r="142" spans="5:6" x14ac:dyDescent="0.2">
      <c r="E142" s="3">
        <v>40751</v>
      </c>
      <c r="F142">
        <v>0.60373120999999996</v>
      </c>
    </row>
    <row r="143" spans="5:6" x14ac:dyDescent="0.2">
      <c r="E143" s="3">
        <v>40752</v>
      </c>
      <c r="F143">
        <v>0.62533603999999998</v>
      </c>
    </row>
    <row r="144" spans="5:6" x14ac:dyDescent="0.2">
      <c r="E144" s="3">
        <v>40753</v>
      </c>
      <c r="F144">
        <v>0.81158019000000003</v>
      </c>
    </row>
    <row r="145" spans="5:6" x14ac:dyDescent="0.2">
      <c r="E145" s="3">
        <v>40756</v>
      </c>
      <c r="F145">
        <v>0.82326312000000001</v>
      </c>
    </row>
    <row r="146" spans="5:6" x14ac:dyDescent="0.2">
      <c r="E146" s="3">
        <v>40757</v>
      </c>
      <c r="F146">
        <v>0.83759457000000004</v>
      </c>
    </row>
    <row r="147" spans="5:6" x14ac:dyDescent="0.2">
      <c r="E147" s="3">
        <v>40758</v>
      </c>
      <c r="F147">
        <v>0.83842037000000003</v>
      </c>
    </row>
    <row r="148" spans="5:6" x14ac:dyDescent="0.2">
      <c r="E148" s="3">
        <v>40759</v>
      </c>
      <c r="F148">
        <v>0.86172420000000005</v>
      </c>
    </row>
    <row r="149" spans="5:6" x14ac:dyDescent="0.2">
      <c r="E149" s="3">
        <v>40760</v>
      </c>
      <c r="F149">
        <v>0.83473637999999994</v>
      </c>
    </row>
    <row r="150" spans="5:6" x14ac:dyDescent="0.2">
      <c r="E150" s="3">
        <v>40763</v>
      </c>
      <c r="F150">
        <v>0.85290482000000001</v>
      </c>
    </row>
    <row r="151" spans="5:6" x14ac:dyDescent="0.2">
      <c r="E151" s="3">
        <v>40764</v>
      </c>
      <c r="F151">
        <v>0.94222729999999999</v>
      </c>
    </row>
    <row r="152" spans="5:6" x14ac:dyDescent="0.2">
      <c r="E152" s="3">
        <v>40765</v>
      </c>
      <c r="F152">
        <v>0.89709355000000002</v>
      </c>
    </row>
    <row r="153" spans="5:6" x14ac:dyDescent="0.2">
      <c r="E153" s="3">
        <v>40766</v>
      </c>
      <c r="F153">
        <v>0.84420832000000001</v>
      </c>
    </row>
    <row r="154" spans="5:6" x14ac:dyDescent="0.2">
      <c r="E154" s="3">
        <v>40767</v>
      </c>
      <c r="F154">
        <v>0.85297997000000003</v>
      </c>
    </row>
    <row r="155" spans="5:6" x14ac:dyDescent="0.2">
      <c r="E155" s="3">
        <v>40770</v>
      </c>
      <c r="F155">
        <v>0.84267753999999995</v>
      </c>
    </row>
    <row r="156" spans="5:6" x14ac:dyDescent="0.2">
      <c r="E156" s="3">
        <v>40771</v>
      </c>
      <c r="F156">
        <v>0.85342719</v>
      </c>
    </row>
    <row r="157" spans="5:6" x14ac:dyDescent="0.2">
      <c r="E157" s="3">
        <v>40772</v>
      </c>
      <c r="F157">
        <v>0.90548150000000005</v>
      </c>
    </row>
    <row r="158" spans="5:6" x14ac:dyDescent="0.2">
      <c r="E158" s="3">
        <v>40773</v>
      </c>
      <c r="F158">
        <v>0.91565848999999999</v>
      </c>
    </row>
    <row r="159" spans="5:6" x14ac:dyDescent="0.2">
      <c r="E159" s="3">
        <v>40774</v>
      </c>
      <c r="F159">
        <v>0.89684797999999999</v>
      </c>
    </row>
    <row r="160" spans="5:6" x14ac:dyDescent="0.2">
      <c r="E160" s="3">
        <v>40777</v>
      </c>
      <c r="F160">
        <v>0.88061953999999998</v>
      </c>
    </row>
    <row r="161" spans="5:6" x14ac:dyDescent="0.2">
      <c r="E161" s="3">
        <v>40778</v>
      </c>
      <c r="F161">
        <v>0.85332171000000001</v>
      </c>
    </row>
    <row r="162" spans="5:6" x14ac:dyDescent="0.2">
      <c r="E162" s="3">
        <v>40779</v>
      </c>
      <c r="F162">
        <v>0.84607922999999996</v>
      </c>
    </row>
    <row r="163" spans="5:6" x14ac:dyDescent="0.2">
      <c r="E163" s="3">
        <v>40780</v>
      </c>
      <c r="F163">
        <v>0.83470208999999995</v>
      </c>
    </row>
    <row r="164" spans="5:6" x14ac:dyDescent="0.2">
      <c r="E164" s="3">
        <v>40781</v>
      </c>
      <c r="F164">
        <v>0.83931259999999996</v>
      </c>
    </row>
    <row r="165" spans="5:6" x14ac:dyDescent="0.2">
      <c r="E165" s="3">
        <v>40784</v>
      </c>
      <c r="F165">
        <v>0.82673280999999998</v>
      </c>
    </row>
    <row r="166" spans="5:6" x14ac:dyDescent="0.2">
      <c r="E166" s="3">
        <v>40785</v>
      </c>
      <c r="F166">
        <v>0.83828232000000003</v>
      </c>
    </row>
    <row r="167" spans="5:6" x14ac:dyDescent="0.2">
      <c r="E167" s="3">
        <v>40786</v>
      </c>
      <c r="F167">
        <v>0.84239131</v>
      </c>
    </row>
    <row r="168" spans="5:6" x14ac:dyDescent="0.2">
      <c r="E168" s="3">
        <v>40787</v>
      </c>
      <c r="F168">
        <v>0.84721122000000004</v>
      </c>
    </row>
    <row r="169" spans="5:6" x14ac:dyDescent="0.2">
      <c r="E169" s="3">
        <v>40788</v>
      </c>
      <c r="F169">
        <v>0.90242288999999998</v>
      </c>
    </row>
    <row r="170" spans="5:6" x14ac:dyDescent="0.2">
      <c r="E170" s="3">
        <v>40792</v>
      </c>
      <c r="F170">
        <v>0.90259902999999997</v>
      </c>
    </row>
    <row r="171" spans="5:6" x14ac:dyDescent="0.2">
      <c r="E171" s="3">
        <v>40793</v>
      </c>
      <c r="F171">
        <v>0.86973243</v>
      </c>
    </row>
    <row r="172" spans="5:6" x14ac:dyDescent="0.2">
      <c r="E172" s="3">
        <v>40794</v>
      </c>
      <c r="F172">
        <v>0.89313180000000003</v>
      </c>
    </row>
    <row r="173" spans="5:6" x14ac:dyDescent="0.2">
      <c r="E173" s="3">
        <v>40795</v>
      </c>
      <c r="F173">
        <v>0.93021054999999997</v>
      </c>
    </row>
    <row r="174" spans="5:6" x14ac:dyDescent="0.2">
      <c r="E174" s="3">
        <v>40798</v>
      </c>
      <c r="F174">
        <v>0.90497623000000005</v>
      </c>
    </row>
    <row r="175" spans="5:6" x14ac:dyDescent="0.2">
      <c r="E175" s="3">
        <v>40799</v>
      </c>
      <c r="F175">
        <v>0.87859103000000005</v>
      </c>
    </row>
    <row r="176" spans="5:6" x14ac:dyDescent="0.2">
      <c r="E176" s="3">
        <v>40800</v>
      </c>
      <c r="F176">
        <v>0.88148886000000004</v>
      </c>
    </row>
    <row r="177" spans="5:6" x14ac:dyDescent="0.2">
      <c r="E177" s="3">
        <v>40801</v>
      </c>
      <c r="F177">
        <v>0.85233175999999999</v>
      </c>
    </row>
    <row r="178" spans="5:6" x14ac:dyDescent="0.2">
      <c r="E178" s="3">
        <v>40802</v>
      </c>
      <c r="F178">
        <v>0.85253478000000005</v>
      </c>
    </row>
    <row r="179" spans="5:6" x14ac:dyDescent="0.2">
      <c r="E179" s="3">
        <v>40805</v>
      </c>
      <c r="F179">
        <v>0.91915827999999999</v>
      </c>
    </row>
    <row r="180" spans="5:6" x14ac:dyDescent="0.2">
      <c r="E180" s="3">
        <v>40806</v>
      </c>
      <c r="F180">
        <v>0.90939444999999997</v>
      </c>
    </row>
    <row r="181" spans="5:6" x14ac:dyDescent="0.2">
      <c r="E181" s="3">
        <v>40807</v>
      </c>
      <c r="F181">
        <v>0.98438846000000002</v>
      </c>
    </row>
    <row r="182" spans="5:6" x14ac:dyDescent="0.2">
      <c r="E182" s="3">
        <v>40808</v>
      </c>
      <c r="F182">
        <v>0.98718243000000006</v>
      </c>
    </row>
    <row r="183" spans="5:6" x14ac:dyDescent="0.2">
      <c r="E183" s="3">
        <v>40809</v>
      </c>
      <c r="F183">
        <v>0.98557090000000003</v>
      </c>
    </row>
    <row r="184" spans="5:6" x14ac:dyDescent="0.2">
      <c r="E184" s="3">
        <v>40812</v>
      </c>
      <c r="F184">
        <v>0.98181251999999997</v>
      </c>
    </row>
    <row r="185" spans="5:6" x14ac:dyDescent="0.2">
      <c r="E185" s="3">
        <v>40813</v>
      </c>
      <c r="F185">
        <v>0.92916330000000003</v>
      </c>
    </row>
    <row r="186" spans="5:6" x14ac:dyDescent="0.2">
      <c r="E186" s="3">
        <v>40814</v>
      </c>
      <c r="F186">
        <v>0.87701468999999999</v>
      </c>
    </row>
    <row r="187" spans="5:6" x14ac:dyDescent="0.2">
      <c r="E187" s="3">
        <v>40815</v>
      </c>
      <c r="F187">
        <v>0.92916330000000003</v>
      </c>
    </row>
    <row r="188" spans="5:6" x14ac:dyDescent="0.2">
      <c r="E188" s="3">
        <v>40816</v>
      </c>
      <c r="F188">
        <v>0.95732165999999996</v>
      </c>
    </row>
    <row r="189" spans="5:6" x14ac:dyDescent="0.2">
      <c r="E189" s="3">
        <v>40819</v>
      </c>
      <c r="F189">
        <v>0.97810912000000005</v>
      </c>
    </row>
    <row r="190" spans="5:6" x14ac:dyDescent="0.2">
      <c r="E190" s="3">
        <v>40820</v>
      </c>
      <c r="F190">
        <v>0.94663377999999998</v>
      </c>
    </row>
    <row r="191" spans="5:6" x14ac:dyDescent="0.2">
      <c r="E191" s="3">
        <v>40821</v>
      </c>
      <c r="F191">
        <v>0.92342051999999997</v>
      </c>
    </row>
    <row r="192" spans="5:6" x14ac:dyDescent="0.2">
      <c r="E192" s="3">
        <v>40822</v>
      </c>
      <c r="F192">
        <v>0.88478330999999999</v>
      </c>
    </row>
    <row r="193" spans="5:6" x14ac:dyDescent="0.2">
      <c r="E193" s="3">
        <v>40823</v>
      </c>
      <c r="F193">
        <v>0.83613196000000001</v>
      </c>
    </row>
    <row r="194" spans="5:6" x14ac:dyDescent="0.2">
      <c r="E194" s="3">
        <v>40827</v>
      </c>
      <c r="F194">
        <v>0.82950210999999996</v>
      </c>
    </row>
    <row r="195" spans="5:6" x14ac:dyDescent="0.2">
      <c r="E195" s="3">
        <v>40828</v>
      </c>
      <c r="F195">
        <v>0.83542744999999996</v>
      </c>
    </row>
    <row r="196" spans="5:6" x14ac:dyDescent="0.2">
      <c r="E196" s="3">
        <v>40829</v>
      </c>
      <c r="F196">
        <v>0.84078129000000001</v>
      </c>
    </row>
    <row r="197" spans="5:6" x14ac:dyDescent="0.2">
      <c r="E197" s="3">
        <v>40830</v>
      </c>
      <c r="F197">
        <v>0.83013197000000005</v>
      </c>
    </row>
    <row r="198" spans="5:6" x14ac:dyDescent="0.2">
      <c r="E198" s="3">
        <v>40833</v>
      </c>
      <c r="F198">
        <v>0.84306073000000004</v>
      </c>
    </row>
    <row r="199" spans="5:6" x14ac:dyDescent="0.2">
      <c r="E199" s="3">
        <v>40834</v>
      </c>
      <c r="F199">
        <v>0.84441679000000003</v>
      </c>
    </row>
    <row r="200" spans="5:6" x14ac:dyDescent="0.2">
      <c r="E200" s="3">
        <v>40835</v>
      </c>
      <c r="F200">
        <v>0.86681474000000003</v>
      </c>
    </row>
    <row r="201" spans="5:6" x14ac:dyDescent="0.2">
      <c r="E201" s="3">
        <v>40836</v>
      </c>
      <c r="F201">
        <v>0.84735875999999999</v>
      </c>
    </row>
    <row r="202" spans="5:6" x14ac:dyDescent="0.2">
      <c r="E202" s="3">
        <v>40837</v>
      </c>
      <c r="F202">
        <v>0.8463716</v>
      </c>
    </row>
    <row r="203" spans="5:6" x14ac:dyDescent="0.2">
      <c r="E203" s="3">
        <v>40840</v>
      </c>
      <c r="F203">
        <v>0.83822136000000003</v>
      </c>
    </row>
    <row r="204" spans="5:6" x14ac:dyDescent="0.2">
      <c r="E204" s="3">
        <v>40841</v>
      </c>
      <c r="F204">
        <v>0.89465903000000002</v>
      </c>
    </row>
    <row r="205" spans="5:6" x14ac:dyDescent="0.2">
      <c r="E205" s="3">
        <v>40842</v>
      </c>
      <c r="F205">
        <v>0.86459914999999998</v>
      </c>
    </row>
    <row r="206" spans="5:6" x14ac:dyDescent="0.2">
      <c r="E206" s="3">
        <v>40843</v>
      </c>
      <c r="F206">
        <v>0.82771581000000005</v>
      </c>
    </row>
    <row r="207" spans="5:6" x14ac:dyDescent="0.2">
      <c r="E207" s="3">
        <v>40844</v>
      </c>
      <c r="F207">
        <v>0.84286576999999996</v>
      </c>
    </row>
    <row r="208" spans="5:6" x14ac:dyDescent="0.2">
      <c r="E208" s="3">
        <v>40847</v>
      </c>
      <c r="F208">
        <v>0.91081164000000003</v>
      </c>
    </row>
    <row r="209" spans="5:6" x14ac:dyDescent="0.2">
      <c r="E209" s="3">
        <v>40848</v>
      </c>
      <c r="F209">
        <v>0.97060621000000002</v>
      </c>
    </row>
    <row r="210" spans="5:6" x14ac:dyDescent="0.2">
      <c r="E210" s="3">
        <v>40849</v>
      </c>
      <c r="F210">
        <v>0.97461584000000001</v>
      </c>
    </row>
    <row r="211" spans="5:6" x14ac:dyDescent="0.2">
      <c r="E211" s="3">
        <v>40850</v>
      </c>
      <c r="F211">
        <v>0.97161434999999996</v>
      </c>
    </row>
    <row r="212" spans="5:6" x14ac:dyDescent="0.2">
      <c r="E212" s="3">
        <v>40851</v>
      </c>
      <c r="F212">
        <v>0.97438150000000001</v>
      </c>
    </row>
    <row r="213" spans="5:6" x14ac:dyDescent="0.2">
      <c r="E213" s="3">
        <v>40854</v>
      </c>
      <c r="F213">
        <v>0.97592325999999996</v>
      </c>
    </row>
    <row r="214" spans="5:6" x14ac:dyDescent="0.2">
      <c r="E214" s="3">
        <v>40855</v>
      </c>
      <c r="F214">
        <v>0.97103322000000003</v>
      </c>
    </row>
    <row r="215" spans="5:6" x14ac:dyDescent="0.2">
      <c r="E215" s="3">
        <v>40856</v>
      </c>
      <c r="F215">
        <v>0.95279994000000001</v>
      </c>
    </row>
    <row r="216" spans="5:6" x14ac:dyDescent="0.2">
      <c r="E216" s="3">
        <v>40857</v>
      </c>
      <c r="F216">
        <v>0.91368415000000003</v>
      </c>
    </row>
    <row r="217" spans="5:6" x14ac:dyDescent="0.2">
      <c r="E217" s="3">
        <v>40861</v>
      </c>
      <c r="F217">
        <v>0.91741673999999995</v>
      </c>
    </row>
    <row r="218" spans="5:6" x14ac:dyDescent="0.2">
      <c r="E218" s="3">
        <v>40862</v>
      </c>
      <c r="F218">
        <v>0.89809116</v>
      </c>
    </row>
    <row r="219" spans="5:6" x14ac:dyDescent="0.2">
      <c r="E219" s="3">
        <v>40863</v>
      </c>
      <c r="F219">
        <v>0.93630206999999999</v>
      </c>
    </row>
    <row r="220" spans="5:6" x14ac:dyDescent="0.2">
      <c r="E220" s="3">
        <v>40864</v>
      </c>
      <c r="F220">
        <v>0.95968770000000003</v>
      </c>
    </row>
    <row r="221" spans="5:6" x14ac:dyDescent="0.2">
      <c r="E221" s="3">
        <v>40865</v>
      </c>
      <c r="F221">
        <v>0.92694175999999995</v>
      </c>
    </row>
    <row r="222" spans="5:6" x14ac:dyDescent="0.2">
      <c r="E222" s="3">
        <v>40868</v>
      </c>
      <c r="F222">
        <v>0.95301842999999997</v>
      </c>
    </row>
    <row r="223" spans="5:6" x14ac:dyDescent="0.2">
      <c r="E223" s="3">
        <v>40869</v>
      </c>
      <c r="F223">
        <v>0.96795673000000004</v>
      </c>
    </row>
    <row r="224" spans="5:6" x14ac:dyDescent="0.2">
      <c r="E224" s="3">
        <v>40870</v>
      </c>
      <c r="F224">
        <v>0.96192434999999998</v>
      </c>
    </row>
    <row r="225" spans="5:6" x14ac:dyDescent="0.2">
      <c r="E225" s="3">
        <v>40872</v>
      </c>
      <c r="F225">
        <v>0.91044427000000006</v>
      </c>
    </row>
    <row r="226" spans="5:6" x14ac:dyDescent="0.2">
      <c r="E226" s="3">
        <v>40875</v>
      </c>
      <c r="F226">
        <v>0.93485322999999998</v>
      </c>
    </row>
    <row r="227" spans="5:6" x14ac:dyDescent="0.2">
      <c r="E227" s="3">
        <v>40876</v>
      </c>
      <c r="F227">
        <v>0.94248140999999996</v>
      </c>
    </row>
    <row r="228" spans="5:6" x14ac:dyDescent="0.2">
      <c r="E228" s="3">
        <v>40877</v>
      </c>
      <c r="F228">
        <v>0.94713698999999996</v>
      </c>
    </row>
    <row r="229" spans="5:6" x14ac:dyDescent="0.2">
      <c r="E229" s="3">
        <v>40878</v>
      </c>
      <c r="F229">
        <v>0.90299746999999997</v>
      </c>
    </row>
    <row r="230" spans="5:6" x14ac:dyDescent="0.2">
      <c r="E230" s="3">
        <v>40879</v>
      </c>
      <c r="F230">
        <v>0.94642669999999995</v>
      </c>
    </row>
    <row r="231" spans="5:6" x14ac:dyDescent="0.2">
      <c r="E231" s="3">
        <v>40882</v>
      </c>
      <c r="F231">
        <v>0.94007459000000004</v>
      </c>
    </row>
    <row r="232" spans="5:6" x14ac:dyDescent="0.2">
      <c r="E232" s="3">
        <v>40883</v>
      </c>
      <c r="F232">
        <v>0.93255030000000005</v>
      </c>
    </row>
    <row r="233" spans="5:6" x14ac:dyDescent="0.2">
      <c r="E233" s="3">
        <v>40884</v>
      </c>
      <c r="F233">
        <v>0.95843502000000003</v>
      </c>
    </row>
    <row r="234" spans="5:6" x14ac:dyDescent="0.2">
      <c r="E234" s="3">
        <v>40885</v>
      </c>
      <c r="F234">
        <v>0.96150404</v>
      </c>
    </row>
    <row r="235" spans="5:6" x14ac:dyDescent="0.2">
      <c r="E235" s="3">
        <v>40886</v>
      </c>
      <c r="F235">
        <v>0.93509511000000001</v>
      </c>
    </row>
    <row r="236" spans="5:6" x14ac:dyDescent="0.2">
      <c r="E236" s="3">
        <v>40889</v>
      </c>
      <c r="F236">
        <v>0.94007459000000004</v>
      </c>
    </row>
    <row r="237" spans="5:6" x14ac:dyDescent="0.2">
      <c r="E237" s="3">
        <v>40890</v>
      </c>
      <c r="F237">
        <v>0.95934121999999999</v>
      </c>
    </row>
    <row r="238" spans="5:6" x14ac:dyDescent="0.2">
      <c r="E238" s="3">
        <v>40891</v>
      </c>
      <c r="F238">
        <v>0.96184685999999997</v>
      </c>
    </row>
    <row r="239" spans="5:6" x14ac:dyDescent="0.2">
      <c r="E239" s="3">
        <v>40892</v>
      </c>
      <c r="F239">
        <v>0.95734724999999998</v>
      </c>
    </row>
    <row r="240" spans="5:6" x14ac:dyDescent="0.2">
      <c r="E240" s="3">
        <v>40893</v>
      </c>
      <c r="F240">
        <v>0.96201596</v>
      </c>
    </row>
    <row r="241" spans="5:6" x14ac:dyDescent="0.2">
      <c r="E241" s="3">
        <v>40896</v>
      </c>
      <c r="F241">
        <v>0.96248904999999996</v>
      </c>
    </row>
    <row r="242" spans="5:6" x14ac:dyDescent="0.2">
      <c r="E242" s="3">
        <v>40897</v>
      </c>
      <c r="F242">
        <v>0.94762259999999998</v>
      </c>
    </row>
    <row r="243" spans="5:6" x14ac:dyDescent="0.2">
      <c r="E243" s="3">
        <v>40898</v>
      </c>
      <c r="F243">
        <v>0.93509511000000001</v>
      </c>
    </row>
    <row r="244" spans="5:6" x14ac:dyDescent="0.2">
      <c r="E244" s="3">
        <v>40899</v>
      </c>
      <c r="F244">
        <v>0.94145855000000001</v>
      </c>
    </row>
    <row r="245" spans="5:6" x14ac:dyDescent="0.2">
      <c r="E245" s="3">
        <v>40900</v>
      </c>
      <c r="F245">
        <v>0.88768075999999996</v>
      </c>
    </row>
    <row r="246" spans="5:6" x14ac:dyDescent="0.2">
      <c r="E246" s="3">
        <v>40904</v>
      </c>
      <c r="F246">
        <v>0.90153247000000003</v>
      </c>
    </row>
    <row r="247" spans="5:6" x14ac:dyDescent="0.2">
      <c r="E247" s="3">
        <v>40905</v>
      </c>
      <c r="F247">
        <v>0.96203097000000004</v>
      </c>
    </row>
    <row r="248" spans="5:6" x14ac:dyDescent="0.2">
      <c r="E248" s="3">
        <v>40906</v>
      </c>
      <c r="F248">
        <v>0.96316809000000003</v>
      </c>
    </row>
    <row r="249" spans="5:6" x14ac:dyDescent="0.2">
      <c r="E249" s="3">
        <v>40907</v>
      </c>
      <c r="F249">
        <v>0.96357256000000002</v>
      </c>
    </row>
    <row r="250" spans="5:6" x14ac:dyDescent="0.2">
      <c r="E250" s="3">
        <v>40911</v>
      </c>
      <c r="F250">
        <v>0.95525888999999997</v>
      </c>
    </row>
    <row r="251" spans="5:6" x14ac:dyDescent="0.2">
      <c r="E251" s="3">
        <v>40912</v>
      </c>
      <c r="F251">
        <v>0.94976475000000005</v>
      </c>
    </row>
    <row r="252" spans="5:6" x14ac:dyDescent="0.2">
      <c r="E252" s="3">
        <v>40913</v>
      </c>
      <c r="F252">
        <v>0.95518174</v>
      </c>
    </row>
    <row r="253" spans="5:6" x14ac:dyDescent="0.2">
      <c r="E253" s="3">
        <v>40914</v>
      </c>
      <c r="F253">
        <v>0.95598488999999998</v>
      </c>
    </row>
    <row r="254" spans="5:6" x14ac:dyDescent="0.2">
      <c r="E254" s="3">
        <v>40917</v>
      </c>
      <c r="F254">
        <v>0.95587529999999998</v>
      </c>
    </row>
    <row r="255" spans="5:6" x14ac:dyDescent="0.2">
      <c r="E255" s="3">
        <v>40918</v>
      </c>
      <c r="F255">
        <v>0.95494785000000004</v>
      </c>
    </row>
    <row r="256" spans="5:6" x14ac:dyDescent="0.2">
      <c r="E256" s="3">
        <v>40919</v>
      </c>
      <c r="F256">
        <v>0.95327545000000002</v>
      </c>
    </row>
    <row r="257" spans="5:6" x14ac:dyDescent="0.2">
      <c r="E257" s="3">
        <v>40920</v>
      </c>
      <c r="F257">
        <v>0.95488927999999995</v>
      </c>
    </row>
    <row r="258" spans="5:6" x14ac:dyDescent="0.2">
      <c r="E258" s="3">
        <v>40921</v>
      </c>
      <c r="F258">
        <v>0.95582394000000004</v>
      </c>
    </row>
    <row r="259" spans="5:6" x14ac:dyDescent="0.2">
      <c r="E259" s="3">
        <v>40925</v>
      </c>
      <c r="F259">
        <v>0.95436023999999997</v>
      </c>
    </row>
    <row r="260" spans="5:6" x14ac:dyDescent="0.2">
      <c r="E260" s="3">
        <v>40926</v>
      </c>
      <c r="F260">
        <v>0.93659367999999998</v>
      </c>
    </row>
    <row r="261" spans="5:6" x14ac:dyDescent="0.2">
      <c r="E261" s="3">
        <v>40927</v>
      </c>
      <c r="F261">
        <v>0.89227334999999997</v>
      </c>
    </row>
    <row r="262" spans="5:6" x14ac:dyDescent="0.2">
      <c r="E262" s="3">
        <v>40928</v>
      </c>
      <c r="F262">
        <v>0.88538640000000002</v>
      </c>
    </row>
    <row r="263" spans="5:6" x14ac:dyDescent="0.2">
      <c r="E263" s="3">
        <v>40931</v>
      </c>
      <c r="F263">
        <v>0.88732091000000002</v>
      </c>
    </row>
    <row r="264" spans="5:6" x14ac:dyDescent="0.2">
      <c r="E264" s="3">
        <v>40932</v>
      </c>
      <c r="F264">
        <v>0.89611079000000005</v>
      </c>
    </row>
    <row r="265" spans="5:6" x14ac:dyDescent="0.2">
      <c r="E265" s="3">
        <v>40933</v>
      </c>
      <c r="F265">
        <v>0.94870708999999998</v>
      </c>
    </row>
    <row r="266" spans="5:6" x14ac:dyDescent="0.2">
      <c r="E266" s="3">
        <v>40934</v>
      </c>
      <c r="F266">
        <v>0.95396824999999996</v>
      </c>
    </row>
    <row r="267" spans="5:6" x14ac:dyDescent="0.2">
      <c r="E267" s="3">
        <v>40935</v>
      </c>
      <c r="F267">
        <v>0.95520771000000004</v>
      </c>
    </row>
    <row r="268" spans="5:6" x14ac:dyDescent="0.2">
      <c r="E268" s="3">
        <v>40938</v>
      </c>
      <c r="F268">
        <v>0.95519228</v>
      </c>
    </row>
    <row r="269" spans="5:6" x14ac:dyDescent="0.2">
      <c r="E269" s="3">
        <v>40939</v>
      </c>
      <c r="F269">
        <v>0.95587728000000005</v>
      </c>
    </row>
    <row r="270" spans="5:6" x14ac:dyDescent="0.2">
      <c r="E270" s="3">
        <v>40940</v>
      </c>
      <c r="F270">
        <v>0.94277608000000002</v>
      </c>
    </row>
    <row r="271" spans="5:6" x14ac:dyDescent="0.2">
      <c r="E271" s="3">
        <v>40941</v>
      </c>
      <c r="F271">
        <v>0.94442683999999999</v>
      </c>
    </row>
    <row r="272" spans="5:6" x14ac:dyDescent="0.2">
      <c r="E272" s="3">
        <v>40942</v>
      </c>
      <c r="F272">
        <v>0.94026103000000005</v>
      </c>
    </row>
    <row r="273" spans="5:6" x14ac:dyDescent="0.2">
      <c r="E273" s="3">
        <v>40945</v>
      </c>
      <c r="F273">
        <v>0.94331547000000004</v>
      </c>
    </row>
    <row r="274" spans="5:6" x14ac:dyDescent="0.2">
      <c r="E274" s="3">
        <v>40946</v>
      </c>
      <c r="F274">
        <v>0.94164957999999999</v>
      </c>
    </row>
    <row r="275" spans="5:6" x14ac:dyDescent="0.2">
      <c r="E275" s="3">
        <v>40947</v>
      </c>
      <c r="F275">
        <v>0.94154565999999995</v>
      </c>
    </row>
    <row r="276" spans="5:6" x14ac:dyDescent="0.2">
      <c r="E276" s="3">
        <v>40948</v>
      </c>
      <c r="F276">
        <v>0.91185605000000003</v>
      </c>
    </row>
    <row r="277" spans="5:6" x14ac:dyDescent="0.2">
      <c r="E277" s="3">
        <v>40949</v>
      </c>
      <c r="F277">
        <v>0.93276685999999998</v>
      </c>
    </row>
    <row r="278" spans="5:6" x14ac:dyDescent="0.2">
      <c r="E278" s="3">
        <v>40952</v>
      </c>
      <c r="F278">
        <v>0.92851982</v>
      </c>
    </row>
    <row r="279" spans="5:6" x14ac:dyDescent="0.2">
      <c r="E279" s="3">
        <v>40953</v>
      </c>
      <c r="F279">
        <v>0.94156269999999997</v>
      </c>
    </row>
    <row r="280" spans="5:6" x14ac:dyDescent="0.2">
      <c r="E280" s="3">
        <v>40954</v>
      </c>
      <c r="F280">
        <v>0.94226847000000002</v>
      </c>
    </row>
    <row r="281" spans="5:6" x14ac:dyDescent="0.2">
      <c r="E281" s="3">
        <v>40955</v>
      </c>
      <c r="F281">
        <v>0.93815767000000005</v>
      </c>
    </row>
    <row r="282" spans="5:6" x14ac:dyDescent="0.2">
      <c r="E282" s="3">
        <v>40956</v>
      </c>
      <c r="F282">
        <v>0.91906602999999998</v>
      </c>
    </row>
    <row r="283" spans="5:6" x14ac:dyDescent="0.2">
      <c r="E283" s="3">
        <v>40960</v>
      </c>
      <c r="F283">
        <v>0.87658771000000002</v>
      </c>
    </row>
    <row r="284" spans="5:6" x14ac:dyDescent="0.2">
      <c r="E284" s="3">
        <v>40961</v>
      </c>
      <c r="F284">
        <v>0.90921328999999995</v>
      </c>
    </row>
    <row r="285" spans="5:6" x14ac:dyDescent="0.2">
      <c r="E285" s="3">
        <v>40962</v>
      </c>
      <c r="F285">
        <v>0.93221748000000004</v>
      </c>
    </row>
    <row r="286" spans="5:6" x14ac:dyDescent="0.2">
      <c r="E286" s="3">
        <v>40963</v>
      </c>
      <c r="F286">
        <v>0.92626867999999996</v>
      </c>
    </row>
    <row r="287" spans="5:6" x14ac:dyDescent="0.2">
      <c r="E287" s="3">
        <v>40966</v>
      </c>
      <c r="F287">
        <v>0.93817786999999997</v>
      </c>
    </row>
    <row r="288" spans="5:6" x14ac:dyDescent="0.2">
      <c r="E288" s="3">
        <v>40967</v>
      </c>
      <c r="F288">
        <v>0.93960624999999998</v>
      </c>
    </row>
    <row r="289" spans="5:6" x14ac:dyDescent="0.2">
      <c r="E289" s="3">
        <v>40968</v>
      </c>
      <c r="F289">
        <v>0.91287035999999999</v>
      </c>
    </row>
    <row r="290" spans="5:6" x14ac:dyDescent="0.2">
      <c r="E290" s="3">
        <v>40969</v>
      </c>
      <c r="F290">
        <v>0.85102255000000004</v>
      </c>
    </row>
    <row r="291" spans="5:6" x14ac:dyDescent="0.2">
      <c r="E291" s="3">
        <v>40970</v>
      </c>
      <c r="F291">
        <v>0.88433985999999998</v>
      </c>
    </row>
    <row r="292" spans="5:6" x14ac:dyDescent="0.2">
      <c r="E292" s="3">
        <v>40973</v>
      </c>
      <c r="F292">
        <v>0.87754933999999996</v>
      </c>
    </row>
    <row r="293" spans="5:6" x14ac:dyDescent="0.2">
      <c r="E293" s="3">
        <v>40974</v>
      </c>
      <c r="F293">
        <v>0.90010062000000002</v>
      </c>
    </row>
    <row r="294" spans="5:6" x14ac:dyDescent="0.2">
      <c r="E294" s="3">
        <v>40975</v>
      </c>
      <c r="F294">
        <v>0.91867080999999995</v>
      </c>
    </row>
    <row r="295" spans="5:6" x14ac:dyDescent="0.2">
      <c r="E295" s="3">
        <v>40976</v>
      </c>
      <c r="F295">
        <v>0.90661466999999996</v>
      </c>
    </row>
    <row r="296" spans="5:6" x14ac:dyDescent="0.2">
      <c r="E296" s="3">
        <v>40977</v>
      </c>
      <c r="F296">
        <v>0.91488800000000003</v>
      </c>
    </row>
    <row r="297" spans="5:6" x14ac:dyDescent="0.2">
      <c r="E297" s="3">
        <v>40980</v>
      </c>
      <c r="F297">
        <v>0.91615384</v>
      </c>
    </row>
    <row r="298" spans="5:6" x14ac:dyDescent="0.2">
      <c r="E298" s="3">
        <v>40981</v>
      </c>
      <c r="F298">
        <v>0.86420087999999995</v>
      </c>
    </row>
    <row r="299" spans="5:6" x14ac:dyDescent="0.2">
      <c r="E299" s="3">
        <v>40982</v>
      </c>
      <c r="F299">
        <v>0.77113012000000003</v>
      </c>
    </row>
    <row r="300" spans="5:6" x14ac:dyDescent="0.2">
      <c r="E300" s="3">
        <v>40983</v>
      </c>
      <c r="F300">
        <v>0.77902583999999997</v>
      </c>
    </row>
    <row r="301" spans="5:6" x14ac:dyDescent="0.2">
      <c r="E301" s="3">
        <v>40984</v>
      </c>
      <c r="F301">
        <v>0.80057159</v>
      </c>
    </row>
    <row r="302" spans="5:6" x14ac:dyDescent="0.2">
      <c r="E302" s="3">
        <v>40987</v>
      </c>
      <c r="F302">
        <v>0.74698810999999998</v>
      </c>
    </row>
    <row r="303" spans="5:6" x14ac:dyDescent="0.2">
      <c r="E303" s="3">
        <v>40988</v>
      </c>
      <c r="F303">
        <v>0.74634694000000001</v>
      </c>
    </row>
    <row r="304" spans="5:6" x14ac:dyDescent="0.2">
      <c r="E304" s="3">
        <v>40989</v>
      </c>
      <c r="F304">
        <v>0.80795808999999996</v>
      </c>
    </row>
    <row r="305" spans="5:6" x14ac:dyDescent="0.2">
      <c r="E305" s="3">
        <v>40990</v>
      </c>
      <c r="F305">
        <v>0.80795808999999996</v>
      </c>
    </row>
    <row r="306" spans="5:6" x14ac:dyDescent="0.2">
      <c r="E306" s="3">
        <v>40991</v>
      </c>
      <c r="F306">
        <v>0.8216253</v>
      </c>
    </row>
    <row r="307" spans="5:6" x14ac:dyDescent="0.2">
      <c r="E307" s="3">
        <v>40994</v>
      </c>
      <c r="F307">
        <v>0.83154335000000001</v>
      </c>
    </row>
    <row r="308" spans="5:6" x14ac:dyDescent="0.2">
      <c r="E308" s="3">
        <v>40995</v>
      </c>
      <c r="F308">
        <v>0.89567198000000003</v>
      </c>
    </row>
    <row r="309" spans="5:6" x14ac:dyDescent="0.2">
      <c r="E309" s="3">
        <v>40996</v>
      </c>
      <c r="F309">
        <v>0.90486840999999996</v>
      </c>
    </row>
    <row r="310" spans="5:6" x14ac:dyDescent="0.2">
      <c r="E310" s="3">
        <v>40997</v>
      </c>
      <c r="F310">
        <v>0.91831567999999997</v>
      </c>
    </row>
    <row r="311" spans="5:6" x14ac:dyDescent="0.2">
      <c r="E311" s="3">
        <v>40998</v>
      </c>
      <c r="F311">
        <v>0.89832186999999997</v>
      </c>
    </row>
    <row r="312" spans="5:6" x14ac:dyDescent="0.2">
      <c r="E312" s="3">
        <v>41001</v>
      </c>
      <c r="F312">
        <v>0.89829537000000004</v>
      </c>
    </row>
    <row r="313" spans="5:6" x14ac:dyDescent="0.2">
      <c r="E313" s="3">
        <v>41002</v>
      </c>
      <c r="F313">
        <v>0.80623690999999997</v>
      </c>
    </row>
    <row r="314" spans="5:6" x14ac:dyDescent="0.2">
      <c r="E314" s="3">
        <v>41003</v>
      </c>
      <c r="F314">
        <v>0.84304774000000005</v>
      </c>
    </row>
    <row r="315" spans="5:6" x14ac:dyDescent="0.2">
      <c r="E315" s="3">
        <v>41004</v>
      </c>
      <c r="F315">
        <v>0.88736484000000004</v>
      </c>
    </row>
    <row r="316" spans="5:6" x14ac:dyDescent="0.2">
      <c r="E316" s="3">
        <v>41005</v>
      </c>
      <c r="F316">
        <v>0.9104373</v>
      </c>
    </row>
    <row r="317" spans="5:6" x14ac:dyDescent="0.2">
      <c r="E317" s="3">
        <v>41008</v>
      </c>
      <c r="F317">
        <v>0.91119961999999999</v>
      </c>
    </row>
    <row r="318" spans="5:6" x14ac:dyDescent="0.2">
      <c r="E318" s="3">
        <v>41009</v>
      </c>
      <c r="F318">
        <v>0.91121001999999995</v>
      </c>
    </row>
    <row r="319" spans="5:6" x14ac:dyDescent="0.2">
      <c r="E319" s="3">
        <v>41010</v>
      </c>
      <c r="F319">
        <v>0.90933637</v>
      </c>
    </row>
    <row r="320" spans="5:6" x14ac:dyDescent="0.2">
      <c r="E320" s="3">
        <v>41011</v>
      </c>
      <c r="F320">
        <v>0.90710064000000001</v>
      </c>
    </row>
    <row r="321" spans="5:6" x14ac:dyDescent="0.2">
      <c r="E321" s="3">
        <v>41012</v>
      </c>
      <c r="F321">
        <v>0.90933154999999999</v>
      </c>
    </row>
    <row r="322" spans="5:6" x14ac:dyDescent="0.2">
      <c r="E322" s="3">
        <v>41015</v>
      </c>
      <c r="F322">
        <v>0.90998736000000002</v>
      </c>
    </row>
    <row r="323" spans="5:6" x14ac:dyDescent="0.2">
      <c r="E323" s="3">
        <v>41016</v>
      </c>
      <c r="F323">
        <v>0.90800420000000004</v>
      </c>
    </row>
    <row r="324" spans="5:6" x14ac:dyDescent="0.2">
      <c r="E324" s="3">
        <v>41017</v>
      </c>
      <c r="F324">
        <v>0.90536366999999995</v>
      </c>
    </row>
    <row r="325" spans="5:6" x14ac:dyDescent="0.2">
      <c r="E325" s="3">
        <v>41018</v>
      </c>
      <c r="F325">
        <v>0.90885141000000003</v>
      </c>
    </row>
    <row r="326" spans="5:6" x14ac:dyDescent="0.2">
      <c r="E326" s="3">
        <v>41019</v>
      </c>
      <c r="F326">
        <v>0.90806520999999996</v>
      </c>
    </row>
    <row r="327" spans="5:6" x14ac:dyDescent="0.2">
      <c r="E327" s="3">
        <v>41022</v>
      </c>
      <c r="F327">
        <v>0.90994850999999999</v>
      </c>
    </row>
    <row r="328" spans="5:6" x14ac:dyDescent="0.2">
      <c r="E328" s="3">
        <v>41023</v>
      </c>
      <c r="F328">
        <v>0.90828774000000001</v>
      </c>
    </row>
    <row r="329" spans="5:6" x14ac:dyDescent="0.2">
      <c r="E329" s="3">
        <v>41024</v>
      </c>
      <c r="F329">
        <v>0.90652851000000001</v>
      </c>
    </row>
    <row r="330" spans="5:6" x14ac:dyDescent="0.2">
      <c r="E330" s="3">
        <v>41025</v>
      </c>
      <c r="F330">
        <v>0.90862149000000003</v>
      </c>
    </row>
    <row r="331" spans="5:6" x14ac:dyDescent="0.2">
      <c r="E331" s="3">
        <v>41026</v>
      </c>
      <c r="F331">
        <v>0.90994850999999999</v>
      </c>
    </row>
    <row r="332" spans="5:6" x14ac:dyDescent="0.2">
      <c r="E332" s="3">
        <v>41029</v>
      </c>
      <c r="F332">
        <v>0.91020621000000002</v>
      </c>
    </row>
    <row r="333" spans="5:6" x14ac:dyDescent="0.2">
      <c r="E333" s="3">
        <v>41030</v>
      </c>
      <c r="F333">
        <v>0.89172037999999998</v>
      </c>
    </row>
    <row r="334" spans="5:6" x14ac:dyDescent="0.2">
      <c r="E334" s="3">
        <v>41031</v>
      </c>
      <c r="F334">
        <v>0.89242913999999995</v>
      </c>
    </row>
    <row r="335" spans="5:6" x14ac:dyDescent="0.2">
      <c r="E335" s="3">
        <v>41032</v>
      </c>
      <c r="F335">
        <v>0.89178466999999995</v>
      </c>
    </row>
    <row r="336" spans="5:6" x14ac:dyDescent="0.2">
      <c r="E336" s="3">
        <v>41033</v>
      </c>
      <c r="F336">
        <v>0.89320864</v>
      </c>
    </row>
    <row r="337" spans="5:6" x14ac:dyDescent="0.2">
      <c r="E337" s="3">
        <v>41036</v>
      </c>
      <c r="F337">
        <v>0.89293347999999995</v>
      </c>
    </row>
    <row r="338" spans="5:6" x14ac:dyDescent="0.2">
      <c r="E338" s="3">
        <v>41037</v>
      </c>
      <c r="F338">
        <v>0.89332922000000003</v>
      </c>
    </row>
    <row r="339" spans="5:6" x14ac:dyDescent="0.2">
      <c r="E339" s="3">
        <v>41038</v>
      </c>
      <c r="F339">
        <v>0.89434619999999998</v>
      </c>
    </row>
    <row r="340" spans="5:6" x14ac:dyDescent="0.2">
      <c r="E340" s="3">
        <v>41039</v>
      </c>
      <c r="F340">
        <v>0.89447244000000004</v>
      </c>
    </row>
    <row r="341" spans="5:6" x14ac:dyDescent="0.2">
      <c r="E341" s="3">
        <v>41040</v>
      </c>
      <c r="F341">
        <v>0.89503811</v>
      </c>
    </row>
    <row r="342" spans="5:6" x14ac:dyDescent="0.2">
      <c r="E342" s="3">
        <v>41043</v>
      </c>
      <c r="F342">
        <v>0.89630202000000003</v>
      </c>
    </row>
    <row r="343" spans="5:6" x14ac:dyDescent="0.2">
      <c r="E343" s="3">
        <v>41044</v>
      </c>
      <c r="F343">
        <v>0.89656175000000005</v>
      </c>
    </row>
    <row r="344" spans="5:6" x14ac:dyDescent="0.2">
      <c r="E344" s="3">
        <v>41045</v>
      </c>
      <c r="F344">
        <v>0.89645978000000004</v>
      </c>
    </row>
    <row r="345" spans="5:6" x14ac:dyDescent="0.2">
      <c r="E345" s="3">
        <v>41046</v>
      </c>
      <c r="F345">
        <v>0.90122015</v>
      </c>
    </row>
    <row r="346" spans="5:6" x14ac:dyDescent="0.2">
      <c r="E346" s="3">
        <v>41047</v>
      </c>
      <c r="F346">
        <v>0.90049995000000005</v>
      </c>
    </row>
    <row r="347" spans="5:6" x14ac:dyDescent="0.2">
      <c r="E347" s="3">
        <v>41050</v>
      </c>
      <c r="F347">
        <v>0.89692227999999996</v>
      </c>
    </row>
    <row r="348" spans="5:6" x14ac:dyDescent="0.2">
      <c r="E348" s="3">
        <v>41051</v>
      </c>
      <c r="F348">
        <v>0.89508783999999997</v>
      </c>
    </row>
    <row r="349" spans="5:6" x14ac:dyDescent="0.2">
      <c r="E349" s="3">
        <v>41052</v>
      </c>
      <c r="F349">
        <v>0.89398533999999996</v>
      </c>
    </row>
    <row r="350" spans="5:6" x14ac:dyDescent="0.2">
      <c r="E350" s="3">
        <v>41053</v>
      </c>
      <c r="F350">
        <v>0.89292742000000003</v>
      </c>
    </row>
    <row r="351" spans="5:6" x14ac:dyDescent="0.2">
      <c r="E351" s="3">
        <v>41054</v>
      </c>
      <c r="F351">
        <v>0.89290855000000002</v>
      </c>
    </row>
    <row r="352" spans="5:6" x14ac:dyDescent="0.2">
      <c r="E352" s="3">
        <v>41058</v>
      </c>
      <c r="F352">
        <v>0.89258269999999995</v>
      </c>
    </row>
    <row r="353" spans="5:6" x14ac:dyDescent="0.2">
      <c r="E353" s="3">
        <v>41059</v>
      </c>
      <c r="F353">
        <v>0.89845090000000005</v>
      </c>
    </row>
    <row r="354" spans="5:6" x14ac:dyDescent="0.2">
      <c r="E354" s="3">
        <v>41060</v>
      </c>
      <c r="F354">
        <v>0.90149771000000001</v>
      </c>
    </row>
    <row r="355" spans="5:6" x14ac:dyDescent="0.2">
      <c r="E355" s="3">
        <v>41061</v>
      </c>
      <c r="F355">
        <v>0.95412836999999995</v>
      </c>
    </row>
    <row r="356" spans="5:6" x14ac:dyDescent="0.2">
      <c r="E356" s="3">
        <v>41064</v>
      </c>
      <c r="F356">
        <v>0.89625674</v>
      </c>
    </row>
    <row r="357" spans="5:6" x14ac:dyDescent="0.2">
      <c r="E357" s="3">
        <v>41065</v>
      </c>
      <c r="F357">
        <v>0.88786379000000004</v>
      </c>
    </row>
    <row r="358" spans="5:6" x14ac:dyDescent="0.2">
      <c r="E358" s="3">
        <v>41066</v>
      </c>
      <c r="F358">
        <v>0.88432498999999998</v>
      </c>
    </row>
    <row r="359" spans="5:6" x14ac:dyDescent="0.2">
      <c r="E359" s="3">
        <v>41067</v>
      </c>
      <c r="F359">
        <v>0.88658915999999999</v>
      </c>
    </row>
    <row r="360" spans="5:6" x14ac:dyDescent="0.2">
      <c r="E360" s="3">
        <v>41068</v>
      </c>
      <c r="F360">
        <v>0.88642206999999995</v>
      </c>
    </row>
    <row r="361" spans="5:6" x14ac:dyDescent="0.2">
      <c r="E361" s="3">
        <v>41071</v>
      </c>
      <c r="F361">
        <v>0.89143002999999998</v>
      </c>
    </row>
    <row r="362" spans="5:6" x14ac:dyDescent="0.2">
      <c r="E362" s="3">
        <v>41072</v>
      </c>
      <c r="F362">
        <v>0.88507773000000001</v>
      </c>
    </row>
    <row r="363" spans="5:6" x14ac:dyDescent="0.2">
      <c r="E363" s="3">
        <v>41073</v>
      </c>
      <c r="F363">
        <v>0.88955698999999999</v>
      </c>
    </row>
    <row r="364" spans="5:6" x14ac:dyDescent="0.2">
      <c r="E364" s="3">
        <v>41074</v>
      </c>
      <c r="F364">
        <v>0.89171836999999998</v>
      </c>
    </row>
    <row r="365" spans="5:6" x14ac:dyDescent="0.2">
      <c r="E365" s="3">
        <v>41075</v>
      </c>
      <c r="F365">
        <v>0.89594238999999998</v>
      </c>
    </row>
    <row r="366" spans="5:6" x14ac:dyDescent="0.2">
      <c r="E366" s="3">
        <v>41078</v>
      </c>
      <c r="F366">
        <v>0.90129705000000004</v>
      </c>
    </row>
    <row r="367" spans="5:6" x14ac:dyDescent="0.2">
      <c r="E367" s="3">
        <v>41079</v>
      </c>
      <c r="F367">
        <v>0.90024616000000002</v>
      </c>
    </row>
    <row r="368" spans="5:6" x14ac:dyDescent="0.2">
      <c r="E368" s="3">
        <v>41080</v>
      </c>
      <c r="F368">
        <v>0.89007672000000004</v>
      </c>
    </row>
    <row r="369" spans="5:6" x14ac:dyDescent="0.2">
      <c r="E369" s="3">
        <v>41081</v>
      </c>
      <c r="F369">
        <v>0.89465777999999996</v>
      </c>
    </row>
    <row r="370" spans="5:6" x14ac:dyDescent="0.2">
      <c r="E370" s="3">
        <v>41082</v>
      </c>
      <c r="F370">
        <v>0.88643691000000002</v>
      </c>
    </row>
    <row r="371" spans="5:6" x14ac:dyDescent="0.2">
      <c r="E371" s="3">
        <v>41085</v>
      </c>
      <c r="F371">
        <v>0.90621494000000002</v>
      </c>
    </row>
    <row r="372" spans="5:6" x14ac:dyDescent="0.2">
      <c r="E372" s="3">
        <v>41086</v>
      </c>
      <c r="F372">
        <v>0.89395577999999998</v>
      </c>
    </row>
    <row r="373" spans="5:6" x14ac:dyDescent="0.2">
      <c r="E373" s="3">
        <v>41087</v>
      </c>
      <c r="F373">
        <v>0.90152438999999995</v>
      </c>
    </row>
    <row r="374" spans="5:6" x14ac:dyDescent="0.2">
      <c r="E374" s="3">
        <v>41088</v>
      </c>
      <c r="F374">
        <v>0.91764312000000003</v>
      </c>
    </row>
    <row r="375" spans="5:6" x14ac:dyDescent="0.2">
      <c r="E375" s="3">
        <v>41089</v>
      </c>
      <c r="F375">
        <v>0.89196945999999999</v>
      </c>
    </row>
    <row r="376" spans="5:6" x14ac:dyDescent="0.2">
      <c r="E376" s="3">
        <v>41092</v>
      </c>
      <c r="F376">
        <v>0.90455958999999997</v>
      </c>
    </row>
    <row r="377" spans="5:6" x14ac:dyDescent="0.2">
      <c r="E377" s="3">
        <v>41093</v>
      </c>
      <c r="F377">
        <v>0.87981558999999998</v>
      </c>
    </row>
    <row r="378" spans="5:6" x14ac:dyDescent="0.2">
      <c r="E378" s="3">
        <v>41095</v>
      </c>
      <c r="F378">
        <v>0.88929053000000002</v>
      </c>
    </row>
    <row r="379" spans="5:6" x14ac:dyDescent="0.2">
      <c r="E379" s="3">
        <v>41096</v>
      </c>
      <c r="F379">
        <v>0.95815527</v>
      </c>
    </row>
    <row r="380" spans="5:6" x14ac:dyDescent="0.2">
      <c r="E380" s="3">
        <v>41099</v>
      </c>
      <c r="F380">
        <v>0.97662514</v>
      </c>
    </row>
    <row r="381" spans="5:6" x14ac:dyDescent="0.2">
      <c r="E381" s="3">
        <v>41100</v>
      </c>
      <c r="F381">
        <v>0.98419075</v>
      </c>
    </row>
    <row r="382" spans="5:6" x14ac:dyDescent="0.2">
      <c r="E382" s="3">
        <v>41101</v>
      </c>
      <c r="F382">
        <v>0.97879925999999995</v>
      </c>
    </row>
    <row r="383" spans="5:6" x14ac:dyDescent="0.2">
      <c r="E383" s="3">
        <v>41102</v>
      </c>
      <c r="F383">
        <v>0.98075705000000002</v>
      </c>
    </row>
    <row r="384" spans="5:6" x14ac:dyDescent="0.2">
      <c r="E384" s="3">
        <v>41103</v>
      </c>
      <c r="F384">
        <v>0.95144748999999995</v>
      </c>
    </row>
    <row r="385" spans="5:6" x14ac:dyDescent="0.2">
      <c r="E385" s="3">
        <v>41106</v>
      </c>
      <c r="F385">
        <v>0.98415346000000004</v>
      </c>
    </row>
    <row r="386" spans="5:6" x14ac:dyDescent="0.2">
      <c r="E386" s="3">
        <v>41107</v>
      </c>
      <c r="F386">
        <v>0.97010662999999997</v>
      </c>
    </row>
    <row r="387" spans="5:6" x14ac:dyDescent="0.2">
      <c r="E387" s="3">
        <v>41108</v>
      </c>
      <c r="F387">
        <v>0.98441588000000002</v>
      </c>
    </row>
    <row r="388" spans="5:6" x14ac:dyDescent="0.2">
      <c r="E388" s="3">
        <v>41109</v>
      </c>
      <c r="F388">
        <v>0.97879925999999995</v>
      </c>
    </row>
    <row r="389" spans="5:6" x14ac:dyDescent="0.2">
      <c r="E389" s="3">
        <v>41110</v>
      </c>
      <c r="F389">
        <v>0.98785926000000002</v>
      </c>
    </row>
    <row r="390" spans="5:6" x14ac:dyDescent="0.2">
      <c r="E390" s="3">
        <v>41113</v>
      </c>
      <c r="F390">
        <v>0.98850773000000003</v>
      </c>
    </row>
    <row r="391" spans="5:6" x14ac:dyDescent="0.2">
      <c r="E391" s="3">
        <v>41114</v>
      </c>
      <c r="F391">
        <v>0.98959233999999996</v>
      </c>
    </row>
    <row r="392" spans="5:6" x14ac:dyDescent="0.2">
      <c r="E392" s="3">
        <v>41115</v>
      </c>
      <c r="F392">
        <v>0.98728897999999998</v>
      </c>
    </row>
    <row r="393" spans="5:6" x14ac:dyDescent="0.2">
      <c r="E393" s="3">
        <v>41116</v>
      </c>
      <c r="F393">
        <v>0.98586468999999999</v>
      </c>
    </row>
    <row r="394" spans="5:6" x14ac:dyDescent="0.2">
      <c r="E394" s="3">
        <v>41117</v>
      </c>
      <c r="F394">
        <v>0.87809594999999996</v>
      </c>
    </row>
    <row r="395" spans="5:6" x14ac:dyDescent="0.2">
      <c r="E395" s="3">
        <v>41120</v>
      </c>
      <c r="F395">
        <v>0.97455305999999997</v>
      </c>
    </row>
    <row r="396" spans="5:6" x14ac:dyDescent="0.2">
      <c r="E396" s="3">
        <v>41121</v>
      </c>
      <c r="F396">
        <v>0.98007849999999996</v>
      </c>
    </row>
    <row r="397" spans="5:6" x14ac:dyDescent="0.2">
      <c r="E397" s="3">
        <v>41122</v>
      </c>
      <c r="F397">
        <v>0.92603561999999995</v>
      </c>
    </row>
    <row r="398" spans="5:6" x14ac:dyDescent="0.2">
      <c r="E398" s="3">
        <v>41123</v>
      </c>
      <c r="F398">
        <v>0.95403947</v>
      </c>
    </row>
    <row r="399" spans="5:6" x14ac:dyDescent="0.2">
      <c r="E399" s="3">
        <v>41124</v>
      </c>
      <c r="F399">
        <v>0.87064797000000005</v>
      </c>
    </row>
    <row r="400" spans="5:6" x14ac:dyDescent="0.2">
      <c r="E400" s="3">
        <v>41127</v>
      </c>
      <c r="F400">
        <v>0.87914780000000003</v>
      </c>
    </row>
    <row r="401" spans="5:6" x14ac:dyDescent="0.2">
      <c r="E401" s="3">
        <v>41128</v>
      </c>
      <c r="F401">
        <v>0.85676613000000001</v>
      </c>
    </row>
    <row r="402" spans="5:6" x14ac:dyDescent="0.2">
      <c r="E402" s="3">
        <v>41129</v>
      </c>
      <c r="F402">
        <v>0.88188845000000005</v>
      </c>
    </row>
    <row r="403" spans="5:6" x14ac:dyDescent="0.2">
      <c r="E403" s="3">
        <v>41130</v>
      </c>
      <c r="F403">
        <v>0.87997017</v>
      </c>
    </row>
    <row r="404" spans="5:6" x14ac:dyDescent="0.2">
      <c r="E404" s="3">
        <v>41131</v>
      </c>
      <c r="F404">
        <v>0.90059957999999996</v>
      </c>
    </row>
    <row r="405" spans="5:6" x14ac:dyDescent="0.2">
      <c r="E405" s="3">
        <v>41134</v>
      </c>
      <c r="F405">
        <v>0.90519167</v>
      </c>
    </row>
    <row r="406" spans="5:6" x14ac:dyDescent="0.2">
      <c r="E406" s="3">
        <v>41135</v>
      </c>
      <c r="F406">
        <v>0.85987332000000005</v>
      </c>
    </row>
    <row r="407" spans="5:6" x14ac:dyDescent="0.2">
      <c r="E407" s="3">
        <v>41136</v>
      </c>
      <c r="F407">
        <v>0.84554792000000001</v>
      </c>
    </row>
    <row r="408" spans="5:6" x14ac:dyDescent="0.2">
      <c r="E408" s="3">
        <v>41137</v>
      </c>
      <c r="F408">
        <v>0.84291780999999999</v>
      </c>
    </row>
    <row r="409" spans="5:6" x14ac:dyDescent="0.2">
      <c r="E409" s="3">
        <v>41138</v>
      </c>
      <c r="F409">
        <v>0.84552031000000005</v>
      </c>
    </row>
    <row r="410" spans="5:6" x14ac:dyDescent="0.2">
      <c r="E410" s="3">
        <v>41141</v>
      </c>
      <c r="F410">
        <v>0.84702736999999995</v>
      </c>
    </row>
    <row r="411" spans="5:6" x14ac:dyDescent="0.2">
      <c r="E411" s="3">
        <v>41142</v>
      </c>
      <c r="F411">
        <v>0.84653082999999996</v>
      </c>
    </row>
    <row r="412" spans="5:6" x14ac:dyDescent="0.2">
      <c r="E412" s="3">
        <v>41143</v>
      </c>
      <c r="F412">
        <v>0.92849970000000004</v>
      </c>
    </row>
    <row r="413" spans="5:6" x14ac:dyDescent="0.2">
      <c r="E413" s="3">
        <v>41144</v>
      </c>
      <c r="F413">
        <v>0.97284862999999999</v>
      </c>
    </row>
    <row r="414" spans="5:6" x14ac:dyDescent="0.2">
      <c r="E414" s="3">
        <v>41145</v>
      </c>
      <c r="F414">
        <v>0.96075451000000001</v>
      </c>
    </row>
    <row r="415" spans="5:6" x14ac:dyDescent="0.2">
      <c r="E415" s="3">
        <v>41148</v>
      </c>
      <c r="F415">
        <v>0.97332927999999996</v>
      </c>
    </row>
    <row r="416" spans="5:6" x14ac:dyDescent="0.2">
      <c r="E416" s="3">
        <v>41149</v>
      </c>
      <c r="F416">
        <v>0.97623548000000004</v>
      </c>
    </row>
    <row r="417" spans="5:6" x14ac:dyDescent="0.2">
      <c r="E417" s="3">
        <v>41150</v>
      </c>
      <c r="F417">
        <v>0.89613767</v>
      </c>
    </row>
    <row r="418" spans="5:6" x14ac:dyDescent="0.2">
      <c r="E418" s="3">
        <v>41151</v>
      </c>
      <c r="F418">
        <v>0.93752537999999996</v>
      </c>
    </row>
    <row r="419" spans="5:6" x14ac:dyDescent="0.2">
      <c r="E419" s="3">
        <v>41152</v>
      </c>
      <c r="F419">
        <v>0.97362866999999997</v>
      </c>
    </row>
    <row r="420" spans="5:6" x14ac:dyDescent="0.2">
      <c r="E420" s="3">
        <v>41156</v>
      </c>
      <c r="F420">
        <v>0.95103079999999995</v>
      </c>
    </row>
    <row r="421" spans="5:6" x14ac:dyDescent="0.2">
      <c r="E421" s="3">
        <v>41157</v>
      </c>
      <c r="F421">
        <v>0.91761037000000001</v>
      </c>
    </row>
    <row r="422" spans="5:6" x14ac:dyDescent="0.2">
      <c r="E422" s="3">
        <v>41158</v>
      </c>
      <c r="F422">
        <v>0.85375016000000004</v>
      </c>
    </row>
    <row r="423" spans="5:6" x14ac:dyDescent="0.2">
      <c r="E423" s="3">
        <v>41159</v>
      </c>
      <c r="F423">
        <v>0.93681486000000003</v>
      </c>
    </row>
    <row r="424" spans="5:6" x14ac:dyDescent="0.2">
      <c r="E424" s="3">
        <v>41162</v>
      </c>
      <c r="F424">
        <v>0.93394480999999996</v>
      </c>
    </row>
    <row r="425" spans="5:6" x14ac:dyDescent="0.2">
      <c r="E425" s="3">
        <v>41163</v>
      </c>
      <c r="F425">
        <v>0.91912300000000002</v>
      </c>
    </row>
    <row r="426" spans="5:6" x14ac:dyDescent="0.2">
      <c r="E426" s="3">
        <v>41164</v>
      </c>
      <c r="F426">
        <v>0.91912300000000002</v>
      </c>
    </row>
    <row r="427" spans="5:6" x14ac:dyDescent="0.2">
      <c r="E427" s="3">
        <v>41165</v>
      </c>
      <c r="F427">
        <v>0.96609250999999996</v>
      </c>
    </row>
    <row r="428" spans="5:6" x14ac:dyDescent="0.2">
      <c r="E428" s="3">
        <v>41166</v>
      </c>
      <c r="F428">
        <v>0.96376908999999999</v>
      </c>
    </row>
    <row r="429" spans="5:6" x14ac:dyDescent="0.2">
      <c r="E429" s="3">
        <v>41169</v>
      </c>
      <c r="F429">
        <v>0.96360314999999996</v>
      </c>
    </row>
    <row r="430" spans="5:6" x14ac:dyDescent="0.2">
      <c r="E430" s="3">
        <v>41170</v>
      </c>
      <c r="F430">
        <v>0.96375869999999997</v>
      </c>
    </row>
    <row r="431" spans="5:6" x14ac:dyDescent="0.2">
      <c r="E431" s="3">
        <v>41171</v>
      </c>
      <c r="F431">
        <v>0.96309924999999996</v>
      </c>
    </row>
    <row r="432" spans="5:6" x14ac:dyDescent="0.2">
      <c r="E432" s="3">
        <v>41172</v>
      </c>
      <c r="F432">
        <v>0.96376908999999999</v>
      </c>
    </row>
    <row r="433" spans="5:6" x14ac:dyDescent="0.2">
      <c r="E433" s="3">
        <v>41173</v>
      </c>
      <c r="F433">
        <v>0.96624732000000002</v>
      </c>
    </row>
    <row r="434" spans="5:6" x14ac:dyDescent="0.2">
      <c r="E434" s="3">
        <v>41176</v>
      </c>
      <c r="F434">
        <v>0.97373162000000002</v>
      </c>
    </row>
    <row r="435" spans="5:6" x14ac:dyDescent="0.2">
      <c r="E435" s="3">
        <v>41177</v>
      </c>
      <c r="F435">
        <v>0.98245824000000004</v>
      </c>
    </row>
    <row r="436" spans="5:6" x14ac:dyDescent="0.2">
      <c r="E436" s="3">
        <v>41178</v>
      </c>
      <c r="F436">
        <v>0.96777427999999999</v>
      </c>
    </row>
    <row r="437" spans="5:6" x14ac:dyDescent="0.2">
      <c r="E437" s="3">
        <v>41179</v>
      </c>
      <c r="F437">
        <v>0.96460067999999999</v>
      </c>
    </row>
    <row r="438" spans="5:6" x14ac:dyDescent="0.2">
      <c r="E438" s="3">
        <v>41180</v>
      </c>
      <c r="F438">
        <v>0.96488792999999995</v>
      </c>
    </row>
    <row r="439" spans="5:6" x14ac:dyDescent="0.2">
      <c r="E439" s="3">
        <v>41183</v>
      </c>
      <c r="F439">
        <v>0.95609193999999997</v>
      </c>
    </row>
    <row r="440" spans="5:6" x14ac:dyDescent="0.2">
      <c r="E440" s="3">
        <v>41184</v>
      </c>
      <c r="F440">
        <v>0.97003647000000004</v>
      </c>
    </row>
    <row r="441" spans="5:6" x14ac:dyDescent="0.2">
      <c r="E441" s="3">
        <v>41185</v>
      </c>
      <c r="F441">
        <v>0.95493826999999998</v>
      </c>
    </row>
    <row r="442" spans="5:6" x14ac:dyDescent="0.2">
      <c r="E442" s="3">
        <v>41186</v>
      </c>
      <c r="F442">
        <v>0.95072444</v>
      </c>
    </row>
    <row r="443" spans="5:6" x14ac:dyDescent="0.2">
      <c r="E443" s="3">
        <v>41187</v>
      </c>
      <c r="F443">
        <v>0.94919237000000001</v>
      </c>
    </row>
    <row r="444" spans="5:6" x14ac:dyDescent="0.2">
      <c r="E444" s="3">
        <v>41191</v>
      </c>
      <c r="F444">
        <v>0.94675193999999996</v>
      </c>
    </row>
    <row r="445" spans="5:6" x14ac:dyDescent="0.2">
      <c r="E445" s="3">
        <v>41192</v>
      </c>
      <c r="F445">
        <v>0.95291117000000003</v>
      </c>
    </row>
    <row r="446" spans="5:6" x14ac:dyDescent="0.2">
      <c r="E446" s="3">
        <v>41193</v>
      </c>
      <c r="F446">
        <v>0.95398616999999997</v>
      </c>
    </row>
    <row r="447" spans="5:6" x14ac:dyDescent="0.2">
      <c r="E447" s="3">
        <v>41194</v>
      </c>
      <c r="F447">
        <v>0.95492847000000003</v>
      </c>
    </row>
    <row r="448" spans="5:6" x14ac:dyDescent="0.2">
      <c r="E448" s="3">
        <v>41197</v>
      </c>
      <c r="F448">
        <v>0.95308886000000004</v>
      </c>
    </row>
    <row r="449" spans="5:6" x14ac:dyDescent="0.2">
      <c r="E449" s="3">
        <v>41198</v>
      </c>
      <c r="F449">
        <v>0.95139426999999999</v>
      </c>
    </row>
    <row r="450" spans="5:6" x14ac:dyDescent="0.2">
      <c r="E450" s="3">
        <v>41199</v>
      </c>
      <c r="F450">
        <v>0.93914913</v>
      </c>
    </row>
    <row r="451" spans="5:6" x14ac:dyDescent="0.2">
      <c r="E451" s="3">
        <v>41200</v>
      </c>
      <c r="F451">
        <v>0.91462215999999996</v>
      </c>
    </row>
    <row r="452" spans="5:6" x14ac:dyDescent="0.2">
      <c r="E452" s="3">
        <v>41201</v>
      </c>
      <c r="F452">
        <v>0.94491190999999997</v>
      </c>
    </row>
    <row r="453" spans="5:6" x14ac:dyDescent="0.2">
      <c r="E453" s="3">
        <v>41204</v>
      </c>
      <c r="F453">
        <v>0.93645276</v>
      </c>
    </row>
    <row r="454" spans="5:6" x14ac:dyDescent="0.2">
      <c r="E454" s="3">
        <v>41205</v>
      </c>
      <c r="F454">
        <v>0.94267858999999998</v>
      </c>
    </row>
    <row r="455" spans="5:6" x14ac:dyDescent="0.2">
      <c r="E455" s="3">
        <v>41206</v>
      </c>
      <c r="F455">
        <v>0.95035082999999998</v>
      </c>
    </row>
    <row r="456" spans="5:6" x14ac:dyDescent="0.2">
      <c r="E456" s="3">
        <v>41207</v>
      </c>
      <c r="F456">
        <v>0.94293229999999995</v>
      </c>
    </row>
    <row r="457" spans="5:6" x14ac:dyDescent="0.2">
      <c r="E457" s="3">
        <v>41208</v>
      </c>
      <c r="F457">
        <v>0.95078607000000004</v>
      </c>
    </row>
    <row r="458" spans="5:6" x14ac:dyDescent="0.2">
      <c r="E458" s="3">
        <v>41211</v>
      </c>
      <c r="F458">
        <v>0.95225641000000005</v>
      </c>
    </row>
    <row r="459" spans="5:6" x14ac:dyDescent="0.2">
      <c r="E459" s="3">
        <v>41213</v>
      </c>
      <c r="F459">
        <v>0.95372451000000003</v>
      </c>
    </row>
    <row r="460" spans="5:6" x14ac:dyDescent="0.2">
      <c r="E460" s="3">
        <v>41214</v>
      </c>
      <c r="F460">
        <v>0.92433999</v>
      </c>
    </row>
    <row r="461" spans="5:6" x14ac:dyDescent="0.2">
      <c r="E461" s="3">
        <v>41215</v>
      </c>
      <c r="F461">
        <v>0.92607404999999998</v>
      </c>
    </row>
    <row r="462" spans="5:6" x14ac:dyDescent="0.2">
      <c r="E462" s="3">
        <v>41218</v>
      </c>
      <c r="F462">
        <v>0.92775901999999999</v>
      </c>
    </row>
    <row r="463" spans="5:6" x14ac:dyDescent="0.2">
      <c r="E463" s="3">
        <v>41219</v>
      </c>
      <c r="F463">
        <v>0.92380282000000002</v>
      </c>
    </row>
    <row r="464" spans="5:6" x14ac:dyDescent="0.2">
      <c r="E464" s="3">
        <v>41220</v>
      </c>
      <c r="F464">
        <v>0.93010998</v>
      </c>
    </row>
    <row r="465" spans="5:6" x14ac:dyDescent="0.2">
      <c r="E465" s="3">
        <v>41221</v>
      </c>
      <c r="F465">
        <v>0.93733515999999995</v>
      </c>
    </row>
    <row r="466" spans="5:6" x14ac:dyDescent="0.2">
      <c r="E466" s="3">
        <v>41222</v>
      </c>
      <c r="F466">
        <v>0.93539373000000003</v>
      </c>
    </row>
    <row r="467" spans="5:6" x14ac:dyDescent="0.2">
      <c r="E467" s="3">
        <v>41226</v>
      </c>
      <c r="F467">
        <v>0.93089803000000004</v>
      </c>
    </row>
    <row r="468" spans="5:6" x14ac:dyDescent="0.2">
      <c r="E468" s="3">
        <v>41227</v>
      </c>
      <c r="F468">
        <v>0.92562493000000001</v>
      </c>
    </row>
    <row r="469" spans="5:6" x14ac:dyDescent="0.2">
      <c r="E469" s="3">
        <v>41228</v>
      </c>
      <c r="F469">
        <v>0.92732130000000002</v>
      </c>
    </row>
    <row r="470" spans="5:6" x14ac:dyDescent="0.2">
      <c r="E470" s="3">
        <v>41229</v>
      </c>
      <c r="F470">
        <v>0.93163985000000005</v>
      </c>
    </row>
    <row r="471" spans="5:6" x14ac:dyDescent="0.2">
      <c r="E471" s="3">
        <v>41232</v>
      </c>
      <c r="F471">
        <v>0.92854455999999996</v>
      </c>
    </row>
    <row r="472" spans="5:6" x14ac:dyDescent="0.2">
      <c r="E472" s="3">
        <v>41233</v>
      </c>
      <c r="F472">
        <v>0.92526991000000003</v>
      </c>
    </row>
    <row r="473" spans="5:6" x14ac:dyDescent="0.2">
      <c r="E473" s="3">
        <v>41234</v>
      </c>
      <c r="F473">
        <v>0.92549680000000001</v>
      </c>
    </row>
    <row r="474" spans="5:6" x14ac:dyDescent="0.2">
      <c r="E474" s="3">
        <v>41236</v>
      </c>
      <c r="F474">
        <v>0.92490912999999997</v>
      </c>
    </row>
    <row r="475" spans="5:6" x14ac:dyDescent="0.2">
      <c r="E475" s="3">
        <v>41239</v>
      </c>
      <c r="F475">
        <v>0.92791716999999996</v>
      </c>
    </row>
    <row r="476" spans="5:6" x14ac:dyDescent="0.2">
      <c r="E476" s="3">
        <v>41240</v>
      </c>
      <c r="F476">
        <v>0.94132097000000003</v>
      </c>
    </row>
    <row r="477" spans="5:6" x14ac:dyDescent="0.2">
      <c r="E477" s="3">
        <v>41241</v>
      </c>
      <c r="F477">
        <v>0.93272887999999998</v>
      </c>
    </row>
    <row r="478" spans="5:6" x14ac:dyDescent="0.2">
      <c r="E478" s="3">
        <v>41242</v>
      </c>
      <c r="F478">
        <v>0.92988565999999995</v>
      </c>
    </row>
    <row r="479" spans="5:6" x14ac:dyDescent="0.2">
      <c r="E479" s="3">
        <v>41243</v>
      </c>
      <c r="F479">
        <v>0.92988565999999995</v>
      </c>
    </row>
    <row r="480" spans="5:6" x14ac:dyDescent="0.2">
      <c r="E480" s="3">
        <v>41246</v>
      </c>
      <c r="F480">
        <v>0.91182074000000002</v>
      </c>
    </row>
    <row r="481" spans="5:6" x14ac:dyDescent="0.2">
      <c r="E481" s="3">
        <v>41247</v>
      </c>
      <c r="F481">
        <v>0.91340927999999999</v>
      </c>
    </row>
    <row r="482" spans="5:6" x14ac:dyDescent="0.2">
      <c r="E482" s="3">
        <v>41248</v>
      </c>
      <c r="F482">
        <v>0.91038313999999998</v>
      </c>
    </row>
    <row r="483" spans="5:6" x14ac:dyDescent="0.2">
      <c r="E483" s="3">
        <v>41249</v>
      </c>
      <c r="F483">
        <v>0.90949672000000004</v>
      </c>
    </row>
    <row r="484" spans="5:6" x14ac:dyDescent="0.2">
      <c r="E484" s="3">
        <v>41250</v>
      </c>
      <c r="F484">
        <v>0.90648165999999997</v>
      </c>
    </row>
    <row r="485" spans="5:6" x14ac:dyDescent="0.2">
      <c r="E485" s="3">
        <v>41253</v>
      </c>
      <c r="F485">
        <v>0.90822765000000005</v>
      </c>
    </row>
    <row r="486" spans="5:6" x14ac:dyDescent="0.2">
      <c r="E486" s="3">
        <v>41254</v>
      </c>
      <c r="F486">
        <v>0.90824320000000003</v>
      </c>
    </row>
    <row r="487" spans="5:6" x14ac:dyDescent="0.2">
      <c r="E487" s="3">
        <v>41255</v>
      </c>
      <c r="F487">
        <v>0.91013454000000005</v>
      </c>
    </row>
    <row r="488" spans="5:6" x14ac:dyDescent="0.2">
      <c r="E488" s="3">
        <v>41256</v>
      </c>
      <c r="F488">
        <v>0.90995208000000005</v>
      </c>
    </row>
    <row r="489" spans="5:6" x14ac:dyDescent="0.2">
      <c r="E489" s="3">
        <v>41257</v>
      </c>
      <c r="F489">
        <v>0.91004114000000003</v>
      </c>
    </row>
    <row r="490" spans="5:6" x14ac:dyDescent="0.2">
      <c r="E490" s="3">
        <v>41260</v>
      </c>
      <c r="F490">
        <v>0.90980081999999995</v>
      </c>
    </row>
    <row r="491" spans="5:6" x14ac:dyDescent="0.2">
      <c r="E491" s="3">
        <v>41261</v>
      </c>
      <c r="F491">
        <v>0.90632723999999998</v>
      </c>
    </row>
    <row r="492" spans="5:6" x14ac:dyDescent="0.2">
      <c r="E492" s="3">
        <v>41262</v>
      </c>
      <c r="F492">
        <v>0.90929634999999998</v>
      </c>
    </row>
    <row r="493" spans="5:6" x14ac:dyDescent="0.2">
      <c r="E493" s="3">
        <v>41263</v>
      </c>
      <c r="F493">
        <v>0.90996273999999999</v>
      </c>
    </row>
    <row r="494" spans="5:6" x14ac:dyDescent="0.2">
      <c r="E494" s="3">
        <v>41264</v>
      </c>
      <c r="F494">
        <v>0.91263181000000004</v>
      </c>
    </row>
    <row r="495" spans="5:6" x14ac:dyDescent="0.2">
      <c r="E495" s="3">
        <v>41267</v>
      </c>
      <c r="F495">
        <v>0.91023827000000002</v>
      </c>
    </row>
    <row r="496" spans="5:6" x14ac:dyDescent="0.2">
      <c r="E496" s="3">
        <v>41269</v>
      </c>
      <c r="F496">
        <v>0.91054997000000004</v>
      </c>
    </row>
    <row r="497" spans="5:6" x14ac:dyDescent="0.2">
      <c r="E497" s="3">
        <v>41270</v>
      </c>
      <c r="F497">
        <v>0.91356859000000001</v>
      </c>
    </row>
    <row r="498" spans="5:6" x14ac:dyDescent="0.2">
      <c r="E498" s="3">
        <v>41271</v>
      </c>
      <c r="F498">
        <v>0.91245498999999997</v>
      </c>
    </row>
    <row r="499" spans="5:6" x14ac:dyDescent="0.2">
      <c r="E499" s="3">
        <v>41274</v>
      </c>
      <c r="F499">
        <v>0.91103829999999997</v>
      </c>
    </row>
    <row r="500" spans="5:6" x14ac:dyDescent="0.2">
      <c r="E500" s="3">
        <v>41276</v>
      </c>
      <c r="F500">
        <v>0.88507237000000005</v>
      </c>
    </row>
    <row r="501" spans="5:6" x14ac:dyDescent="0.2">
      <c r="E501" s="3">
        <v>41277</v>
      </c>
      <c r="F501">
        <v>0.85458392999999999</v>
      </c>
    </row>
    <row r="502" spans="5:6" x14ac:dyDescent="0.2">
      <c r="E502" s="3">
        <v>41278</v>
      </c>
      <c r="F502">
        <v>0.83571636000000005</v>
      </c>
    </row>
    <row r="503" spans="5:6" x14ac:dyDescent="0.2">
      <c r="E503" s="3">
        <v>41281</v>
      </c>
      <c r="F503">
        <v>0.86736603000000001</v>
      </c>
    </row>
    <row r="504" spans="5:6" x14ac:dyDescent="0.2">
      <c r="E504" s="3">
        <v>41282</v>
      </c>
      <c r="F504">
        <v>0.87519625000000001</v>
      </c>
    </row>
    <row r="505" spans="5:6" x14ac:dyDescent="0.2">
      <c r="E505" s="3">
        <v>41283</v>
      </c>
      <c r="F505">
        <v>0.88797930000000003</v>
      </c>
    </row>
    <row r="506" spans="5:6" x14ac:dyDescent="0.2">
      <c r="E506" s="3">
        <v>41284</v>
      </c>
      <c r="F506">
        <v>0.88539641000000002</v>
      </c>
    </row>
    <row r="507" spans="5:6" x14ac:dyDescent="0.2">
      <c r="E507" s="3">
        <v>41285</v>
      </c>
      <c r="F507">
        <v>0.88689883999999997</v>
      </c>
    </row>
    <row r="508" spans="5:6" x14ac:dyDescent="0.2">
      <c r="E508" s="3">
        <v>41288</v>
      </c>
      <c r="F508">
        <v>0.88696178000000003</v>
      </c>
    </row>
    <row r="509" spans="5:6" x14ac:dyDescent="0.2">
      <c r="E509" s="3">
        <v>41289</v>
      </c>
      <c r="F509">
        <v>0.88589474999999995</v>
      </c>
    </row>
    <row r="510" spans="5:6" x14ac:dyDescent="0.2">
      <c r="E510" s="3">
        <v>41290</v>
      </c>
      <c r="F510">
        <v>0.88589474999999995</v>
      </c>
    </row>
    <row r="511" spans="5:6" x14ac:dyDescent="0.2">
      <c r="E511" s="3">
        <v>41291</v>
      </c>
      <c r="F511">
        <v>0.87804391999999998</v>
      </c>
    </row>
    <row r="512" spans="5:6" x14ac:dyDescent="0.2">
      <c r="E512" s="3">
        <v>41292</v>
      </c>
      <c r="F512">
        <v>0.88249445999999998</v>
      </c>
    </row>
    <row r="513" spans="5:6" x14ac:dyDescent="0.2">
      <c r="E513" s="3">
        <v>41296</v>
      </c>
      <c r="F513">
        <v>0.88215476000000004</v>
      </c>
    </row>
    <row r="514" spans="5:6" x14ac:dyDescent="0.2">
      <c r="E514" s="3">
        <v>41297</v>
      </c>
      <c r="F514">
        <v>0.88439003000000005</v>
      </c>
    </row>
    <row r="515" spans="5:6" x14ac:dyDescent="0.2">
      <c r="E515" s="3">
        <v>41298</v>
      </c>
      <c r="F515">
        <v>0.88296931999999995</v>
      </c>
    </row>
    <row r="516" spans="5:6" x14ac:dyDescent="0.2">
      <c r="E516" s="3">
        <v>41299</v>
      </c>
      <c r="F516">
        <v>0.80504880000000001</v>
      </c>
    </row>
    <row r="517" spans="5:6" x14ac:dyDescent="0.2">
      <c r="E517" s="3">
        <v>41302</v>
      </c>
      <c r="F517">
        <v>0.76767467</v>
      </c>
    </row>
    <row r="518" spans="5:6" x14ac:dyDescent="0.2">
      <c r="E518" s="3">
        <v>41303</v>
      </c>
      <c r="F518">
        <v>0.75705208999999996</v>
      </c>
    </row>
    <row r="519" spans="5:6" x14ac:dyDescent="0.2">
      <c r="E519" s="3">
        <v>41304</v>
      </c>
      <c r="F519">
        <v>0.77275377999999995</v>
      </c>
    </row>
    <row r="520" spans="5:6" x14ac:dyDescent="0.2">
      <c r="E520" s="3">
        <v>41305</v>
      </c>
      <c r="F520">
        <v>0.77474962999999997</v>
      </c>
    </row>
    <row r="521" spans="5:6" x14ac:dyDescent="0.2">
      <c r="E521" s="3">
        <v>41306</v>
      </c>
      <c r="F521">
        <v>0.74042772999999995</v>
      </c>
    </row>
    <row r="522" spans="5:6" x14ac:dyDescent="0.2">
      <c r="E522" s="3">
        <v>41309</v>
      </c>
      <c r="F522">
        <v>0.77338823999999995</v>
      </c>
    </row>
    <row r="523" spans="5:6" x14ac:dyDescent="0.2">
      <c r="E523" s="3">
        <v>41310</v>
      </c>
      <c r="F523">
        <v>0.73569048000000004</v>
      </c>
    </row>
    <row r="524" spans="5:6" x14ac:dyDescent="0.2">
      <c r="E524" s="3">
        <v>41311</v>
      </c>
      <c r="F524">
        <v>0.81304865000000004</v>
      </c>
    </row>
    <row r="525" spans="5:6" x14ac:dyDescent="0.2">
      <c r="E525" s="3">
        <v>41312</v>
      </c>
      <c r="F525">
        <v>0.82222097000000005</v>
      </c>
    </row>
    <row r="526" spans="5:6" x14ac:dyDescent="0.2">
      <c r="E526" s="3">
        <v>41313</v>
      </c>
      <c r="F526">
        <v>0.79899058000000001</v>
      </c>
    </row>
    <row r="527" spans="5:6" x14ac:dyDescent="0.2">
      <c r="E527" s="3">
        <v>41316</v>
      </c>
      <c r="F527">
        <v>0.80855876999999998</v>
      </c>
    </row>
    <row r="528" spans="5:6" x14ac:dyDescent="0.2">
      <c r="E528" s="3">
        <v>41317</v>
      </c>
      <c r="F528">
        <v>0.75767121000000004</v>
      </c>
    </row>
    <row r="529" spans="5:6" x14ac:dyDescent="0.2">
      <c r="E529" s="3">
        <v>41318</v>
      </c>
      <c r="F529">
        <v>0.73648318000000002</v>
      </c>
    </row>
    <row r="530" spans="5:6" x14ac:dyDescent="0.2">
      <c r="E530" s="3">
        <v>41319</v>
      </c>
      <c r="F530">
        <v>0.77547370000000004</v>
      </c>
    </row>
    <row r="531" spans="5:6" x14ac:dyDescent="0.2">
      <c r="E531" s="3">
        <v>41320</v>
      </c>
      <c r="F531">
        <v>0.75767121000000004</v>
      </c>
    </row>
    <row r="532" spans="5:6" x14ac:dyDescent="0.2">
      <c r="E532" s="3">
        <v>41324</v>
      </c>
      <c r="F532">
        <v>0.74506516</v>
      </c>
    </row>
    <row r="533" spans="5:6" x14ac:dyDescent="0.2">
      <c r="E533" s="3">
        <v>41325</v>
      </c>
      <c r="F533">
        <v>0.74910363000000002</v>
      </c>
    </row>
    <row r="534" spans="5:6" x14ac:dyDescent="0.2">
      <c r="E534" s="3">
        <v>41326</v>
      </c>
      <c r="F534">
        <v>0.75956073000000002</v>
      </c>
    </row>
    <row r="535" spans="5:6" x14ac:dyDescent="0.2">
      <c r="E535" s="3">
        <v>41327</v>
      </c>
      <c r="F535">
        <v>0.76181047000000002</v>
      </c>
    </row>
    <row r="536" spans="5:6" x14ac:dyDescent="0.2">
      <c r="E536" s="3">
        <v>41330</v>
      </c>
      <c r="F536">
        <v>0.83204617000000003</v>
      </c>
    </row>
    <row r="537" spans="5:6" x14ac:dyDescent="0.2">
      <c r="E537" s="3">
        <v>41331</v>
      </c>
      <c r="F537">
        <v>0.84215019999999996</v>
      </c>
    </row>
    <row r="538" spans="5:6" x14ac:dyDescent="0.2">
      <c r="E538" s="3">
        <v>41332</v>
      </c>
      <c r="F538">
        <v>0.82756768000000003</v>
      </c>
    </row>
    <row r="539" spans="5:6" x14ac:dyDescent="0.2">
      <c r="E539" s="3">
        <v>41333</v>
      </c>
      <c r="F539">
        <v>0.84309752999999998</v>
      </c>
    </row>
    <row r="540" spans="5:6" x14ac:dyDescent="0.2">
      <c r="E540" s="3">
        <v>41334</v>
      </c>
      <c r="F540">
        <v>0.83067533000000005</v>
      </c>
    </row>
    <row r="541" spans="5:6" x14ac:dyDescent="0.2">
      <c r="E541" s="3">
        <v>41337</v>
      </c>
      <c r="F541">
        <v>0.82448531000000003</v>
      </c>
    </row>
    <row r="542" spans="5:6" x14ac:dyDescent="0.2">
      <c r="E542" s="3">
        <v>41338</v>
      </c>
      <c r="F542">
        <v>0.81743252</v>
      </c>
    </row>
    <row r="543" spans="5:6" x14ac:dyDescent="0.2">
      <c r="E543" s="3">
        <v>41339</v>
      </c>
      <c r="F543">
        <v>0.75669235000000001</v>
      </c>
    </row>
    <row r="544" spans="5:6" x14ac:dyDescent="0.2">
      <c r="E544" s="3">
        <v>41340</v>
      </c>
      <c r="F544">
        <v>0.71013143999999995</v>
      </c>
    </row>
    <row r="545" spans="5:6" x14ac:dyDescent="0.2">
      <c r="E545" s="3">
        <v>41341</v>
      </c>
      <c r="F545">
        <v>0.68844536999999995</v>
      </c>
    </row>
    <row r="546" spans="5:6" x14ac:dyDescent="0.2">
      <c r="E546" s="3">
        <v>41344</v>
      </c>
      <c r="F546">
        <v>0.69041534999999998</v>
      </c>
    </row>
    <row r="547" spans="5:6" x14ac:dyDescent="0.2">
      <c r="E547" s="3">
        <v>41345</v>
      </c>
      <c r="F547">
        <v>0.69888139000000005</v>
      </c>
    </row>
    <row r="548" spans="5:6" x14ac:dyDescent="0.2">
      <c r="E548" s="3">
        <v>41346</v>
      </c>
      <c r="F548">
        <v>0.70688881999999997</v>
      </c>
    </row>
    <row r="549" spans="5:6" x14ac:dyDescent="0.2">
      <c r="E549" s="3">
        <v>41347</v>
      </c>
      <c r="F549">
        <v>0.70558498000000003</v>
      </c>
    </row>
    <row r="550" spans="5:6" x14ac:dyDescent="0.2">
      <c r="E550" s="3">
        <v>41348</v>
      </c>
      <c r="F550">
        <v>0.72532763</v>
      </c>
    </row>
    <row r="551" spans="5:6" x14ac:dyDescent="0.2">
      <c r="E551" s="3">
        <v>41351</v>
      </c>
      <c r="F551">
        <v>0.76202199999999998</v>
      </c>
    </row>
    <row r="552" spans="5:6" x14ac:dyDescent="0.2">
      <c r="E552" s="3">
        <v>41352</v>
      </c>
      <c r="F552">
        <v>0.78695435999999996</v>
      </c>
    </row>
    <row r="553" spans="5:6" x14ac:dyDescent="0.2">
      <c r="E553" s="3">
        <v>41353</v>
      </c>
      <c r="F553">
        <v>0.77084069</v>
      </c>
    </row>
    <row r="554" spans="5:6" x14ac:dyDescent="0.2">
      <c r="E554" s="3">
        <v>41354</v>
      </c>
      <c r="F554">
        <v>0.73465606999999999</v>
      </c>
    </row>
    <row r="555" spans="5:6" x14ac:dyDescent="0.2">
      <c r="E555" s="3">
        <v>41355</v>
      </c>
      <c r="F555">
        <v>0.77786171000000004</v>
      </c>
    </row>
    <row r="556" spans="5:6" x14ac:dyDescent="0.2">
      <c r="E556" s="3">
        <v>41358</v>
      </c>
      <c r="F556">
        <v>0.77926318999999999</v>
      </c>
    </row>
    <row r="557" spans="5:6" x14ac:dyDescent="0.2">
      <c r="E557" s="3">
        <v>41359</v>
      </c>
      <c r="F557">
        <v>0.77702022999999998</v>
      </c>
    </row>
    <row r="558" spans="5:6" x14ac:dyDescent="0.2">
      <c r="E558" s="3">
        <v>41360</v>
      </c>
      <c r="F558">
        <v>0.77084069</v>
      </c>
    </row>
    <row r="559" spans="5:6" x14ac:dyDescent="0.2">
      <c r="E559" s="3">
        <v>41361</v>
      </c>
      <c r="F559">
        <v>0.76515105000000005</v>
      </c>
    </row>
    <row r="560" spans="5:6" x14ac:dyDescent="0.2">
      <c r="E560" s="3">
        <v>41365</v>
      </c>
      <c r="F560">
        <v>0.76571301000000003</v>
      </c>
    </row>
    <row r="561" spans="5:6" x14ac:dyDescent="0.2">
      <c r="E561" s="3">
        <v>41366</v>
      </c>
      <c r="F561">
        <v>0.74944891000000002</v>
      </c>
    </row>
    <row r="562" spans="5:6" x14ac:dyDescent="0.2">
      <c r="E562" s="3">
        <v>41367</v>
      </c>
      <c r="F562">
        <v>0.77887764000000004</v>
      </c>
    </row>
    <row r="563" spans="5:6" x14ac:dyDescent="0.2">
      <c r="E563" s="3">
        <v>41368</v>
      </c>
      <c r="F563">
        <v>0.81980116999999997</v>
      </c>
    </row>
    <row r="564" spans="5:6" x14ac:dyDescent="0.2">
      <c r="E564" s="3">
        <v>41369</v>
      </c>
      <c r="F564">
        <v>0.82856768000000003</v>
      </c>
    </row>
    <row r="565" spans="5:6" x14ac:dyDescent="0.2">
      <c r="E565" s="3">
        <v>41372</v>
      </c>
      <c r="F565">
        <v>0.82265425999999997</v>
      </c>
    </row>
    <row r="566" spans="5:6" x14ac:dyDescent="0.2">
      <c r="E566" s="3">
        <v>41373</v>
      </c>
      <c r="F566">
        <v>0.81850336999999995</v>
      </c>
    </row>
    <row r="567" spans="5:6" x14ac:dyDescent="0.2">
      <c r="E567" s="3">
        <v>41374</v>
      </c>
      <c r="F567">
        <v>0.79452882999999996</v>
      </c>
    </row>
    <row r="568" spans="5:6" x14ac:dyDescent="0.2">
      <c r="E568" s="3">
        <v>41375</v>
      </c>
      <c r="F568">
        <v>0.80849727999999998</v>
      </c>
    </row>
    <row r="569" spans="5:6" x14ac:dyDescent="0.2">
      <c r="E569" s="3">
        <v>41376</v>
      </c>
      <c r="F569">
        <v>0.82477339000000005</v>
      </c>
    </row>
    <row r="570" spans="5:6" x14ac:dyDescent="0.2">
      <c r="E570" s="3">
        <v>41379</v>
      </c>
      <c r="F570">
        <v>0.82715181999999998</v>
      </c>
    </row>
    <row r="571" spans="5:6" x14ac:dyDescent="0.2">
      <c r="E571" s="3">
        <v>41380</v>
      </c>
      <c r="F571">
        <v>0.82470003999999997</v>
      </c>
    </row>
    <row r="572" spans="5:6" x14ac:dyDescent="0.2">
      <c r="E572" s="3">
        <v>41381</v>
      </c>
      <c r="F572">
        <v>0.82774426000000001</v>
      </c>
    </row>
    <row r="573" spans="5:6" x14ac:dyDescent="0.2">
      <c r="E573" s="3">
        <v>41382</v>
      </c>
      <c r="F573">
        <v>0.82956596000000005</v>
      </c>
    </row>
    <row r="574" spans="5:6" x14ac:dyDescent="0.2">
      <c r="E574" s="3">
        <v>41383</v>
      </c>
      <c r="F574">
        <v>0.82800551</v>
      </c>
    </row>
    <row r="575" spans="5:6" x14ac:dyDescent="0.2">
      <c r="E575" s="3">
        <v>41386</v>
      </c>
      <c r="F575">
        <v>0.82804226999999997</v>
      </c>
    </row>
    <row r="576" spans="5:6" x14ac:dyDescent="0.2">
      <c r="E576" s="3">
        <v>41387</v>
      </c>
      <c r="F576">
        <v>0.82856768000000003</v>
      </c>
    </row>
    <row r="577" spans="5:6" x14ac:dyDescent="0.2">
      <c r="E577" s="3">
        <v>41388</v>
      </c>
      <c r="F577">
        <v>0.82574130999999995</v>
      </c>
    </row>
    <row r="578" spans="5:6" x14ac:dyDescent="0.2">
      <c r="E578" s="3">
        <v>41389</v>
      </c>
      <c r="F578">
        <v>0.82574130999999995</v>
      </c>
    </row>
    <row r="579" spans="5:6" x14ac:dyDescent="0.2">
      <c r="E579" s="3">
        <v>41390</v>
      </c>
      <c r="F579">
        <v>0.83113250999999999</v>
      </c>
    </row>
    <row r="580" spans="5:6" x14ac:dyDescent="0.2">
      <c r="E580" s="3">
        <v>41393</v>
      </c>
      <c r="F580">
        <v>0.83156322999999999</v>
      </c>
    </row>
    <row r="581" spans="5:6" x14ac:dyDescent="0.2">
      <c r="E581" s="3">
        <v>41394</v>
      </c>
      <c r="F581">
        <v>0.83356730999999995</v>
      </c>
    </row>
    <row r="582" spans="5:6" x14ac:dyDescent="0.2">
      <c r="E582" s="3">
        <v>41395</v>
      </c>
      <c r="F582">
        <v>0.82752897000000003</v>
      </c>
    </row>
    <row r="583" spans="5:6" x14ac:dyDescent="0.2">
      <c r="E583" s="3">
        <v>41396</v>
      </c>
      <c r="F583">
        <v>0.82159804000000003</v>
      </c>
    </row>
    <row r="584" spans="5:6" x14ac:dyDescent="0.2">
      <c r="E584" s="3">
        <v>41397</v>
      </c>
      <c r="F584">
        <v>0.80593608999999999</v>
      </c>
    </row>
    <row r="585" spans="5:6" x14ac:dyDescent="0.2">
      <c r="E585" s="3">
        <v>41400</v>
      </c>
      <c r="F585">
        <v>0.80165001999999996</v>
      </c>
    </row>
    <row r="586" spans="5:6" x14ac:dyDescent="0.2">
      <c r="E586" s="3">
        <v>41401</v>
      </c>
      <c r="F586">
        <v>0.79431673999999997</v>
      </c>
    </row>
    <row r="587" spans="5:6" x14ac:dyDescent="0.2">
      <c r="E587" s="3">
        <v>41402</v>
      </c>
      <c r="F587">
        <v>0.80403139000000001</v>
      </c>
    </row>
    <row r="588" spans="5:6" x14ac:dyDescent="0.2">
      <c r="E588" s="3">
        <v>41403</v>
      </c>
      <c r="F588">
        <v>0.79380801000000001</v>
      </c>
    </row>
    <row r="589" spans="5:6" x14ac:dyDescent="0.2">
      <c r="E589" s="3">
        <v>41404</v>
      </c>
      <c r="F589">
        <v>0.73210434000000002</v>
      </c>
    </row>
    <row r="590" spans="5:6" x14ac:dyDescent="0.2">
      <c r="E590" s="3">
        <v>41407</v>
      </c>
      <c r="F590">
        <v>0.69142342000000001</v>
      </c>
    </row>
    <row r="591" spans="5:6" x14ac:dyDescent="0.2">
      <c r="E591" s="3">
        <v>41408</v>
      </c>
      <c r="F591">
        <v>0.66956373000000002</v>
      </c>
    </row>
    <row r="592" spans="5:6" x14ac:dyDescent="0.2">
      <c r="E592" s="3">
        <v>41409</v>
      </c>
      <c r="F592">
        <v>0.72537130999999999</v>
      </c>
    </row>
    <row r="593" spans="5:6" x14ac:dyDescent="0.2">
      <c r="E593" s="3">
        <v>41410</v>
      </c>
      <c r="F593">
        <v>0.79431673999999997</v>
      </c>
    </row>
    <row r="594" spans="5:6" x14ac:dyDescent="0.2">
      <c r="E594" s="3">
        <v>41411</v>
      </c>
      <c r="F594">
        <v>0.69528027999999997</v>
      </c>
    </row>
    <row r="595" spans="5:6" x14ac:dyDescent="0.2">
      <c r="E595" s="3">
        <v>41414</v>
      </c>
      <c r="F595">
        <v>0.67816416000000002</v>
      </c>
    </row>
    <row r="596" spans="5:6" x14ac:dyDescent="0.2">
      <c r="E596" s="3">
        <v>41415</v>
      </c>
      <c r="F596">
        <v>0.72319169000000005</v>
      </c>
    </row>
    <row r="597" spans="5:6" x14ac:dyDescent="0.2">
      <c r="E597" s="3">
        <v>41416</v>
      </c>
      <c r="F597">
        <v>0.65091405000000002</v>
      </c>
    </row>
    <row r="598" spans="5:6" x14ac:dyDescent="0.2">
      <c r="E598" s="3">
        <v>41417</v>
      </c>
      <c r="F598">
        <v>0.64488252000000001</v>
      </c>
    </row>
    <row r="599" spans="5:6" x14ac:dyDescent="0.2">
      <c r="E599" s="3">
        <v>41418</v>
      </c>
      <c r="F599">
        <v>0.64577068999999998</v>
      </c>
    </row>
    <row r="600" spans="5:6" x14ac:dyDescent="0.2">
      <c r="E600" s="3">
        <v>41422</v>
      </c>
      <c r="F600">
        <v>0.63160108999999998</v>
      </c>
    </row>
    <row r="601" spans="5:6" x14ac:dyDescent="0.2">
      <c r="E601" s="3">
        <v>41423</v>
      </c>
      <c r="F601">
        <v>0.62947549999999997</v>
      </c>
    </row>
    <row r="602" spans="5:6" x14ac:dyDescent="0.2">
      <c r="E602" s="3">
        <v>41424</v>
      </c>
      <c r="F602">
        <v>0.63071074000000005</v>
      </c>
    </row>
    <row r="603" spans="5:6" x14ac:dyDescent="0.2">
      <c r="E603" s="3">
        <v>41425</v>
      </c>
      <c r="F603">
        <v>0.62532821000000005</v>
      </c>
    </row>
    <row r="604" spans="5:6" x14ac:dyDescent="0.2">
      <c r="E604" s="3">
        <v>41428</v>
      </c>
      <c r="F604">
        <v>0.60388423000000002</v>
      </c>
    </row>
    <row r="605" spans="5:6" x14ac:dyDescent="0.2">
      <c r="E605" s="3">
        <v>41429</v>
      </c>
      <c r="F605">
        <v>0.59229140999999996</v>
      </c>
    </row>
    <row r="606" spans="5:6" x14ac:dyDescent="0.2">
      <c r="E606" s="3">
        <v>41430</v>
      </c>
      <c r="F606">
        <v>0.60259748000000002</v>
      </c>
    </row>
    <row r="607" spans="5:6" x14ac:dyDescent="0.2">
      <c r="E607" s="3">
        <v>41431</v>
      </c>
      <c r="F607">
        <v>0.60807341999999998</v>
      </c>
    </row>
    <row r="608" spans="5:6" x14ac:dyDescent="0.2">
      <c r="E608" s="3">
        <v>41432</v>
      </c>
      <c r="F608">
        <v>0.59389106999999997</v>
      </c>
    </row>
    <row r="609" spans="5:6" x14ac:dyDescent="0.2">
      <c r="E609" s="3">
        <v>41435</v>
      </c>
      <c r="F609">
        <v>0.57834057000000005</v>
      </c>
    </row>
    <row r="610" spans="5:6" x14ac:dyDescent="0.2">
      <c r="E610" s="3">
        <v>41436</v>
      </c>
      <c r="F610">
        <v>0.59643793000000001</v>
      </c>
    </row>
    <row r="611" spans="5:6" x14ac:dyDescent="0.2">
      <c r="E611" s="3">
        <v>41437</v>
      </c>
      <c r="F611">
        <v>0.55153556000000004</v>
      </c>
    </row>
    <row r="612" spans="5:6" x14ac:dyDescent="0.2">
      <c r="E612" s="3">
        <v>41438</v>
      </c>
      <c r="F612">
        <v>0.58616818000000004</v>
      </c>
    </row>
    <row r="613" spans="5:6" x14ac:dyDescent="0.2">
      <c r="E613" s="3">
        <v>41439</v>
      </c>
      <c r="F613">
        <v>0.60357554000000002</v>
      </c>
    </row>
    <row r="614" spans="5:6" x14ac:dyDescent="0.2">
      <c r="E614" s="3">
        <v>41442</v>
      </c>
      <c r="F614">
        <v>0.57679937999999997</v>
      </c>
    </row>
    <row r="615" spans="5:6" x14ac:dyDescent="0.2">
      <c r="E615" s="3">
        <v>41443</v>
      </c>
      <c r="F615">
        <v>0.57834057000000005</v>
      </c>
    </row>
    <row r="616" spans="5:6" x14ac:dyDescent="0.2">
      <c r="E616" s="3">
        <v>41444</v>
      </c>
      <c r="F616">
        <v>0.50423591999999995</v>
      </c>
    </row>
    <row r="617" spans="5:6" x14ac:dyDescent="0.2">
      <c r="E617" s="3">
        <v>41445</v>
      </c>
      <c r="F617">
        <v>0.45672223000000001</v>
      </c>
    </row>
    <row r="618" spans="5:6" x14ac:dyDescent="0.2">
      <c r="E618" s="3">
        <v>41446</v>
      </c>
      <c r="F618">
        <v>0.44323100999999998</v>
      </c>
    </row>
    <row r="619" spans="5:6" x14ac:dyDescent="0.2">
      <c r="E619" s="3">
        <v>41449</v>
      </c>
      <c r="F619">
        <v>0.42893935</v>
      </c>
    </row>
    <row r="620" spans="5:6" x14ac:dyDescent="0.2">
      <c r="E620" s="3">
        <v>41450</v>
      </c>
      <c r="F620">
        <v>0.41918834999999999</v>
      </c>
    </row>
    <row r="621" spans="5:6" x14ac:dyDescent="0.2">
      <c r="E621" s="3">
        <v>41451</v>
      </c>
      <c r="F621">
        <v>0.36913066</v>
      </c>
    </row>
    <row r="622" spans="5:6" x14ac:dyDescent="0.2">
      <c r="E622" s="3">
        <v>41452</v>
      </c>
      <c r="F622">
        <v>0.44367911999999998</v>
      </c>
    </row>
    <row r="623" spans="5:6" x14ac:dyDescent="0.2">
      <c r="E623" s="3">
        <v>41453</v>
      </c>
      <c r="F623">
        <v>0.44439106</v>
      </c>
    </row>
    <row r="624" spans="5:6" x14ac:dyDescent="0.2">
      <c r="E624" s="3">
        <v>41456</v>
      </c>
      <c r="F624">
        <v>0.42692645000000001</v>
      </c>
    </row>
    <row r="625" spans="5:6" x14ac:dyDescent="0.2">
      <c r="E625" s="3">
        <v>41457</v>
      </c>
      <c r="F625">
        <v>0.42614523999999998</v>
      </c>
    </row>
    <row r="626" spans="5:6" x14ac:dyDescent="0.2">
      <c r="E626" s="3">
        <v>41458</v>
      </c>
      <c r="F626">
        <v>0.42879772999999999</v>
      </c>
    </row>
    <row r="627" spans="5:6" x14ac:dyDescent="0.2">
      <c r="E627" s="3">
        <v>41460</v>
      </c>
      <c r="F627">
        <v>0.28872759999999997</v>
      </c>
    </row>
    <row r="628" spans="5:6" x14ac:dyDescent="0.2">
      <c r="E628" s="3">
        <v>41463</v>
      </c>
      <c r="F628">
        <v>0.33666590000000002</v>
      </c>
    </row>
    <row r="629" spans="5:6" x14ac:dyDescent="0.2">
      <c r="E629" s="3">
        <v>41464</v>
      </c>
      <c r="F629">
        <v>0.39961025999999999</v>
      </c>
    </row>
    <row r="630" spans="5:6" x14ac:dyDescent="0.2">
      <c r="E630" s="3">
        <v>41465</v>
      </c>
      <c r="F630">
        <v>0.31225017999999999</v>
      </c>
    </row>
    <row r="631" spans="5:6" x14ac:dyDescent="0.2">
      <c r="E631" s="3">
        <v>41466</v>
      </c>
      <c r="F631">
        <v>0.41506283999999999</v>
      </c>
    </row>
    <row r="632" spans="5:6" x14ac:dyDescent="0.2">
      <c r="E632" s="3">
        <v>41467</v>
      </c>
      <c r="F632">
        <v>0.41215266</v>
      </c>
    </row>
    <row r="633" spans="5:6" x14ac:dyDescent="0.2">
      <c r="E633" s="3">
        <v>41470</v>
      </c>
      <c r="F633">
        <v>0.42632069</v>
      </c>
    </row>
    <row r="634" spans="5:6" x14ac:dyDescent="0.2">
      <c r="E634" s="3">
        <v>41471</v>
      </c>
      <c r="F634">
        <v>0.42713065</v>
      </c>
    </row>
    <row r="635" spans="5:6" x14ac:dyDescent="0.2">
      <c r="E635" s="3">
        <v>41472</v>
      </c>
      <c r="F635">
        <v>0.43264901</v>
      </c>
    </row>
    <row r="636" spans="5:6" x14ac:dyDescent="0.2">
      <c r="E636" s="3">
        <v>41473</v>
      </c>
      <c r="F636">
        <v>0.42837238</v>
      </c>
    </row>
    <row r="637" spans="5:6" x14ac:dyDescent="0.2">
      <c r="E637" s="3">
        <v>41474</v>
      </c>
      <c r="F637">
        <v>0.43340129999999999</v>
      </c>
    </row>
    <row r="638" spans="5:6" x14ac:dyDescent="0.2">
      <c r="E638" s="3">
        <v>41477</v>
      </c>
      <c r="F638">
        <v>0.43375761000000002</v>
      </c>
    </row>
    <row r="639" spans="5:6" x14ac:dyDescent="0.2">
      <c r="E639" s="3">
        <v>41478</v>
      </c>
      <c r="F639">
        <v>0.43127566000000001</v>
      </c>
    </row>
    <row r="640" spans="5:6" x14ac:dyDescent="0.2">
      <c r="E640" s="3">
        <v>41479</v>
      </c>
      <c r="F640">
        <v>0.42334037000000002</v>
      </c>
    </row>
    <row r="641" spans="5:6" x14ac:dyDescent="0.2">
      <c r="E641" s="3">
        <v>41480</v>
      </c>
      <c r="F641">
        <v>0.42186098999999999</v>
      </c>
    </row>
    <row r="642" spans="5:6" x14ac:dyDescent="0.2">
      <c r="E642" s="3">
        <v>41481</v>
      </c>
      <c r="F642">
        <v>0.42646224999999999</v>
      </c>
    </row>
    <row r="643" spans="5:6" x14ac:dyDescent="0.2">
      <c r="E643" s="3">
        <v>41484</v>
      </c>
      <c r="F643">
        <v>0.42603953</v>
      </c>
    </row>
    <row r="644" spans="5:6" x14ac:dyDescent="0.2">
      <c r="E644" s="3">
        <v>41485</v>
      </c>
      <c r="F644">
        <v>0.42348314999999997</v>
      </c>
    </row>
    <row r="645" spans="5:6" x14ac:dyDescent="0.2">
      <c r="E645" s="3">
        <v>41486</v>
      </c>
      <c r="F645">
        <v>0.42516652999999999</v>
      </c>
    </row>
    <row r="646" spans="5:6" x14ac:dyDescent="0.2">
      <c r="E646" s="3">
        <v>41487</v>
      </c>
      <c r="F646">
        <v>0.33232054999999999</v>
      </c>
    </row>
    <row r="647" spans="5:6" x14ac:dyDescent="0.2">
      <c r="E647" s="3">
        <v>41488</v>
      </c>
      <c r="F647">
        <v>0.41078564000000001</v>
      </c>
    </row>
    <row r="648" spans="5:6" x14ac:dyDescent="0.2">
      <c r="E648" s="3">
        <v>41491</v>
      </c>
      <c r="F648">
        <v>0.40903135000000002</v>
      </c>
    </row>
    <row r="649" spans="5:6" x14ac:dyDescent="0.2">
      <c r="E649" s="3">
        <v>41492</v>
      </c>
      <c r="F649">
        <v>0.40437019000000002</v>
      </c>
    </row>
    <row r="650" spans="5:6" x14ac:dyDescent="0.2">
      <c r="E650" s="3">
        <v>41493</v>
      </c>
      <c r="F650">
        <v>0.41115397999999997</v>
      </c>
    </row>
    <row r="651" spans="5:6" x14ac:dyDescent="0.2">
      <c r="E651" s="3">
        <v>41494</v>
      </c>
      <c r="F651">
        <v>0.41331764999999998</v>
      </c>
    </row>
    <row r="652" spans="5:6" x14ac:dyDescent="0.2">
      <c r="E652" s="3">
        <v>41495</v>
      </c>
      <c r="F652">
        <v>0.41576205999999999</v>
      </c>
    </row>
    <row r="653" spans="5:6" x14ac:dyDescent="0.2">
      <c r="E653" s="3">
        <v>41498</v>
      </c>
      <c r="F653">
        <v>0.41321912</v>
      </c>
    </row>
    <row r="654" spans="5:6" x14ac:dyDescent="0.2">
      <c r="E654" s="3">
        <v>41499</v>
      </c>
      <c r="F654">
        <v>0.39312795</v>
      </c>
    </row>
    <row r="655" spans="5:6" x14ac:dyDescent="0.2">
      <c r="E655" s="3">
        <v>41500</v>
      </c>
      <c r="F655">
        <v>0.37743947</v>
      </c>
    </row>
    <row r="656" spans="5:6" x14ac:dyDescent="0.2">
      <c r="E656" s="3">
        <v>41501</v>
      </c>
      <c r="F656">
        <v>0.31455759999999999</v>
      </c>
    </row>
    <row r="657" spans="5:6" x14ac:dyDescent="0.2">
      <c r="E657" s="3">
        <v>41502</v>
      </c>
      <c r="F657">
        <v>0.28031014999999998</v>
      </c>
    </row>
    <row r="658" spans="5:6" x14ac:dyDescent="0.2">
      <c r="E658" s="3">
        <v>41505</v>
      </c>
      <c r="F658">
        <v>0.27263881000000001</v>
      </c>
    </row>
    <row r="659" spans="5:6" x14ac:dyDescent="0.2">
      <c r="E659" s="3">
        <v>41506</v>
      </c>
      <c r="F659">
        <v>0.28096123000000001</v>
      </c>
    </row>
    <row r="660" spans="5:6" x14ac:dyDescent="0.2">
      <c r="E660" s="3">
        <v>41507</v>
      </c>
      <c r="F660">
        <v>0.27644807999999998</v>
      </c>
    </row>
    <row r="661" spans="5:6" x14ac:dyDescent="0.2">
      <c r="E661" s="3">
        <v>41508</v>
      </c>
      <c r="F661">
        <v>0.27358157</v>
      </c>
    </row>
    <row r="662" spans="5:6" x14ac:dyDescent="0.2">
      <c r="E662" s="3">
        <v>41509</v>
      </c>
      <c r="F662">
        <v>0.29198242000000002</v>
      </c>
    </row>
    <row r="663" spans="5:6" x14ac:dyDescent="0.2">
      <c r="E663" s="3">
        <v>41512</v>
      </c>
      <c r="F663">
        <v>0.30800234999999998</v>
      </c>
    </row>
    <row r="664" spans="5:6" x14ac:dyDescent="0.2">
      <c r="E664" s="3">
        <v>41513</v>
      </c>
      <c r="F664">
        <v>0.38014408</v>
      </c>
    </row>
    <row r="665" spans="5:6" x14ac:dyDescent="0.2">
      <c r="E665" s="3">
        <v>41514</v>
      </c>
      <c r="F665">
        <v>0.35578878000000003</v>
      </c>
    </row>
    <row r="666" spans="5:6" x14ac:dyDescent="0.2">
      <c r="E666" s="3">
        <v>41515</v>
      </c>
      <c r="F666">
        <v>0.39563315999999998</v>
      </c>
    </row>
    <row r="667" spans="5:6" x14ac:dyDescent="0.2">
      <c r="E667" s="3">
        <v>41516</v>
      </c>
      <c r="F667">
        <v>0.39522167000000002</v>
      </c>
    </row>
    <row r="668" spans="5:6" x14ac:dyDescent="0.2">
      <c r="E668" s="3">
        <v>41520</v>
      </c>
      <c r="F668">
        <v>0.29002791</v>
      </c>
    </row>
    <row r="669" spans="5:6" x14ac:dyDescent="0.2">
      <c r="E669" s="3">
        <v>41521</v>
      </c>
      <c r="F669">
        <v>0.26443326</v>
      </c>
    </row>
    <row r="670" spans="5:6" x14ac:dyDescent="0.2">
      <c r="E670" s="3">
        <v>41522</v>
      </c>
      <c r="F670">
        <v>0.25826391999999998</v>
      </c>
    </row>
    <row r="671" spans="5:6" x14ac:dyDescent="0.2">
      <c r="E671" s="3">
        <v>41523</v>
      </c>
      <c r="F671">
        <v>0.26194300999999998</v>
      </c>
    </row>
    <row r="672" spans="5:6" x14ac:dyDescent="0.2">
      <c r="E672" s="3">
        <v>41526</v>
      </c>
      <c r="F672">
        <v>0.26769354000000001</v>
      </c>
    </row>
    <row r="673" spans="5:6" x14ac:dyDescent="0.2">
      <c r="E673" s="3">
        <v>41527</v>
      </c>
      <c r="F673">
        <v>0.26296286000000002</v>
      </c>
    </row>
    <row r="674" spans="5:6" x14ac:dyDescent="0.2">
      <c r="E674" s="3">
        <v>41528</v>
      </c>
      <c r="F674">
        <v>0.28595882</v>
      </c>
    </row>
    <row r="675" spans="5:6" x14ac:dyDescent="0.2">
      <c r="E675" s="3">
        <v>41529</v>
      </c>
      <c r="F675">
        <v>0.28637426999999999</v>
      </c>
    </row>
    <row r="676" spans="5:6" x14ac:dyDescent="0.2">
      <c r="E676" s="3">
        <v>41530</v>
      </c>
      <c r="F676">
        <v>0.2925217</v>
      </c>
    </row>
    <row r="677" spans="5:6" x14ac:dyDescent="0.2">
      <c r="E677" s="3">
        <v>41533</v>
      </c>
      <c r="F677">
        <v>0.33935362000000002</v>
      </c>
    </row>
    <row r="678" spans="5:6" x14ac:dyDescent="0.2">
      <c r="E678" s="3">
        <v>41534</v>
      </c>
      <c r="F678">
        <v>0.35600051999999999</v>
      </c>
    </row>
    <row r="679" spans="5:6" x14ac:dyDescent="0.2">
      <c r="E679" s="3">
        <v>41535</v>
      </c>
      <c r="F679">
        <v>0.40430395000000002</v>
      </c>
    </row>
    <row r="680" spans="5:6" x14ac:dyDescent="0.2">
      <c r="E680" s="3">
        <v>41536</v>
      </c>
      <c r="F680">
        <v>0.40169234999999998</v>
      </c>
    </row>
    <row r="681" spans="5:6" x14ac:dyDescent="0.2">
      <c r="E681" s="3">
        <v>41537</v>
      </c>
      <c r="F681">
        <v>0.40062763000000001</v>
      </c>
    </row>
    <row r="682" spans="5:6" x14ac:dyDescent="0.2">
      <c r="E682" s="3">
        <v>41540</v>
      </c>
      <c r="F682">
        <v>0.40442292000000002</v>
      </c>
    </row>
    <row r="683" spans="5:6" x14ac:dyDescent="0.2">
      <c r="E683" s="3">
        <v>41541</v>
      </c>
      <c r="F683">
        <v>0.40942932999999998</v>
      </c>
    </row>
    <row r="684" spans="5:6" x14ac:dyDescent="0.2">
      <c r="E684" s="3">
        <v>41542</v>
      </c>
      <c r="F684">
        <v>0.41205318000000002</v>
      </c>
    </row>
    <row r="685" spans="5:6" x14ac:dyDescent="0.2">
      <c r="E685" s="3">
        <v>41543</v>
      </c>
      <c r="F685">
        <v>0.40892709999999999</v>
      </c>
    </row>
    <row r="686" spans="5:6" x14ac:dyDescent="0.2">
      <c r="E686" s="3">
        <v>41544</v>
      </c>
      <c r="F686">
        <v>0.41228937999999998</v>
      </c>
    </row>
    <row r="687" spans="5:6" x14ac:dyDescent="0.2">
      <c r="E687" s="3">
        <v>41547</v>
      </c>
      <c r="F687">
        <v>0.41213623999999999</v>
      </c>
    </row>
    <row r="688" spans="5:6" x14ac:dyDescent="0.2">
      <c r="E688" s="3">
        <v>41548</v>
      </c>
      <c r="F688">
        <v>0.40735265999999998</v>
      </c>
    </row>
    <row r="689" spans="5:6" x14ac:dyDescent="0.2">
      <c r="E689" s="3">
        <v>41549</v>
      </c>
      <c r="F689">
        <v>0.41492382</v>
      </c>
    </row>
    <row r="690" spans="5:6" x14ac:dyDescent="0.2">
      <c r="E690" s="3">
        <v>41550</v>
      </c>
      <c r="F690">
        <v>0.42005614000000002</v>
      </c>
    </row>
    <row r="691" spans="5:6" x14ac:dyDescent="0.2">
      <c r="E691" s="3">
        <v>41551</v>
      </c>
      <c r="F691">
        <v>0.41384989999999999</v>
      </c>
    </row>
    <row r="692" spans="5:6" x14ac:dyDescent="0.2">
      <c r="E692" s="3">
        <v>41554</v>
      </c>
      <c r="F692">
        <v>0.41384989999999999</v>
      </c>
    </row>
    <row r="693" spans="5:6" x14ac:dyDescent="0.2">
      <c r="E693" s="3">
        <v>41555</v>
      </c>
      <c r="F693">
        <v>0.40977889000000001</v>
      </c>
    </row>
    <row r="694" spans="5:6" x14ac:dyDescent="0.2">
      <c r="E694" s="3">
        <v>41556</v>
      </c>
      <c r="F694">
        <v>0.40868282</v>
      </c>
    </row>
    <row r="695" spans="5:6" x14ac:dyDescent="0.2">
      <c r="E695" s="3">
        <v>41557</v>
      </c>
      <c r="F695">
        <v>0.40641392999999998</v>
      </c>
    </row>
    <row r="696" spans="5:6" x14ac:dyDescent="0.2">
      <c r="E696" s="3">
        <v>41558</v>
      </c>
      <c r="F696">
        <v>0.40564359</v>
      </c>
    </row>
    <row r="697" spans="5:6" x14ac:dyDescent="0.2">
      <c r="E697" s="3">
        <v>41562</v>
      </c>
      <c r="F697">
        <v>0.39927588000000003</v>
      </c>
    </row>
    <row r="698" spans="5:6" x14ac:dyDescent="0.2">
      <c r="E698" s="3">
        <v>41563</v>
      </c>
      <c r="F698">
        <v>0.40419688999999998</v>
      </c>
    </row>
    <row r="699" spans="5:6" x14ac:dyDescent="0.2">
      <c r="E699" s="3">
        <v>41564</v>
      </c>
      <c r="F699">
        <v>0.42440229000000002</v>
      </c>
    </row>
    <row r="700" spans="5:6" x14ac:dyDescent="0.2">
      <c r="E700" s="3">
        <v>41565</v>
      </c>
      <c r="F700">
        <v>0.42308899</v>
      </c>
    </row>
    <row r="701" spans="5:6" x14ac:dyDescent="0.2">
      <c r="E701" s="3">
        <v>41568</v>
      </c>
      <c r="F701">
        <v>0.41834654999999998</v>
      </c>
    </row>
    <row r="702" spans="5:6" x14ac:dyDescent="0.2">
      <c r="E702" s="3">
        <v>41569</v>
      </c>
      <c r="F702">
        <v>0.45559037000000002</v>
      </c>
    </row>
    <row r="703" spans="5:6" x14ac:dyDescent="0.2">
      <c r="E703" s="3">
        <v>41570</v>
      </c>
      <c r="F703">
        <v>0.47251102</v>
      </c>
    </row>
    <row r="704" spans="5:6" x14ac:dyDescent="0.2">
      <c r="E704" s="3">
        <v>41571</v>
      </c>
      <c r="F704">
        <v>0.45620115</v>
      </c>
    </row>
    <row r="705" spans="5:6" x14ac:dyDescent="0.2">
      <c r="E705" s="3">
        <v>41572</v>
      </c>
      <c r="F705">
        <v>0.47335920999999997</v>
      </c>
    </row>
    <row r="706" spans="5:6" x14ac:dyDescent="0.2">
      <c r="E706" s="3">
        <v>41575</v>
      </c>
      <c r="F706">
        <v>0.47004080999999998</v>
      </c>
    </row>
    <row r="707" spans="5:6" x14ac:dyDescent="0.2">
      <c r="E707" s="3">
        <v>41576</v>
      </c>
      <c r="F707">
        <v>0.47251102</v>
      </c>
    </row>
    <row r="708" spans="5:6" x14ac:dyDescent="0.2">
      <c r="E708" s="3">
        <v>41577</v>
      </c>
      <c r="F708">
        <v>0.46022834000000001</v>
      </c>
    </row>
    <row r="709" spans="5:6" x14ac:dyDescent="0.2">
      <c r="E709" s="3">
        <v>41578</v>
      </c>
      <c r="F709">
        <v>0.44816967000000002</v>
      </c>
    </row>
    <row r="710" spans="5:6" x14ac:dyDescent="0.2">
      <c r="E710" s="3">
        <v>41579</v>
      </c>
      <c r="F710">
        <v>0.41875307000000001</v>
      </c>
    </row>
    <row r="711" spans="5:6" x14ac:dyDescent="0.2">
      <c r="E711" s="3">
        <v>41582</v>
      </c>
      <c r="F711">
        <v>0.42327273999999998</v>
      </c>
    </row>
    <row r="712" spans="5:6" x14ac:dyDescent="0.2">
      <c r="E712" s="3">
        <v>41583</v>
      </c>
      <c r="F712">
        <v>0.40444497000000001</v>
      </c>
    </row>
    <row r="713" spans="5:6" x14ac:dyDescent="0.2">
      <c r="E713" s="3">
        <v>41584</v>
      </c>
      <c r="F713">
        <v>0.41274392999999998</v>
      </c>
    </row>
    <row r="714" spans="5:6" x14ac:dyDescent="0.2">
      <c r="E714" s="3">
        <v>41585</v>
      </c>
      <c r="F714">
        <v>0.41435673000000001</v>
      </c>
    </row>
    <row r="715" spans="5:6" x14ac:dyDescent="0.2">
      <c r="E715" s="3">
        <v>41586</v>
      </c>
      <c r="F715">
        <v>0.38823085000000002</v>
      </c>
    </row>
    <row r="716" spans="5:6" x14ac:dyDescent="0.2">
      <c r="E716" s="3">
        <v>41590</v>
      </c>
      <c r="F716">
        <v>0.38747167999999999</v>
      </c>
    </row>
    <row r="717" spans="5:6" x14ac:dyDescent="0.2">
      <c r="E717" s="3">
        <v>41591</v>
      </c>
      <c r="F717">
        <v>0.38690331</v>
      </c>
    </row>
    <row r="718" spans="5:6" x14ac:dyDescent="0.2">
      <c r="E718" s="3">
        <v>41592</v>
      </c>
      <c r="F718">
        <v>0.39450030000000003</v>
      </c>
    </row>
    <row r="719" spans="5:6" x14ac:dyDescent="0.2">
      <c r="E719" s="3">
        <v>41593</v>
      </c>
      <c r="F719">
        <v>0.39599199000000002</v>
      </c>
    </row>
    <row r="720" spans="5:6" x14ac:dyDescent="0.2">
      <c r="E720" s="3">
        <v>41596</v>
      </c>
      <c r="F720">
        <v>0.40298490999999997</v>
      </c>
    </row>
    <row r="721" spans="5:6" x14ac:dyDescent="0.2">
      <c r="E721" s="3">
        <v>41597</v>
      </c>
      <c r="F721">
        <v>0.39630022999999998</v>
      </c>
    </row>
    <row r="722" spans="5:6" x14ac:dyDescent="0.2">
      <c r="E722" s="3">
        <v>41598</v>
      </c>
      <c r="F722">
        <v>0.39806186999999998</v>
      </c>
    </row>
    <row r="723" spans="5:6" x14ac:dyDescent="0.2">
      <c r="E723" s="3">
        <v>41599</v>
      </c>
      <c r="F723">
        <v>0.39857682999999999</v>
      </c>
    </row>
    <row r="724" spans="5:6" x14ac:dyDescent="0.2">
      <c r="E724" s="3">
        <v>41600</v>
      </c>
      <c r="F724">
        <v>0.40216698000000001</v>
      </c>
    </row>
    <row r="725" spans="5:6" x14ac:dyDescent="0.2">
      <c r="E725" s="3">
        <v>41603</v>
      </c>
      <c r="F725">
        <v>0.40159792999999999</v>
      </c>
    </row>
    <row r="726" spans="5:6" x14ac:dyDescent="0.2">
      <c r="E726" s="3">
        <v>41604</v>
      </c>
      <c r="F726">
        <v>0.40444497000000001</v>
      </c>
    </row>
    <row r="727" spans="5:6" x14ac:dyDescent="0.2">
      <c r="E727" s="3">
        <v>41605</v>
      </c>
      <c r="F727">
        <v>0.39288242000000001</v>
      </c>
    </row>
    <row r="728" spans="5:6" x14ac:dyDescent="0.2">
      <c r="E728" s="3">
        <v>41607</v>
      </c>
      <c r="F728">
        <v>0.39248038000000002</v>
      </c>
    </row>
    <row r="729" spans="5:6" x14ac:dyDescent="0.2">
      <c r="E729" s="3">
        <v>41610</v>
      </c>
      <c r="F729">
        <v>0.37676027000000001</v>
      </c>
    </row>
    <row r="730" spans="5:6" x14ac:dyDescent="0.2">
      <c r="E730" s="3">
        <v>41611</v>
      </c>
      <c r="F730">
        <v>0.37704095999999998</v>
      </c>
    </row>
    <row r="731" spans="5:6" x14ac:dyDescent="0.2">
      <c r="E731" s="3">
        <v>41612</v>
      </c>
      <c r="F731">
        <v>0.34044994000000001</v>
      </c>
    </row>
    <row r="732" spans="5:6" x14ac:dyDescent="0.2">
      <c r="E732" s="3">
        <v>41613</v>
      </c>
      <c r="F732">
        <v>0.32814632999999999</v>
      </c>
    </row>
    <row r="733" spans="5:6" x14ac:dyDescent="0.2">
      <c r="E733" s="3">
        <v>41614</v>
      </c>
      <c r="F733">
        <v>0.34216846000000001</v>
      </c>
    </row>
    <row r="734" spans="5:6" x14ac:dyDescent="0.2">
      <c r="E734" s="3">
        <v>41617</v>
      </c>
      <c r="F734">
        <v>0.36453579000000003</v>
      </c>
    </row>
    <row r="735" spans="5:6" x14ac:dyDescent="0.2">
      <c r="E735" s="3">
        <v>41618</v>
      </c>
      <c r="F735">
        <v>0.37537373000000002</v>
      </c>
    </row>
    <row r="736" spans="5:6" x14ac:dyDescent="0.2">
      <c r="E736" s="3">
        <v>41619</v>
      </c>
      <c r="F736">
        <v>0.37034011999999999</v>
      </c>
    </row>
    <row r="737" spans="5:6" x14ac:dyDescent="0.2">
      <c r="E737" s="3">
        <v>41620</v>
      </c>
      <c r="F737">
        <v>0.35777890000000001</v>
      </c>
    </row>
    <row r="738" spans="5:6" x14ac:dyDescent="0.2">
      <c r="E738" s="3">
        <v>41621</v>
      </c>
      <c r="F738">
        <v>0.36453579000000003</v>
      </c>
    </row>
    <row r="739" spans="5:6" x14ac:dyDescent="0.2">
      <c r="E739" s="3">
        <v>41624</v>
      </c>
      <c r="F739">
        <v>0.36327559999999998</v>
      </c>
    </row>
    <row r="740" spans="5:6" x14ac:dyDescent="0.2">
      <c r="E740" s="3">
        <v>41625</v>
      </c>
      <c r="F740">
        <v>0.37416398000000001</v>
      </c>
    </row>
    <row r="741" spans="5:6" x14ac:dyDescent="0.2">
      <c r="E741" s="3">
        <v>41626</v>
      </c>
      <c r="F741">
        <v>0.32708043999999997</v>
      </c>
    </row>
    <row r="742" spans="5:6" x14ac:dyDescent="0.2">
      <c r="E742" s="3">
        <v>41627</v>
      </c>
      <c r="F742">
        <v>0.27857630999999999</v>
      </c>
    </row>
    <row r="743" spans="5:6" x14ac:dyDescent="0.2">
      <c r="E743" s="3">
        <v>41628</v>
      </c>
      <c r="F743">
        <v>0.34672830999999998</v>
      </c>
    </row>
    <row r="744" spans="5:6" x14ac:dyDescent="0.2">
      <c r="E744" s="3">
        <v>41631</v>
      </c>
      <c r="F744">
        <v>0.32708043999999997</v>
      </c>
    </row>
    <row r="745" spans="5:6" x14ac:dyDescent="0.2">
      <c r="E745" s="3">
        <v>41632</v>
      </c>
      <c r="F745">
        <v>0.28242096999999999</v>
      </c>
    </row>
    <row r="746" spans="5:6" x14ac:dyDescent="0.2">
      <c r="E746" s="3">
        <v>41634</v>
      </c>
      <c r="F746">
        <v>0.28170294000000001</v>
      </c>
    </row>
    <row r="747" spans="5:6" x14ac:dyDescent="0.2">
      <c r="E747" s="3">
        <v>41635</v>
      </c>
      <c r="F747">
        <v>0.28295542000000001</v>
      </c>
    </row>
    <row r="748" spans="5:6" x14ac:dyDescent="0.2">
      <c r="E748" s="3">
        <v>41638</v>
      </c>
      <c r="F748">
        <v>0.32171274</v>
      </c>
    </row>
    <row r="749" spans="5:6" x14ac:dyDescent="0.2">
      <c r="E749" s="3">
        <v>41639</v>
      </c>
      <c r="F749">
        <v>0.26847971999999998</v>
      </c>
    </row>
    <row r="750" spans="5:6" x14ac:dyDescent="0.2">
      <c r="E750" s="3">
        <v>41641</v>
      </c>
      <c r="F750">
        <v>0.26125130000000002</v>
      </c>
    </row>
    <row r="751" spans="5:6" x14ac:dyDescent="0.2">
      <c r="E751" s="3">
        <v>41642</v>
      </c>
      <c r="F751">
        <v>0.25966006000000003</v>
      </c>
    </row>
    <row r="752" spans="5:6" x14ac:dyDescent="0.2">
      <c r="E752" s="3">
        <v>41645</v>
      </c>
      <c r="F752">
        <v>0.27050189000000002</v>
      </c>
    </row>
    <row r="753" spans="5:6" x14ac:dyDescent="0.2">
      <c r="E753" s="3">
        <v>41646</v>
      </c>
      <c r="F753">
        <v>0.30341024</v>
      </c>
    </row>
    <row r="754" spans="5:6" x14ac:dyDescent="0.2">
      <c r="E754" s="3">
        <v>41647</v>
      </c>
      <c r="F754">
        <v>0.27876012999999999</v>
      </c>
    </row>
    <row r="755" spans="5:6" x14ac:dyDescent="0.2">
      <c r="E755" s="3">
        <v>41648</v>
      </c>
      <c r="F755">
        <v>0.30155963000000002</v>
      </c>
    </row>
    <row r="756" spans="5:6" x14ac:dyDescent="0.2">
      <c r="E756" s="3">
        <v>41649</v>
      </c>
      <c r="F756">
        <v>0.36933837000000003</v>
      </c>
    </row>
    <row r="757" spans="5:6" x14ac:dyDescent="0.2">
      <c r="E757" s="3">
        <v>41652</v>
      </c>
      <c r="F757">
        <v>0.37578397000000002</v>
      </c>
    </row>
    <row r="758" spans="5:6" x14ac:dyDescent="0.2">
      <c r="E758" s="3">
        <v>41653</v>
      </c>
      <c r="F758">
        <v>0.36774881999999998</v>
      </c>
    </row>
    <row r="759" spans="5:6" x14ac:dyDescent="0.2">
      <c r="E759" s="3">
        <v>41654</v>
      </c>
      <c r="F759">
        <v>0.36667421</v>
      </c>
    </row>
    <row r="760" spans="5:6" x14ac:dyDescent="0.2">
      <c r="E760" s="3">
        <v>41655</v>
      </c>
      <c r="F760">
        <v>0.37351021000000001</v>
      </c>
    </row>
    <row r="761" spans="5:6" x14ac:dyDescent="0.2">
      <c r="E761" s="3">
        <v>41656</v>
      </c>
      <c r="F761">
        <v>0.37537902000000001</v>
      </c>
    </row>
    <row r="762" spans="5:6" x14ac:dyDescent="0.2">
      <c r="E762" s="3">
        <v>41660</v>
      </c>
      <c r="F762">
        <v>0.375996</v>
      </c>
    </row>
    <row r="763" spans="5:6" x14ac:dyDescent="0.2">
      <c r="E763" s="3">
        <v>41661</v>
      </c>
      <c r="F763">
        <v>0.36503538000000002</v>
      </c>
    </row>
    <row r="764" spans="5:6" x14ac:dyDescent="0.2">
      <c r="E764" s="3">
        <v>41662</v>
      </c>
      <c r="F764">
        <v>0.37453638</v>
      </c>
    </row>
    <row r="765" spans="5:6" x14ac:dyDescent="0.2">
      <c r="E765" s="3">
        <v>41663</v>
      </c>
      <c r="F765">
        <v>0.38154102000000001</v>
      </c>
    </row>
    <row r="766" spans="5:6" x14ac:dyDescent="0.2">
      <c r="E766" s="3">
        <v>41666</v>
      </c>
      <c r="F766">
        <v>0.37460282</v>
      </c>
    </row>
    <row r="767" spans="5:6" x14ac:dyDescent="0.2">
      <c r="E767" s="3">
        <v>41667</v>
      </c>
      <c r="F767">
        <v>0.37568222000000001</v>
      </c>
    </row>
    <row r="768" spans="5:6" x14ac:dyDescent="0.2">
      <c r="E768" s="3">
        <v>41668</v>
      </c>
      <c r="F768">
        <v>0.38811614</v>
      </c>
    </row>
    <row r="769" spans="5:6" x14ac:dyDescent="0.2">
      <c r="E769" s="3">
        <v>41669</v>
      </c>
      <c r="F769">
        <v>0.38669977</v>
      </c>
    </row>
    <row r="770" spans="5:6" x14ac:dyDescent="0.2">
      <c r="E770" s="3">
        <v>41670</v>
      </c>
      <c r="F770">
        <v>0.39414626000000003</v>
      </c>
    </row>
    <row r="771" spans="5:6" x14ac:dyDescent="0.2">
      <c r="E771" s="3">
        <v>41673</v>
      </c>
      <c r="F771">
        <v>0.41262241999999999</v>
      </c>
    </row>
    <row r="772" spans="5:6" x14ac:dyDescent="0.2">
      <c r="E772" s="3">
        <v>41674</v>
      </c>
      <c r="F772">
        <v>0.40068102999999999</v>
      </c>
    </row>
    <row r="773" spans="5:6" x14ac:dyDescent="0.2">
      <c r="E773" s="3">
        <v>41675</v>
      </c>
      <c r="F773">
        <v>0.39173230999999997</v>
      </c>
    </row>
    <row r="774" spans="5:6" x14ac:dyDescent="0.2">
      <c r="E774" s="3">
        <v>41676</v>
      </c>
      <c r="F774">
        <v>0.38532630000000001</v>
      </c>
    </row>
    <row r="775" spans="5:6" x14ac:dyDescent="0.2">
      <c r="E775" s="3">
        <v>41677</v>
      </c>
      <c r="F775">
        <v>0.39589350000000001</v>
      </c>
    </row>
    <row r="776" spans="5:6" x14ac:dyDescent="0.2">
      <c r="E776" s="3">
        <v>41680</v>
      </c>
      <c r="F776">
        <v>0.39378672999999997</v>
      </c>
    </row>
    <row r="777" spans="5:6" x14ac:dyDescent="0.2">
      <c r="E777" s="3">
        <v>41681</v>
      </c>
      <c r="F777">
        <v>0.38426450000000001</v>
      </c>
    </row>
    <row r="778" spans="5:6" x14ac:dyDescent="0.2">
      <c r="E778" s="3">
        <v>41682</v>
      </c>
      <c r="F778">
        <v>0.37451881999999997</v>
      </c>
    </row>
    <row r="779" spans="5:6" x14ac:dyDescent="0.2">
      <c r="E779" s="3">
        <v>41683</v>
      </c>
      <c r="F779">
        <v>0.38252577999999998</v>
      </c>
    </row>
    <row r="780" spans="5:6" x14ac:dyDescent="0.2">
      <c r="E780" s="3">
        <v>41684</v>
      </c>
      <c r="F780">
        <v>0.37644865</v>
      </c>
    </row>
    <row r="781" spans="5:6" x14ac:dyDescent="0.2">
      <c r="E781" s="3">
        <v>41688</v>
      </c>
      <c r="F781">
        <v>0.38072624999999999</v>
      </c>
    </row>
    <row r="782" spans="5:6" x14ac:dyDescent="0.2">
      <c r="E782" s="3">
        <v>41689</v>
      </c>
      <c r="F782">
        <v>0.37407465000000001</v>
      </c>
    </row>
    <row r="783" spans="5:6" x14ac:dyDescent="0.2">
      <c r="E783" s="3">
        <v>41690</v>
      </c>
      <c r="F783">
        <v>0.37039466999999998</v>
      </c>
    </row>
    <row r="784" spans="5:6" x14ac:dyDescent="0.2">
      <c r="E784" s="3">
        <v>41691</v>
      </c>
      <c r="F784">
        <v>0.3734152</v>
      </c>
    </row>
    <row r="785" spans="5:6" x14ac:dyDescent="0.2">
      <c r="E785" s="3">
        <v>41694</v>
      </c>
      <c r="F785">
        <v>0.37197777999999998</v>
      </c>
    </row>
    <row r="786" spans="5:6" x14ac:dyDescent="0.2">
      <c r="E786" s="3">
        <v>41695</v>
      </c>
      <c r="F786">
        <v>0.38281317999999998</v>
      </c>
    </row>
    <row r="787" spans="5:6" x14ac:dyDescent="0.2">
      <c r="E787" s="3">
        <v>41696</v>
      </c>
      <c r="F787">
        <v>0.37644865</v>
      </c>
    </row>
    <row r="788" spans="5:6" x14ac:dyDescent="0.2">
      <c r="E788" s="3">
        <v>41697</v>
      </c>
      <c r="F788">
        <v>0.38166811</v>
      </c>
    </row>
    <row r="789" spans="5:6" x14ac:dyDescent="0.2">
      <c r="E789" s="3">
        <v>41698</v>
      </c>
      <c r="F789">
        <v>0.37864172000000001</v>
      </c>
    </row>
    <row r="790" spans="5:6" x14ac:dyDescent="0.2">
      <c r="E790" s="3">
        <v>41701</v>
      </c>
      <c r="F790">
        <v>0.38146136000000003</v>
      </c>
    </row>
    <row r="791" spans="5:6" x14ac:dyDescent="0.2">
      <c r="E791" s="3">
        <v>41702</v>
      </c>
      <c r="F791">
        <v>0.36705627000000002</v>
      </c>
    </row>
    <row r="792" spans="5:6" x14ac:dyDescent="0.2">
      <c r="E792" s="3">
        <v>41703</v>
      </c>
      <c r="F792">
        <v>0.37511482000000002</v>
      </c>
    </row>
    <row r="793" spans="5:6" x14ac:dyDescent="0.2">
      <c r="E793" s="3">
        <v>41704</v>
      </c>
      <c r="F793">
        <v>0.37076211999999997</v>
      </c>
    </row>
    <row r="794" spans="5:6" x14ac:dyDescent="0.2">
      <c r="E794" s="3">
        <v>41705</v>
      </c>
      <c r="F794">
        <v>0.36521861</v>
      </c>
    </row>
    <row r="795" spans="5:6" x14ac:dyDescent="0.2">
      <c r="E795" s="3">
        <v>41708</v>
      </c>
      <c r="F795">
        <v>0.36689958</v>
      </c>
    </row>
    <row r="796" spans="5:6" x14ac:dyDescent="0.2">
      <c r="E796" s="3">
        <v>41709</v>
      </c>
      <c r="F796">
        <v>0.36705627000000002</v>
      </c>
    </row>
    <row r="797" spans="5:6" x14ac:dyDescent="0.2">
      <c r="E797" s="3">
        <v>41710</v>
      </c>
      <c r="F797">
        <v>0.37541637</v>
      </c>
    </row>
    <row r="798" spans="5:6" x14ac:dyDescent="0.2">
      <c r="E798" s="3">
        <v>41711</v>
      </c>
      <c r="F798">
        <v>0.39003900000000002</v>
      </c>
    </row>
    <row r="799" spans="5:6" x14ac:dyDescent="0.2">
      <c r="E799" s="3">
        <v>41712</v>
      </c>
      <c r="F799">
        <v>0.38471656999999998</v>
      </c>
    </row>
    <row r="800" spans="5:6" x14ac:dyDescent="0.2">
      <c r="E800" s="3">
        <v>41715</v>
      </c>
      <c r="F800">
        <v>0.37328842000000001</v>
      </c>
    </row>
    <row r="801" spans="5:6" x14ac:dyDescent="0.2">
      <c r="E801" s="3">
        <v>41716</v>
      </c>
      <c r="F801">
        <v>0.37829073000000002</v>
      </c>
    </row>
    <row r="802" spans="5:6" x14ac:dyDescent="0.2">
      <c r="E802" s="3">
        <v>41717</v>
      </c>
      <c r="F802">
        <v>0.36629566000000002</v>
      </c>
    </row>
    <row r="803" spans="5:6" x14ac:dyDescent="0.2">
      <c r="E803" s="3">
        <v>41718</v>
      </c>
      <c r="F803">
        <v>0.36442224000000001</v>
      </c>
    </row>
    <row r="804" spans="5:6" x14ac:dyDescent="0.2">
      <c r="E804" s="3">
        <v>41719</v>
      </c>
      <c r="F804">
        <v>0.36875239999999998</v>
      </c>
    </row>
    <row r="805" spans="5:6" x14ac:dyDescent="0.2">
      <c r="E805" s="3">
        <v>41722</v>
      </c>
      <c r="F805">
        <v>0.36875239999999998</v>
      </c>
    </row>
    <row r="806" spans="5:6" x14ac:dyDescent="0.2">
      <c r="E806" s="3">
        <v>41723</v>
      </c>
      <c r="F806">
        <v>0.36900695</v>
      </c>
    </row>
    <row r="807" spans="5:6" x14ac:dyDescent="0.2">
      <c r="E807" s="3">
        <v>41724</v>
      </c>
      <c r="F807">
        <v>0.36965078000000001</v>
      </c>
    </row>
    <row r="808" spans="5:6" x14ac:dyDescent="0.2">
      <c r="E808" s="3">
        <v>41725</v>
      </c>
      <c r="F808">
        <v>0.372867</v>
      </c>
    </row>
    <row r="809" spans="5:6" x14ac:dyDescent="0.2">
      <c r="E809" s="3">
        <v>41726</v>
      </c>
      <c r="F809">
        <v>0.36821619999999999</v>
      </c>
    </row>
    <row r="810" spans="5:6" x14ac:dyDescent="0.2">
      <c r="E810" s="3">
        <v>41729</v>
      </c>
      <c r="F810">
        <v>0.36629566000000002</v>
      </c>
    </row>
    <row r="811" spans="5:6" x14ac:dyDescent="0.2">
      <c r="E811" s="3">
        <v>41730</v>
      </c>
      <c r="F811">
        <v>0.35763015999999997</v>
      </c>
    </row>
    <row r="812" spans="5:6" x14ac:dyDescent="0.2">
      <c r="E812" s="3">
        <v>41731</v>
      </c>
      <c r="F812">
        <v>0.32510613999999999</v>
      </c>
    </row>
    <row r="813" spans="5:6" x14ac:dyDescent="0.2">
      <c r="E813" s="3">
        <v>41732</v>
      </c>
      <c r="F813">
        <v>0.34278551000000002</v>
      </c>
    </row>
    <row r="814" spans="5:6" x14ac:dyDescent="0.2">
      <c r="E814" s="3">
        <v>41733</v>
      </c>
      <c r="F814">
        <v>0.35888523</v>
      </c>
    </row>
    <row r="815" spans="5:6" x14ac:dyDescent="0.2">
      <c r="E815" s="3">
        <v>41736</v>
      </c>
      <c r="F815">
        <v>0.36410197</v>
      </c>
    </row>
    <row r="816" spans="5:6" x14ac:dyDescent="0.2">
      <c r="E816" s="3">
        <v>41737</v>
      </c>
      <c r="F816">
        <v>0.36809291999999999</v>
      </c>
    </row>
    <row r="817" spans="5:6" x14ac:dyDescent="0.2">
      <c r="E817" s="3">
        <v>41738</v>
      </c>
      <c r="F817">
        <v>0.37418036999999998</v>
      </c>
    </row>
    <row r="818" spans="5:6" x14ac:dyDescent="0.2">
      <c r="E818" s="3">
        <v>41739</v>
      </c>
      <c r="F818">
        <v>0.39074209999999998</v>
      </c>
    </row>
    <row r="819" spans="5:6" x14ac:dyDescent="0.2">
      <c r="E819" s="3">
        <v>41740</v>
      </c>
      <c r="F819">
        <v>0.39074209999999998</v>
      </c>
    </row>
    <row r="820" spans="5:6" x14ac:dyDescent="0.2">
      <c r="E820" s="3">
        <v>41743</v>
      </c>
      <c r="F820">
        <v>0.38166971999999999</v>
      </c>
    </row>
    <row r="821" spans="5:6" x14ac:dyDescent="0.2">
      <c r="E821" s="3">
        <v>41744</v>
      </c>
      <c r="F821">
        <v>0.38310160999999998</v>
      </c>
    </row>
    <row r="822" spans="5:6" x14ac:dyDescent="0.2">
      <c r="E822" s="3">
        <v>41745</v>
      </c>
      <c r="F822">
        <v>0.37764312999999999</v>
      </c>
    </row>
    <row r="823" spans="5:6" x14ac:dyDescent="0.2">
      <c r="E823" s="3">
        <v>41746</v>
      </c>
      <c r="F823">
        <v>0.36524489999999998</v>
      </c>
    </row>
    <row r="824" spans="5:6" x14ac:dyDescent="0.2">
      <c r="E824" s="3">
        <v>41750</v>
      </c>
      <c r="F824">
        <v>0.36314741</v>
      </c>
    </row>
    <row r="825" spans="5:6" x14ac:dyDescent="0.2">
      <c r="E825" s="3">
        <v>41751</v>
      </c>
      <c r="F825">
        <v>0.36404024000000001</v>
      </c>
    </row>
    <row r="826" spans="5:6" x14ac:dyDescent="0.2">
      <c r="E826" s="3">
        <v>41752</v>
      </c>
      <c r="F826">
        <v>0.38124049999999998</v>
      </c>
    </row>
    <row r="827" spans="5:6" x14ac:dyDescent="0.2">
      <c r="E827" s="3">
        <v>41753</v>
      </c>
      <c r="F827">
        <v>0.38310160999999998</v>
      </c>
    </row>
    <row r="828" spans="5:6" x14ac:dyDescent="0.2">
      <c r="E828" s="3">
        <v>41754</v>
      </c>
      <c r="F828">
        <v>0.39074209999999998</v>
      </c>
    </row>
    <row r="829" spans="5:6" x14ac:dyDescent="0.2">
      <c r="E829" s="3">
        <v>41757</v>
      </c>
      <c r="F829">
        <v>0.38804882000000002</v>
      </c>
    </row>
    <row r="830" spans="5:6" x14ac:dyDescent="0.2">
      <c r="E830" s="3">
        <v>41758</v>
      </c>
      <c r="F830">
        <v>0.38065389999999999</v>
      </c>
    </row>
    <row r="831" spans="5:6" x14ac:dyDescent="0.2">
      <c r="E831" s="3">
        <v>41759</v>
      </c>
      <c r="F831">
        <v>0.38362900999999999</v>
      </c>
    </row>
    <row r="832" spans="5:6" x14ac:dyDescent="0.2">
      <c r="E832" s="3">
        <v>41760</v>
      </c>
      <c r="F832">
        <v>0.39536387000000001</v>
      </c>
    </row>
    <row r="833" spans="5:6" x14ac:dyDescent="0.2">
      <c r="E833" s="3">
        <v>41761</v>
      </c>
      <c r="F833">
        <v>0.40005795999999999</v>
      </c>
    </row>
    <row r="834" spans="5:6" x14ac:dyDescent="0.2">
      <c r="E834" s="3">
        <v>41764</v>
      </c>
      <c r="F834">
        <v>0.39494004999999999</v>
      </c>
    </row>
    <row r="835" spans="5:6" x14ac:dyDescent="0.2">
      <c r="E835" s="3">
        <v>41765</v>
      </c>
      <c r="F835">
        <v>0.40250726999999997</v>
      </c>
    </row>
    <row r="836" spans="5:6" x14ac:dyDescent="0.2">
      <c r="E836" s="3">
        <v>41766</v>
      </c>
      <c r="F836">
        <v>0.42496286</v>
      </c>
    </row>
    <row r="837" spans="5:6" x14ac:dyDescent="0.2">
      <c r="E837" s="3">
        <v>41767</v>
      </c>
      <c r="F837">
        <v>0.42930450999999997</v>
      </c>
    </row>
    <row r="838" spans="5:6" x14ac:dyDescent="0.2">
      <c r="E838" s="3">
        <v>41768</v>
      </c>
      <c r="F838">
        <v>0.41122847000000001</v>
      </c>
    </row>
    <row r="839" spans="5:6" x14ac:dyDescent="0.2">
      <c r="E839" s="3">
        <v>41771</v>
      </c>
      <c r="F839">
        <v>0.40149435999999999</v>
      </c>
    </row>
    <row r="840" spans="5:6" x14ac:dyDescent="0.2">
      <c r="E840" s="3">
        <v>41772</v>
      </c>
      <c r="F840">
        <v>0.40866859999999999</v>
      </c>
    </row>
    <row r="841" spans="5:6" x14ac:dyDescent="0.2">
      <c r="E841" s="3">
        <v>41773</v>
      </c>
      <c r="F841">
        <v>0.44368063000000002</v>
      </c>
    </row>
    <row r="842" spans="5:6" x14ac:dyDescent="0.2">
      <c r="E842" s="3">
        <v>41774</v>
      </c>
      <c r="F842">
        <v>0.45737897</v>
      </c>
    </row>
    <row r="843" spans="5:6" x14ac:dyDescent="0.2">
      <c r="E843" s="3">
        <v>41775</v>
      </c>
      <c r="F843">
        <v>0.43683117999999999</v>
      </c>
    </row>
    <row r="844" spans="5:6" x14ac:dyDescent="0.2">
      <c r="E844" s="3">
        <v>41778</v>
      </c>
      <c r="F844">
        <v>0.42645669000000003</v>
      </c>
    </row>
    <row r="845" spans="5:6" x14ac:dyDescent="0.2">
      <c r="E845" s="3">
        <v>41779</v>
      </c>
      <c r="F845">
        <v>0.44898321000000002</v>
      </c>
    </row>
    <row r="846" spans="5:6" x14ac:dyDescent="0.2">
      <c r="E846" s="3">
        <v>41780</v>
      </c>
      <c r="F846">
        <v>0.44799454</v>
      </c>
    </row>
    <row r="847" spans="5:6" x14ac:dyDescent="0.2">
      <c r="E847" s="3">
        <v>41781</v>
      </c>
      <c r="F847">
        <v>0.43740635</v>
      </c>
    </row>
    <row r="848" spans="5:6" x14ac:dyDescent="0.2">
      <c r="E848" s="3">
        <v>41782</v>
      </c>
      <c r="F848">
        <v>0.44289145000000002</v>
      </c>
    </row>
    <row r="849" spans="5:6" x14ac:dyDescent="0.2">
      <c r="E849" s="3">
        <v>41786</v>
      </c>
      <c r="F849">
        <v>0.45865688999999998</v>
      </c>
    </row>
    <row r="850" spans="5:6" x14ac:dyDescent="0.2">
      <c r="E850" s="3">
        <v>41787</v>
      </c>
      <c r="F850">
        <v>0.52091710000000002</v>
      </c>
    </row>
    <row r="851" spans="5:6" x14ac:dyDescent="0.2">
      <c r="E851" s="3">
        <v>41788</v>
      </c>
      <c r="F851">
        <v>0.50196399000000003</v>
      </c>
    </row>
    <row r="852" spans="5:6" x14ac:dyDescent="0.2">
      <c r="E852" s="3">
        <v>41789</v>
      </c>
      <c r="F852">
        <v>0.49500455999999998</v>
      </c>
    </row>
    <row r="853" spans="5:6" x14ac:dyDescent="0.2">
      <c r="E853" s="3">
        <v>41792</v>
      </c>
      <c r="F853">
        <v>0.43706715000000002</v>
      </c>
    </row>
    <row r="854" spans="5:6" x14ac:dyDescent="0.2">
      <c r="E854" s="3">
        <v>41793</v>
      </c>
      <c r="F854">
        <v>0.41014107999999999</v>
      </c>
    </row>
    <row r="855" spans="5:6" x14ac:dyDescent="0.2">
      <c r="E855" s="3">
        <v>41794</v>
      </c>
      <c r="F855">
        <v>0.42071955</v>
      </c>
    </row>
    <row r="856" spans="5:6" x14ac:dyDescent="0.2">
      <c r="E856" s="3">
        <v>41795</v>
      </c>
      <c r="F856">
        <v>0.43452885000000002</v>
      </c>
    </row>
    <row r="857" spans="5:6" x14ac:dyDescent="0.2">
      <c r="E857" s="3">
        <v>41796</v>
      </c>
      <c r="F857">
        <v>0.42843293999999998</v>
      </c>
    </row>
    <row r="858" spans="5:6" x14ac:dyDescent="0.2">
      <c r="E858" s="3">
        <v>41799</v>
      </c>
      <c r="F858">
        <v>0.42031565999999998</v>
      </c>
    </row>
    <row r="859" spans="5:6" x14ac:dyDescent="0.2">
      <c r="E859" s="3">
        <v>41800</v>
      </c>
      <c r="F859">
        <v>0.41014107999999999</v>
      </c>
    </row>
    <row r="860" spans="5:6" x14ac:dyDescent="0.2">
      <c r="E860" s="3">
        <v>41801</v>
      </c>
      <c r="F860">
        <v>0.40406526999999998</v>
      </c>
    </row>
    <row r="861" spans="5:6" x14ac:dyDescent="0.2">
      <c r="E861" s="3">
        <v>41802</v>
      </c>
      <c r="F861">
        <v>0.42476902</v>
      </c>
    </row>
    <row r="862" spans="5:6" x14ac:dyDescent="0.2">
      <c r="E862" s="3">
        <v>41803</v>
      </c>
      <c r="F862">
        <v>0.41768483000000001</v>
      </c>
    </row>
    <row r="863" spans="5:6" x14ac:dyDescent="0.2">
      <c r="E863" s="3">
        <v>41806</v>
      </c>
      <c r="F863">
        <v>0.42322926999999999</v>
      </c>
    </row>
    <row r="864" spans="5:6" x14ac:dyDescent="0.2">
      <c r="E864" s="3">
        <v>41807</v>
      </c>
      <c r="F864">
        <v>0.39932106000000001</v>
      </c>
    </row>
    <row r="865" spans="5:6" x14ac:dyDescent="0.2">
      <c r="E865" s="3">
        <v>41808</v>
      </c>
      <c r="F865">
        <v>0.42635938000000001</v>
      </c>
    </row>
    <row r="866" spans="5:6" x14ac:dyDescent="0.2">
      <c r="E866" s="3">
        <v>41809</v>
      </c>
      <c r="F866">
        <v>0.43522570999999999</v>
      </c>
    </row>
    <row r="867" spans="5:6" x14ac:dyDescent="0.2">
      <c r="E867" s="3">
        <v>41810</v>
      </c>
      <c r="F867">
        <v>0.43655733000000002</v>
      </c>
    </row>
    <row r="868" spans="5:6" x14ac:dyDescent="0.2">
      <c r="E868" s="3">
        <v>41813</v>
      </c>
      <c r="F868">
        <v>0.43452885000000002</v>
      </c>
    </row>
    <row r="869" spans="5:6" x14ac:dyDescent="0.2">
      <c r="E869" s="3">
        <v>41814</v>
      </c>
      <c r="F869">
        <v>0.45198268000000003</v>
      </c>
    </row>
    <row r="870" spans="5:6" x14ac:dyDescent="0.2">
      <c r="E870" s="3">
        <v>41815</v>
      </c>
      <c r="F870">
        <v>0.49225047999999999</v>
      </c>
    </row>
    <row r="871" spans="5:6" x14ac:dyDescent="0.2">
      <c r="E871" s="3">
        <v>41816</v>
      </c>
      <c r="F871">
        <v>0.51066940999999999</v>
      </c>
    </row>
    <row r="872" spans="5:6" x14ac:dyDescent="0.2">
      <c r="E872" s="3">
        <v>41817</v>
      </c>
      <c r="F872">
        <v>0.50844522999999997</v>
      </c>
    </row>
    <row r="873" spans="5:6" x14ac:dyDescent="0.2">
      <c r="E873" s="3">
        <v>41820</v>
      </c>
      <c r="F873">
        <v>0.51776922999999997</v>
      </c>
    </row>
    <row r="874" spans="5:6" x14ac:dyDescent="0.2">
      <c r="E874" s="3">
        <v>41821</v>
      </c>
      <c r="F874">
        <v>0.47824238000000002</v>
      </c>
    </row>
    <row r="875" spans="5:6" x14ac:dyDescent="0.2">
      <c r="E875" s="3">
        <v>41822</v>
      </c>
      <c r="F875">
        <v>0.43030836</v>
      </c>
    </row>
    <row r="876" spans="5:6" x14ac:dyDescent="0.2">
      <c r="E876" s="3">
        <v>41823</v>
      </c>
      <c r="F876">
        <v>0.41770215999999999</v>
      </c>
    </row>
    <row r="877" spans="5:6" x14ac:dyDescent="0.2">
      <c r="E877" s="3">
        <v>41827</v>
      </c>
      <c r="F877">
        <v>0.42606885999999999</v>
      </c>
    </row>
    <row r="878" spans="5:6" x14ac:dyDescent="0.2">
      <c r="E878" s="3">
        <v>41828</v>
      </c>
      <c r="F878">
        <v>0.44795372</v>
      </c>
    </row>
    <row r="879" spans="5:6" x14ac:dyDescent="0.2">
      <c r="E879" s="3">
        <v>41829</v>
      </c>
      <c r="F879">
        <v>0.44063657000000001</v>
      </c>
    </row>
    <row r="880" spans="5:6" x14ac:dyDescent="0.2">
      <c r="E880" s="3">
        <v>41830</v>
      </c>
      <c r="F880">
        <v>0.45347109000000002</v>
      </c>
    </row>
    <row r="881" spans="5:6" x14ac:dyDescent="0.2">
      <c r="E881" s="3">
        <v>41831</v>
      </c>
      <c r="F881">
        <v>0.46728881999999999</v>
      </c>
    </row>
    <row r="882" spans="5:6" x14ac:dyDescent="0.2">
      <c r="E882" s="3">
        <v>41834</v>
      </c>
      <c r="F882">
        <v>0.43683656999999998</v>
      </c>
    </row>
    <row r="883" spans="5:6" x14ac:dyDescent="0.2">
      <c r="E883" s="3">
        <v>41835</v>
      </c>
      <c r="F883">
        <v>0.43107715000000002</v>
      </c>
    </row>
    <row r="884" spans="5:6" x14ac:dyDescent="0.2">
      <c r="E884" s="3">
        <v>41836</v>
      </c>
      <c r="F884">
        <v>0.43663878</v>
      </c>
    </row>
    <row r="885" spans="5:6" x14ac:dyDescent="0.2">
      <c r="E885" s="3">
        <v>41837</v>
      </c>
      <c r="F885">
        <v>0.47910324999999998</v>
      </c>
    </row>
    <row r="886" spans="5:6" x14ac:dyDescent="0.2">
      <c r="E886" s="3">
        <v>41838</v>
      </c>
      <c r="F886">
        <v>0.47910324999999998</v>
      </c>
    </row>
    <row r="887" spans="5:6" x14ac:dyDescent="0.2">
      <c r="E887" s="3">
        <v>41841</v>
      </c>
      <c r="F887">
        <v>0.48273333000000002</v>
      </c>
    </row>
    <row r="888" spans="5:6" x14ac:dyDescent="0.2">
      <c r="E888" s="3">
        <v>41842</v>
      </c>
      <c r="F888">
        <v>0.48811768</v>
      </c>
    </row>
    <row r="889" spans="5:6" x14ac:dyDescent="0.2">
      <c r="E889" s="3">
        <v>41843</v>
      </c>
      <c r="F889">
        <v>0.44795372</v>
      </c>
    </row>
    <row r="890" spans="5:6" x14ac:dyDescent="0.2">
      <c r="E890" s="3">
        <v>41844</v>
      </c>
      <c r="F890">
        <v>0.41588460999999999</v>
      </c>
    </row>
    <row r="891" spans="5:6" x14ac:dyDescent="0.2">
      <c r="E891" s="3">
        <v>41845</v>
      </c>
      <c r="F891">
        <v>0.44317708</v>
      </c>
    </row>
    <row r="892" spans="5:6" x14ac:dyDescent="0.2">
      <c r="E892" s="3">
        <v>41848</v>
      </c>
      <c r="F892">
        <v>0.43261189</v>
      </c>
    </row>
    <row r="893" spans="5:6" x14ac:dyDescent="0.2">
      <c r="E893" s="3">
        <v>41849</v>
      </c>
      <c r="F893">
        <v>0.44959285999999998</v>
      </c>
    </row>
    <row r="894" spans="5:6" x14ac:dyDescent="0.2">
      <c r="E894" s="3">
        <v>41850</v>
      </c>
      <c r="F894">
        <v>0.42414057999999999</v>
      </c>
    </row>
    <row r="895" spans="5:6" x14ac:dyDescent="0.2">
      <c r="E895" s="3">
        <v>41851</v>
      </c>
      <c r="F895">
        <v>0.41925241000000002</v>
      </c>
    </row>
    <row r="896" spans="5:6" x14ac:dyDescent="0.2">
      <c r="E896" s="3">
        <v>41852</v>
      </c>
      <c r="F896">
        <v>0.44509471</v>
      </c>
    </row>
    <row r="897" spans="5:6" x14ac:dyDescent="0.2">
      <c r="E897" s="3">
        <v>41855</v>
      </c>
      <c r="F897">
        <v>0.45464160999999997</v>
      </c>
    </row>
    <row r="898" spans="5:6" x14ac:dyDescent="0.2">
      <c r="E898" s="3">
        <v>41856</v>
      </c>
      <c r="F898">
        <v>0.45575253999999998</v>
      </c>
    </row>
    <row r="899" spans="5:6" x14ac:dyDescent="0.2">
      <c r="E899" s="3">
        <v>41857</v>
      </c>
      <c r="F899">
        <v>0.43155733000000002</v>
      </c>
    </row>
    <row r="900" spans="5:6" x14ac:dyDescent="0.2">
      <c r="E900" s="3">
        <v>41858</v>
      </c>
      <c r="F900">
        <v>0.46029262999999998</v>
      </c>
    </row>
    <row r="901" spans="5:6" x14ac:dyDescent="0.2">
      <c r="E901" s="3">
        <v>41859</v>
      </c>
      <c r="F901">
        <v>0.46856598999999999</v>
      </c>
    </row>
    <row r="902" spans="5:6" x14ac:dyDescent="0.2">
      <c r="E902" s="3">
        <v>41862</v>
      </c>
      <c r="F902">
        <v>0.45912554999999999</v>
      </c>
    </row>
    <row r="903" spans="5:6" x14ac:dyDescent="0.2">
      <c r="E903" s="3">
        <v>41863</v>
      </c>
      <c r="F903">
        <v>0.44966915000000002</v>
      </c>
    </row>
    <row r="904" spans="5:6" x14ac:dyDescent="0.2">
      <c r="E904" s="3">
        <v>41864</v>
      </c>
      <c r="F904">
        <v>0.47060174999999999</v>
      </c>
    </row>
    <row r="905" spans="5:6" x14ac:dyDescent="0.2">
      <c r="E905" s="3">
        <v>41865</v>
      </c>
      <c r="F905">
        <v>0.48660392000000002</v>
      </c>
    </row>
    <row r="906" spans="5:6" x14ac:dyDescent="0.2">
      <c r="E906" s="3">
        <v>41866</v>
      </c>
      <c r="F906">
        <v>0.52088334000000003</v>
      </c>
    </row>
    <row r="907" spans="5:6" x14ac:dyDescent="0.2">
      <c r="E907" s="3">
        <v>41869</v>
      </c>
      <c r="F907">
        <v>0.48660392000000002</v>
      </c>
    </row>
    <row r="908" spans="5:6" x14ac:dyDescent="0.2">
      <c r="E908" s="3">
        <v>41870</v>
      </c>
      <c r="F908">
        <v>0.46856598999999999</v>
      </c>
    </row>
    <row r="909" spans="5:6" x14ac:dyDescent="0.2">
      <c r="E909" s="3">
        <v>41871</v>
      </c>
      <c r="F909">
        <v>0.46301792000000003</v>
      </c>
    </row>
    <row r="910" spans="5:6" x14ac:dyDescent="0.2">
      <c r="E910" s="3">
        <v>41872</v>
      </c>
      <c r="F910">
        <v>0.48298119</v>
      </c>
    </row>
    <row r="911" spans="5:6" x14ac:dyDescent="0.2">
      <c r="E911" s="3">
        <v>41873</v>
      </c>
      <c r="F911">
        <v>0.48718482000000002</v>
      </c>
    </row>
    <row r="912" spans="5:6" x14ac:dyDescent="0.2">
      <c r="E912" s="3">
        <v>41876</v>
      </c>
      <c r="F912">
        <v>0.49504305999999998</v>
      </c>
    </row>
    <row r="913" spans="5:6" x14ac:dyDescent="0.2">
      <c r="E913" s="3">
        <v>41877</v>
      </c>
      <c r="F913">
        <v>0.50171093</v>
      </c>
    </row>
    <row r="914" spans="5:6" x14ac:dyDescent="0.2">
      <c r="E914" s="3">
        <v>41878</v>
      </c>
      <c r="F914">
        <v>0.51857653999999997</v>
      </c>
    </row>
    <row r="915" spans="5:6" x14ac:dyDescent="0.2">
      <c r="E915" s="3">
        <v>41879</v>
      </c>
      <c r="F915">
        <v>0.53780130000000004</v>
      </c>
    </row>
    <row r="916" spans="5:6" x14ac:dyDescent="0.2">
      <c r="E916" s="3">
        <v>41880</v>
      </c>
      <c r="F916">
        <v>0.53590711999999996</v>
      </c>
    </row>
    <row r="917" spans="5:6" x14ac:dyDescent="0.2">
      <c r="E917" s="3">
        <v>41884</v>
      </c>
      <c r="F917">
        <v>0.48863521999999998</v>
      </c>
    </row>
    <row r="918" spans="5:6" x14ac:dyDescent="0.2">
      <c r="E918" s="3">
        <v>41885</v>
      </c>
      <c r="F918">
        <v>0.47231786999999997</v>
      </c>
    </row>
    <row r="919" spans="5:6" x14ac:dyDescent="0.2">
      <c r="E919" s="3">
        <v>41886</v>
      </c>
      <c r="F919">
        <v>0.44790039999999998</v>
      </c>
    </row>
    <row r="920" spans="5:6" x14ac:dyDescent="0.2">
      <c r="E920" s="3">
        <v>41887</v>
      </c>
      <c r="F920">
        <v>0.43695918</v>
      </c>
    </row>
    <row r="921" spans="5:6" x14ac:dyDescent="0.2">
      <c r="E921" s="3">
        <v>41890</v>
      </c>
      <c r="F921">
        <v>0.43049915999999999</v>
      </c>
    </row>
    <row r="922" spans="5:6" x14ac:dyDescent="0.2">
      <c r="E922" s="3">
        <v>41891</v>
      </c>
      <c r="F922">
        <v>0.4137323</v>
      </c>
    </row>
    <row r="923" spans="5:6" x14ac:dyDescent="0.2">
      <c r="E923" s="3">
        <v>41892</v>
      </c>
      <c r="F923">
        <v>0.43049915999999999</v>
      </c>
    </row>
    <row r="924" spans="5:6" x14ac:dyDescent="0.2">
      <c r="E924" s="3">
        <v>41893</v>
      </c>
      <c r="F924">
        <v>0.43119647999999999</v>
      </c>
    </row>
    <row r="925" spans="5:6" x14ac:dyDescent="0.2">
      <c r="E925" s="3">
        <v>41894</v>
      </c>
      <c r="F925">
        <v>0.39612236000000001</v>
      </c>
    </row>
    <row r="926" spans="5:6" x14ac:dyDescent="0.2">
      <c r="E926" s="3">
        <v>41897</v>
      </c>
      <c r="F926">
        <v>0.40726297</v>
      </c>
    </row>
    <row r="927" spans="5:6" x14ac:dyDescent="0.2">
      <c r="E927" s="3">
        <v>41898</v>
      </c>
      <c r="F927">
        <v>0.40479328999999997</v>
      </c>
    </row>
    <row r="928" spans="5:6" x14ac:dyDescent="0.2">
      <c r="E928" s="3">
        <v>41899</v>
      </c>
      <c r="F928">
        <v>0.39334992000000002</v>
      </c>
    </row>
    <row r="929" spans="5:6" x14ac:dyDescent="0.2">
      <c r="E929" s="3">
        <v>41900</v>
      </c>
      <c r="F929">
        <v>0.38833265</v>
      </c>
    </row>
    <row r="930" spans="5:6" x14ac:dyDescent="0.2">
      <c r="E930" s="3">
        <v>41901</v>
      </c>
      <c r="F930">
        <v>0.40994187999999998</v>
      </c>
    </row>
    <row r="931" spans="5:6" x14ac:dyDescent="0.2">
      <c r="E931" s="3">
        <v>41904</v>
      </c>
      <c r="F931">
        <v>0.41911308000000003</v>
      </c>
    </row>
    <row r="932" spans="5:6" x14ac:dyDescent="0.2">
      <c r="E932" s="3">
        <v>41905</v>
      </c>
      <c r="F932">
        <v>0.43566015000000002</v>
      </c>
    </row>
    <row r="933" spans="5:6" x14ac:dyDescent="0.2">
      <c r="E933" s="3">
        <v>41906</v>
      </c>
      <c r="F933">
        <v>0.41973912000000002</v>
      </c>
    </row>
    <row r="934" spans="5:6" x14ac:dyDescent="0.2">
      <c r="E934" s="3">
        <v>41907</v>
      </c>
      <c r="F934">
        <v>0.45034148000000002</v>
      </c>
    </row>
    <row r="935" spans="5:6" x14ac:dyDescent="0.2">
      <c r="E935" s="3">
        <v>41908</v>
      </c>
      <c r="F935">
        <v>0.43658808999999998</v>
      </c>
    </row>
    <row r="936" spans="5:6" x14ac:dyDescent="0.2">
      <c r="E936" s="3">
        <v>41911</v>
      </c>
      <c r="F936">
        <v>0.45435885999999998</v>
      </c>
    </row>
    <row r="937" spans="5:6" x14ac:dyDescent="0.2">
      <c r="E937" s="3">
        <v>41912</v>
      </c>
      <c r="F937">
        <v>0.44080891</v>
      </c>
    </row>
    <row r="938" spans="5:6" x14ac:dyDescent="0.2">
      <c r="E938" s="3">
        <v>41913</v>
      </c>
      <c r="F938">
        <v>0.48681100999999999</v>
      </c>
    </row>
    <row r="939" spans="5:6" x14ac:dyDescent="0.2">
      <c r="E939" s="3">
        <v>41914</v>
      </c>
      <c r="F939">
        <v>0.47555366999999998</v>
      </c>
    </row>
    <row r="940" spans="5:6" x14ac:dyDescent="0.2">
      <c r="E940" s="3">
        <v>41915</v>
      </c>
      <c r="F940">
        <v>0.47165448999999998</v>
      </c>
    </row>
    <row r="941" spans="5:6" x14ac:dyDescent="0.2">
      <c r="E941" s="3">
        <v>41918</v>
      </c>
      <c r="F941">
        <v>0.48395365000000001</v>
      </c>
    </row>
    <row r="942" spans="5:6" x14ac:dyDescent="0.2">
      <c r="E942" s="3">
        <v>41919</v>
      </c>
      <c r="F942">
        <v>0.53872109999999995</v>
      </c>
    </row>
    <row r="943" spans="5:6" x14ac:dyDescent="0.2">
      <c r="E943" s="3">
        <v>41920</v>
      </c>
      <c r="F943">
        <v>0.53950783999999996</v>
      </c>
    </row>
    <row r="944" spans="5:6" x14ac:dyDescent="0.2">
      <c r="E944" s="3">
        <v>41921</v>
      </c>
      <c r="F944">
        <v>0.53786215000000004</v>
      </c>
    </row>
    <row r="945" spans="5:6" x14ac:dyDescent="0.2">
      <c r="E945" s="3">
        <v>41922</v>
      </c>
      <c r="F945">
        <v>0.54040732000000002</v>
      </c>
    </row>
    <row r="946" spans="5:6" x14ac:dyDescent="0.2">
      <c r="E946" s="3">
        <v>41926</v>
      </c>
      <c r="F946">
        <v>0.58185359999999997</v>
      </c>
    </row>
    <row r="947" spans="5:6" x14ac:dyDescent="0.2">
      <c r="E947" s="3">
        <v>41927</v>
      </c>
      <c r="F947">
        <v>0.61046866</v>
      </c>
    </row>
    <row r="948" spans="5:6" x14ac:dyDescent="0.2">
      <c r="E948" s="3">
        <v>41928</v>
      </c>
      <c r="F948">
        <v>0.58581174999999996</v>
      </c>
    </row>
    <row r="949" spans="5:6" x14ac:dyDescent="0.2">
      <c r="E949" s="3">
        <v>41929</v>
      </c>
      <c r="F949">
        <v>0.5809723</v>
      </c>
    </row>
    <row r="950" spans="5:6" x14ac:dyDescent="0.2">
      <c r="E950" s="3">
        <v>41932</v>
      </c>
      <c r="F950">
        <v>0.58745733</v>
      </c>
    </row>
    <row r="951" spans="5:6" x14ac:dyDescent="0.2">
      <c r="E951" s="3">
        <v>41933</v>
      </c>
      <c r="F951">
        <v>0.58248991000000006</v>
      </c>
    </row>
    <row r="952" spans="5:6" x14ac:dyDescent="0.2">
      <c r="E952" s="3">
        <v>41934</v>
      </c>
      <c r="F952">
        <v>0.58371083000000001</v>
      </c>
    </row>
    <row r="953" spans="5:6" x14ac:dyDescent="0.2">
      <c r="E953" s="3">
        <v>41935</v>
      </c>
      <c r="F953">
        <v>0.57350184999999998</v>
      </c>
    </row>
    <row r="954" spans="5:6" x14ac:dyDescent="0.2">
      <c r="E954" s="3">
        <v>41936</v>
      </c>
      <c r="F954">
        <v>0.56916891000000003</v>
      </c>
    </row>
    <row r="955" spans="5:6" x14ac:dyDescent="0.2">
      <c r="E955" s="3">
        <v>41939</v>
      </c>
      <c r="F955">
        <v>0.57517284000000002</v>
      </c>
    </row>
    <row r="956" spans="5:6" x14ac:dyDescent="0.2">
      <c r="E956" s="3">
        <v>41940</v>
      </c>
      <c r="F956">
        <v>0.56621257999999997</v>
      </c>
    </row>
    <row r="957" spans="5:6" x14ac:dyDescent="0.2">
      <c r="E957" s="3">
        <v>41941</v>
      </c>
      <c r="F957">
        <v>0.55231045999999995</v>
      </c>
    </row>
    <row r="958" spans="5:6" x14ac:dyDescent="0.2">
      <c r="E958" s="3">
        <v>41942</v>
      </c>
      <c r="F958">
        <v>0.56428913000000003</v>
      </c>
    </row>
    <row r="959" spans="5:6" x14ac:dyDescent="0.2">
      <c r="E959" s="3">
        <v>41943</v>
      </c>
      <c r="F959">
        <v>0.55191319999999999</v>
      </c>
    </row>
    <row r="960" spans="5:6" x14ac:dyDescent="0.2">
      <c r="E960" s="3">
        <v>41946</v>
      </c>
      <c r="F960">
        <v>0.51669485000000004</v>
      </c>
    </row>
    <row r="961" spans="5:6" x14ac:dyDescent="0.2">
      <c r="E961" s="3">
        <v>41947</v>
      </c>
      <c r="F961">
        <v>0.52073263000000003</v>
      </c>
    </row>
    <row r="962" spans="5:6" x14ac:dyDescent="0.2">
      <c r="E962" s="3">
        <v>41948</v>
      </c>
      <c r="F962">
        <v>0.53403869000000004</v>
      </c>
    </row>
    <row r="963" spans="5:6" x14ac:dyDescent="0.2">
      <c r="E963" s="3">
        <v>41949</v>
      </c>
      <c r="F963">
        <v>0.52681778999999995</v>
      </c>
    </row>
    <row r="964" spans="5:6" x14ac:dyDescent="0.2">
      <c r="E964" s="3">
        <v>41950</v>
      </c>
      <c r="F964">
        <v>0.56332722000000002</v>
      </c>
    </row>
    <row r="965" spans="5:6" x14ac:dyDescent="0.2">
      <c r="E965" s="3">
        <v>41953</v>
      </c>
      <c r="F965">
        <v>0.54089107999999997</v>
      </c>
    </row>
    <row r="966" spans="5:6" x14ac:dyDescent="0.2">
      <c r="E966" s="3">
        <v>41955</v>
      </c>
      <c r="F966">
        <v>0.55171208000000005</v>
      </c>
    </row>
    <row r="967" spans="5:6" x14ac:dyDescent="0.2">
      <c r="E967" s="3">
        <v>41956</v>
      </c>
      <c r="F967">
        <v>0.55857886000000001</v>
      </c>
    </row>
    <row r="968" spans="5:6" x14ac:dyDescent="0.2">
      <c r="E968" s="3">
        <v>41957</v>
      </c>
      <c r="F968">
        <v>0.57386685999999998</v>
      </c>
    </row>
    <row r="969" spans="5:6" x14ac:dyDescent="0.2">
      <c r="E969" s="3">
        <v>41960</v>
      </c>
      <c r="F969">
        <v>0.57256868000000005</v>
      </c>
    </row>
    <row r="970" spans="5:6" x14ac:dyDescent="0.2">
      <c r="E970" s="3">
        <v>41961</v>
      </c>
      <c r="F970">
        <v>0.57506597999999998</v>
      </c>
    </row>
    <row r="971" spans="5:6" x14ac:dyDescent="0.2">
      <c r="E971" s="3">
        <v>41962</v>
      </c>
      <c r="F971">
        <v>0.56281760999999997</v>
      </c>
    </row>
    <row r="972" spans="5:6" x14ac:dyDescent="0.2">
      <c r="E972" s="3">
        <v>41963</v>
      </c>
      <c r="F972">
        <v>0.57240922999999999</v>
      </c>
    </row>
    <row r="973" spans="5:6" x14ac:dyDescent="0.2">
      <c r="E973" s="3">
        <v>41964</v>
      </c>
      <c r="F973">
        <v>0.57608892</v>
      </c>
    </row>
    <row r="974" spans="5:6" x14ac:dyDescent="0.2">
      <c r="E974" s="3">
        <v>41967</v>
      </c>
      <c r="F974">
        <v>0.57921135000000001</v>
      </c>
    </row>
    <row r="975" spans="5:6" x14ac:dyDescent="0.2">
      <c r="E975" s="3">
        <v>41968</v>
      </c>
      <c r="F975">
        <v>0.59653157000000001</v>
      </c>
    </row>
    <row r="976" spans="5:6" x14ac:dyDescent="0.2">
      <c r="E976" s="3">
        <v>41969</v>
      </c>
      <c r="F976">
        <v>0.58658396999999995</v>
      </c>
    </row>
    <row r="977" spans="5:6" x14ac:dyDescent="0.2">
      <c r="E977" s="3">
        <v>41971</v>
      </c>
      <c r="F977">
        <v>0.60133714000000005</v>
      </c>
    </row>
    <row r="978" spans="5:6" x14ac:dyDescent="0.2">
      <c r="E978" s="3">
        <v>41974</v>
      </c>
      <c r="F978">
        <v>0.59072795</v>
      </c>
    </row>
    <row r="979" spans="5:6" x14ac:dyDescent="0.2">
      <c r="E979" s="3">
        <v>41975</v>
      </c>
      <c r="F979">
        <v>0.57114505000000004</v>
      </c>
    </row>
    <row r="980" spans="5:6" x14ac:dyDescent="0.2">
      <c r="E980" s="3">
        <v>41976</v>
      </c>
      <c r="F980">
        <v>0.57867104999999996</v>
      </c>
    </row>
    <row r="981" spans="5:6" x14ac:dyDescent="0.2">
      <c r="E981" s="3">
        <v>41977</v>
      </c>
      <c r="F981">
        <v>0.58835028</v>
      </c>
    </row>
    <row r="982" spans="5:6" x14ac:dyDescent="0.2">
      <c r="E982" s="3">
        <v>41978</v>
      </c>
      <c r="F982">
        <v>0.57239673000000002</v>
      </c>
    </row>
    <row r="983" spans="5:6" x14ac:dyDescent="0.2">
      <c r="E983" s="3">
        <v>41981</v>
      </c>
      <c r="F983">
        <v>0.58594712999999998</v>
      </c>
    </row>
    <row r="984" spans="5:6" x14ac:dyDescent="0.2">
      <c r="E984" s="3">
        <v>41982</v>
      </c>
      <c r="F984">
        <v>0.59463946999999995</v>
      </c>
    </row>
    <row r="985" spans="5:6" x14ac:dyDescent="0.2">
      <c r="E985" s="3">
        <v>41983</v>
      </c>
      <c r="F985">
        <v>0.59762468000000002</v>
      </c>
    </row>
    <row r="986" spans="5:6" x14ac:dyDescent="0.2">
      <c r="E986" s="3">
        <v>41984</v>
      </c>
      <c r="F986">
        <v>0.59234335000000005</v>
      </c>
    </row>
    <row r="987" spans="5:6" x14ac:dyDescent="0.2">
      <c r="E987" s="3">
        <v>41985</v>
      </c>
      <c r="F987">
        <v>0.61318455999999999</v>
      </c>
    </row>
    <row r="988" spans="5:6" x14ac:dyDescent="0.2">
      <c r="E988" s="3">
        <v>41988</v>
      </c>
      <c r="F988">
        <v>0.60500788999999999</v>
      </c>
    </row>
    <row r="989" spans="5:6" x14ac:dyDescent="0.2">
      <c r="E989" s="3">
        <v>41989</v>
      </c>
      <c r="F989">
        <v>0.61851102999999996</v>
      </c>
    </row>
    <row r="990" spans="5:6" x14ac:dyDescent="0.2">
      <c r="E990" s="3">
        <v>41990</v>
      </c>
      <c r="F990">
        <v>0.60999000999999997</v>
      </c>
    </row>
    <row r="991" spans="5:6" x14ac:dyDescent="0.2">
      <c r="E991" s="3">
        <v>41991</v>
      </c>
      <c r="F991">
        <v>0.60467766000000001</v>
      </c>
    </row>
    <row r="992" spans="5:6" x14ac:dyDescent="0.2">
      <c r="E992" s="3">
        <v>41992</v>
      </c>
      <c r="F992">
        <v>0.61106543000000002</v>
      </c>
    </row>
    <row r="993" spans="5:6" x14ac:dyDescent="0.2">
      <c r="E993" s="3">
        <v>41995</v>
      </c>
      <c r="F993">
        <v>0.61490803999999999</v>
      </c>
    </row>
    <row r="994" spans="5:6" x14ac:dyDescent="0.2">
      <c r="E994" s="3">
        <v>41996</v>
      </c>
      <c r="F994">
        <v>0.58426213999999999</v>
      </c>
    </row>
    <row r="995" spans="5:6" x14ac:dyDescent="0.2">
      <c r="E995" s="3">
        <v>41997</v>
      </c>
      <c r="F995">
        <v>0.59024577</v>
      </c>
    </row>
    <row r="996" spans="5:6" x14ac:dyDescent="0.2">
      <c r="E996" s="3">
        <v>41999</v>
      </c>
      <c r="F996">
        <v>0.59844739000000002</v>
      </c>
    </row>
    <row r="997" spans="5:6" x14ac:dyDescent="0.2">
      <c r="E997" s="3">
        <v>42002</v>
      </c>
      <c r="F997">
        <v>0.60730706999999995</v>
      </c>
    </row>
    <row r="998" spans="5:6" x14ac:dyDescent="0.2">
      <c r="E998" s="3">
        <v>42003</v>
      </c>
      <c r="F998">
        <v>0.60957428000000002</v>
      </c>
    </row>
    <row r="999" spans="5:6" x14ac:dyDescent="0.2">
      <c r="E999" s="3">
        <v>42004</v>
      </c>
      <c r="F999">
        <v>0.60249396</v>
      </c>
    </row>
    <row r="1000" spans="5:6" x14ac:dyDescent="0.2">
      <c r="E1000" s="3">
        <v>42006</v>
      </c>
      <c r="F1000">
        <v>0.61630004999999999</v>
      </c>
    </row>
    <row r="1001" spans="5:6" x14ac:dyDescent="0.2">
      <c r="E1001" s="3">
        <v>42009</v>
      </c>
      <c r="F1001">
        <v>0.64440816999999995</v>
      </c>
    </row>
    <row r="1002" spans="5:6" x14ac:dyDescent="0.2">
      <c r="E1002" s="3">
        <v>42010</v>
      </c>
      <c r="F1002">
        <v>0.67838461999999999</v>
      </c>
    </row>
    <row r="1003" spans="5:6" x14ac:dyDescent="0.2">
      <c r="E1003" s="3">
        <v>42011</v>
      </c>
      <c r="F1003">
        <v>0.65653189999999995</v>
      </c>
    </row>
    <row r="1004" spans="5:6" x14ac:dyDescent="0.2">
      <c r="E1004" s="3">
        <v>42012</v>
      </c>
      <c r="F1004">
        <v>0.63669825000000002</v>
      </c>
    </row>
    <row r="1005" spans="5:6" x14ac:dyDescent="0.2">
      <c r="E1005" s="3">
        <v>42013</v>
      </c>
      <c r="F1005">
        <v>0.64879244000000003</v>
      </c>
    </row>
    <row r="1006" spans="5:6" x14ac:dyDescent="0.2">
      <c r="E1006" s="3">
        <v>42016</v>
      </c>
      <c r="F1006">
        <v>0.66995446999999997</v>
      </c>
    </row>
    <row r="1007" spans="5:6" x14ac:dyDescent="0.2">
      <c r="E1007" s="3">
        <v>42017</v>
      </c>
      <c r="F1007">
        <v>0.67716757999999999</v>
      </c>
    </row>
    <row r="1008" spans="5:6" x14ac:dyDescent="0.2">
      <c r="E1008" s="3">
        <v>42018</v>
      </c>
      <c r="F1008">
        <v>0.75092638</v>
      </c>
    </row>
    <row r="1009" spans="5:6" x14ac:dyDescent="0.2">
      <c r="E1009" s="3">
        <v>42019</v>
      </c>
      <c r="F1009">
        <v>0.77820301999999997</v>
      </c>
    </row>
    <row r="1010" spans="5:6" x14ac:dyDescent="0.2">
      <c r="E1010" s="3">
        <v>42020</v>
      </c>
      <c r="F1010">
        <v>0.69078755999999997</v>
      </c>
    </row>
    <row r="1011" spans="5:6" x14ac:dyDescent="0.2">
      <c r="E1011" s="3">
        <v>42024</v>
      </c>
      <c r="F1011">
        <v>0.68268572999999999</v>
      </c>
    </row>
    <row r="1012" spans="5:6" x14ac:dyDescent="0.2">
      <c r="E1012" s="3">
        <v>42025</v>
      </c>
      <c r="F1012">
        <v>0.63813522</v>
      </c>
    </row>
    <row r="1013" spans="5:6" x14ac:dyDescent="0.2">
      <c r="E1013" s="3">
        <v>42026</v>
      </c>
      <c r="F1013">
        <v>0.63573738000000002</v>
      </c>
    </row>
    <row r="1014" spans="5:6" x14ac:dyDescent="0.2">
      <c r="E1014" s="3">
        <v>42027</v>
      </c>
      <c r="F1014">
        <v>0.65375899999999998</v>
      </c>
    </row>
    <row r="1015" spans="5:6" x14ac:dyDescent="0.2">
      <c r="E1015" s="3">
        <v>42030</v>
      </c>
      <c r="F1015">
        <v>0.64299956000000003</v>
      </c>
    </row>
    <row r="1016" spans="5:6" x14ac:dyDescent="0.2">
      <c r="E1016" s="3">
        <v>42031</v>
      </c>
      <c r="F1016">
        <v>0.64752867000000003</v>
      </c>
    </row>
    <row r="1017" spans="5:6" x14ac:dyDescent="0.2">
      <c r="E1017" s="3">
        <v>42032</v>
      </c>
      <c r="F1017">
        <v>0.70869574000000002</v>
      </c>
    </row>
    <row r="1018" spans="5:6" x14ac:dyDescent="0.2">
      <c r="E1018" s="3">
        <v>42033</v>
      </c>
      <c r="F1018">
        <v>0.70072699999999999</v>
      </c>
    </row>
    <row r="1019" spans="5:6" x14ac:dyDescent="0.2">
      <c r="E1019" s="3">
        <v>42034</v>
      </c>
      <c r="F1019">
        <v>0.76666900999999998</v>
      </c>
    </row>
    <row r="1020" spans="5:6" x14ac:dyDescent="0.2">
      <c r="E1020" s="3">
        <v>42037</v>
      </c>
      <c r="F1020">
        <v>0.76793736999999995</v>
      </c>
    </row>
    <row r="1021" spans="5:6" x14ac:dyDescent="0.2">
      <c r="E1021" s="3">
        <v>42038</v>
      </c>
      <c r="F1021">
        <v>0.67780158999999995</v>
      </c>
    </row>
    <row r="1022" spans="5:6" x14ac:dyDescent="0.2">
      <c r="E1022" s="3">
        <v>42039</v>
      </c>
      <c r="F1022">
        <v>0.65356482999999999</v>
      </c>
    </row>
    <row r="1023" spans="5:6" x14ac:dyDescent="0.2">
      <c r="E1023" s="3">
        <v>42040</v>
      </c>
      <c r="F1023">
        <v>0.65571170999999995</v>
      </c>
    </row>
    <row r="1024" spans="5:6" x14ac:dyDescent="0.2">
      <c r="E1024" s="3">
        <v>42041</v>
      </c>
      <c r="F1024">
        <v>0.61649233999999997</v>
      </c>
    </row>
    <row r="1025" spans="5:6" x14ac:dyDescent="0.2">
      <c r="E1025" s="3">
        <v>42044</v>
      </c>
      <c r="F1025">
        <v>0.61306892999999996</v>
      </c>
    </row>
    <row r="1026" spans="5:6" x14ac:dyDescent="0.2">
      <c r="E1026" s="3">
        <v>42045</v>
      </c>
      <c r="F1026">
        <v>0.58853548</v>
      </c>
    </row>
    <row r="1027" spans="5:6" x14ac:dyDescent="0.2">
      <c r="E1027" s="3">
        <v>42046</v>
      </c>
      <c r="F1027">
        <v>0.62854273999999999</v>
      </c>
    </row>
    <row r="1028" spans="5:6" x14ac:dyDescent="0.2">
      <c r="E1028" s="3">
        <v>42047</v>
      </c>
      <c r="F1028">
        <v>0.63304419999999995</v>
      </c>
    </row>
    <row r="1029" spans="5:6" x14ac:dyDescent="0.2">
      <c r="E1029" s="3">
        <v>42048</v>
      </c>
      <c r="F1029">
        <v>0.62768749999999995</v>
      </c>
    </row>
    <row r="1030" spans="5:6" x14ac:dyDescent="0.2">
      <c r="E1030" s="3">
        <v>42052</v>
      </c>
      <c r="F1030">
        <v>0.57876243000000005</v>
      </c>
    </row>
    <row r="1031" spans="5:6" x14ac:dyDescent="0.2">
      <c r="E1031" s="3">
        <v>42053</v>
      </c>
      <c r="F1031">
        <v>0.61774534000000003</v>
      </c>
    </row>
    <row r="1032" spans="5:6" x14ac:dyDescent="0.2">
      <c r="E1032" s="3">
        <v>42054</v>
      </c>
      <c r="F1032">
        <v>0.60779223000000004</v>
      </c>
    </row>
    <row r="1033" spans="5:6" x14ac:dyDescent="0.2">
      <c r="E1033" s="3">
        <v>42055</v>
      </c>
      <c r="F1033">
        <v>0.60118245999999997</v>
      </c>
    </row>
    <row r="1034" spans="5:6" x14ac:dyDescent="0.2">
      <c r="E1034" s="3">
        <v>42058</v>
      </c>
      <c r="F1034">
        <v>0.61867640999999995</v>
      </c>
    </row>
    <row r="1035" spans="5:6" x14ac:dyDescent="0.2">
      <c r="E1035" s="3">
        <v>42059</v>
      </c>
      <c r="F1035">
        <v>0.63591737999999998</v>
      </c>
    </row>
    <row r="1036" spans="5:6" x14ac:dyDescent="0.2">
      <c r="E1036" s="3">
        <v>42060</v>
      </c>
      <c r="F1036">
        <v>0.63216313999999996</v>
      </c>
    </row>
    <row r="1037" spans="5:6" x14ac:dyDescent="0.2">
      <c r="E1037" s="3">
        <v>42061</v>
      </c>
      <c r="F1037">
        <v>0.62146232000000001</v>
      </c>
    </row>
    <row r="1038" spans="5:6" x14ac:dyDescent="0.2">
      <c r="E1038" s="3">
        <v>42062</v>
      </c>
      <c r="F1038">
        <v>0.62925392000000002</v>
      </c>
    </row>
    <row r="1039" spans="5:6" x14ac:dyDescent="0.2">
      <c r="E1039" s="3">
        <v>42065</v>
      </c>
      <c r="F1039">
        <v>0.60068379999999999</v>
      </c>
    </row>
    <row r="1040" spans="5:6" x14ac:dyDescent="0.2">
      <c r="E1040" s="3">
        <v>42066</v>
      </c>
      <c r="F1040">
        <v>0.58614091000000001</v>
      </c>
    </row>
    <row r="1041" spans="5:6" x14ac:dyDescent="0.2">
      <c r="E1041" s="3">
        <v>42067</v>
      </c>
      <c r="F1041">
        <v>0.60724995999999998</v>
      </c>
    </row>
    <row r="1042" spans="5:6" x14ac:dyDescent="0.2">
      <c r="E1042" s="3">
        <v>42068</v>
      </c>
      <c r="F1042">
        <v>0.61056266000000003</v>
      </c>
    </row>
    <row r="1043" spans="5:6" x14ac:dyDescent="0.2">
      <c r="E1043" s="3">
        <v>42069</v>
      </c>
      <c r="F1043">
        <v>0.5608168</v>
      </c>
    </row>
    <row r="1044" spans="5:6" x14ac:dyDescent="0.2">
      <c r="E1044" s="3">
        <v>42072</v>
      </c>
      <c r="F1044">
        <v>0.5745268</v>
      </c>
    </row>
    <row r="1045" spans="5:6" x14ac:dyDescent="0.2">
      <c r="E1045" s="3">
        <v>42073</v>
      </c>
      <c r="F1045">
        <v>0.59759189999999995</v>
      </c>
    </row>
    <row r="1046" spans="5:6" x14ac:dyDescent="0.2">
      <c r="E1046" s="3">
        <v>42074</v>
      </c>
      <c r="F1046">
        <v>0.59157618999999995</v>
      </c>
    </row>
    <row r="1047" spans="5:6" x14ac:dyDescent="0.2">
      <c r="E1047" s="3">
        <v>42075</v>
      </c>
      <c r="F1047">
        <v>0.59610173</v>
      </c>
    </row>
    <row r="1048" spans="5:6" x14ac:dyDescent="0.2">
      <c r="E1048" s="3">
        <v>42076</v>
      </c>
      <c r="F1048">
        <v>0.59032121000000004</v>
      </c>
    </row>
    <row r="1049" spans="5:6" x14ac:dyDescent="0.2">
      <c r="E1049" s="3">
        <v>42079</v>
      </c>
      <c r="F1049">
        <v>0.59252170000000004</v>
      </c>
    </row>
    <row r="1050" spans="5:6" x14ac:dyDescent="0.2">
      <c r="E1050" s="3">
        <v>42080</v>
      </c>
      <c r="F1050">
        <v>0.60466905000000004</v>
      </c>
    </row>
    <row r="1051" spans="5:6" x14ac:dyDescent="0.2">
      <c r="E1051" s="3">
        <v>42081</v>
      </c>
      <c r="F1051">
        <v>0.64537546000000001</v>
      </c>
    </row>
    <row r="1052" spans="5:6" x14ac:dyDescent="0.2">
      <c r="E1052" s="3">
        <v>42082</v>
      </c>
      <c r="F1052">
        <v>0.63880055000000002</v>
      </c>
    </row>
    <row r="1053" spans="5:6" x14ac:dyDescent="0.2">
      <c r="E1053" s="3">
        <v>42083</v>
      </c>
      <c r="F1053">
        <v>0.65412296000000003</v>
      </c>
    </row>
    <row r="1054" spans="5:6" x14ac:dyDescent="0.2">
      <c r="E1054" s="3">
        <v>42086</v>
      </c>
      <c r="F1054">
        <v>0.66015654000000001</v>
      </c>
    </row>
    <row r="1055" spans="5:6" x14ac:dyDescent="0.2">
      <c r="E1055" s="3">
        <v>42087</v>
      </c>
      <c r="F1055">
        <v>0.69357480999999999</v>
      </c>
    </row>
    <row r="1056" spans="5:6" x14ac:dyDescent="0.2">
      <c r="E1056" s="3">
        <v>42088</v>
      </c>
      <c r="F1056">
        <v>0.64140439000000005</v>
      </c>
    </row>
    <row r="1057" spans="5:6" x14ac:dyDescent="0.2">
      <c r="E1057" s="3">
        <v>42089</v>
      </c>
      <c r="F1057">
        <v>0.60937196000000005</v>
      </c>
    </row>
    <row r="1058" spans="5:6" x14ac:dyDescent="0.2">
      <c r="E1058" s="3">
        <v>42090</v>
      </c>
      <c r="F1058">
        <v>0.62801742999999999</v>
      </c>
    </row>
    <row r="1059" spans="5:6" x14ac:dyDescent="0.2">
      <c r="E1059" s="3">
        <v>42093</v>
      </c>
      <c r="F1059">
        <v>0.62881770999999997</v>
      </c>
    </row>
    <row r="1060" spans="5:6" x14ac:dyDescent="0.2">
      <c r="E1060" s="3">
        <v>42094</v>
      </c>
      <c r="F1060">
        <v>0.64278259999999998</v>
      </c>
    </row>
    <row r="1061" spans="5:6" x14ac:dyDescent="0.2">
      <c r="E1061" s="3">
        <v>42095</v>
      </c>
      <c r="F1061">
        <v>0.66718633000000005</v>
      </c>
    </row>
    <row r="1062" spans="5:6" x14ac:dyDescent="0.2">
      <c r="E1062" s="3">
        <v>42096</v>
      </c>
      <c r="F1062">
        <v>0.63871856000000005</v>
      </c>
    </row>
    <row r="1063" spans="5:6" x14ac:dyDescent="0.2">
      <c r="E1063" s="3">
        <v>42097</v>
      </c>
      <c r="F1063">
        <v>0.67304171000000002</v>
      </c>
    </row>
    <row r="1064" spans="5:6" x14ac:dyDescent="0.2">
      <c r="E1064" s="3">
        <v>42100</v>
      </c>
      <c r="F1064">
        <v>0.64741552000000002</v>
      </c>
    </row>
    <row r="1065" spans="5:6" x14ac:dyDescent="0.2">
      <c r="E1065" s="3">
        <v>42101</v>
      </c>
      <c r="F1065">
        <v>0.64951369999999997</v>
      </c>
    </row>
    <row r="1066" spans="5:6" x14ac:dyDescent="0.2">
      <c r="E1066" s="3">
        <v>42102</v>
      </c>
      <c r="F1066">
        <v>0.64690194999999995</v>
      </c>
    </row>
    <row r="1067" spans="5:6" x14ac:dyDescent="0.2">
      <c r="E1067" s="3">
        <v>42103</v>
      </c>
      <c r="F1067">
        <v>0.63509870000000002</v>
      </c>
    </row>
    <row r="1068" spans="5:6" x14ac:dyDescent="0.2">
      <c r="E1068" s="3">
        <v>42104</v>
      </c>
      <c r="F1068">
        <v>0.62711605000000004</v>
      </c>
    </row>
    <row r="1069" spans="5:6" x14ac:dyDescent="0.2">
      <c r="E1069" s="3">
        <v>42107</v>
      </c>
      <c r="F1069">
        <v>0.63732171999999998</v>
      </c>
    </row>
    <row r="1070" spans="5:6" x14ac:dyDescent="0.2">
      <c r="E1070" s="3">
        <v>42108</v>
      </c>
      <c r="F1070">
        <v>0.66014222</v>
      </c>
    </row>
    <row r="1071" spans="5:6" x14ac:dyDescent="0.2">
      <c r="E1071" s="3">
        <v>42109</v>
      </c>
      <c r="F1071">
        <v>0.64826311000000003</v>
      </c>
    </row>
    <row r="1072" spans="5:6" x14ac:dyDescent="0.2">
      <c r="E1072" s="3">
        <v>42110</v>
      </c>
      <c r="F1072">
        <v>0.65379001000000003</v>
      </c>
    </row>
    <row r="1073" spans="5:6" x14ac:dyDescent="0.2">
      <c r="E1073" s="3">
        <v>42111</v>
      </c>
      <c r="F1073">
        <v>0.65890435000000003</v>
      </c>
    </row>
    <row r="1074" spans="5:6" x14ac:dyDescent="0.2">
      <c r="E1074" s="3">
        <v>42114</v>
      </c>
      <c r="F1074">
        <v>0.64190619000000004</v>
      </c>
    </row>
    <row r="1075" spans="5:6" x14ac:dyDescent="0.2">
      <c r="E1075" s="3">
        <v>42115</v>
      </c>
      <c r="F1075">
        <v>0.63233556000000002</v>
      </c>
    </row>
    <row r="1076" spans="5:6" x14ac:dyDescent="0.2">
      <c r="E1076" s="3">
        <v>42116</v>
      </c>
      <c r="F1076">
        <v>0.61916736999999999</v>
      </c>
    </row>
    <row r="1077" spans="5:6" x14ac:dyDescent="0.2">
      <c r="E1077" s="3">
        <v>42117</v>
      </c>
      <c r="F1077">
        <v>0.62872844000000006</v>
      </c>
    </row>
    <row r="1078" spans="5:6" x14ac:dyDescent="0.2">
      <c r="E1078" s="3">
        <v>42118</v>
      </c>
      <c r="F1078">
        <v>0.63907605999999995</v>
      </c>
    </row>
    <row r="1079" spans="5:6" x14ac:dyDescent="0.2">
      <c r="E1079" s="3">
        <v>42121</v>
      </c>
      <c r="F1079">
        <v>0.63426943000000002</v>
      </c>
    </row>
    <row r="1080" spans="5:6" x14ac:dyDescent="0.2">
      <c r="E1080" s="3">
        <v>42122</v>
      </c>
      <c r="F1080">
        <v>0.6113807</v>
      </c>
    </row>
    <row r="1081" spans="5:6" x14ac:dyDescent="0.2">
      <c r="E1081" s="3">
        <v>42123</v>
      </c>
      <c r="F1081">
        <v>0.60890275999999999</v>
      </c>
    </row>
    <row r="1082" spans="5:6" x14ac:dyDescent="0.2">
      <c r="E1082" s="3">
        <v>42124</v>
      </c>
      <c r="F1082">
        <v>0.60856288999999997</v>
      </c>
    </row>
    <row r="1083" spans="5:6" x14ac:dyDescent="0.2">
      <c r="E1083" s="3">
        <v>42125</v>
      </c>
      <c r="F1083">
        <v>0.57527417999999997</v>
      </c>
    </row>
    <row r="1084" spans="5:6" x14ac:dyDescent="0.2">
      <c r="E1084" s="3">
        <v>42128</v>
      </c>
      <c r="F1084">
        <v>0.56343195999999995</v>
      </c>
    </row>
    <row r="1085" spans="5:6" x14ac:dyDescent="0.2">
      <c r="E1085" s="3">
        <v>42129</v>
      </c>
      <c r="F1085">
        <v>0.54434817000000002</v>
      </c>
    </row>
    <row r="1086" spans="5:6" x14ac:dyDescent="0.2">
      <c r="E1086" s="3">
        <v>42130</v>
      </c>
      <c r="F1086">
        <v>0.54383247000000001</v>
      </c>
    </row>
    <row r="1087" spans="5:6" x14ac:dyDescent="0.2">
      <c r="E1087" s="3">
        <v>42131</v>
      </c>
      <c r="F1087">
        <v>0.57105379999999994</v>
      </c>
    </row>
    <row r="1088" spans="5:6" x14ac:dyDescent="0.2">
      <c r="E1088" s="3">
        <v>42132</v>
      </c>
      <c r="F1088">
        <v>0.59227565999999998</v>
      </c>
    </row>
    <row r="1089" spans="5:6" x14ac:dyDescent="0.2">
      <c r="E1089" s="3">
        <v>42135</v>
      </c>
      <c r="F1089">
        <v>0.54383247000000001</v>
      </c>
    </row>
    <row r="1090" spans="5:6" x14ac:dyDescent="0.2">
      <c r="E1090" s="3">
        <v>42136</v>
      </c>
      <c r="F1090">
        <v>0.53697927999999995</v>
      </c>
    </row>
    <row r="1091" spans="5:6" x14ac:dyDescent="0.2">
      <c r="E1091" s="3">
        <v>42137</v>
      </c>
      <c r="F1091">
        <v>0.53282945000000004</v>
      </c>
    </row>
    <row r="1092" spans="5:6" x14ac:dyDescent="0.2">
      <c r="E1092" s="3">
        <v>42138</v>
      </c>
      <c r="F1092">
        <v>0.55462948999999995</v>
      </c>
    </row>
    <row r="1093" spans="5:6" x14ac:dyDescent="0.2">
      <c r="E1093" s="3">
        <v>42139</v>
      </c>
      <c r="F1093">
        <v>0.58997149000000004</v>
      </c>
    </row>
    <row r="1094" spans="5:6" x14ac:dyDescent="0.2">
      <c r="E1094" s="3">
        <v>42142</v>
      </c>
      <c r="F1094">
        <v>0.56506259999999997</v>
      </c>
    </row>
    <row r="1095" spans="5:6" x14ac:dyDescent="0.2">
      <c r="E1095" s="3">
        <v>42143</v>
      </c>
      <c r="F1095">
        <v>0.54660865999999997</v>
      </c>
    </row>
    <row r="1096" spans="5:6" x14ac:dyDescent="0.2">
      <c r="E1096" s="3">
        <v>42144</v>
      </c>
      <c r="F1096">
        <v>0.54219410999999995</v>
      </c>
    </row>
    <row r="1097" spans="5:6" x14ac:dyDescent="0.2">
      <c r="E1097" s="3">
        <v>42145</v>
      </c>
      <c r="F1097">
        <v>0.56754351999999997</v>
      </c>
    </row>
    <row r="1098" spans="5:6" x14ac:dyDescent="0.2">
      <c r="E1098" s="3">
        <v>42146</v>
      </c>
      <c r="F1098">
        <v>0.55246136000000001</v>
      </c>
    </row>
    <row r="1099" spans="5:6" x14ac:dyDescent="0.2">
      <c r="E1099" s="3">
        <v>42150</v>
      </c>
      <c r="F1099">
        <v>0.57070580999999998</v>
      </c>
    </row>
    <row r="1100" spans="5:6" x14ac:dyDescent="0.2">
      <c r="E1100" s="3">
        <v>42151</v>
      </c>
      <c r="F1100">
        <v>0.55839386999999996</v>
      </c>
    </row>
    <row r="1101" spans="5:6" x14ac:dyDescent="0.2">
      <c r="E1101" s="3">
        <v>42152</v>
      </c>
      <c r="F1101">
        <v>0.56120232000000003</v>
      </c>
    </row>
    <row r="1102" spans="5:6" x14ac:dyDescent="0.2">
      <c r="E1102" s="3">
        <v>42153</v>
      </c>
      <c r="F1102">
        <v>0.57203724</v>
      </c>
    </row>
    <row r="1103" spans="5:6" x14ac:dyDescent="0.2">
      <c r="E1103" s="3">
        <v>42156</v>
      </c>
      <c r="F1103">
        <v>0.52927780000000002</v>
      </c>
    </row>
    <row r="1104" spans="5:6" x14ac:dyDescent="0.2">
      <c r="E1104" s="3">
        <v>42157</v>
      </c>
      <c r="F1104">
        <v>0.50560183999999997</v>
      </c>
    </row>
    <row r="1105" spans="5:6" x14ac:dyDescent="0.2">
      <c r="E1105" s="3">
        <v>42158</v>
      </c>
      <c r="F1105">
        <v>0.46091277000000003</v>
      </c>
    </row>
    <row r="1106" spans="5:6" x14ac:dyDescent="0.2">
      <c r="E1106" s="3">
        <v>42159</v>
      </c>
      <c r="F1106">
        <v>0.49867202999999999</v>
      </c>
    </row>
    <row r="1107" spans="5:6" x14ac:dyDescent="0.2">
      <c r="E1107" s="3">
        <v>42160</v>
      </c>
      <c r="F1107">
        <v>0.43004924</v>
      </c>
    </row>
    <row r="1108" spans="5:6" x14ac:dyDescent="0.2">
      <c r="E1108" s="3">
        <v>42163</v>
      </c>
      <c r="F1108">
        <v>0.45300783</v>
      </c>
    </row>
    <row r="1109" spans="5:6" x14ac:dyDescent="0.2">
      <c r="E1109" s="3">
        <v>42164</v>
      </c>
      <c r="F1109">
        <v>0.42406532000000002</v>
      </c>
    </row>
    <row r="1110" spans="5:6" x14ac:dyDescent="0.2">
      <c r="E1110" s="3">
        <v>42165</v>
      </c>
      <c r="F1110">
        <v>0.40268363000000001</v>
      </c>
    </row>
    <row r="1111" spans="5:6" x14ac:dyDescent="0.2">
      <c r="E1111" s="3">
        <v>42166</v>
      </c>
      <c r="F1111">
        <v>0.47962304</v>
      </c>
    </row>
    <row r="1112" spans="5:6" x14ac:dyDescent="0.2">
      <c r="E1112" s="3">
        <v>42167</v>
      </c>
      <c r="F1112">
        <v>0.46608720999999997</v>
      </c>
    </row>
    <row r="1113" spans="5:6" x14ac:dyDescent="0.2">
      <c r="E1113" s="3">
        <v>42170</v>
      </c>
      <c r="F1113">
        <v>0.47166384</v>
      </c>
    </row>
    <row r="1114" spans="5:6" x14ac:dyDescent="0.2">
      <c r="E1114" s="3">
        <v>42171</v>
      </c>
      <c r="F1114">
        <v>0.49552404999999999</v>
      </c>
    </row>
    <row r="1115" spans="5:6" x14ac:dyDescent="0.2">
      <c r="E1115" s="3">
        <v>42172</v>
      </c>
      <c r="F1115">
        <v>0.49291583999999999</v>
      </c>
    </row>
    <row r="1116" spans="5:6" x14ac:dyDescent="0.2">
      <c r="E1116" s="3">
        <v>42173</v>
      </c>
      <c r="F1116">
        <v>0.48320742999999999</v>
      </c>
    </row>
    <row r="1117" spans="5:6" x14ac:dyDescent="0.2">
      <c r="E1117" s="3">
        <v>42174</v>
      </c>
      <c r="F1117">
        <v>0.51637186999999996</v>
      </c>
    </row>
    <row r="1118" spans="5:6" x14ac:dyDescent="0.2">
      <c r="E1118" s="3">
        <v>42177</v>
      </c>
      <c r="F1118">
        <v>0.45692780999999999</v>
      </c>
    </row>
    <row r="1119" spans="5:6" x14ac:dyDescent="0.2">
      <c r="E1119" s="3">
        <v>42178</v>
      </c>
      <c r="F1119">
        <v>0.42691006999999997</v>
      </c>
    </row>
    <row r="1120" spans="5:6" x14ac:dyDescent="0.2">
      <c r="E1120" s="3">
        <v>42179</v>
      </c>
      <c r="F1120">
        <v>0.43110091</v>
      </c>
    </row>
    <row r="1121" spans="5:6" x14ac:dyDescent="0.2">
      <c r="E1121" s="3">
        <v>42180</v>
      </c>
      <c r="F1121">
        <v>0.41325156000000002</v>
      </c>
    </row>
    <row r="1122" spans="5:6" x14ac:dyDescent="0.2">
      <c r="E1122" s="3">
        <v>42181</v>
      </c>
      <c r="F1122">
        <v>0.35438286000000002</v>
      </c>
    </row>
    <row r="1123" spans="5:6" x14ac:dyDescent="0.2">
      <c r="E1123" s="3">
        <v>42184</v>
      </c>
      <c r="F1123">
        <v>0.43423267999999998</v>
      </c>
    </row>
    <row r="1124" spans="5:6" x14ac:dyDescent="0.2">
      <c r="E1124" s="3">
        <v>42185</v>
      </c>
      <c r="F1124">
        <v>0.4424227</v>
      </c>
    </row>
    <row r="1125" spans="5:6" x14ac:dyDescent="0.2">
      <c r="E1125" s="3">
        <v>42186</v>
      </c>
      <c r="F1125">
        <v>0.39231037000000002</v>
      </c>
    </row>
    <row r="1126" spans="5:6" x14ac:dyDescent="0.2">
      <c r="E1126" s="3">
        <v>42187</v>
      </c>
      <c r="F1126">
        <v>0.41464839999999997</v>
      </c>
    </row>
    <row r="1127" spans="5:6" x14ac:dyDescent="0.2">
      <c r="E1127" s="3">
        <v>42191</v>
      </c>
      <c r="F1127">
        <v>0.48204760000000002</v>
      </c>
    </row>
    <row r="1128" spans="5:6" x14ac:dyDescent="0.2">
      <c r="E1128" s="3">
        <v>42192</v>
      </c>
      <c r="F1128">
        <v>0.50027485000000005</v>
      </c>
    </row>
    <row r="1129" spans="5:6" x14ac:dyDescent="0.2">
      <c r="E1129" s="3">
        <v>42193</v>
      </c>
      <c r="F1129">
        <v>0.49109761000000002</v>
      </c>
    </row>
    <row r="1130" spans="5:6" x14ac:dyDescent="0.2">
      <c r="E1130" s="3">
        <v>42194</v>
      </c>
      <c r="F1130">
        <v>0.43686424000000001</v>
      </c>
    </row>
    <row r="1131" spans="5:6" x14ac:dyDescent="0.2">
      <c r="E1131" s="3">
        <v>42195</v>
      </c>
      <c r="F1131">
        <v>0.36671435000000002</v>
      </c>
    </row>
    <row r="1132" spans="5:6" x14ac:dyDescent="0.2">
      <c r="E1132" s="3">
        <v>42198</v>
      </c>
      <c r="F1132">
        <v>0.36916188</v>
      </c>
    </row>
    <row r="1133" spans="5:6" x14ac:dyDescent="0.2">
      <c r="E1133" s="3">
        <v>42199</v>
      </c>
      <c r="F1133">
        <v>0.39714528999999998</v>
      </c>
    </row>
    <row r="1134" spans="5:6" x14ac:dyDescent="0.2">
      <c r="E1134" s="3">
        <v>42200</v>
      </c>
      <c r="F1134">
        <v>0.43686424000000001</v>
      </c>
    </row>
    <row r="1135" spans="5:6" x14ac:dyDescent="0.2">
      <c r="E1135" s="3">
        <v>42201</v>
      </c>
      <c r="F1135">
        <v>0.43721469000000002</v>
      </c>
    </row>
    <row r="1136" spans="5:6" x14ac:dyDescent="0.2">
      <c r="E1136" s="3">
        <v>42202</v>
      </c>
      <c r="F1136">
        <v>0.44583529999999999</v>
      </c>
    </row>
    <row r="1137" spans="5:6" x14ac:dyDescent="0.2">
      <c r="E1137" s="3">
        <v>42205</v>
      </c>
      <c r="F1137">
        <v>0.43253349000000002</v>
      </c>
    </row>
    <row r="1138" spans="5:6" x14ac:dyDescent="0.2">
      <c r="E1138" s="3">
        <v>42206</v>
      </c>
      <c r="F1138">
        <v>0.45450624000000001</v>
      </c>
    </row>
    <row r="1139" spans="5:6" x14ac:dyDescent="0.2">
      <c r="E1139" s="3">
        <v>42207</v>
      </c>
      <c r="F1139">
        <v>0.46379726999999998</v>
      </c>
    </row>
    <row r="1140" spans="5:6" x14ac:dyDescent="0.2">
      <c r="E1140" s="3">
        <v>42208</v>
      </c>
      <c r="F1140">
        <v>0.48346902000000003</v>
      </c>
    </row>
    <row r="1141" spans="5:6" x14ac:dyDescent="0.2">
      <c r="E1141" s="3">
        <v>42209</v>
      </c>
      <c r="F1141">
        <v>0.47806061999999999</v>
      </c>
    </row>
    <row r="1142" spans="5:6" x14ac:dyDescent="0.2">
      <c r="E1142" s="3">
        <v>42212</v>
      </c>
      <c r="F1142">
        <v>0.49836355999999998</v>
      </c>
    </row>
    <row r="1143" spans="5:6" x14ac:dyDescent="0.2">
      <c r="E1143" s="3">
        <v>42213</v>
      </c>
      <c r="F1143">
        <v>0.50078915000000002</v>
      </c>
    </row>
    <row r="1144" spans="5:6" x14ac:dyDescent="0.2">
      <c r="E1144" s="3">
        <v>42214</v>
      </c>
      <c r="F1144">
        <v>0.48791089999999998</v>
      </c>
    </row>
    <row r="1145" spans="5:6" x14ac:dyDescent="0.2">
      <c r="E1145" s="3">
        <v>42215</v>
      </c>
      <c r="F1145">
        <v>0.48860219999999999</v>
      </c>
    </row>
    <row r="1146" spans="5:6" x14ac:dyDescent="0.2">
      <c r="E1146" s="3">
        <v>42216</v>
      </c>
      <c r="F1146">
        <v>0.51760958999999995</v>
      </c>
    </row>
    <row r="1147" spans="5:6" x14ac:dyDescent="0.2">
      <c r="E1147" s="3">
        <v>42219</v>
      </c>
      <c r="F1147">
        <v>0.52361420000000003</v>
      </c>
    </row>
    <row r="1148" spans="5:6" x14ac:dyDescent="0.2">
      <c r="E1148" s="3">
        <v>42220</v>
      </c>
      <c r="F1148">
        <v>0.49985484000000002</v>
      </c>
    </row>
    <row r="1149" spans="5:6" x14ac:dyDescent="0.2">
      <c r="E1149" s="3">
        <v>42221</v>
      </c>
      <c r="F1149">
        <v>0.49262108999999998</v>
      </c>
    </row>
    <row r="1150" spans="5:6" x14ac:dyDescent="0.2">
      <c r="E1150" s="3">
        <v>42222</v>
      </c>
      <c r="F1150">
        <v>0.50436276000000002</v>
      </c>
    </row>
    <row r="1151" spans="5:6" x14ac:dyDescent="0.2">
      <c r="E1151" s="3">
        <v>42223</v>
      </c>
      <c r="F1151">
        <v>0.52122531999999999</v>
      </c>
    </row>
    <row r="1152" spans="5:6" x14ac:dyDescent="0.2">
      <c r="E1152" s="3">
        <v>42226</v>
      </c>
      <c r="F1152">
        <v>0.50362235</v>
      </c>
    </row>
    <row r="1153" spans="5:6" x14ac:dyDescent="0.2">
      <c r="E1153" s="3">
        <v>42227</v>
      </c>
      <c r="F1153">
        <v>0.54047655999999999</v>
      </c>
    </row>
    <row r="1154" spans="5:6" x14ac:dyDescent="0.2">
      <c r="E1154" s="3">
        <v>42228</v>
      </c>
      <c r="F1154">
        <v>0.51406275000000001</v>
      </c>
    </row>
    <row r="1155" spans="5:6" x14ac:dyDescent="0.2">
      <c r="E1155" s="3">
        <v>42229</v>
      </c>
      <c r="F1155">
        <v>0.49770785000000001</v>
      </c>
    </row>
    <row r="1156" spans="5:6" x14ac:dyDescent="0.2">
      <c r="E1156" s="3">
        <v>42230</v>
      </c>
      <c r="F1156">
        <v>0.48956336</v>
      </c>
    </row>
    <row r="1157" spans="5:6" x14ac:dyDescent="0.2">
      <c r="E1157" s="3">
        <v>42233</v>
      </c>
      <c r="F1157">
        <v>0.50021404999999997</v>
      </c>
    </row>
    <row r="1158" spans="5:6" x14ac:dyDescent="0.2">
      <c r="E1158" s="3">
        <v>42234</v>
      </c>
      <c r="F1158">
        <v>0.49077204000000002</v>
      </c>
    </row>
    <row r="1159" spans="5:6" x14ac:dyDescent="0.2">
      <c r="E1159" s="3">
        <v>42235</v>
      </c>
      <c r="F1159">
        <v>0.52031886000000005</v>
      </c>
    </row>
    <row r="1160" spans="5:6" x14ac:dyDescent="0.2">
      <c r="E1160" s="3">
        <v>42236</v>
      </c>
      <c r="F1160">
        <v>0.53631419999999996</v>
      </c>
    </row>
    <row r="1161" spans="5:6" x14ac:dyDescent="0.2">
      <c r="E1161" s="3">
        <v>42237</v>
      </c>
      <c r="F1161">
        <v>0.54741704999999996</v>
      </c>
    </row>
    <row r="1162" spans="5:6" x14ac:dyDescent="0.2">
      <c r="E1162" s="3">
        <v>42240</v>
      </c>
      <c r="F1162">
        <v>0.56736513</v>
      </c>
    </row>
    <row r="1163" spans="5:6" x14ac:dyDescent="0.2">
      <c r="E1163" s="3">
        <v>42241</v>
      </c>
      <c r="F1163">
        <v>0.51305791999999995</v>
      </c>
    </row>
    <row r="1164" spans="5:6" x14ac:dyDescent="0.2">
      <c r="E1164" s="3">
        <v>42242</v>
      </c>
      <c r="F1164">
        <v>0.51647642000000005</v>
      </c>
    </row>
    <row r="1165" spans="5:6" x14ac:dyDescent="0.2">
      <c r="E1165" s="3">
        <v>42243</v>
      </c>
      <c r="F1165">
        <v>0.51793573000000004</v>
      </c>
    </row>
    <row r="1166" spans="5:6" x14ac:dyDescent="0.2">
      <c r="E1166" s="3">
        <v>42244</v>
      </c>
      <c r="F1166">
        <v>0.51574027</v>
      </c>
    </row>
    <row r="1167" spans="5:6" x14ac:dyDescent="0.2">
      <c r="E1167" s="3">
        <v>42247</v>
      </c>
      <c r="F1167">
        <v>0.50869439000000005</v>
      </c>
    </row>
    <row r="1168" spans="5:6" x14ac:dyDescent="0.2">
      <c r="E1168" s="3">
        <v>42248</v>
      </c>
      <c r="F1168">
        <v>0.51178652000000002</v>
      </c>
    </row>
    <row r="1169" spans="5:6" x14ac:dyDescent="0.2">
      <c r="E1169" s="3">
        <v>42249</v>
      </c>
      <c r="F1169">
        <v>0.50599921999999997</v>
      </c>
    </row>
    <row r="1170" spans="5:6" x14ac:dyDescent="0.2">
      <c r="E1170" s="3">
        <v>42250</v>
      </c>
      <c r="F1170">
        <v>0.51889669999999999</v>
      </c>
    </row>
    <row r="1171" spans="5:6" x14ac:dyDescent="0.2">
      <c r="E1171" s="3">
        <v>42251</v>
      </c>
      <c r="F1171">
        <v>0.53448357999999996</v>
      </c>
    </row>
    <row r="1172" spans="5:6" x14ac:dyDescent="0.2">
      <c r="E1172" s="3">
        <v>42255</v>
      </c>
      <c r="F1172">
        <v>0.51178652000000002</v>
      </c>
    </row>
    <row r="1173" spans="5:6" x14ac:dyDescent="0.2">
      <c r="E1173" s="3">
        <v>42256</v>
      </c>
      <c r="F1173">
        <v>0.50698535</v>
      </c>
    </row>
    <row r="1174" spans="5:6" x14ac:dyDescent="0.2">
      <c r="E1174" s="3">
        <v>42257</v>
      </c>
      <c r="F1174">
        <v>0.49792618999999999</v>
      </c>
    </row>
    <row r="1175" spans="5:6" x14ac:dyDescent="0.2">
      <c r="E1175" s="3">
        <v>42258</v>
      </c>
      <c r="F1175">
        <v>0.50244840000000002</v>
      </c>
    </row>
    <row r="1176" spans="5:6" x14ac:dyDescent="0.2">
      <c r="E1176" s="3">
        <v>42261</v>
      </c>
      <c r="F1176">
        <v>0.50553360999999997</v>
      </c>
    </row>
    <row r="1177" spans="5:6" x14ac:dyDescent="0.2">
      <c r="E1177" s="3">
        <v>42262</v>
      </c>
      <c r="F1177">
        <v>0.47261544999999999</v>
      </c>
    </row>
    <row r="1178" spans="5:6" x14ac:dyDescent="0.2">
      <c r="E1178" s="3">
        <v>42263</v>
      </c>
      <c r="F1178">
        <v>0.49091327000000001</v>
      </c>
    </row>
    <row r="1179" spans="5:6" x14ac:dyDescent="0.2">
      <c r="E1179" s="3">
        <v>42264</v>
      </c>
      <c r="F1179">
        <v>0.52915392000000006</v>
      </c>
    </row>
    <row r="1180" spans="5:6" x14ac:dyDescent="0.2">
      <c r="E1180" s="3">
        <v>42265</v>
      </c>
      <c r="F1180">
        <v>0.55836633000000002</v>
      </c>
    </row>
    <row r="1181" spans="5:6" x14ac:dyDescent="0.2">
      <c r="E1181" s="3">
        <v>42268</v>
      </c>
      <c r="F1181">
        <v>0.51756157999999997</v>
      </c>
    </row>
    <row r="1182" spans="5:6" x14ac:dyDescent="0.2">
      <c r="E1182" s="3">
        <v>42269</v>
      </c>
      <c r="F1182">
        <v>0.54699834000000003</v>
      </c>
    </row>
    <row r="1183" spans="5:6" x14ac:dyDescent="0.2">
      <c r="E1183" s="3">
        <v>42270</v>
      </c>
      <c r="F1183">
        <v>0.51456749000000002</v>
      </c>
    </row>
    <row r="1184" spans="5:6" x14ac:dyDescent="0.2">
      <c r="E1184" s="3">
        <v>42271</v>
      </c>
      <c r="F1184">
        <v>0.51546252000000004</v>
      </c>
    </row>
    <row r="1185" spans="5:6" x14ac:dyDescent="0.2">
      <c r="E1185" s="3">
        <v>42272</v>
      </c>
      <c r="F1185">
        <v>0.50470086000000003</v>
      </c>
    </row>
    <row r="1186" spans="5:6" x14ac:dyDescent="0.2">
      <c r="E1186" s="3">
        <v>42275</v>
      </c>
      <c r="F1186">
        <v>0.52561398999999998</v>
      </c>
    </row>
    <row r="1187" spans="5:6" x14ac:dyDescent="0.2">
      <c r="E1187" s="3">
        <v>42276</v>
      </c>
      <c r="F1187">
        <v>0.54699834000000003</v>
      </c>
    </row>
    <row r="1188" spans="5:6" x14ac:dyDescent="0.2">
      <c r="E1188" s="3">
        <v>42277</v>
      </c>
      <c r="F1188">
        <v>0.55419123999999997</v>
      </c>
    </row>
    <row r="1189" spans="5:6" x14ac:dyDescent="0.2">
      <c r="E1189" s="3">
        <v>42278</v>
      </c>
      <c r="F1189">
        <v>0.56462911000000005</v>
      </c>
    </row>
    <row r="1190" spans="5:6" x14ac:dyDescent="0.2">
      <c r="E1190" s="3">
        <v>42279</v>
      </c>
      <c r="F1190">
        <v>0.59206276000000002</v>
      </c>
    </row>
    <row r="1191" spans="5:6" x14ac:dyDescent="0.2">
      <c r="E1191" s="3">
        <v>42282</v>
      </c>
      <c r="F1191">
        <v>0.56743953999999996</v>
      </c>
    </row>
    <row r="1192" spans="5:6" x14ac:dyDescent="0.2">
      <c r="E1192" s="3">
        <v>42283</v>
      </c>
      <c r="F1192">
        <v>0.57890863999999997</v>
      </c>
    </row>
    <row r="1193" spans="5:6" x14ac:dyDescent="0.2">
      <c r="E1193" s="3">
        <v>42284</v>
      </c>
      <c r="F1193">
        <v>0.57359285000000004</v>
      </c>
    </row>
    <row r="1194" spans="5:6" x14ac:dyDescent="0.2">
      <c r="E1194" s="3">
        <v>42285</v>
      </c>
      <c r="F1194">
        <v>0.54491213000000005</v>
      </c>
    </row>
    <row r="1195" spans="5:6" x14ac:dyDescent="0.2">
      <c r="E1195" s="3">
        <v>42286</v>
      </c>
      <c r="F1195">
        <v>0.54440880999999997</v>
      </c>
    </row>
    <row r="1196" spans="5:6" x14ac:dyDescent="0.2">
      <c r="E1196" s="3">
        <v>42290</v>
      </c>
      <c r="F1196">
        <v>0.56100377000000001</v>
      </c>
    </row>
    <row r="1197" spans="5:6" x14ac:dyDescent="0.2">
      <c r="E1197" s="3">
        <v>42291</v>
      </c>
      <c r="F1197">
        <v>0.58353460999999995</v>
      </c>
    </row>
    <row r="1198" spans="5:6" x14ac:dyDescent="0.2">
      <c r="E1198" s="3">
        <v>42292</v>
      </c>
      <c r="F1198">
        <v>0.57359285000000004</v>
      </c>
    </row>
    <row r="1199" spans="5:6" x14ac:dyDescent="0.2">
      <c r="E1199" s="3">
        <v>42293</v>
      </c>
      <c r="F1199">
        <v>0.57089999999999996</v>
      </c>
    </row>
    <row r="1200" spans="5:6" x14ac:dyDescent="0.2">
      <c r="E1200" s="3">
        <v>42296</v>
      </c>
      <c r="F1200">
        <v>0.56985229999999998</v>
      </c>
    </row>
    <row r="1201" spans="5:6" x14ac:dyDescent="0.2">
      <c r="E1201" s="3">
        <v>42297</v>
      </c>
      <c r="F1201">
        <v>0.54682167000000004</v>
      </c>
    </row>
    <row r="1202" spans="5:6" x14ac:dyDescent="0.2">
      <c r="E1202" s="3">
        <v>42298</v>
      </c>
      <c r="F1202">
        <v>0.55860147999999998</v>
      </c>
    </row>
    <row r="1203" spans="5:6" x14ac:dyDescent="0.2">
      <c r="E1203" s="3">
        <v>42299</v>
      </c>
      <c r="F1203">
        <v>0.57587261000000001</v>
      </c>
    </row>
    <row r="1204" spans="5:6" x14ac:dyDescent="0.2">
      <c r="E1204" s="3">
        <v>42300</v>
      </c>
      <c r="F1204">
        <v>0.54362469000000002</v>
      </c>
    </row>
    <row r="1205" spans="5:6" x14ac:dyDescent="0.2">
      <c r="E1205" s="3">
        <v>42303</v>
      </c>
      <c r="F1205">
        <v>0.55113287</v>
      </c>
    </row>
    <row r="1206" spans="5:6" x14ac:dyDescent="0.2">
      <c r="E1206" s="3">
        <v>42304</v>
      </c>
      <c r="F1206">
        <v>0.57160407999999996</v>
      </c>
    </row>
    <row r="1207" spans="5:6" x14ac:dyDescent="0.2">
      <c r="E1207" s="3">
        <v>42305</v>
      </c>
      <c r="F1207">
        <v>0.55113287</v>
      </c>
    </row>
    <row r="1208" spans="5:6" x14ac:dyDescent="0.2">
      <c r="E1208" s="3">
        <v>42306</v>
      </c>
      <c r="F1208">
        <v>0.50746528000000002</v>
      </c>
    </row>
    <row r="1209" spans="5:6" x14ac:dyDescent="0.2">
      <c r="E1209" s="3">
        <v>42307</v>
      </c>
      <c r="F1209">
        <v>0.52637942999999998</v>
      </c>
    </row>
    <row r="1210" spans="5:6" x14ac:dyDescent="0.2">
      <c r="E1210" s="3">
        <v>42310</v>
      </c>
      <c r="F1210">
        <v>0.50891735999999999</v>
      </c>
    </row>
    <row r="1211" spans="5:6" x14ac:dyDescent="0.2">
      <c r="E1211" s="3">
        <v>42311</v>
      </c>
      <c r="F1211">
        <v>0.49479933999999998</v>
      </c>
    </row>
    <row r="1212" spans="5:6" x14ac:dyDescent="0.2">
      <c r="E1212" s="3">
        <v>42312</v>
      </c>
      <c r="F1212">
        <v>0.48993692</v>
      </c>
    </row>
    <row r="1213" spans="5:6" x14ac:dyDescent="0.2">
      <c r="E1213" s="3">
        <v>42313</v>
      </c>
      <c r="F1213">
        <v>0.48840109999999998</v>
      </c>
    </row>
    <row r="1214" spans="5:6" x14ac:dyDescent="0.2">
      <c r="E1214" s="3">
        <v>42314</v>
      </c>
      <c r="F1214">
        <v>0.45491517999999997</v>
      </c>
    </row>
    <row r="1215" spans="5:6" x14ac:dyDescent="0.2">
      <c r="E1215" s="3">
        <v>42317</v>
      </c>
      <c r="F1215">
        <v>0.43414174</v>
      </c>
    </row>
    <row r="1216" spans="5:6" x14ac:dyDescent="0.2">
      <c r="E1216" s="3">
        <v>42318</v>
      </c>
      <c r="F1216">
        <v>0.45419498000000003</v>
      </c>
    </row>
    <row r="1217" spans="5:6" x14ac:dyDescent="0.2">
      <c r="E1217" s="3">
        <v>42320</v>
      </c>
      <c r="F1217">
        <v>0.44028864000000001</v>
      </c>
    </row>
    <row r="1218" spans="5:6" x14ac:dyDescent="0.2">
      <c r="E1218" s="3">
        <v>42321</v>
      </c>
      <c r="F1218">
        <v>0.46793132999999998</v>
      </c>
    </row>
    <row r="1219" spans="5:6" x14ac:dyDescent="0.2">
      <c r="E1219" s="3">
        <v>42324</v>
      </c>
      <c r="F1219">
        <v>0.47244762000000001</v>
      </c>
    </row>
    <row r="1220" spans="5:6" x14ac:dyDescent="0.2">
      <c r="E1220" s="3">
        <v>42325</v>
      </c>
      <c r="F1220">
        <v>0.47802441000000001</v>
      </c>
    </row>
    <row r="1221" spans="5:6" x14ac:dyDescent="0.2">
      <c r="E1221" s="3">
        <v>42326</v>
      </c>
      <c r="F1221">
        <v>0.48255048</v>
      </c>
    </row>
    <row r="1222" spans="5:6" x14ac:dyDescent="0.2">
      <c r="E1222" s="3">
        <v>42327</v>
      </c>
      <c r="F1222">
        <v>0.48797668999999999</v>
      </c>
    </row>
    <row r="1223" spans="5:6" x14ac:dyDescent="0.2">
      <c r="E1223" s="3">
        <v>42328</v>
      </c>
      <c r="F1223">
        <v>0.48276687000000001</v>
      </c>
    </row>
    <row r="1224" spans="5:6" x14ac:dyDescent="0.2">
      <c r="E1224" s="3">
        <v>42331</v>
      </c>
      <c r="F1224">
        <v>0.48276687000000001</v>
      </c>
    </row>
    <row r="1225" spans="5:6" x14ac:dyDescent="0.2">
      <c r="E1225" s="3">
        <v>42332</v>
      </c>
      <c r="F1225">
        <v>0.48422739999999997</v>
      </c>
    </row>
    <row r="1226" spans="5:6" x14ac:dyDescent="0.2">
      <c r="E1226" s="3">
        <v>42333</v>
      </c>
      <c r="F1226">
        <v>0.47208881000000003</v>
      </c>
    </row>
    <row r="1227" spans="5:6" x14ac:dyDescent="0.2">
      <c r="E1227" s="3">
        <v>42335</v>
      </c>
      <c r="F1227">
        <v>0.47558492000000002</v>
      </c>
    </row>
    <row r="1228" spans="5:6" x14ac:dyDescent="0.2">
      <c r="E1228" s="3">
        <v>42338</v>
      </c>
      <c r="F1228">
        <v>0.48084427000000002</v>
      </c>
    </row>
    <row r="1229" spans="5:6" x14ac:dyDescent="0.2">
      <c r="E1229" s="3">
        <v>42339</v>
      </c>
      <c r="F1229">
        <v>0.49107161999999999</v>
      </c>
    </row>
    <row r="1230" spans="5:6" x14ac:dyDescent="0.2">
      <c r="E1230" s="3">
        <v>42340</v>
      </c>
      <c r="F1230">
        <v>0.48488554</v>
      </c>
    </row>
    <row r="1231" spans="5:6" x14ac:dyDescent="0.2">
      <c r="E1231" s="3">
        <v>42341</v>
      </c>
      <c r="F1231">
        <v>0.40747510999999997</v>
      </c>
    </row>
    <row r="1232" spans="5:6" x14ac:dyDescent="0.2">
      <c r="E1232" s="3">
        <v>42342</v>
      </c>
      <c r="F1232">
        <v>0.4507641</v>
      </c>
    </row>
    <row r="1233" spans="5:6" x14ac:dyDescent="0.2">
      <c r="E1233" s="3">
        <v>42345</v>
      </c>
      <c r="F1233">
        <v>0.47633645000000002</v>
      </c>
    </row>
    <row r="1234" spans="5:6" x14ac:dyDescent="0.2">
      <c r="E1234" s="3">
        <v>42346</v>
      </c>
      <c r="F1234">
        <v>0.46573657000000002</v>
      </c>
    </row>
    <row r="1235" spans="5:6" x14ac:dyDescent="0.2">
      <c r="E1235" s="3">
        <v>42347</v>
      </c>
      <c r="F1235">
        <v>0.48373664</v>
      </c>
    </row>
    <row r="1236" spans="5:6" x14ac:dyDescent="0.2">
      <c r="E1236" s="3">
        <v>42348</v>
      </c>
      <c r="F1236">
        <v>0.47195742000000002</v>
      </c>
    </row>
    <row r="1237" spans="5:6" x14ac:dyDescent="0.2">
      <c r="E1237" s="3">
        <v>42349</v>
      </c>
      <c r="F1237">
        <v>0.49263546000000003</v>
      </c>
    </row>
    <row r="1238" spans="5:6" x14ac:dyDescent="0.2">
      <c r="E1238" s="3">
        <v>42352</v>
      </c>
      <c r="F1238">
        <v>0.47264946000000002</v>
      </c>
    </row>
    <row r="1239" spans="5:6" x14ac:dyDescent="0.2">
      <c r="E1239" s="3">
        <v>42353</v>
      </c>
      <c r="F1239">
        <v>0.45523454000000002</v>
      </c>
    </row>
    <row r="1240" spans="5:6" x14ac:dyDescent="0.2">
      <c r="E1240" s="3">
        <v>42354</v>
      </c>
      <c r="F1240">
        <v>0.44349123000000001</v>
      </c>
    </row>
    <row r="1241" spans="5:6" x14ac:dyDescent="0.2">
      <c r="E1241" s="3">
        <v>42355</v>
      </c>
      <c r="F1241">
        <v>0.4698406</v>
      </c>
    </row>
    <row r="1242" spans="5:6" x14ac:dyDescent="0.2">
      <c r="E1242" s="3">
        <v>42356</v>
      </c>
      <c r="F1242">
        <v>0.47921917000000003</v>
      </c>
    </row>
    <row r="1243" spans="5:6" x14ac:dyDescent="0.2">
      <c r="E1243" s="3">
        <v>42359</v>
      </c>
      <c r="F1243">
        <v>0.47717956</v>
      </c>
    </row>
    <row r="1244" spans="5:6" x14ac:dyDescent="0.2">
      <c r="E1244" s="3">
        <v>42360</v>
      </c>
      <c r="F1244">
        <v>0.45523454000000002</v>
      </c>
    </row>
    <row r="1245" spans="5:6" x14ac:dyDescent="0.2">
      <c r="E1245" s="3">
        <v>42361</v>
      </c>
      <c r="F1245">
        <v>0.44537185000000001</v>
      </c>
    </row>
    <row r="1246" spans="5:6" x14ac:dyDescent="0.2">
      <c r="E1246" s="3">
        <v>42362</v>
      </c>
      <c r="F1246">
        <v>0.45615067999999998</v>
      </c>
    </row>
    <row r="1247" spans="5:6" x14ac:dyDescent="0.2">
      <c r="E1247" s="3">
        <v>42366</v>
      </c>
      <c r="F1247">
        <v>0.47089364</v>
      </c>
    </row>
    <row r="1248" spans="5:6" x14ac:dyDescent="0.2">
      <c r="E1248" s="3">
        <v>42367</v>
      </c>
      <c r="F1248">
        <v>0.43395194999999998</v>
      </c>
    </row>
    <row r="1249" spans="5:6" x14ac:dyDescent="0.2">
      <c r="E1249" s="3">
        <v>42368</v>
      </c>
      <c r="F1249">
        <v>0.42925727000000002</v>
      </c>
    </row>
    <row r="1250" spans="5:6" x14ac:dyDescent="0.2">
      <c r="E1250" s="3">
        <v>42369</v>
      </c>
      <c r="F1250">
        <v>0.46126540999999999</v>
      </c>
    </row>
    <row r="1251" spans="5:6" x14ac:dyDescent="0.2">
      <c r="E1251" s="3">
        <v>42373</v>
      </c>
      <c r="F1251">
        <v>0.46317427999999999</v>
      </c>
    </row>
    <row r="1252" spans="5:6" x14ac:dyDescent="0.2">
      <c r="E1252" s="3">
        <v>42374</v>
      </c>
      <c r="F1252">
        <v>0.46228602000000002</v>
      </c>
    </row>
    <row r="1253" spans="5:6" x14ac:dyDescent="0.2">
      <c r="E1253" s="3">
        <v>42375</v>
      </c>
      <c r="F1253">
        <v>0.47847035999999998</v>
      </c>
    </row>
    <row r="1254" spans="5:6" x14ac:dyDescent="0.2">
      <c r="E1254" s="3">
        <v>42376</v>
      </c>
      <c r="F1254">
        <v>0.48494499000000002</v>
      </c>
    </row>
    <row r="1255" spans="5:6" x14ac:dyDescent="0.2">
      <c r="E1255" s="3">
        <v>42377</v>
      </c>
      <c r="F1255">
        <v>0.49696595999999998</v>
      </c>
    </row>
    <row r="1256" spans="5:6" x14ac:dyDescent="0.2">
      <c r="E1256" s="3">
        <v>42380</v>
      </c>
      <c r="F1256">
        <v>0.49069705000000002</v>
      </c>
    </row>
    <row r="1257" spans="5:6" x14ac:dyDescent="0.2">
      <c r="E1257" s="3">
        <v>42381</v>
      </c>
      <c r="F1257">
        <v>0.52167472000000004</v>
      </c>
    </row>
    <row r="1258" spans="5:6" x14ac:dyDescent="0.2">
      <c r="E1258" s="3">
        <v>42382</v>
      </c>
      <c r="F1258">
        <v>0.50384284000000001</v>
      </c>
    </row>
    <row r="1259" spans="5:6" x14ac:dyDescent="0.2">
      <c r="E1259" s="3">
        <v>42383</v>
      </c>
      <c r="F1259">
        <v>0.49594749999999999</v>
      </c>
    </row>
    <row r="1260" spans="5:6" x14ac:dyDescent="0.2">
      <c r="E1260" s="3">
        <v>42384</v>
      </c>
      <c r="F1260">
        <v>0.52107168000000004</v>
      </c>
    </row>
    <row r="1261" spans="5:6" x14ac:dyDescent="0.2">
      <c r="E1261" s="3">
        <v>42388</v>
      </c>
      <c r="F1261">
        <v>0.51856720000000001</v>
      </c>
    </row>
    <row r="1262" spans="5:6" x14ac:dyDescent="0.2">
      <c r="E1262" s="3">
        <v>42389</v>
      </c>
      <c r="F1262">
        <v>0.51737109000000003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W1292"/>
  <sheetViews>
    <sheetView workbookViewId="0">
      <selection activeCell="P27" sqref="P27"/>
    </sheetView>
  </sheetViews>
  <sheetFormatPr defaultRowHeight="12.75" x14ac:dyDescent="0.2"/>
  <cols>
    <col min="2" max="2" width="10.140625" bestFit="1" customWidth="1"/>
    <col min="3" max="3" width="14.140625" bestFit="1" customWidth="1"/>
    <col min="4" max="4" width="6" bestFit="1" customWidth="1"/>
    <col min="5" max="5" width="8.28515625" bestFit="1" customWidth="1"/>
    <col min="6" max="6" width="6.7109375" bestFit="1" customWidth="1"/>
    <col min="7" max="7" width="7.42578125" bestFit="1" customWidth="1"/>
    <col min="8" max="8" width="22.140625" bestFit="1" customWidth="1"/>
    <col min="9" max="9" width="17" bestFit="1" customWidth="1"/>
    <col min="10" max="10" width="12" bestFit="1" customWidth="1"/>
    <col min="11" max="11" width="13.85546875" bestFit="1" customWidth="1"/>
    <col min="12" max="12" width="13.85546875" customWidth="1"/>
    <col min="23" max="23" width="10.140625" bestFit="1" customWidth="1"/>
  </cols>
  <sheetData>
    <row r="1" spans="2:23" x14ac:dyDescent="0.2">
      <c r="V1" t="s">
        <v>697</v>
      </c>
      <c r="W1" t="s">
        <v>696</v>
      </c>
    </row>
    <row r="2" spans="2:23" x14ac:dyDescent="0.2">
      <c r="B2" s="29" t="s">
        <v>696</v>
      </c>
      <c r="C2" s="29" t="s">
        <v>697</v>
      </c>
      <c r="D2" s="29" t="s">
        <v>698</v>
      </c>
      <c r="E2" s="29" t="s">
        <v>699</v>
      </c>
      <c r="F2" s="29" t="s">
        <v>700</v>
      </c>
      <c r="G2" s="29" t="s">
        <v>701</v>
      </c>
      <c r="H2" s="29" t="s">
        <v>702</v>
      </c>
      <c r="I2" s="29" t="s">
        <v>703</v>
      </c>
      <c r="J2" s="29" t="s">
        <v>704</v>
      </c>
      <c r="K2" s="29" t="s">
        <v>695</v>
      </c>
      <c r="L2" s="29" t="s">
        <v>705</v>
      </c>
      <c r="M2" s="30" t="s">
        <v>1976</v>
      </c>
      <c r="V2">
        <v>3.71</v>
      </c>
      <c r="W2" s="3">
        <v>42390</v>
      </c>
    </row>
    <row r="3" spans="2:23" x14ac:dyDescent="0.2">
      <c r="B3" s="23" t="s">
        <v>1977</v>
      </c>
      <c r="C3" s="24">
        <v>3.9343682452256599</v>
      </c>
      <c r="D3" s="24">
        <v>4.41</v>
      </c>
      <c r="E3" s="25">
        <f t="shared" ref="E3:E66" si="0">WEEKDAY(B3,14)</f>
        <v>7</v>
      </c>
      <c r="F3" s="25">
        <f>VLOOKUP(E3,Q$5:R$11,2,FALSE)</f>
        <v>0.2</v>
      </c>
      <c r="G3" s="25">
        <f t="shared" ref="G3:G66" si="1">IF(AND(E3&gt;E2,G2&lt;6),G2+1,1)</f>
        <v>1</v>
      </c>
      <c r="H3" s="25">
        <f>IF(G3&gt;G2,H2+C3*F3,C3*F3)</f>
        <v>0.78687364904513202</v>
      </c>
      <c r="I3" s="25">
        <f t="shared" ref="I3:I66" si="2">IF(AND(G3&lt;6,G3&gt;G2),F3+I2,F3)</f>
        <v>0.2</v>
      </c>
      <c r="J3" s="25">
        <f t="shared" ref="J3:J66" si="3">IF(G3&gt;G4,H3/I3,0)</f>
        <v>0</v>
      </c>
      <c r="K3" s="24">
        <f>IF(CurrentMtgRatesDataTable811[[#This Row],[WA CC]]&lt;&gt;0,D2-CurrentMtgRatesDataTable811[[#This Row],[WA CC]],0)</f>
        <v>0</v>
      </c>
      <c r="L3" s="24" t="str">
        <f>IF(CurrentMtgRatesDataTable811[[#This Row],[Servicing Spread]]&lt;=0,L2,CurrentMtgRatesDataTable811[[#This Row],[Servicing Spread]])</f>
        <v>Servicing Spread Non-Zero</v>
      </c>
      <c r="M3" s="24" t="e">
        <f>CurrentMtgRatesDataTable811[[#This Row],[SeriesNumValue]]+CurrentMtgRatesDataTable811[[#This Row],[Servicing Spread Non-Zero]]</f>
        <v>#VALUE!</v>
      </c>
      <c r="V3">
        <v>3.82</v>
      </c>
      <c r="W3" s="3">
        <v>42383</v>
      </c>
    </row>
    <row r="4" spans="2:23" x14ac:dyDescent="0.2">
      <c r="B4" s="23" t="s">
        <v>1978</v>
      </c>
      <c r="C4" s="26">
        <v>3.9593986970399602</v>
      </c>
      <c r="D4" s="26">
        <v>4.5350000000000001</v>
      </c>
      <c r="E4" s="25">
        <f t="shared" si="0"/>
        <v>1</v>
      </c>
      <c r="F4" s="25">
        <f>VLOOKUP(E4,Q$5:R$11,2,FALSE)</f>
        <v>0.2</v>
      </c>
      <c r="G4" s="25">
        <f t="shared" si="1"/>
        <v>1</v>
      </c>
      <c r="H4" s="25">
        <f>IF(G4&gt;G3,H3+C4*F4,C4*F4)</f>
        <v>0.79187973940799206</v>
      </c>
      <c r="I4" s="25">
        <f t="shared" si="2"/>
        <v>0.2</v>
      </c>
      <c r="J4" s="25">
        <f t="shared" si="3"/>
        <v>0</v>
      </c>
      <c r="K4" s="24">
        <f>IF(CurrentMtgRatesDataTable811[[#This Row],[WA CC]]&lt;&gt;0,D3-CurrentMtgRatesDataTable811[[#This Row],[WA CC]],0)</f>
        <v>0</v>
      </c>
      <c r="L4" s="24" t="str">
        <f>IF(CurrentMtgRatesDataTable811[[#This Row],[Servicing Spread]]&lt;=0,L3,CurrentMtgRatesDataTable811[[#This Row],[Servicing Spread]])</f>
        <v>Servicing Spread Non-Zero</v>
      </c>
      <c r="M4" s="24" t="e">
        <f>CurrentMtgRatesDataTable811[[#This Row],[SeriesNumValue]]+CurrentMtgRatesDataTable811[[#This Row],[Servicing Spread Non-Zero]]</f>
        <v>#VALUE!</v>
      </c>
      <c r="V4">
        <v>3.87</v>
      </c>
      <c r="W4" s="3">
        <v>42376</v>
      </c>
    </row>
    <row r="5" spans="2:23" x14ac:dyDescent="0.2">
      <c r="B5" s="23" t="s">
        <v>1979</v>
      </c>
      <c r="C5" s="26">
        <v>3.94456802211183</v>
      </c>
      <c r="D5" s="26">
        <v>4.5350000000000001</v>
      </c>
      <c r="E5" s="25">
        <f t="shared" si="0"/>
        <v>2</v>
      </c>
      <c r="F5" s="25">
        <f>VLOOKUP(E5,Q$5:R$11,2,FALSE)</f>
        <v>0.2</v>
      </c>
      <c r="G5" s="25">
        <f t="shared" si="1"/>
        <v>2</v>
      </c>
      <c r="H5" s="25">
        <f>IF(G5&gt;G4,H4+C5*F5,C5*F5)</f>
        <v>1.5807933438303581</v>
      </c>
      <c r="I5" s="25">
        <f t="shared" si="2"/>
        <v>0.4</v>
      </c>
      <c r="J5" s="25">
        <f t="shared" si="3"/>
        <v>0</v>
      </c>
      <c r="K5" s="24">
        <f>IF(CurrentMtgRatesDataTable811[[#This Row],[WA CC]]&lt;&gt;0,D4-CurrentMtgRatesDataTable811[[#This Row],[WA CC]],0)</f>
        <v>0</v>
      </c>
      <c r="L5" s="24" t="str">
        <f>IF(CurrentMtgRatesDataTable811[[#This Row],[Servicing Spread]]&lt;=0,L4,CurrentMtgRatesDataTable811[[#This Row],[Servicing Spread]])</f>
        <v>Servicing Spread Non-Zero</v>
      </c>
      <c r="M5" s="24" t="e">
        <f>CurrentMtgRatesDataTable811[[#This Row],[SeriesNumValue]]+CurrentMtgRatesDataTable811[[#This Row],[Servicing Spread Non-Zero]]</f>
        <v>#VALUE!</v>
      </c>
      <c r="P5" s="25" t="s">
        <v>1969</v>
      </c>
      <c r="Q5" s="25">
        <v>5</v>
      </c>
      <c r="R5" s="25">
        <v>0.2</v>
      </c>
      <c r="V5">
        <v>3.91</v>
      </c>
      <c r="W5" s="3">
        <v>42369</v>
      </c>
    </row>
    <row r="6" spans="2:23" x14ac:dyDescent="0.2">
      <c r="B6" s="23" t="s">
        <v>1980</v>
      </c>
      <c r="C6" s="26">
        <v>3.8510282187821998</v>
      </c>
      <c r="D6" s="26">
        <v>4.5350000000000001</v>
      </c>
      <c r="E6" s="25">
        <f t="shared" si="0"/>
        <v>5</v>
      </c>
      <c r="F6" s="25">
        <f>VLOOKUP(E6,Q$5:R$11,2,FALSE)</f>
        <v>0.2</v>
      </c>
      <c r="G6" s="25">
        <f t="shared" si="1"/>
        <v>3</v>
      </c>
      <c r="H6" s="25">
        <f>IF(G6&gt;G5,H5+C6*F6,C6*F6)</f>
        <v>2.3509989875867978</v>
      </c>
      <c r="I6" s="25">
        <f t="shared" si="2"/>
        <v>0.60000000000000009</v>
      </c>
      <c r="J6" s="25">
        <f t="shared" si="3"/>
        <v>0</v>
      </c>
      <c r="K6" s="24">
        <f>IF(CurrentMtgRatesDataTable811[[#This Row],[WA CC]]&lt;&gt;0,D5-CurrentMtgRatesDataTable811[[#This Row],[WA CC]],0)</f>
        <v>0</v>
      </c>
      <c r="L6" s="24" t="str">
        <f>IF(CurrentMtgRatesDataTable811[[#This Row],[Servicing Spread]]&lt;=0,L5,CurrentMtgRatesDataTable811[[#This Row],[Servicing Spread]])</f>
        <v>Servicing Spread Non-Zero</v>
      </c>
      <c r="M6" s="24" t="e">
        <f>CurrentMtgRatesDataTable811[[#This Row],[SeriesNumValue]]+CurrentMtgRatesDataTable811[[#This Row],[Servicing Spread Non-Zero]]</f>
        <v>#VALUE!</v>
      </c>
      <c r="P6" s="25" t="s">
        <v>1970</v>
      </c>
      <c r="Q6" s="25">
        <v>6</v>
      </c>
      <c r="R6" s="25">
        <v>0.2</v>
      </c>
      <c r="V6">
        <v>3.86</v>
      </c>
      <c r="W6" s="3">
        <v>42362</v>
      </c>
    </row>
    <row r="7" spans="2:23" x14ac:dyDescent="0.2">
      <c r="B7" s="23" t="s">
        <v>1981</v>
      </c>
      <c r="C7" s="26">
        <v>4.0550663978664101</v>
      </c>
      <c r="D7" s="26">
        <v>4.5350000000000001</v>
      </c>
      <c r="E7" s="25">
        <f t="shared" si="0"/>
        <v>6</v>
      </c>
      <c r="F7" s="25">
        <f>VLOOKUP(E7,Q$5:R$11,2,FALSE)</f>
        <v>0.2</v>
      </c>
      <c r="G7" s="25">
        <f t="shared" si="1"/>
        <v>4</v>
      </c>
      <c r="H7" s="25">
        <f>IF(G7&gt;G6,H6+C7*F7,C7*F7)</f>
        <v>3.1620122671600797</v>
      </c>
      <c r="I7" s="25">
        <f t="shared" si="2"/>
        <v>0.8</v>
      </c>
      <c r="J7" s="25">
        <f t="shared" si="3"/>
        <v>0</v>
      </c>
      <c r="K7" s="24">
        <f>IF(CurrentMtgRatesDataTable811[[#This Row],[WA CC]]&lt;&gt;0,D6-CurrentMtgRatesDataTable811[[#This Row],[WA CC]],0)</f>
        <v>0</v>
      </c>
      <c r="L7" s="24" t="str">
        <f>IF(CurrentMtgRatesDataTable811[[#This Row],[Servicing Spread]]&lt;=0,L6,CurrentMtgRatesDataTable811[[#This Row],[Servicing Spread]])</f>
        <v>Servicing Spread Non-Zero</v>
      </c>
      <c r="M7" s="24" t="e">
        <f>CurrentMtgRatesDataTable811[[#This Row],[SeriesNumValue]]+CurrentMtgRatesDataTable811[[#This Row],[Servicing Spread Non-Zero]]</f>
        <v>#VALUE!</v>
      </c>
      <c r="P7" s="25" t="s">
        <v>1971</v>
      </c>
      <c r="Q7" s="25">
        <v>7</v>
      </c>
      <c r="R7" s="25">
        <v>0.2</v>
      </c>
      <c r="V7">
        <v>3.87</v>
      </c>
      <c r="W7" s="3">
        <v>42355</v>
      </c>
    </row>
    <row r="8" spans="2:23" x14ac:dyDescent="0.2">
      <c r="B8" s="23" t="s">
        <v>1982</v>
      </c>
      <c r="C8" s="26">
        <v>4.1053911512333396</v>
      </c>
      <c r="D8" s="26">
        <v>4.5350000000000001</v>
      </c>
      <c r="E8" s="25">
        <f t="shared" si="0"/>
        <v>7</v>
      </c>
      <c r="F8" s="25">
        <f>VLOOKUP(E8,Q$5:R$11,2,FALSE)</f>
        <v>0.2</v>
      </c>
      <c r="G8" s="25">
        <f t="shared" si="1"/>
        <v>5</v>
      </c>
      <c r="H8" s="25">
        <f>IF(G8&gt;G7,H7+C8*F8,C8*F8)</f>
        <v>3.9830904974067476</v>
      </c>
      <c r="I8" s="25">
        <f t="shared" si="2"/>
        <v>1</v>
      </c>
      <c r="J8" s="25">
        <f t="shared" si="3"/>
        <v>3.9830904974067476</v>
      </c>
      <c r="K8" s="24">
        <f>IF(CurrentMtgRatesDataTable811[[#This Row],[WA CC]]&lt;&gt;0,D7-CurrentMtgRatesDataTable811[[#This Row],[WA CC]],0)</f>
        <v>0.55190950259325255</v>
      </c>
      <c r="L8" s="24">
        <f>IF(CurrentMtgRatesDataTable811[[#This Row],[Servicing Spread]]&lt;=0,L7,CurrentMtgRatesDataTable811[[#This Row],[Servicing Spread]])</f>
        <v>0.55190950259325255</v>
      </c>
      <c r="M8" s="24">
        <f>CurrentMtgRatesDataTable811[[#This Row],[SeriesNumValue]]+CurrentMtgRatesDataTable811[[#This Row],[Servicing Spread Non-Zero]]</f>
        <v>4.6573006538265922</v>
      </c>
      <c r="P8" s="25" t="s">
        <v>1972</v>
      </c>
      <c r="Q8" s="25">
        <v>1</v>
      </c>
      <c r="R8" s="25">
        <v>0.2</v>
      </c>
      <c r="V8">
        <v>3.85</v>
      </c>
      <c r="W8" s="3">
        <v>42348</v>
      </c>
    </row>
    <row r="9" spans="2:23" x14ac:dyDescent="0.2">
      <c r="B9" s="23" t="s">
        <v>1983</v>
      </c>
      <c r="C9" s="26">
        <v>4.05607255604572</v>
      </c>
      <c r="D9" s="26">
        <v>4.7549999999999999</v>
      </c>
      <c r="E9" s="25">
        <f t="shared" si="0"/>
        <v>1</v>
      </c>
      <c r="F9" s="25">
        <f>VLOOKUP(E9,Q$5:R$11,2,FALSE)</f>
        <v>0.2</v>
      </c>
      <c r="G9" s="25">
        <f t="shared" si="1"/>
        <v>1</v>
      </c>
      <c r="H9" s="25">
        <f>IF(G9&gt;G8,H8+C9*F9,C9*F9)</f>
        <v>0.81121451120914401</v>
      </c>
      <c r="I9" s="25">
        <f t="shared" si="2"/>
        <v>0.2</v>
      </c>
      <c r="J9" s="25">
        <f t="shared" si="3"/>
        <v>0</v>
      </c>
      <c r="K9" s="24">
        <f>IF(CurrentMtgRatesDataTable811[[#This Row],[WA CC]]&lt;&gt;0,D8-CurrentMtgRatesDataTable811[[#This Row],[WA CC]],0)</f>
        <v>0</v>
      </c>
      <c r="L9" s="24">
        <f>IF(CurrentMtgRatesDataTable811[[#This Row],[Servicing Spread]]&lt;=0,L8,CurrentMtgRatesDataTable811[[#This Row],[Servicing Spread]])</f>
        <v>0.55190950259325255</v>
      </c>
      <c r="M9" s="24">
        <f>CurrentMtgRatesDataTable811[[#This Row],[SeriesNumValue]]+CurrentMtgRatesDataTable811[[#This Row],[Servicing Spread Non-Zero]]</f>
        <v>4.6079820586389726</v>
      </c>
      <c r="P9" s="25" t="s">
        <v>1973</v>
      </c>
      <c r="Q9" s="25">
        <v>2</v>
      </c>
      <c r="R9" s="25">
        <v>0.2</v>
      </c>
      <c r="V9">
        <v>3.83</v>
      </c>
      <c r="W9" s="3">
        <v>42341</v>
      </c>
    </row>
    <row r="10" spans="2:23" x14ac:dyDescent="0.2">
      <c r="B10" s="23" t="s">
        <v>1984</v>
      </c>
      <c r="C10" s="26">
        <v>4.1283648412935303</v>
      </c>
      <c r="D10" s="26">
        <v>4.7549999999999999</v>
      </c>
      <c r="E10" s="25">
        <f t="shared" si="0"/>
        <v>2</v>
      </c>
      <c r="F10" s="25">
        <f>VLOOKUP(E10,Q$5:R$11,2,FALSE)</f>
        <v>0.2</v>
      </c>
      <c r="G10" s="25">
        <f t="shared" si="1"/>
        <v>2</v>
      </c>
      <c r="H10" s="25">
        <f>IF(G10&gt;G9,H9+C10*F10,C10*F10)</f>
        <v>1.6368874794678501</v>
      </c>
      <c r="I10" s="25">
        <f t="shared" si="2"/>
        <v>0.4</v>
      </c>
      <c r="J10" s="25">
        <f t="shared" si="3"/>
        <v>0</v>
      </c>
      <c r="K10" s="24">
        <f>IF(CurrentMtgRatesDataTable811[[#This Row],[WA CC]]&lt;&gt;0,D9-CurrentMtgRatesDataTable811[[#This Row],[WA CC]],0)</f>
        <v>0</v>
      </c>
      <c r="L10" s="24">
        <f>IF(CurrentMtgRatesDataTable811[[#This Row],[Servicing Spread]]&lt;=0,L9,CurrentMtgRatesDataTable811[[#This Row],[Servicing Spread]])</f>
        <v>0.55190950259325255</v>
      </c>
      <c r="M10" s="24">
        <f>CurrentMtgRatesDataTable811[[#This Row],[SeriesNumValue]]+CurrentMtgRatesDataTable811[[#This Row],[Servicing Spread Non-Zero]]</f>
        <v>4.6802743438867829</v>
      </c>
      <c r="P10" s="25" t="s">
        <v>1974</v>
      </c>
      <c r="Q10" s="25">
        <v>3</v>
      </c>
      <c r="R10" s="25">
        <v>0</v>
      </c>
      <c r="V10">
        <v>3.875</v>
      </c>
      <c r="W10" s="3">
        <v>42333</v>
      </c>
    </row>
    <row r="11" spans="2:23" x14ac:dyDescent="0.2">
      <c r="B11" s="23" t="s">
        <v>1985</v>
      </c>
      <c r="C11" s="26">
        <v>4.1089742638804996</v>
      </c>
      <c r="D11" s="26">
        <v>4.7549999999999999</v>
      </c>
      <c r="E11" s="25">
        <f t="shared" si="0"/>
        <v>5</v>
      </c>
      <c r="F11" s="25">
        <f>VLOOKUP(E11,Q$5:R$11,2,FALSE)</f>
        <v>0.2</v>
      </c>
      <c r="G11" s="25">
        <f t="shared" si="1"/>
        <v>3</v>
      </c>
      <c r="H11" s="25">
        <f>IF(G11&gt;G10,H10+C11*F11,C11*F11)</f>
        <v>2.4586823322439502</v>
      </c>
      <c r="I11" s="25">
        <f t="shared" si="2"/>
        <v>0.60000000000000009</v>
      </c>
      <c r="J11" s="25">
        <f t="shared" si="3"/>
        <v>0</v>
      </c>
      <c r="K11" s="24">
        <f>IF(CurrentMtgRatesDataTable811[[#This Row],[WA CC]]&lt;&gt;0,D10-CurrentMtgRatesDataTable811[[#This Row],[WA CC]],0)</f>
        <v>0</v>
      </c>
      <c r="L11" s="24">
        <f>IF(CurrentMtgRatesDataTable811[[#This Row],[Servicing Spread]]&lt;=0,L10,CurrentMtgRatesDataTable811[[#This Row],[Servicing Spread]])</f>
        <v>0.55190950259325255</v>
      </c>
      <c r="M11" s="24">
        <f>CurrentMtgRatesDataTable811[[#This Row],[SeriesNumValue]]+CurrentMtgRatesDataTable811[[#This Row],[Servicing Spread Non-Zero]]</f>
        <v>4.6608837664737521</v>
      </c>
      <c r="P11" s="25" t="s">
        <v>1975</v>
      </c>
      <c r="Q11" s="25">
        <v>4</v>
      </c>
      <c r="R11" s="25">
        <v>0</v>
      </c>
      <c r="V11">
        <v>3.87</v>
      </c>
      <c r="W11" s="3">
        <v>42327</v>
      </c>
    </row>
    <row r="12" spans="2:23" x14ac:dyDescent="0.2">
      <c r="B12" s="23" t="s">
        <v>1986</v>
      </c>
      <c r="C12" s="26">
        <v>4.2874791963185999</v>
      </c>
      <c r="D12" s="26">
        <v>4.7549999999999999</v>
      </c>
      <c r="E12" s="25">
        <f t="shared" si="0"/>
        <v>6</v>
      </c>
      <c r="F12" s="25">
        <f>VLOOKUP(E12,Q$5:R$11,2,FALSE)</f>
        <v>0.2</v>
      </c>
      <c r="G12" s="25">
        <f t="shared" si="1"/>
        <v>4</v>
      </c>
      <c r="H12" s="25">
        <f>IF(G12&gt;G11,H11+C12*F12,C12*F12)</f>
        <v>3.3161781715076701</v>
      </c>
      <c r="I12" s="25">
        <f t="shared" si="2"/>
        <v>0.8</v>
      </c>
      <c r="J12" s="25">
        <f t="shared" si="3"/>
        <v>0</v>
      </c>
      <c r="K12" s="24">
        <f>IF(CurrentMtgRatesDataTable811[[#This Row],[WA CC]]&lt;&gt;0,D11-CurrentMtgRatesDataTable811[[#This Row],[WA CC]],0)</f>
        <v>0</v>
      </c>
      <c r="L12" s="24">
        <f>IF(CurrentMtgRatesDataTable811[[#This Row],[Servicing Spread]]&lt;=0,L11,CurrentMtgRatesDataTable811[[#This Row],[Servicing Spread]])</f>
        <v>0.55190950259325255</v>
      </c>
      <c r="M12" s="24">
        <f>CurrentMtgRatesDataTable811[[#This Row],[SeriesNumValue]]+CurrentMtgRatesDataTable811[[#This Row],[Servicing Spread Non-Zero]]</f>
        <v>4.8393886989118524</v>
      </c>
      <c r="V12">
        <v>3.88</v>
      </c>
      <c r="W12" s="3">
        <v>42320</v>
      </c>
    </row>
    <row r="13" spans="2:23" x14ac:dyDescent="0.2">
      <c r="B13" s="23" t="s">
        <v>1987</v>
      </c>
      <c r="C13" s="26">
        <v>4.3841234940053697</v>
      </c>
      <c r="D13" s="26">
        <v>4.7549999999999999</v>
      </c>
      <c r="E13" s="25">
        <f t="shared" si="0"/>
        <v>7</v>
      </c>
      <c r="F13" s="25">
        <f>VLOOKUP(E13,Q$5:R$11,2,FALSE)</f>
        <v>0.2</v>
      </c>
      <c r="G13" s="25">
        <f t="shared" si="1"/>
        <v>5</v>
      </c>
      <c r="H13" s="25">
        <f>IF(G13&gt;G12,H12+C13*F13,C13*F13)</f>
        <v>4.1930028703087441</v>
      </c>
      <c r="I13" s="25">
        <f t="shared" si="2"/>
        <v>1</v>
      </c>
      <c r="J13" s="25">
        <f t="shared" si="3"/>
        <v>4.1930028703087441</v>
      </c>
      <c r="K13" s="24">
        <f>IF(CurrentMtgRatesDataTable811[[#This Row],[WA CC]]&lt;&gt;0,D12-CurrentMtgRatesDataTable811[[#This Row],[WA CC]],0)</f>
        <v>0.56199712969125581</v>
      </c>
      <c r="L13" s="24">
        <f>IF(CurrentMtgRatesDataTable811[[#This Row],[Servicing Spread]]&lt;=0,L12,CurrentMtgRatesDataTable811[[#This Row],[Servicing Spread]])</f>
        <v>0.56199712969125581</v>
      </c>
      <c r="M13" s="24">
        <f>CurrentMtgRatesDataTable811[[#This Row],[SeriesNumValue]]+CurrentMtgRatesDataTable811[[#This Row],[Servicing Spread Non-Zero]]</f>
        <v>4.9461206236966255</v>
      </c>
      <c r="V13">
        <v>3.77</v>
      </c>
      <c r="W13" s="3">
        <v>42313</v>
      </c>
    </row>
    <row r="14" spans="2:23" x14ac:dyDescent="0.2">
      <c r="B14" s="23" t="s">
        <v>1988</v>
      </c>
      <c r="C14" s="26">
        <v>4.3563887495905904</v>
      </c>
      <c r="D14" s="26">
        <v>4.7349999999999994</v>
      </c>
      <c r="E14" s="25">
        <f t="shared" si="0"/>
        <v>1</v>
      </c>
      <c r="F14" s="25">
        <f>VLOOKUP(E14,Q$5:R$11,2,FALSE)</f>
        <v>0.2</v>
      </c>
      <c r="G14" s="25">
        <f t="shared" si="1"/>
        <v>1</v>
      </c>
      <c r="H14" s="25">
        <f>IF(G14&gt;G13,H13+C14*F14,C14*F14)</f>
        <v>0.87127774991811813</v>
      </c>
      <c r="I14" s="25">
        <f t="shared" si="2"/>
        <v>0.2</v>
      </c>
      <c r="J14" s="25">
        <f t="shared" si="3"/>
        <v>0</v>
      </c>
      <c r="K14" s="24">
        <f>IF(CurrentMtgRatesDataTable811[[#This Row],[WA CC]]&lt;&gt;0,D13-CurrentMtgRatesDataTable811[[#This Row],[WA CC]],0)</f>
        <v>0</v>
      </c>
      <c r="L14" s="24">
        <f>IF(CurrentMtgRatesDataTable811[[#This Row],[Servicing Spread]]&lt;=0,L13,CurrentMtgRatesDataTable811[[#This Row],[Servicing Spread]])</f>
        <v>0.56199712969125581</v>
      </c>
      <c r="M14" s="24">
        <f>CurrentMtgRatesDataTable811[[#This Row],[SeriesNumValue]]+CurrentMtgRatesDataTable811[[#This Row],[Servicing Spread Non-Zero]]</f>
        <v>4.9183858792818462</v>
      </c>
      <c r="V14">
        <v>3.66</v>
      </c>
      <c r="W14" s="3">
        <v>42306</v>
      </c>
    </row>
    <row r="15" spans="2:23" x14ac:dyDescent="0.2">
      <c r="B15" s="23" t="s">
        <v>1989</v>
      </c>
      <c r="C15" s="26">
        <v>4.1670201724021796</v>
      </c>
      <c r="D15" s="26">
        <v>4.7349999999999994</v>
      </c>
      <c r="E15" s="25">
        <f t="shared" si="0"/>
        <v>2</v>
      </c>
      <c r="F15" s="25">
        <f>VLOOKUP(E15,Q$5:R$11,2,FALSE)</f>
        <v>0.2</v>
      </c>
      <c r="G15" s="25">
        <f t="shared" si="1"/>
        <v>2</v>
      </c>
      <c r="H15" s="25">
        <f>IF(G15&gt;G14,H14+C15*F15,C15*F15)</f>
        <v>1.704681784398554</v>
      </c>
      <c r="I15" s="25">
        <f t="shared" si="2"/>
        <v>0.4</v>
      </c>
      <c r="J15" s="25">
        <f t="shared" si="3"/>
        <v>0</v>
      </c>
      <c r="K15" s="24">
        <f>IF(CurrentMtgRatesDataTable811[[#This Row],[WA CC]]&lt;&gt;0,D14-CurrentMtgRatesDataTable811[[#This Row],[WA CC]],0)</f>
        <v>0</v>
      </c>
      <c r="L15" s="24">
        <f>IF(CurrentMtgRatesDataTable811[[#This Row],[Servicing Spread]]&lt;=0,L14,CurrentMtgRatesDataTable811[[#This Row],[Servicing Spread]])</f>
        <v>0.56199712969125581</v>
      </c>
      <c r="M15" s="24">
        <f>CurrentMtgRatesDataTable811[[#This Row],[SeriesNumValue]]+CurrentMtgRatesDataTable811[[#This Row],[Servicing Spread Non-Zero]]</f>
        <v>4.7290173020934354</v>
      </c>
      <c r="V15">
        <v>3.69</v>
      </c>
      <c r="W15" s="3">
        <v>42299</v>
      </c>
    </row>
    <row r="16" spans="2:23" x14ac:dyDescent="0.2">
      <c r="B16" s="23" t="s">
        <v>1990</v>
      </c>
      <c r="C16" s="26">
        <v>4.2106190227226401</v>
      </c>
      <c r="D16" s="26">
        <v>4.7349999999999994</v>
      </c>
      <c r="E16" s="25">
        <f t="shared" si="0"/>
        <v>5</v>
      </c>
      <c r="F16" s="25">
        <f>VLOOKUP(E16,Q$5:R$11,2,FALSE)</f>
        <v>0.2</v>
      </c>
      <c r="G16" s="25">
        <f t="shared" si="1"/>
        <v>3</v>
      </c>
      <c r="H16" s="25">
        <f>IF(G16&gt;G15,H15+C16*F16,C16*F16)</f>
        <v>2.5468055889430818</v>
      </c>
      <c r="I16" s="25">
        <f t="shared" si="2"/>
        <v>0.60000000000000009</v>
      </c>
      <c r="J16" s="25">
        <f t="shared" si="3"/>
        <v>0</v>
      </c>
      <c r="K16" s="24">
        <f>IF(CurrentMtgRatesDataTable811[[#This Row],[WA CC]]&lt;&gt;0,D15-CurrentMtgRatesDataTable811[[#This Row],[WA CC]],0)</f>
        <v>0</v>
      </c>
      <c r="L16" s="24">
        <f>IF(CurrentMtgRatesDataTable811[[#This Row],[Servicing Spread]]&lt;=0,L15,CurrentMtgRatesDataTable811[[#This Row],[Servicing Spread]])</f>
        <v>0.56199712969125581</v>
      </c>
      <c r="M16" s="24">
        <f>CurrentMtgRatesDataTable811[[#This Row],[SeriesNumValue]]+CurrentMtgRatesDataTable811[[#This Row],[Servicing Spread Non-Zero]]</f>
        <v>4.7726161524138959</v>
      </c>
      <c r="V16">
        <v>3.72</v>
      </c>
      <c r="W16" s="3">
        <v>42292</v>
      </c>
    </row>
    <row r="17" spans="2:23" x14ac:dyDescent="0.2">
      <c r="B17" s="23" t="s">
        <v>1991</v>
      </c>
      <c r="C17" s="26">
        <v>4.1747769851216496</v>
      </c>
      <c r="D17" s="26">
        <v>4.7349999999999994</v>
      </c>
      <c r="E17" s="25">
        <f t="shared" si="0"/>
        <v>6</v>
      </c>
      <c r="F17" s="25">
        <f>VLOOKUP(E17,Q$5:R$11,2,FALSE)</f>
        <v>0.2</v>
      </c>
      <c r="G17" s="25">
        <f t="shared" si="1"/>
        <v>4</v>
      </c>
      <c r="H17" s="25">
        <f>IF(G17&gt;G16,H16+C17*F17,C17*F17)</f>
        <v>3.3817609859674116</v>
      </c>
      <c r="I17" s="25">
        <f t="shared" si="2"/>
        <v>0.8</v>
      </c>
      <c r="J17" s="25">
        <f t="shared" si="3"/>
        <v>0</v>
      </c>
      <c r="K17" s="24">
        <f>IF(CurrentMtgRatesDataTable811[[#This Row],[WA CC]]&lt;&gt;0,D16-CurrentMtgRatesDataTable811[[#This Row],[WA CC]],0)</f>
        <v>0</v>
      </c>
      <c r="L17" s="24">
        <f>IF(CurrentMtgRatesDataTable811[[#This Row],[Servicing Spread]]&lt;=0,L16,CurrentMtgRatesDataTable811[[#This Row],[Servicing Spread]])</f>
        <v>0.56199712969125581</v>
      </c>
      <c r="M17" s="24">
        <f>CurrentMtgRatesDataTable811[[#This Row],[SeriesNumValue]]+CurrentMtgRatesDataTable811[[#This Row],[Servicing Spread Non-Zero]]</f>
        <v>4.7367741148129054</v>
      </c>
      <c r="V17">
        <v>3.66</v>
      </c>
      <c r="W17" s="3">
        <v>42285</v>
      </c>
    </row>
    <row r="18" spans="2:23" x14ac:dyDescent="0.2">
      <c r="B18" s="23" t="s">
        <v>1992</v>
      </c>
      <c r="C18" s="26">
        <v>4.1785023611627299</v>
      </c>
      <c r="D18" s="26">
        <v>4.7349999999999994</v>
      </c>
      <c r="E18" s="25">
        <f t="shared" si="0"/>
        <v>7</v>
      </c>
      <c r="F18" s="25">
        <f>VLOOKUP(E18,Q$5:R$11,2,FALSE)</f>
        <v>0.2</v>
      </c>
      <c r="G18" s="25">
        <f t="shared" si="1"/>
        <v>5</v>
      </c>
      <c r="H18" s="25">
        <f>IF(G18&gt;G17,H17+C18*F18,C18*F18)</f>
        <v>4.2174614581999581</v>
      </c>
      <c r="I18" s="25">
        <f t="shared" si="2"/>
        <v>1</v>
      </c>
      <c r="J18" s="25">
        <f t="shared" si="3"/>
        <v>4.2174614581999581</v>
      </c>
      <c r="K18" s="24">
        <f>IF(CurrentMtgRatesDataTable811[[#This Row],[WA CC]]&lt;&gt;0,D17-CurrentMtgRatesDataTable811[[#This Row],[WA CC]],0)</f>
        <v>0.51753854180004133</v>
      </c>
      <c r="L18" s="24">
        <f>IF(CurrentMtgRatesDataTable811[[#This Row],[Servicing Spread]]&lt;=0,L17,CurrentMtgRatesDataTable811[[#This Row],[Servicing Spread]])</f>
        <v>0.51753854180004133</v>
      </c>
      <c r="M18" s="24">
        <f>CurrentMtgRatesDataTable811[[#This Row],[SeriesNumValue]]+CurrentMtgRatesDataTable811[[#This Row],[Servicing Spread Non-Zero]]</f>
        <v>4.6960409029627712</v>
      </c>
      <c r="V18">
        <v>3.75</v>
      </c>
      <c r="W18" s="3">
        <v>42278</v>
      </c>
    </row>
    <row r="19" spans="2:23" x14ac:dyDescent="0.2">
      <c r="B19" s="23" t="s">
        <v>1993</v>
      </c>
      <c r="C19" s="26">
        <v>4.2265070801815998</v>
      </c>
      <c r="D19" s="26">
        <v>4.8100000000000005</v>
      </c>
      <c r="E19" s="25">
        <f t="shared" si="0"/>
        <v>1</v>
      </c>
      <c r="F19" s="25">
        <f>VLOOKUP(E19,Q$5:R$11,2,FALSE)</f>
        <v>0.2</v>
      </c>
      <c r="G19" s="25">
        <f t="shared" si="1"/>
        <v>1</v>
      </c>
      <c r="H19" s="25">
        <f>IF(G19&gt;G18,H18+C19*F19,C19*F19)</f>
        <v>0.84530141603632003</v>
      </c>
      <c r="I19" s="25">
        <f t="shared" si="2"/>
        <v>0.2</v>
      </c>
      <c r="J19" s="25">
        <f t="shared" si="3"/>
        <v>0</v>
      </c>
      <c r="K19" s="24">
        <f>IF(CurrentMtgRatesDataTable811[[#This Row],[WA CC]]&lt;&gt;0,D18-CurrentMtgRatesDataTable811[[#This Row],[WA CC]],0)</f>
        <v>0</v>
      </c>
      <c r="L19" s="24">
        <f>IF(CurrentMtgRatesDataTable811[[#This Row],[Servicing Spread]]&lt;=0,L18,CurrentMtgRatesDataTable811[[#This Row],[Servicing Spread]])</f>
        <v>0.51753854180004133</v>
      </c>
      <c r="M19" s="24">
        <f>CurrentMtgRatesDataTable811[[#This Row],[SeriesNumValue]]+CurrentMtgRatesDataTable811[[#This Row],[Servicing Spread Non-Zero]]</f>
        <v>4.7440456219816411</v>
      </c>
      <c r="V19">
        <v>3.7850000000000001</v>
      </c>
      <c r="W19" s="3">
        <v>42271</v>
      </c>
    </row>
    <row r="20" spans="2:23" x14ac:dyDescent="0.2">
      <c r="B20" s="27" t="s">
        <v>1994</v>
      </c>
      <c r="C20" s="28">
        <v>4.2128404720611599</v>
      </c>
      <c r="D20" s="26">
        <v>4.8100000000000005</v>
      </c>
      <c r="E20" s="24">
        <f t="shared" si="0"/>
        <v>5</v>
      </c>
      <c r="F20" s="24">
        <f>VLOOKUP(E20,Q$5:R$11,2,FALSE)</f>
        <v>0.2</v>
      </c>
      <c r="G20" s="24">
        <f t="shared" si="1"/>
        <v>2</v>
      </c>
      <c r="H20" s="24">
        <f>IF(G20&gt;G19,H19+C20*F20,C20*F20)</f>
        <v>1.6878695104485519</v>
      </c>
      <c r="I20" s="24">
        <f t="shared" si="2"/>
        <v>0.4</v>
      </c>
      <c r="J20" s="24">
        <f t="shared" si="3"/>
        <v>0</v>
      </c>
      <c r="K20" s="24">
        <f>IF(CurrentMtgRatesDataTable811[[#This Row],[WA CC]]&lt;&gt;0,D19-CurrentMtgRatesDataTable811[[#This Row],[WA CC]],0)</f>
        <v>0</v>
      </c>
      <c r="L20" s="24">
        <f>IF(CurrentMtgRatesDataTable811[[#This Row],[Servicing Spread]]&lt;=0,L19,CurrentMtgRatesDataTable811[[#This Row],[Servicing Spread]])</f>
        <v>0.51753854180004133</v>
      </c>
      <c r="M20" s="24">
        <f>CurrentMtgRatesDataTable811[[#This Row],[SeriesNumValue]]+CurrentMtgRatesDataTable811[[#This Row],[Servicing Spread Non-Zero]]</f>
        <v>4.7303790138612012</v>
      </c>
      <c r="V20">
        <v>3.81</v>
      </c>
      <c r="W20" s="3">
        <v>42264</v>
      </c>
    </row>
    <row r="21" spans="2:23" x14ac:dyDescent="0.2">
      <c r="B21" s="27" t="s">
        <v>1995</v>
      </c>
      <c r="C21" s="28">
        <v>4.3267789144844704</v>
      </c>
      <c r="D21" s="26">
        <v>4.8100000000000005</v>
      </c>
      <c r="E21" s="24">
        <f t="shared" si="0"/>
        <v>6</v>
      </c>
      <c r="F21" s="24">
        <f>VLOOKUP(E21,Q$5:R$11,2,FALSE)</f>
        <v>0.2</v>
      </c>
      <c r="G21" s="24">
        <f t="shared" si="1"/>
        <v>3</v>
      </c>
      <c r="H21" s="24">
        <f>IF(G21&gt;G20,H20+C21*F21,C21*F21)</f>
        <v>2.553225293345446</v>
      </c>
      <c r="I21" s="24">
        <f t="shared" si="2"/>
        <v>0.60000000000000009</v>
      </c>
      <c r="J21" s="24">
        <f t="shared" si="3"/>
        <v>0</v>
      </c>
      <c r="K21" s="24">
        <f>IF(CurrentMtgRatesDataTable811[[#This Row],[WA CC]]&lt;&gt;0,D20-CurrentMtgRatesDataTable811[[#This Row],[WA CC]],0)</f>
        <v>0</v>
      </c>
      <c r="L21" s="24">
        <f>IF(CurrentMtgRatesDataTable811[[#This Row],[Servicing Spread]]&lt;=0,L20,CurrentMtgRatesDataTable811[[#This Row],[Servicing Spread]])</f>
        <v>0.51753854180004133</v>
      </c>
      <c r="M21" s="24">
        <f>CurrentMtgRatesDataTable811[[#This Row],[SeriesNumValue]]+CurrentMtgRatesDataTable811[[#This Row],[Servicing Spread Non-Zero]]</f>
        <v>4.8443174562845117</v>
      </c>
      <c r="V21">
        <v>3.8</v>
      </c>
      <c r="W21" s="3">
        <v>42257</v>
      </c>
    </row>
    <row r="22" spans="2:23" x14ac:dyDescent="0.2">
      <c r="B22" s="27" t="s">
        <v>1996</v>
      </c>
      <c r="C22" s="28">
        <v>4.1712027046695104</v>
      </c>
      <c r="D22" s="26">
        <v>4.8100000000000005</v>
      </c>
      <c r="E22" s="24">
        <f t="shared" si="0"/>
        <v>7</v>
      </c>
      <c r="F22" s="24">
        <f>VLOOKUP(E22,Q$5:R$11,2,FALSE)</f>
        <v>0.2</v>
      </c>
      <c r="G22" s="24">
        <f t="shared" si="1"/>
        <v>4</v>
      </c>
      <c r="H22" s="24">
        <f>IF(G22&gt;G21,H21+C22*F22,C22*F22)</f>
        <v>3.387465834279348</v>
      </c>
      <c r="I22" s="24">
        <f t="shared" si="2"/>
        <v>0.8</v>
      </c>
      <c r="J22" s="24">
        <f t="shared" si="3"/>
        <v>4.2343322928491851</v>
      </c>
      <c r="K22" s="24">
        <f>IF(CurrentMtgRatesDataTable811[[#This Row],[WA CC]]&lt;&gt;0,D21-CurrentMtgRatesDataTable811[[#This Row],[WA CC]],0)</f>
        <v>0.57566770715081539</v>
      </c>
      <c r="L22" s="24">
        <f>IF(CurrentMtgRatesDataTable811[[#This Row],[Servicing Spread]]&lt;=0,L21,CurrentMtgRatesDataTable811[[#This Row],[Servicing Spread]])</f>
        <v>0.57566770715081539</v>
      </c>
      <c r="M22" s="24">
        <f>CurrentMtgRatesDataTable811[[#This Row],[SeriesNumValue]]+CurrentMtgRatesDataTable811[[#This Row],[Servicing Spread Non-Zero]]</f>
        <v>4.7468704118203258</v>
      </c>
      <c r="V22">
        <v>3.79</v>
      </c>
      <c r="W22" s="3">
        <v>42250</v>
      </c>
    </row>
    <row r="23" spans="2:23" x14ac:dyDescent="0.2">
      <c r="B23" s="27" t="s">
        <v>1997</v>
      </c>
      <c r="C23" s="28">
        <v>4.18878443667134</v>
      </c>
      <c r="D23" s="26">
        <v>4.72</v>
      </c>
      <c r="E23" s="24">
        <f t="shared" si="0"/>
        <v>1</v>
      </c>
      <c r="F23" s="24">
        <f>VLOOKUP(E23,Q$5:R$11,2,FALSE)</f>
        <v>0.2</v>
      </c>
      <c r="G23" s="24">
        <f t="shared" si="1"/>
        <v>1</v>
      </c>
      <c r="H23" s="24">
        <f>IF(G23&gt;G22,H22+C23*F23,C23*F23)</f>
        <v>0.83775688733426801</v>
      </c>
      <c r="I23" s="24">
        <f t="shared" si="2"/>
        <v>0.2</v>
      </c>
      <c r="J23" s="24">
        <f t="shared" si="3"/>
        <v>0</v>
      </c>
      <c r="K23" s="24">
        <f>IF(CurrentMtgRatesDataTable811[[#This Row],[WA CC]]&lt;&gt;0,D22-CurrentMtgRatesDataTable811[[#This Row],[WA CC]],0)</f>
        <v>0</v>
      </c>
      <c r="L23" s="24">
        <f>IF(CurrentMtgRatesDataTable811[[#This Row],[Servicing Spread]]&lt;=0,L22,CurrentMtgRatesDataTable811[[#This Row],[Servicing Spread]])</f>
        <v>0.57566770715081539</v>
      </c>
      <c r="M23" s="24">
        <f>CurrentMtgRatesDataTable811[[#This Row],[SeriesNumValue]]+CurrentMtgRatesDataTable811[[#This Row],[Servicing Spread Non-Zero]]</f>
        <v>4.7644521438221554</v>
      </c>
      <c r="V23">
        <v>3.74</v>
      </c>
      <c r="W23" s="3">
        <v>42243</v>
      </c>
    </row>
    <row r="24" spans="2:23" x14ac:dyDescent="0.2">
      <c r="B24" s="27" t="s">
        <v>1998</v>
      </c>
      <c r="C24" s="28">
        <v>4.1057743711836503</v>
      </c>
      <c r="D24" s="26">
        <v>4.72</v>
      </c>
      <c r="E24" s="24">
        <f t="shared" si="0"/>
        <v>2</v>
      </c>
      <c r="F24" s="24">
        <f>VLOOKUP(E24,Q$5:R$11,2,FALSE)</f>
        <v>0.2</v>
      </c>
      <c r="G24" s="24">
        <f t="shared" si="1"/>
        <v>2</v>
      </c>
      <c r="H24" s="24">
        <f>IF(G24&gt;G23,H23+C24*F24,C24*F24)</f>
        <v>1.6589117615709981</v>
      </c>
      <c r="I24" s="24">
        <f t="shared" si="2"/>
        <v>0.4</v>
      </c>
      <c r="J24" s="24">
        <f t="shared" si="3"/>
        <v>0</v>
      </c>
      <c r="K24" s="24">
        <f>IF(CurrentMtgRatesDataTable811[[#This Row],[WA CC]]&lt;&gt;0,D23-CurrentMtgRatesDataTable811[[#This Row],[WA CC]],0)</f>
        <v>0</v>
      </c>
      <c r="L24" s="24">
        <f>IF(CurrentMtgRatesDataTable811[[#This Row],[Servicing Spread]]&lt;=0,L23,CurrentMtgRatesDataTable811[[#This Row],[Servicing Spread]])</f>
        <v>0.57566770715081539</v>
      </c>
      <c r="M24" s="24">
        <f>CurrentMtgRatesDataTable811[[#This Row],[SeriesNumValue]]+CurrentMtgRatesDataTable811[[#This Row],[Servicing Spread Non-Zero]]</f>
        <v>4.6814420783344657</v>
      </c>
      <c r="V24">
        <v>3.83</v>
      </c>
      <c r="W24" s="3">
        <v>42236</v>
      </c>
    </row>
    <row r="25" spans="2:23" x14ac:dyDescent="0.2">
      <c r="B25" s="27" t="s">
        <v>706</v>
      </c>
      <c r="C25" s="28">
        <v>4.11936695587936</v>
      </c>
      <c r="D25" s="26">
        <v>4.72</v>
      </c>
      <c r="E25" s="24">
        <f t="shared" si="0"/>
        <v>5</v>
      </c>
      <c r="F25" s="24">
        <f>VLOOKUP(E25,Q$5:R$11,2,FALSE)</f>
        <v>0.2</v>
      </c>
      <c r="G25" s="24">
        <f t="shared" si="1"/>
        <v>3</v>
      </c>
      <c r="H25" s="24">
        <f>IF(G25&gt;G24,H24+C25*F25,C25*F25)</f>
        <v>2.4827851527468701</v>
      </c>
      <c r="I25" s="24">
        <f t="shared" si="2"/>
        <v>0.60000000000000009</v>
      </c>
      <c r="J25" s="24">
        <f t="shared" si="3"/>
        <v>0</v>
      </c>
      <c r="K25" s="24">
        <f>IF(CurrentMtgRatesDataTable811[[#This Row],[WA CC]]&lt;&gt;0,D24-CurrentMtgRatesDataTable811[[#This Row],[WA CC]],0)</f>
        <v>0</v>
      </c>
      <c r="L25" s="24">
        <f>IF(CurrentMtgRatesDataTable811[[#This Row],[Servicing Spread]]&lt;=0,L24,CurrentMtgRatesDataTable811[[#This Row],[Servicing Spread]])</f>
        <v>0.57566770715081539</v>
      </c>
      <c r="M25" s="24">
        <f>CurrentMtgRatesDataTable811[[#This Row],[SeriesNumValue]]+CurrentMtgRatesDataTable811[[#This Row],[Servicing Spread Non-Zero]]</f>
        <v>4.6950346630301754</v>
      </c>
      <c r="V25">
        <v>3.84</v>
      </c>
      <c r="W25" s="3">
        <v>42229</v>
      </c>
    </row>
    <row r="26" spans="2:23" x14ac:dyDescent="0.2">
      <c r="B26" s="27" t="s">
        <v>707</v>
      </c>
      <c r="C26" s="28">
        <v>4.1122999566586502</v>
      </c>
      <c r="D26" s="26">
        <v>4.72</v>
      </c>
      <c r="E26" s="24">
        <f t="shared" si="0"/>
        <v>6</v>
      </c>
      <c r="F26" s="24">
        <f>VLOOKUP(E26,Q$5:R$11,2,FALSE)</f>
        <v>0.2</v>
      </c>
      <c r="G26" s="24">
        <f t="shared" si="1"/>
        <v>4</v>
      </c>
      <c r="H26" s="24">
        <f>IF(G26&gt;G25,H25+C26*F26,C26*F26)</f>
        <v>3.3052451440785999</v>
      </c>
      <c r="I26" s="24">
        <f t="shared" si="2"/>
        <v>0.8</v>
      </c>
      <c r="J26" s="24">
        <f t="shared" si="3"/>
        <v>0</v>
      </c>
      <c r="K26" s="24">
        <f>IF(CurrentMtgRatesDataTable811[[#This Row],[WA CC]]&lt;&gt;0,D25-CurrentMtgRatesDataTable811[[#This Row],[WA CC]],0)</f>
        <v>0</v>
      </c>
      <c r="L26" s="24">
        <f>IF(CurrentMtgRatesDataTable811[[#This Row],[Servicing Spread]]&lt;=0,L25,CurrentMtgRatesDataTable811[[#This Row],[Servicing Spread]])</f>
        <v>0.57566770715081539</v>
      </c>
      <c r="M26" s="24">
        <f>CurrentMtgRatesDataTable811[[#This Row],[SeriesNumValue]]+CurrentMtgRatesDataTable811[[#This Row],[Servicing Spread Non-Zero]]</f>
        <v>4.6879676638094656</v>
      </c>
      <c r="V26">
        <v>3.81</v>
      </c>
      <c r="W26" s="3">
        <v>42222</v>
      </c>
    </row>
    <row r="27" spans="2:23" x14ac:dyDescent="0.2">
      <c r="B27" s="27" t="s">
        <v>708</v>
      </c>
      <c r="C27" s="28">
        <v>4.2469378689917301</v>
      </c>
      <c r="D27" s="26">
        <v>4.72</v>
      </c>
      <c r="E27" s="24">
        <f t="shared" si="0"/>
        <v>7</v>
      </c>
      <c r="F27" s="24">
        <f>VLOOKUP(E27,Q$5:R$11,2,FALSE)</f>
        <v>0.2</v>
      </c>
      <c r="G27" s="24">
        <f t="shared" si="1"/>
        <v>5</v>
      </c>
      <c r="H27" s="24">
        <f>IF(G27&gt;G26,H26+C27*F27,C27*F27)</f>
        <v>4.1546327178769458</v>
      </c>
      <c r="I27" s="24">
        <f t="shared" si="2"/>
        <v>1</v>
      </c>
      <c r="J27" s="24">
        <f t="shared" si="3"/>
        <v>4.1546327178769458</v>
      </c>
      <c r="K27" s="24">
        <f>IF(CurrentMtgRatesDataTable811[[#This Row],[WA CC]]&lt;&gt;0,D26-CurrentMtgRatesDataTable811[[#This Row],[WA CC]],0)</f>
        <v>0.56536728212305398</v>
      </c>
      <c r="L27" s="24">
        <f>IF(CurrentMtgRatesDataTable811[[#This Row],[Servicing Spread]]&lt;=0,L26,CurrentMtgRatesDataTable811[[#This Row],[Servicing Spread]])</f>
        <v>0.56536728212305398</v>
      </c>
      <c r="M27" s="24">
        <f>CurrentMtgRatesDataTable811[[#This Row],[SeriesNumValue]]+CurrentMtgRatesDataTable811[[#This Row],[Servicing Spread Non-Zero]]</f>
        <v>4.8123051511147841</v>
      </c>
      <c r="V27">
        <v>3.88</v>
      </c>
      <c r="W27" s="3">
        <v>42215</v>
      </c>
    </row>
    <row r="28" spans="2:23" x14ac:dyDescent="0.2">
      <c r="B28" s="27" t="s">
        <v>709</v>
      </c>
      <c r="C28" s="28">
        <v>4.2000787125651602</v>
      </c>
      <c r="D28" s="26">
        <v>4.66</v>
      </c>
      <c r="E28" s="24">
        <f t="shared" si="0"/>
        <v>1</v>
      </c>
      <c r="F28" s="24">
        <f>VLOOKUP(E28,Q$5:R$11,2,FALSE)</f>
        <v>0.2</v>
      </c>
      <c r="G28" s="24">
        <f t="shared" si="1"/>
        <v>1</v>
      </c>
      <c r="H28" s="24">
        <f>IF(G28&gt;G27,H27+C28*F28,C28*F28)</f>
        <v>0.84001574251303213</v>
      </c>
      <c r="I28" s="24">
        <f t="shared" si="2"/>
        <v>0.2</v>
      </c>
      <c r="J28" s="24">
        <f t="shared" si="3"/>
        <v>0</v>
      </c>
      <c r="K28" s="24">
        <f>IF(CurrentMtgRatesDataTable811[[#This Row],[WA CC]]&lt;&gt;0,D27-CurrentMtgRatesDataTable811[[#This Row],[WA CC]],0)</f>
        <v>0</v>
      </c>
      <c r="L28" s="24">
        <f>IF(CurrentMtgRatesDataTable811[[#This Row],[Servicing Spread]]&lt;=0,L27,CurrentMtgRatesDataTable811[[#This Row],[Servicing Spread]])</f>
        <v>0.56536728212305398</v>
      </c>
      <c r="M28" s="24">
        <f>CurrentMtgRatesDataTable811[[#This Row],[SeriesNumValue]]+CurrentMtgRatesDataTable811[[#This Row],[Servicing Spread Non-Zero]]</f>
        <v>4.7654459946882142</v>
      </c>
      <c r="V28">
        <v>3.94</v>
      </c>
      <c r="W28" s="3">
        <v>42208</v>
      </c>
    </row>
    <row r="29" spans="2:23" x14ac:dyDescent="0.2">
      <c r="B29" s="27" t="s">
        <v>710</v>
      </c>
      <c r="C29" s="28">
        <v>4.1021104273380802</v>
      </c>
      <c r="D29" s="26">
        <v>4.66</v>
      </c>
      <c r="E29" s="24">
        <f t="shared" si="0"/>
        <v>2</v>
      </c>
      <c r="F29" s="24">
        <f>VLOOKUP(E29,Q$5:R$11,2,FALSE)</f>
        <v>0.2</v>
      </c>
      <c r="G29" s="24">
        <f t="shared" si="1"/>
        <v>2</v>
      </c>
      <c r="H29" s="24">
        <f>IF(G29&gt;G28,H28+C29*F29,C29*F29)</f>
        <v>1.6604378279806482</v>
      </c>
      <c r="I29" s="24">
        <f t="shared" si="2"/>
        <v>0.4</v>
      </c>
      <c r="J29" s="24">
        <f t="shared" si="3"/>
        <v>0</v>
      </c>
      <c r="K29" s="24">
        <f>IF(CurrentMtgRatesDataTable811[[#This Row],[WA CC]]&lt;&gt;0,D28-CurrentMtgRatesDataTable811[[#This Row],[WA CC]],0)</f>
        <v>0</v>
      </c>
      <c r="L29" s="24">
        <f>IF(CurrentMtgRatesDataTable811[[#This Row],[Servicing Spread]]&lt;=0,L28,CurrentMtgRatesDataTable811[[#This Row],[Servicing Spread]])</f>
        <v>0.56536728212305398</v>
      </c>
      <c r="M29" s="24">
        <f>CurrentMtgRatesDataTable811[[#This Row],[SeriesNumValue]]+CurrentMtgRatesDataTable811[[#This Row],[Servicing Spread Non-Zero]]</f>
        <v>4.6674777094611342</v>
      </c>
      <c r="V29">
        <v>3.99</v>
      </c>
      <c r="W29" s="3">
        <v>42201</v>
      </c>
    </row>
    <row r="30" spans="2:23" x14ac:dyDescent="0.2">
      <c r="B30" s="27" t="s">
        <v>711</v>
      </c>
      <c r="C30" s="28">
        <v>4.0762960784999098</v>
      </c>
      <c r="D30" s="26">
        <v>4.66</v>
      </c>
      <c r="E30" s="24">
        <f t="shared" si="0"/>
        <v>5</v>
      </c>
      <c r="F30" s="24">
        <f>VLOOKUP(E30,Q$5:R$11,2,FALSE)</f>
        <v>0.2</v>
      </c>
      <c r="G30" s="24">
        <f t="shared" si="1"/>
        <v>3</v>
      </c>
      <c r="H30" s="24">
        <f>IF(G30&gt;G29,H29+C30*F30,C30*F30)</f>
        <v>2.47569704368063</v>
      </c>
      <c r="I30" s="24">
        <f t="shared" si="2"/>
        <v>0.60000000000000009</v>
      </c>
      <c r="J30" s="24">
        <f t="shared" si="3"/>
        <v>0</v>
      </c>
      <c r="K30" s="24">
        <f>IF(CurrentMtgRatesDataTable811[[#This Row],[WA CC]]&lt;&gt;0,D29-CurrentMtgRatesDataTable811[[#This Row],[WA CC]],0)</f>
        <v>0</v>
      </c>
      <c r="L30" s="24">
        <f>IF(CurrentMtgRatesDataTable811[[#This Row],[Servicing Spread]]&lt;=0,L29,CurrentMtgRatesDataTable811[[#This Row],[Servicing Spread]])</f>
        <v>0.56536728212305398</v>
      </c>
      <c r="M30" s="24">
        <f>CurrentMtgRatesDataTable811[[#This Row],[SeriesNumValue]]+CurrentMtgRatesDataTable811[[#This Row],[Servicing Spread Non-Zero]]</f>
        <v>4.6416633606229638</v>
      </c>
      <c r="V30">
        <v>3.94</v>
      </c>
      <c r="W30" s="3">
        <v>42194</v>
      </c>
    </row>
    <row r="31" spans="2:23" x14ac:dyDescent="0.2">
      <c r="B31" s="27" t="s">
        <v>712</v>
      </c>
      <c r="C31" s="28">
        <v>4.1304635686140401</v>
      </c>
      <c r="D31" s="26">
        <v>4.66</v>
      </c>
      <c r="E31" s="24">
        <f t="shared" si="0"/>
        <v>6</v>
      </c>
      <c r="F31" s="24">
        <f>VLOOKUP(E31,Q$5:R$11,2,FALSE)</f>
        <v>0.2</v>
      </c>
      <c r="G31" s="24">
        <f t="shared" si="1"/>
        <v>4</v>
      </c>
      <c r="H31" s="24">
        <f>IF(G31&gt;G30,H30+C31*F31,C31*F31)</f>
        <v>3.3017897574034381</v>
      </c>
      <c r="I31" s="24">
        <f t="shared" si="2"/>
        <v>0.8</v>
      </c>
      <c r="J31" s="24">
        <f t="shared" si="3"/>
        <v>0</v>
      </c>
      <c r="K31" s="24">
        <f>IF(CurrentMtgRatesDataTable811[[#This Row],[WA CC]]&lt;&gt;0,D30-CurrentMtgRatesDataTable811[[#This Row],[WA CC]],0)</f>
        <v>0</v>
      </c>
      <c r="L31" s="24">
        <f>IF(CurrentMtgRatesDataTable811[[#This Row],[Servicing Spread]]&lt;=0,L30,CurrentMtgRatesDataTable811[[#This Row],[Servicing Spread]])</f>
        <v>0.56536728212305398</v>
      </c>
      <c r="M31" s="24">
        <f>CurrentMtgRatesDataTable811[[#This Row],[SeriesNumValue]]+CurrentMtgRatesDataTable811[[#This Row],[Servicing Spread Non-Zero]]</f>
        <v>4.6958308507370941</v>
      </c>
      <c r="V31">
        <v>3.98</v>
      </c>
      <c r="W31" s="3">
        <v>42187</v>
      </c>
    </row>
    <row r="32" spans="2:23" x14ac:dyDescent="0.2">
      <c r="B32" s="27" t="s">
        <v>713</v>
      </c>
      <c r="C32" s="28">
        <v>4.1275516725905304</v>
      </c>
      <c r="D32" s="26">
        <v>4.66</v>
      </c>
      <c r="E32" s="24">
        <f t="shared" si="0"/>
        <v>7</v>
      </c>
      <c r="F32" s="24">
        <f>VLOOKUP(E32,Q$5:R$11,2,FALSE)</f>
        <v>0.2</v>
      </c>
      <c r="G32" s="24">
        <f t="shared" si="1"/>
        <v>5</v>
      </c>
      <c r="H32" s="24">
        <f>IF(G32&gt;G31,H31+C32*F32,C32*F32)</f>
        <v>4.1273000919215441</v>
      </c>
      <c r="I32" s="24">
        <f t="shared" si="2"/>
        <v>1</v>
      </c>
      <c r="J32" s="24">
        <f t="shared" si="3"/>
        <v>4.1273000919215441</v>
      </c>
      <c r="K32" s="24">
        <f>IF(CurrentMtgRatesDataTable811[[#This Row],[WA CC]]&lt;&gt;0,D31-CurrentMtgRatesDataTable811[[#This Row],[WA CC]],0)</f>
        <v>0.53269990807845602</v>
      </c>
      <c r="L32" s="24">
        <f>IF(CurrentMtgRatesDataTable811[[#This Row],[Servicing Spread]]&lt;=0,L31,CurrentMtgRatesDataTable811[[#This Row],[Servicing Spread]])</f>
        <v>0.53269990807845602</v>
      </c>
      <c r="M32" s="24">
        <f>CurrentMtgRatesDataTable811[[#This Row],[SeriesNumValue]]+CurrentMtgRatesDataTable811[[#This Row],[Servicing Spread Non-Zero]]</f>
        <v>4.6602515806689864</v>
      </c>
      <c r="V32">
        <v>3.9449999999999901</v>
      </c>
      <c r="W32" s="3">
        <v>42180</v>
      </c>
    </row>
    <row r="33" spans="2:23" x14ac:dyDescent="0.2">
      <c r="B33" s="27" t="s">
        <v>714</v>
      </c>
      <c r="C33" s="28">
        <v>4.0727672759857096</v>
      </c>
      <c r="D33" s="26">
        <v>4.6900000000000004</v>
      </c>
      <c r="E33" s="24">
        <f t="shared" si="0"/>
        <v>1</v>
      </c>
      <c r="F33" s="24">
        <f>VLOOKUP(E33,Q$5:R$11,2,FALSE)</f>
        <v>0.2</v>
      </c>
      <c r="G33" s="24">
        <f t="shared" si="1"/>
        <v>1</v>
      </c>
      <c r="H33" s="24">
        <f>IF(G33&gt;G32,H32+C33*F33,C33*F33)</f>
        <v>0.81455345519714195</v>
      </c>
      <c r="I33" s="24">
        <f t="shared" si="2"/>
        <v>0.2</v>
      </c>
      <c r="J33" s="24">
        <f t="shared" si="3"/>
        <v>0</v>
      </c>
      <c r="K33" s="24">
        <f>IF(CurrentMtgRatesDataTable811[[#This Row],[WA CC]]&lt;&gt;0,D32-CurrentMtgRatesDataTable811[[#This Row],[WA CC]],0)</f>
        <v>0</v>
      </c>
      <c r="L33" s="24">
        <f>IF(CurrentMtgRatesDataTable811[[#This Row],[Servicing Spread]]&lt;=0,L32,CurrentMtgRatesDataTable811[[#This Row],[Servicing Spread]])</f>
        <v>0.53269990807845602</v>
      </c>
      <c r="M33" s="24">
        <f>CurrentMtgRatesDataTable811[[#This Row],[SeriesNumValue]]+CurrentMtgRatesDataTable811[[#This Row],[Servicing Spread Non-Zero]]</f>
        <v>4.6054671840641657</v>
      </c>
      <c r="V33">
        <v>3.9249999999999998</v>
      </c>
      <c r="W33" s="3">
        <v>42173</v>
      </c>
    </row>
    <row r="34" spans="2:23" x14ac:dyDescent="0.2">
      <c r="B34" s="27" t="s">
        <v>715</v>
      </c>
      <c r="C34" s="28">
        <v>4.0858523120533601</v>
      </c>
      <c r="D34" s="26">
        <v>4.6900000000000004</v>
      </c>
      <c r="E34" s="24">
        <f t="shared" si="0"/>
        <v>2</v>
      </c>
      <c r="F34" s="24">
        <f>VLOOKUP(E34,Q$5:R$11,2,FALSE)</f>
        <v>0.2</v>
      </c>
      <c r="G34" s="24">
        <f t="shared" si="1"/>
        <v>2</v>
      </c>
      <c r="H34" s="24">
        <f>IF(G34&gt;G33,H33+C34*F34,C34*F34)</f>
        <v>1.631723917607814</v>
      </c>
      <c r="I34" s="24">
        <f t="shared" si="2"/>
        <v>0.4</v>
      </c>
      <c r="J34" s="24">
        <f t="shared" si="3"/>
        <v>0</v>
      </c>
      <c r="K34" s="24">
        <f>IF(CurrentMtgRatesDataTable811[[#This Row],[WA CC]]&lt;&gt;0,D33-CurrentMtgRatesDataTable811[[#This Row],[WA CC]],0)</f>
        <v>0</v>
      </c>
      <c r="L34" s="24">
        <f>IF(CurrentMtgRatesDataTable811[[#This Row],[Servicing Spread]]&lt;=0,L33,CurrentMtgRatesDataTable811[[#This Row],[Servicing Spread]])</f>
        <v>0.53269990807845602</v>
      </c>
      <c r="M34" s="24">
        <f>CurrentMtgRatesDataTable811[[#This Row],[SeriesNumValue]]+CurrentMtgRatesDataTable811[[#This Row],[Servicing Spread Non-Zero]]</f>
        <v>4.6185522201318161</v>
      </c>
      <c r="V34">
        <v>3.94</v>
      </c>
      <c r="W34" s="3">
        <v>42166</v>
      </c>
    </row>
    <row r="35" spans="2:23" x14ac:dyDescent="0.2">
      <c r="B35" s="27" t="s">
        <v>716</v>
      </c>
      <c r="C35" s="28">
        <v>4.14123720248294</v>
      </c>
      <c r="D35" s="26">
        <v>4.6900000000000004</v>
      </c>
      <c r="E35" s="24">
        <f t="shared" si="0"/>
        <v>6</v>
      </c>
      <c r="F35" s="24">
        <f>VLOOKUP(E35,Q$5:R$11,2,FALSE)</f>
        <v>0.2</v>
      </c>
      <c r="G35" s="24">
        <f t="shared" si="1"/>
        <v>3</v>
      </c>
      <c r="H35" s="24">
        <f>IF(G35&gt;G34,H34+C35*F35,C35*F35)</f>
        <v>2.459971358104402</v>
      </c>
      <c r="I35" s="24">
        <f t="shared" si="2"/>
        <v>0.60000000000000009</v>
      </c>
      <c r="J35" s="24">
        <f t="shared" si="3"/>
        <v>0</v>
      </c>
      <c r="K35" s="24">
        <f>IF(CurrentMtgRatesDataTable811[[#This Row],[WA CC]]&lt;&gt;0,D34-CurrentMtgRatesDataTable811[[#This Row],[WA CC]],0)</f>
        <v>0</v>
      </c>
      <c r="L35" s="24">
        <f>IF(CurrentMtgRatesDataTable811[[#This Row],[Servicing Spread]]&lt;=0,L34,CurrentMtgRatesDataTable811[[#This Row],[Servicing Spread]])</f>
        <v>0.53269990807845602</v>
      </c>
      <c r="M35" s="24">
        <f>CurrentMtgRatesDataTable811[[#This Row],[SeriesNumValue]]+CurrentMtgRatesDataTable811[[#This Row],[Servicing Spread Non-Zero]]</f>
        <v>4.673937110561396</v>
      </c>
      <c r="V35">
        <v>3.77</v>
      </c>
      <c r="W35" s="3">
        <v>42159</v>
      </c>
    </row>
    <row r="36" spans="2:23" x14ac:dyDescent="0.2">
      <c r="B36" s="27" t="s">
        <v>717</v>
      </c>
      <c r="C36" s="28">
        <v>4.1151242571540303</v>
      </c>
      <c r="D36" s="26">
        <v>4.6900000000000004</v>
      </c>
      <c r="E36" s="24">
        <f t="shared" si="0"/>
        <v>7</v>
      </c>
      <c r="F36" s="24">
        <f>VLOOKUP(E36,Q$5:R$11,2,FALSE)</f>
        <v>0.2</v>
      </c>
      <c r="G36" s="24">
        <f t="shared" si="1"/>
        <v>4</v>
      </c>
      <c r="H36" s="24">
        <f>IF(G36&gt;G35,H35+C36*F36,C36*F36)</f>
        <v>3.2829962095352081</v>
      </c>
      <c r="I36" s="24">
        <f t="shared" si="2"/>
        <v>0.8</v>
      </c>
      <c r="J36" s="24">
        <f t="shared" si="3"/>
        <v>4.10374526191901</v>
      </c>
      <c r="K36" s="24">
        <f>IF(CurrentMtgRatesDataTable811[[#This Row],[WA CC]]&lt;&gt;0,D35-CurrentMtgRatesDataTable811[[#This Row],[WA CC]],0)</f>
        <v>0.58625473808099038</v>
      </c>
      <c r="L36" s="24">
        <f>IF(CurrentMtgRatesDataTable811[[#This Row],[Servicing Spread]]&lt;=0,L35,CurrentMtgRatesDataTable811[[#This Row],[Servicing Spread]])</f>
        <v>0.58625473808099038</v>
      </c>
      <c r="M36" s="24">
        <f>CurrentMtgRatesDataTable811[[#This Row],[SeriesNumValue]]+CurrentMtgRatesDataTable811[[#This Row],[Servicing Spread Non-Zero]]</f>
        <v>4.7013789952350207</v>
      </c>
      <c r="V36">
        <v>3.77</v>
      </c>
      <c r="W36" s="3">
        <v>42152</v>
      </c>
    </row>
    <row r="37" spans="2:23" x14ac:dyDescent="0.2">
      <c r="B37" s="27" t="s">
        <v>718</v>
      </c>
      <c r="C37" s="28">
        <v>4.2162328947968701</v>
      </c>
      <c r="D37" s="26">
        <v>4.7249999999999996</v>
      </c>
      <c r="E37" s="24">
        <f t="shared" si="0"/>
        <v>1</v>
      </c>
      <c r="F37" s="24">
        <f>VLOOKUP(E37,Q$5:R$11,2,FALSE)</f>
        <v>0.2</v>
      </c>
      <c r="G37" s="24">
        <f t="shared" si="1"/>
        <v>1</v>
      </c>
      <c r="H37" s="24">
        <f>IF(G37&gt;G36,H36+C37*F37,C37*F37)</f>
        <v>0.84324657895937405</v>
      </c>
      <c r="I37" s="24">
        <f t="shared" si="2"/>
        <v>0.2</v>
      </c>
      <c r="J37" s="24">
        <f t="shared" si="3"/>
        <v>0</v>
      </c>
      <c r="K37" s="24">
        <f>IF(CurrentMtgRatesDataTable811[[#This Row],[WA CC]]&lt;&gt;0,D36-CurrentMtgRatesDataTable811[[#This Row],[WA CC]],0)</f>
        <v>0</v>
      </c>
      <c r="L37" s="24">
        <f>IF(CurrentMtgRatesDataTable811[[#This Row],[Servicing Spread]]&lt;=0,L36,CurrentMtgRatesDataTable811[[#This Row],[Servicing Spread]])</f>
        <v>0.58625473808099038</v>
      </c>
      <c r="M37" s="24">
        <f>CurrentMtgRatesDataTable811[[#This Row],[SeriesNumValue]]+CurrentMtgRatesDataTable811[[#This Row],[Servicing Spread Non-Zero]]</f>
        <v>4.8024876328778605</v>
      </c>
      <c r="V37">
        <v>3.7650000000000001</v>
      </c>
      <c r="W37" s="3">
        <v>42145</v>
      </c>
    </row>
    <row r="38" spans="2:23" x14ac:dyDescent="0.2">
      <c r="B38" s="27" t="s">
        <v>719</v>
      </c>
      <c r="C38" s="28">
        <v>4.1821146174950501</v>
      </c>
      <c r="D38" s="26">
        <v>4.7249999999999996</v>
      </c>
      <c r="E38" s="24">
        <f t="shared" si="0"/>
        <v>2</v>
      </c>
      <c r="F38" s="24">
        <f>VLOOKUP(E38,Q$5:R$11,2,FALSE)</f>
        <v>0.2</v>
      </c>
      <c r="G38" s="24">
        <f t="shared" si="1"/>
        <v>2</v>
      </c>
      <c r="H38" s="24">
        <f>IF(G38&gt;G37,H37+C38*F38,C38*F38)</f>
        <v>1.6796695024583841</v>
      </c>
      <c r="I38" s="24">
        <f t="shared" si="2"/>
        <v>0.4</v>
      </c>
      <c r="J38" s="24">
        <f t="shared" si="3"/>
        <v>0</v>
      </c>
      <c r="K38" s="24">
        <f>IF(CurrentMtgRatesDataTable811[[#This Row],[WA CC]]&lt;&gt;0,D37-CurrentMtgRatesDataTable811[[#This Row],[WA CC]],0)</f>
        <v>0</v>
      </c>
      <c r="L38" s="24">
        <f>IF(CurrentMtgRatesDataTable811[[#This Row],[Servicing Spread]]&lt;=0,L37,CurrentMtgRatesDataTable811[[#This Row],[Servicing Spread]])</f>
        <v>0.58625473808099038</v>
      </c>
      <c r="M38" s="24">
        <f>CurrentMtgRatesDataTable811[[#This Row],[SeriesNumValue]]+CurrentMtgRatesDataTable811[[#This Row],[Servicing Spread Non-Zero]]</f>
        <v>4.7683693555760405</v>
      </c>
      <c r="V38">
        <v>3.75</v>
      </c>
      <c r="W38" s="3">
        <v>42138</v>
      </c>
    </row>
    <row r="39" spans="2:23" x14ac:dyDescent="0.2">
      <c r="B39" s="27" t="s">
        <v>720</v>
      </c>
      <c r="C39" s="28">
        <v>4.1956447039949802</v>
      </c>
      <c r="D39" s="26">
        <v>4.7249999999999996</v>
      </c>
      <c r="E39" s="24">
        <f t="shared" si="0"/>
        <v>5</v>
      </c>
      <c r="F39" s="24">
        <f>VLOOKUP(E39,Q$5:R$11,2,FALSE)</f>
        <v>0.2</v>
      </c>
      <c r="G39" s="24">
        <f t="shared" si="1"/>
        <v>3</v>
      </c>
      <c r="H39" s="24">
        <f>IF(G39&gt;G38,H38+C39*F39,C39*F39)</f>
        <v>2.5187984432573804</v>
      </c>
      <c r="I39" s="24">
        <f t="shared" si="2"/>
        <v>0.60000000000000009</v>
      </c>
      <c r="J39" s="24">
        <f t="shared" si="3"/>
        <v>0</v>
      </c>
      <c r="K39" s="24">
        <f>IF(CurrentMtgRatesDataTable811[[#This Row],[WA CC]]&lt;&gt;0,D38-CurrentMtgRatesDataTable811[[#This Row],[WA CC]],0)</f>
        <v>0</v>
      </c>
      <c r="L39" s="24">
        <f>IF(CurrentMtgRatesDataTable811[[#This Row],[Servicing Spread]]&lt;=0,L38,CurrentMtgRatesDataTable811[[#This Row],[Servicing Spread]])</f>
        <v>0.58625473808099038</v>
      </c>
      <c r="M39" s="24">
        <f>CurrentMtgRatesDataTable811[[#This Row],[SeriesNumValue]]+CurrentMtgRatesDataTable811[[#This Row],[Servicing Spread Non-Zero]]</f>
        <v>4.7818994420759706</v>
      </c>
      <c r="V39">
        <v>3.7</v>
      </c>
      <c r="W39" s="3">
        <v>42131</v>
      </c>
    </row>
    <row r="40" spans="2:23" x14ac:dyDescent="0.2">
      <c r="B40" s="27" t="s">
        <v>721</v>
      </c>
      <c r="C40" s="28">
        <v>4.1484976418835604</v>
      </c>
      <c r="D40" s="26">
        <v>4.7249999999999996</v>
      </c>
      <c r="E40" s="24">
        <f t="shared" si="0"/>
        <v>6</v>
      </c>
      <c r="F40" s="24">
        <f>VLOOKUP(E40,Q$5:R$11,2,FALSE)</f>
        <v>0.2</v>
      </c>
      <c r="G40" s="24">
        <f t="shared" si="1"/>
        <v>4</v>
      </c>
      <c r="H40" s="24">
        <f>IF(G40&gt;G39,H39+C40*F40,C40*F40)</f>
        <v>3.3484979716340924</v>
      </c>
      <c r="I40" s="24">
        <f t="shared" si="2"/>
        <v>0.8</v>
      </c>
      <c r="J40" s="24">
        <f t="shared" si="3"/>
        <v>0</v>
      </c>
      <c r="K40" s="24">
        <f>IF(CurrentMtgRatesDataTable811[[#This Row],[WA CC]]&lt;&gt;0,D39-CurrentMtgRatesDataTable811[[#This Row],[WA CC]],0)</f>
        <v>0</v>
      </c>
      <c r="L40" s="24">
        <f>IF(CurrentMtgRatesDataTable811[[#This Row],[Servicing Spread]]&lt;=0,L39,CurrentMtgRatesDataTable811[[#This Row],[Servicing Spread]])</f>
        <v>0.58625473808099038</v>
      </c>
      <c r="M40" s="24">
        <f>CurrentMtgRatesDataTable811[[#This Row],[SeriesNumValue]]+CurrentMtgRatesDataTable811[[#This Row],[Servicing Spread Non-Zero]]</f>
        <v>4.7347523799645508</v>
      </c>
      <c r="V40">
        <v>3.58</v>
      </c>
      <c r="W40" s="3">
        <v>42124</v>
      </c>
    </row>
    <row r="41" spans="2:23" x14ac:dyDescent="0.2">
      <c r="B41" s="27" t="s">
        <v>722</v>
      </c>
      <c r="C41" s="28">
        <v>4.2301753993648097</v>
      </c>
      <c r="D41" s="26">
        <v>4.7249999999999996</v>
      </c>
      <c r="E41" s="24">
        <f t="shared" si="0"/>
        <v>7</v>
      </c>
      <c r="F41" s="24">
        <f>VLOOKUP(E41,Q$5:R$11,2,FALSE)</f>
        <v>0.2</v>
      </c>
      <c r="G41" s="24">
        <f t="shared" si="1"/>
        <v>5</v>
      </c>
      <c r="H41" s="24">
        <f>IF(G41&gt;G40,H40+C41*F41,C41*F41)</f>
        <v>4.1945330515070545</v>
      </c>
      <c r="I41" s="24">
        <f t="shared" si="2"/>
        <v>1</v>
      </c>
      <c r="J41" s="24">
        <f t="shared" si="3"/>
        <v>4.1945330515070545</v>
      </c>
      <c r="K41" s="24">
        <f>IF(CurrentMtgRatesDataTable811[[#This Row],[WA CC]]&lt;&gt;0,D40-CurrentMtgRatesDataTable811[[#This Row],[WA CC]],0)</f>
        <v>0.53046694849294518</v>
      </c>
      <c r="L41" s="24">
        <f>IF(CurrentMtgRatesDataTable811[[#This Row],[Servicing Spread]]&lt;=0,L40,CurrentMtgRatesDataTable811[[#This Row],[Servicing Spread]])</f>
        <v>0.53046694849294518</v>
      </c>
      <c r="M41" s="24">
        <f>CurrentMtgRatesDataTable811[[#This Row],[SeriesNumValue]]+CurrentMtgRatesDataTable811[[#This Row],[Servicing Spread Non-Zero]]</f>
        <v>4.7606423478577549</v>
      </c>
      <c r="V41">
        <v>3.55</v>
      </c>
      <c r="W41" s="3">
        <v>42117</v>
      </c>
    </row>
    <row r="42" spans="2:23" x14ac:dyDescent="0.2">
      <c r="B42" s="27" t="s">
        <v>723</v>
      </c>
      <c r="C42" s="28">
        <v>4.1787721751727096</v>
      </c>
      <c r="D42" s="26">
        <v>4.76</v>
      </c>
      <c r="E42" s="24">
        <f t="shared" si="0"/>
        <v>1</v>
      </c>
      <c r="F42" s="24">
        <f>VLOOKUP(E42,Q$5:R$11,2,FALSE)</f>
        <v>0.2</v>
      </c>
      <c r="G42" s="24">
        <f t="shared" si="1"/>
        <v>1</v>
      </c>
      <c r="H42" s="24">
        <f>IF(G42&gt;G41,H41+C42*F42,C42*F42)</f>
        <v>0.83575443503454194</v>
      </c>
      <c r="I42" s="24">
        <f t="shared" si="2"/>
        <v>0.2</v>
      </c>
      <c r="J42" s="24">
        <f t="shared" si="3"/>
        <v>0</v>
      </c>
      <c r="K42" s="24">
        <f>IF(CurrentMtgRatesDataTable811[[#This Row],[WA CC]]&lt;&gt;0,D41-CurrentMtgRatesDataTable811[[#This Row],[WA CC]],0)</f>
        <v>0</v>
      </c>
      <c r="L42" s="24">
        <f>IF(CurrentMtgRatesDataTable811[[#This Row],[Servicing Spread]]&lt;=0,L41,CurrentMtgRatesDataTable811[[#This Row],[Servicing Spread]])</f>
        <v>0.53046694849294518</v>
      </c>
      <c r="M42" s="24">
        <f>CurrentMtgRatesDataTable811[[#This Row],[SeriesNumValue]]+CurrentMtgRatesDataTable811[[#This Row],[Servicing Spread Non-Zero]]</f>
        <v>4.7092391236656548</v>
      </c>
      <c r="V42">
        <v>3.5950000000000002</v>
      </c>
      <c r="W42" s="3">
        <v>42110</v>
      </c>
    </row>
    <row r="43" spans="2:23" x14ac:dyDescent="0.2">
      <c r="B43" s="27" t="s">
        <v>724</v>
      </c>
      <c r="C43" s="28">
        <v>4.14863561976171</v>
      </c>
      <c r="D43" s="26">
        <v>4.76</v>
      </c>
      <c r="E43" s="24">
        <f t="shared" si="0"/>
        <v>2</v>
      </c>
      <c r="F43" s="24">
        <f>VLOOKUP(E43,Q$5:R$11,2,FALSE)</f>
        <v>0.2</v>
      </c>
      <c r="G43" s="24">
        <f t="shared" si="1"/>
        <v>2</v>
      </c>
      <c r="H43" s="24">
        <f>IF(G43&gt;G42,H42+C43*F43,C43*F43)</f>
        <v>1.6654815589868841</v>
      </c>
      <c r="I43" s="24">
        <f t="shared" si="2"/>
        <v>0.4</v>
      </c>
      <c r="J43" s="24">
        <f t="shared" si="3"/>
        <v>0</v>
      </c>
      <c r="K43" s="24">
        <f>IF(CurrentMtgRatesDataTable811[[#This Row],[WA CC]]&lt;&gt;0,D42-CurrentMtgRatesDataTable811[[#This Row],[WA CC]],0)</f>
        <v>0</v>
      </c>
      <c r="L43" s="24">
        <f>IF(CurrentMtgRatesDataTable811[[#This Row],[Servicing Spread]]&lt;=0,L42,CurrentMtgRatesDataTable811[[#This Row],[Servicing Spread]])</f>
        <v>0.53046694849294518</v>
      </c>
      <c r="M43" s="24">
        <f>CurrentMtgRatesDataTable811[[#This Row],[SeriesNumValue]]+CurrentMtgRatesDataTable811[[#This Row],[Servicing Spread Non-Zero]]</f>
        <v>4.6791025682546552</v>
      </c>
      <c r="V43">
        <v>3.56</v>
      </c>
      <c r="W43" s="3">
        <v>42103</v>
      </c>
    </row>
    <row r="44" spans="2:23" x14ac:dyDescent="0.2">
      <c r="B44" s="27" t="s">
        <v>725</v>
      </c>
      <c r="C44" s="28">
        <v>4.1734715507654796</v>
      </c>
      <c r="D44" s="26">
        <v>4.76</v>
      </c>
      <c r="E44" s="24">
        <f t="shared" si="0"/>
        <v>5</v>
      </c>
      <c r="F44" s="24">
        <f>VLOOKUP(E44,Q$5:R$11,2,FALSE)</f>
        <v>0.2</v>
      </c>
      <c r="G44" s="24">
        <f t="shared" si="1"/>
        <v>3</v>
      </c>
      <c r="H44" s="24">
        <f>IF(G44&gt;G43,H43+C44*F44,C44*F44)</f>
        <v>2.50017586913998</v>
      </c>
      <c r="I44" s="24">
        <f t="shared" si="2"/>
        <v>0.60000000000000009</v>
      </c>
      <c r="J44" s="24">
        <f t="shared" si="3"/>
        <v>0</v>
      </c>
      <c r="K44" s="24">
        <f>IF(CurrentMtgRatesDataTable811[[#This Row],[WA CC]]&lt;&gt;0,D43-CurrentMtgRatesDataTable811[[#This Row],[WA CC]],0)</f>
        <v>0</v>
      </c>
      <c r="L44" s="24">
        <f>IF(CurrentMtgRatesDataTable811[[#This Row],[Servicing Spread]]&lt;=0,L43,CurrentMtgRatesDataTable811[[#This Row],[Servicing Spread]])</f>
        <v>0.53046694849294518</v>
      </c>
      <c r="M44" s="24">
        <f>CurrentMtgRatesDataTable811[[#This Row],[SeriesNumValue]]+CurrentMtgRatesDataTable811[[#This Row],[Servicing Spread Non-Zero]]</f>
        <v>4.7039384992584248</v>
      </c>
      <c r="V44">
        <v>3.6</v>
      </c>
      <c r="W44" s="3">
        <v>42096</v>
      </c>
    </row>
    <row r="45" spans="2:23" x14ac:dyDescent="0.2">
      <c r="B45" s="27" t="s">
        <v>726</v>
      </c>
      <c r="C45" s="28">
        <v>4.2330193845594</v>
      </c>
      <c r="D45" s="26">
        <v>4.76</v>
      </c>
      <c r="E45" s="24">
        <f t="shared" si="0"/>
        <v>6</v>
      </c>
      <c r="F45" s="24">
        <f>VLOOKUP(E45,Q$5:R$11,2,FALSE)</f>
        <v>0.2</v>
      </c>
      <c r="G45" s="24">
        <f t="shared" si="1"/>
        <v>4</v>
      </c>
      <c r="H45" s="24">
        <f>IF(G45&gt;G44,H44+C45*F45,C45*F45)</f>
        <v>3.34677974605186</v>
      </c>
      <c r="I45" s="24">
        <f t="shared" si="2"/>
        <v>0.8</v>
      </c>
      <c r="J45" s="24">
        <f t="shared" si="3"/>
        <v>0</v>
      </c>
      <c r="K45" s="24">
        <f>IF(CurrentMtgRatesDataTable811[[#This Row],[WA CC]]&lt;&gt;0,D44-CurrentMtgRatesDataTable811[[#This Row],[WA CC]],0)</f>
        <v>0</v>
      </c>
      <c r="L45" s="24">
        <f>IF(CurrentMtgRatesDataTable811[[#This Row],[Servicing Spread]]&lt;=0,L44,CurrentMtgRatesDataTable811[[#This Row],[Servicing Spread]])</f>
        <v>0.53046694849294518</v>
      </c>
      <c r="M45" s="24">
        <f>CurrentMtgRatesDataTable811[[#This Row],[SeriesNumValue]]+CurrentMtgRatesDataTable811[[#This Row],[Servicing Spread Non-Zero]]</f>
        <v>4.7634863330523451</v>
      </c>
      <c r="V45">
        <v>3.59</v>
      </c>
      <c r="W45" s="3">
        <v>42089</v>
      </c>
    </row>
    <row r="46" spans="2:23" x14ac:dyDescent="0.2">
      <c r="B46" s="27" t="s">
        <v>727</v>
      </c>
      <c r="C46" s="28">
        <v>4.28369779454294</v>
      </c>
      <c r="D46" s="26">
        <v>4.76</v>
      </c>
      <c r="E46" s="24">
        <f t="shared" si="0"/>
        <v>7</v>
      </c>
      <c r="F46" s="24">
        <f>VLOOKUP(E46,Q$5:R$11,2,FALSE)</f>
        <v>0.2</v>
      </c>
      <c r="G46" s="24">
        <f t="shared" si="1"/>
        <v>5</v>
      </c>
      <c r="H46" s="24">
        <f>IF(G46&gt;G45,H45+C46*F46,C46*F46)</f>
        <v>4.203519304960448</v>
      </c>
      <c r="I46" s="24">
        <f t="shared" si="2"/>
        <v>1</v>
      </c>
      <c r="J46" s="24">
        <f t="shared" si="3"/>
        <v>4.203519304960448</v>
      </c>
      <c r="K46" s="24">
        <f>IF(CurrentMtgRatesDataTable811[[#This Row],[WA CC]]&lt;&gt;0,D45-CurrentMtgRatesDataTable811[[#This Row],[WA CC]],0)</f>
        <v>0.55648069503955178</v>
      </c>
      <c r="L46" s="24">
        <f>IF(CurrentMtgRatesDataTable811[[#This Row],[Servicing Spread]]&lt;=0,L45,CurrentMtgRatesDataTable811[[#This Row],[Servicing Spread]])</f>
        <v>0.55648069503955178</v>
      </c>
      <c r="M46" s="24">
        <f>CurrentMtgRatesDataTable811[[#This Row],[SeriesNumValue]]+CurrentMtgRatesDataTable811[[#This Row],[Servicing Spread Non-Zero]]</f>
        <v>4.8401784895824917</v>
      </c>
      <c r="V46">
        <v>3.68</v>
      </c>
      <c r="W46" s="3">
        <v>42082</v>
      </c>
    </row>
    <row r="47" spans="2:23" x14ac:dyDescent="0.2">
      <c r="B47" s="27" t="s">
        <v>728</v>
      </c>
      <c r="C47" s="28">
        <v>4.3267547753136801</v>
      </c>
      <c r="D47" s="26">
        <v>4.9749999999999996</v>
      </c>
      <c r="E47" s="24">
        <f t="shared" si="0"/>
        <v>1</v>
      </c>
      <c r="F47" s="24">
        <f>VLOOKUP(E47,Q$5:R$11,2,FALSE)</f>
        <v>0.2</v>
      </c>
      <c r="G47" s="24">
        <f t="shared" si="1"/>
        <v>1</v>
      </c>
      <c r="H47" s="24">
        <f>IF(G47&gt;G46,H46+C47*F47,C47*F47)</f>
        <v>0.86535095506273607</v>
      </c>
      <c r="I47" s="24">
        <f t="shared" si="2"/>
        <v>0.2</v>
      </c>
      <c r="J47" s="24">
        <f t="shared" si="3"/>
        <v>0</v>
      </c>
      <c r="K47" s="24">
        <f>IF(CurrentMtgRatesDataTable811[[#This Row],[WA CC]]&lt;&gt;0,D46-CurrentMtgRatesDataTable811[[#This Row],[WA CC]],0)</f>
        <v>0</v>
      </c>
      <c r="L47" s="24">
        <f>IF(CurrentMtgRatesDataTable811[[#This Row],[Servicing Spread]]&lt;=0,L46,CurrentMtgRatesDataTable811[[#This Row],[Servicing Spread]])</f>
        <v>0.55648069503955178</v>
      </c>
      <c r="M47" s="24">
        <f>CurrentMtgRatesDataTable811[[#This Row],[SeriesNumValue]]+CurrentMtgRatesDataTable811[[#This Row],[Servicing Spread Non-Zero]]</f>
        <v>4.8832354703532319</v>
      </c>
      <c r="V47">
        <v>3.76</v>
      </c>
      <c r="W47" s="3">
        <v>42075</v>
      </c>
    </row>
    <row r="48" spans="2:23" x14ac:dyDescent="0.2">
      <c r="B48" s="27" t="s">
        <v>729</v>
      </c>
      <c r="C48" s="28">
        <v>4.3946942714157897</v>
      </c>
      <c r="D48" s="26">
        <v>4.9749999999999996</v>
      </c>
      <c r="E48" s="24">
        <f t="shared" si="0"/>
        <v>2</v>
      </c>
      <c r="F48" s="24">
        <f>VLOOKUP(E48,Q$5:R$11,2,FALSE)</f>
        <v>0.2</v>
      </c>
      <c r="G48" s="24">
        <f t="shared" si="1"/>
        <v>2</v>
      </c>
      <c r="H48" s="24">
        <f>IF(G48&gt;G47,H47+C48*F48,C48*F48)</f>
        <v>1.7442898093458941</v>
      </c>
      <c r="I48" s="24">
        <f t="shared" si="2"/>
        <v>0.4</v>
      </c>
      <c r="J48" s="24">
        <f t="shared" si="3"/>
        <v>0</v>
      </c>
      <c r="K48" s="24">
        <f>IF(CurrentMtgRatesDataTable811[[#This Row],[WA CC]]&lt;&gt;0,D47-CurrentMtgRatesDataTable811[[#This Row],[WA CC]],0)</f>
        <v>0</v>
      </c>
      <c r="L48" s="24">
        <f>IF(CurrentMtgRatesDataTable811[[#This Row],[Servicing Spread]]&lt;=0,L47,CurrentMtgRatesDataTable811[[#This Row],[Servicing Spread]])</f>
        <v>0.55648069503955178</v>
      </c>
      <c r="M48" s="24">
        <f>CurrentMtgRatesDataTable811[[#This Row],[SeriesNumValue]]+CurrentMtgRatesDataTable811[[#This Row],[Servicing Spread Non-Zero]]</f>
        <v>4.9511749664553415</v>
      </c>
      <c r="V48">
        <v>3.65</v>
      </c>
      <c r="W48" s="3">
        <v>42068</v>
      </c>
    </row>
    <row r="49" spans="2:23" x14ac:dyDescent="0.2">
      <c r="B49" s="27" t="s">
        <v>730</v>
      </c>
      <c r="C49" s="28">
        <v>4.4120235680825504</v>
      </c>
      <c r="D49" s="26">
        <v>4.9749999999999996</v>
      </c>
      <c r="E49" s="24">
        <f t="shared" si="0"/>
        <v>5</v>
      </c>
      <c r="F49" s="24">
        <f>VLOOKUP(E49,Q$5:R$11,2,FALSE)</f>
        <v>0.2</v>
      </c>
      <c r="G49" s="24">
        <f t="shared" si="1"/>
        <v>3</v>
      </c>
      <c r="H49" s="24">
        <f>IF(G49&gt;G48,H48+C49*F49,C49*F49)</f>
        <v>2.6266945229624041</v>
      </c>
      <c r="I49" s="24">
        <f t="shared" si="2"/>
        <v>0.60000000000000009</v>
      </c>
      <c r="J49" s="24">
        <f t="shared" si="3"/>
        <v>0</v>
      </c>
      <c r="K49" s="24">
        <f>IF(CurrentMtgRatesDataTable811[[#This Row],[WA CC]]&lt;&gt;0,D48-CurrentMtgRatesDataTable811[[#This Row],[WA CC]],0)</f>
        <v>0</v>
      </c>
      <c r="L49" s="24">
        <f>IF(CurrentMtgRatesDataTable811[[#This Row],[Servicing Spread]]&lt;=0,L48,CurrentMtgRatesDataTable811[[#This Row],[Servicing Spread]])</f>
        <v>0.55648069503955178</v>
      </c>
      <c r="M49" s="24">
        <f>CurrentMtgRatesDataTable811[[#This Row],[SeriesNumValue]]+CurrentMtgRatesDataTable811[[#This Row],[Servicing Spread Non-Zero]]</f>
        <v>4.9685042631221021</v>
      </c>
      <c r="V49">
        <v>3.7</v>
      </c>
      <c r="W49" s="3">
        <v>42061</v>
      </c>
    </row>
    <row r="50" spans="2:23" x14ac:dyDescent="0.2">
      <c r="B50" s="27" t="s">
        <v>731</v>
      </c>
      <c r="C50" s="28">
        <v>4.4871263560303003</v>
      </c>
      <c r="D50" s="26">
        <v>4.9749999999999996</v>
      </c>
      <c r="E50" s="24">
        <f t="shared" si="0"/>
        <v>6</v>
      </c>
      <c r="F50" s="24">
        <f>VLOOKUP(E50,Q$5:R$11,2,FALSE)</f>
        <v>0.2</v>
      </c>
      <c r="G50" s="24">
        <f t="shared" si="1"/>
        <v>4</v>
      </c>
      <c r="H50" s="24">
        <f>IF(G50&gt;G49,H49+C50*F50,C50*F50)</f>
        <v>3.5241197941684641</v>
      </c>
      <c r="I50" s="24">
        <f t="shared" si="2"/>
        <v>0.8</v>
      </c>
      <c r="J50" s="24">
        <f t="shared" si="3"/>
        <v>0</v>
      </c>
      <c r="K50" s="24">
        <f>IF(CurrentMtgRatesDataTable811[[#This Row],[WA CC]]&lt;&gt;0,D49-CurrentMtgRatesDataTable811[[#This Row],[WA CC]],0)</f>
        <v>0</v>
      </c>
      <c r="L50" s="24">
        <f>IF(CurrentMtgRatesDataTable811[[#This Row],[Servicing Spread]]&lt;=0,L49,CurrentMtgRatesDataTable811[[#This Row],[Servicing Spread]])</f>
        <v>0.55648069503955178</v>
      </c>
      <c r="M50" s="24">
        <f>CurrentMtgRatesDataTable811[[#This Row],[SeriesNumValue]]+CurrentMtgRatesDataTable811[[#This Row],[Servicing Spread Non-Zero]]</f>
        <v>5.0436070510698521</v>
      </c>
      <c r="V50">
        <v>3.66</v>
      </c>
      <c r="W50" s="3">
        <v>42054</v>
      </c>
    </row>
    <row r="51" spans="2:23" x14ac:dyDescent="0.2">
      <c r="B51" s="27" t="s">
        <v>732</v>
      </c>
      <c r="C51" s="28">
        <v>4.4529420360272596</v>
      </c>
      <c r="D51" s="26">
        <v>4.9749999999999996</v>
      </c>
      <c r="E51" s="24">
        <f t="shared" si="0"/>
        <v>7</v>
      </c>
      <c r="F51" s="24">
        <f>VLOOKUP(E51,Q$5:R$11,2,FALSE)</f>
        <v>0.2</v>
      </c>
      <c r="G51" s="24">
        <f t="shared" si="1"/>
        <v>5</v>
      </c>
      <c r="H51" s="24">
        <f>IF(G51&gt;G50,H50+C51*F51,C51*F51)</f>
        <v>4.4147082013739158</v>
      </c>
      <c r="I51" s="24">
        <f t="shared" si="2"/>
        <v>1</v>
      </c>
      <c r="J51" s="24">
        <f t="shared" si="3"/>
        <v>4.4147082013739158</v>
      </c>
      <c r="K51" s="24">
        <f>IF(CurrentMtgRatesDataTable811[[#This Row],[WA CC]]&lt;&gt;0,D50-CurrentMtgRatesDataTable811[[#This Row],[WA CC]],0)</f>
        <v>0.5602917986260838</v>
      </c>
      <c r="L51" s="24">
        <f>IF(CurrentMtgRatesDataTable811[[#This Row],[Servicing Spread]]&lt;=0,L50,CurrentMtgRatesDataTable811[[#This Row],[Servicing Spread]])</f>
        <v>0.5602917986260838</v>
      </c>
      <c r="M51" s="24">
        <f>CurrentMtgRatesDataTable811[[#This Row],[SeriesNumValue]]+CurrentMtgRatesDataTable811[[#This Row],[Servicing Spread Non-Zero]]</f>
        <v>5.0132338346533434</v>
      </c>
      <c r="V51">
        <v>3.59</v>
      </c>
      <c r="W51" s="3">
        <v>42047</v>
      </c>
    </row>
    <row r="52" spans="2:23" x14ac:dyDescent="0.2">
      <c r="B52" s="27" t="s">
        <v>733</v>
      </c>
      <c r="C52" s="28">
        <v>4.5012486389065298</v>
      </c>
      <c r="D52" s="26">
        <v>4.9249999999999998</v>
      </c>
      <c r="E52" s="24">
        <f t="shared" si="0"/>
        <v>1</v>
      </c>
      <c r="F52" s="24">
        <f>VLOOKUP(E52,Q$5:R$11,2,FALSE)</f>
        <v>0.2</v>
      </c>
      <c r="G52" s="24">
        <f t="shared" si="1"/>
        <v>1</v>
      </c>
      <c r="H52" s="24">
        <f>IF(G52&gt;G51,H51+C52*F52,C52*F52)</f>
        <v>0.90024972778130596</v>
      </c>
      <c r="I52" s="24">
        <f t="shared" si="2"/>
        <v>0.2</v>
      </c>
      <c r="J52" s="24">
        <f t="shared" si="3"/>
        <v>0</v>
      </c>
      <c r="K52" s="24">
        <f>IF(CurrentMtgRatesDataTable811[[#This Row],[WA CC]]&lt;&gt;0,D51-CurrentMtgRatesDataTable811[[#This Row],[WA CC]],0)</f>
        <v>0</v>
      </c>
      <c r="L52" s="24">
        <f>IF(CurrentMtgRatesDataTable811[[#This Row],[Servicing Spread]]&lt;=0,L51,CurrentMtgRatesDataTable811[[#This Row],[Servicing Spread]])</f>
        <v>0.5602917986260838</v>
      </c>
      <c r="M52" s="24">
        <f>CurrentMtgRatesDataTable811[[#This Row],[SeriesNumValue]]+CurrentMtgRatesDataTable811[[#This Row],[Servicing Spread Non-Zero]]</f>
        <v>5.0615404375326136</v>
      </c>
      <c r="V52">
        <v>3.5150000000000001</v>
      </c>
      <c r="W52" s="3">
        <v>42040</v>
      </c>
    </row>
    <row r="53" spans="2:23" x14ac:dyDescent="0.2">
      <c r="B53" s="27" t="s">
        <v>734</v>
      </c>
      <c r="C53" s="28">
        <v>4.4343090035877397</v>
      </c>
      <c r="D53" s="26">
        <v>4.9249999999999998</v>
      </c>
      <c r="E53" s="24">
        <f t="shared" si="0"/>
        <v>2</v>
      </c>
      <c r="F53" s="24">
        <f>VLOOKUP(E53,Q$5:R$11,2,FALSE)</f>
        <v>0.2</v>
      </c>
      <c r="G53" s="24">
        <f t="shared" si="1"/>
        <v>2</v>
      </c>
      <c r="H53" s="24">
        <f>IF(G53&gt;G52,H52+C53*F53,C53*F53)</f>
        <v>1.7871115284988539</v>
      </c>
      <c r="I53" s="24">
        <f t="shared" si="2"/>
        <v>0.4</v>
      </c>
      <c r="J53" s="24">
        <f t="shared" si="3"/>
        <v>0</v>
      </c>
      <c r="K53" s="24">
        <f>IF(CurrentMtgRatesDataTable811[[#This Row],[WA CC]]&lt;&gt;0,D52-CurrentMtgRatesDataTable811[[#This Row],[WA CC]],0)</f>
        <v>0</v>
      </c>
      <c r="L53" s="24">
        <f>IF(CurrentMtgRatesDataTable811[[#This Row],[Servicing Spread]]&lt;=0,L52,CurrentMtgRatesDataTable811[[#This Row],[Servicing Spread]])</f>
        <v>0.5602917986260838</v>
      </c>
      <c r="M53" s="24">
        <f>CurrentMtgRatesDataTable811[[#This Row],[SeriesNumValue]]+CurrentMtgRatesDataTable811[[#This Row],[Servicing Spread Non-Zero]]</f>
        <v>4.9946008022138235</v>
      </c>
      <c r="V53">
        <v>3.56</v>
      </c>
      <c r="W53" s="3">
        <v>42033</v>
      </c>
    </row>
    <row r="54" spans="2:23" x14ac:dyDescent="0.2">
      <c r="B54" s="27" t="s">
        <v>735</v>
      </c>
      <c r="C54" s="28">
        <v>4.3931467669702702</v>
      </c>
      <c r="D54" s="26">
        <v>4.9249999999999998</v>
      </c>
      <c r="E54" s="24">
        <f t="shared" si="0"/>
        <v>5</v>
      </c>
      <c r="F54" s="24">
        <f>VLOOKUP(E54,Q$5:R$11,2,FALSE)</f>
        <v>0.2</v>
      </c>
      <c r="G54" s="24">
        <f t="shared" si="1"/>
        <v>3</v>
      </c>
      <c r="H54" s="24">
        <f>IF(G54&gt;G53,H53+C54*F54,C54*F54)</f>
        <v>2.665740881892908</v>
      </c>
      <c r="I54" s="24">
        <f t="shared" si="2"/>
        <v>0.60000000000000009</v>
      </c>
      <c r="J54" s="24">
        <f t="shared" si="3"/>
        <v>0</v>
      </c>
      <c r="K54" s="24">
        <f>IF(CurrentMtgRatesDataTable811[[#This Row],[WA CC]]&lt;&gt;0,D53-CurrentMtgRatesDataTable811[[#This Row],[WA CC]],0)</f>
        <v>0</v>
      </c>
      <c r="L54" s="24">
        <f>IF(CurrentMtgRatesDataTable811[[#This Row],[Servicing Spread]]&lt;=0,L53,CurrentMtgRatesDataTable811[[#This Row],[Servicing Spread]])</f>
        <v>0.5602917986260838</v>
      </c>
      <c r="M54" s="24">
        <f>CurrentMtgRatesDataTable811[[#This Row],[SeriesNumValue]]+CurrentMtgRatesDataTable811[[#This Row],[Servicing Spread Non-Zero]]</f>
        <v>4.953438565596354</v>
      </c>
      <c r="V54">
        <v>3.5550000000000002</v>
      </c>
      <c r="W54" s="3">
        <v>42026</v>
      </c>
    </row>
    <row r="55" spans="2:23" x14ac:dyDescent="0.2">
      <c r="B55" s="27" t="s">
        <v>736</v>
      </c>
      <c r="C55" s="28">
        <v>4.3851093392960596</v>
      </c>
      <c r="D55" s="26">
        <v>4.9249999999999998</v>
      </c>
      <c r="E55" s="24">
        <f t="shared" si="0"/>
        <v>6</v>
      </c>
      <c r="F55" s="24">
        <f>VLOOKUP(E55,Q$5:R$11,2,FALSE)</f>
        <v>0.2</v>
      </c>
      <c r="G55" s="24">
        <f t="shared" si="1"/>
        <v>4</v>
      </c>
      <c r="H55" s="24">
        <f>IF(G55&gt;G54,H54+C55*F55,C55*F55)</f>
        <v>3.5427627497521201</v>
      </c>
      <c r="I55" s="24">
        <f t="shared" si="2"/>
        <v>0.8</v>
      </c>
      <c r="J55" s="24">
        <f t="shared" si="3"/>
        <v>0</v>
      </c>
      <c r="K55" s="24">
        <f>IF(CurrentMtgRatesDataTable811[[#This Row],[WA CC]]&lt;&gt;0,D54-CurrentMtgRatesDataTable811[[#This Row],[WA CC]],0)</f>
        <v>0</v>
      </c>
      <c r="L55" s="24">
        <f>IF(CurrentMtgRatesDataTable811[[#This Row],[Servicing Spread]]&lt;=0,L54,CurrentMtgRatesDataTable811[[#This Row],[Servicing Spread]])</f>
        <v>0.5602917986260838</v>
      </c>
      <c r="M55" s="24">
        <f>CurrentMtgRatesDataTable811[[#This Row],[SeriesNumValue]]+CurrentMtgRatesDataTable811[[#This Row],[Servicing Spread Non-Zero]]</f>
        <v>4.9454011379221434</v>
      </c>
      <c r="V55">
        <v>3.56</v>
      </c>
      <c r="W55" s="3">
        <v>42019</v>
      </c>
    </row>
    <row r="56" spans="2:23" x14ac:dyDescent="0.2">
      <c r="B56" s="27" t="s">
        <v>737</v>
      </c>
      <c r="C56" s="28">
        <v>4.3989620429497798</v>
      </c>
      <c r="D56" s="26">
        <v>4.9249999999999998</v>
      </c>
      <c r="E56" s="24">
        <f t="shared" si="0"/>
        <v>7</v>
      </c>
      <c r="F56" s="24">
        <f>VLOOKUP(E56,Q$5:R$11,2,FALSE)</f>
        <v>0.2</v>
      </c>
      <c r="G56" s="24">
        <f t="shared" si="1"/>
        <v>5</v>
      </c>
      <c r="H56" s="24">
        <f>IF(G56&gt;G55,H55+C56*F56,C56*F56)</f>
        <v>4.4225551583420764</v>
      </c>
      <c r="I56" s="24">
        <f t="shared" si="2"/>
        <v>1</v>
      </c>
      <c r="J56" s="24">
        <f t="shared" si="3"/>
        <v>4.4225551583420764</v>
      </c>
      <c r="K56" s="24">
        <f>IF(CurrentMtgRatesDataTable811[[#This Row],[WA CC]]&lt;&gt;0,D55-CurrentMtgRatesDataTable811[[#This Row],[WA CC]],0)</f>
        <v>0.50244484165792347</v>
      </c>
      <c r="L56" s="24">
        <f>IF(CurrentMtgRatesDataTable811[[#This Row],[Servicing Spread]]&lt;=0,L55,CurrentMtgRatesDataTable811[[#This Row],[Servicing Spread]])</f>
        <v>0.50244484165792347</v>
      </c>
      <c r="M56" s="24">
        <f>CurrentMtgRatesDataTable811[[#This Row],[SeriesNumValue]]+CurrentMtgRatesDataTable811[[#This Row],[Servicing Spread Non-Zero]]</f>
        <v>4.9014068846077032</v>
      </c>
      <c r="V56">
        <v>3.63</v>
      </c>
      <c r="W56" s="3">
        <v>42012</v>
      </c>
    </row>
    <row r="57" spans="2:23" x14ac:dyDescent="0.2">
      <c r="B57" s="27" t="s">
        <v>738</v>
      </c>
      <c r="C57" s="28">
        <v>4.3504406978742196</v>
      </c>
      <c r="D57" s="26">
        <v>4.8500000000000005</v>
      </c>
      <c r="E57" s="24">
        <f t="shared" si="0"/>
        <v>1</v>
      </c>
      <c r="F57" s="24">
        <f>VLOOKUP(E57,Q$5:R$11,2,FALSE)</f>
        <v>0.2</v>
      </c>
      <c r="G57" s="24">
        <f t="shared" si="1"/>
        <v>1</v>
      </c>
      <c r="H57" s="24">
        <f>IF(G57&gt;G56,H56+C57*F57,C57*F57)</f>
        <v>0.87008813957484399</v>
      </c>
      <c r="I57" s="24">
        <f t="shared" si="2"/>
        <v>0.2</v>
      </c>
      <c r="J57" s="24">
        <f t="shared" si="3"/>
        <v>0</v>
      </c>
      <c r="K57" s="24">
        <f>IF(CurrentMtgRatesDataTable811[[#This Row],[WA CC]]&lt;&gt;0,D56-CurrentMtgRatesDataTable811[[#This Row],[WA CC]],0)</f>
        <v>0</v>
      </c>
      <c r="L57" s="24">
        <f>IF(CurrentMtgRatesDataTable811[[#This Row],[Servicing Spread]]&lt;=0,L56,CurrentMtgRatesDataTable811[[#This Row],[Servicing Spread]])</f>
        <v>0.50244484165792347</v>
      </c>
      <c r="M57" s="24">
        <f>CurrentMtgRatesDataTable811[[#This Row],[SeriesNumValue]]+CurrentMtgRatesDataTable811[[#This Row],[Servicing Spread Non-Zero]]</f>
        <v>4.8528855395321431</v>
      </c>
      <c r="V57">
        <v>3.77</v>
      </c>
      <c r="W57" s="3">
        <v>42004</v>
      </c>
    </row>
    <row r="58" spans="2:23" x14ac:dyDescent="0.2">
      <c r="B58" s="27" t="s">
        <v>739</v>
      </c>
      <c r="C58" s="28">
        <v>4.3663894001401404</v>
      </c>
      <c r="D58" s="26">
        <v>4.8500000000000005</v>
      </c>
      <c r="E58" s="24">
        <f t="shared" si="0"/>
        <v>2</v>
      </c>
      <c r="F58" s="24">
        <f>VLOOKUP(E58,Q$5:R$11,2,FALSE)</f>
        <v>0.2</v>
      </c>
      <c r="G58" s="24">
        <f t="shared" si="1"/>
        <v>2</v>
      </c>
      <c r="H58" s="24">
        <f>IF(G58&gt;G57,H57+C58*F58,C58*F58)</f>
        <v>1.7433660196028722</v>
      </c>
      <c r="I58" s="24">
        <f t="shared" si="2"/>
        <v>0.4</v>
      </c>
      <c r="J58" s="24">
        <f t="shared" si="3"/>
        <v>0</v>
      </c>
      <c r="K58" s="24">
        <f>IF(CurrentMtgRatesDataTable811[[#This Row],[WA CC]]&lt;&gt;0,D57-CurrentMtgRatesDataTable811[[#This Row],[WA CC]],0)</f>
        <v>0</v>
      </c>
      <c r="L58" s="24">
        <f>IF(CurrentMtgRatesDataTable811[[#This Row],[Servicing Spread]]&lt;=0,L57,CurrentMtgRatesDataTable811[[#This Row],[Servicing Spread]])</f>
        <v>0.50244484165792347</v>
      </c>
      <c r="M58" s="24">
        <f>CurrentMtgRatesDataTable811[[#This Row],[SeriesNumValue]]+CurrentMtgRatesDataTable811[[#This Row],[Servicing Spread Non-Zero]]</f>
        <v>4.8688342417980639</v>
      </c>
      <c r="V58">
        <v>3.73</v>
      </c>
      <c r="W58" s="3">
        <v>41997</v>
      </c>
    </row>
    <row r="59" spans="2:23" x14ac:dyDescent="0.2">
      <c r="B59" s="27" t="s">
        <v>740</v>
      </c>
      <c r="C59" s="28">
        <v>4.2999787872892696</v>
      </c>
      <c r="D59" s="26">
        <v>4.8500000000000005</v>
      </c>
      <c r="E59" s="24">
        <f t="shared" si="0"/>
        <v>6</v>
      </c>
      <c r="F59" s="24">
        <f>VLOOKUP(E59,Q$5:R$11,2,FALSE)</f>
        <v>0.2</v>
      </c>
      <c r="G59" s="24">
        <f t="shared" si="1"/>
        <v>3</v>
      </c>
      <c r="H59" s="24">
        <f>IF(G59&gt;G58,H58+C59*F59,C59*F59)</f>
        <v>2.603361777060726</v>
      </c>
      <c r="I59" s="24">
        <f t="shared" si="2"/>
        <v>0.60000000000000009</v>
      </c>
      <c r="J59" s="24">
        <f t="shared" si="3"/>
        <v>0</v>
      </c>
      <c r="K59" s="24">
        <f>IF(CurrentMtgRatesDataTable811[[#This Row],[WA CC]]&lt;&gt;0,D58-CurrentMtgRatesDataTable811[[#This Row],[WA CC]],0)</f>
        <v>0</v>
      </c>
      <c r="L59" s="24">
        <f>IF(CurrentMtgRatesDataTable811[[#This Row],[Servicing Spread]]&lt;=0,L58,CurrentMtgRatesDataTable811[[#This Row],[Servicing Spread]])</f>
        <v>0.50244484165792347</v>
      </c>
      <c r="M59" s="24">
        <f>CurrentMtgRatesDataTable811[[#This Row],[SeriesNumValue]]+CurrentMtgRatesDataTable811[[#This Row],[Servicing Spread Non-Zero]]</f>
        <v>4.8024236289471931</v>
      </c>
      <c r="V59">
        <v>3.7</v>
      </c>
      <c r="W59" s="3">
        <v>41991</v>
      </c>
    </row>
    <row r="60" spans="2:23" x14ac:dyDescent="0.2">
      <c r="B60" s="27" t="s">
        <v>741</v>
      </c>
      <c r="C60" s="28">
        <v>4.3068603066225304</v>
      </c>
      <c r="D60" s="26">
        <v>4.8500000000000005</v>
      </c>
      <c r="E60" s="24">
        <f t="shared" si="0"/>
        <v>7</v>
      </c>
      <c r="F60" s="24">
        <f>VLOOKUP(E60,Q$5:R$11,2,FALSE)</f>
        <v>0.2</v>
      </c>
      <c r="G60" s="24">
        <f t="shared" si="1"/>
        <v>4</v>
      </c>
      <c r="H60" s="24">
        <f>IF(G60&gt;G59,H59+C60*F60,C60*F60)</f>
        <v>3.4647338383852322</v>
      </c>
      <c r="I60" s="24">
        <f t="shared" si="2"/>
        <v>0.8</v>
      </c>
      <c r="J60" s="24">
        <f t="shared" si="3"/>
        <v>4.3309172979815402</v>
      </c>
      <c r="K60" s="24">
        <f>IF(CurrentMtgRatesDataTable811[[#This Row],[WA CC]]&lt;&gt;0,D59-CurrentMtgRatesDataTable811[[#This Row],[WA CC]],0)</f>
        <v>0.5190827020184603</v>
      </c>
      <c r="L60" s="24">
        <f>IF(CurrentMtgRatesDataTable811[[#This Row],[Servicing Spread]]&lt;=0,L59,CurrentMtgRatesDataTable811[[#This Row],[Servicing Spread]])</f>
        <v>0.5190827020184603</v>
      </c>
      <c r="M60" s="24">
        <f>CurrentMtgRatesDataTable811[[#This Row],[SeriesNumValue]]+CurrentMtgRatesDataTable811[[#This Row],[Servicing Spread Non-Zero]]</f>
        <v>4.8259430086409907</v>
      </c>
      <c r="V60">
        <v>3.8050000000000002</v>
      </c>
      <c r="W60" s="3">
        <v>41984</v>
      </c>
    </row>
    <row r="61" spans="2:23" x14ac:dyDescent="0.2">
      <c r="B61" s="27" t="s">
        <v>742</v>
      </c>
      <c r="C61" s="28">
        <v>4.2636232083898697</v>
      </c>
      <c r="D61" s="26">
        <v>4.7949999999999999</v>
      </c>
      <c r="E61" s="24">
        <f t="shared" si="0"/>
        <v>1</v>
      </c>
      <c r="F61" s="24">
        <f>VLOOKUP(E61,Q$5:R$11,2,FALSE)</f>
        <v>0.2</v>
      </c>
      <c r="G61" s="24">
        <f t="shared" si="1"/>
        <v>1</v>
      </c>
      <c r="H61" s="24">
        <f>IF(G61&gt;G60,H60+C61*F61,C61*F61)</f>
        <v>0.85272464167797402</v>
      </c>
      <c r="I61" s="24">
        <f t="shared" si="2"/>
        <v>0.2</v>
      </c>
      <c r="J61" s="24">
        <f t="shared" si="3"/>
        <v>0</v>
      </c>
      <c r="K61" s="24">
        <f>IF(CurrentMtgRatesDataTable811[[#This Row],[WA CC]]&lt;&gt;0,D60-CurrentMtgRatesDataTable811[[#This Row],[WA CC]],0)</f>
        <v>0</v>
      </c>
      <c r="L61" s="24">
        <f>IF(CurrentMtgRatesDataTable811[[#This Row],[Servicing Spread]]&lt;=0,L60,CurrentMtgRatesDataTable811[[#This Row],[Servicing Spread]])</f>
        <v>0.5190827020184603</v>
      </c>
      <c r="M61" s="24">
        <f>CurrentMtgRatesDataTable811[[#This Row],[SeriesNumValue]]+CurrentMtgRatesDataTable811[[#This Row],[Servicing Spread Non-Zero]]</f>
        <v>4.78270591040833</v>
      </c>
      <c r="V61">
        <v>3.7650000000000001</v>
      </c>
      <c r="W61" s="3">
        <v>41977</v>
      </c>
    </row>
    <row r="62" spans="2:23" x14ac:dyDescent="0.2">
      <c r="B62" s="27" t="s">
        <v>743</v>
      </c>
      <c r="C62" s="28">
        <v>4.24966898318924</v>
      </c>
      <c r="D62" s="26">
        <v>4.7949999999999999</v>
      </c>
      <c r="E62" s="24">
        <f t="shared" si="0"/>
        <v>2</v>
      </c>
      <c r="F62" s="24">
        <f>VLOOKUP(E62,Q$5:R$11,2,FALSE)</f>
        <v>0.2</v>
      </c>
      <c r="G62" s="24">
        <f t="shared" si="1"/>
        <v>2</v>
      </c>
      <c r="H62" s="24">
        <f>IF(G62&gt;G61,H61+C62*F62,C62*F62)</f>
        <v>1.7026584383158221</v>
      </c>
      <c r="I62" s="24">
        <f t="shared" si="2"/>
        <v>0.4</v>
      </c>
      <c r="J62" s="24">
        <f t="shared" si="3"/>
        <v>0</v>
      </c>
      <c r="K62" s="24">
        <f>IF(CurrentMtgRatesDataTable811[[#This Row],[WA CC]]&lt;&gt;0,D61-CurrentMtgRatesDataTable811[[#This Row],[WA CC]],0)</f>
        <v>0</v>
      </c>
      <c r="L62" s="24">
        <f>IF(CurrentMtgRatesDataTable811[[#This Row],[Servicing Spread]]&lt;=0,L61,CurrentMtgRatesDataTable811[[#This Row],[Servicing Spread]])</f>
        <v>0.5190827020184603</v>
      </c>
      <c r="M62" s="24">
        <f>CurrentMtgRatesDataTable811[[#This Row],[SeriesNumValue]]+CurrentMtgRatesDataTable811[[#This Row],[Servicing Spread Non-Zero]]</f>
        <v>4.7687516852077003</v>
      </c>
      <c r="V62">
        <v>3.8450000000000002</v>
      </c>
      <c r="W62" s="3">
        <v>41969</v>
      </c>
    </row>
    <row r="63" spans="2:23" x14ac:dyDescent="0.2">
      <c r="B63" s="27" t="s">
        <v>744</v>
      </c>
      <c r="C63" s="28">
        <v>4.23083224039922</v>
      </c>
      <c r="D63" s="26">
        <v>4.7949999999999999</v>
      </c>
      <c r="E63" s="24">
        <f t="shared" si="0"/>
        <v>5</v>
      </c>
      <c r="F63" s="24">
        <f>VLOOKUP(E63,Q$5:R$11,2,FALSE)</f>
        <v>0.2</v>
      </c>
      <c r="G63" s="24">
        <f t="shared" si="1"/>
        <v>3</v>
      </c>
      <c r="H63" s="24">
        <f>IF(G63&gt;G62,H62+C63*F63,C63*F63)</f>
        <v>2.548824886395666</v>
      </c>
      <c r="I63" s="24">
        <f t="shared" si="2"/>
        <v>0.60000000000000009</v>
      </c>
      <c r="J63" s="24">
        <f t="shared" si="3"/>
        <v>0</v>
      </c>
      <c r="K63" s="24">
        <f>IF(CurrentMtgRatesDataTable811[[#This Row],[WA CC]]&lt;&gt;0,D62-CurrentMtgRatesDataTable811[[#This Row],[WA CC]],0)</f>
        <v>0</v>
      </c>
      <c r="L63" s="24">
        <f>IF(CurrentMtgRatesDataTable811[[#This Row],[Servicing Spread]]&lt;=0,L62,CurrentMtgRatesDataTable811[[#This Row],[Servicing Spread]])</f>
        <v>0.5190827020184603</v>
      </c>
      <c r="M63" s="24">
        <f>CurrentMtgRatesDataTable811[[#This Row],[SeriesNumValue]]+CurrentMtgRatesDataTable811[[#This Row],[Servicing Spread Non-Zero]]</f>
        <v>4.7499149424176803</v>
      </c>
      <c r="V63">
        <v>3.8650000000000002</v>
      </c>
      <c r="W63" s="3">
        <v>41963</v>
      </c>
    </row>
    <row r="64" spans="2:23" x14ac:dyDescent="0.2">
      <c r="B64" s="27" t="s">
        <v>745</v>
      </c>
      <c r="C64" s="28">
        <v>4.2366916114708397</v>
      </c>
      <c r="D64" s="26">
        <v>4.7949999999999999</v>
      </c>
      <c r="E64" s="24">
        <f t="shared" si="0"/>
        <v>6</v>
      </c>
      <c r="F64" s="24">
        <f>VLOOKUP(E64,Q$5:R$11,2,FALSE)</f>
        <v>0.2</v>
      </c>
      <c r="G64" s="24">
        <f t="shared" si="1"/>
        <v>4</v>
      </c>
      <c r="H64" s="24">
        <f>IF(G64&gt;G63,H63+C64*F64,C64*F64)</f>
        <v>3.3961632086898339</v>
      </c>
      <c r="I64" s="24">
        <f t="shared" si="2"/>
        <v>0.8</v>
      </c>
      <c r="J64" s="24">
        <f t="shared" si="3"/>
        <v>0</v>
      </c>
      <c r="K64" s="24">
        <f>IF(CurrentMtgRatesDataTable811[[#This Row],[WA CC]]&lt;&gt;0,D63-CurrentMtgRatesDataTable811[[#This Row],[WA CC]],0)</f>
        <v>0</v>
      </c>
      <c r="L64" s="24">
        <f>IF(CurrentMtgRatesDataTable811[[#This Row],[Servicing Spread]]&lt;=0,L63,CurrentMtgRatesDataTable811[[#This Row],[Servicing Spread]])</f>
        <v>0.5190827020184603</v>
      </c>
      <c r="M64" s="24">
        <f>CurrentMtgRatesDataTable811[[#This Row],[SeriesNumValue]]+CurrentMtgRatesDataTable811[[#This Row],[Servicing Spread Non-Zero]]</f>
        <v>4.7557743134893</v>
      </c>
      <c r="V64">
        <v>3.8849999999999998</v>
      </c>
      <c r="W64" s="3">
        <v>41956</v>
      </c>
    </row>
    <row r="65" spans="2:23" x14ac:dyDescent="0.2">
      <c r="B65" s="27" t="s">
        <v>746</v>
      </c>
      <c r="C65" s="28">
        <v>4.2791501508107297</v>
      </c>
      <c r="D65" s="26">
        <v>4.7949999999999999</v>
      </c>
      <c r="E65" s="24">
        <f t="shared" si="0"/>
        <v>7</v>
      </c>
      <c r="F65" s="24">
        <f>VLOOKUP(E65,Q$5:R$11,2,FALSE)</f>
        <v>0.2</v>
      </c>
      <c r="G65" s="24">
        <f t="shared" si="1"/>
        <v>5</v>
      </c>
      <c r="H65" s="24">
        <f>IF(G65&gt;G64,H64+C65*F65,C65*F65)</f>
        <v>4.2519932388519797</v>
      </c>
      <c r="I65" s="24">
        <f t="shared" si="2"/>
        <v>1</v>
      </c>
      <c r="J65" s="24">
        <f t="shared" si="3"/>
        <v>4.2519932388519797</v>
      </c>
      <c r="K65" s="24">
        <f>IF(CurrentMtgRatesDataTable811[[#This Row],[WA CC]]&lt;&gt;0,D64-CurrentMtgRatesDataTable811[[#This Row],[WA CC]],0)</f>
        <v>0.54300676114802027</v>
      </c>
      <c r="L65" s="24">
        <f>IF(CurrentMtgRatesDataTable811[[#This Row],[Servicing Spread]]&lt;=0,L64,CurrentMtgRatesDataTable811[[#This Row],[Servicing Spread]])</f>
        <v>0.54300676114802027</v>
      </c>
      <c r="M65" s="24">
        <f>CurrentMtgRatesDataTable811[[#This Row],[SeriesNumValue]]+CurrentMtgRatesDataTable811[[#This Row],[Servicing Spread Non-Zero]]</f>
        <v>4.82215691195875</v>
      </c>
      <c r="V65">
        <v>3.895</v>
      </c>
      <c r="W65" s="3">
        <v>41949</v>
      </c>
    </row>
    <row r="66" spans="2:23" x14ac:dyDescent="0.2">
      <c r="B66" s="27" t="s">
        <v>747</v>
      </c>
      <c r="C66" s="28">
        <v>4.3559011648520096</v>
      </c>
      <c r="D66" s="26">
        <v>4.8049999999999997</v>
      </c>
      <c r="E66" s="24">
        <f t="shared" si="0"/>
        <v>1</v>
      </c>
      <c r="F66" s="24">
        <f>VLOOKUP(E66,Q$5:R$11,2,FALSE)</f>
        <v>0.2</v>
      </c>
      <c r="G66" s="24">
        <f t="shared" si="1"/>
        <v>1</v>
      </c>
      <c r="H66" s="24">
        <f>IF(G66&gt;G65,H65+C66*F66,C66*F66)</f>
        <v>0.87118023297040192</v>
      </c>
      <c r="I66" s="24">
        <f t="shared" si="2"/>
        <v>0.2</v>
      </c>
      <c r="J66" s="24">
        <f t="shared" si="3"/>
        <v>0</v>
      </c>
      <c r="K66" s="24">
        <f>IF(CurrentMtgRatesDataTable811[[#This Row],[WA CC]]&lt;&gt;0,D65-CurrentMtgRatesDataTable811[[#This Row],[WA CC]],0)</f>
        <v>0</v>
      </c>
      <c r="L66" s="24">
        <f>IF(CurrentMtgRatesDataTable811[[#This Row],[Servicing Spread]]&lt;=0,L65,CurrentMtgRatesDataTable811[[#This Row],[Servicing Spread]])</f>
        <v>0.54300676114802027</v>
      </c>
      <c r="M66" s="24">
        <f>CurrentMtgRatesDataTable811[[#This Row],[SeriesNumValue]]+CurrentMtgRatesDataTable811[[#This Row],[Servicing Spread Non-Zero]]</f>
        <v>4.8989079260000299</v>
      </c>
      <c r="V66">
        <v>3.855</v>
      </c>
      <c r="W66" s="3">
        <v>41942</v>
      </c>
    </row>
    <row r="67" spans="2:23" x14ac:dyDescent="0.2">
      <c r="B67" s="27" t="s">
        <v>748</v>
      </c>
      <c r="C67" s="28">
        <v>4.2658188568583704</v>
      </c>
      <c r="D67" s="26">
        <v>4.8049999999999997</v>
      </c>
      <c r="E67" s="24">
        <f t="shared" ref="E67:E130" si="4">WEEKDAY(B67,14)</f>
        <v>2</v>
      </c>
      <c r="F67" s="24">
        <f>VLOOKUP(E67,Q$5:R$11,2,FALSE)</f>
        <v>0.2</v>
      </c>
      <c r="G67" s="24">
        <f t="shared" ref="G67:G130" si="5">IF(AND(E67&gt;E66,G66&lt;6),G66+1,1)</f>
        <v>2</v>
      </c>
      <c r="H67" s="24">
        <f>IF(G67&gt;G66,H66+C67*F67,C67*F67)</f>
        <v>1.7243440043420759</v>
      </c>
      <c r="I67" s="24">
        <f t="shared" ref="I67:I130" si="6">IF(AND(G67&lt;6,G67&gt;G66),F67+I66,F67)</f>
        <v>0.4</v>
      </c>
      <c r="J67" s="24">
        <f t="shared" ref="J67:J130" si="7">IF(G67&gt;G68,H67/I67,0)</f>
        <v>0</v>
      </c>
      <c r="K67" s="24">
        <f>IF(CurrentMtgRatesDataTable811[[#This Row],[WA CC]]&lt;&gt;0,D66-CurrentMtgRatesDataTable811[[#This Row],[WA CC]],0)</f>
        <v>0</v>
      </c>
      <c r="L67" s="24">
        <f>IF(CurrentMtgRatesDataTable811[[#This Row],[Servicing Spread]]&lt;=0,L66,CurrentMtgRatesDataTable811[[#This Row],[Servicing Spread]])</f>
        <v>0.54300676114802027</v>
      </c>
      <c r="M67" s="24">
        <f>CurrentMtgRatesDataTable811[[#This Row],[SeriesNumValue]]+CurrentMtgRatesDataTable811[[#This Row],[Servicing Spread Non-Zero]]</f>
        <v>4.8088256180063906</v>
      </c>
      <c r="V67">
        <v>3.7949999999999999</v>
      </c>
      <c r="W67" s="3">
        <v>41935</v>
      </c>
    </row>
    <row r="68" spans="2:23" x14ac:dyDescent="0.2">
      <c r="B68" s="27" t="s">
        <v>749</v>
      </c>
      <c r="C68" s="28">
        <v>4.2757251655325801</v>
      </c>
      <c r="D68" s="26">
        <v>4.8049999999999997</v>
      </c>
      <c r="E68" s="24">
        <f t="shared" si="4"/>
        <v>5</v>
      </c>
      <c r="F68" s="24">
        <f>VLOOKUP(E68,Q$5:R$11,2,FALSE)</f>
        <v>0.2</v>
      </c>
      <c r="G68" s="24">
        <f t="shared" si="5"/>
        <v>3</v>
      </c>
      <c r="H68" s="24">
        <f>IF(G68&gt;G67,H67+C68*F68,C68*F68)</f>
        <v>2.5794890374485919</v>
      </c>
      <c r="I68" s="24">
        <f t="shared" si="6"/>
        <v>0.60000000000000009</v>
      </c>
      <c r="J68" s="24">
        <f t="shared" si="7"/>
        <v>0</v>
      </c>
      <c r="K68" s="24">
        <f>IF(CurrentMtgRatesDataTable811[[#This Row],[WA CC]]&lt;&gt;0,D67-CurrentMtgRatesDataTable811[[#This Row],[WA CC]],0)</f>
        <v>0</v>
      </c>
      <c r="L68" s="24">
        <f>IF(CurrentMtgRatesDataTable811[[#This Row],[Servicing Spread]]&lt;=0,L67,CurrentMtgRatesDataTable811[[#This Row],[Servicing Spread]])</f>
        <v>0.54300676114802027</v>
      </c>
      <c r="M68" s="24">
        <f>CurrentMtgRatesDataTable811[[#This Row],[SeriesNumValue]]+CurrentMtgRatesDataTable811[[#This Row],[Servicing Spread Non-Zero]]</f>
        <v>4.8187319266806004</v>
      </c>
      <c r="V68">
        <v>3.8450000000000002</v>
      </c>
      <c r="W68" s="3">
        <v>41928</v>
      </c>
    </row>
    <row r="69" spans="2:23" x14ac:dyDescent="0.2">
      <c r="B69" s="27" t="s">
        <v>750</v>
      </c>
      <c r="C69" s="28">
        <v>4.3121099537916301</v>
      </c>
      <c r="D69" s="26">
        <v>4.8049999999999997</v>
      </c>
      <c r="E69" s="24">
        <f t="shared" si="4"/>
        <v>6</v>
      </c>
      <c r="F69" s="24">
        <f>VLOOKUP(E69,Q$5:R$11,2,FALSE)</f>
        <v>0.2</v>
      </c>
      <c r="G69" s="24">
        <f t="shared" si="5"/>
        <v>4</v>
      </c>
      <c r="H69" s="24">
        <f>IF(G69&gt;G68,H68+C69*F69,C69*F69)</f>
        <v>3.4419110282069179</v>
      </c>
      <c r="I69" s="24">
        <f t="shared" si="6"/>
        <v>0.8</v>
      </c>
      <c r="J69" s="24">
        <f t="shared" si="7"/>
        <v>0</v>
      </c>
      <c r="K69" s="24">
        <f>IF(CurrentMtgRatesDataTable811[[#This Row],[WA CC]]&lt;&gt;0,D68-CurrentMtgRatesDataTable811[[#This Row],[WA CC]],0)</f>
        <v>0</v>
      </c>
      <c r="L69" s="24">
        <f>IF(CurrentMtgRatesDataTable811[[#This Row],[Servicing Spread]]&lt;=0,L68,CurrentMtgRatesDataTable811[[#This Row],[Servicing Spread]])</f>
        <v>0.54300676114802027</v>
      </c>
      <c r="M69" s="24">
        <f>CurrentMtgRatesDataTable811[[#This Row],[SeriesNumValue]]+CurrentMtgRatesDataTable811[[#This Row],[Servicing Spread Non-Zero]]</f>
        <v>4.8551167149396504</v>
      </c>
      <c r="V69">
        <v>3.9950000000000001</v>
      </c>
      <c r="W69" s="3">
        <v>41921</v>
      </c>
    </row>
    <row r="70" spans="2:23" x14ac:dyDescent="0.2">
      <c r="B70" s="27" t="s">
        <v>751</v>
      </c>
      <c r="C70" s="28">
        <v>4.2484409490171098</v>
      </c>
      <c r="D70" s="26">
        <v>4.8049999999999997</v>
      </c>
      <c r="E70" s="24">
        <f t="shared" si="4"/>
        <v>7</v>
      </c>
      <c r="F70" s="24">
        <f>VLOOKUP(E70,Q$5:R$11,2,FALSE)</f>
        <v>0.2</v>
      </c>
      <c r="G70" s="24">
        <f t="shared" si="5"/>
        <v>5</v>
      </c>
      <c r="H70" s="24">
        <f>IF(G70&gt;G69,H69+C70*F70,C70*F70)</f>
        <v>4.2915992180103402</v>
      </c>
      <c r="I70" s="24">
        <f t="shared" si="6"/>
        <v>1</v>
      </c>
      <c r="J70" s="24">
        <f t="shared" si="7"/>
        <v>4.2915992180103402</v>
      </c>
      <c r="K70" s="24">
        <f>IF(CurrentMtgRatesDataTable811[[#This Row],[WA CC]]&lt;&gt;0,D69-CurrentMtgRatesDataTable811[[#This Row],[WA CC]],0)</f>
        <v>0.51340078198965955</v>
      </c>
      <c r="L70" s="24">
        <f>IF(CurrentMtgRatesDataTable811[[#This Row],[Servicing Spread]]&lt;=0,L69,CurrentMtgRatesDataTable811[[#This Row],[Servicing Spread]])</f>
        <v>0.51340078198965955</v>
      </c>
      <c r="M70" s="24">
        <f>CurrentMtgRatesDataTable811[[#This Row],[SeriesNumValue]]+CurrentMtgRatesDataTable811[[#This Row],[Servicing Spread Non-Zero]]</f>
        <v>4.7618417310067693</v>
      </c>
      <c r="V70">
        <v>4.04</v>
      </c>
      <c r="W70" s="3">
        <v>41914</v>
      </c>
    </row>
    <row r="71" spans="2:23" x14ac:dyDescent="0.2">
      <c r="B71" s="27" t="s">
        <v>752</v>
      </c>
      <c r="C71" s="28">
        <v>4.1984052857638501</v>
      </c>
      <c r="D71" s="26">
        <v>4.6849999999999996</v>
      </c>
      <c r="E71" s="24">
        <f t="shared" si="4"/>
        <v>1</v>
      </c>
      <c r="F71" s="24">
        <f>VLOOKUP(E71,Q$5:R$11,2,FALSE)</f>
        <v>0.2</v>
      </c>
      <c r="G71" s="24">
        <f t="shared" si="5"/>
        <v>1</v>
      </c>
      <c r="H71" s="24">
        <f>IF(G71&gt;G70,H70+C71*F71,C71*F71)</f>
        <v>0.83968105715277008</v>
      </c>
      <c r="I71" s="24">
        <f t="shared" si="6"/>
        <v>0.2</v>
      </c>
      <c r="J71" s="24">
        <f t="shared" si="7"/>
        <v>0</v>
      </c>
      <c r="K71" s="24">
        <f>IF(CurrentMtgRatesDataTable811[[#This Row],[WA CC]]&lt;&gt;0,D70-CurrentMtgRatesDataTable811[[#This Row],[WA CC]],0)</f>
        <v>0</v>
      </c>
      <c r="L71" s="24">
        <f>IF(CurrentMtgRatesDataTable811[[#This Row],[Servicing Spread]]&lt;=0,L70,CurrentMtgRatesDataTable811[[#This Row],[Servicing Spread]])</f>
        <v>0.51340078198965955</v>
      </c>
      <c r="M71" s="24">
        <f>CurrentMtgRatesDataTable811[[#This Row],[SeriesNumValue]]+CurrentMtgRatesDataTable811[[#This Row],[Servicing Spread Non-Zero]]</f>
        <v>4.7118060677535096</v>
      </c>
      <c r="V71">
        <v>4.0750000000000002</v>
      </c>
      <c r="W71" s="3">
        <v>41907</v>
      </c>
    </row>
    <row r="72" spans="2:23" x14ac:dyDescent="0.2">
      <c r="B72" s="27" t="s">
        <v>753</v>
      </c>
      <c r="C72" s="28">
        <v>4.2139949993879302</v>
      </c>
      <c r="D72" s="26">
        <v>4.6849999999999996</v>
      </c>
      <c r="E72" s="24">
        <f t="shared" si="4"/>
        <v>2</v>
      </c>
      <c r="F72" s="24">
        <f>VLOOKUP(E72,Q$5:R$11,2,FALSE)</f>
        <v>0.2</v>
      </c>
      <c r="G72" s="24">
        <f t="shared" si="5"/>
        <v>2</v>
      </c>
      <c r="H72" s="24">
        <f>IF(G72&gt;G71,H71+C72*F72,C72*F72)</f>
        <v>1.6824800570303562</v>
      </c>
      <c r="I72" s="24">
        <f t="shared" si="6"/>
        <v>0.4</v>
      </c>
      <c r="J72" s="24">
        <f t="shared" si="7"/>
        <v>0</v>
      </c>
      <c r="K72" s="24">
        <f>IF(CurrentMtgRatesDataTable811[[#This Row],[WA CC]]&lt;&gt;0,D71-CurrentMtgRatesDataTable811[[#This Row],[WA CC]],0)</f>
        <v>0</v>
      </c>
      <c r="L72" s="24">
        <f>IF(CurrentMtgRatesDataTable811[[#This Row],[Servicing Spread]]&lt;=0,L71,CurrentMtgRatesDataTable811[[#This Row],[Servicing Spread]])</f>
        <v>0.51340078198965955</v>
      </c>
      <c r="M72" s="24">
        <f>CurrentMtgRatesDataTable811[[#This Row],[SeriesNumValue]]+CurrentMtgRatesDataTable811[[#This Row],[Servicing Spread Non-Zero]]</f>
        <v>4.7273957813775898</v>
      </c>
      <c r="V72">
        <v>4.1050000000000004</v>
      </c>
      <c r="W72" s="3">
        <v>41900</v>
      </c>
    </row>
    <row r="73" spans="2:23" x14ac:dyDescent="0.2">
      <c r="B73" s="27" t="s">
        <v>754</v>
      </c>
      <c r="C73" s="28">
        <v>4.1795306518075401</v>
      </c>
      <c r="D73" s="26">
        <v>4.6849999999999996</v>
      </c>
      <c r="E73" s="24">
        <f t="shared" si="4"/>
        <v>5</v>
      </c>
      <c r="F73" s="24">
        <f>VLOOKUP(E73,Q$5:R$11,2,FALSE)</f>
        <v>0.2</v>
      </c>
      <c r="G73" s="24">
        <f t="shared" si="5"/>
        <v>3</v>
      </c>
      <c r="H73" s="24">
        <f>IF(G73&gt;G72,H72+C73*F73,C73*F73)</f>
        <v>2.5183861873918643</v>
      </c>
      <c r="I73" s="24">
        <f t="shared" si="6"/>
        <v>0.60000000000000009</v>
      </c>
      <c r="J73" s="24">
        <f t="shared" si="7"/>
        <v>0</v>
      </c>
      <c r="K73" s="24">
        <f>IF(CurrentMtgRatesDataTable811[[#This Row],[WA CC]]&lt;&gt;0,D72-CurrentMtgRatesDataTable811[[#This Row],[WA CC]],0)</f>
        <v>0</v>
      </c>
      <c r="L73" s="24">
        <f>IF(CurrentMtgRatesDataTable811[[#This Row],[Servicing Spread]]&lt;=0,L72,CurrentMtgRatesDataTable811[[#This Row],[Servicing Spread]])</f>
        <v>0.51340078198965955</v>
      </c>
      <c r="M73" s="24">
        <f>CurrentMtgRatesDataTable811[[#This Row],[SeriesNumValue]]+CurrentMtgRatesDataTable811[[#This Row],[Servicing Spread Non-Zero]]</f>
        <v>4.6929314337971997</v>
      </c>
      <c r="V73">
        <v>3.9950000000000001</v>
      </c>
      <c r="W73" s="3">
        <v>41893</v>
      </c>
    </row>
    <row r="74" spans="2:23" x14ac:dyDescent="0.2">
      <c r="B74" s="27" t="s">
        <v>755</v>
      </c>
      <c r="C74" s="28">
        <v>4.1729690002093802</v>
      </c>
      <c r="D74" s="26">
        <v>4.6849999999999996</v>
      </c>
      <c r="E74" s="24">
        <f t="shared" si="4"/>
        <v>6</v>
      </c>
      <c r="F74" s="24">
        <f>VLOOKUP(E74,Q$5:R$11,2,FALSE)</f>
        <v>0.2</v>
      </c>
      <c r="G74" s="24">
        <f t="shared" si="5"/>
        <v>4</v>
      </c>
      <c r="H74" s="24">
        <f>IF(G74&gt;G73,H73+C74*F74,C74*F74)</f>
        <v>3.3529799874337405</v>
      </c>
      <c r="I74" s="24">
        <f t="shared" si="6"/>
        <v>0.8</v>
      </c>
      <c r="J74" s="24">
        <f t="shared" si="7"/>
        <v>0</v>
      </c>
      <c r="K74" s="24">
        <f>IF(CurrentMtgRatesDataTable811[[#This Row],[WA CC]]&lt;&gt;0,D73-CurrentMtgRatesDataTable811[[#This Row],[WA CC]],0)</f>
        <v>0</v>
      </c>
      <c r="L74" s="24">
        <f>IF(CurrentMtgRatesDataTable811[[#This Row],[Servicing Spread]]&lt;=0,L73,CurrentMtgRatesDataTable811[[#This Row],[Servicing Spread]])</f>
        <v>0.51340078198965955</v>
      </c>
      <c r="M74" s="24">
        <f>CurrentMtgRatesDataTable811[[#This Row],[SeriesNumValue]]+CurrentMtgRatesDataTable811[[#This Row],[Servicing Spread Non-Zero]]</f>
        <v>4.6863697821990398</v>
      </c>
      <c r="V74">
        <v>3.9750000000000001</v>
      </c>
      <c r="W74" s="3">
        <v>41886</v>
      </c>
    </row>
    <row r="75" spans="2:23" x14ac:dyDescent="0.2">
      <c r="B75" s="27" t="s">
        <v>756</v>
      </c>
      <c r="C75" s="28">
        <v>4.0816167711617402</v>
      </c>
      <c r="D75" s="26">
        <v>4.6849999999999996</v>
      </c>
      <c r="E75" s="24">
        <f t="shared" si="4"/>
        <v>7</v>
      </c>
      <c r="F75" s="24">
        <f>VLOOKUP(E75,Q$5:R$11,2,FALSE)</f>
        <v>0.2</v>
      </c>
      <c r="G75" s="24">
        <f t="shared" si="5"/>
        <v>5</v>
      </c>
      <c r="H75" s="24">
        <f>IF(G75&gt;G74,H74+C75*F75,C75*F75)</f>
        <v>4.1693033416660885</v>
      </c>
      <c r="I75" s="24">
        <f t="shared" si="6"/>
        <v>1</v>
      </c>
      <c r="J75" s="24">
        <f t="shared" si="7"/>
        <v>4.1693033416660885</v>
      </c>
      <c r="K75" s="24">
        <f>IF(CurrentMtgRatesDataTable811[[#This Row],[WA CC]]&lt;&gt;0,D74-CurrentMtgRatesDataTable811[[#This Row],[WA CC]],0)</f>
        <v>0.5156966583339111</v>
      </c>
      <c r="L75" s="24">
        <f>IF(CurrentMtgRatesDataTable811[[#This Row],[Servicing Spread]]&lt;=0,L74,CurrentMtgRatesDataTable811[[#This Row],[Servicing Spread]])</f>
        <v>0.5156966583339111</v>
      </c>
      <c r="M75" s="24">
        <f>CurrentMtgRatesDataTable811[[#This Row],[SeriesNumValue]]+CurrentMtgRatesDataTable811[[#This Row],[Servicing Spread Non-Zero]]</f>
        <v>4.5973134294956512</v>
      </c>
      <c r="V75">
        <v>3.9750000000000001</v>
      </c>
      <c r="W75" s="3">
        <v>41879</v>
      </c>
    </row>
    <row r="76" spans="2:23" x14ac:dyDescent="0.2">
      <c r="B76" s="27" t="s">
        <v>757</v>
      </c>
      <c r="C76" s="28">
        <v>4.1072423459751501</v>
      </c>
      <c r="D76" s="26">
        <v>4.7349999999999994</v>
      </c>
      <c r="E76" s="24">
        <f t="shared" si="4"/>
        <v>1</v>
      </c>
      <c r="F76" s="24">
        <f>VLOOKUP(E76,Q$5:R$11,2,FALSE)</f>
        <v>0.2</v>
      </c>
      <c r="G76" s="24">
        <f t="shared" si="5"/>
        <v>1</v>
      </c>
      <c r="H76" s="24">
        <f>IF(G76&gt;G75,H75+C76*F76,C76*F76)</f>
        <v>0.82144846919503012</v>
      </c>
      <c r="I76" s="24">
        <f t="shared" si="6"/>
        <v>0.2</v>
      </c>
      <c r="J76" s="24">
        <f t="shared" si="7"/>
        <v>0</v>
      </c>
      <c r="K76" s="24">
        <f>IF(CurrentMtgRatesDataTable811[[#This Row],[WA CC]]&lt;&gt;0,D75-CurrentMtgRatesDataTable811[[#This Row],[WA CC]],0)</f>
        <v>0</v>
      </c>
      <c r="L76" s="24">
        <f>IF(CurrentMtgRatesDataTable811[[#This Row],[Servicing Spread]]&lt;=0,L75,CurrentMtgRatesDataTable811[[#This Row],[Servicing Spread]])</f>
        <v>0.5156966583339111</v>
      </c>
      <c r="M76" s="24">
        <f>CurrentMtgRatesDataTable811[[#This Row],[SeriesNumValue]]+CurrentMtgRatesDataTable811[[#This Row],[Servicing Spread Non-Zero]]</f>
        <v>4.6229390043090612</v>
      </c>
      <c r="V76">
        <v>3.9750000000000001</v>
      </c>
      <c r="W76" s="3">
        <v>41872</v>
      </c>
    </row>
    <row r="77" spans="2:23" x14ac:dyDescent="0.2">
      <c r="B77" s="27" t="s">
        <v>758</v>
      </c>
      <c r="C77" s="28">
        <v>4.1111783880134496</v>
      </c>
      <c r="D77" s="26">
        <v>4.7349999999999994</v>
      </c>
      <c r="E77" s="24">
        <f t="shared" si="4"/>
        <v>2</v>
      </c>
      <c r="F77" s="24">
        <f>VLOOKUP(E77,Q$5:R$11,2,FALSE)</f>
        <v>0.2</v>
      </c>
      <c r="G77" s="24">
        <f t="shared" si="5"/>
        <v>2</v>
      </c>
      <c r="H77" s="24">
        <f>IF(G77&gt;G76,H76+C77*F77,C77*F77)</f>
        <v>1.6436841467977201</v>
      </c>
      <c r="I77" s="24">
        <f t="shared" si="6"/>
        <v>0.4</v>
      </c>
      <c r="J77" s="24">
        <f t="shared" si="7"/>
        <v>0</v>
      </c>
      <c r="K77" s="24">
        <f>IF(CurrentMtgRatesDataTable811[[#This Row],[WA CC]]&lt;&gt;0,D76-CurrentMtgRatesDataTable811[[#This Row],[WA CC]],0)</f>
        <v>0</v>
      </c>
      <c r="L77" s="24">
        <f>IF(CurrentMtgRatesDataTable811[[#This Row],[Servicing Spread]]&lt;=0,L76,CurrentMtgRatesDataTable811[[#This Row],[Servicing Spread]])</f>
        <v>0.5156966583339111</v>
      </c>
      <c r="M77" s="24">
        <f>CurrentMtgRatesDataTable811[[#This Row],[SeriesNumValue]]+CurrentMtgRatesDataTable811[[#This Row],[Servicing Spread Non-Zero]]</f>
        <v>4.6268750463473607</v>
      </c>
      <c r="V77">
        <v>4.0199999999999996</v>
      </c>
      <c r="W77" s="3">
        <v>41865</v>
      </c>
    </row>
    <row r="78" spans="2:23" x14ac:dyDescent="0.2">
      <c r="B78" s="27" t="s">
        <v>759</v>
      </c>
      <c r="C78" s="28">
        <v>4.1633848417706298</v>
      </c>
      <c r="D78" s="26">
        <v>4.7349999999999994</v>
      </c>
      <c r="E78" s="24">
        <f t="shared" si="4"/>
        <v>5</v>
      </c>
      <c r="F78" s="24">
        <f>VLOOKUP(E78,Q$5:R$11,2,FALSE)</f>
        <v>0.2</v>
      </c>
      <c r="G78" s="24">
        <f t="shared" si="5"/>
        <v>3</v>
      </c>
      <c r="H78" s="24">
        <f>IF(G78&gt;G77,H77+C78*F78,C78*F78)</f>
        <v>2.4763611151518461</v>
      </c>
      <c r="I78" s="24">
        <f t="shared" si="6"/>
        <v>0.60000000000000009</v>
      </c>
      <c r="J78" s="24">
        <f t="shared" si="7"/>
        <v>0</v>
      </c>
      <c r="K78" s="24">
        <f>IF(CurrentMtgRatesDataTable811[[#This Row],[WA CC]]&lt;&gt;0,D77-CurrentMtgRatesDataTable811[[#This Row],[WA CC]],0)</f>
        <v>0</v>
      </c>
      <c r="L78" s="24">
        <f>IF(CurrentMtgRatesDataTable811[[#This Row],[Servicing Spread]]&lt;=0,L77,CurrentMtgRatesDataTable811[[#This Row],[Servicing Spread]])</f>
        <v>0.5156966583339111</v>
      </c>
      <c r="M78" s="24">
        <f>CurrentMtgRatesDataTable811[[#This Row],[SeriesNumValue]]+CurrentMtgRatesDataTable811[[#This Row],[Servicing Spread Non-Zero]]</f>
        <v>4.6790815001045409</v>
      </c>
      <c r="V78">
        <v>4.0650000000000004</v>
      </c>
      <c r="W78" s="3">
        <v>41858</v>
      </c>
    </row>
    <row r="79" spans="2:23" x14ac:dyDescent="0.2">
      <c r="B79" s="27" t="s">
        <v>760</v>
      </c>
      <c r="C79" s="28">
        <v>4.1893598629654702</v>
      </c>
      <c r="D79" s="26">
        <v>4.7349999999999994</v>
      </c>
      <c r="E79" s="24">
        <f t="shared" si="4"/>
        <v>6</v>
      </c>
      <c r="F79" s="24">
        <f>VLOOKUP(E79,Q$5:R$11,2,FALSE)</f>
        <v>0.2</v>
      </c>
      <c r="G79" s="24">
        <f t="shared" si="5"/>
        <v>4</v>
      </c>
      <c r="H79" s="24">
        <f>IF(G79&gt;G78,H78+C79*F79,C79*F79)</f>
        <v>3.31423308774494</v>
      </c>
      <c r="I79" s="24">
        <f t="shared" si="6"/>
        <v>0.8</v>
      </c>
      <c r="J79" s="24">
        <f t="shared" si="7"/>
        <v>0</v>
      </c>
      <c r="K79" s="24">
        <f>IF(CurrentMtgRatesDataTable811[[#This Row],[WA CC]]&lt;&gt;0,D78-CurrentMtgRatesDataTable811[[#This Row],[WA CC]],0)</f>
        <v>0</v>
      </c>
      <c r="L79" s="24">
        <f>IF(CurrentMtgRatesDataTable811[[#This Row],[Servicing Spread]]&lt;=0,L78,CurrentMtgRatesDataTable811[[#This Row],[Servicing Spread]])</f>
        <v>0.5156966583339111</v>
      </c>
      <c r="M79" s="24">
        <f>CurrentMtgRatesDataTable811[[#This Row],[SeriesNumValue]]+CurrentMtgRatesDataTable811[[#This Row],[Servicing Spread Non-Zero]]</f>
        <v>4.7050565212993813</v>
      </c>
      <c r="V79">
        <v>4.0199999999999996</v>
      </c>
      <c r="W79" s="3">
        <v>41851</v>
      </c>
    </row>
    <row r="80" spans="2:23" x14ac:dyDescent="0.2">
      <c r="B80" s="27" t="s">
        <v>761</v>
      </c>
      <c r="C80" s="28">
        <v>4.2092705664772598</v>
      </c>
      <c r="D80" s="26">
        <v>4.7349999999999994</v>
      </c>
      <c r="E80" s="24">
        <f t="shared" si="4"/>
        <v>7</v>
      </c>
      <c r="F80" s="24">
        <f>VLOOKUP(E80,Q$5:R$11,2,FALSE)</f>
        <v>0.2</v>
      </c>
      <c r="G80" s="24">
        <f t="shared" si="5"/>
        <v>5</v>
      </c>
      <c r="H80" s="24">
        <f>IF(G80&gt;G79,H79+C80*F80,C80*F80)</f>
        <v>4.1560872010403918</v>
      </c>
      <c r="I80" s="24">
        <f t="shared" si="6"/>
        <v>1</v>
      </c>
      <c r="J80" s="24">
        <f t="shared" si="7"/>
        <v>4.1560872010403918</v>
      </c>
      <c r="K80" s="24">
        <f>IF(CurrentMtgRatesDataTable811[[#This Row],[WA CC]]&lt;&gt;0,D79-CurrentMtgRatesDataTable811[[#This Row],[WA CC]],0)</f>
        <v>0.57891279895960768</v>
      </c>
      <c r="L80" s="24">
        <f>IF(CurrentMtgRatesDataTable811[[#This Row],[Servicing Spread]]&lt;=0,L79,CurrentMtgRatesDataTable811[[#This Row],[Servicing Spread]])</f>
        <v>0.57891279895960768</v>
      </c>
      <c r="M80" s="24">
        <f>CurrentMtgRatesDataTable811[[#This Row],[SeriesNumValue]]+CurrentMtgRatesDataTable811[[#This Row],[Servicing Spread Non-Zero]]</f>
        <v>4.7881833654368675</v>
      </c>
      <c r="V80">
        <v>4.03</v>
      </c>
      <c r="W80" s="3">
        <v>41844</v>
      </c>
    </row>
    <row r="81" spans="2:23" x14ac:dyDescent="0.2">
      <c r="B81" s="27" t="s">
        <v>762</v>
      </c>
      <c r="C81" s="28">
        <v>4.22853993673895</v>
      </c>
      <c r="D81" s="26">
        <v>4.7850000000000001</v>
      </c>
      <c r="E81" s="24">
        <f t="shared" si="4"/>
        <v>1</v>
      </c>
      <c r="F81" s="24">
        <f>VLOOKUP(E81,Q$5:R$11,2,FALSE)</f>
        <v>0.2</v>
      </c>
      <c r="G81" s="24">
        <f t="shared" si="5"/>
        <v>1</v>
      </c>
      <c r="H81" s="24">
        <f>IF(G81&gt;G80,H80+C81*F81,C81*F81)</f>
        <v>0.84570798734779007</v>
      </c>
      <c r="I81" s="24">
        <f t="shared" si="6"/>
        <v>0.2</v>
      </c>
      <c r="J81" s="24">
        <f t="shared" si="7"/>
        <v>0</v>
      </c>
      <c r="K81" s="24">
        <f>IF(CurrentMtgRatesDataTable811[[#This Row],[WA CC]]&lt;&gt;0,D80-CurrentMtgRatesDataTable811[[#This Row],[WA CC]],0)</f>
        <v>0</v>
      </c>
      <c r="L81" s="24">
        <f>IF(CurrentMtgRatesDataTable811[[#This Row],[Servicing Spread]]&lt;=0,L80,CurrentMtgRatesDataTable811[[#This Row],[Servicing Spread]])</f>
        <v>0.57891279895960768</v>
      </c>
      <c r="M81" s="24">
        <f>CurrentMtgRatesDataTable811[[#This Row],[SeriesNumValue]]+CurrentMtgRatesDataTable811[[#This Row],[Servicing Spread Non-Zero]]</f>
        <v>4.8074527356985577</v>
      </c>
      <c r="V81">
        <v>4.03</v>
      </c>
      <c r="W81" s="3">
        <v>41837</v>
      </c>
    </row>
    <row r="82" spans="2:23" x14ac:dyDescent="0.2">
      <c r="B82" s="27" t="s">
        <v>763</v>
      </c>
      <c r="C82" s="28">
        <v>4.2607943289152903</v>
      </c>
      <c r="D82" s="26">
        <v>4.7850000000000001</v>
      </c>
      <c r="E82" s="24">
        <f t="shared" si="4"/>
        <v>2</v>
      </c>
      <c r="F82" s="24">
        <f>VLOOKUP(E82,Q$5:R$11,2,FALSE)</f>
        <v>0.2</v>
      </c>
      <c r="G82" s="24">
        <f t="shared" si="5"/>
        <v>2</v>
      </c>
      <c r="H82" s="24">
        <f>IF(G82&gt;G81,H81+C82*F82,C82*F82)</f>
        <v>1.6978668531308481</v>
      </c>
      <c r="I82" s="24">
        <f t="shared" si="6"/>
        <v>0.4</v>
      </c>
      <c r="J82" s="24">
        <f t="shared" si="7"/>
        <v>0</v>
      </c>
      <c r="K82" s="24">
        <f>IF(CurrentMtgRatesDataTable811[[#This Row],[WA CC]]&lt;&gt;0,D81-CurrentMtgRatesDataTable811[[#This Row],[WA CC]],0)</f>
        <v>0</v>
      </c>
      <c r="L82" s="24">
        <f>IF(CurrentMtgRatesDataTable811[[#This Row],[Servicing Spread]]&lt;=0,L81,CurrentMtgRatesDataTable811[[#This Row],[Servicing Spread]])</f>
        <v>0.57891279895960768</v>
      </c>
      <c r="M82" s="24">
        <f>CurrentMtgRatesDataTable811[[#This Row],[SeriesNumValue]]+CurrentMtgRatesDataTable811[[#This Row],[Servicing Spread Non-Zero]]</f>
        <v>4.839707127874898</v>
      </c>
      <c r="V82">
        <v>4.0750000000000002</v>
      </c>
      <c r="W82" s="3">
        <v>41830</v>
      </c>
    </row>
    <row r="83" spans="2:23" x14ac:dyDescent="0.2">
      <c r="B83" s="27" t="s">
        <v>764</v>
      </c>
      <c r="C83" s="28">
        <v>4.2631006281435502</v>
      </c>
      <c r="D83" s="26">
        <v>4.7850000000000001</v>
      </c>
      <c r="E83" s="24">
        <f t="shared" si="4"/>
        <v>5</v>
      </c>
      <c r="F83" s="24">
        <f>VLOOKUP(E83,Q$5:R$11,2,FALSE)</f>
        <v>0.2</v>
      </c>
      <c r="G83" s="24">
        <f t="shared" si="5"/>
        <v>3</v>
      </c>
      <c r="H83" s="24">
        <f>IF(G83&gt;G82,H82+C83*F83,C83*F83)</f>
        <v>2.5504869787595581</v>
      </c>
      <c r="I83" s="24">
        <f t="shared" si="6"/>
        <v>0.60000000000000009</v>
      </c>
      <c r="J83" s="24">
        <f t="shared" si="7"/>
        <v>0</v>
      </c>
      <c r="K83" s="24">
        <f>IF(CurrentMtgRatesDataTable811[[#This Row],[WA CC]]&lt;&gt;0,D82-CurrentMtgRatesDataTable811[[#This Row],[WA CC]],0)</f>
        <v>0</v>
      </c>
      <c r="L83" s="24">
        <f>IF(CurrentMtgRatesDataTable811[[#This Row],[Servicing Spread]]&lt;=0,L82,CurrentMtgRatesDataTable811[[#This Row],[Servicing Spread]])</f>
        <v>0.57891279895960768</v>
      </c>
      <c r="M83" s="24">
        <f>CurrentMtgRatesDataTable811[[#This Row],[SeriesNumValue]]+CurrentMtgRatesDataTable811[[#This Row],[Servicing Spread Non-Zero]]</f>
        <v>4.8420134271031579</v>
      </c>
      <c r="V83">
        <v>3.9950000000000001</v>
      </c>
      <c r="W83" s="3">
        <v>41823</v>
      </c>
    </row>
    <row r="84" spans="2:23" x14ac:dyDescent="0.2">
      <c r="B84" s="27" t="s">
        <v>765</v>
      </c>
      <c r="C84" s="28">
        <v>4.3031579691569499</v>
      </c>
      <c r="D84" s="26">
        <v>4.7850000000000001</v>
      </c>
      <c r="E84" s="24">
        <f t="shared" si="4"/>
        <v>6</v>
      </c>
      <c r="F84" s="24">
        <f>VLOOKUP(E84,Q$5:R$11,2,FALSE)</f>
        <v>0.2</v>
      </c>
      <c r="G84" s="24">
        <f t="shared" si="5"/>
        <v>4</v>
      </c>
      <c r="H84" s="24">
        <f>IF(G84&gt;G83,H83+C84*F84,C84*F84)</f>
        <v>3.4111185725909481</v>
      </c>
      <c r="I84" s="24">
        <f t="shared" si="6"/>
        <v>0.8</v>
      </c>
      <c r="J84" s="24">
        <f t="shared" si="7"/>
        <v>0</v>
      </c>
      <c r="K84" s="24">
        <f>IF(CurrentMtgRatesDataTable811[[#This Row],[WA CC]]&lt;&gt;0,D83-CurrentMtgRatesDataTable811[[#This Row],[WA CC]],0)</f>
        <v>0</v>
      </c>
      <c r="L84" s="24">
        <f>IF(CurrentMtgRatesDataTable811[[#This Row],[Servicing Spread]]&lt;=0,L83,CurrentMtgRatesDataTable811[[#This Row],[Servicing Spread]])</f>
        <v>0.57891279895960768</v>
      </c>
      <c r="M84" s="24">
        <f>CurrentMtgRatesDataTable811[[#This Row],[SeriesNumValue]]+CurrentMtgRatesDataTable811[[#This Row],[Servicing Spread Non-Zero]]</f>
        <v>4.8820707681165576</v>
      </c>
      <c r="V84">
        <v>4.0149999999999997</v>
      </c>
      <c r="W84" s="3">
        <v>41816</v>
      </c>
    </row>
    <row r="85" spans="2:23" x14ac:dyDescent="0.2">
      <c r="B85" s="27" t="s">
        <v>766</v>
      </c>
      <c r="C85" s="28">
        <v>4.2688327995501503</v>
      </c>
      <c r="D85" s="26">
        <v>4.7850000000000001</v>
      </c>
      <c r="E85" s="24">
        <f t="shared" si="4"/>
        <v>7</v>
      </c>
      <c r="F85" s="24">
        <f>VLOOKUP(E85,Q$5:R$11,2,FALSE)</f>
        <v>0.2</v>
      </c>
      <c r="G85" s="24">
        <f t="shared" si="5"/>
        <v>5</v>
      </c>
      <c r="H85" s="24">
        <f>IF(G85&gt;G84,H84+C85*F85,C85*F85)</f>
        <v>4.2648851325009787</v>
      </c>
      <c r="I85" s="24">
        <f t="shared" si="6"/>
        <v>1</v>
      </c>
      <c r="J85" s="24">
        <f t="shared" si="7"/>
        <v>4.2648851325009787</v>
      </c>
      <c r="K85" s="24">
        <f>IF(CurrentMtgRatesDataTable811[[#This Row],[WA CC]]&lt;&gt;0,D84-CurrentMtgRatesDataTable811[[#This Row],[WA CC]],0)</f>
        <v>0.52011486749902147</v>
      </c>
      <c r="L85" s="24">
        <f>IF(CurrentMtgRatesDataTable811[[#This Row],[Servicing Spread]]&lt;=0,L84,CurrentMtgRatesDataTable811[[#This Row],[Servicing Spread]])</f>
        <v>0.52011486749902147</v>
      </c>
      <c r="M85" s="24">
        <f>CurrentMtgRatesDataTable811[[#This Row],[SeriesNumValue]]+CurrentMtgRatesDataTable811[[#This Row],[Servicing Spread Non-Zero]]</f>
        <v>4.7889476670491717</v>
      </c>
      <c r="V85">
        <v>4.07</v>
      </c>
      <c r="W85" s="3">
        <v>41809</v>
      </c>
    </row>
    <row r="86" spans="2:23" x14ac:dyDescent="0.2">
      <c r="B86" s="27" t="s">
        <v>767</v>
      </c>
      <c r="C86" s="28">
        <v>4.26321220258097</v>
      </c>
      <c r="D86" s="26">
        <v>4.7949999999999999</v>
      </c>
      <c r="E86" s="24">
        <f t="shared" si="4"/>
        <v>1</v>
      </c>
      <c r="F86" s="24">
        <f>VLOOKUP(E86,Q$5:R$11,2,FALSE)</f>
        <v>0.2</v>
      </c>
      <c r="G86" s="24">
        <f t="shared" si="5"/>
        <v>1</v>
      </c>
      <c r="H86" s="24">
        <f>IF(G86&gt;G85,H85+C86*F86,C86*F86)</f>
        <v>0.85264244051619409</v>
      </c>
      <c r="I86" s="24">
        <f t="shared" si="6"/>
        <v>0.2</v>
      </c>
      <c r="J86" s="24">
        <f t="shared" si="7"/>
        <v>0</v>
      </c>
      <c r="K86" s="24">
        <f>IF(CurrentMtgRatesDataTable811[[#This Row],[WA CC]]&lt;&gt;0,D85-CurrentMtgRatesDataTable811[[#This Row],[WA CC]],0)</f>
        <v>0</v>
      </c>
      <c r="L86" s="24">
        <f>IF(CurrentMtgRatesDataTable811[[#This Row],[Servicing Spread]]&lt;=0,L85,CurrentMtgRatesDataTable811[[#This Row],[Servicing Spread]])</f>
        <v>0.52011486749902147</v>
      </c>
      <c r="M86" s="24">
        <f>CurrentMtgRatesDataTable811[[#This Row],[SeriesNumValue]]+CurrentMtgRatesDataTable811[[#This Row],[Servicing Spread Non-Zero]]</f>
        <v>4.7833270700799915</v>
      </c>
      <c r="V86">
        <v>4.0999999999999996</v>
      </c>
      <c r="W86" s="3">
        <v>41802</v>
      </c>
    </row>
    <row r="87" spans="2:23" x14ac:dyDescent="0.2">
      <c r="B87" s="27" t="s">
        <v>768</v>
      </c>
      <c r="C87" s="28">
        <v>4.2725182079422597</v>
      </c>
      <c r="D87" s="26">
        <v>4.7949999999999999</v>
      </c>
      <c r="E87" s="24">
        <f t="shared" si="4"/>
        <v>2</v>
      </c>
      <c r="F87" s="24">
        <f>VLOOKUP(E87,Q$5:R$11,2,FALSE)</f>
        <v>0.2</v>
      </c>
      <c r="G87" s="24">
        <f t="shared" si="5"/>
        <v>2</v>
      </c>
      <c r="H87" s="24">
        <f>IF(G87&gt;G86,H86+C87*F87,C87*F87)</f>
        <v>1.707146082104646</v>
      </c>
      <c r="I87" s="24">
        <f t="shared" si="6"/>
        <v>0.4</v>
      </c>
      <c r="J87" s="24">
        <f t="shared" si="7"/>
        <v>0</v>
      </c>
      <c r="K87" s="24">
        <f>IF(CurrentMtgRatesDataTable811[[#This Row],[WA CC]]&lt;&gt;0,D86-CurrentMtgRatesDataTable811[[#This Row],[WA CC]],0)</f>
        <v>0</v>
      </c>
      <c r="L87" s="24">
        <f>IF(CurrentMtgRatesDataTable811[[#This Row],[Servicing Spread]]&lt;=0,L86,CurrentMtgRatesDataTable811[[#This Row],[Servicing Spread]])</f>
        <v>0.52011486749902147</v>
      </c>
      <c r="M87" s="24">
        <f>CurrentMtgRatesDataTable811[[#This Row],[SeriesNumValue]]+CurrentMtgRatesDataTable811[[#This Row],[Servicing Spread Non-Zero]]</f>
        <v>4.7926330754412811</v>
      </c>
      <c r="V87">
        <v>4.0149999999999997</v>
      </c>
      <c r="W87" s="3">
        <v>41795</v>
      </c>
    </row>
    <row r="88" spans="2:23" x14ac:dyDescent="0.2">
      <c r="B88" s="27" t="s">
        <v>769</v>
      </c>
      <c r="C88" s="28">
        <v>4.2707131453580098</v>
      </c>
      <c r="D88" s="26">
        <v>4.7949999999999999</v>
      </c>
      <c r="E88" s="24">
        <f t="shared" si="4"/>
        <v>5</v>
      </c>
      <c r="F88" s="24">
        <f>VLOOKUP(E88,Q$5:R$11,2,FALSE)</f>
        <v>0.2</v>
      </c>
      <c r="G88" s="24">
        <f t="shared" si="5"/>
        <v>3</v>
      </c>
      <c r="H88" s="24">
        <f>IF(G88&gt;G87,H87+C88*F88,C88*F88)</f>
        <v>2.5612887111762479</v>
      </c>
      <c r="I88" s="24">
        <f t="shared" si="6"/>
        <v>0.60000000000000009</v>
      </c>
      <c r="J88" s="24">
        <f t="shared" si="7"/>
        <v>0</v>
      </c>
      <c r="K88" s="24">
        <f>IF(CurrentMtgRatesDataTable811[[#This Row],[WA CC]]&lt;&gt;0,D87-CurrentMtgRatesDataTable811[[#This Row],[WA CC]],0)</f>
        <v>0</v>
      </c>
      <c r="L88" s="24">
        <f>IF(CurrentMtgRatesDataTable811[[#This Row],[Servicing Spread]]&lt;=0,L87,CurrentMtgRatesDataTable811[[#This Row],[Servicing Spread]])</f>
        <v>0.52011486749902147</v>
      </c>
      <c r="M88" s="24">
        <f>CurrentMtgRatesDataTable811[[#This Row],[SeriesNumValue]]+CurrentMtgRatesDataTable811[[#This Row],[Servicing Spread Non-Zero]]</f>
        <v>4.7908280128570313</v>
      </c>
      <c r="V88">
        <v>4.0199999999999996</v>
      </c>
      <c r="W88" s="3">
        <v>41788</v>
      </c>
    </row>
    <row r="89" spans="2:23" x14ac:dyDescent="0.2">
      <c r="B89" s="27" t="s">
        <v>770</v>
      </c>
      <c r="C89" s="28">
        <v>4.32682935952222</v>
      </c>
      <c r="D89" s="26">
        <v>4.7949999999999999</v>
      </c>
      <c r="E89" s="24">
        <f t="shared" si="4"/>
        <v>6</v>
      </c>
      <c r="F89" s="24">
        <f>VLOOKUP(E89,Q$5:R$11,2,FALSE)</f>
        <v>0.2</v>
      </c>
      <c r="G89" s="24">
        <f t="shared" si="5"/>
        <v>4</v>
      </c>
      <c r="H89" s="24">
        <f>IF(G89&gt;G88,H88+C89*F89,C89*F89)</f>
        <v>3.4266545830806918</v>
      </c>
      <c r="I89" s="24">
        <f t="shared" si="6"/>
        <v>0.8</v>
      </c>
      <c r="J89" s="24">
        <f t="shared" si="7"/>
        <v>0</v>
      </c>
      <c r="K89" s="24">
        <f>IF(CurrentMtgRatesDataTable811[[#This Row],[WA CC]]&lt;&gt;0,D88-CurrentMtgRatesDataTable811[[#This Row],[WA CC]],0)</f>
        <v>0</v>
      </c>
      <c r="L89" s="24">
        <f>IF(CurrentMtgRatesDataTable811[[#This Row],[Servicing Spread]]&lt;=0,L88,CurrentMtgRatesDataTable811[[#This Row],[Servicing Spread]])</f>
        <v>0.52011486749902147</v>
      </c>
      <c r="M89" s="24">
        <f>CurrentMtgRatesDataTable811[[#This Row],[SeriesNumValue]]+CurrentMtgRatesDataTable811[[#This Row],[Servicing Spread Non-Zero]]</f>
        <v>4.8469442270212415</v>
      </c>
      <c r="V89">
        <v>4.04</v>
      </c>
      <c r="W89" s="3">
        <v>41781</v>
      </c>
    </row>
    <row r="90" spans="2:23" x14ac:dyDescent="0.2">
      <c r="B90" s="27" t="s">
        <v>771</v>
      </c>
      <c r="C90" s="28">
        <v>4.3581821128406304</v>
      </c>
      <c r="D90" s="26">
        <v>4.7949999999999999</v>
      </c>
      <c r="E90" s="24">
        <f t="shared" si="4"/>
        <v>7</v>
      </c>
      <c r="F90" s="24">
        <f>VLOOKUP(E90,Q$5:R$11,2,FALSE)</f>
        <v>0.2</v>
      </c>
      <c r="G90" s="24">
        <f t="shared" si="5"/>
        <v>5</v>
      </c>
      <c r="H90" s="24">
        <f>IF(G90&gt;G89,H89+C90*F90,C90*F90)</f>
        <v>4.2982910056488182</v>
      </c>
      <c r="I90" s="24">
        <f t="shared" si="6"/>
        <v>1</v>
      </c>
      <c r="J90" s="24">
        <f t="shared" si="7"/>
        <v>4.2982910056488182</v>
      </c>
      <c r="K90" s="24">
        <f>IF(CurrentMtgRatesDataTable811[[#This Row],[WA CC]]&lt;&gt;0,D89-CurrentMtgRatesDataTable811[[#This Row],[WA CC]],0)</f>
        <v>0.49670899435118177</v>
      </c>
      <c r="L90" s="24">
        <f>IF(CurrentMtgRatesDataTable811[[#This Row],[Servicing Spread]]&lt;=0,L89,CurrentMtgRatesDataTable811[[#This Row],[Servicing Spread]])</f>
        <v>0.49670899435118177</v>
      </c>
      <c r="M90" s="24">
        <f>CurrentMtgRatesDataTable811[[#This Row],[SeriesNumValue]]+CurrentMtgRatesDataTable811[[#This Row],[Servicing Spread Non-Zero]]</f>
        <v>4.8548911071918122</v>
      </c>
      <c r="V90">
        <v>4.0999999999999996</v>
      </c>
      <c r="W90" s="3">
        <v>41774</v>
      </c>
    </row>
    <row r="91" spans="2:23" x14ac:dyDescent="0.2">
      <c r="B91" s="27" t="s">
        <v>772</v>
      </c>
      <c r="C91" s="28">
        <v>4.3534210844177004</v>
      </c>
      <c r="D91" s="26">
        <v>4.8100000000000005</v>
      </c>
      <c r="E91" s="24">
        <f t="shared" si="4"/>
        <v>1</v>
      </c>
      <c r="F91" s="24">
        <f>VLOOKUP(E91,Q$5:R$11,2,FALSE)</f>
        <v>0.2</v>
      </c>
      <c r="G91" s="24">
        <f t="shared" si="5"/>
        <v>1</v>
      </c>
      <c r="H91" s="24">
        <f>IF(G91&gt;G90,H90+C91*F91,C91*F91)</f>
        <v>0.87068421688354014</v>
      </c>
      <c r="I91" s="24">
        <f t="shared" si="6"/>
        <v>0.2</v>
      </c>
      <c r="J91" s="24">
        <f t="shared" si="7"/>
        <v>0</v>
      </c>
      <c r="K91" s="24">
        <f>IF(CurrentMtgRatesDataTable811[[#This Row],[WA CC]]&lt;&gt;0,D90-CurrentMtgRatesDataTable811[[#This Row],[WA CC]],0)</f>
        <v>0</v>
      </c>
      <c r="L91" s="24">
        <f>IF(CurrentMtgRatesDataTable811[[#This Row],[Servicing Spread]]&lt;=0,L90,CurrentMtgRatesDataTable811[[#This Row],[Servicing Spread]])</f>
        <v>0.49670899435118177</v>
      </c>
      <c r="M91" s="24">
        <f>CurrentMtgRatesDataTable811[[#This Row],[SeriesNumValue]]+CurrentMtgRatesDataTable811[[#This Row],[Servicing Spread Non-Zero]]</f>
        <v>4.8501300787688821</v>
      </c>
      <c r="V91">
        <v>4.1100000000000003</v>
      </c>
      <c r="W91" s="3">
        <v>41767</v>
      </c>
    </row>
    <row r="92" spans="2:23" x14ac:dyDescent="0.2">
      <c r="B92" s="27" t="s">
        <v>773</v>
      </c>
      <c r="C92" s="28">
        <v>4.3622076135317203</v>
      </c>
      <c r="D92" s="26">
        <v>4.8100000000000005</v>
      </c>
      <c r="E92" s="24">
        <f t="shared" si="4"/>
        <v>2</v>
      </c>
      <c r="F92" s="24">
        <f>VLOOKUP(E92,Q$5:R$11,2,FALSE)</f>
        <v>0.2</v>
      </c>
      <c r="G92" s="24">
        <f t="shared" si="5"/>
        <v>2</v>
      </c>
      <c r="H92" s="24">
        <f>IF(G92&gt;G91,H91+C92*F92,C92*F92)</f>
        <v>1.7431257395898843</v>
      </c>
      <c r="I92" s="24">
        <f t="shared" si="6"/>
        <v>0.4</v>
      </c>
      <c r="J92" s="24">
        <f t="shared" si="7"/>
        <v>0</v>
      </c>
      <c r="K92" s="24">
        <f>IF(CurrentMtgRatesDataTable811[[#This Row],[WA CC]]&lt;&gt;0,D91-CurrentMtgRatesDataTable811[[#This Row],[WA CC]],0)</f>
        <v>0</v>
      </c>
      <c r="L92" s="24">
        <f>IF(CurrentMtgRatesDataTable811[[#This Row],[Servicing Spread]]&lt;=0,L91,CurrentMtgRatesDataTable811[[#This Row],[Servicing Spread]])</f>
        <v>0.49670899435118177</v>
      </c>
      <c r="M92" s="24">
        <f>CurrentMtgRatesDataTable811[[#This Row],[SeriesNumValue]]+CurrentMtgRatesDataTable811[[#This Row],[Servicing Spread Non-Zero]]</f>
        <v>4.858916607882902</v>
      </c>
      <c r="V92">
        <v>4.2149999999999999</v>
      </c>
      <c r="W92" s="3">
        <v>41760</v>
      </c>
    </row>
    <row r="93" spans="2:23" x14ac:dyDescent="0.2">
      <c r="B93" s="27" t="s">
        <v>774</v>
      </c>
      <c r="C93" s="28">
        <v>4.3573317351240703</v>
      </c>
      <c r="D93" s="26">
        <v>4.8100000000000005</v>
      </c>
      <c r="E93" s="24">
        <f t="shared" si="4"/>
        <v>5</v>
      </c>
      <c r="F93" s="24">
        <f>VLOOKUP(E93,Q$5:R$11,2,FALSE)</f>
        <v>0.2</v>
      </c>
      <c r="G93" s="24">
        <f t="shared" si="5"/>
        <v>3</v>
      </c>
      <c r="H93" s="24">
        <f>IF(G93&gt;G92,H92+C93*F93,C93*F93)</f>
        <v>2.6145920866146986</v>
      </c>
      <c r="I93" s="24">
        <f t="shared" si="6"/>
        <v>0.60000000000000009</v>
      </c>
      <c r="J93" s="24">
        <f t="shared" si="7"/>
        <v>0</v>
      </c>
      <c r="K93" s="24">
        <f>IF(CurrentMtgRatesDataTable811[[#This Row],[WA CC]]&lt;&gt;0,D92-CurrentMtgRatesDataTable811[[#This Row],[WA CC]],0)</f>
        <v>0</v>
      </c>
      <c r="L93" s="24">
        <f>IF(CurrentMtgRatesDataTable811[[#This Row],[Servicing Spread]]&lt;=0,L92,CurrentMtgRatesDataTable811[[#This Row],[Servicing Spread]])</f>
        <v>0.49670899435118177</v>
      </c>
      <c r="M93" s="24">
        <f>CurrentMtgRatesDataTable811[[#This Row],[SeriesNumValue]]+CurrentMtgRatesDataTable811[[#This Row],[Servicing Spread Non-Zero]]</f>
        <v>4.8540407294752521</v>
      </c>
      <c r="V93">
        <v>4.2300000000000004</v>
      </c>
      <c r="W93" s="3">
        <v>41753</v>
      </c>
    </row>
    <row r="94" spans="2:23" x14ac:dyDescent="0.2">
      <c r="B94" s="27" t="s">
        <v>775</v>
      </c>
      <c r="C94" s="28">
        <v>4.30611620618477</v>
      </c>
      <c r="D94" s="26">
        <v>4.8100000000000005</v>
      </c>
      <c r="E94" s="24">
        <f t="shared" si="4"/>
        <v>6</v>
      </c>
      <c r="F94" s="24">
        <f>VLOOKUP(E94,Q$5:R$11,2,FALSE)</f>
        <v>0.2</v>
      </c>
      <c r="G94" s="24">
        <f t="shared" si="5"/>
        <v>4</v>
      </c>
      <c r="H94" s="24">
        <f>IF(G94&gt;G93,H93+C94*F94,C94*F94)</f>
        <v>3.4758153278516524</v>
      </c>
      <c r="I94" s="24">
        <f t="shared" si="6"/>
        <v>0.8</v>
      </c>
      <c r="J94" s="24">
        <f t="shared" si="7"/>
        <v>0</v>
      </c>
      <c r="K94" s="24">
        <f>IF(CurrentMtgRatesDataTable811[[#This Row],[WA CC]]&lt;&gt;0,D93-CurrentMtgRatesDataTable811[[#This Row],[WA CC]],0)</f>
        <v>0</v>
      </c>
      <c r="L94" s="24">
        <f>IF(CurrentMtgRatesDataTable811[[#This Row],[Servicing Spread]]&lt;=0,L93,CurrentMtgRatesDataTable811[[#This Row],[Servicing Spread]])</f>
        <v>0.49670899435118177</v>
      </c>
      <c r="M94" s="24">
        <f>CurrentMtgRatesDataTable811[[#This Row],[SeriesNumValue]]+CurrentMtgRatesDataTable811[[#This Row],[Servicing Spread Non-Zero]]</f>
        <v>4.8028252005359517</v>
      </c>
      <c r="V94">
        <v>4.1949999999999896</v>
      </c>
      <c r="W94" s="3">
        <v>41746</v>
      </c>
    </row>
    <row r="95" spans="2:23" x14ac:dyDescent="0.2">
      <c r="B95" s="27" t="s">
        <v>776</v>
      </c>
      <c r="C95" s="28">
        <v>4.2868662030008098</v>
      </c>
      <c r="D95" s="26">
        <v>4.8100000000000005</v>
      </c>
      <c r="E95" s="24">
        <f t="shared" si="4"/>
        <v>7</v>
      </c>
      <c r="F95" s="24">
        <f>VLOOKUP(E95,Q$5:R$11,2,FALSE)</f>
        <v>0.2</v>
      </c>
      <c r="G95" s="24">
        <f t="shared" si="5"/>
        <v>5</v>
      </c>
      <c r="H95" s="24">
        <f>IF(G95&gt;G94,H94+C95*F95,C95*F95)</f>
        <v>4.3331885684518143</v>
      </c>
      <c r="I95" s="24">
        <f t="shared" si="6"/>
        <v>1</v>
      </c>
      <c r="J95" s="24">
        <f t="shared" si="7"/>
        <v>4.3331885684518143</v>
      </c>
      <c r="K95" s="24">
        <f>IF(CurrentMtgRatesDataTable811[[#This Row],[WA CC]]&lt;&gt;0,D94-CurrentMtgRatesDataTable811[[#This Row],[WA CC]],0)</f>
        <v>0.47681143154818617</v>
      </c>
      <c r="L95" s="24">
        <f>IF(CurrentMtgRatesDataTable811[[#This Row],[Servicing Spread]]&lt;=0,L94,CurrentMtgRatesDataTable811[[#This Row],[Servicing Spread]])</f>
        <v>0.47681143154818617</v>
      </c>
      <c r="M95" s="24">
        <f>CurrentMtgRatesDataTable811[[#This Row],[SeriesNumValue]]+CurrentMtgRatesDataTable811[[#This Row],[Servicing Spread Non-Zero]]</f>
        <v>4.763677634548996</v>
      </c>
      <c r="V95">
        <v>4.2649999999999997</v>
      </c>
      <c r="W95" s="3">
        <v>41739</v>
      </c>
    </row>
    <row r="96" spans="2:23" x14ac:dyDescent="0.2">
      <c r="B96" s="27" t="s">
        <v>777</v>
      </c>
      <c r="C96" s="28">
        <v>4.2935055694790503</v>
      </c>
      <c r="D96" s="26">
        <v>4.7249999999999996</v>
      </c>
      <c r="E96" s="24">
        <f t="shared" si="4"/>
        <v>1</v>
      </c>
      <c r="F96" s="24">
        <f>VLOOKUP(E96,Q$5:R$11,2,FALSE)</f>
        <v>0.2</v>
      </c>
      <c r="G96" s="24">
        <f t="shared" si="5"/>
        <v>1</v>
      </c>
      <c r="H96" s="24">
        <f>IF(G96&gt;G95,H95+C96*F96,C96*F96)</f>
        <v>0.85870111389581005</v>
      </c>
      <c r="I96" s="24">
        <f t="shared" si="6"/>
        <v>0.2</v>
      </c>
      <c r="J96" s="24">
        <f t="shared" si="7"/>
        <v>0</v>
      </c>
      <c r="K96" s="24">
        <f>IF(CurrentMtgRatesDataTable811[[#This Row],[WA CC]]&lt;&gt;0,D95-CurrentMtgRatesDataTable811[[#This Row],[WA CC]],0)</f>
        <v>0</v>
      </c>
      <c r="L96" s="24">
        <f>IF(CurrentMtgRatesDataTable811[[#This Row],[Servicing Spread]]&lt;=0,L95,CurrentMtgRatesDataTable811[[#This Row],[Servicing Spread]])</f>
        <v>0.47681143154818617</v>
      </c>
      <c r="M96" s="24">
        <f>CurrentMtgRatesDataTable811[[#This Row],[SeriesNumValue]]+CurrentMtgRatesDataTable811[[#This Row],[Servicing Spread Non-Zero]]</f>
        <v>4.7703170010272364</v>
      </c>
      <c r="V96">
        <v>4.335</v>
      </c>
      <c r="W96" s="3">
        <v>41732</v>
      </c>
    </row>
    <row r="97" spans="2:23" x14ac:dyDescent="0.2">
      <c r="B97" s="27" t="s">
        <v>778</v>
      </c>
      <c r="C97" s="28">
        <v>4.2253488908248604</v>
      </c>
      <c r="D97" s="26">
        <v>4.7249999999999996</v>
      </c>
      <c r="E97" s="24">
        <f t="shared" si="4"/>
        <v>2</v>
      </c>
      <c r="F97" s="24">
        <f>VLOOKUP(E97,Q$5:R$11,2,FALSE)</f>
        <v>0.2</v>
      </c>
      <c r="G97" s="24">
        <f t="shared" si="5"/>
        <v>2</v>
      </c>
      <c r="H97" s="24">
        <f>IF(G97&gt;G96,H96+C97*F97,C97*F97)</f>
        <v>1.7037708920607821</v>
      </c>
      <c r="I97" s="24">
        <f t="shared" si="6"/>
        <v>0.4</v>
      </c>
      <c r="J97" s="24">
        <f t="shared" si="7"/>
        <v>0</v>
      </c>
      <c r="K97" s="24">
        <f>IF(CurrentMtgRatesDataTable811[[#This Row],[WA CC]]&lt;&gt;0,D96-CurrentMtgRatesDataTable811[[#This Row],[WA CC]],0)</f>
        <v>0</v>
      </c>
      <c r="L97" s="24">
        <f>IF(CurrentMtgRatesDataTable811[[#This Row],[Servicing Spread]]&lt;=0,L96,CurrentMtgRatesDataTable811[[#This Row],[Servicing Spread]])</f>
        <v>0.47681143154818617</v>
      </c>
      <c r="M97" s="24">
        <f>CurrentMtgRatesDataTable811[[#This Row],[SeriesNumValue]]+CurrentMtgRatesDataTable811[[#This Row],[Servicing Spread Non-Zero]]</f>
        <v>4.7021603223730466</v>
      </c>
      <c r="V97">
        <v>4.3</v>
      </c>
      <c r="W97" s="3">
        <v>41725</v>
      </c>
    </row>
    <row r="98" spans="2:23" x14ac:dyDescent="0.2">
      <c r="B98" s="27" t="s">
        <v>779</v>
      </c>
      <c r="C98" s="28">
        <v>4.1920950828505896</v>
      </c>
      <c r="D98" s="26">
        <v>4.7249999999999996</v>
      </c>
      <c r="E98" s="24">
        <f t="shared" si="4"/>
        <v>5</v>
      </c>
      <c r="F98" s="24">
        <f>VLOOKUP(E98,Q$5:R$11,2,FALSE)</f>
        <v>0.2</v>
      </c>
      <c r="G98" s="24">
        <f t="shared" si="5"/>
        <v>3</v>
      </c>
      <c r="H98" s="24">
        <f>IF(G98&gt;G97,H97+C98*F98,C98*F98)</f>
        <v>2.5421899086308999</v>
      </c>
      <c r="I98" s="24">
        <f t="shared" si="6"/>
        <v>0.60000000000000009</v>
      </c>
      <c r="J98" s="24">
        <f t="shared" si="7"/>
        <v>0</v>
      </c>
      <c r="K98" s="24">
        <f>IF(CurrentMtgRatesDataTable811[[#This Row],[WA CC]]&lt;&gt;0,D97-CurrentMtgRatesDataTable811[[#This Row],[WA CC]],0)</f>
        <v>0</v>
      </c>
      <c r="L98" s="24">
        <f>IF(CurrentMtgRatesDataTable811[[#This Row],[Servicing Spread]]&lt;=0,L97,CurrentMtgRatesDataTable811[[#This Row],[Servicing Spread]])</f>
        <v>0.47681143154818617</v>
      </c>
      <c r="M98" s="24">
        <f>CurrentMtgRatesDataTable811[[#This Row],[SeriesNumValue]]+CurrentMtgRatesDataTable811[[#This Row],[Servicing Spread Non-Zero]]</f>
        <v>4.6689065143987758</v>
      </c>
      <c r="V98">
        <v>4.22</v>
      </c>
      <c r="W98" s="3">
        <v>41718</v>
      </c>
    </row>
    <row r="99" spans="2:23" x14ac:dyDescent="0.2">
      <c r="B99" s="27" t="s">
        <v>780</v>
      </c>
      <c r="C99" s="28">
        <v>4.1805597151959502</v>
      </c>
      <c r="D99" s="26">
        <v>4.7249999999999996</v>
      </c>
      <c r="E99" s="24">
        <f t="shared" si="4"/>
        <v>6</v>
      </c>
      <c r="F99" s="24">
        <f>VLOOKUP(E99,Q$5:R$11,2,FALSE)</f>
        <v>0.2</v>
      </c>
      <c r="G99" s="24">
        <f t="shared" si="5"/>
        <v>4</v>
      </c>
      <c r="H99" s="24">
        <f>IF(G99&gt;G98,H98+C99*F99,C99*F99)</f>
        <v>3.37830185167009</v>
      </c>
      <c r="I99" s="24">
        <f t="shared" si="6"/>
        <v>0.8</v>
      </c>
      <c r="J99" s="24">
        <f t="shared" si="7"/>
        <v>0</v>
      </c>
      <c r="K99" s="24">
        <f>IF(CurrentMtgRatesDataTable811[[#This Row],[WA CC]]&lt;&gt;0,D98-CurrentMtgRatesDataTable811[[#This Row],[WA CC]],0)</f>
        <v>0</v>
      </c>
      <c r="L99" s="24">
        <f>IF(CurrentMtgRatesDataTable811[[#This Row],[Servicing Spread]]&lt;=0,L98,CurrentMtgRatesDataTable811[[#This Row],[Servicing Spread]])</f>
        <v>0.47681143154818617</v>
      </c>
      <c r="M99" s="24">
        <f>CurrentMtgRatesDataTable811[[#This Row],[SeriesNumValue]]+CurrentMtgRatesDataTable811[[#This Row],[Servicing Spread Non-Zero]]</f>
        <v>4.6573711467441363</v>
      </c>
      <c r="V99">
        <v>4.2699999999999996</v>
      </c>
      <c r="W99" s="3">
        <v>41711</v>
      </c>
    </row>
    <row r="100" spans="2:23" x14ac:dyDescent="0.2">
      <c r="B100" s="27" t="s">
        <v>781</v>
      </c>
      <c r="C100" s="28">
        <v>4.2102300154498904</v>
      </c>
      <c r="D100" s="26">
        <v>4.7249999999999996</v>
      </c>
      <c r="E100" s="24">
        <f t="shared" si="4"/>
        <v>7</v>
      </c>
      <c r="F100" s="24">
        <f>VLOOKUP(E100,Q$5:R$11,2,FALSE)</f>
        <v>0.2</v>
      </c>
      <c r="G100" s="24">
        <f t="shared" si="5"/>
        <v>5</v>
      </c>
      <c r="H100" s="24">
        <f>IF(G100&gt;G99,H99+C100*F100,C100*F100)</f>
        <v>4.2203478547600684</v>
      </c>
      <c r="I100" s="24">
        <f t="shared" si="6"/>
        <v>1</v>
      </c>
      <c r="J100" s="24">
        <f t="shared" si="7"/>
        <v>4.2203478547600684</v>
      </c>
      <c r="K100" s="24">
        <f>IF(CurrentMtgRatesDataTable811[[#This Row],[WA CC]]&lt;&gt;0,D99-CurrentMtgRatesDataTable811[[#This Row],[WA CC]],0)</f>
        <v>0.50465214523993129</v>
      </c>
      <c r="L100" s="24">
        <f>IF(CurrentMtgRatesDataTable811[[#This Row],[Servicing Spread]]&lt;=0,L99,CurrentMtgRatesDataTable811[[#This Row],[Servicing Spread]])</f>
        <v>0.50465214523993129</v>
      </c>
      <c r="M100" s="24">
        <f>CurrentMtgRatesDataTable811[[#This Row],[SeriesNumValue]]+CurrentMtgRatesDataTable811[[#This Row],[Servicing Spread Non-Zero]]</f>
        <v>4.7148821606898217</v>
      </c>
      <c r="V100">
        <v>4.2050000000000001</v>
      </c>
      <c r="W100" s="3">
        <v>41704</v>
      </c>
    </row>
    <row r="101" spans="2:23" x14ac:dyDescent="0.2">
      <c r="B101" s="27" t="s">
        <v>782</v>
      </c>
      <c r="C101" s="28">
        <v>4.2118801952184501</v>
      </c>
      <c r="D101" s="26">
        <v>4.7050000000000001</v>
      </c>
      <c r="E101" s="24">
        <f t="shared" si="4"/>
        <v>1</v>
      </c>
      <c r="F101" s="24">
        <f>VLOOKUP(E101,Q$5:R$11,2,FALSE)</f>
        <v>0.2</v>
      </c>
      <c r="G101" s="24">
        <f t="shared" si="5"/>
        <v>1</v>
      </c>
      <c r="H101" s="24">
        <f>IF(G101&gt;G100,H100+C101*F101,C101*F101)</f>
        <v>0.84237603904369007</v>
      </c>
      <c r="I101" s="24">
        <f t="shared" si="6"/>
        <v>0.2</v>
      </c>
      <c r="J101" s="24">
        <f t="shared" si="7"/>
        <v>0</v>
      </c>
      <c r="K101" s="24">
        <f>IF(CurrentMtgRatesDataTable811[[#This Row],[WA CC]]&lt;&gt;0,D100-CurrentMtgRatesDataTable811[[#This Row],[WA CC]],0)</f>
        <v>0</v>
      </c>
      <c r="L101" s="24">
        <f>IF(CurrentMtgRatesDataTable811[[#This Row],[Servicing Spread]]&lt;=0,L100,CurrentMtgRatesDataTable811[[#This Row],[Servicing Spread]])</f>
        <v>0.50465214523993129</v>
      </c>
      <c r="M101" s="24">
        <f>CurrentMtgRatesDataTable811[[#This Row],[SeriesNumValue]]+CurrentMtgRatesDataTable811[[#This Row],[Servicing Spread Non-Zero]]</f>
        <v>4.7165323404583814</v>
      </c>
      <c r="V101">
        <v>4.2949999999999999</v>
      </c>
      <c r="W101" s="3">
        <v>41697</v>
      </c>
    </row>
    <row r="102" spans="2:23" x14ac:dyDescent="0.2">
      <c r="B102" s="27" t="s">
        <v>783</v>
      </c>
      <c r="C102" s="28">
        <v>4.1798117346260302</v>
      </c>
      <c r="D102" s="26">
        <v>4.7050000000000001</v>
      </c>
      <c r="E102" s="24">
        <f t="shared" si="4"/>
        <v>5</v>
      </c>
      <c r="F102" s="24">
        <f>VLOOKUP(E102,Q$5:R$11,2,FALSE)</f>
        <v>0.2</v>
      </c>
      <c r="G102" s="24">
        <f t="shared" si="5"/>
        <v>2</v>
      </c>
      <c r="H102" s="24">
        <f>IF(G102&gt;G101,H101+C102*F102,C102*F102)</f>
        <v>1.6783383859688961</v>
      </c>
      <c r="I102" s="24">
        <f t="shared" si="6"/>
        <v>0.4</v>
      </c>
      <c r="J102" s="24">
        <f t="shared" si="7"/>
        <v>0</v>
      </c>
      <c r="K102" s="24">
        <f>IF(CurrentMtgRatesDataTable811[[#This Row],[WA CC]]&lt;&gt;0,D101-CurrentMtgRatesDataTable811[[#This Row],[WA CC]],0)</f>
        <v>0</v>
      </c>
      <c r="L102" s="24">
        <f>IF(CurrentMtgRatesDataTable811[[#This Row],[Servicing Spread]]&lt;=0,L101,CurrentMtgRatesDataTable811[[#This Row],[Servicing Spread]])</f>
        <v>0.50465214523993129</v>
      </c>
      <c r="M102" s="24">
        <f>CurrentMtgRatesDataTable811[[#This Row],[SeriesNumValue]]+CurrentMtgRatesDataTable811[[#This Row],[Servicing Spread Non-Zero]]</f>
        <v>4.6844638798659615</v>
      </c>
      <c r="V102">
        <v>4.2549999999999999</v>
      </c>
      <c r="W102" s="3">
        <v>41690</v>
      </c>
    </row>
    <row r="103" spans="2:23" x14ac:dyDescent="0.2">
      <c r="B103" s="27" t="s">
        <v>784</v>
      </c>
      <c r="C103" s="28">
        <v>4.1488060132239797</v>
      </c>
      <c r="D103" s="26">
        <v>4.7050000000000001</v>
      </c>
      <c r="E103" s="24">
        <f t="shared" si="4"/>
        <v>6</v>
      </c>
      <c r="F103" s="24">
        <f>VLOOKUP(E103,Q$5:R$11,2,FALSE)</f>
        <v>0.2</v>
      </c>
      <c r="G103" s="24">
        <f t="shared" si="5"/>
        <v>3</v>
      </c>
      <c r="H103" s="24">
        <f>IF(G103&gt;G102,H102+C103*F103,C103*F103)</f>
        <v>2.5080995886136921</v>
      </c>
      <c r="I103" s="24">
        <f t="shared" si="6"/>
        <v>0.60000000000000009</v>
      </c>
      <c r="J103" s="24">
        <f t="shared" si="7"/>
        <v>0</v>
      </c>
      <c r="K103" s="24">
        <f>IF(CurrentMtgRatesDataTable811[[#This Row],[WA CC]]&lt;&gt;0,D102-CurrentMtgRatesDataTable811[[#This Row],[WA CC]],0)</f>
        <v>0</v>
      </c>
      <c r="L103" s="24">
        <f>IF(CurrentMtgRatesDataTable811[[#This Row],[Servicing Spread]]&lt;=0,L102,CurrentMtgRatesDataTable811[[#This Row],[Servicing Spread]])</f>
        <v>0.50465214523993129</v>
      </c>
      <c r="M103" s="24">
        <f>CurrentMtgRatesDataTable811[[#This Row],[SeriesNumValue]]+CurrentMtgRatesDataTable811[[#This Row],[Servicing Spread Non-Zero]]</f>
        <v>4.653458158463911</v>
      </c>
      <c r="V103">
        <v>4.2050000000000001</v>
      </c>
      <c r="W103" s="3">
        <v>41683</v>
      </c>
    </row>
    <row r="104" spans="2:23" x14ac:dyDescent="0.2">
      <c r="B104" s="27" t="s">
        <v>785</v>
      </c>
      <c r="C104" s="28">
        <v>4.1737753595226996</v>
      </c>
      <c r="D104" s="26">
        <v>4.7050000000000001</v>
      </c>
      <c r="E104" s="24">
        <f t="shared" si="4"/>
        <v>7</v>
      </c>
      <c r="F104" s="24">
        <f>VLOOKUP(E104,Q$5:R$11,2,FALSE)</f>
        <v>0.2</v>
      </c>
      <c r="G104" s="24">
        <f t="shared" si="5"/>
        <v>4</v>
      </c>
      <c r="H104" s="24">
        <f>IF(G104&gt;G103,H103+C104*F104,C104*F104)</f>
        <v>3.3428546605182321</v>
      </c>
      <c r="I104" s="24">
        <f t="shared" si="6"/>
        <v>0.8</v>
      </c>
      <c r="J104" s="24">
        <f t="shared" si="7"/>
        <v>4.1785683256477899</v>
      </c>
      <c r="K104" s="24">
        <f>IF(CurrentMtgRatesDataTable811[[#This Row],[WA CC]]&lt;&gt;0,D103-CurrentMtgRatesDataTable811[[#This Row],[WA CC]],0)</f>
        <v>0.52643167435221017</v>
      </c>
      <c r="L104" s="24">
        <f>IF(CurrentMtgRatesDataTable811[[#This Row],[Servicing Spread]]&lt;=0,L103,CurrentMtgRatesDataTable811[[#This Row],[Servicing Spread]])</f>
        <v>0.52643167435221017</v>
      </c>
      <c r="M104" s="24">
        <f>CurrentMtgRatesDataTable811[[#This Row],[SeriesNumValue]]+CurrentMtgRatesDataTable811[[#This Row],[Servicing Spread Non-Zero]]</f>
        <v>4.7002070338749098</v>
      </c>
      <c r="V104">
        <v>4.1550000000000002</v>
      </c>
      <c r="W104" s="3">
        <v>41676</v>
      </c>
    </row>
    <row r="105" spans="2:23" x14ac:dyDescent="0.2">
      <c r="B105" s="27" t="s">
        <v>786</v>
      </c>
      <c r="C105" s="28">
        <v>4.1085299627435603</v>
      </c>
      <c r="D105" s="26">
        <v>4.6349999999999998</v>
      </c>
      <c r="E105" s="24">
        <f t="shared" si="4"/>
        <v>1</v>
      </c>
      <c r="F105" s="24">
        <f>VLOOKUP(E105,Q$5:R$11,2,FALSE)</f>
        <v>0.2</v>
      </c>
      <c r="G105" s="24">
        <f t="shared" si="5"/>
        <v>1</v>
      </c>
      <c r="H105" s="24">
        <f>IF(G105&gt;G104,H104+C105*F105,C105*F105)</f>
        <v>0.82170599254871213</v>
      </c>
      <c r="I105" s="24">
        <f t="shared" si="6"/>
        <v>0.2</v>
      </c>
      <c r="J105" s="24">
        <f t="shared" si="7"/>
        <v>0</v>
      </c>
      <c r="K105" s="24">
        <f>IF(CurrentMtgRatesDataTable811[[#This Row],[WA CC]]&lt;&gt;0,D104-CurrentMtgRatesDataTable811[[#This Row],[WA CC]],0)</f>
        <v>0</v>
      </c>
      <c r="L105" s="24">
        <f>IF(CurrentMtgRatesDataTable811[[#This Row],[Servicing Spread]]&lt;=0,L104,CurrentMtgRatesDataTable811[[#This Row],[Servicing Spread]])</f>
        <v>0.52643167435221017</v>
      </c>
      <c r="M105" s="24">
        <f>CurrentMtgRatesDataTable811[[#This Row],[SeriesNumValue]]+CurrentMtgRatesDataTable811[[#This Row],[Servicing Spread Non-Zero]]</f>
        <v>4.6349616370957705</v>
      </c>
      <c r="V105">
        <v>4.2450000000000001</v>
      </c>
      <c r="W105" s="3">
        <v>41669</v>
      </c>
    </row>
    <row r="106" spans="2:23" x14ac:dyDescent="0.2">
      <c r="B106" s="27" t="s">
        <v>787</v>
      </c>
      <c r="C106" s="28">
        <v>4.0911415079480502</v>
      </c>
      <c r="D106" s="26">
        <v>4.6349999999999998</v>
      </c>
      <c r="E106" s="24">
        <f t="shared" si="4"/>
        <v>2</v>
      </c>
      <c r="F106" s="24">
        <f>VLOOKUP(E106,Q$5:R$11,2,FALSE)</f>
        <v>0.2</v>
      </c>
      <c r="G106" s="24">
        <f t="shared" si="5"/>
        <v>2</v>
      </c>
      <c r="H106" s="24">
        <f>IF(G106&gt;G105,H105+C106*F106,C106*F106)</f>
        <v>1.6399342941383224</v>
      </c>
      <c r="I106" s="24">
        <f t="shared" si="6"/>
        <v>0.4</v>
      </c>
      <c r="J106" s="24">
        <f t="shared" si="7"/>
        <v>0</v>
      </c>
      <c r="K106" s="24">
        <f>IF(CurrentMtgRatesDataTable811[[#This Row],[WA CC]]&lt;&gt;0,D105-CurrentMtgRatesDataTable811[[#This Row],[WA CC]],0)</f>
        <v>0</v>
      </c>
      <c r="L106" s="24">
        <f>IF(CurrentMtgRatesDataTable811[[#This Row],[Servicing Spread]]&lt;=0,L105,CurrentMtgRatesDataTable811[[#This Row],[Servicing Spread]])</f>
        <v>0.52643167435221017</v>
      </c>
      <c r="M106" s="24">
        <f>CurrentMtgRatesDataTable811[[#This Row],[SeriesNumValue]]+CurrentMtgRatesDataTable811[[#This Row],[Servicing Spread Non-Zero]]</f>
        <v>4.6175731823002604</v>
      </c>
      <c r="V106">
        <v>4.3150000000000004</v>
      </c>
      <c r="W106" s="3">
        <v>41662</v>
      </c>
    </row>
    <row r="107" spans="2:23" x14ac:dyDescent="0.2">
      <c r="B107" s="27" t="s">
        <v>788</v>
      </c>
      <c r="C107" s="28">
        <v>4.1017392555975398</v>
      </c>
      <c r="D107" s="26">
        <v>4.6349999999999998</v>
      </c>
      <c r="E107" s="24">
        <f t="shared" si="4"/>
        <v>5</v>
      </c>
      <c r="F107" s="24">
        <f>VLOOKUP(E107,Q$5:R$11,2,FALSE)</f>
        <v>0.2</v>
      </c>
      <c r="G107" s="24">
        <f t="shared" si="5"/>
        <v>3</v>
      </c>
      <c r="H107" s="24">
        <f>IF(G107&gt;G106,H106+C107*F107,C107*F107)</f>
        <v>2.4602821452578305</v>
      </c>
      <c r="I107" s="24">
        <f t="shared" si="6"/>
        <v>0.60000000000000009</v>
      </c>
      <c r="J107" s="24">
        <f t="shared" si="7"/>
        <v>0</v>
      </c>
      <c r="K107" s="24">
        <f>IF(CurrentMtgRatesDataTable811[[#This Row],[WA CC]]&lt;&gt;0,D106-CurrentMtgRatesDataTable811[[#This Row],[WA CC]],0)</f>
        <v>0</v>
      </c>
      <c r="L107" s="24">
        <f>IF(CurrentMtgRatesDataTable811[[#This Row],[Servicing Spread]]&lt;=0,L106,CurrentMtgRatesDataTable811[[#This Row],[Servicing Spread]])</f>
        <v>0.52643167435221017</v>
      </c>
      <c r="M107" s="24">
        <f>CurrentMtgRatesDataTable811[[#This Row],[SeriesNumValue]]+CurrentMtgRatesDataTable811[[#This Row],[Servicing Spread Non-Zero]]</f>
        <v>4.62817092994975</v>
      </c>
      <c r="V107">
        <v>4.335</v>
      </c>
      <c r="W107" s="3">
        <v>41655</v>
      </c>
    </row>
    <row r="108" spans="2:23" x14ac:dyDescent="0.2">
      <c r="B108" s="27" t="s">
        <v>789</v>
      </c>
      <c r="C108" s="28">
        <v>4.0711736764918296</v>
      </c>
      <c r="D108" s="26">
        <v>4.6349999999999998</v>
      </c>
      <c r="E108" s="24">
        <f t="shared" si="4"/>
        <v>6</v>
      </c>
      <c r="F108" s="24">
        <f>VLOOKUP(E108,Q$5:R$11,2,FALSE)</f>
        <v>0.2</v>
      </c>
      <c r="G108" s="24">
        <f t="shared" si="5"/>
        <v>4</v>
      </c>
      <c r="H108" s="24">
        <f>IF(G108&gt;G107,H107+C108*F108,C108*F108)</f>
        <v>3.2745168805561966</v>
      </c>
      <c r="I108" s="24">
        <f t="shared" si="6"/>
        <v>0.8</v>
      </c>
      <c r="J108" s="24">
        <f t="shared" si="7"/>
        <v>0</v>
      </c>
      <c r="K108" s="24">
        <f>IF(CurrentMtgRatesDataTable811[[#This Row],[WA CC]]&lt;&gt;0,D107-CurrentMtgRatesDataTable811[[#This Row],[WA CC]],0)</f>
        <v>0</v>
      </c>
      <c r="L108" s="24">
        <f>IF(CurrentMtgRatesDataTable811[[#This Row],[Servicing Spread]]&lt;=0,L107,CurrentMtgRatesDataTable811[[#This Row],[Servicing Spread]])</f>
        <v>0.52643167435221017</v>
      </c>
      <c r="M108" s="24">
        <f>CurrentMtgRatesDataTable811[[#This Row],[SeriesNumValue]]+CurrentMtgRatesDataTable811[[#This Row],[Servicing Spread Non-Zero]]</f>
        <v>4.5976053508440398</v>
      </c>
      <c r="V108">
        <v>4.4349999999999996</v>
      </c>
      <c r="W108" s="3">
        <v>41648</v>
      </c>
    </row>
    <row r="109" spans="2:23" x14ac:dyDescent="0.2">
      <c r="B109" s="27" t="s">
        <v>790</v>
      </c>
      <c r="C109" s="28">
        <v>4.0402883420391804</v>
      </c>
      <c r="D109" s="26">
        <v>4.6349999999999998</v>
      </c>
      <c r="E109" s="24">
        <f t="shared" si="4"/>
        <v>7</v>
      </c>
      <c r="F109" s="24">
        <f>VLOOKUP(E109,Q$5:R$11,2,FALSE)</f>
        <v>0.2</v>
      </c>
      <c r="G109" s="24">
        <f t="shared" si="5"/>
        <v>5</v>
      </c>
      <c r="H109" s="24">
        <f>IF(G109&gt;G108,H108+C109*F109,C109*F109)</f>
        <v>4.0825745489640326</v>
      </c>
      <c r="I109" s="24">
        <f t="shared" si="6"/>
        <v>1</v>
      </c>
      <c r="J109" s="24">
        <f t="shared" si="7"/>
        <v>4.0825745489640326</v>
      </c>
      <c r="K109" s="24">
        <f>IF(CurrentMtgRatesDataTable811[[#This Row],[WA CC]]&lt;&gt;0,D108-CurrentMtgRatesDataTable811[[#This Row],[WA CC]],0)</f>
        <v>0.55242545103596719</v>
      </c>
      <c r="L109" s="24">
        <f>IF(CurrentMtgRatesDataTable811[[#This Row],[Servicing Spread]]&lt;=0,L108,CurrentMtgRatesDataTable811[[#This Row],[Servicing Spread]])</f>
        <v>0.55242545103596719</v>
      </c>
      <c r="M109" s="24">
        <f>CurrentMtgRatesDataTable811[[#This Row],[SeriesNumValue]]+CurrentMtgRatesDataTable811[[#This Row],[Servicing Spread Non-Zero]]</f>
        <v>4.5927137930751476</v>
      </c>
      <c r="V109">
        <v>4.4800000000000004</v>
      </c>
      <c r="W109" s="3">
        <v>41641</v>
      </c>
    </row>
    <row r="110" spans="2:23" x14ac:dyDescent="0.2">
      <c r="B110" s="27" t="s">
        <v>791</v>
      </c>
      <c r="C110" s="28">
        <v>3.9897426848348498</v>
      </c>
      <c r="D110" s="26">
        <v>4.5549999999999997</v>
      </c>
      <c r="E110" s="24">
        <f t="shared" si="4"/>
        <v>1</v>
      </c>
      <c r="F110" s="24">
        <f>VLOOKUP(E110,Q$5:R$11,2,FALSE)</f>
        <v>0.2</v>
      </c>
      <c r="G110" s="24">
        <f t="shared" si="5"/>
        <v>1</v>
      </c>
      <c r="H110" s="24">
        <f>IF(G110&gt;G109,H109+C110*F110,C110*F110)</f>
        <v>0.79794853696696999</v>
      </c>
      <c r="I110" s="24">
        <f t="shared" si="6"/>
        <v>0.2</v>
      </c>
      <c r="J110" s="24">
        <f t="shared" si="7"/>
        <v>0</v>
      </c>
      <c r="K110" s="24">
        <f>IF(CurrentMtgRatesDataTable811[[#This Row],[WA CC]]&lt;&gt;0,D109-CurrentMtgRatesDataTable811[[#This Row],[WA CC]],0)</f>
        <v>0</v>
      </c>
      <c r="L110" s="24">
        <f>IF(CurrentMtgRatesDataTable811[[#This Row],[Servicing Spread]]&lt;=0,L109,CurrentMtgRatesDataTable811[[#This Row],[Servicing Spread]])</f>
        <v>0.55242545103596719</v>
      </c>
      <c r="M110" s="24">
        <f>CurrentMtgRatesDataTable811[[#This Row],[SeriesNumValue]]+CurrentMtgRatesDataTable811[[#This Row],[Servicing Spread Non-Zero]]</f>
        <v>4.542168135870817</v>
      </c>
      <c r="V110">
        <v>4.4050000000000002</v>
      </c>
      <c r="W110" s="3">
        <v>41634</v>
      </c>
    </row>
    <row r="111" spans="2:23" x14ac:dyDescent="0.2">
      <c r="B111" s="27" t="s">
        <v>792</v>
      </c>
      <c r="C111" s="28">
        <v>3.9810369231878999</v>
      </c>
      <c r="D111" s="26">
        <v>4.5549999999999997</v>
      </c>
      <c r="E111" s="24">
        <f t="shared" si="4"/>
        <v>2</v>
      </c>
      <c r="F111" s="24">
        <f>VLOOKUP(E111,Q$5:R$11,2,FALSE)</f>
        <v>0.2</v>
      </c>
      <c r="G111" s="24">
        <f t="shared" si="5"/>
        <v>2</v>
      </c>
      <c r="H111" s="24">
        <f>IF(G111&gt;G110,H110+C111*F111,C111*F111)</f>
        <v>1.59415592160455</v>
      </c>
      <c r="I111" s="24">
        <f t="shared" si="6"/>
        <v>0.4</v>
      </c>
      <c r="J111" s="24">
        <f t="shared" si="7"/>
        <v>0</v>
      </c>
      <c r="K111" s="24">
        <f>IF(CurrentMtgRatesDataTable811[[#This Row],[WA CC]]&lt;&gt;0,D110-CurrentMtgRatesDataTable811[[#This Row],[WA CC]],0)</f>
        <v>0</v>
      </c>
      <c r="L111" s="24">
        <f>IF(CurrentMtgRatesDataTable811[[#This Row],[Servicing Spread]]&lt;=0,L110,CurrentMtgRatesDataTable811[[#This Row],[Servicing Spread]])</f>
        <v>0.55242545103596719</v>
      </c>
      <c r="M111" s="24">
        <f>CurrentMtgRatesDataTable811[[#This Row],[SeriesNumValue]]+CurrentMtgRatesDataTable811[[#This Row],[Servicing Spread Non-Zero]]</f>
        <v>4.5334623742238671</v>
      </c>
      <c r="V111">
        <v>4.3949999999999996</v>
      </c>
      <c r="W111" s="3">
        <v>41627</v>
      </c>
    </row>
    <row r="112" spans="2:23" x14ac:dyDescent="0.2">
      <c r="B112" s="27" t="s">
        <v>793</v>
      </c>
      <c r="C112" s="28">
        <v>3.9671840173196098</v>
      </c>
      <c r="D112" s="26">
        <v>4.5549999999999997</v>
      </c>
      <c r="E112" s="24">
        <f t="shared" si="4"/>
        <v>5</v>
      </c>
      <c r="F112" s="24">
        <f>VLOOKUP(E112,Q$5:R$11,2,FALSE)</f>
        <v>0.2</v>
      </c>
      <c r="G112" s="24">
        <f t="shared" si="5"/>
        <v>3</v>
      </c>
      <c r="H112" s="24">
        <f>IF(G112&gt;G111,H111+C112*F112,C112*F112)</f>
        <v>2.3875927250684721</v>
      </c>
      <c r="I112" s="24">
        <f t="shared" si="6"/>
        <v>0.60000000000000009</v>
      </c>
      <c r="J112" s="24">
        <f t="shared" si="7"/>
        <v>0</v>
      </c>
      <c r="K112" s="24">
        <f>IF(CurrentMtgRatesDataTable811[[#This Row],[WA CC]]&lt;&gt;0,D111-CurrentMtgRatesDataTable811[[#This Row],[WA CC]],0)</f>
        <v>0</v>
      </c>
      <c r="L112" s="24">
        <f>IF(CurrentMtgRatesDataTable811[[#This Row],[Servicing Spread]]&lt;=0,L111,CurrentMtgRatesDataTable811[[#This Row],[Servicing Spread]])</f>
        <v>0.55242545103596719</v>
      </c>
      <c r="M112" s="24">
        <f>CurrentMtgRatesDataTable811[[#This Row],[SeriesNumValue]]+CurrentMtgRatesDataTable811[[#This Row],[Servicing Spread Non-Zero]]</f>
        <v>4.5196094683555774</v>
      </c>
      <c r="V112">
        <v>4.3449999999999998</v>
      </c>
      <c r="W112" s="3">
        <v>41620</v>
      </c>
    </row>
    <row r="113" spans="2:23" x14ac:dyDescent="0.2">
      <c r="B113" s="27" t="s">
        <v>794</v>
      </c>
      <c r="C113" s="28">
        <v>4.01017409767306</v>
      </c>
      <c r="D113" s="26">
        <v>4.5549999999999997</v>
      </c>
      <c r="E113" s="24">
        <f t="shared" si="4"/>
        <v>6</v>
      </c>
      <c r="F113" s="24">
        <f>VLOOKUP(E113,Q$5:R$11,2,FALSE)</f>
        <v>0.2</v>
      </c>
      <c r="G113" s="24">
        <f t="shared" si="5"/>
        <v>4</v>
      </c>
      <c r="H113" s="24">
        <f>IF(G113&gt;G112,H112+C113*F113,C113*F113)</f>
        <v>3.1896275446030842</v>
      </c>
      <c r="I113" s="24">
        <f t="shared" si="6"/>
        <v>0.8</v>
      </c>
      <c r="J113" s="24">
        <f t="shared" si="7"/>
        <v>0</v>
      </c>
      <c r="K113" s="24">
        <f>IF(CurrentMtgRatesDataTable811[[#This Row],[WA CC]]&lt;&gt;0,D112-CurrentMtgRatesDataTable811[[#This Row],[WA CC]],0)</f>
        <v>0</v>
      </c>
      <c r="L113" s="24">
        <f>IF(CurrentMtgRatesDataTable811[[#This Row],[Servicing Spread]]&lt;=0,L112,CurrentMtgRatesDataTable811[[#This Row],[Servicing Spread]])</f>
        <v>0.55242545103596719</v>
      </c>
      <c r="M113" s="24">
        <f>CurrentMtgRatesDataTable811[[#This Row],[SeriesNumValue]]+CurrentMtgRatesDataTable811[[#This Row],[Servicing Spread Non-Zero]]</f>
        <v>4.5625995487090272</v>
      </c>
      <c r="V113">
        <v>4.335</v>
      </c>
      <c r="W113" s="3">
        <v>41613</v>
      </c>
    </row>
    <row r="114" spans="2:23" x14ac:dyDescent="0.2">
      <c r="B114" s="27" t="s">
        <v>795</v>
      </c>
      <c r="C114" s="28">
        <v>3.98265251730554</v>
      </c>
      <c r="D114" s="26">
        <v>4.5549999999999997</v>
      </c>
      <c r="E114" s="24">
        <f t="shared" si="4"/>
        <v>7</v>
      </c>
      <c r="F114" s="24">
        <f>VLOOKUP(E114,Q$5:R$11,2,FALSE)</f>
        <v>0.2</v>
      </c>
      <c r="G114" s="24">
        <f t="shared" si="5"/>
        <v>5</v>
      </c>
      <c r="H114" s="24">
        <f>IF(G114&gt;G113,H113+C114*F114,C114*F114)</f>
        <v>3.9861580480641923</v>
      </c>
      <c r="I114" s="24">
        <f t="shared" si="6"/>
        <v>1</v>
      </c>
      <c r="J114" s="24">
        <f t="shared" si="7"/>
        <v>3.9861580480641923</v>
      </c>
      <c r="K114" s="24">
        <f>IF(CurrentMtgRatesDataTable811[[#This Row],[WA CC]]&lt;&gt;0,D113-CurrentMtgRatesDataTable811[[#This Row],[WA CC]],0)</f>
        <v>0.56884195193580744</v>
      </c>
      <c r="L114" s="24">
        <f>IF(CurrentMtgRatesDataTable811[[#This Row],[Servicing Spread]]&lt;=0,L113,CurrentMtgRatesDataTable811[[#This Row],[Servicing Spread]])</f>
        <v>0.56884195193580744</v>
      </c>
      <c r="M114" s="24">
        <f>CurrentMtgRatesDataTable811[[#This Row],[SeriesNumValue]]+CurrentMtgRatesDataTable811[[#This Row],[Servicing Spread Non-Zero]]</f>
        <v>4.5514944692413479</v>
      </c>
      <c r="V114">
        <v>4.2149999999999999</v>
      </c>
      <c r="W114" s="3">
        <v>41605</v>
      </c>
    </row>
    <row r="115" spans="2:23" x14ac:dyDescent="0.2">
      <c r="B115" s="27" t="s">
        <v>796</v>
      </c>
      <c r="C115" s="28">
        <v>4.0052084315685699</v>
      </c>
      <c r="D115" s="26">
        <v>4.5350000000000001</v>
      </c>
      <c r="E115" s="24">
        <f t="shared" si="4"/>
        <v>1</v>
      </c>
      <c r="F115" s="24">
        <f>VLOOKUP(E115,Q$5:R$11,2,FALSE)</f>
        <v>0.2</v>
      </c>
      <c r="G115" s="24">
        <f t="shared" si="5"/>
        <v>1</v>
      </c>
      <c r="H115" s="24">
        <f>IF(G115&gt;G114,H114+C115*F115,C115*F115)</f>
        <v>0.80104168631371397</v>
      </c>
      <c r="I115" s="24">
        <f t="shared" si="6"/>
        <v>0.2</v>
      </c>
      <c r="J115" s="24">
        <f t="shared" si="7"/>
        <v>0</v>
      </c>
      <c r="K115" s="24">
        <f>IF(CurrentMtgRatesDataTable811[[#This Row],[WA CC]]&lt;&gt;0,D114-CurrentMtgRatesDataTable811[[#This Row],[WA CC]],0)</f>
        <v>0</v>
      </c>
      <c r="L115" s="24">
        <f>IF(CurrentMtgRatesDataTable811[[#This Row],[Servicing Spread]]&lt;=0,L114,CurrentMtgRatesDataTable811[[#This Row],[Servicing Spread]])</f>
        <v>0.56884195193580744</v>
      </c>
      <c r="M115" s="24">
        <f>CurrentMtgRatesDataTable811[[#This Row],[SeriesNumValue]]+CurrentMtgRatesDataTable811[[#This Row],[Servicing Spread Non-Zero]]</f>
        <v>4.5740503835043773</v>
      </c>
      <c r="V115">
        <v>4.1449999999999996</v>
      </c>
      <c r="W115" s="3">
        <v>41599</v>
      </c>
    </row>
    <row r="116" spans="2:23" x14ac:dyDescent="0.2">
      <c r="B116" s="27" t="s">
        <v>797</v>
      </c>
      <c r="C116" s="28">
        <v>3.98862222187666</v>
      </c>
      <c r="D116" s="26">
        <v>4.5350000000000001</v>
      </c>
      <c r="E116" s="24">
        <f t="shared" si="4"/>
        <v>2</v>
      </c>
      <c r="F116" s="24">
        <f>VLOOKUP(E116,Q$5:R$11,2,FALSE)</f>
        <v>0.2</v>
      </c>
      <c r="G116" s="24">
        <f t="shared" si="5"/>
        <v>2</v>
      </c>
      <c r="H116" s="24">
        <f>IF(G116&gt;G115,H115+C116*F116,C116*F116)</f>
        <v>1.5987661306890462</v>
      </c>
      <c r="I116" s="24">
        <f t="shared" si="6"/>
        <v>0.4</v>
      </c>
      <c r="J116" s="24">
        <f t="shared" si="7"/>
        <v>0</v>
      </c>
      <c r="K116" s="24">
        <f>IF(CurrentMtgRatesDataTable811[[#This Row],[WA CC]]&lt;&gt;0,D115-CurrentMtgRatesDataTable811[[#This Row],[WA CC]],0)</f>
        <v>0</v>
      </c>
      <c r="L116" s="24">
        <f>IF(CurrentMtgRatesDataTable811[[#This Row],[Servicing Spread]]&lt;=0,L115,CurrentMtgRatesDataTable811[[#This Row],[Servicing Spread]])</f>
        <v>0.56884195193580744</v>
      </c>
      <c r="M116" s="24">
        <f>CurrentMtgRatesDataTable811[[#This Row],[SeriesNumValue]]+CurrentMtgRatesDataTable811[[#This Row],[Servicing Spread Non-Zero]]</f>
        <v>4.5574641738124679</v>
      </c>
      <c r="V116">
        <v>4.2750000000000004</v>
      </c>
      <c r="W116" s="3">
        <v>41592</v>
      </c>
    </row>
    <row r="117" spans="2:23" x14ac:dyDescent="0.2">
      <c r="B117" s="27" t="s">
        <v>798</v>
      </c>
      <c r="C117" s="28">
        <v>3.9714462688070098</v>
      </c>
      <c r="D117" s="26">
        <v>4.5350000000000001</v>
      </c>
      <c r="E117" s="24">
        <f t="shared" si="4"/>
        <v>5</v>
      </c>
      <c r="F117" s="24">
        <f>VLOOKUP(E117,Q$5:R$11,2,FALSE)</f>
        <v>0.2</v>
      </c>
      <c r="G117" s="24">
        <f t="shared" si="5"/>
        <v>3</v>
      </c>
      <c r="H117" s="24">
        <f>IF(G117&gt;G116,H116+C117*F117,C117*F117)</f>
        <v>2.3930553844504483</v>
      </c>
      <c r="I117" s="24">
        <f t="shared" si="6"/>
        <v>0.60000000000000009</v>
      </c>
      <c r="J117" s="24">
        <f t="shared" si="7"/>
        <v>0</v>
      </c>
      <c r="K117" s="24">
        <f>IF(CurrentMtgRatesDataTable811[[#This Row],[WA CC]]&lt;&gt;0,D116-CurrentMtgRatesDataTable811[[#This Row],[WA CC]],0)</f>
        <v>0</v>
      </c>
      <c r="L117" s="24">
        <f>IF(CurrentMtgRatesDataTable811[[#This Row],[Servicing Spread]]&lt;=0,L116,CurrentMtgRatesDataTable811[[#This Row],[Servicing Spread]])</f>
        <v>0.56884195193580744</v>
      </c>
      <c r="M117" s="24">
        <f>CurrentMtgRatesDataTable811[[#This Row],[SeriesNumValue]]+CurrentMtgRatesDataTable811[[#This Row],[Servicing Spread Non-Zero]]</f>
        <v>4.5402882207428172</v>
      </c>
      <c r="V117">
        <v>4.1100000000000003</v>
      </c>
      <c r="W117" s="3">
        <v>41585</v>
      </c>
    </row>
    <row r="118" spans="2:23" x14ac:dyDescent="0.2">
      <c r="B118" s="27" t="s">
        <v>799</v>
      </c>
      <c r="C118" s="28">
        <v>3.9561973951129898</v>
      </c>
      <c r="D118" s="26">
        <v>4.5350000000000001</v>
      </c>
      <c r="E118" s="24">
        <f t="shared" si="4"/>
        <v>6</v>
      </c>
      <c r="F118" s="24">
        <f>VLOOKUP(E118,Q$5:R$11,2,FALSE)</f>
        <v>0.2</v>
      </c>
      <c r="G118" s="24">
        <f t="shared" si="5"/>
        <v>4</v>
      </c>
      <c r="H118" s="24">
        <f>IF(G118&gt;G117,H117+C118*F118,C118*F118)</f>
        <v>3.1842948634730464</v>
      </c>
      <c r="I118" s="24">
        <f t="shared" si="6"/>
        <v>0.8</v>
      </c>
      <c r="J118" s="24">
        <f t="shared" si="7"/>
        <v>0</v>
      </c>
      <c r="K118" s="24">
        <f>IF(CurrentMtgRatesDataTable811[[#This Row],[WA CC]]&lt;&gt;0,D117-CurrentMtgRatesDataTable811[[#This Row],[WA CC]],0)</f>
        <v>0</v>
      </c>
      <c r="L118" s="24">
        <f>IF(CurrentMtgRatesDataTable811[[#This Row],[Servicing Spread]]&lt;=0,L117,CurrentMtgRatesDataTable811[[#This Row],[Servicing Spread]])</f>
        <v>0.56884195193580744</v>
      </c>
      <c r="M118" s="24">
        <f>CurrentMtgRatesDataTable811[[#This Row],[SeriesNumValue]]+CurrentMtgRatesDataTable811[[#This Row],[Servicing Spread Non-Zero]]</f>
        <v>4.5250393470487973</v>
      </c>
      <c r="V118">
        <v>4.0250000000000004</v>
      </c>
      <c r="W118" s="3">
        <v>41578</v>
      </c>
    </row>
    <row r="119" spans="2:23" x14ac:dyDescent="0.2">
      <c r="B119" s="27" t="s">
        <v>800</v>
      </c>
      <c r="C119" s="28">
        <v>3.9981747408284201</v>
      </c>
      <c r="D119" s="26">
        <v>4.5350000000000001</v>
      </c>
      <c r="E119" s="24">
        <f t="shared" si="4"/>
        <v>7</v>
      </c>
      <c r="F119" s="24">
        <f>VLOOKUP(E119,Q$5:R$11,2,FALSE)</f>
        <v>0.2</v>
      </c>
      <c r="G119" s="24">
        <f t="shared" si="5"/>
        <v>5</v>
      </c>
      <c r="H119" s="24">
        <f>IF(G119&gt;G118,H118+C119*F119,C119*F119)</f>
        <v>3.9839298116387303</v>
      </c>
      <c r="I119" s="24">
        <f t="shared" si="6"/>
        <v>1</v>
      </c>
      <c r="J119" s="24">
        <f t="shared" si="7"/>
        <v>3.9839298116387303</v>
      </c>
      <c r="K119" s="24">
        <f>IF(CurrentMtgRatesDataTable811[[#This Row],[WA CC]]&lt;&gt;0,D118-CurrentMtgRatesDataTable811[[#This Row],[WA CC]],0)</f>
        <v>0.55107018836126986</v>
      </c>
      <c r="L119" s="24">
        <f>IF(CurrentMtgRatesDataTable811[[#This Row],[Servicing Spread]]&lt;=0,L118,CurrentMtgRatesDataTable811[[#This Row],[Servicing Spread]])</f>
        <v>0.55107018836126986</v>
      </c>
      <c r="M119" s="24">
        <f>CurrentMtgRatesDataTable811[[#This Row],[SeriesNumValue]]+CurrentMtgRatesDataTable811[[#This Row],[Servicing Spread Non-Zero]]</f>
        <v>4.5492449291896904</v>
      </c>
      <c r="V119">
        <v>4.08</v>
      </c>
      <c r="W119" s="3">
        <v>41571</v>
      </c>
    </row>
    <row r="120" spans="2:23" x14ac:dyDescent="0.2">
      <c r="B120" s="27" t="s">
        <v>801</v>
      </c>
      <c r="C120" s="28">
        <v>4.0056577921068204</v>
      </c>
      <c r="D120" s="26">
        <v>4.5249999999999995</v>
      </c>
      <c r="E120" s="24">
        <f t="shared" si="4"/>
        <v>1</v>
      </c>
      <c r="F120" s="24">
        <f>VLOOKUP(E120,Q$5:R$11,2,FALSE)</f>
        <v>0.2</v>
      </c>
      <c r="G120" s="24">
        <f t="shared" si="5"/>
        <v>1</v>
      </c>
      <c r="H120" s="24">
        <f>IF(G120&gt;G119,H119+C120*F120,C120*F120)</f>
        <v>0.80113155842136408</v>
      </c>
      <c r="I120" s="24">
        <f t="shared" si="6"/>
        <v>0.2</v>
      </c>
      <c r="J120" s="24">
        <f t="shared" si="7"/>
        <v>0</v>
      </c>
      <c r="K120" s="24">
        <f>IF(CurrentMtgRatesDataTable811[[#This Row],[WA CC]]&lt;&gt;0,D119-CurrentMtgRatesDataTable811[[#This Row],[WA CC]],0)</f>
        <v>0</v>
      </c>
      <c r="L120" s="24">
        <f>IF(CurrentMtgRatesDataTable811[[#This Row],[Servicing Spread]]&lt;=0,L119,CurrentMtgRatesDataTable811[[#This Row],[Servicing Spread]])</f>
        <v>0.55107018836126986</v>
      </c>
      <c r="M120" s="24">
        <f>CurrentMtgRatesDataTable811[[#This Row],[SeriesNumValue]]+CurrentMtgRatesDataTable811[[#This Row],[Servicing Spread Non-Zero]]</f>
        <v>4.5567279804680902</v>
      </c>
      <c r="V120">
        <v>4.2050000000000001</v>
      </c>
      <c r="W120" s="3">
        <v>41564</v>
      </c>
    </row>
    <row r="121" spans="2:23" x14ac:dyDescent="0.2">
      <c r="B121" s="27" t="s">
        <v>802</v>
      </c>
      <c r="C121" s="28">
        <v>3.9928413440389701</v>
      </c>
      <c r="D121" s="26">
        <v>4.5249999999999995</v>
      </c>
      <c r="E121" s="24">
        <f t="shared" si="4"/>
        <v>2</v>
      </c>
      <c r="F121" s="24">
        <f>VLOOKUP(E121,Q$5:R$11,2,FALSE)</f>
        <v>0.2</v>
      </c>
      <c r="G121" s="24">
        <f t="shared" si="5"/>
        <v>2</v>
      </c>
      <c r="H121" s="24">
        <f>IF(G121&gt;G120,H120+C121*F121,C121*F121)</f>
        <v>1.5996998272291583</v>
      </c>
      <c r="I121" s="24">
        <f t="shared" si="6"/>
        <v>0.4</v>
      </c>
      <c r="J121" s="24">
        <f t="shared" si="7"/>
        <v>0</v>
      </c>
      <c r="K121" s="24">
        <f>IF(CurrentMtgRatesDataTable811[[#This Row],[WA CC]]&lt;&gt;0,D120-CurrentMtgRatesDataTable811[[#This Row],[WA CC]],0)</f>
        <v>0</v>
      </c>
      <c r="L121" s="24">
        <f>IF(CurrentMtgRatesDataTable811[[#This Row],[Servicing Spread]]&lt;=0,L120,CurrentMtgRatesDataTable811[[#This Row],[Servicing Spread]])</f>
        <v>0.55107018836126986</v>
      </c>
      <c r="M121" s="24">
        <f>CurrentMtgRatesDataTable811[[#This Row],[SeriesNumValue]]+CurrentMtgRatesDataTable811[[#This Row],[Servicing Spread Non-Zero]]</f>
        <v>4.5439115324002399</v>
      </c>
      <c r="V121">
        <v>4.1550000000000002</v>
      </c>
      <c r="W121" s="3">
        <v>41557</v>
      </c>
    </row>
    <row r="122" spans="2:23" x14ac:dyDescent="0.2">
      <c r="B122" s="27" t="s">
        <v>803</v>
      </c>
      <c r="C122" s="28">
        <v>3.9961535030173398</v>
      </c>
      <c r="D122" s="26">
        <v>4.5249999999999995</v>
      </c>
      <c r="E122" s="24">
        <f t="shared" si="4"/>
        <v>5</v>
      </c>
      <c r="F122" s="24">
        <f>VLOOKUP(E122,Q$5:R$11,2,FALSE)</f>
        <v>0.2</v>
      </c>
      <c r="G122" s="24">
        <f t="shared" si="5"/>
        <v>3</v>
      </c>
      <c r="H122" s="24">
        <f>IF(G122&gt;G121,H121+C122*F122,C122*F122)</f>
        <v>2.3989305278326265</v>
      </c>
      <c r="I122" s="24">
        <f t="shared" si="6"/>
        <v>0.60000000000000009</v>
      </c>
      <c r="J122" s="24">
        <f t="shared" si="7"/>
        <v>0</v>
      </c>
      <c r="K122" s="24">
        <f>IF(CurrentMtgRatesDataTable811[[#This Row],[WA CC]]&lt;&gt;0,D121-CurrentMtgRatesDataTable811[[#This Row],[WA CC]],0)</f>
        <v>0</v>
      </c>
      <c r="L122" s="24">
        <f>IF(CurrentMtgRatesDataTable811[[#This Row],[Servicing Spread]]&lt;=0,L121,CurrentMtgRatesDataTable811[[#This Row],[Servicing Spread]])</f>
        <v>0.55107018836126986</v>
      </c>
      <c r="M122" s="24">
        <f>CurrentMtgRatesDataTable811[[#This Row],[SeriesNumValue]]+CurrentMtgRatesDataTable811[[#This Row],[Servicing Spread Non-Zero]]</f>
        <v>4.5472236913786102</v>
      </c>
      <c r="V122">
        <v>4.1449999999999996</v>
      </c>
      <c r="W122" s="3">
        <v>41550</v>
      </c>
    </row>
    <row r="123" spans="2:23" x14ac:dyDescent="0.2">
      <c r="B123" s="27" t="s">
        <v>804</v>
      </c>
      <c r="C123" s="28">
        <v>3.9840068188340201</v>
      </c>
      <c r="D123" s="26">
        <v>4.5249999999999995</v>
      </c>
      <c r="E123" s="24">
        <f t="shared" si="4"/>
        <v>6</v>
      </c>
      <c r="F123" s="24">
        <f>VLOOKUP(E123,Q$5:R$11,2,FALSE)</f>
        <v>0.2</v>
      </c>
      <c r="G123" s="24">
        <f t="shared" si="5"/>
        <v>4</v>
      </c>
      <c r="H123" s="24">
        <f>IF(G123&gt;G122,H122+C123*F123,C123*F123)</f>
        <v>3.1957318915994306</v>
      </c>
      <c r="I123" s="24">
        <f t="shared" si="6"/>
        <v>0.8</v>
      </c>
      <c r="J123" s="24">
        <f t="shared" si="7"/>
        <v>0</v>
      </c>
      <c r="K123" s="24">
        <f>IF(CurrentMtgRatesDataTable811[[#This Row],[WA CC]]&lt;&gt;0,D122-CurrentMtgRatesDataTable811[[#This Row],[WA CC]],0)</f>
        <v>0</v>
      </c>
      <c r="L123" s="24">
        <f>IF(CurrentMtgRatesDataTable811[[#This Row],[Servicing Spread]]&lt;=0,L122,CurrentMtgRatesDataTable811[[#This Row],[Servicing Spread]])</f>
        <v>0.55107018836126986</v>
      </c>
      <c r="M123" s="24">
        <f>CurrentMtgRatesDataTable811[[#This Row],[SeriesNumValue]]+CurrentMtgRatesDataTable811[[#This Row],[Servicing Spread Non-Zero]]</f>
        <v>4.5350770071952899</v>
      </c>
      <c r="V123">
        <v>4.2450000000000001</v>
      </c>
      <c r="W123" s="3">
        <v>41543</v>
      </c>
    </row>
    <row r="124" spans="2:23" x14ac:dyDescent="0.2">
      <c r="B124" s="27" t="s">
        <v>805</v>
      </c>
      <c r="C124" s="28">
        <v>3.9826402417029598</v>
      </c>
      <c r="D124" s="26">
        <v>4.5249999999999995</v>
      </c>
      <c r="E124" s="24">
        <f t="shared" si="4"/>
        <v>7</v>
      </c>
      <c r="F124" s="24">
        <f>VLOOKUP(E124,Q$5:R$11,2,FALSE)</f>
        <v>0.2</v>
      </c>
      <c r="G124" s="24">
        <f t="shared" si="5"/>
        <v>5</v>
      </c>
      <c r="H124" s="24">
        <f>IF(G124&gt;G123,H123+C124*F124,C124*F124)</f>
        <v>3.9922599399400225</v>
      </c>
      <c r="I124" s="24">
        <f t="shared" si="6"/>
        <v>1</v>
      </c>
      <c r="J124" s="24">
        <f t="shared" si="7"/>
        <v>3.9922599399400225</v>
      </c>
      <c r="K124" s="24">
        <f>IF(CurrentMtgRatesDataTable811[[#This Row],[WA CC]]&lt;&gt;0,D123-CurrentMtgRatesDataTable811[[#This Row],[WA CC]],0)</f>
        <v>0.53274006005997698</v>
      </c>
      <c r="L124" s="24">
        <f>IF(CurrentMtgRatesDataTable811[[#This Row],[Servicing Spread]]&lt;=0,L123,CurrentMtgRatesDataTable811[[#This Row],[Servicing Spread]])</f>
        <v>0.53274006005997698</v>
      </c>
      <c r="M124" s="24">
        <f>CurrentMtgRatesDataTable811[[#This Row],[SeriesNumValue]]+CurrentMtgRatesDataTable811[[#This Row],[Servicing Spread Non-Zero]]</f>
        <v>4.5153803017629368</v>
      </c>
      <c r="V124">
        <v>4.4249999999999998</v>
      </c>
      <c r="W124" s="3">
        <v>41536</v>
      </c>
    </row>
    <row r="125" spans="2:23" x14ac:dyDescent="0.2">
      <c r="B125" s="27" t="s">
        <v>806</v>
      </c>
      <c r="C125" s="28">
        <v>3.9110937732392999</v>
      </c>
      <c r="D125" s="26">
        <v>4.45</v>
      </c>
      <c r="E125" s="24">
        <f t="shared" si="4"/>
        <v>1</v>
      </c>
      <c r="F125" s="24">
        <f>VLOOKUP(E125,Q$5:R$11,2,FALSE)</f>
        <v>0.2</v>
      </c>
      <c r="G125" s="24">
        <f t="shared" si="5"/>
        <v>1</v>
      </c>
      <c r="H125" s="24">
        <f>IF(G125&gt;G124,H124+C125*F125,C125*F125)</f>
        <v>0.78221875464786006</v>
      </c>
      <c r="I125" s="24">
        <f t="shared" si="6"/>
        <v>0.2</v>
      </c>
      <c r="J125" s="24">
        <f t="shared" si="7"/>
        <v>0</v>
      </c>
      <c r="K125" s="24">
        <f>IF(CurrentMtgRatesDataTable811[[#This Row],[WA CC]]&lt;&gt;0,D124-CurrentMtgRatesDataTable811[[#This Row],[WA CC]],0)</f>
        <v>0</v>
      </c>
      <c r="L125" s="24">
        <f>IF(CurrentMtgRatesDataTable811[[#This Row],[Servicing Spread]]&lt;=0,L124,CurrentMtgRatesDataTable811[[#This Row],[Servicing Spread]])</f>
        <v>0.53274006005997698</v>
      </c>
      <c r="M125" s="24">
        <f>CurrentMtgRatesDataTable811[[#This Row],[SeriesNumValue]]+CurrentMtgRatesDataTable811[[#This Row],[Servicing Spread Non-Zero]]</f>
        <v>4.4438338332992764</v>
      </c>
      <c r="V125">
        <v>4.5199999999999996</v>
      </c>
      <c r="W125" s="3">
        <v>41529</v>
      </c>
    </row>
    <row r="126" spans="2:23" x14ac:dyDescent="0.2">
      <c r="B126" s="27" t="s">
        <v>807</v>
      </c>
      <c r="C126" s="28">
        <v>3.9340132469573699</v>
      </c>
      <c r="D126" s="26">
        <v>4.45</v>
      </c>
      <c r="E126" s="24">
        <f t="shared" si="4"/>
        <v>2</v>
      </c>
      <c r="F126" s="24">
        <f>VLOOKUP(E126,Q$5:R$11,2,FALSE)</f>
        <v>0.2</v>
      </c>
      <c r="G126" s="24">
        <f t="shared" si="5"/>
        <v>2</v>
      </c>
      <c r="H126" s="24">
        <f>IF(G126&gt;G125,H125+C126*F126,C126*F126)</f>
        <v>1.5690214040393342</v>
      </c>
      <c r="I126" s="24">
        <f t="shared" si="6"/>
        <v>0.4</v>
      </c>
      <c r="J126" s="24">
        <f t="shared" si="7"/>
        <v>0</v>
      </c>
      <c r="K126" s="24">
        <f>IF(CurrentMtgRatesDataTable811[[#This Row],[WA CC]]&lt;&gt;0,D125-CurrentMtgRatesDataTable811[[#This Row],[WA CC]],0)</f>
        <v>0</v>
      </c>
      <c r="L126" s="24">
        <f>IF(CurrentMtgRatesDataTable811[[#This Row],[Servicing Spread]]&lt;=0,L125,CurrentMtgRatesDataTable811[[#This Row],[Servicing Spread]])</f>
        <v>0.53274006005997698</v>
      </c>
      <c r="M126" s="24">
        <f>CurrentMtgRatesDataTable811[[#This Row],[SeriesNumValue]]+CurrentMtgRatesDataTable811[[#This Row],[Servicing Spread Non-Zero]]</f>
        <v>4.4667533070173473</v>
      </c>
      <c r="V126">
        <v>4.4950000000000001</v>
      </c>
      <c r="W126" s="3">
        <v>41522</v>
      </c>
    </row>
    <row r="127" spans="2:23" x14ac:dyDescent="0.2">
      <c r="B127" s="27" t="s">
        <v>808</v>
      </c>
      <c r="C127" s="28">
        <v>3.93235427092598</v>
      </c>
      <c r="D127" s="26">
        <v>4.45</v>
      </c>
      <c r="E127" s="24">
        <f t="shared" si="4"/>
        <v>6</v>
      </c>
      <c r="F127" s="24">
        <f>VLOOKUP(E127,Q$5:R$11,2,FALSE)</f>
        <v>0.2</v>
      </c>
      <c r="G127" s="24">
        <f t="shared" si="5"/>
        <v>3</v>
      </c>
      <c r="H127" s="24">
        <f>IF(G127&gt;G126,H126+C127*F127,C127*F127)</f>
        <v>2.3554922582245301</v>
      </c>
      <c r="I127" s="24">
        <f t="shared" si="6"/>
        <v>0.60000000000000009</v>
      </c>
      <c r="J127" s="24">
        <f t="shared" si="7"/>
        <v>0</v>
      </c>
      <c r="K127" s="24">
        <f>IF(CurrentMtgRatesDataTable811[[#This Row],[WA CC]]&lt;&gt;0,D126-CurrentMtgRatesDataTable811[[#This Row],[WA CC]],0)</f>
        <v>0</v>
      </c>
      <c r="L127" s="24">
        <f>IF(CurrentMtgRatesDataTable811[[#This Row],[Servicing Spread]]&lt;=0,L126,CurrentMtgRatesDataTable811[[#This Row],[Servicing Spread]])</f>
        <v>0.53274006005997698</v>
      </c>
      <c r="M127" s="24">
        <f>CurrentMtgRatesDataTable811[[#This Row],[SeriesNumValue]]+CurrentMtgRatesDataTable811[[#This Row],[Servicing Spread Non-Zero]]</f>
        <v>4.4650943309859574</v>
      </c>
      <c r="V127">
        <v>4.4349999999999996</v>
      </c>
      <c r="W127" s="3">
        <v>41515</v>
      </c>
    </row>
    <row r="128" spans="2:23" x14ac:dyDescent="0.2">
      <c r="B128" s="27" t="s">
        <v>809</v>
      </c>
      <c r="C128" s="28">
        <v>3.86349424372803</v>
      </c>
      <c r="D128" s="26">
        <v>4.45</v>
      </c>
      <c r="E128" s="24">
        <f t="shared" si="4"/>
        <v>7</v>
      </c>
      <c r="F128" s="24">
        <f>VLOOKUP(E128,Q$5:R$11,2,FALSE)</f>
        <v>0.2</v>
      </c>
      <c r="G128" s="24">
        <f t="shared" si="5"/>
        <v>4</v>
      </c>
      <c r="H128" s="24">
        <f>IF(G128&gt;G127,H127+C128*F128,C128*F128)</f>
        <v>3.128191106970136</v>
      </c>
      <c r="I128" s="24">
        <f t="shared" si="6"/>
        <v>0.8</v>
      </c>
      <c r="J128" s="24">
        <f t="shared" si="7"/>
        <v>3.9102388837126698</v>
      </c>
      <c r="K128" s="24">
        <f>IF(CurrentMtgRatesDataTable811[[#This Row],[WA CC]]&lt;&gt;0,D127-CurrentMtgRatesDataTable811[[#This Row],[WA CC]],0)</f>
        <v>0.53976111628733037</v>
      </c>
      <c r="L128" s="24">
        <f>IF(CurrentMtgRatesDataTable811[[#This Row],[Servicing Spread]]&lt;=0,L127,CurrentMtgRatesDataTable811[[#This Row],[Servicing Spread]])</f>
        <v>0.53976111628733037</v>
      </c>
      <c r="M128" s="24">
        <f>CurrentMtgRatesDataTable811[[#This Row],[SeriesNumValue]]+CurrentMtgRatesDataTable811[[#This Row],[Servicing Spread Non-Zero]]</f>
        <v>4.4032553600153603</v>
      </c>
      <c r="V128">
        <v>4.53</v>
      </c>
      <c r="W128" s="3">
        <v>41508</v>
      </c>
    </row>
    <row r="129" spans="2:23" x14ac:dyDescent="0.2">
      <c r="B129" s="27" t="s">
        <v>810</v>
      </c>
      <c r="C129" s="28">
        <v>3.91386634442794</v>
      </c>
      <c r="D129" s="26">
        <v>4.415</v>
      </c>
      <c r="E129" s="24">
        <f t="shared" si="4"/>
        <v>1</v>
      </c>
      <c r="F129" s="24">
        <f>VLOOKUP(E129,Q$5:R$11,2,FALSE)</f>
        <v>0.2</v>
      </c>
      <c r="G129" s="24">
        <f t="shared" si="5"/>
        <v>1</v>
      </c>
      <c r="H129" s="24">
        <f>IF(G129&gt;G128,H128+C129*F129,C129*F129)</f>
        <v>0.78277326888558807</v>
      </c>
      <c r="I129" s="24">
        <f t="shared" si="6"/>
        <v>0.2</v>
      </c>
      <c r="J129" s="24">
        <f t="shared" si="7"/>
        <v>0</v>
      </c>
      <c r="K129" s="24">
        <f>IF(CurrentMtgRatesDataTable811[[#This Row],[WA CC]]&lt;&gt;0,D128-CurrentMtgRatesDataTable811[[#This Row],[WA CC]],0)</f>
        <v>0</v>
      </c>
      <c r="L129" s="24">
        <f>IF(CurrentMtgRatesDataTable811[[#This Row],[Servicing Spread]]&lt;=0,L128,CurrentMtgRatesDataTable811[[#This Row],[Servicing Spread]])</f>
        <v>0.53976111628733037</v>
      </c>
      <c r="M129" s="24">
        <f>CurrentMtgRatesDataTable811[[#This Row],[SeriesNumValue]]+CurrentMtgRatesDataTable811[[#This Row],[Servicing Spread Non-Zero]]</f>
        <v>4.4536274607152704</v>
      </c>
      <c r="V129">
        <v>4.3250000000000002</v>
      </c>
      <c r="W129" s="3">
        <v>41501</v>
      </c>
    </row>
    <row r="130" spans="2:23" x14ac:dyDescent="0.2">
      <c r="B130" s="27" t="s">
        <v>811</v>
      </c>
      <c r="C130" s="28">
        <v>3.8932835819735199</v>
      </c>
      <c r="D130" s="26">
        <v>4.415</v>
      </c>
      <c r="E130" s="24">
        <f t="shared" si="4"/>
        <v>2</v>
      </c>
      <c r="F130" s="24">
        <f>VLOOKUP(E130,Q$5:R$11,2,FALSE)</f>
        <v>0.2</v>
      </c>
      <c r="G130" s="24">
        <f t="shared" si="5"/>
        <v>2</v>
      </c>
      <c r="H130" s="24">
        <f>IF(G130&gt;G129,H129+C130*F130,C130*F130)</f>
        <v>1.561429985280292</v>
      </c>
      <c r="I130" s="24">
        <f t="shared" si="6"/>
        <v>0.4</v>
      </c>
      <c r="J130" s="24">
        <f t="shared" si="7"/>
        <v>0</v>
      </c>
      <c r="K130" s="24">
        <f>IF(CurrentMtgRatesDataTable811[[#This Row],[WA CC]]&lt;&gt;0,D129-CurrentMtgRatesDataTable811[[#This Row],[WA CC]],0)</f>
        <v>0</v>
      </c>
      <c r="L130" s="24">
        <f>IF(CurrentMtgRatesDataTable811[[#This Row],[Servicing Spread]]&lt;=0,L129,CurrentMtgRatesDataTable811[[#This Row],[Servicing Spread]])</f>
        <v>0.53976111628733037</v>
      </c>
      <c r="M130" s="24">
        <f>CurrentMtgRatesDataTable811[[#This Row],[SeriesNumValue]]+CurrentMtgRatesDataTable811[[#This Row],[Servicing Spread Non-Zero]]</f>
        <v>4.4330446982608507</v>
      </c>
      <c r="V130">
        <v>4.3250000000000002</v>
      </c>
      <c r="W130" s="3">
        <v>41494</v>
      </c>
    </row>
    <row r="131" spans="2:23" x14ac:dyDescent="0.2">
      <c r="B131" s="27" t="s">
        <v>812</v>
      </c>
      <c r="C131" s="28">
        <v>3.9007146694666899</v>
      </c>
      <c r="D131" s="26">
        <v>4.415</v>
      </c>
      <c r="E131" s="24">
        <f t="shared" ref="E131:E194" si="8">WEEKDAY(B131,14)</f>
        <v>5</v>
      </c>
      <c r="F131" s="24">
        <f>VLOOKUP(E131,Q$5:R$11,2,FALSE)</f>
        <v>0.2</v>
      </c>
      <c r="G131" s="24">
        <f t="shared" ref="G131:G194" si="9">IF(AND(E131&gt;E130,G130&lt;6),G130+1,1)</f>
        <v>3</v>
      </c>
      <c r="H131" s="24">
        <f>IF(G131&gt;G130,H130+C131*F131,C131*F131)</f>
        <v>2.3415729191736299</v>
      </c>
      <c r="I131" s="24">
        <f t="shared" ref="I131:I194" si="10">IF(AND(G131&lt;6,G131&gt;G130),F131+I130,F131)</f>
        <v>0.60000000000000009</v>
      </c>
      <c r="J131" s="24">
        <f t="shared" ref="J131:J194" si="11">IF(G131&gt;G132,H131/I131,0)</f>
        <v>0</v>
      </c>
      <c r="K131" s="24">
        <f>IF(CurrentMtgRatesDataTable811[[#This Row],[WA CC]]&lt;&gt;0,D130-CurrentMtgRatesDataTable811[[#This Row],[WA CC]],0)</f>
        <v>0</v>
      </c>
      <c r="L131" s="24">
        <f>IF(CurrentMtgRatesDataTable811[[#This Row],[Servicing Spread]]&lt;=0,L130,CurrentMtgRatesDataTable811[[#This Row],[Servicing Spread]])</f>
        <v>0.53976111628733037</v>
      </c>
      <c r="M131" s="24">
        <f>CurrentMtgRatesDataTable811[[#This Row],[SeriesNumValue]]+CurrentMtgRatesDataTable811[[#This Row],[Servicing Spread Non-Zero]]</f>
        <v>4.4404757857540202</v>
      </c>
      <c r="V131">
        <v>4.3150000000000004</v>
      </c>
      <c r="W131" s="3">
        <v>41487</v>
      </c>
    </row>
    <row r="132" spans="2:23" x14ac:dyDescent="0.2">
      <c r="B132" s="27" t="s">
        <v>813</v>
      </c>
      <c r="C132" s="28">
        <v>3.8958144444652301</v>
      </c>
      <c r="D132" s="26">
        <v>4.415</v>
      </c>
      <c r="E132" s="24">
        <f t="shared" si="8"/>
        <v>6</v>
      </c>
      <c r="F132" s="24">
        <f>VLOOKUP(E132,Q$5:R$11,2,FALSE)</f>
        <v>0.2</v>
      </c>
      <c r="G132" s="24">
        <f t="shared" si="9"/>
        <v>4</v>
      </c>
      <c r="H132" s="24">
        <f>IF(G132&gt;G131,H131+C132*F132,C132*F132)</f>
        <v>3.1207358080666761</v>
      </c>
      <c r="I132" s="24">
        <f t="shared" si="10"/>
        <v>0.8</v>
      </c>
      <c r="J132" s="24">
        <f t="shared" si="11"/>
        <v>0</v>
      </c>
      <c r="K132" s="24">
        <f>IF(CurrentMtgRatesDataTable811[[#This Row],[WA CC]]&lt;&gt;0,D131-CurrentMtgRatesDataTable811[[#This Row],[WA CC]],0)</f>
        <v>0</v>
      </c>
      <c r="L132" s="24">
        <f>IF(CurrentMtgRatesDataTable811[[#This Row],[Servicing Spread]]&lt;=0,L131,CurrentMtgRatesDataTable811[[#This Row],[Servicing Spread]])</f>
        <v>0.53976111628733037</v>
      </c>
      <c r="M132" s="24">
        <f>CurrentMtgRatesDataTable811[[#This Row],[SeriesNumValue]]+CurrentMtgRatesDataTable811[[#This Row],[Servicing Spread Non-Zero]]</f>
        <v>4.4355755607525609</v>
      </c>
      <c r="V132">
        <v>4.26</v>
      </c>
      <c r="W132" s="3">
        <v>41480</v>
      </c>
    </row>
    <row r="133" spans="2:23" x14ac:dyDescent="0.2">
      <c r="B133" s="27" t="s">
        <v>814</v>
      </c>
      <c r="C133" s="28">
        <v>3.8566823596436302</v>
      </c>
      <c r="D133" s="26">
        <v>4.415</v>
      </c>
      <c r="E133" s="24">
        <f t="shared" si="8"/>
        <v>7</v>
      </c>
      <c r="F133" s="24">
        <f>VLOOKUP(E133,Q$5:R$11,2,FALSE)</f>
        <v>0.2</v>
      </c>
      <c r="G133" s="24">
        <f t="shared" si="9"/>
        <v>5</v>
      </c>
      <c r="H133" s="24">
        <f>IF(G133&gt;G132,H132+C133*F133,C133*F133)</f>
        <v>3.8920722799954022</v>
      </c>
      <c r="I133" s="24">
        <f t="shared" si="10"/>
        <v>1</v>
      </c>
      <c r="J133" s="24">
        <f t="shared" si="11"/>
        <v>3.8920722799954022</v>
      </c>
      <c r="K133" s="24">
        <f>IF(CurrentMtgRatesDataTable811[[#This Row],[WA CC]]&lt;&gt;0,D132-CurrentMtgRatesDataTable811[[#This Row],[WA CC]],0)</f>
        <v>0.52292772000459786</v>
      </c>
      <c r="L133" s="24">
        <f>IF(CurrentMtgRatesDataTable811[[#This Row],[Servicing Spread]]&lt;=0,L132,CurrentMtgRatesDataTable811[[#This Row],[Servicing Spread]])</f>
        <v>0.52292772000459786</v>
      </c>
      <c r="M133" s="24">
        <f>CurrentMtgRatesDataTable811[[#This Row],[SeriesNumValue]]+CurrentMtgRatesDataTable811[[#This Row],[Servicing Spread Non-Zero]]</f>
        <v>4.379610079648228</v>
      </c>
      <c r="V133">
        <v>4.2949999999999999</v>
      </c>
      <c r="W133" s="3">
        <v>41473</v>
      </c>
    </row>
    <row r="134" spans="2:23" x14ac:dyDescent="0.2">
      <c r="B134" s="27" t="s">
        <v>815</v>
      </c>
      <c r="C134" s="28">
        <v>3.8960475696297299</v>
      </c>
      <c r="D134" s="26">
        <v>4.4249999999999998</v>
      </c>
      <c r="E134" s="24">
        <f t="shared" si="8"/>
        <v>1</v>
      </c>
      <c r="F134" s="24">
        <f>VLOOKUP(E134,Q$5:R$11,2,FALSE)</f>
        <v>0.2</v>
      </c>
      <c r="G134" s="24">
        <f t="shared" si="9"/>
        <v>1</v>
      </c>
      <c r="H134" s="24">
        <f>IF(G134&gt;G133,H133+C134*F134,C134*F134)</f>
        <v>0.77920951392594606</v>
      </c>
      <c r="I134" s="24">
        <f t="shared" si="10"/>
        <v>0.2</v>
      </c>
      <c r="J134" s="24">
        <f t="shared" si="11"/>
        <v>0</v>
      </c>
      <c r="K134" s="24">
        <f>IF(CurrentMtgRatesDataTable811[[#This Row],[WA CC]]&lt;&gt;0,D133-CurrentMtgRatesDataTable811[[#This Row],[WA CC]],0)</f>
        <v>0</v>
      </c>
      <c r="L134" s="24">
        <f>IF(CurrentMtgRatesDataTable811[[#This Row],[Servicing Spread]]&lt;=0,L133,CurrentMtgRatesDataTable811[[#This Row],[Servicing Spread]])</f>
        <v>0.52292772000459786</v>
      </c>
      <c r="M134" s="24">
        <f>CurrentMtgRatesDataTable811[[#This Row],[SeriesNumValue]]+CurrentMtgRatesDataTable811[[#This Row],[Servicing Spread Non-Zero]]</f>
        <v>4.4189752896343277</v>
      </c>
      <c r="V134">
        <v>4.46</v>
      </c>
      <c r="W134" s="3">
        <v>41466</v>
      </c>
    </row>
    <row r="135" spans="2:23" x14ac:dyDescent="0.2">
      <c r="B135" s="27" t="s">
        <v>816</v>
      </c>
      <c r="C135" s="28">
        <v>3.8969631716255102</v>
      </c>
      <c r="D135" s="26">
        <v>4.4249999999999998</v>
      </c>
      <c r="E135" s="24">
        <f t="shared" si="8"/>
        <v>2</v>
      </c>
      <c r="F135" s="24">
        <f>VLOOKUP(E135,Q$5:R$11,2,FALSE)</f>
        <v>0.2</v>
      </c>
      <c r="G135" s="24">
        <f t="shared" si="9"/>
        <v>2</v>
      </c>
      <c r="H135" s="24">
        <f>IF(G135&gt;G134,H134+C135*F135,C135*F135)</f>
        <v>1.5586021482510481</v>
      </c>
      <c r="I135" s="24">
        <f t="shared" si="10"/>
        <v>0.4</v>
      </c>
      <c r="J135" s="24">
        <f t="shared" si="11"/>
        <v>0</v>
      </c>
      <c r="K135" s="24">
        <f>IF(CurrentMtgRatesDataTable811[[#This Row],[WA CC]]&lt;&gt;0,D134-CurrentMtgRatesDataTable811[[#This Row],[WA CC]],0)</f>
        <v>0</v>
      </c>
      <c r="L135" s="24">
        <f>IF(CurrentMtgRatesDataTable811[[#This Row],[Servicing Spread]]&lt;=0,L134,CurrentMtgRatesDataTable811[[#This Row],[Servicing Spread]])</f>
        <v>0.52292772000459786</v>
      </c>
      <c r="M135" s="24">
        <f>CurrentMtgRatesDataTable811[[#This Row],[SeriesNumValue]]+CurrentMtgRatesDataTable811[[#This Row],[Servicing Spread Non-Zero]]</f>
        <v>4.4198908916301081</v>
      </c>
      <c r="V135">
        <v>4.2149999999999999</v>
      </c>
      <c r="W135" s="3">
        <v>41458</v>
      </c>
    </row>
    <row r="136" spans="2:23" x14ac:dyDescent="0.2">
      <c r="B136" s="27" t="s">
        <v>817</v>
      </c>
      <c r="C136" s="28">
        <v>3.9067873129845099</v>
      </c>
      <c r="D136" s="26">
        <v>4.4249999999999998</v>
      </c>
      <c r="E136" s="24">
        <f t="shared" si="8"/>
        <v>5</v>
      </c>
      <c r="F136" s="24">
        <f>VLOOKUP(E136,Q$5:R$11,2,FALSE)</f>
        <v>0.2</v>
      </c>
      <c r="G136" s="24">
        <f t="shared" si="9"/>
        <v>3</v>
      </c>
      <c r="H136" s="24">
        <f>IF(G136&gt;G135,H135+C136*F136,C136*F136)</f>
        <v>2.3399596108479503</v>
      </c>
      <c r="I136" s="24">
        <f t="shared" si="10"/>
        <v>0.60000000000000009</v>
      </c>
      <c r="J136" s="24">
        <f t="shared" si="11"/>
        <v>0</v>
      </c>
      <c r="K136" s="24">
        <f>IF(CurrentMtgRatesDataTable811[[#This Row],[WA CC]]&lt;&gt;0,D135-CurrentMtgRatesDataTable811[[#This Row],[WA CC]],0)</f>
        <v>0</v>
      </c>
      <c r="L136" s="24">
        <f>IF(CurrentMtgRatesDataTable811[[#This Row],[Servicing Spread]]&lt;=0,L135,CurrentMtgRatesDataTable811[[#This Row],[Servicing Spread]])</f>
        <v>0.52292772000459786</v>
      </c>
      <c r="M136" s="24">
        <f>CurrentMtgRatesDataTable811[[#This Row],[SeriesNumValue]]+CurrentMtgRatesDataTable811[[#This Row],[Servicing Spread Non-Zero]]</f>
        <v>4.4297150329891082</v>
      </c>
      <c r="V136">
        <v>4.41</v>
      </c>
      <c r="W136" s="3">
        <v>41452</v>
      </c>
    </row>
    <row r="137" spans="2:23" x14ac:dyDescent="0.2">
      <c r="B137" s="27" t="s">
        <v>818</v>
      </c>
      <c r="C137" s="28">
        <v>3.9753443748507</v>
      </c>
      <c r="D137" s="26">
        <v>4.4249999999999998</v>
      </c>
      <c r="E137" s="24">
        <f t="shared" si="8"/>
        <v>6</v>
      </c>
      <c r="F137" s="24">
        <f>VLOOKUP(E137,Q$5:R$11,2,FALSE)</f>
        <v>0.2</v>
      </c>
      <c r="G137" s="24">
        <f t="shared" si="9"/>
        <v>4</v>
      </c>
      <c r="H137" s="24">
        <f>IF(G137&gt;G136,H136+C137*F137,C137*F137)</f>
        <v>3.1350284858180903</v>
      </c>
      <c r="I137" s="24">
        <f t="shared" si="10"/>
        <v>0.8</v>
      </c>
      <c r="J137" s="24">
        <f t="shared" si="11"/>
        <v>0</v>
      </c>
      <c r="K137" s="24">
        <f>IF(CurrentMtgRatesDataTable811[[#This Row],[WA CC]]&lt;&gt;0,D136-CurrentMtgRatesDataTable811[[#This Row],[WA CC]],0)</f>
        <v>0</v>
      </c>
      <c r="L137" s="24">
        <f>IF(CurrentMtgRatesDataTable811[[#This Row],[Servicing Spread]]&lt;=0,L136,CurrentMtgRatesDataTable811[[#This Row],[Servicing Spread]])</f>
        <v>0.52292772000459786</v>
      </c>
      <c r="M137" s="24">
        <f>CurrentMtgRatesDataTable811[[#This Row],[SeriesNumValue]]+CurrentMtgRatesDataTable811[[#This Row],[Servicing Spread Non-Zero]]</f>
        <v>4.4982720948552979</v>
      </c>
      <c r="V137">
        <v>3.88</v>
      </c>
      <c r="W137" s="3">
        <v>41445</v>
      </c>
    </row>
    <row r="138" spans="2:23" x14ac:dyDescent="0.2">
      <c r="B138" s="27" t="s">
        <v>819</v>
      </c>
      <c r="C138" s="28">
        <v>3.9059042463873701</v>
      </c>
      <c r="D138" s="26">
        <v>4.4249999999999998</v>
      </c>
      <c r="E138" s="24">
        <f t="shared" si="8"/>
        <v>7</v>
      </c>
      <c r="F138" s="24">
        <f>VLOOKUP(E138,Q$5:R$11,2,FALSE)</f>
        <v>0.2</v>
      </c>
      <c r="G138" s="24">
        <f t="shared" si="9"/>
        <v>5</v>
      </c>
      <c r="H138" s="24">
        <f>IF(G138&gt;G137,H137+C138*F138,C138*F138)</f>
        <v>3.9162093350955645</v>
      </c>
      <c r="I138" s="24">
        <f t="shared" si="10"/>
        <v>1</v>
      </c>
      <c r="J138" s="24">
        <f t="shared" si="11"/>
        <v>3.9162093350955645</v>
      </c>
      <c r="K138" s="24">
        <f>IF(CurrentMtgRatesDataTable811[[#This Row],[WA CC]]&lt;&gt;0,D137-CurrentMtgRatesDataTable811[[#This Row],[WA CC]],0)</f>
        <v>0.50879066490443536</v>
      </c>
      <c r="L138" s="24">
        <f>IF(CurrentMtgRatesDataTable811[[#This Row],[Servicing Spread]]&lt;=0,L137,CurrentMtgRatesDataTable811[[#This Row],[Servicing Spread]])</f>
        <v>0.50879066490443536</v>
      </c>
      <c r="M138" s="24">
        <f>CurrentMtgRatesDataTable811[[#This Row],[SeriesNumValue]]+CurrentMtgRatesDataTable811[[#This Row],[Servicing Spread Non-Zero]]</f>
        <v>4.4146949112918055</v>
      </c>
      <c r="V138">
        <v>3.9049999999999998</v>
      </c>
      <c r="W138" s="3">
        <v>41438</v>
      </c>
    </row>
    <row r="139" spans="2:23" x14ac:dyDescent="0.2">
      <c r="B139" s="27" t="s">
        <v>820</v>
      </c>
      <c r="C139" s="28">
        <v>3.8841647371272701</v>
      </c>
      <c r="D139" s="26">
        <v>4.45</v>
      </c>
      <c r="E139" s="24">
        <f t="shared" si="8"/>
        <v>1</v>
      </c>
      <c r="F139" s="24">
        <f>VLOOKUP(E139,Q$5:R$11,2,FALSE)</f>
        <v>0.2</v>
      </c>
      <c r="G139" s="24">
        <f t="shared" si="9"/>
        <v>1</v>
      </c>
      <c r="H139" s="24">
        <f>IF(G139&gt;G138,H138+C139*F139,C139*F139)</f>
        <v>0.77683294742545406</v>
      </c>
      <c r="I139" s="24">
        <f t="shared" si="10"/>
        <v>0.2</v>
      </c>
      <c r="J139" s="24">
        <f t="shared" si="11"/>
        <v>0</v>
      </c>
      <c r="K139" s="24">
        <f>IF(CurrentMtgRatesDataTable811[[#This Row],[WA CC]]&lt;&gt;0,D138-CurrentMtgRatesDataTable811[[#This Row],[WA CC]],0)</f>
        <v>0</v>
      </c>
      <c r="L139" s="24">
        <f>IF(CurrentMtgRatesDataTable811[[#This Row],[Servicing Spread]]&lt;=0,L138,CurrentMtgRatesDataTable811[[#This Row],[Servicing Spread]])</f>
        <v>0.50879066490443536</v>
      </c>
      <c r="M139" s="24">
        <f>CurrentMtgRatesDataTable811[[#This Row],[SeriesNumValue]]+CurrentMtgRatesDataTable811[[#This Row],[Servicing Spread Non-Zero]]</f>
        <v>4.3929554020317054</v>
      </c>
      <c r="V139">
        <v>3.835</v>
      </c>
      <c r="W139" s="3">
        <v>41431</v>
      </c>
    </row>
    <row r="140" spans="2:23" x14ac:dyDescent="0.2">
      <c r="B140" s="27" t="s">
        <v>821</v>
      </c>
      <c r="C140" s="28">
        <v>3.9054668226802498</v>
      </c>
      <c r="D140" s="26">
        <v>4.45</v>
      </c>
      <c r="E140" s="24">
        <f t="shared" si="8"/>
        <v>2</v>
      </c>
      <c r="F140" s="24">
        <f>VLOOKUP(E140,Q$5:R$11,2,FALSE)</f>
        <v>0.2</v>
      </c>
      <c r="G140" s="24">
        <f t="shared" si="9"/>
        <v>2</v>
      </c>
      <c r="H140" s="24">
        <f>IF(G140&gt;G139,H139+C140*F140,C140*F140)</f>
        <v>1.5579263119615041</v>
      </c>
      <c r="I140" s="24">
        <f t="shared" si="10"/>
        <v>0.4</v>
      </c>
      <c r="J140" s="24">
        <f t="shared" si="11"/>
        <v>0</v>
      </c>
      <c r="K140" s="24">
        <f>IF(CurrentMtgRatesDataTable811[[#This Row],[WA CC]]&lt;&gt;0,D139-CurrentMtgRatesDataTable811[[#This Row],[WA CC]],0)</f>
        <v>0</v>
      </c>
      <c r="L140" s="24">
        <f>IF(CurrentMtgRatesDataTable811[[#This Row],[Servicing Spread]]&lt;=0,L139,CurrentMtgRatesDataTable811[[#This Row],[Servicing Spread]])</f>
        <v>0.50879066490443536</v>
      </c>
      <c r="M140" s="24">
        <f>CurrentMtgRatesDataTable811[[#This Row],[SeriesNumValue]]+CurrentMtgRatesDataTable811[[#This Row],[Servicing Spread Non-Zero]]</f>
        <v>4.4142574875846847</v>
      </c>
      <c r="V140">
        <v>3.76</v>
      </c>
      <c r="W140" s="3">
        <v>41424</v>
      </c>
    </row>
    <row r="141" spans="2:23" x14ac:dyDescent="0.2">
      <c r="B141" s="27" t="s">
        <v>822</v>
      </c>
      <c r="C141" s="28">
        <v>3.9260526521362999</v>
      </c>
      <c r="D141" s="26">
        <v>4.45</v>
      </c>
      <c r="E141" s="24">
        <f t="shared" si="8"/>
        <v>5</v>
      </c>
      <c r="F141" s="24">
        <f>VLOOKUP(E141,Q$5:R$11,2,FALSE)</f>
        <v>0.2</v>
      </c>
      <c r="G141" s="24">
        <f t="shared" si="9"/>
        <v>3</v>
      </c>
      <c r="H141" s="24">
        <f>IF(G141&gt;G140,H140+C141*F141,C141*F141)</f>
        <v>2.3431368423887644</v>
      </c>
      <c r="I141" s="24">
        <f t="shared" si="10"/>
        <v>0.60000000000000009</v>
      </c>
      <c r="J141" s="24">
        <f t="shared" si="11"/>
        <v>0</v>
      </c>
      <c r="K141" s="24">
        <f>IF(CurrentMtgRatesDataTable811[[#This Row],[WA CC]]&lt;&gt;0,D140-CurrentMtgRatesDataTable811[[#This Row],[WA CC]],0)</f>
        <v>0</v>
      </c>
      <c r="L141" s="24">
        <f>IF(CurrentMtgRatesDataTable811[[#This Row],[Servicing Spread]]&lt;=0,L140,CurrentMtgRatesDataTable811[[#This Row],[Servicing Spread]])</f>
        <v>0.50879066490443536</v>
      </c>
      <c r="M141" s="24">
        <f>CurrentMtgRatesDataTable811[[#This Row],[SeriesNumValue]]+CurrentMtgRatesDataTable811[[#This Row],[Servicing Spread Non-Zero]]</f>
        <v>4.4348433170407358</v>
      </c>
      <c r="V141">
        <v>3.5150000000000001</v>
      </c>
      <c r="W141" s="3">
        <v>41417</v>
      </c>
    </row>
    <row r="142" spans="2:23" x14ac:dyDescent="0.2">
      <c r="B142" s="27" t="s">
        <v>823</v>
      </c>
      <c r="C142" s="28">
        <v>3.9333528033335798</v>
      </c>
      <c r="D142" s="26">
        <v>4.45</v>
      </c>
      <c r="E142" s="24">
        <f t="shared" si="8"/>
        <v>6</v>
      </c>
      <c r="F142" s="24">
        <f>VLOOKUP(E142,Q$5:R$11,2,FALSE)</f>
        <v>0.2</v>
      </c>
      <c r="G142" s="24">
        <f t="shared" si="9"/>
        <v>4</v>
      </c>
      <c r="H142" s="24">
        <f>IF(G142&gt;G141,H141+C142*F142,C142*F142)</f>
        <v>3.1298074030554806</v>
      </c>
      <c r="I142" s="24">
        <f t="shared" si="10"/>
        <v>0.8</v>
      </c>
      <c r="J142" s="24">
        <f t="shared" si="11"/>
        <v>0</v>
      </c>
      <c r="K142" s="24">
        <f>IF(CurrentMtgRatesDataTable811[[#This Row],[WA CC]]&lt;&gt;0,D141-CurrentMtgRatesDataTable811[[#This Row],[WA CC]],0)</f>
        <v>0</v>
      </c>
      <c r="L142" s="24">
        <f>IF(CurrentMtgRatesDataTable811[[#This Row],[Servicing Spread]]&lt;=0,L141,CurrentMtgRatesDataTable811[[#This Row],[Servicing Spread]])</f>
        <v>0.50879066490443536</v>
      </c>
      <c r="M142" s="24">
        <f>CurrentMtgRatesDataTable811[[#This Row],[SeriesNumValue]]+CurrentMtgRatesDataTable811[[#This Row],[Servicing Spread Non-Zero]]</f>
        <v>4.4421434682380152</v>
      </c>
      <c r="V142">
        <v>3.4350000000000001</v>
      </c>
      <c r="W142" s="3">
        <v>41410</v>
      </c>
    </row>
    <row r="143" spans="2:23" x14ac:dyDescent="0.2">
      <c r="B143" s="27" t="s">
        <v>824</v>
      </c>
      <c r="C143" s="28">
        <v>3.9103100553676802</v>
      </c>
      <c r="D143" s="26">
        <v>4.45</v>
      </c>
      <c r="E143" s="24">
        <f t="shared" si="8"/>
        <v>7</v>
      </c>
      <c r="F143" s="24">
        <f>VLOOKUP(E143,Q$5:R$11,2,FALSE)</f>
        <v>0.2</v>
      </c>
      <c r="G143" s="24">
        <f t="shared" si="9"/>
        <v>5</v>
      </c>
      <c r="H143" s="24">
        <f>IF(G143&gt;G142,H142+C143*F143,C143*F143)</f>
        <v>3.9118694141290167</v>
      </c>
      <c r="I143" s="24">
        <f t="shared" si="10"/>
        <v>1</v>
      </c>
      <c r="J143" s="24">
        <f t="shared" si="11"/>
        <v>3.9118694141290167</v>
      </c>
      <c r="K143" s="24">
        <f>IF(CurrentMtgRatesDataTable811[[#This Row],[WA CC]]&lt;&gt;0,D142-CurrentMtgRatesDataTable811[[#This Row],[WA CC]],0)</f>
        <v>0.5381305858709835</v>
      </c>
      <c r="L143" s="24">
        <f>IF(CurrentMtgRatesDataTable811[[#This Row],[Servicing Spread]]&lt;=0,L142,CurrentMtgRatesDataTable811[[#This Row],[Servicing Spread]])</f>
        <v>0.5381305858709835</v>
      </c>
      <c r="M143" s="24">
        <f>CurrentMtgRatesDataTable811[[#This Row],[SeriesNumValue]]+CurrentMtgRatesDataTable811[[#This Row],[Servicing Spread Non-Zero]]</f>
        <v>4.4484406412386637</v>
      </c>
      <c r="V143">
        <v>3.3450000000000002</v>
      </c>
      <c r="W143" s="3">
        <v>41403</v>
      </c>
    </row>
    <row r="144" spans="2:23" x14ac:dyDescent="0.2">
      <c r="B144" s="27" t="s">
        <v>825</v>
      </c>
      <c r="C144" s="28">
        <v>3.84233320184673</v>
      </c>
      <c r="D144" s="26">
        <v>4.4349999999999996</v>
      </c>
      <c r="E144" s="24">
        <f t="shared" si="8"/>
        <v>1</v>
      </c>
      <c r="F144" s="24">
        <f>VLOOKUP(E144,Q$5:R$11,2,FALSE)</f>
        <v>0.2</v>
      </c>
      <c r="G144" s="24">
        <f t="shared" si="9"/>
        <v>1</v>
      </c>
      <c r="H144" s="24">
        <f>IF(G144&gt;G143,H143+C144*F144,C144*F144)</f>
        <v>0.76846664036934609</v>
      </c>
      <c r="I144" s="24">
        <f t="shared" si="10"/>
        <v>0.2</v>
      </c>
      <c r="J144" s="24">
        <f t="shared" si="11"/>
        <v>0</v>
      </c>
      <c r="K144" s="24">
        <f>IF(CurrentMtgRatesDataTable811[[#This Row],[WA CC]]&lt;&gt;0,D143-CurrentMtgRatesDataTable811[[#This Row],[WA CC]],0)</f>
        <v>0</v>
      </c>
      <c r="L144" s="24">
        <f>IF(CurrentMtgRatesDataTable811[[#This Row],[Servicing Spread]]&lt;=0,L143,CurrentMtgRatesDataTable811[[#This Row],[Servicing Spread]])</f>
        <v>0.5381305858709835</v>
      </c>
      <c r="M144" s="24">
        <f>CurrentMtgRatesDataTable811[[#This Row],[SeriesNumValue]]+CurrentMtgRatesDataTable811[[#This Row],[Servicing Spread Non-Zero]]</f>
        <v>4.3804637877177139</v>
      </c>
      <c r="V144">
        <v>3.2749999999999999</v>
      </c>
      <c r="W144" s="3">
        <v>41396</v>
      </c>
    </row>
    <row r="145" spans="2:23" x14ac:dyDescent="0.2">
      <c r="B145" s="27" t="s">
        <v>826</v>
      </c>
      <c r="C145" s="28">
        <v>3.8413126795761698</v>
      </c>
      <c r="D145" s="26">
        <v>4.4349999999999996</v>
      </c>
      <c r="E145" s="24">
        <f t="shared" si="8"/>
        <v>2</v>
      </c>
      <c r="F145" s="24">
        <f>VLOOKUP(E145,Q$5:R$11,2,FALSE)</f>
        <v>0.2</v>
      </c>
      <c r="G145" s="24">
        <f t="shared" si="9"/>
        <v>2</v>
      </c>
      <c r="H145" s="24">
        <f>IF(G145&gt;G144,H144+C145*F145,C145*F145)</f>
        <v>1.5367291762845801</v>
      </c>
      <c r="I145" s="24">
        <f t="shared" si="10"/>
        <v>0.4</v>
      </c>
      <c r="J145" s="24">
        <f t="shared" si="11"/>
        <v>0</v>
      </c>
      <c r="K145" s="24">
        <f>IF(CurrentMtgRatesDataTable811[[#This Row],[WA CC]]&lt;&gt;0,D144-CurrentMtgRatesDataTable811[[#This Row],[WA CC]],0)</f>
        <v>0</v>
      </c>
      <c r="L145" s="24">
        <f>IF(CurrentMtgRatesDataTable811[[#This Row],[Servicing Spread]]&lt;=0,L144,CurrentMtgRatesDataTable811[[#This Row],[Servicing Spread]])</f>
        <v>0.5381305858709835</v>
      </c>
      <c r="M145" s="24">
        <f>CurrentMtgRatesDataTable811[[#This Row],[SeriesNumValue]]+CurrentMtgRatesDataTable811[[#This Row],[Servicing Spread Non-Zero]]</f>
        <v>4.3794432654471533</v>
      </c>
      <c r="V145">
        <v>3.35</v>
      </c>
      <c r="W145" s="3">
        <v>41389</v>
      </c>
    </row>
    <row r="146" spans="2:23" x14ac:dyDescent="0.2">
      <c r="B146" s="27" t="s">
        <v>827</v>
      </c>
      <c r="C146" s="28">
        <v>3.88514648916032</v>
      </c>
      <c r="D146" s="26">
        <v>4.4349999999999996</v>
      </c>
      <c r="E146" s="24">
        <f t="shared" si="8"/>
        <v>5</v>
      </c>
      <c r="F146" s="24">
        <f>VLOOKUP(E146,Q$5:R$11,2,FALSE)</f>
        <v>0.2</v>
      </c>
      <c r="G146" s="24">
        <f t="shared" si="9"/>
        <v>3</v>
      </c>
      <c r="H146" s="24">
        <f>IF(G146&gt;G145,H145+C146*F146,C146*F146)</f>
        <v>2.3137584741166441</v>
      </c>
      <c r="I146" s="24">
        <f t="shared" si="10"/>
        <v>0.60000000000000009</v>
      </c>
      <c r="J146" s="24">
        <f t="shared" si="11"/>
        <v>0</v>
      </c>
      <c r="K146" s="24">
        <f>IF(CurrentMtgRatesDataTable811[[#This Row],[WA CC]]&lt;&gt;0,D145-CurrentMtgRatesDataTable811[[#This Row],[WA CC]],0)</f>
        <v>0</v>
      </c>
      <c r="L146" s="24">
        <f>IF(CurrentMtgRatesDataTable811[[#This Row],[Servicing Spread]]&lt;=0,L145,CurrentMtgRatesDataTable811[[#This Row],[Servicing Spread]])</f>
        <v>0.5381305858709835</v>
      </c>
      <c r="M146" s="24">
        <f>CurrentMtgRatesDataTable811[[#This Row],[SeriesNumValue]]+CurrentMtgRatesDataTable811[[#This Row],[Servicing Spread Non-Zero]]</f>
        <v>4.4232770750313035</v>
      </c>
      <c r="V146">
        <v>3.335</v>
      </c>
      <c r="W146" s="3">
        <v>41382</v>
      </c>
    </row>
    <row r="147" spans="2:23" x14ac:dyDescent="0.2">
      <c r="B147" s="27" t="s">
        <v>828</v>
      </c>
      <c r="C147" s="28">
        <v>3.9645862144820998</v>
      </c>
      <c r="D147" s="26">
        <v>4.4349999999999996</v>
      </c>
      <c r="E147" s="24">
        <f t="shared" si="8"/>
        <v>6</v>
      </c>
      <c r="F147" s="24">
        <f>VLOOKUP(E147,Q$5:R$11,2,FALSE)</f>
        <v>0.2</v>
      </c>
      <c r="G147" s="24">
        <f t="shared" si="9"/>
        <v>4</v>
      </c>
      <c r="H147" s="24">
        <f>IF(G147&gt;G146,H146+C147*F147,C147*F147)</f>
        <v>3.1066757170130641</v>
      </c>
      <c r="I147" s="24">
        <f t="shared" si="10"/>
        <v>0.8</v>
      </c>
      <c r="J147" s="24">
        <f t="shared" si="11"/>
        <v>0</v>
      </c>
      <c r="K147" s="24">
        <f>IF(CurrentMtgRatesDataTable811[[#This Row],[WA CC]]&lt;&gt;0,D146-CurrentMtgRatesDataTable811[[#This Row],[WA CC]],0)</f>
        <v>0</v>
      </c>
      <c r="L147" s="24">
        <f>IF(CurrentMtgRatesDataTable811[[#This Row],[Servicing Spread]]&lt;=0,L146,CurrentMtgRatesDataTable811[[#This Row],[Servicing Spread]])</f>
        <v>0.5381305858709835</v>
      </c>
      <c r="M147" s="24">
        <f>CurrentMtgRatesDataTable811[[#This Row],[SeriesNumValue]]+CurrentMtgRatesDataTable811[[#This Row],[Servicing Spread Non-Zero]]</f>
        <v>4.5027168003530829</v>
      </c>
      <c r="V147">
        <v>3.38</v>
      </c>
      <c r="W147" s="3">
        <v>41375</v>
      </c>
    </row>
    <row r="148" spans="2:23" x14ac:dyDescent="0.2">
      <c r="B148" s="27" t="s">
        <v>829</v>
      </c>
      <c r="C148" s="28">
        <v>3.9900665756964502</v>
      </c>
      <c r="D148" s="26">
        <v>4.4349999999999996</v>
      </c>
      <c r="E148" s="24">
        <f t="shared" si="8"/>
        <v>7</v>
      </c>
      <c r="F148" s="24">
        <f>VLOOKUP(E148,Q$5:R$11,2,FALSE)</f>
        <v>0.2</v>
      </c>
      <c r="G148" s="24">
        <f t="shared" si="9"/>
        <v>5</v>
      </c>
      <c r="H148" s="24">
        <f>IF(G148&gt;G147,H147+C148*F148,C148*F148)</f>
        <v>3.904689032152354</v>
      </c>
      <c r="I148" s="24">
        <f t="shared" si="10"/>
        <v>1</v>
      </c>
      <c r="J148" s="24">
        <f t="shared" si="11"/>
        <v>3.904689032152354</v>
      </c>
      <c r="K148" s="24">
        <f>IF(CurrentMtgRatesDataTable811[[#This Row],[WA CC]]&lt;&gt;0,D147-CurrentMtgRatesDataTable811[[#This Row],[WA CC]],0)</f>
        <v>0.53031096784764564</v>
      </c>
      <c r="L148" s="24">
        <f>IF(CurrentMtgRatesDataTable811[[#This Row],[Servicing Spread]]&lt;=0,L147,CurrentMtgRatesDataTable811[[#This Row],[Servicing Spread]])</f>
        <v>0.53031096784764564</v>
      </c>
      <c r="M148" s="24">
        <f>CurrentMtgRatesDataTable811[[#This Row],[SeriesNumValue]]+CurrentMtgRatesDataTable811[[#This Row],[Servicing Spread Non-Zero]]</f>
        <v>4.5203775435440958</v>
      </c>
      <c r="V148">
        <v>3.49</v>
      </c>
      <c r="W148" s="3">
        <v>41368</v>
      </c>
    </row>
    <row r="149" spans="2:23" x14ac:dyDescent="0.2">
      <c r="B149" s="27" t="s">
        <v>830</v>
      </c>
      <c r="C149" s="28">
        <v>4.0210177977435997</v>
      </c>
      <c r="D149" s="26">
        <v>4.5249999999999995</v>
      </c>
      <c r="E149" s="24">
        <f t="shared" si="8"/>
        <v>1</v>
      </c>
      <c r="F149" s="24">
        <f>VLOOKUP(E149,Q$5:R$11,2,FALSE)</f>
        <v>0.2</v>
      </c>
      <c r="G149" s="24">
        <f t="shared" si="9"/>
        <v>1</v>
      </c>
      <c r="H149" s="24">
        <f>IF(G149&gt;G148,H148+C149*F149,C149*F149)</f>
        <v>0.80420355954872003</v>
      </c>
      <c r="I149" s="24">
        <f t="shared" si="10"/>
        <v>0.2</v>
      </c>
      <c r="J149" s="24">
        <f t="shared" si="11"/>
        <v>0</v>
      </c>
      <c r="K149" s="24">
        <f>IF(CurrentMtgRatesDataTable811[[#This Row],[WA CC]]&lt;&gt;0,D148-CurrentMtgRatesDataTable811[[#This Row],[WA CC]],0)</f>
        <v>0</v>
      </c>
      <c r="L149" s="24">
        <f>IF(CurrentMtgRatesDataTable811[[#This Row],[Servicing Spread]]&lt;=0,L148,CurrentMtgRatesDataTable811[[#This Row],[Servicing Spread]])</f>
        <v>0.53031096784764564</v>
      </c>
      <c r="M149" s="24">
        <f>CurrentMtgRatesDataTable811[[#This Row],[SeriesNumValue]]+CurrentMtgRatesDataTable811[[#This Row],[Servicing Spread Non-Zero]]</f>
        <v>4.5513287655912453</v>
      </c>
      <c r="V149">
        <v>3.52</v>
      </c>
      <c r="W149" s="3">
        <v>41361</v>
      </c>
    </row>
    <row r="150" spans="2:23" x14ac:dyDescent="0.2">
      <c r="B150" s="27" t="s">
        <v>831</v>
      </c>
      <c r="C150" s="28">
        <v>4.04948996007146</v>
      </c>
      <c r="D150" s="26">
        <v>4.5249999999999995</v>
      </c>
      <c r="E150" s="24">
        <f t="shared" si="8"/>
        <v>2</v>
      </c>
      <c r="F150" s="24">
        <f>VLOOKUP(E150,Q$5:R$11,2,FALSE)</f>
        <v>0.2</v>
      </c>
      <c r="G150" s="24">
        <f t="shared" si="9"/>
        <v>2</v>
      </c>
      <c r="H150" s="24">
        <f>IF(G150&gt;G149,H149+C150*F150,C150*F150)</f>
        <v>1.6141015515630119</v>
      </c>
      <c r="I150" s="24">
        <f t="shared" si="10"/>
        <v>0.4</v>
      </c>
      <c r="J150" s="24">
        <f t="shared" si="11"/>
        <v>0</v>
      </c>
      <c r="K150" s="24">
        <f>IF(CurrentMtgRatesDataTable811[[#This Row],[WA CC]]&lt;&gt;0,D149-CurrentMtgRatesDataTable811[[#This Row],[WA CC]],0)</f>
        <v>0</v>
      </c>
      <c r="L150" s="24">
        <f>IF(CurrentMtgRatesDataTable811[[#This Row],[Servicing Spread]]&lt;=0,L149,CurrentMtgRatesDataTable811[[#This Row],[Servicing Spread]])</f>
        <v>0.53031096784764564</v>
      </c>
      <c r="M150" s="24">
        <f>CurrentMtgRatesDataTable811[[#This Row],[SeriesNumValue]]+CurrentMtgRatesDataTable811[[#This Row],[Servicing Spread Non-Zero]]</f>
        <v>4.5798009279191056</v>
      </c>
      <c r="V150">
        <v>3.49</v>
      </c>
      <c r="W150" s="3">
        <v>41354</v>
      </c>
    </row>
    <row r="151" spans="2:23" x14ac:dyDescent="0.2">
      <c r="B151" s="27" t="s">
        <v>832</v>
      </c>
      <c r="C151" s="28">
        <v>4.0109296583696397</v>
      </c>
      <c r="D151" s="26">
        <v>4.5249999999999995</v>
      </c>
      <c r="E151" s="24">
        <f t="shared" si="8"/>
        <v>6</v>
      </c>
      <c r="F151" s="24">
        <f>VLOOKUP(E151,Q$5:R$11,2,FALSE)</f>
        <v>0.2</v>
      </c>
      <c r="G151" s="24">
        <f t="shared" si="9"/>
        <v>3</v>
      </c>
      <c r="H151" s="24">
        <f>IF(G151&gt;G150,H150+C151*F151,C151*F151)</f>
        <v>2.4162874832369399</v>
      </c>
      <c r="I151" s="24">
        <f t="shared" si="10"/>
        <v>0.60000000000000009</v>
      </c>
      <c r="J151" s="24">
        <f t="shared" si="11"/>
        <v>0</v>
      </c>
      <c r="K151" s="24">
        <f>IF(CurrentMtgRatesDataTable811[[#This Row],[WA CC]]&lt;&gt;0,D150-CurrentMtgRatesDataTable811[[#This Row],[WA CC]],0)</f>
        <v>0</v>
      </c>
      <c r="L151" s="24">
        <f>IF(CurrentMtgRatesDataTable811[[#This Row],[Servicing Spread]]&lt;=0,L150,CurrentMtgRatesDataTable811[[#This Row],[Servicing Spread]])</f>
        <v>0.53031096784764564</v>
      </c>
      <c r="M151" s="24">
        <f>CurrentMtgRatesDataTable811[[#This Row],[SeriesNumValue]]+CurrentMtgRatesDataTable811[[#This Row],[Servicing Spread Non-Zero]]</f>
        <v>4.5412406262172853</v>
      </c>
      <c r="V151">
        <v>3.58</v>
      </c>
      <c r="W151" s="3">
        <v>41347</v>
      </c>
    </row>
    <row r="152" spans="2:23" x14ac:dyDescent="0.2">
      <c r="B152" s="27" t="s">
        <v>833</v>
      </c>
      <c r="C152" s="28">
        <v>4.00074846478753</v>
      </c>
      <c r="D152" s="26">
        <v>4.5249999999999995</v>
      </c>
      <c r="E152" s="24">
        <f t="shared" si="8"/>
        <v>7</v>
      </c>
      <c r="F152" s="24">
        <f>VLOOKUP(E152,Q$5:R$11,2,FALSE)</f>
        <v>0.2</v>
      </c>
      <c r="G152" s="24">
        <f t="shared" si="9"/>
        <v>4</v>
      </c>
      <c r="H152" s="24">
        <f>IF(G152&gt;G151,H151+C152*F152,C152*F152)</f>
        <v>3.2164371761944457</v>
      </c>
      <c r="I152" s="24">
        <f t="shared" si="10"/>
        <v>0.8</v>
      </c>
      <c r="J152" s="24">
        <f t="shared" si="11"/>
        <v>4.0205464702430564</v>
      </c>
      <c r="K152" s="24">
        <f>IF(CurrentMtgRatesDataTable811[[#This Row],[WA CC]]&lt;&gt;0,D151-CurrentMtgRatesDataTable811[[#This Row],[WA CC]],0)</f>
        <v>0.50445352975694302</v>
      </c>
      <c r="L152" s="24">
        <f>IF(CurrentMtgRatesDataTable811[[#This Row],[Servicing Spread]]&lt;=0,L151,CurrentMtgRatesDataTable811[[#This Row],[Servicing Spread]])</f>
        <v>0.50445352975694302</v>
      </c>
      <c r="M152" s="24">
        <f>CurrentMtgRatesDataTable811[[#This Row],[SeriesNumValue]]+CurrentMtgRatesDataTable811[[#This Row],[Servicing Spread Non-Zero]]</f>
        <v>4.505201994544473</v>
      </c>
      <c r="V152">
        <v>3.4449999999999998</v>
      </c>
      <c r="W152" s="3">
        <v>41340</v>
      </c>
    </row>
    <row r="153" spans="2:23" x14ac:dyDescent="0.2">
      <c r="B153" s="27" t="s">
        <v>834</v>
      </c>
      <c r="C153" s="28">
        <v>4.0552994132592604</v>
      </c>
      <c r="D153" s="26">
        <v>4.4349999999999996</v>
      </c>
      <c r="E153" s="24">
        <f t="shared" si="8"/>
        <v>1</v>
      </c>
      <c r="F153" s="24">
        <f>VLOOKUP(E153,Q$5:R$11,2,FALSE)</f>
        <v>0.2</v>
      </c>
      <c r="G153" s="24">
        <f t="shared" si="9"/>
        <v>1</v>
      </c>
      <c r="H153" s="24">
        <f>IF(G153&gt;G152,H152+C153*F153,C153*F153)</f>
        <v>0.81105988265185214</v>
      </c>
      <c r="I153" s="24">
        <f t="shared" si="10"/>
        <v>0.2</v>
      </c>
      <c r="J153" s="24">
        <f t="shared" si="11"/>
        <v>0</v>
      </c>
      <c r="K153" s="24">
        <f>IF(CurrentMtgRatesDataTable811[[#This Row],[WA CC]]&lt;&gt;0,D152-CurrentMtgRatesDataTable811[[#This Row],[WA CC]],0)</f>
        <v>0</v>
      </c>
      <c r="L153" s="24">
        <f>IF(CurrentMtgRatesDataTable811[[#This Row],[Servicing Spread]]&lt;=0,L152,CurrentMtgRatesDataTable811[[#This Row],[Servicing Spread]])</f>
        <v>0.50445352975694302</v>
      </c>
      <c r="M153" s="24">
        <f>CurrentMtgRatesDataTable811[[#This Row],[SeriesNumValue]]+CurrentMtgRatesDataTable811[[#This Row],[Servicing Spread Non-Zero]]</f>
        <v>4.5597529430162034</v>
      </c>
      <c r="V153">
        <v>3.46</v>
      </c>
      <c r="W153" s="3">
        <v>41333</v>
      </c>
    </row>
    <row r="154" spans="2:23" x14ac:dyDescent="0.2">
      <c r="B154" s="27" t="s">
        <v>835</v>
      </c>
      <c r="C154" s="28">
        <v>3.9560446412855801</v>
      </c>
      <c r="D154" s="26">
        <v>4.4349999999999996</v>
      </c>
      <c r="E154" s="24">
        <f t="shared" si="8"/>
        <v>2</v>
      </c>
      <c r="F154" s="24">
        <f>VLOOKUP(E154,Q$5:R$11,2,FALSE)</f>
        <v>0.2</v>
      </c>
      <c r="G154" s="24">
        <f t="shared" si="9"/>
        <v>2</v>
      </c>
      <c r="H154" s="24">
        <f>IF(G154&gt;G153,H153+C154*F154,C154*F154)</f>
        <v>1.6022688109089682</v>
      </c>
      <c r="I154" s="24">
        <f t="shared" si="10"/>
        <v>0.4</v>
      </c>
      <c r="J154" s="24">
        <f t="shared" si="11"/>
        <v>0</v>
      </c>
      <c r="K154" s="24">
        <f>IF(CurrentMtgRatesDataTable811[[#This Row],[WA CC]]&lt;&gt;0,D153-CurrentMtgRatesDataTable811[[#This Row],[WA CC]],0)</f>
        <v>0</v>
      </c>
      <c r="L154" s="24">
        <f>IF(CurrentMtgRatesDataTable811[[#This Row],[Servicing Spread]]&lt;=0,L153,CurrentMtgRatesDataTable811[[#This Row],[Servicing Spread]])</f>
        <v>0.50445352975694302</v>
      </c>
      <c r="M154" s="24">
        <f>CurrentMtgRatesDataTable811[[#This Row],[SeriesNumValue]]+CurrentMtgRatesDataTable811[[#This Row],[Servicing Spread Non-Zero]]</f>
        <v>4.4604981710425236</v>
      </c>
      <c r="V154">
        <v>3.51</v>
      </c>
      <c r="W154" s="3">
        <v>41326</v>
      </c>
    </row>
    <row r="155" spans="2:23" x14ac:dyDescent="0.2">
      <c r="B155" s="27" t="s">
        <v>836</v>
      </c>
      <c r="C155" s="28">
        <v>3.9124758151912502</v>
      </c>
      <c r="D155" s="26">
        <v>4.4349999999999996</v>
      </c>
      <c r="E155" s="24">
        <f t="shared" si="8"/>
        <v>5</v>
      </c>
      <c r="F155" s="24">
        <f>VLOOKUP(E155,Q$5:R$11,2,FALSE)</f>
        <v>0.2</v>
      </c>
      <c r="G155" s="24">
        <f t="shared" si="9"/>
        <v>3</v>
      </c>
      <c r="H155" s="24">
        <f>IF(G155&gt;G154,H154+C155*F155,C155*F155)</f>
        <v>2.3847639739472184</v>
      </c>
      <c r="I155" s="24">
        <f t="shared" si="10"/>
        <v>0.60000000000000009</v>
      </c>
      <c r="J155" s="24">
        <f t="shared" si="11"/>
        <v>0</v>
      </c>
      <c r="K155" s="24">
        <f>IF(CurrentMtgRatesDataTable811[[#This Row],[WA CC]]&lt;&gt;0,D154-CurrentMtgRatesDataTable811[[#This Row],[WA CC]],0)</f>
        <v>0</v>
      </c>
      <c r="L155" s="24">
        <f>IF(CurrentMtgRatesDataTable811[[#This Row],[Servicing Spread]]&lt;=0,L154,CurrentMtgRatesDataTable811[[#This Row],[Servicing Spread]])</f>
        <v>0.50445352975694302</v>
      </c>
      <c r="M155" s="24">
        <f>CurrentMtgRatesDataTable811[[#This Row],[SeriesNumValue]]+CurrentMtgRatesDataTable811[[#This Row],[Servicing Spread Non-Zero]]</f>
        <v>4.4169293449481932</v>
      </c>
      <c r="V155">
        <v>3.48</v>
      </c>
      <c r="W155" s="3">
        <v>41319</v>
      </c>
    </row>
    <row r="156" spans="2:23" x14ac:dyDescent="0.2">
      <c r="B156" s="27" t="s">
        <v>837</v>
      </c>
      <c r="C156" s="28">
        <v>3.8994081954805799</v>
      </c>
      <c r="D156" s="26">
        <v>4.4349999999999996</v>
      </c>
      <c r="E156" s="24">
        <f t="shared" si="8"/>
        <v>6</v>
      </c>
      <c r="F156" s="24">
        <f>VLOOKUP(E156,Q$5:R$11,2,FALSE)</f>
        <v>0.2</v>
      </c>
      <c r="G156" s="24">
        <f t="shared" si="9"/>
        <v>4</v>
      </c>
      <c r="H156" s="24">
        <f>IF(G156&gt;G155,H155+C156*F156,C156*F156)</f>
        <v>3.1646456130433345</v>
      </c>
      <c r="I156" s="24">
        <f t="shared" si="10"/>
        <v>0.8</v>
      </c>
      <c r="J156" s="24">
        <f t="shared" si="11"/>
        <v>0</v>
      </c>
      <c r="K156" s="24">
        <f>IF(CurrentMtgRatesDataTable811[[#This Row],[WA CC]]&lt;&gt;0,D155-CurrentMtgRatesDataTable811[[#This Row],[WA CC]],0)</f>
        <v>0</v>
      </c>
      <c r="L156" s="24">
        <f>IF(CurrentMtgRatesDataTable811[[#This Row],[Servicing Spread]]&lt;=0,L155,CurrentMtgRatesDataTable811[[#This Row],[Servicing Spread]])</f>
        <v>0.50445352975694302</v>
      </c>
      <c r="M156" s="24">
        <f>CurrentMtgRatesDataTable811[[#This Row],[SeriesNumValue]]+CurrentMtgRatesDataTable811[[#This Row],[Servicing Spread Non-Zero]]</f>
        <v>4.4038617252375225</v>
      </c>
      <c r="V156">
        <v>3.48</v>
      </c>
      <c r="W156" s="3">
        <v>41312</v>
      </c>
    </row>
    <row r="157" spans="2:23" x14ac:dyDescent="0.2">
      <c r="B157" s="27" t="s">
        <v>838</v>
      </c>
      <c r="C157" s="28">
        <v>3.8643242728668699</v>
      </c>
      <c r="D157" s="26">
        <v>4.4349999999999996</v>
      </c>
      <c r="E157" s="24">
        <f t="shared" si="8"/>
        <v>7</v>
      </c>
      <c r="F157" s="24">
        <f>VLOOKUP(E157,Q$5:R$11,2,FALSE)</f>
        <v>0.2</v>
      </c>
      <c r="G157" s="24">
        <f t="shared" si="9"/>
        <v>5</v>
      </c>
      <c r="H157" s="24">
        <f>IF(G157&gt;G156,H156+C157*F157,C157*F157)</f>
        <v>3.9375104676167085</v>
      </c>
      <c r="I157" s="24">
        <f t="shared" si="10"/>
        <v>1</v>
      </c>
      <c r="J157" s="24">
        <f t="shared" si="11"/>
        <v>3.9375104676167085</v>
      </c>
      <c r="K157" s="24">
        <f>IF(CurrentMtgRatesDataTable811[[#This Row],[WA CC]]&lt;&gt;0,D156-CurrentMtgRatesDataTable811[[#This Row],[WA CC]],0)</f>
        <v>0.49748953238329108</v>
      </c>
      <c r="L157" s="24">
        <f>IF(CurrentMtgRatesDataTable811[[#This Row],[Servicing Spread]]&lt;=0,L156,CurrentMtgRatesDataTable811[[#This Row],[Servicing Spread]])</f>
        <v>0.49748953238329108</v>
      </c>
      <c r="M157" s="24">
        <f>CurrentMtgRatesDataTable811[[#This Row],[SeriesNumValue]]+CurrentMtgRatesDataTable811[[#This Row],[Servicing Spread Non-Zero]]</f>
        <v>4.3618138052501614</v>
      </c>
      <c r="V157">
        <v>3.4550000000000001</v>
      </c>
      <c r="W157" s="3">
        <v>41305</v>
      </c>
    </row>
    <row r="158" spans="2:23" x14ac:dyDescent="0.2">
      <c r="B158" s="27" t="s">
        <v>839</v>
      </c>
      <c r="C158" s="28">
        <v>3.8985405222991401</v>
      </c>
      <c r="D158" s="26">
        <v>4.4449999999999994</v>
      </c>
      <c r="E158" s="24">
        <f t="shared" si="8"/>
        <v>1</v>
      </c>
      <c r="F158" s="24">
        <f>VLOOKUP(E158,Q$5:R$11,2,FALSE)</f>
        <v>0.2</v>
      </c>
      <c r="G158" s="24">
        <f t="shared" si="9"/>
        <v>1</v>
      </c>
      <c r="H158" s="24">
        <f>IF(G158&gt;G157,H157+C158*F158,C158*F158)</f>
        <v>0.77970810445982808</v>
      </c>
      <c r="I158" s="24">
        <f t="shared" si="10"/>
        <v>0.2</v>
      </c>
      <c r="J158" s="24">
        <f t="shared" si="11"/>
        <v>0</v>
      </c>
      <c r="K158" s="24">
        <f>IF(CurrentMtgRatesDataTable811[[#This Row],[WA CC]]&lt;&gt;0,D157-CurrentMtgRatesDataTable811[[#This Row],[WA CC]],0)</f>
        <v>0</v>
      </c>
      <c r="L158" s="24">
        <f>IF(CurrentMtgRatesDataTable811[[#This Row],[Servicing Spread]]&lt;=0,L157,CurrentMtgRatesDataTable811[[#This Row],[Servicing Spread]])</f>
        <v>0.49748953238329108</v>
      </c>
      <c r="M158" s="24">
        <f>CurrentMtgRatesDataTable811[[#This Row],[SeriesNumValue]]+CurrentMtgRatesDataTable811[[#This Row],[Servicing Spread Non-Zero]]</f>
        <v>4.3960300546824307</v>
      </c>
      <c r="V158">
        <v>3.3450000000000002</v>
      </c>
      <c r="W158" s="3">
        <v>41298</v>
      </c>
    </row>
    <row r="159" spans="2:23" x14ac:dyDescent="0.2">
      <c r="B159" s="27" t="s">
        <v>840</v>
      </c>
      <c r="C159" s="28">
        <v>3.8829277036335901</v>
      </c>
      <c r="D159" s="26">
        <v>4.4449999999999994</v>
      </c>
      <c r="E159" s="24">
        <f t="shared" si="8"/>
        <v>2</v>
      </c>
      <c r="F159" s="24">
        <f>VLOOKUP(E159,Q$5:R$11,2,FALSE)</f>
        <v>0.2</v>
      </c>
      <c r="G159" s="24">
        <f t="shared" si="9"/>
        <v>2</v>
      </c>
      <c r="H159" s="24">
        <f>IF(G159&gt;G158,H158+C159*F159,C159*F159)</f>
        <v>1.5562936451865461</v>
      </c>
      <c r="I159" s="24">
        <f t="shared" si="10"/>
        <v>0.4</v>
      </c>
      <c r="J159" s="24">
        <f t="shared" si="11"/>
        <v>0</v>
      </c>
      <c r="K159" s="24">
        <f>IF(CurrentMtgRatesDataTable811[[#This Row],[WA CC]]&lt;&gt;0,D158-CurrentMtgRatesDataTable811[[#This Row],[WA CC]],0)</f>
        <v>0</v>
      </c>
      <c r="L159" s="24">
        <f>IF(CurrentMtgRatesDataTable811[[#This Row],[Servicing Spread]]&lt;=0,L158,CurrentMtgRatesDataTable811[[#This Row],[Servicing Spread]])</f>
        <v>0.49748953238329108</v>
      </c>
      <c r="M159" s="24">
        <f>CurrentMtgRatesDataTable811[[#This Row],[SeriesNumValue]]+CurrentMtgRatesDataTable811[[#This Row],[Servicing Spread Non-Zero]]</f>
        <v>4.3804172360168812</v>
      </c>
      <c r="V159">
        <v>3.3050000000000002</v>
      </c>
      <c r="W159" s="3">
        <v>41291</v>
      </c>
    </row>
    <row r="160" spans="2:23" x14ac:dyDescent="0.2">
      <c r="B160" s="27" t="s">
        <v>841</v>
      </c>
      <c r="C160" s="28">
        <v>3.9143080460747499</v>
      </c>
      <c r="D160" s="26">
        <v>4.4449999999999994</v>
      </c>
      <c r="E160" s="24">
        <f t="shared" si="8"/>
        <v>5</v>
      </c>
      <c r="F160" s="24">
        <f>VLOOKUP(E160,Q$5:R$11,2,FALSE)</f>
        <v>0.2</v>
      </c>
      <c r="G160" s="24">
        <f t="shared" si="9"/>
        <v>3</v>
      </c>
      <c r="H160" s="24">
        <f>IF(G160&gt;G159,H159+C160*F160,C160*F160)</f>
        <v>2.3391552544014962</v>
      </c>
      <c r="I160" s="24">
        <f t="shared" si="10"/>
        <v>0.60000000000000009</v>
      </c>
      <c r="J160" s="24">
        <f t="shared" si="11"/>
        <v>0</v>
      </c>
      <c r="K160" s="24">
        <f>IF(CurrentMtgRatesDataTable811[[#This Row],[WA CC]]&lt;&gt;0,D159-CurrentMtgRatesDataTable811[[#This Row],[WA CC]],0)</f>
        <v>0</v>
      </c>
      <c r="L160" s="24">
        <f>IF(CurrentMtgRatesDataTable811[[#This Row],[Servicing Spread]]&lt;=0,L159,CurrentMtgRatesDataTable811[[#This Row],[Servicing Spread]])</f>
        <v>0.49748953238329108</v>
      </c>
      <c r="M160" s="24">
        <f>CurrentMtgRatesDataTable811[[#This Row],[SeriesNumValue]]+CurrentMtgRatesDataTable811[[#This Row],[Servicing Spread Non-Zero]]</f>
        <v>4.4117975784580405</v>
      </c>
      <c r="V160">
        <v>3.3250000000000002</v>
      </c>
      <c r="W160" s="3">
        <v>41284</v>
      </c>
    </row>
    <row r="161" spans="2:23" x14ac:dyDescent="0.2">
      <c r="B161" s="27" t="s">
        <v>842</v>
      </c>
      <c r="C161" s="28">
        <v>3.9028989279116901</v>
      </c>
      <c r="D161" s="26">
        <v>4.4449999999999994</v>
      </c>
      <c r="E161" s="24">
        <f t="shared" si="8"/>
        <v>6</v>
      </c>
      <c r="F161" s="24">
        <f>VLOOKUP(E161,Q$5:R$11,2,FALSE)</f>
        <v>0.2</v>
      </c>
      <c r="G161" s="24">
        <f t="shared" si="9"/>
        <v>4</v>
      </c>
      <c r="H161" s="24">
        <f>IF(G161&gt;G160,H160+C161*F161,C161*F161)</f>
        <v>3.1197350399838344</v>
      </c>
      <c r="I161" s="24">
        <f t="shared" si="10"/>
        <v>0.8</v>
      </c>
      <c r="J161" s="24">
        <f t="shared" si="11"/>
        <v>0</v>
      </c>
      <c r="K161" s="24">
        <f>IF(CurrentMtgRatesDataTable811[[#This Row],[WA CC]]&lt;&gt;0,D160-CurrentMtgRatesDataTable811[[#This Row],[WA CC]],0)</f>
        <v>0</v>
      </c>
      <c r="L161" s="24">
        <f>IF(CurrentMtgRatesDataTable811[[#This Row],[Servicing Spread]]&lt;=0,L160,CurrentMtgRatesDataTable811[[#This Row],[Servicing Spread]])</f>
        <v>0.49748953238329108</v>
      </c>
      <c r="M161" s="24">
        <f>CurrentMtgRatesDataTable811[[#This Row],[SeriesNumValue]]+CurrentMtgRatesDataTable811[[#This Row],[Servicing Spread Non-Zero]]</f>
        <v>4.4003884602949812</v>
      </c>
      <c r="V161">
        <v>3.2650000000000001</v>
      </c>
      <c r="W161" s="3">
        <v>41277</v>
      </c>
    </row>
    <row r="162" spans="2:23" x14ac:dyDescent="0.2">
      <c r="B162" s="27" t="s">
        <v>843</v>
      </c>
      <c r="C162" s="28">
        <v>3.9147234393454702</v>
      </c>
      <c r="D162" s="26">
        <v>4.4449999999999994</v>
      </c>
      <c r="E162" s="24">
        <f t="shared" si="8"/>
        <v>7</v>
      </c>
      <c r="F162" s="24">
        <f>VLOOKUP(E162,Q$5:R$11,2,FALSE)</f>
        <v>0.2</v>
      </c>
      <c r="G162" s="24">
        <f t="shared" si="9"/>
        <v>5</v>
      </c>
      <c r="H162" s="24">
        <f>IF(G162&gt;G161,H161+C162*F162,C162*F162)</f>
        <v>3.9026797278529286</v>
      </c>
      <c r="I162" s="24">
        <f t="shared" si="10"/>
        <v>1</v>
      </c>
      <c r="J162" s="24">
        <f t="shared" si="11"/>
        <v>3.9026797278529286</v>
      </c>
      <c r="K162" s="24">
        <f>IF(CurrentMtgRatesDataTable811[[#This Row],[WA CC]]&lt;&gt;0,D161-CurrentMtgRatesDataTable811[[#This Row],[WA CC]],0)</f>
        <v>0.54232027214707079</v>
      </c>
      <c r="L162" s="24">
        <f>IF(CurrentMtgRatesDataTable811[[#This Row],[Servicing Spread]]&lt;=0,L161,CurrentMtgRatesDataTable811[[#This Row],[Servicing Spread]])</f>
        <v>0.54232027214707079</v>
      </c>
      <c r="M162" s="24">
        <f>CurrentMtgRatesDataTable811[[#This Row],[SeriesNumValue]]+CurrentMtgRatesDataTable811[[#This Row],[Servicing Spread Non-Zero]]</f>
        <v>4.457043711492541</v>
      </c>
      <c r="V162">
        <v>3.2749999999999999</v>
      </c>
      <c r="W162" s="3">
        <v>41270</v>
      </c>
    </row>
    <row r="163" spans="2:23" x14ac:dyDescent="0.2">
      <c r="B163" s="27" t="s">
        <v>844</v>
      </c>
      <c r="C163" s="28">
        <v>3.95043209572012</v>
      </c>
      <c r="D163" s="26">
        <v>4.5</v>
      </c>
      <c r="E163" s="24">
        <f t="shared" si="8"/>
        <v>1</v>
      </c>
      <c r="F163" s="24">
        <f>VLOOKUP(E163,Q$5:R$11,2,FALSE)</f>
        <v>0.2</v>
      </c>
      <c r="G163" s="24">
        <f t="shared" si="9"/>
        <v>1</v>
      </c>
      <c r="H163" s="24">
        <f>IF(G163&gt;G162,H162+C163*F163,C163*F163)</f>
        <v>0.790086419144024</v>
      </c>
      <c r="I163" s="24">
        <f t="shared" si="10"/>
        <v>0.2</v>
      </c>
      <c r="J163" s="24">
        <f t="shared" si="11"/>
        <v>0</v>
      </c>
      <c r="K163" s="24">
        <f>IF(CurrentMtgRatesDataTable811[[#This Row],[WA CC]]&lt;&gt;0,D162-CurrentMtgRatesDataTable811[[#This Row],[WA CC]],0)</f>
        <v>0</v>
      </c>
      <c r="L163" s="24">
        <f>IF(CurrentMtgRatesDataTable811[[#This Row],[Servicing Spread]]&lt;=0,L162,CurrentMtgRatesDataTable811[[#This Row],[Servicing Spread]])</f>
        <v>0.54232027214707079</v>
      </c>
      <c r="M163" s="24">
        <f>CurrentMtgRatesDataTable811[[#This Row],[SeriesNumValue]]+CurrentMtgRatesDataTable811[[#This Row],[Servicing Spread Non-Zero]]</f>
        <v>4.4927523678671903</v>
      </c>
      <c r="V163">
        <v>3.2949999999999999</v>
      </c>
      <c r="W163" s="3">
        <v>41263</v>
      </c>
    </row>
    <row r="164" spans="2:23" x14ac:dyDescent="0.2">
      <c r="B164" s="27" t="s">
        <v>845</v>
      </c>
      <c r="C164" s="28">
        <v>3.9256648990876601</v>
      </c>
      <c r="D164" s="26">
        <v>4.5</v>
      </c>
      <c r="E164" s="24">
        <f t="shared" si="8"/>
        <v>2</v>
      </c>
      <c r="F164" s="24">
        <f>VLOOKUP(E164,Q$5:R$11,2,FALSE)</f>
        <v>0.2</v>
      </c>
      <c r="G164" s="24">
        <f t="shared" si="9"/>
        <v>2</v>
      </c>
      <c r="H164" s="24">
        <f>IF(G164&gt;G163,H163+C164*F164,C164*F164)</f>
        <v>1.5752193989615559</v>
      </c>
      <c r="I164" s="24">
        <f t="shared" si="10"/>
        <v>0.4</v>
      </c>
      <c r="J164" s="24">
        <f t="shared" si="11"/>
        <v>0</v>
      </c>
      <c r="K164" s="24">
        <f>IF(CurrentMtgRatesDataTable811[[#This Row],[WA CC]]&lt;&gt;0,D163-CurrentMtgRatesDataTable811[[#This Row],[WA CC]],0)</f>
        <v>0</v>
      </c>
      <c r="L164" s="24">
        <f>IF(CurrentMtgRatesDataTable811[[#This Row],[Servicing Spread]]&lt;=0,L163,CurrentMtgRatesDataTable811[[#This Row],[Servicing Spread]])</f>
        <v>0.54232027214707079</v>
      </c>
      <c r="M164" s="24">
        <f>CurrentMtgRatesDataTable811[[#This Row],[SeriesNumValue]]+CurrentMtgRatesDataTable811[[#This Row],[Servicing Spread Non-Zero]]</f>
        <v>4.4679851712347309</v>
      </c>
      <c r="V164">
        <v>3.2450000000000001</v>
      </c>
      <c r="W164" s="3">
        <v>41256</v>
      </c>
    </row>
    <row r="165" spans="2:23" x14ac:dyDescent="0.2">
      <c r="B165" s="27" t="s">
        <v>846</v>
      </c>
      <c r="C165" s="28">
        <v>3.9604705885529299</v>
      </c>
      <c r="D165" s="26">
        <v>4.5</v>
      </c>
      <c r="E165" s="24">
        <f t="shared" si="8"/>
        <v>5</v>
      </c>
      <c r="F165" s="24">
        <f>VLOOKUP(E165,Q$5:R$11,2,FALSE)</f>
        <v>0.2</v>
      </c>
      <c r="G165" s="24">
        <f t="shared" si="9"/>
        <v>3</v>
      </c>
      <c r="H165" s="24">
        <f>IF(G165&gt;G164,H164+C165*F165,C165*F165)</f>
        <v>2.3673135166721417</v>
      </c>
      <c r="I165" s="24">
        <f t="shared" si="10"/>
        <v>0.60000000000000009</v>
      </c>
      <c r="J165" s="24">
        <f t="shared" si="11"/>
        <v>0</v>
      </c>
      <c r="K165" s="24">
        <f>IF(CurrentMtgRatesDataTable811[[#This Row],[WA CC]]&lt;&gt;0,D164-CurrentMtgRatesDataTable811[[#This Row],[WA CC]],0)</f>
        <v>0</v>
      </c>
      <c r="L165" s="24">
        <f>IF(CurrentMtgRatesDataTable811[[#This Row],[Servicing Spread]]&lt;=0,L164,CurrentMtgRatesDataTable811[[#This Row],[Servicing Spread]])</f>
        <v>0.54232027214707079</v>
      </c>
      <c r="M165" s="24">
        <f>CurrentMtgRatesDataTable811[[#This Row],[SeriesNumValue]]+CurrentMtgRatesDataTable811[[#This Row],[Servicing Spread Non-Zero]]</f>
        <v>4.5027908607000011</v>
      </c>
      <c r="V165">
        <v>3.2650000000000001</v>
      </c>
      <c r="W165" s="3">
        <v>41249</v>
      </c>
    </row>
    <row r="166" spans="2:23" x14ac:dyDescent="0.2">
      <c r="B166" s="27" t="s">
        <v>847</v>
      </c>
      <c r="C166" s="28">
        <v>3.93180055447786</v>
      </c>
      <c r="D166" s="26">
        <v>4.5</v>
      </c>
      <c r="E166" s="24">
        <f t="shared" si="8"/>
        <v>6</v>
      </c>
      <c r="F166" s="24">
        <f>VLOOKUP(E166,Q$5:R$11,2,FALSE)</f>
        <v>0.2</v>
      </c>
      <c r="G166" s="24">
        <f t="shared" si="9"/>
        <v>4</v>
      </c>
      <c r="H166" s="24">
        <f>IF(G166&gt;G165,H165+C166*F166,C166*F166)</f>
        <v>3.1536736275677137</v>
      </c>
      <c r="I166" s="24">
        <f t="shared" si="10"/>
        <v>0.8</v>
      </c>
      <c r="J166" s="24">
        <f t="shared" si="11"/>
        <v>0</v>
      </c>
      <c r="K166" s="24">
        <f>IF(CurrentMtgRatesDataTable811[[#This Row],[WA CC]]&lt;&gt;0,D165-CurrentMtgRatesDataTable811[[#This Row],[WA CC]],0)</f>
        <v>0</v>
      </c>
      <c r="L166" s="24">
        <f>IF(CurrentMtgRatesDataTable811[[#This Row],[Servicing Spread]]&lt;=0,L165,CurrentMtgRatesDataTable811[[#This Row],[Servicing Spread]])</f>
        <v>0.54232027214707079</v>
      </c>
      <c r="M166" s="24">
        <f>CurrentMtgRatesDataTable811[[#This Row],[SeriesNumValue]]+CurrentMtgRatesDataTable811[[#This Row],[Servicing Spread Non-Zero]]</f>
        <v>4.4741208266249313</v>
      </c>
      <c r="V166">
        <v>3.27</v>
      </c>
      <c r="W166" s="3">
        <v>41242</v>
      </c>
    </row>
    <row r="167" spans="2:23" x14ac:dyDescent="0.2">
      <c r="B167" s="27" t="s">
        <v>848</v>
      </c>
      <c r="C167" s="28">
        <v>3.9740262536050301</v>
      </c>
      <c r="D167" s="26">
        <v>4.5</v>
      </c>
      <c r="E167" s="24">
        <f t="shared" si="8"/>
        <v>7</v>
      </c>
      <c r="F167" s="24">
        <f>VLOOKUP(E167,Q$5:R$11,2,FALSE)</f>
        <v>0.2</v>
      </c>
      <c r="G167" s="24">
        <f t="shared" si="9"/>
        <v>5</v>
      </c>
      <c r="H167" s="24">
        <f>IF(G167&gt;G166,H166+C167*F167,C167*F167)</f>
        <v>3.9484788782887197</v>
      </c>
      <c r="I167" s="24">
        <f t="shared" si="10"/>
        <v>1</v>
      </c>
      <c r="J167" s="24">
        <f t="shared" si="11"/>
        <v>3.9484788782887197</v>
      </c>
      <c r="K167" s="24">
        <f>IF(CurrentMtgRatesDataTable811[[#This Row],[WA CC]]&lt;&gt;0,D166-CurrentMtgRatesDataTable811[[#This Row],[WA CC]],0)</f>
        <v>0.55152112171128032</v>
      </c>
      <c r="L167" s="24">
        <f>IF(CurrentMtgRatesDataTable811[[#This Row],[Servicing Spread]]&lt;=0,L166,CurrentMtgRatesDataTable811[[#This Row],[Servicing Spread]])</f>
        <v>0.55152112171128032</v>
      </c>
      <c r="M167" s="24">
        <f>CurrentMtgRatesDataTable811[[#This Row],[SeriesNumValue]]+CurrentMtgRatesDataTable811[[#This Row],[Servicing Spread Non-Zero]]</f>
        <v>4.5255473753163109</v>
      </c>
      <c r="V167">
        <v>3.2349999999999999</v>
      </c>
      <c r="W167" s="3">
        <v>41234</v>
      </c>
    </row>
    <row r="168" spans="2:23" x14ac:dyDescent="0.2">
      <c r="B168" s="27" t="s">
        <v>849</v>
      </c>
      <c r="C168" s="28">
        <v>3.9324314812140502</v>
      </c>
      <c r="D168" s="26">
        <v>4.34</v>
      </c>
      <c r="E168" s="24">
        <f t="shared" si="8"/>
        <v>1</v>
      </c>
      <c r="F168" s="24">
        <f>VLOOKUP(E168,Q$5:R$11,2,FALSE)</f>
        <v>0.2</v>
      </c>
      <c r="G168" s="24">
        <f t="shared" si="9"/>
        <v>1</v>
      </c>
      <c r="H168" s="24">
        <f>IF(G168&gt;G167,H167+C168*F168,C168*F168)</f>
        <v>0.78648629624281008</v>
      </c>
      <c r="I168" s="24">
        <f t="shared" si="10"/>
        <v>0.2</v>
      </c>
      <c r="J168" s="24">
        <f t="shared" si="11"/>
        <v>0</v>
      </c>
      <c r="K168" s="24">
        <f>IF(CurrentMtgRatesDataTable811[[#This Row],[WA CC]]&lt;&gt;0,D167-CurrentMtgRatesDataTable811[[#This Row],[WA CC]],0)</f>
        <v>0</v>
      </c>
      <c r="L168" s="24">
        <f>IF(CurrentMtgRatesDataTable811[[#This Row],[Servicing Spread]]&lt;=0,L167,CurrentMtgRatesDataTable811[[#This Row],[Servicing Spread]])</f>
        <v>0.55152112171128032</v>
      </c>
      <c r="M168" s="24">
        <f>CurrentMtgRatesDataTable811[[#This Row],[SeriesNumValue]]+CurrentMtgRatesDataTable811[[#This Row],[Servicing Spread Non-Zero]]</f>
        <v>4.4839526029253305</v>
      </c>
      <c r="V168">
        <v>3.2650000000000001</v>
      </c>
      <c r="W168" s="3">
        <v>41228</v>
      </c>
    </row>
    <row r="169" spans="2:23" x14ac:dyDescent="0.2">
      <c r="B169" s="27" t="s">
        <v>850</v>
      </c>
      <c r="C169" s="28">
        <v>3.8088238659156599</v>
      </c>
      <c r="D169" s="26">
        <v>4.34</v>
      </c>
      <c r="E169" s="24">
        <f t="shared" si="8"/>
        <v>2</v>
      </c>
      <c r="F169" s="24">
        <f>VLOOKUP(E169,Q$5:R$11,2,FALSE)</f>
        <v>0.2</v>
      </c>
      <c r="G169" s="24">
        <f t="shared" si="9"/>
        <v>2</v>
      </c>
      <c r="H169" s="24">
        <f>IF(G169&gt;G168,H168+C169*F169,C169*F169)</f>
        <v>1.5482510694259422</v>
      </c>
      <c r="I169" s="24">
        <f t="shared" si="10"/>
        <v>0.4</v>
      </c>
      <c r="J169" s="24">
        <f t="shared" si="11"/>
        <v>0</v>
      </c>
      <c r="K169" s="24">
        <f>IF(CurrentMtgRatesDataTable811[[#This Row],[WA CC]]&lt;&gt;0,D168-CurrentMtgRatesDataTable811[[#This Row],[WA CC]],0)</f>
        <v>0</v>
      </c>
      <c r="L169" s="24">
        <f>IF(CurrentMtgRatesDataTable811[[#This Row],[Servicing Spread]]&lt;=0,L168,CurrentMtgRatesDataTable811[[#This Row],[Servicing Spread]])</f>
        <v>0.55152112171128032</v>
      </c>
      <c r="M169" s="24">
        <f>CurrentMtgRatesDataTable811[[#This Row],[SeriesNumValue]]+CurrentMtgRatesDataTable811[[#This Row],[Servicing Spread Non-Zero]]</f>
        <v>4.3603449876269398</v>
      </c>
      <c r="V169">
        <v>3.3250000000000002</v>
      </c>
      <c r="W169" s="3">
        <v>41221</v>
      </c>
    </row>
    <row r="170" spans="2:23" x14ac:dyDescent="0.2">
      <c r="B170" s="27" t="s">
        <v>851</v>
      </c>
      <c r="C170" s="28">
        <v>3.76446810625648</v>
      </c>
      <c r="D170" s="26">
        <v>4.34</v>
      </c>
      <c r="E170" s="24">
        <f t="shared" si="8"/>
        <v>5</v>
      </c>
      <c r="F170" s="24">
        <f>VLOOKUP(E170,Q$5:R$11,2,FALSE)</f>
        <v>0.2</v>
      </c>
      <c r="G170" s="24">
        <f t="shared" si="9"/>
        <v>3</v>
      </c>
      <c r="H170" s="24">
        <f>IF(G170&gt;G169,H169+C170*F170,C170*F170)</f>
        <v>2.3011446906772379</v>
      </c>
      <c r="I170" s="24">
        <f t="shared" si="10"/>
        <v>0.60000000000000009</v>
      </c>
      <c r="J170" s="24">
        <f t="shared" si="11"/>
        <v>0</v>
      </c>
      <c r="K170" s="24">
        <f>IF(CurrentMtgRatesDataTable811[[#This Row],[WA CC]]&lt;&gt;0,D169-CurrentMtgRatesDataTable811[[#This Row],[WA CC]],0)</f>
        <v>0</v>
      </c>
      <c r="L170" s="24">
        <f>IF(CurrentMtgRatesDataTable811[[#This Row],[Servicing Spread]]&lt;=0,L169,CurrentMtgRatesDataTable811[[#This Row],[Servicing Spread]])</f>
        <v>0.55152112171128032</v>
      </c>
      <c r="M170" s="24">
        <f>CurrentMtgRatesDataTable811[[#This Row],[SeriesNumValue]]+CurrentMtgRatesDataTable811[[#This Row],[Servicing Spread Non-Zero]]</f>
        <v>4.3159892279677603</v>
      </c>
      <c r="V170">
        <v>3.3149999999999999</v>
      </c>
      <c r="W170" s="3">
        <v>41214</v>
      </c>
    </row>
    <row r="171" spans="2:23" x14ac:dyDescent="0.2">
      <c r="B171" s="27" t="s">
        <v>852</v>
      </c>
      <c r="C171" s="28">
        <v>3.6570869761159299</v>
      </c>
      <c r="D171" s="26">
        <v>4.34</v>
      </c>
      <c r="E171" s="24">
        <f t="shared" si="8"/>
        <v>6</v>
      </c>
      <c r="F171" s="24">
        <f>VLOOKUP(E171,Q$5:R$11,2,FALSE)</f>
        <v>0.2</v>
      </c>
      <c r="G171" s="24">
        <f t="shared" si="9"/>
        <v>4</v>
      </c>
      <c r="H171" s="24">
        <f>IF(G171&gt;G170,H170+C171*F171,C171*F171)</f>
        <v>3.0325620859004241</v>
      </c>
      <c r="I171" s="24">
        <f t="shared" si="10"/>
        <v>0.8</v>
      </c>
      <c r="J171" s="24">
        <f t="shared" si="11"/>
        <v>0</v>
      </c>
      <c r="K171" s="24">
        <f>IF(CurrentMtgRatesDataTable811[[#This Row],[WA CC]]&lt;&gt;0,D170-CurrentMtgRatesDataTable811[[#This Row],[WA CC]],0)</f>
        <v>0</v>
      </c>
      <c r="L171" s="24">
        <f>IF(CurrentMtgRatesDataTable811[[#This Row],[Servicing Spread]]&lt;=0,L170,CurrentMtgRatesDataTable811[[#This Row],[Servicing Spread]])</f>
        <v>0.55152112171128032</v>
      </c>
      <c r="M171" s="24">
        <f>CurrentMtgRatesDataTable811[[#This Row],[SeriesNumValue]]+CurrentMtgRatesDataTable811[[#This Row],[Servicing Spread Non-Zero]]</f>
        <v>4.2086080978272102</v>
      </c>
      <c r="V171">
        <v>3.335</v>
      </c>
      <c r="W171" s="3">
        <v>41207</v>
      </c>
    </row>
    <row r="172" spans="2:23" x14ac:dyDescent="0.2">
      <c r="B172" s="27" t="s">
        <v>853</v>
      </c>
      <c r="C172" s="28">
        <v>3.61498902203365</v>
      </c>
      <c r="D172" s="26">
        <v>4.34</v>
      </c>
      <c r="E172" s="24">
        <f t="shared" si="8"/>
        <v>7</v>
      </c>
      <c r="F172" s="24">
        <f>VLOOKUP(E172,Q$5:R$11,2,FALSE)</f>
        <v>0.2</v>
      </c>
      <c r="G172" s="24">
        <f t="shared" si="9"/>
        <v>5</v>
      </c>
      <c r="H172" s="24">
        <f>IF(G172&gt;G171,H171+C172*F172,C172*F172)</f>
        <v>3.7555598903071541</v>
      </c>
      <c r="I172" s="24">
        <f t="shared" si="10"/>
        <v>1</v>
      </c>
      <c r="J172" s="24">
        <f t="shared" si="11"/>
        <v>3.7555598903071541</v>
      </c>
      <c r="K172" s="24">
        <f>IF(CurrentMtgRatesDataTable811[[#This Row],[WA CC]]&lt;&gt;0,D171-CurrentMtgRatesDataTable811[[#This Row],[WA CC]],0)</f>
        <v>0.58444010969284577</v>
      </c>
      <c r="L172" s="24">
        <f>IF(CurrentMtgRatesDataTable811[[#This Row],[Servicing Spread]]&lt;=0,L171,CurrentMtgRatesDataTable811[[#This Row],[Servicing Spread]])</f>
        <v>0.58444010969284577</v>
      </c>
      <c r="M172" s="24">
        <f>CurrentMtgRatesDataTable811[[#This Row],[SeriesNumValue]]+CurrentMtgRatesDataTable811[[#This Row],[Servicing Spread Non-Zero]]</f>
        <v>4.1994291317264958</v>
      </c>
      <c r="V172">
        <v>3.2949999999999999</v>
      </c>
      <c r="W172" s="3">
        <v>41200</v>
      </c>
    </row>
    <row r="173" spans="2:23" x14ac:dyDescent="0.2">
      <c r="B173" s="27" t="s">
        <v>854</v>
      </c>
      <c r="C173" s="28">
        <v>3.4866024421459598</v>
      </c>
      <c r="D173" s="26">
        <v>4.2450000000000001</v>
      </c>
      <c r="E173" s="24">
        <f t="shared" si="8"/>
        <v>1</v>
      </c>
      <c r="F173" s="24">
        <f>VLOOKUP(E173,Q$5:R$11,2,FALSE)</f>
        <v>0.2</v>
      </c>
      <c r="G173" s="24">
        <f t="shared" si="9"/>
        <v>1</v>
      </c>
      <c r="H173" s="24">
        <f>IF(G173&gt;G172,H172+C173*F173,C173*F173)</f>
        <v>0.69732048842919203</v>
      </c>
      <c r="I173" s="24">
        <f t="shared" si="10"/>
        <v>0.2</v>
      </c>
      <c r="J173" s="24">
        <f t="shared" si="11"/>
        <v>0</v>
      </c>
      <c r="K173" s="24">
        <f>IF(CurrentMtgRatesDataTable811[[#This Row],[WA CC]]&lt;&gt;0,D172-CurrentMtgRatesDataTable811[[#This Row],[WA CC]],0)</f>
        <v>0</v>
      </c>
      <c r="L173" s="24">
        <f>IF(CurrentMtgRatesDataTable811[[#This Row],[Servicing Spread]]&lt;=0,L172,CurrentMtgRatesDataTable811[[#This Row],[Servicing Spread]])</f>
        <v>0.58444010969284577</v>
      </c>
      <c r="M173" s="24">
        <f>CurrentMtgRatesDataTable811[[#This Row],[SeriesNumValue]]+CurrentMtgRatesDataTable811[[#This Row],[Servicing Spread Non-Zero]]</f>
        <v>4.071042551838806</v>
      </c>
      <c r="V173">
        <v>3.3149999999999999</v>
      </c>
      <c r="W173" s="3">
        <v>41193</v>
      </c>
    </row>
    <row r="174" spans="2:23" x14ac:dyDescent="0.2">
      <c r="B174" s="27" t="s">
        <v>855</v>
      </c>
      <c r="C174" s="28">
        <v>3.6494432992963999</v>
      </c>
      <c r="D174" s="26">
        <v>4.2450000000000001</v>
      </c>
      <c r="E174" s="24">
        <f t="shared" si="8"/>
        <v>2</v>
      </c>
      <c r="F174" s="24">
        <f>VLOOKUP(E174,Q$5:R$11,2,FALSE)</f>
        <v>0.2</v>
      </c>
      <c r="G174" s="24">
        <f t="shared" si="9"/>
        <v>2</v>
      </c>
      <c r="H174" s="24">
        <f>IF(G174&gt;G173,H173+C174*F174,C174*F174)</f>
        <v>1.4272091482884721</v>
      </c>
      <c r="I174" s="24">
        <f t="shared" si="10"/>
        <v>0.4</v>
      </c>
      <c r="J174" s="24">
        <f t="shared" si="11"/>
        <v>0</v>
      </c>
      <c r="K174" s="24">
        <f>IF(CurrentMtgRatesDataTable811[[#This Row],[WA CC]]&lt;&gt;0,D173-CurrentMtgRatesDataTable811[[#This Row],[WA CC]],0)</f>
        <v>0</v>
      </c>
      <c r="L174" s="24">
        <f>IF(CurrentMtgRatesDataTable811[[#This Row],[Servicing Spread]]&lt;=0,L173,CurrentMtgRatesDataTable811[[#This Row],[Servicing Spread]])</f>
        <v>0.58444010969284577</v>
      </c>
      <c r="M174" s="24">
        <f>CurrentMtgRatesDataTable811[[#This Row],[SeriesNumValue]]+CurrentMtgRatesDataTable811[[#This Row],[Servicing Spread Non-Zero]]</f>
        <v>4.2338834089892456</v>
      </c>
      <c r="V174">
        <v>3.26</v>
      </c>
      <c r="W174" s="3">
        <v>41186</v>
      </c>
    </row>
    <row r="175" spans="2:23" x14ac:dyDescent="0.2">
      <c r="B175" s="27" t="s">
        <v>856</v>
      </c>
      <c r="C175" s="28">
        <v>3.5272994184639499</v>
      </c>
      <c r="D175" s="26">
        <v>4.2450000000000001</v>
      </c>
      <c r="E175" s="24">
        <f t="shared" si="8"/>
        <v>5</v>
      </c>
      <c r="F175" s="24">
        <f>VLOOKUP(E175,Q$5:R$11,2,FALSE)</f>
        <v>0.2</v>
      </c>
      <c r="G175" s="24">
        <f t="shared" si="9"/>
        <v>3</v>
      </c>
      <c r="H175" s="24">
        <f>IF(G175&gt;G174,H174+C175*F175,C175*F175)</f>
        <v>2.132669031981262</v>
      </c>
      <c r="I175" s="24">
        <f t="shared" si="10"/>
        <v>0.60000000000000009</v>
      </c>
      <c r="J175" s="24">
        <f t="shared" si="11"/>
        <v>0</v>
      </c>
      <c r="K175" s="24">
        <f>IF(CurrentMtgRatesDataTable811[[#This Row],[WA CC]]&lt;&gt;0,D174-CurrentMtgRatesDataTable811[[#This Row],[WA CC]],0)</f>
        <v>0</v>
      </c>
      <c r="L175" s="24">
        <f>IF(CurrentMtgRatesDataTable811[[#This Row],[Servicing Spread]]&lt;=0,L174,CurrentMtgRatesDataTable811[[#This Row],[Servicing Spread]])</f>
        <v>0.58444010969284577</v>
      </c>
      <c r="M175" s="24">
        <f>CurrentMtgRatesDataTable811[[#This Row],[SeriesNumValue]]+CurrentMtgRatesDataTable811[[#This Row],[Servicing Spread Non-Zero]]</f>
        <v>4.1117395281567957</v>
      </c>
      <c r="V175">
        <v>3.3</v>
      </c>
      <c r="W175" s="3">
        <v>41179</v>
      </c>
    </row>
    <row r="176" spans="2:23" x14ac:dyDescent="0.2">
      <c r="B176" s="27" t="s">
        <v>857</v>
      </c>
      <c r="C176" s="28">
        <v>3.3615209507412498</v>
      </c>
      <c r="D176" s="26">
        <v>4.2450000000000001</v>
      </c>
      <c r="E176" s="24">
        <f t="shared" si="8"/>
        <v>6</v>
      </c>
      <c r="F176" s="24">
        <f>VLOOKUP(E176,Q$5:R$11,2,FALSE)</f>
        <v>0.2</v>
      </c>
      <c r="G176" s="24">
        <f t="shared" si="9"/>
        <v>4</v>
      </c>
      <c r="H176" s="24">
        <f>IF(G176&gt;G175,H175+C176*F176,C176*F176)</f>
        <v>2.8049732221295121</v>
      </c>
      <c r="I176" s="24">
        <f t="shared" si="10"/>
        <v>0.8</v>
      </c>
      <c r="J176" s="24">
        <f t="shared" si="11"/>
        <v>0</v>
      </c>
      <c r="K176" s="24">
        <f>IF(CurrentMtgRatesDataTable811[[#This Row],[WA CC]]&lt;&gt;0,D175-CurrentMtgRatesDataTable811[[#This Row],[WA CC]],0)</f>
        <v>0</v>
      </c>
      <c r="L176" s="24">
        <f>IF(CurrentMtgRatesDataTable811[[#This Row],[Servicing Spread]]&lt;=0,L175,CurrentMtgRatesDataTable811[[#This Row],[Servicing Spread]])</f>
        <v>0.58444010969284577</v>
      </c>
      <c r="M176" s="24">
        <f>CurrentMtgRatesDataTable811[[#This Row],[SeriesNumValue]]+CurrentMtgRatesDataTable811[[#This Row],[Servicing Spread Non-Zero]]</f>
        <v>3.9459610604340956</v>
      </c>
      <c r="V176">
        <v>3.39</v>
      </c>
      <c r="W176" s="3">
        <v>41172</v>
      </c>
    </row>
    <row r="177" spans="2:23" x14ac:dyDescent="0.2">
      <c r="B177" s="27" t="s">
        <v>858</v>
      </c>
      <c r="C177" s="28">
        <v>3.2328090551178201</v>
      </c>
      <c r="D177" s="26">
        <v>4.2450000000000001</v>
      </c>
      <c r="E177" s="24">
        <f t="shared" si="8"/>
        <v>7</v>
      </c>
      <c r="F177" s="24">
        <f>VLOOKUP(E177,Q$5:R$11,2,FALSE)</f>
        <v>0.2</v>
      </c>
      <c r="G177" s="24">
        <f t="shared" si="9"/>
        <v>5</v>
      </c>
      <c r="H177" s="24">
        <f>IF(G177&gt;G176,H176+C177*F177,C177*F177)</f>
        <v>3.4515350331530761</v>
      </c>
      <c r="I177" s="24">
        <f t="shared" si="10"/>
        <v>1</v>
      </c>
      <c r="J177" s="24">
        <f t="shared" si="11"/>
        <v>3.4515350331530761</v>
      </c>
      <c r="K177" s="24">
        <f>IF(CurrentMtgRatesDataTable811[[#This Row],[WA CC]]&lt;&gt;0,D176-CurrentMtgRatesDataTable811[[#This Row],[WA CC]],0)</f>
        <v>0.79346496684692402</v>
      </c>
      <c r="L177" s="24">
        <f>IF(CurrentMtgRatesDataTable811[[#This Row],[Servicing Spread]]&lt;=0,L176,CurrentMtgRatesDataTable811[[#This Row],[Servicing Spread]])</f>
        <v>0.79346496684692402</v>
      </c>
      <c r="M177" s="24">
        <f>CurrentMtgRatesDataTable811[[#This Row],[SeriesNumValue]]+CurrentMtgRatesDataTable811[[#This Row],[Servicing Spread Non-Zero]]</f>
        <v>4.0262740219647437</v>
      </c>
      <c r="V177">
        <v>3.45</v>
      </c>
      <c r="W177" s="3">
        <v>41165</v>
      </c>
    </row>
    <row r="178" spans="2:23" x14ac:dyDescent="0.2">
      <c r="B178" s="27" t="s">
        <v>859</v>
      </c>
      <c r="C178" s="28">
        <v>3.3763418020017699</v>
      </c>
      <c r="D178" s="26">
        <v>4.0750000000000002</v>
      </c>
      <c r="E178" s="24">
        <f t="shared" si="8"/>
        <v>1</v>
      </c>
      <c r="F178" s="24">
        <f>VLOOKUP(E178,Q$5:R$11,2,FALSE)</f>
        <v>0.2</v>
      </c>
      <c r="G178" s="24">
        <f t="shared" si="9"/>
        <v>1</v>
      </c>
      <c r="H178" s="24">
        <f>IF(G178&gt;G177,H177+C178*F178,C178*F178)</f>
        <v>0.67526836040035398</v>
      </c>
      <c r="I178" s="24">
        <f t="shared" si="10"/>
        <v>0.2</v>
      </c>
      <c r="J178" s="24">
        <f t="shared" si="11"/>
        <v>0</v>
      </c>
      <c r="K178" s="24">
        <f>IF(CurrentMtgRatesDataTable811[[#This Row],[WA CC]]&lt;&gt;0,D177-CurrentMtgRatesDataTable811[[#This Row],[WA CC]],0)</f>
        <v>0</v>
      </c>
      <c r="L178" s="24">
        <f>IF(CurrentMtgRatesDataTable811[[#This Row],[Servicing Spread]]&lt;=0,L177,CurrentMtgRatesDataTable811[[#This Row],[Servicing Spread]])</f>
        <v>0.79346496684692402</v>
      </c>
      <c r="M178" s="24">
        <f>CurrentMtgRatesDataTable811[[#This Row],[SeriesNumValue]]+CurrentMtgRatesDataTable811[[#This Row],[Servicing Spread Non-Zero]]</f>
        <v>4.1698067688486944</v>
      </c>
      <c r="V178">
        <v>3.4750000000000001</v>
      </c>
      <c r="W178" s="3">
        <v>41158</v>
      </c>
    </row>
    <row r="179" spans="2:23" x14ac:dyDescent="0.2">
      <c r="B179" s="27" t="s">
        <v>860</v>
      </c>
      <c r="C179" s="28">
        <v>3.31670518615761</v>
      </c>
      <c r="D179" s="26">
        <v>4.0750000000000002</v>
      </c>
      <c r="E179" s="24">
        <f t="shared" si="8"/>
        <v>2</v>
      </c>
      <c r="F179" s="24">
        <f>VLOOKUP(E179,Q$5:R$11,2,FALSE)</f>
        <v>0.2</v>
      </c>
      <c r="G179" s="24">
        <f t="shared" si="9"/>
        <v>2</v>
      </c>
      <c r="H179" s="24">
        <f>IF(G179&gt;G178,H178+C179*F179,C179*F179)</f>
        <v>1.338609397631876</v>
      </c>
      <c r="I179" s="24">
        <f t="shared" si="10"/>
        <v>0.4</v>
      </c>
      <c r="J179" s="24">
        <f t="shared" si="11"/>
        <v>0</v>
      </c>
      <c r="K179" s="24">
        <f>IF(CurrentMtgRatesDataTable811[[#This Row],[WA CC]]&lt;&gt;0,D178-CurrentMtgRatesDataTable811[[#This Row],[WA CC]],0)</f>
        <v>0</v>
      </c>
      <c r="L179" s="24">
        <f>IF(CurrentMtgRatesDataTable811[[#This Row],[Servicing Spread]]&lt;=0,L178,CurrentMtgRatesDataTable811[[#This Row],[Servicing Spread]])</f>
        <v>0.79346496684692402</v>
      </c>
      <c r="M179" s="24">
        <f>CurrentMtgRatesDataTable811[[#This Row],[SeriesNumValue]]+CurrentMtgRatesDataTable811[[#This Row],[Servicing Spread Non-Zero]]</f>
        <v>4.1101701530045336</v>
      </c>
      <c r="V179">
        <v>3.49</v>
      </c>
      <c r="W179" s="3">
        <v>41151</v>
      </c>
    </row>
    <row r="180" spans="2:23" x14ac:dyDescent="0.2">
      <c r="B180" s="27" t="s">
        <v>861</v>
      </c>
      <c r="C180" s="28">
        <v>3.3816169312489701</v>
      </c>
      <c r="D180" s="26">
        <v>4.0750000000000002</v>
      </c>
      <c r="E180" s="24">
        <f t="shared" si="8"/>
        <v>5</v>
      </c>
      <c r="F180" s="24">
        <f>VLOOKUP(E180,Q$5:R$11,2,FALSE)</f>
        <v>0.2</v>
      </c>
      <c r="G180" s="24">
        <f t="shared" si="9"/>
        <v>3</v>
      </c>
      <c r="H180" s="24">
        <f>IF(G180&gt;G179,H179+C180*F180,C180*F180)</f>
        <v>2.0149327838816702</v>
      </c>
      <c r="I180" s="24">
        <f t="shared" si="10"/>
        <v>0.60000000000000009</v>
      </c>
      <c r="J180" s="24">
        <f t="shared" si="11"/>
        <v>0</v>
      </c>
      <c r="K180" s="24">
        <f>IF(CurrentMtgRatesDataTable811[[#This Row],[WA CC]]&lt;&gt;0,D179-CurrentMtgRatesDataTable811[[#This Row],[WA CC]],0)</f>
        <v>0</v>
      </c>
      <c r="L180" s="24">
        <f>IF(CurrentMtgRatesDataTable811[[#This Row],[Servicing Spread]]&lt;=0,L179,CurrentMtgRatesDataTable811[[#This Row],[Servicing Spread]])</f>
        <v>0.79346496684692402</v>
      </c>
      <c r="M180" s="24">
        <f>CurrentMtgRatesDataTable811[[#This Row],[SeriesNumValue]]+CurrentMtgRatesDataTable811[[#This Row],[Servicing Spread Non-Zero]]</f>
        <v>4.1750818980958941</v>
      </c>
      <c r="V180">
        <v>3.585</v>
      </c>
      <c r="W180" s="3">
        <v>41144</v>
      </c>
    </row>
    <row r="181" spans="2:23" x14ac:dyDescent="0.2">
      <c r="B181" s="27" t="s">
        <v>862</v>
      </c>
      <c r="C181" s="28">
        <v>3.3118241286544898</v>
      </c>
      <c r="D181" s="26">
        <v>4.0750000000000002</v>
      </c>
      <c r="E181" s="24">
        <f t="shared" si="8"/>
        <v>6</v>
      </c>
      <c r="F181" s="24">
        <f>VLOOKUP(E181,Q$5:R$11,2,FALSE)</f>
        <v>0.2</v>
      </c>
      <c r="G181" s="24">
        <f t="shared" si="9"/>
        <v>4</v>
      </c>
      <c r="H181" s="24">
        <f>IF(G181&gt;G180,H180+C181*F181,C181*F181)</f>
        <v>2.6772976096125682</v>
      </c>
      <c r="I181" s="24">
        <f t="shared" si="10"/>
        <v>0.8</v>
      </c>
      <c r="J181" s="24">
        <f t="shared" si="11"/>
        <v>0</v>
      </c>
      <c r="K181" s="24">
        <f>IF(CurrentMtgRatesDataTable811[[#This Row],[WA CC]]&lt;&gt;0,D180-CurrentMtgRatesDataTable811[[#This Row],[WA CC]],0)</f>
        <v>0</v>
      </c>
      <c r="L181" s="24">
        <f>IF(CurrentMtgRatesDataTable811[[#This Row],[Servicing Spread]]&lt;=0,L180,CurrentMtgRatesDataTable811[[#This Row],[Servicing Spread]])</f>
        <v>0.79346496684692402</v>
      </c>
      <c r="M181" s="24">
        <f>CurrentMtgRatesDataTable811[[#This Row],[SeriesNumValue]]+CurrentMtgRatesDataTable811[[#This Row],[Servicing Spread Non-Zero]]</f>
        <v>4.1052890955014139</v>
      </c>
      <c r="V181">
        <v>3.52</v>
      </c>
      <c r="W181" s="3">
        <v>41137</v>
      </c>
    </row>
    <row r="182" spans="2:23" x14ac:dyDescent="0.2">
      <c r="B182" s="27" t="s">
        <v>863</v>
      </c>
      <c r="C182" s="28">
        <v>3.26932734313012</v>
      </c>
      <c r="D182" s="26">
        <v>4.0750000000000002</v>
      </c>
      <c r="E182" s="24">
        <f t="shared" si="8"/>
        <v>7</v>
      </c>
      <c r="F182" s="24">
        <f>VLOOKUP(E182,Q$5:R$11,2,FALSE)</f>
        <v>0.2</v>
      </c>
      <c r="G182" s="24">
        <f t="shared" si="9"/>
        <v>5</v>
      </c>
      <c r="H182" s="24">
        <f>IF(G182&gt;G181,H181+C182*F182,C182*F182)</f>
        <v>3.3311630782385921</v>
      </c>
      <c r="I182" s="24">
        <f t="shared" si="10"/>
        <v>1</v>
      </c>
      <c r="J182" s="24">
        <f t="shared" si="11"/>
        <v>3.3311630782385921</v>
      </c>
      <c r="K182" s="24">
        <f>IF(CurrentMtgRatesDataTable811[[#This Row],[WA CC]]&lt;&gt;0,D181-CurrentMtgRatesDataTable811[[#This Row],[WA CC]],0)</f>
        <v>0.74383692176140803</v>
      </c>
      <c r="L182" s="24">
        <f>IF(CurrentMtgRatesDataTable811[[#This Row],[Servicing Spread]]&lt;=0,L181,CurrentMtgRatesDataTable811[[#This Row],[Servicing Spread]])</f>
        <v>0.74383692176140803</v>
      </c>
      <c r="M182" s="24">
        <f>CurrentMtgRatesDataTable811[[#This Row],[SeriesNumValue]]+CurrentMtgRatesDataTable811[[#This Row],[Servicing Spread Non-Zero]]</f>
        <v>4.013164264891528</v>
      </c>
      <c r="V182">
        <v>3.49</v>
      </c>
      <c r="W182" s="3">
        <v>41130</v>
      </c>
    </row>
    <row r="183" spans="2:23" x14ac:dyDescent="0.2">
      <c r="B183" s="27" t="s">
        <v>864</v>
      </c>
      <c r="C183" s="28">
        <v>3.2492398871399901</v>
      </c>
      <c r="D183" s="26">
        <v>4.1449999999999996</v>
      </c>
      <c r="E183" s="24">
        <f t="shared" si="8"/>
        <v>1</v>
      </c>
      <c r="F183" s="24">
        <f>VLOOKUP(E183,Q$5:R$11,2,FALSE)</f>
        <v>0.2</v>
      </c>
      <c r="G183" s="24">
        <f t="shared" si="9"/>
        <v>1</v>
      </c>
      <c r="H183" s="24">
        <f>IF(G183&gt;G182,H182+C183*F183,C183*F183)</f>
        <v>0.64984797742799805</v>
      </c>
      <c r="I183" s="24">
        <f t="shared" si="10"/>
        <v>0.2</v>
      </c>
      <c r="J183" s="24">
        <f t="shared" si="11"/>
        <v>0</v>
      </c>
      <c r="K183" s="24">
        <f>IF(CurrentMtgRatesDataTable811[[#This Row],[WA CC]]&lt;&gt;0,D182-CurrentMtgRatesDataTable811[[#This Row],[WA CC]],0)</f>
        <v>0</v>
      </c>
      <c r="L183" s="24">
        <f>IF(CurrentMtgRatesDataTable811[[#This Row],[Servicing Spread]]&lt;=0,L182,CurrentMtgRatesDataTable811[[#This Row],[Servicing Spread]])</f>
        <v>0.74383692176140803</v>
      </c>
      <c r="M183" s="24">
        <f>CurrentMtgRatesDataTable811[[#This Row],[SeriesNumValue]]+CurrentMtgRatesDataTable811[[#This Row],[Servicing Spread Non-Zero]]</f>
        <v>3.9930768089013982</v>
      </c>
      <c r="V183">
        <v>3.4750000000000001</v>
      </c>
      <c r="W183" s="3">
        <v>41123</v>
      </c>
    </row>
    <row r="184" spans="2:23" x14ac:dyDescent="0.2">
      <c r="B184" s="27" t="s">
        <v>865</v>
      </c>
      <c r="C184" s="28">
        <v>3.2837852746687299</v>
      </c>
      <c r="D184" s="26">
        <v>4.1449999999999996</v>
      </c>
      <c r="E184" s="24">
        <f t="shared" si="8"/>
        <v>2</v>
      </c>
      <c r="F184" s="24">
        <f>VLOOKUP(E184,Q$5:R$11,2,FALSE)</f>
        <v>0.2</v>
      </c>
      <c r="G184" s="24">
        <f t="shared" si="9"/>
        <v>2</v>
      </c>
      <c r="H184" s="24">
        <f>IF(G184&gt;G183,H183+C184*F184,C184*F184)</f>
        <v>1.3066050323617442</v>
      </c>
      <c r="I184" s="24">
        <f t="shared" si="10"/>
        <v>0.4</v>
      </c>
      <c r="J184" s="24">
        <f t="shared" si="11"/>
        <v>0</v>
      </c>
      <c r="K184" s="24">
        <f>IF(CurrentMtgRatesDataTable811[[#This Row],[WA CC]]&lt;&gt;0,D183-CurrentMtgRatesDataTable811[[#This Row],[WA CC]],0)</f>
        <v>0</v>
      </c>
      <c r="L184" s="24">
        <f>IF(CurrentMtgRatesDataTable811[[#This Row],[Servicing Spread]]&lt;=0,L183,CurrentMtgRatesDataTable811[[#This Row],[Servicing Spread]])</f>
        <v>0.74383692176140803</v>
      </c>
      <c r="M184" s="24">
        <f>CurrentMtgRatesDataTable811[[#This Row],[SeriesNumValue]]+CurrentMtgRatesDataTable811[[#This Row],[Servicing Spread Non-Zero]]</f>
        <v>4.027622196430138</v>
      </c>
      <c r="V184">
        <v>3.415</v>
      </c>
      <c r="W184" s="3">
        <v>41116</v>
      </c>
    </row>
    <row r="185" spans="2:23" x14ac:dyDescent="0.2">
      <c r="B185" s="27" t="s">
        <v>866</v>
      </c>
      <c r="C185" s="28">
        <v>3.3037905291021898</v>
      </c>
      <c r="D185" s="26">
        <v>4.1449999999999996</v>
      </c>
      <c r="E185" s="24">
        <f t="shared" si="8"/>
        <v>5</v>
      </c>
      <c r="F185" s="24">
        <f>VLOOKUP(E185,Q$5:R$11,2,FALSE)</f>
        <v>0.2</v>
      </c>
      <c r="G185" s="24">
        <f t="shared" si="9"/>
        <v>3</v>
      </c>
      <c r="H185" s="24">
        <f>IF(G185&gt;G184,H184+C185*F185,C185*F185)</f>
        <v>1.9673631381821823</v>
      </c>
      <c r="I185" s="24">
        <f t="shared" si="10"/>
        <v>0.60000000000000009</v>
      </c>
      <c r="J185" s="24">
        <f t="shared" si="11"/>
        <v>0</v>
      </c>
      <c r="K185" s="24">
        <f>IF(CurrentMtgRatesDataTable811[[#This Row],[WA CC]]&lt;&gt;0,D184-CurrentMtgRatesDataTable811[[#This Row],[WA CC]],0)</f>
        <v>0</v>
      </c>
      <c r="L185" s="24">
        <f>IF(CurrentMtgRatesDataTable811[[#This Row],[Servicing Spread]]&lt;=0,L184,CurrentMtgRatesDataTable811[[#This Row],[Servicing Spread]])</f>
        <v>0.74383692176140803</v>
      </c>
      <c r="M185" s="24">
        <f>CurrentMtgRatesDataTable811[[#This Row],[SeriesNumValue]]+CurrentMtgRatesDataTable811[[#This Row],[Servicing Spread Non-Zero]]</f>
        <v>4.0476274508635974</v>
      </c>
      <c r="V185">
        <v>3.4550000000000001</v>
      </c>
      <c r="W185" s="3">
        <v>41109</v>
      </c>
    </row>
    <row r="186" spans="2:23" x14ac:dyDescent="0.2">
      <c r="B186" s="27" t="s">
        <v>867</v>
      </c>
      <c r="C186" s="28">
        <v>3.3649434025508</v>
      </c>
      <c r="D186" s="26">
        <v>4.1449999999999996</v>
      </c>
      <c r="E186" s="24">
        <f t="shared" si="8"/>
        <v>6</v>
      </c>
      <c r="F186" s="24">
        <f>VLOOKUP(E186,Q$5:R$11,2,FALSE)</f>
        <v>0.2</v>
      </c>
      <c r="G186" s="24">
        <f t="shared" si="9"/>
        <v>4</v>
      </c>
      <c r="H186" s="24">
        <f>IF(G186&gt;G185,H185+C186*F186,C186*F186)</f>
        <v>2.6403518186923423</v>
      </c>
      <c r="I186" s="24">
        <f t="shared" si="10"/>
        <v>0.8</v>
      </c>
      <c r="J186" s="24">
        <f t="shared" si="11"/>
        <v>0</v>
      </c>
      <c r="K186" s="24">
        <f>IF(CurrentMtgRatesDataTable811[[#This Row],[WA CC]]&lt;&gt;0,D185-CurrentMtgRatesDataTable811[[#This Row],[WA CC]],0)</f>
        <v>0</v>
      </c>
      <c r="L186" s="24">
        <f>IF(CurrentMtgRatesDataTable811[[#This Row],[Servicing Spread]]&lt;=0,L185,CurrentMtgRatesDataTable811[[#This Row],[Servicing Spread]])</f>
        <v>0.74383692176140803</v>
      </c>
      <c r="M186" s="24">
        <f>CurrentMtgRatesDataTable811[[#This Row],[SeriesNumValue]]+CurrentMtgRatesDataTable811[[#This Row],[Servicing Spread Non-Zero]]</f>
        <v>4.1087803243122085</v>
      </c>
      <c r="V186">
        <v>3.4849999999999999</v>
      </c>
      <c r="W186" s="3">
        <v>41102</v>
      </c>
    </row>
    <row r="187" spans="2:23" x14ac:dyDescent="0.2">
      <c r="B187" s="27" t="s">
        <v>868</v>
      </c>
      <c r="C187" s="28">
        <v>3.3081684069465198</v>
      </c>
      <c r="D187" s="26">
        <v>4.1449999999999996</v>
      </c>
      <c r="E187" s="24">
        <f t="shared" si="8"/>
        <v>7</v>
      </c>
      <c r="F187" s="24">
        <f>VLOOKUP(E187,Q$5:R$11,2,FALSE)</f>
        <v>0.2</v>
      </c>
      <c r="G187" s="24">
        <f t="shared" si="9"/>
        <v>5</v>
      </c>
      <c r="H187" s="24">
        <f>IF(G187&gt;G186,H186+C187*F187,C187*F187)</f>
        <v>3.3019855000816465</v>
      </c>
      <c r="I187" s="24">
        <f t="shared" si="10"/>
        <v>1</v>
      </c>
      <c r="J187" s="24">
        <f t="shared" si="11"/>
        <v>3.3019855000816465</v>
      </c>
      <c r="K187" s="24">
        <f>IF(CurrentMtgRatesDataTable811[[#This Row],[WA CC]]&lt;&gt;0,D186-CurrentMtgRatesDataTable811[[#This Row],[WA CC]],0)</f>
        <v>0.84301449991835309</v>
      </c>
      <c r="L187" s="24">
        <f>IF(CurrentMtgRatesDataTable811[[#This Row],[Servicing Spread]]&lt;=0,L186,CurrentMtgRatesDataTable811[[#This Row],[Servicing Spread]])</f>
        <v>0.84301449991835309</v>
      </c>
      <c r="M187" s="24">
        <f>CurrentMtgRatesDataTable811[[#This Row],[SeriesNumValue]]+CurrentMtgRatesDataTable811[[#This Row],[Servicing Spread Non-Zero]]</f>
        <v>4.1511829068648733</v>
      </c>
      <c r="V187">
        <v>3.57</v>
      </c>
      <c r="W187" s="3">
        <v>41095</v>
      </c>
    </row>
    <row r="188" spans="2:23" x14ac:dyDescent="0.2">
      <c r="B188" s="27" t="s">
        <v>869</v>
      </c>
      <c r="C188" s="28">
        <v>3.3922014866602601</v>
      </c>
      <c r="D188" s="26">
        <v>4.1449999999999996</v>
      </c>
      <c r="E188" s="24">
        <f t="shared" si="8"/>
        <v>1</v>
      </c>
      <c r="F188" s="24">
        <f>VLOOKUP(E188,Q$5:R$11,2,FALSE)</f>
        <v>0.2</v>
      </c>
      <c r="G188" s="24">
        <f t="shared" si="9"/>
        <v>1</v>
      </c>
      <c r="H188" s="24">
        <f>IF(G188&gt;G187,H187+C188*F188,C188*F188)</f>
        <v>0.67844029733205202</v>
      </c>
      <c r="I188" s="24">
        <f t="shared" si="10"/>
        <v>0.2</v>
      </c>
      <c r="J188" s="24">
        <f t="shared" si="11"/>
        <v>0</v>
      </c>
      <c r="K188" s="24">
        <f>IF(CurrentMtgRatesDataTable811[[#This Row],[WA CC]]&lt;&gt;0,D187-CurrentMtgRatesDataTable811[[#This Row],[WA CC]],0)</f>
        <v>0</v>
      </c>
      <c r="L188" s="24">
        <f>IF(CurrentMtgRatesDataTable811[[#This Row],[Servicing Spread]]&lt;=0,L187,CurrentMtgRatesDataTable811[[#This Row],[Servicing Spread]])</f>
        <v>0.84301449991835309</v>
      </c>
      <c r="M188" s="24">
        <f>CurrentMtgRatesDataTable811[[#This Row],[SeriesNumValue]]+CurrentMtgRatesDataTable811[[#This Row],[Servicing Spread Non-Zero]]</f>
        <v>4.2352159865786128</v>
      </c>
      <c r="V188">
        <v>3.585</v>
      </c>
      <c r="W188" s="3">
        <v>41088</v>
      </c>
    </row>
    <row r="189" spans="2:23" x14ac:dyDescent="0.2">
      <c r="B189" s="27" t="s">
        <v>870</v>
      </c>
      <c r="C189" s="28">
        <v>3.35269320675931</v>
      </c>
      <c r="D189" s="26">
        <v>4.1449999999999996</v>
      </c>
      <c r="E189" s="24">
        <f t="shared" si="8"/>
        <v>2</v>
      </c>
      <c r="F189" s="24">
        <f>VLOOKUP(E189,Q$5:R$11,2,FALSE)</f>
        <v>0.2</v>
      </c>
      <c r="G189" s="24">
        <f t="shared" si="9"/>
        <v>2</v>
      </c>
      <c r="H189" s="24">
        <f>IF(G189&gt;G188,H188+C189*F189,C189*F189)</f>
        <v>1.3489789386839139</v>
      </c>
      <c r="I189" s="24">
        <f t="shared" si="10"/>
        <v>0.4</v>
      </c>
      <c r="J189" s="24">
        <f t="shared" si="11"/>
        <v>0</v>
      </c>
      <c r="K189" s="24">
        <f>IF(CurrentMtgRatesDataTable811[[#This Row],[WA CC]]&lt;&gt;0,D188-CurrentMtgRatesDataTable811[[#This Row],[WA CC]],0)</f>
        <v>0</v>
      </c>
      <c r="L189" s="24">
        <f>IF(CurrentMtgRatesDataTable811[[#This Row],[Servicing Spread]]&lt;=0,L188,CurrentMtgRatesDataTable811[[#This Row],[Servicing Spread]])</f>
        <v>0.84301449991835309</v>
      </c>
      <c r="M189" s="24">
        <f>CurrentMtgRatesDataTable811[[#This Row],[SeriesNumValue]]+CurrentMtgRatesDataTable811[[#This Row],[Servicing Spread Non-Zero]]</f>
        <v>4.1957077066776627</v>
      </c>
      <c r="V189">
        <v>3.585</v>
      </c>
      <c r="W189" s="3">
        <v>41081</v>
      </c>
    </row>
    <row r="190" spans="2:23" x14ac:dyDescent="0.2">
      <c r="B190" s="27" t="s">
        <v>871</v>
      </c>
      <c r="C190" s="28">
        <v>3.44007422057935</v>
      </c>
      <c r="D190" s="26">
        <v>4.1449999999999996</v>
      </c>
      <c r="E190" s="24">
        <f t="shared" si="8"/>
        <v>5</v>
      </c>
      <c r="F190" s="24">
        <f>VLOOKUP(E190,Q$5:R$11,2,FALSE)</f>
        <v>0.2</v>
      </c>
      <c r="G190" s="24">
        <f t="shared" si="9"/>
        <v>3</v>
      </c>
      <c r="H190" s="24">
        <f>IF(G190&gt;G189,H189+C190*F190,C190*F190)</f>
        <v>2.0369937827997839</v>
      </c>
      <c r="I190" s="24">
        <f t="shared" si="10"/>
        <v>0.60000000000000009</v>
      </c>
      <c r="J190" s="24">
        <f t="shared" si="11"/>
        <v>0</v>
      </c>
      <c r="K190" s="24">
        <f>IF(CurrentMtgRatesDataTable811[[#This Row],[WA CC]]&lt;&gt;0,D189-CurrentMtgRatesDataTable811[[#This Row],[WA CC]],0)</f>
        <v>0</v>
      </c>
      <c r="L190" s="24">
        <f>IF(CurrentMtgRatesDataTable811[[#This Row],[Servicing Spread]]&lt;=0,L189,CurrentMtgRatesDataTable811[[#This Row],[Servicing Spread]])</f>
        <v>0.84301449991835309</v>
      </c>
      <c r="M190" s="24">
        <f>CurrentMtgRatesDataTable811[[#This Row],[SeriesNumValue]]+CurrentMtgRatesDataTable811[[#This Row],[Servicing Spread Non-Zero]]</f>
        <v>4.2830887204977035</v>
      </c>
      <c r="V190">
        <v>3.6349999999999998</v>
      </c>
      <c r="W190" s="3">
        <v>41074</v>
      </c>
    </row>
    <row r="191" spans="2:23" x14ac:dyDescent="0.2">
      <c r="B191" s="27" t="s">
        <v>872</v>
      </c>
      <c r="C191" s="28">
        <v>3.3588973610641801</v>
      </c>
      <c r="D191" s="26">
        <v>4.1449999999999996</v>
      </c>
      <c r="E191" s="24">
        <f t="shared" si="8"/>
        <v>6</v>
      </c>
      <c r="F191" s="24">
        <f>VLOOKUP(E191,Q$5:R$11,2,FALSE)</f>
        <v>0.2</v>
      </c>
      <c r="G191" s="24">
        <f t="shared" si="9"/>
        <v>4</v>
      </c>
      <c r="H191" s="24">
        <f>IF(G191&gt;G190,H190+C191*F191,C191*F191)</f>
        <v>2.7087732550126198</v>
      </c>
      <c r="I191" s="24">
        <f t="shared" si="10"/>
        <v>0.8</v>
      </c>
      <c r="J191" s="24">
        <f t="shared" si="11"/>
        <v>0</v>
      </c>
      <c r="K191" s="24">
        <f>IF(CurrentMtgRatesDataTable811[[#This Row],[WA CC]]&lt;&gt;0,D190-CurrentMtgRatesDataTable811[[#This Row],[WA CC]],0)</f>
        <v>0</v>
      </c>
      <c r="L191" s="24">
        <f>IF(CurrentMtgRatesDataTable811[[#This Row],[Servicing Spread]]&lt;=0,L190,CurrentMtgRatesDataTable811[[#This Row],[Servicing Spread]])</f>
        <v>0.84301449991835309</v>
      </c>
      <c r="M191" s="24">
        <f>CurrentMtgRatesDataTable811[[#This Row],[SeriesNumValue]]+CurrentMtgRatesDataTable811[[#This Row],[Servicing Spread Non-Zero]]</f>
        <v>4.2019118609825332</v>
      </c>
      <c r="V191">
        <v>3.5950000000000002</v>
      </c>
      <c r="W191" s="3">
        <v>41067</v>
      </c>
    </row>
    <row r="192" spans="2:23" x14ac:dyDescent="0.2">
      <c r="B192" s="27" t="s">
        <v>873</v>
      </c>
      <c r="C192" s="28">
        <v>3.4273948025536498</v>
      </c>
      <c r="D192" s="26">
        <v>4.1449999999999996</v>
      </c>
      <c r="E192" s="24">
        <f t="shared" si="8"/>
        <v>7</v>
      </c>
      <c r="F192" s="24">
        <f>VLOOKUP(E192,Q$5:R$11,2,FALSE)</f>
        <v>0.2</v>
      </c>
      <c r="G192" s="24">
        <f t="shared" si="9"/>
        <v>5</v>
      </c>
      <c r="H192" s="24">
        <f>IF(G192&gt;G191,H191+C192*F192,C192*F192)</f>
        <v>3.3942522155233497</v>
      </c>
      <c r="I192" s="24">
        <f t="shared" si="10"/>
        <v>1</v>
      </c>
      <c r="J192" s="24">
        <f t="shared" si="11"/>
        <v>3.3942522155233497</v>
      </c>
      <c r="K192" s="24">
        <f>IF(CurrentMtgRatesDataTable811[[#This Row],[WA CC]]&lt;&gt;0,D191-CurrentMtgRatesDataTable811[[#This Row],[WA CC]],0)</f>
        <v>0.75074778447664992</v>
      </c>
      <c r="L192" s="24">
        <f>IF(CurrentMtgRatesDataTable811[[#This Row],[Servicing Spread]]&lt;=0,L191,CurrentMtgRatesDataTable811[[#This Row],[Servicing Spread]])</f>
        <v>0.75074778447664992</v>
      </c>
      <c r="M192" s="24">
        <f>CurrentMtgRatesDataTable811[[#This Row],[SeriesNumValue]]+CurrentMtgRatesDataTable811[[#This Row],[Servicing Spread Non-Zero]]</f>
        <v>4.1781425870302993</v>
      </c>
      <c r="V192">
        <v>3.7</v>
      </c>
      <c r="W192" s="3">
        <v>41060</v>
      </c>
    </row>
    <row r="193" spans="2:23" x14ac:dyDescent="0.2">
      <c r="B193" s="27" t="s">
        <v>874</v>
      </c>
      <c r="C193" s="28">
        <v>3.3636197658163201</v>
      </c>
      <c r="D193" s="26">
        <v>4.0449999999999999</v>
      </c>
      <c r="E193" s="24">
        <f t="shared" si="8"/>
        <v>1</v>
      </c>
      <c r="F193" s="24">
        <f>VLOOKUP(E193,Q$5:R$11,2,FALSE)</f>
        <v>0.2</v>
      </c>
      <c r="G193" s="24">
        <f t="shared" si="9"/>
        <v>1</v>
      </c>
      <c r="H193" s="24">
        <f>IF(G193&gt;G192,H192+C193*F193,C193*F193)</f>
        <v>0.67272395316326405</v>
      </c>
      <c r="I193" s="24">
        <f t="shared" si="10"/>
        <v>0.2</v>
      </c>
      <c r="J193" s="24">
        <f t="shared" si="11"/>
        <v>0</v>
      </c>
      <c r="K193" s="24">
        <f>IF(CurrentMtgRatesDataTable811[[#This Row],[WA CC]]&lt;&gt;0,D192-CurrentMtgRatesDataTable811[[#This Row],[WA CC]],0)</f>
        <v>0</v>
      </c>
      <c r="L193" s="24">
        <f>IF(CurrentMtgRatesDataTable811[[#This Row],[Servicing Spread]]&lt;=0,L192,CurrentMtgRatesDataTable811[[#This Row],[Servicing Spread]])</f>
        <v>0.75074778447664992</v>
      </c>
      <c r="M193" s="24">
        <f>CurrentMtgRatesDataTable811[[#This Row],[SeriesNumValue]]+CurrentMtgRatesDataTable811[[#This Row],[Servicing Spread Non-Zero]]</f>
        <v>4.11436755029297</v>
      </c>
      <c r="V193">
        <v>3.73</v>
      </c>
      <c r="W193" s="3">
        <v>41053</v>
      </c>
    </row>
    <row r="194" spans="2:23" x14ac:dyDescent="0.2">
      <c r="B194" s="27" t="s">
        <v>875</v>
      </c>
      <c r="C194" s="28">
        <v>3.2634227208320401</v>
      </c>
      <c r="D194" s="26">
        <v>4.0449999999999999</v>
      </c>
      <c r="E194" s="24">
        <f t="shared" si="8"/>
        <v>2</v>
      </c>
      <c r="F194" s="24">
        <f>VLOOKUP(E194,Q$5:R$11,2,FALSE)</f>
        <v>0.2</v>
      </c>
      <c r="G194" s="24">
        <f t="shared" si="9"/>
        <v>2</v>
      </c>
      <c r="H194" s="24">
        <f>IF(G194&gt;G193,H193+C194*F194,C194*F194)</f>
        <v>1.325408497329672</v>
      </c>
      <c r="I194" s="24">
        <f t="shared" si="10"/>
        <v>0.4</v>
      </c>
      <c r="J194" s="24">
        <f t="shared" si="11"/>
        <v>0</v>
      </c>
      <c r="K194" s="24">
        <f>IF(CurrentMtgRatesDataTable811[[#This Row],[WA CC]]&lt;&gt;0,D193-CurrentMtgRatesDataTable811[[#This Row],[WA CC]],0)</f>
        <v>0</v>
      </c>
      <c r="L194" s="24">
        <f>IF(CurrentMtgRatesDataTable811[[#This Row],[Servicing Spread]]&lt;=0,L193,CurrentMtgRatesDataTable811[[#This Row],[Servicing Spread]])</f>
        <v>0.75074778447664992</v>
      </c>
      <c r="M194" s="24">
        <f>CurrentMtgRatesDataTable811[[#This Row],[SeriesNumValue]]+CurrentMtgRatesDataTable811[[#This Row],[Servicing Spread Non-Zero]]</f>
        <v>4.01417050530869</v>
      </c>
      <c r="V194">
        <v>3.7149999999999999</v>
      </c>
      <c r="W194" s="3">
        <v>41046</v>
      </c>
    </row>
    <row r="195" spans="2:23" x14ac:dyDescent="0.2">
      <c r="B195" s="27" t="s">
        <v>876</v>
      </c>
      <c r="C195" s="28">
        <v>3.2630175220730102</v>
      </c>
      <c r="D195" s="26">
        <v>4.0449999999999999</v>
      </c>
      <c r="E195" s="24">
        <f t="shared" ref="E195:E258" si="12">WEEKDAY(B195,14)</f>
        <v>6</v>
      </c>
      <c r="F195" s="24">
        <f>VLOOKUP(E195,Q$5:R$11,2,FALSE)</f>
        <v>0.2</v>
      </c>
      <c r="G195" s="24">
        <f t="shared" ref="G195:G258" si="13">IF(AND(E195&gt;E194,G194&lt;6),G194+1,1)</f>
        <v>3</v>
      </c>
      <c r="H195" s="24">
        <f>IF(G195&gt;G194,H194+C195*F195,C195*F195)</f>
        <v>1.9780120017442742</v>
      </c>
      <c r="I195" s="24">
        <f t="shared" ref="I195:I258" si="14">IF(AND(G195&lt;6,G195&gt;G194),F195+I194,F195)</f>
        <v>0.60000000000000009</v>
      </c>
      <c r="J195" s="24">
        <f t="shared" ref="J195:J258" si="15">IF(G195&gt;G196,H195/I195,0)</f>
        <v>0</v>
      </c>
      <c r="K195" s="24">
        <f>IF(CurrentMtgRatesDataTable811[[#This Row],[WA CC]]&lt;&gt;0,D194-CurrentMtgRatesDataTable811[[#This Row],[WA CC]],0)</f>
        <v>0</v>
      </c>
      <c r="L195" s="24">
        <f>IF(CurrentMtgRatesDataTable811[[#This Row],[Servicing Spread]]&lt;=0,L194,CurrentMtgRatesDataTable811[[#This Row],[Servicing Spread]])</f>
        <v>0.75074778447664992</v>
      </c>
      <c r="M195" s="24">
        <f>CurrentMtgRatesDataTable811[[#This Row],[SeriesNumValue]]+CurrentMtgRatesDataTable811[[#This Row],[Servicing Spread Non-Zero]]</f>
        <v>4.0137653065496597</v>
      </c>
      <c r="V195">
        <v>3.7549999999999999</v>
      </c>
      <c r="W195" s="3">
        <v>41039</v>
      </c>
    </row>
    <row r="196" spans="2:23" x14ac:dyDescent="0.2">
      <c r="B196" s="27" t="s">
        <v>877</v>
      </c>
      <c r="C196" s="28">
        <v>3.3161398377086599</v>
      </c>
      <c r="D196" s="26">
        <v>4.0449999999999999</v>
      </c>
      <c r="E196" s="24">
        <f t="shared" si="12"/>
        <v>7</v>
      </c>
      <c r="F196" s="24">
        <f>VLOOKUP(E196,Q$5:R$11,2,FALSE)</f>
        <v>0.2</v>
      </c>
      <c r="G196" s="24">
        <f t="shared" si="13"/>
        <v>4</v>
      </c>
      <c r="H196" s="24">
        <f>IF(G196&gt;G195,H195+C196*F196,C196*F196)</f>
        <v>2.6412399692860062</v>
      </c>
      <c r="I196" s="24">
        <f t="shared" si="14"/>
        <v>0.8</v>
      </c>
      <c r="J196" s="24">
        <f t="shared" si="15"/>
        <v>3.3015499616075075</v>
      </c>
      <c r="K196" s="24">
        <f>IF(CurrentMtgRatesDataTable811[[#This Row],[WA CC]]&lt;&gt;0,D195-CurrentMtgRatesDataTable811[[#This Row],[WA CC]],0)</f>
        <v>0.74345003839249246</v>
      </c>
      <c r="L196" s="24">
        <f>IF(CurrentMtgRatesDataTable811[[#This Row],[Servicing Spread]]&lt;=0,L195,CurrentMtgRatesDataTable811[[#This Row],[Servicing Spread]])</f>
        <v>0.74345003839249246</v>
      </c>
      <c r="M196" s="24">
        <f>CurrentMtgRatesDataTable811[[#This Row],[SeriesNumValue]]+CurrentMtgRatesDataTable811[[#This Row],[Servicing Spread Non-Zero]]</f>
        <v>4.0595898761011524</v>
      </c>
      <c r="V196">
        <v>3.79</v>
      </c>
      <c r="W196" s="3">
        <v>41032</v>
      </c>
    </row>
    <row r="197" spans="2:23" x14ac:dyDescent="0.2">
      <c r="B197" s="27" t="s">
        <v>878</v>
      </c>
      <c r="C197" s="28">
        <v>3.2850540934441099</v>
      </c>
      <c r="D197" s="26">
        <v>4.0149999999999997</v>
      </c>
      <c r="E197" s="24">
        <f t="shared" si="12"/>
        <v>1</v>
      </c>
      <c r="F197" s="24">
        <f>VLOOKUP(E197,Q$5:R$11,2,FALSE)</f>
        <v>0.2</v>
      </c>
      <c r="G197" s="24">
        <f t="shared" si="13"/>
        <v>1</v>
      </c>
      <c r="H197" s="24">
        <f>IF(G197&gt;G196,H196+C197*F197,C197*F197)</f>
        <v>0.65701081868882205</v>
      </c>
      <c r="I197" s="24">
        <f t="shared" si="14"/>
        <v>0.2</v>
      </c>
      <c r="J197" s="24">
        <f t="shared" si="15"/>
        <v>0</v>
      </c>
      <c r="K197" s="24">
        <f>IF(CurrentMtgRatesDataTable811[[#This Row],[WA CC]]&lt;&gt;0,D196-CurrentMtgRatesDataTable811[[#This Row],[WA CC]],0)</f>
        <v>0</v>
      </c>
      <c r="L197" s="24">
        <f>IF(CurrentMtgRatesDataTable811[[#This Row],[Servicing Spread]]&lt;=0,L196,CurrentMtgRatesDataTable811[[#This Row],[Servicing Spread]])</f>
        <v>0.74345003839249246</v>
      </c>
      <c r="M197" s="24">
        <f>CurrentMtgRatesDataTable811[[#This Row],[SeriesNumValue]]+CurrentMtgRatesDataTable811[[#This Row],[Servicing Spread Non-Zero]]</f>
        <v>4.0285041318366019</v>
      </c>
      <c r="V197">
        <v>3.8050000000000002</v>
      </c>
      <c r="W197" s="3">
        <v>41025</v>
      </c>
    </row>
    <row r="198" spans="2:23" x14ac:dyDescent="0.2">
      <c r="B198" s="27" t="s">
        <v>879</v>
      </c>
      <c r="C198" s="28">
        <v>3.2179153943453298</v>
      </c>
      <c r="D198" s="26">
        <v>4.0149999999999997</v>
      </c>
      <c r="E198" s="24">
        <f t="shared" si="12"/>
        <v>2</v>
      </c>
      <c r="F198" s="24">
        <f>VLOOKUP(E198,Q$5:R$11,2,FALSE)</f>
        <v>0.2</v>
      </c>
      <c r="G198" s="24">
        <f t="shared" si="13"/>
        <v>2</v>
      </c>
      <c r="H198" s="24">
        <f>IF(G198&gt;G197,H197+C198*F198,C198*F198)</f>
        <v>1.3005938975578881</v>
      </c>
      <c r="I198" s="24">
        <f t="shared" si="14"/>
        <v>0.4</v>
      </c>
      <c r="J198" s="24">
        <f t="shared" si="15"/>
        <v>0</v>
      </c>
      <c r="K198" s="24">
        <f>IF(CurrentMtgRatesDataTable811[[#This Row],[WA CC]]&lt;&gt;0,D197-CurrentMtgRatesDataTable811[[#This Row],[WA CC]],0)</f>
        <v>0</v>
      </c>
      <c r="L198" s="24">
        <f>IF(CurrentMtgRatesDataTable811[[#This Row],[Servicing Spread]]&lt;=0,L197,CurrentMtgRatesDataTable811[[#This Row],[Servicing Spread]])</f>
        <v>0.74345003839249246</v>
      </c>
      <c r="M198" s="24">
        <f>CurrentMtgRatesDataTable811[[#This Row],[SeriesNumValue]]+CurrentMtgRatesDataTable811[[#This Row],[Servicing Spread Non-Zero]]</f>
        <v>3.9613654327378223</v>
      </c>
      <c r="V198">
        <v>3.85</v>
      </c>
      <c r="W198" s="3">
        <v>41018</v>
      </c>
    </row>
    <row r="199" spans="2:23" x14ac:dyDescent="0.2">
      <c r="B199" s="27" t="s">
        <v>880</v>
      </c>
      <c r="C199" s="28">
        <v>3.26610474456754</v>
      </c>
      <c r="D199" s="26">
        <v>4.0149999999999997</v>
      </c>
      <c r="E199" s="24">
        <f t="shared" si="12"/>
        <v>5</v>
      </c>
      <c r="F199" s="24">
        <f>VLOOKUP(E199,Q$5:R$11,2,FALSE)</f>
        <v>0.2</v>
      </c>
      <c r="G199" s="24">
        <f t="shared" si="13"/>
        <v>3</v>
      </c>
      <c r="H199" s="24">
        <f>IF(G199&gt;G198,H198+C199*F199,C199*F199)</f>
        <v>1.953814846471396</v>
      </c>
      <c r="I199" s="24">
        <f t="shared" si="14"/>
        <v>0.60000000000000009</v>
      </c>
      <c r="J199" s="24">
        <f t="shared" si="15"/>
        <v>0</v>
      </c>
      <c r="K199" s="24">
        <f>IF(CurrentMtgRatesDataTable811[[#This Row],[WA CC]]&lt;&gt;0,D198-CurrentMtgRatesDataTable811[[#This Row],[WA CC]],0)</f>
        <v>0</v>
      </c>
      <c r="L199" s="24">
        <f>IF(CurrentMtgRatesDataTable811[[#This Row],[Servicing Spread]]&lt;=0,L198,CurrentMtgRatesDataTable811[[#This Row],[Servicing Spread]])</f>
        <v>0.74345003839249246</v>
      </c>
      <c r="M199" s="24">
        <f>CurrentMtgRatesDataTable811[[#This Row],[SeriesNumValue]]+CurrentMtgRatesDataTable811[[#This Row],[Servicing Spread Non-Zero]]</f>
        <v>4.0095547829600324</v>
      </c>
      <c r="V199">
        <v>3.8050000000000002</v>
      </c>
      <c r="W199" s="3">
        <v>41011</v>
      </c>
    </row>
    <row r="200" spans="2:23" x14ac:dyDescent="0.2">
      <c r="B200" s="27" t="s">
        <v>881</v>
      </c>
      <c r="C200" s="28">
        <v>3.3011183094631602</v>
      </c>
      <c r="D200" s="26">
        <v>4.0149999999999997</v>
      </c>
      <c r="E200" s="24">
        <f t="shared" si="12"/>
        <v>6</v>
      </c>
      <c r="F200" s="24">
        <f>VLOOKUP(E200,Q$5:R$11,2,FALSE)</f>
        <v>0.2</v>
      </c>
      <c r="G200" s="24">
        <f t="shared" si="13"/>
        <v>4</v>
      </c>
      <c r="H200" s="24">
        <f>IF(G200&gt;G199,H199+C200*F200,C200*F200)</f>
        <v>2.6140385083640281</v>
      </c>
      <c r="I200" s="24">
        <f t="shared" si="14"/>
        <v>0.8</v>
      </c>
      <c r="J200" s="24">
        <f t="shared" si="15"/>
        <v>0</v>
      </c>
      <c r="K200" s="24">
        <f>IF(CurrentMtgRatesDataTable811[[#This Row],[WA CC]]&lt;&gt;0,D199-CurrentMtgRatesDataTable811[[#This Row],[WA CC]],0)</f>
        <v>0</v>
      </c>
      <c r="L200" s="24">
        <f>IF(CurrentMtgRatesDataTable811[[#This Row],[Servicing Spread]]&lt;=0,L199,CurrentMtgRatesDataTable811[[#This Row],[Servicing Spread]])</f>
        <v>0.74345003839249246</v>
      </c>
      <c r="M200" s="24">
        <f>CurrentMtgRatesDataTable811[[#This Row],[SeriesNumValue]]+CurrentMtgRatesDataTable811[[#This Row],[Servicing Spread Non-Zero]]</f>
        <v>4.0445683478556527</v>
      </c>
      <c r="V200">
        <v>3.9049999999999998</v>
      </c>
      <c r="W200" s="3">
        <v>41004</v>
      </c>
    </row>
    <row r="201" spans="2:23" x14ac:dyDescent="0.2">
      <c r="B201" s="27" t="s">
        <v>882</v>
      </c>
      <c r="C201" s="28">
        <v>3.3005008889944101</v>
      </c>
      <c r="D201" s="26">
        <v>4.0149999999999997</v>
      </c>
      <c r="E201" s="24">
        <f t="shared" si="12"/>
        <v>7</v>
      </c>
      <c r="F201" s="24">
        <f>VLOOKUP(E201,Q$5:R$11,2,FALSE)</f>
        <v>0.2</v>
      </c>
      <c r="G201" s="24">
        <f t="shared" si="13"/>
        <v>5</v>
      </c>
      <c r="H201" s="24">
        <f>IF(G201&gt;G200,H200+C201*F201,C201*F201)</f>
        <v>3.2741386861629103</v>
      </c>
      <c r="I201" s="24">
        <f t="shared" si="14"/>
        <v>1</v>
      </c>
      <c r="J201" s="24">
        <f t="shared" si="15"/>
        <v>3.2741386861629103</v>
      </c>
      <c r="K201" s="24">
        <f>IF(CurrentMtgRatesDataTable811[[#This Row],[WA CC]]&lt;&gt;0,D200-CurrentMtgRatesDataTable811[[#This Row],[WA CC]],0)</f>
        <v>0.74086131383708942</v>
      </c>
      <c r="L201" s="24">
        <f>IF(CurrentMtgRatesDataTable811[[#This Row],[Servicing Spread]]&lt;=0,L200,CurrentMtgRatesDataTable811[[#This Row],[Servicing Spread]])</f>
        <v>0.74086131383708942</v>
      </c>
      <c r="M201" s="24">
        <f>CurrentMtgRatesDataTable811[[#This Row],[SeriesNumValue]]+CurrentMtgRatesDataTable811[[#This Row],[Servicing Spread Non-Zero]]</f>
        <v>4.0413622028314995</v>
      </c>
      <c r="V201">
        <v>3.915</v>
      </c>
      <c r="W201" s="3">
        <v>40997</v>
      </c>
    </row>
    <row r="202" spans="2:23" x14ac:dyDescent="0.2">
      <c r="B202" s="27" t="s">
        <v>883</v>
      </c>
      <c r="C202" s="28">
        <v>3.3472561381998802</v>
      </c>
      <c r="D202" s="26">
        <v>4.0149999999999997</v>
      </c>
      <c r="E202" s="24">
        <f t="shared" si="12"/>
        <v>1</v>
      </c>
      <c r="F202" s="24">
        <f>VLOOKUP(E202,Q$5:R$11,2,FALSE)</f>
        <v>0.2</v>
      </c>
      <c r="G202" s="24">
        <f t="shared" si="13"/>
        <v>1</v>
      </c>
      <c r="H202" s="24">
        <f>IF(G202&gt;G201,H201+C202*F202,C202*F202)</f>
        <v>0.66945122763997611</v>
      </c>
      <c r="I202" s="24">
        <f t="shared" si="14"/>
        <v>0.2</v>
      </c>
      <c r="J202" s="24">
        <f t="shared" si="15"/>
        <v>0</v>
      </c>
      <c r="K202" s="24">
        <f>IF(CurrentMtgRatesDataTable811[[#This Row],[WA CC]]&lt;&gt;0,D201-CurrentMtgRatesDataTable811[[#This Row],[WA CC]],0)</f>
        <v>0</v>
      </c>
      <c r="L202" s="24">
        <f>IF(CurrentMtgRatesDataTable811[[#This Row],[Servicing Spread]]&lt;=0,L201,CurrentMtgRatesDataTable811[[#This Row],[Servicing Spread]])</f>
        <v>0.74086131383708942</v>
      </c>
      <c r="M202" s="24">
        <f>CurrentMtgRatesDataTable811[[#This Row],[SeriesNumValue]]+CurrentMtgRatesDataTable811[[#This Row],[Servicing Spread Non-Zero]]</f>
        <v>4.0881174520369701</v>
      </c>
      <c r="V202">
        <v>4.03</v>
      </c>
      <c r="W202" s="3">
        <v>40990</v>
      </c>
    </row>
    <row r="203" spans="2:23" x14ac:dyDescent="0.2">
      <c r="B203" s="27" t="s">
        <v>884</v>
      </c>
      <c r="C203" s="28">
        <v>3.3468903558930401</v>
      </c>
      <c r="D203" s="26">
        <v>4.0149999999999997</v>
      </c>
      <c r="E203" s="24">
        <f t="shared" si="12"/>
        <v>2</v>
      </c>
      <c r="F203" s="24">
        <f>VLOOKUP(E203,Q$5:R$11,2,FALSE)</f>
        <v>0.2</v>
      </c>
      <c r="G203" s="24">
        <f t="shared" si="13"/>
        <v>2</v>
      </c>
      <c r="H203" s="24">
        <f>IF(G203&gt;G202,H202+C203*F203,C203*F203)</f>
        <v>1.3388292988185841</v>
      </c>
      <c r="I203" s="24">
        <f t="shared" si="14"/>
        <v>0.4</v>
      </c>
      <c r="J203" s="24">
        <f t="shared" si="15"/>
        <v>0</v>
      </c>
      <c r="K203" s="24">
        <f>IF(CurrentMtgRatesDataTable811[[#This Row],[WA CC]]&lt;&gt;0,D202-CurrentMtgRatesDataTable811[[#This Row],[WA CC]],0)</f>
        <v>0</v>
      </c>
      <c r="L203" s="24">
        <f>IF(CurrentMtgRatesDataTable811[[#This Row],[Servicing Spread]]&lt;=0,L202,CurrentMtgRatesDataTable811[[#This Row],[Servicing Spread]])</f>
        <v>0.74086131383708942</v>
      </c>
      <c r="M203" s="24">
        <f>CurrentMtgRatesDataTable811[[#This Row],[SeriesNumValue]]+CurrentMtgRatesDataTable811[[#This Row],[Servicing Spread Non-Zero]]</f>
        <v>4.0877516697301299</v>
      </c>
      <c r="V203">
        <v>3.87</v>
      </c>
      <c r="W203" s="3">
        <v>40983</v>
      </c>
    </row>
    <row r="204" spans="2:23" x14ac:dyDescent="0.2">
      <c r="B204" s="27" t="s">
        <v>885</v>
      </c>
      <c r="C204" s="28">
        <v>3.2381411967187499</v>
      </c>
      <c r="D204" s="26">
        <v>4.0149999999999997</v>
      </c>
      <c r="E204" s="24">
        <f t="shared" si="12"/>
        <v>5</v>
      </c>
      <c r="F204" s="24">
        <f>VLOOKUP(E204,Q$5:R$11,2,FALSE)</f>
        <v>0.2</v>
      </c>
      <c r="G204" s="24">
        <f t="shared" si="13"/>
        <v>3</v>
      </c>
      <c r="H204" s="24">
        <f>IF(G204&gt;G203,H203+C204*F204,C204*F204)</f>
        <v>1.9864575381623342</v>
      </c>
      <c r="I204" s="24">
        <f t="shared" si="14"/>
        <v>0.60000000000000009</v>
      </c>
      <c r="J204" s="24">
        <f t="shared" si="15"/>
        <v>0</v>
      </c>
      <c r="K204" s="24">
        <f>IF(CurrentMtgRatesDataTable811[[#This Row],[WA CC]]&lt;&gt;0,D203-CurrentMtgRatesDataTable811[[#This Row],[WA CC]],0)</f>
        <v>0</v>
      </c>
      <c r="L204" s="24">
        <f>IF(CurrentMtgRatesDataTable811[[#This Row],[Servicing Spread]]&lt;=0,L203,CurrentMtgRatesDataTable811[[#This Row],[Servicing Spread]])</f>
        <v>0.74086131383708942</v>
      </c>
      <c r="M204" s="24">
        <f>CurrentMtgRatesDataTable811[[#This Row],[SeriesNumValue]]+CurrentMtgRatesDataTable811[[#This Row],[Servicing Spread Non-Zero]]</f>
        <v>3.9790025105558393</v>
      </c>
      <c r="V204">
        <v>3.83</v>
      </c>
      <c r="W204" s="3">
        <v>40976</v>
      </c>
    </row>
    <row r="205" spans="2:23" x14ac:dyDescent="0.2">
      <c r="B205" s="27" t="s">
        <v>886</v>
      </c>
      <c r="C205" s="28">
        <v>3.25926253404289</v>
      </c>
      <c r="D205" s="26">
        <v>4.0149999999999997</v>
      </c>
      <c r="E205" s="24">
        <f t="shared" si="12"/>
        <v>6</v>
      </c>
      <c r="F205" s="24">
        <f>VLOOKUP(E205,Q$5:R$11,2,FALSE)</f>
        <v>0.2</v>
      </c>
      <c r="G205" s="24">
        <f t="shared" si="13"/>
        <v>4</v>
      </c>
      <c r="H205" s="24">
        <f>IF(G205&gt;G204,H204+C205*F205,C205*F205)</f>
        <v>2.638310044970912</v>
      </c>
      <c r="I205" s="24">
        <f t="shared" si="14"/>
        <v>0.8</v>
      </c>
      <c r="J205" s="24">
        <f t="shared" si="15"/>
        <v>0</v>
      </c>
      <c r="K205" s="24">
        <f>IF(CurrentMtgRatesDataTable811[[#This Row],[WA CC]]&lt;&gt;0,D204-CurrentMtgRatesDataTable811[[#This Row],[WA CC]],0)</f>
        <v>0</v>
      </c>
      <c r="L205" s="24">
        <f>IF(CurrentMtgRatesDataTable811[[#This Row],[Servicing Spread]]&lt;=0,L204,CurrentMtgRatesDataTable811[[#This Row],[Servicing Spread]])</f>
        <v>0.74086131383708942</v>
      </c>
      <c r="M205" s="24">
        <f>CurrentMtgRatesDataTable811[[#This Row],[SeriesNumValue]]+CurrentMtgRatesDataTable811[[#This Row],[Servicing Spread Non-Zero]]</f>
        <v>4.0001238478799799</v>
      </c>
      <c r="V205">
        <v>3.85</v>
      </c>
      <c r="W205" s="3">
        <v>40969</v>
      </c>
    </row>
    <row r="206" spans="2:23" x14ac:dyDescent="0.2">
      <c r="B206" s="27" t="s">
        <v>887</v>
      </c>
      <c r="C206" s="28">
        <v>3.0193449968875199</v>
      </c>
      <c r="D206" s="26">
        <v>4.0149999999999997</v>
      </c>
      <c r="E206" s="24">
        <f t="shared" si="12"/>
        <v>7</v>
      </c>
      <c r="F206" s="24">
        <f>VLOOKUP(E206,Q$5:R$11,2,FALSE)</f>
        <v>0.2</v>
      </c>
      <c r="G206" s="24">
        <f t="shared" si="13"/>
        <v>5</v>
      </c>
      <c r="H206" s="24">
        <f>IF(G206&gt;G205,H205+C206*F206,C206*F206)</f>
        <v>3.2421790443484162</v>
      </c>
      <c r="I206" s="24">
        <f t="shared" si="14"/>
        <v>1</v>
      </c>
      <c r="J206" s="24">
        <f t="shared" si="15"/>
        <v>3.2421790443484162</v>
      </c>
      <c r="K206" s="24">
        <f>IF(CurrentMtgRatesDataTable811[[#This Row],[WA CC]]&lt;&gt;0,D205-CurrentMtgRatesDataTable811[[#This Row],[WA CC]],0)</f>
        <v>0.77282095565158349</v>
      </c>
      <c r="L206" s="24">
        <f>IF(CurrentMtgRatesDataTable811[[#This Row],[Servicing Spread]]&lt;=0,L205,CurrentMtgRatesDataTable811[[#This Row],[Servicing Spread]])</f>
        <v>0.77282095565158349</v>
      </c>
      <c r="M206" s="24">
        <f>CurrentMtgRatesDataTable811[[#This Row],[SeriesNumValue]]+CurrentMtgRatesDataTable811[[#This Row],[Servicing Spread Non-Zero]]</f>
        <v>3.7921659525391034</v>
      </c>
      <c r="V206">
        <v>3.9</v>
      </c>
      <c r="W206" s="3">
        <v>40962</v>
      </c>
    </row>
    <row r="207" spans="2:23" x14ac:dyDescent="0.2">
      <c r="B207" s="27" t="s">
        <v>888</v>
      </c>
      <c r="C207" s="28">
        <v>2.8513672376672798</v>
      </c>
      <c r="D207" s="26">
        <v>3.9349999999999996</v>
      </c>
      <c r="E207" s="24">
        <f t="shared" si="12"/>
        <v>1</v>
      </c>
      <c r="F207" s="24">
        <f>VLOOKUP(E207,Q$5:R$11,2,FALSE)</f>
        <v>0.2</v>
      </c>
      <c r="G207" s="24">
        <f t="shared" si="13"/>
        <v>1</v>
      </c>
      <c r="H207" s="24">
        <f>IF(G207&gt;G206,H206+C207*F207,C207*F207)</f>
        <v>0.57027344753345599</v>
      </c>
      <c r="I207" s="24">
        <f t="shared" si="14"/>
        <v>0.2</v>
      </c>
      <c r="J207" s="24">
        <f t="shared" si="15"/>
        <v>0</v>
      </c>
      <c r="K207" s="24">
        <f>IF(CurrentMtgRatesDataTable811[[#This Row],[WA CC]]&lt;&gt;0,D206-CurrentMtgRatesDataTable811[[#This Row],[WA CC]],0)</f>
        <v>0</v>
      </c>
      <c r="L207" s="24">
        <f>IF(CurrentMtgRatesDataTable811[[#This Row],[Servicing Spread]]&lt;=0,L206,CurrentMtgRatesDataTable811[[#This Row],[Servicing Spread]])</f>
        <v>0.77282095565158349</v>
      </c>
      <c r="M207" s="24">
        <f>CurrentMtgRatesDataTable811[[#This Row],[SeriesNumValue]]+CurrentMtgRatesDataTable811[[#This Row],[Servicing Spread Non-Zero]]</f>
        <v>3.6241881933188633</v>
      </c>
      <c r="V207">
        <v>3.82</v>
      </c>
      <c r="W207" s="3">
        <v>40955</v>
      </c>
    </row>
    <row r="208" spans="2:23" x14ac:dyDescent="0.2">
      <c r="B208" s="27" t="s">
        <v>889</v>
      </c>
      <c r="C208" s="28">
        <v>2.9787961071901798</v>
      </c>
      <c r="D208" s="26">
        <v>3.9349999999999996</v>
      </c>
      <c r="E208" s="24">
        <f t="shared" si="12"/>
        <v>2</v>
      </c>
      <c r="F208" s="24">
        <f>VLOOKUP(E208,Q$5:R$11,2,FALSE)</f>
        <v>0.2</v>
      </c>
      <c r="G208" s="24">
        <f t="shared" si="13"/>
        <v>2</v>
      </c>
      <c r="H208" s="24">
        <f>IF(G208&gt;G207,H207+C208*F208,C208*F208)</f>
        <v>1.1660326689714919</v>
      </c>
      <c r="I208" s="24">
        <f t="shared" si="14"/>
        <v>0.4</v>
      </c>
      <c r="J208" s="24">
        <f t="shared" si="15"/>
        <v>0</v>
      </c>
      <c r="K208" s="24">
        <f>IF(CurrentMtgRatesDataTable811[[#This Row],[WA CC]]&lt;&gt;0,D207-CurrentMtgRatesDataTable811[[#This Row],[WA CC]],0)</f>
        <v>0</v>
      </c>
      <c r="L208" s="24">
        <f>IF(CurrentMtgRatesDataTable811[[#This Row],[Servicing Spread]]&lt;=0,L207,CurrentMtgRatesDataTable811[[#This Row],[Servicing Spread]])</f>
        <v>0.77282095565158349</v>
      </c>
      <c r="M208" s="24">
        <f>CurrentMtgRatesDataTable811[[#This Row],[SeriesNumValue]]+CurrentMtgRatesDataTable811[[#This Row],[Servicing Spread Non-Zero]]</f>
        <v>3.7516170628417633</v>
      </c>
      <c r="V208">
        <v>3.82</v>
      </c>
      <c r="W208" s="3">
        <v>40948</v>
      </c>
    </row>
    <row r="209" spans="2:23" x14ac:dyDescent="0.2">
      <c r="B209" s="27" t="s">
        <v>890</v>
      </c>
      <c r="C209" s="28">
        <v>3.0707186110207298</v>
      </c>
      <c r="D209" s="26">
        <v>3.9349999999999996</v>
      </c>
      <c r="E209" s="24">
        <f t="shared" si="12"/>
        <v>5</v>
      </c>
      <c r="F209" s="24">
        <f>VLOOKUP(E209,Q$5:R$11,2,FALSE)</f>
        <v>0.2</v>
      </c>
      <c r="G209" s="24">
        <f t="shared" si="13"/>
        <v>3</v>
      </c>
      <c r="H209" s="24">
        <f>IF(G209&gt;G208,H208+C209*F209,C209*F209)</f>
        <v>1.7801763911756381</v>
      </c>
      <c r="I209" s="24">
        <f t="shared" si="14"/>
        <v>0.60000000000000009</v>
      </c>
      <c r="J209" s="24">
        <f t="shared" si="15"/>
        <v>0</v>
      </c>
      <c r="K209" s="24">
        <f>IF(CurrentMtgRatesDataTable811[[#This Row],[WA CC]]&lt;&gt;0,D208-CurrentMtgRatesDataTable811[[#This Row],[WA CC]],0)</f>
        <v>0</v>
      </c>
      <c r="L209" s="24">
        <f>IF(CurrentMtgRatesDataTable811[[#This Row],[Servicing Spread]]&lt;=0,L208,CurrentMtgRatesDataTable811[[#This Row],[Servicing Spread]])</f>
        <v>0.77282095565158349</v>
      </c>
      <c r="M209" s="24">
        <f>CurrentMtgRatesDataTable811[[#This Row],[SeriesNumValue]]+CurrentMtgRatesDataTable811[[#This Row],[Servicing Spread Non-Zero]]</f>
        <v>3.8435395666723133</v>
      </c>
      <c r="V209">
        <v>3.82</v>
      </c>
      <c r="W209" s="3">
        <v>40941</v>
      </c>
    </row>
    <row r="210" spans="2:23" x14ac:dyDescent="0.2">
      <c r="B210" s="27" t="s">
        <v>891</v>
      </c>
      <c r="C210" s="28">
        <v>3.19162579468055</v>
      </c>
      <c r="D210" s="26">
        <v>3.9349999999999996</v>
      </c>
      <c r="E210" s="24">
        <f t="shared" si="12"/>
        <v>6</v>
      </c>
      <c r="F210" s="24">
        <f>VLOOKUP(E210,Q$5:R$11,2,FALSE)</f>
        <v>0.2</v>
      </c>
      <c r="G210" s="24">
        <f t="shared" si="13"/>
        <v>4</v>
      </c>
      <c r="H210" s="24">
        <f>IF(G210&gt;G209,H209+C210*F210,C210*F210)</f>
        <v>2.4185015501117482</v>
      </c>
      <c r="I210" s="24">
        <f t="shared" si="14"/>
        <v>0.8</v>
      </c>
      <c r="J210" s="24">
        <f t="shared" si="15"/>
        <v>0</v>
      </c>
      <c r="K210" s="24">
        <f>IF(CurrentMtgRatesDataTable811[[#This Row],[WA CC]]&lt;&gt;0,D209-CurrentMtgRatesDataTable811[[#This Row],[WA CC]],0)</f>
        <v>0</v>
      </c>
      <c r="L210" s="24">
        <f>IF(CurrentMtgRatesDataTable811[[#This Row],[Servicing Spread]]&lt;=0,L209,CurrentMtgRatesDataTable811[[#This Row],[Servicing Spread]])</f>
        <v>0.77282095565158349</v>
      </c>
      <c r="M210" s="24">
        <f>CurrentMtgRatesDataTable811[[#This Row],[SeriesNumValue]]+CurrentMtgRatesDataTable811[[#This Row],[Servicing Spread Non-Zero]]</f>
        <v>3.9644467503321335</v>
      </c>
      <c r="V210">
        <v>3.9049999999999998</v>
      </c>
      <c r="W210" s="3">
        <v>40934</v>
      </c>
    </row>
    <row r="211" spans="2:23" x14ac:dyDescent="0.2">
      <c r="B211" s="27" t="s">
        <v>892</v>
      </c>
      <c r="C211" s="28">
        <v>3.16373332869864</v>
      </c>
      <c r="D211" s="26">
        <v>3.9349999999999996</v>
      </c>
      <c r="E211" s="24">
        <f t="shared" si="12"/>
        <v>7</v>
      </c>
      <c r="F211" s="24">
        <f>VLOOKUP(E211,Q$5:R$11,2,FALSE)</f>
        <v>0.2</v>
      </c>
      <c r="G211" s="24">
        <f t="shared" si="13"/>
        <v>5</v>
      </c>
      <c r="H211" s="24">
        <f>IF(G211&gt;G210,H210+C211*F211,C211*F211)</f>
        <v>3.0512482158514764</v>
      </c>
      <c r="I211" s="24">
        <f t="shared" si="14"/>
        <v>1</v>
      </c>
      <c r="J211" s="24">
        <f t="shared" si="15"/>
        <v>3.0512482158514764</v>
      </c>
      <c r="K211" s="24">
        <f>IF(CurrentMtgRatesDataTable811[[#This Row],[WA CC]]&lt;&gt;0,D210-CurrentMtgRatesDataTable811[[#This Row],[WA CC]],0)</f>
        <v>0.88375178414852318</v>
      </c>
      <c r="L211" s="24">
        <f>IF(CurrentMtgRatesDataTable811[[#This Row],[Servicing Spread]]&lt;=0,L210,CurrentMtgRatesDataTable811[[#This Row],[Servicing Spread]])</f>
        <v>0.88375178414852318</v>
      </c>
      <c r="M211" s="24">
        <f>CurrentMtgRatesDataTable811[[#This Row],[SeriesNumValue]]+CurrentMtgRatesDataTable811[[#This Row],[Servicing Spread Non-Zero]]</f>
        <v>4.0474851128471627</v>
      </c>
      <c r="V211">
        <v>3.83</v>
      </c>
      <c r="W211" s="3">
        <v>40927</v>
      </c>
    </row>
    <row r="212" spans="2:23" x14ac:dyDescent="0.2">
      <c r="B212" s="27" t="s">
        <v>893</v>
      </c>
      <c r="C212" s="28">
        <v>3.08102846716154</v>
      </c>
      <c r="D212" s="26">
        <v>3.89</v>
      </c>
      <c r="E212" s="24">
        <f t="shared" si="12"/>
        <v>1</v>
      </c>
      <c r="F212" s="24">
        <f>VLOOKUP(E212,Q$5:R$11,2,FALSE)</f>
        <v>0.2</v>
      </c>
      <c r="G212" s="24">
        <f t="shared" si="13"/>
        <v>1</v>
      </c>
      <c r="H212" s="24">
        <f>IF(G212&gt;G211,H211+C212*F212,C212*F212)</f>
        <v>0.61620569343230802</v>
      </c>
      <c r="I212" s="24">
        <f t="shared" si="14"/>
        <v>0.2</v>
      </c>
      <c r="J212" s="24">
        <f t="shared" si="15"/>
        <v>0</v>
      </c>
      <c r="K212" s="24">
        <f>IF(CurrentMtgRatesDataTable811[[#This Row],[WA CC]]&lt;&gt;0,D211-CurrentMtgRatesDataTable811[[#This Row],[WA CC]],0)</f>
        <v>0</v>
      </c>
      <c r="L212" s="24">
        <f>IF(CurrentMtgRatesDataTable811[[#This Row],[Servicing Spread]]&lt;=0,L211,CurrentMtgRatesDataTable811[[#This Row],[Servicing Spread]])</f>
        <v>0.88375178414852318</v>
      </c>
      <c r="M212" s="24">
        <f>CurrentMtgRatesDataTable811[[#This Row],[SeriesNumValue]]+CurrentMtgRatesDataTable811[[#This Row],[Servicing Spread Non-Zero]]</f>
        <v>3.9647802513100632</v>
      </c>
      <c r="V212">
        <v>3.8149999999999999</v>
      </c>
      <c r="W212" s="3">
        <v>40920</v>
      </c>
    </row>
    <row r="213" spans="2:23" x14ac:dyDescent="0.2">
      <c r="B213" s="27" t="s">
        <v>894</v>
      </c>
      <c r="C213" s="28">
        <v>3.0385261527896099</v>
      </c>
      <c r="D213" s="26">
        <v>3.89</v>
      </c>
      <c r="E213" s="24">
        <f t="shared" si="12"/>
        <v>2</v>
      </c>
      <c r="F213" s="24">
        <f>VLOOKUP(E213,Q$5:R$11,2,FALSE)</f>
        <v>0.2</v>
      </c>
      <c r="G213" s="24">
        <f t="shared" si="13"/>
        <v>2</v>
      </c>
      <c r="H213" s="24">
        <f>IF(G213&gt;G212,H212+C213*F213,C213*F213)</f>
        <v>1.2239109239902302</v>
      </c>
      <c r="I213" s="24">
        <f t="shared" si="14"/>
        <v>0.4</v>
      </c>
      <c r="J213" s="24">
        <f t="shared" si="15"/>
        <v>0</v>
      </c>
      <c r="K213" s="24">
        <f>IF(CurrentMtgRatesDataTable811[[#This Row],[WA CC]]&lt;&gt;0,D212-CurrentMtgRatesDataTable811[[#This Row],[WA CC]],0)</f>
        <v>0</v>
      </c>
      <c r="L213" s="24">
        <f>IF(CurrentMtgRatesDataTable811[[#This Row],[Servicing Spread]]&lt;=0,L212,CurrentMtgRatesDataTable811[[#This Row],[Servicing Spread]])</f>
        <v>0.88375178414852318</v>
      </c>
      <c r="M213" s="24">
        <f>CurrentMtgRatesDataTable811[[#This Row],[SeriesNumValue]]+CurrentMtgRatesDataTable811[[#This Row],[Servicing Spread Non-Zero]]</f>
        <v>3.9222779369381331</v>
      </c>
      <c r="V213">
        <v>3.86</v>
      </c>
      <c r="W213" s="3">
        <v>40913</v>
      </c>
    </row>
    <row r="214" spans="2:23" x14ac:dyDescent="0.2">
      <c r="B214" s="27" t="s">
        <v>895</v>
      </c>
      <c r="C214" s="28">
        <v>2.9658180500681501</v>
      </c>
      <c r="D214" s="26">
        <v>3.89</v>
      </c>
      <c r="E214" s="24">
        <f t="shared" si="12"/>
        <v>5</v>
      </c>
      <c r="F214" s="24">
        <f>VLOOKUP(E214,Q$5:R$11,2,FALSE)</f>
        <v>0.2</v>
      </c>
      <c r="G214" s="24">
        <f t="shared" si="13"/>
        <v>3</v>
      </c>
      <c r="H214" s="24">
        <f>IF(G214&gt;G213,H213+C214*F214,C214*F214)</f>
        <v>1.8170745340038601</v>
      </c>
      <c r="I214" s="24">
        <f t="shared" si="14"/>
        <v>0.60000000000000009</v>
      </c>
      <c r="J214" s="24">
        <f t="shared" si="15"/>
        <v>0</v>
      </c>
      <c r="K214" s="24">
        <f>IF(CurrentMtgRatesDataTable811[[#This Row],[WA CC]]&lt;&gt;0,D213-CurrentMtgRatesDataTable811[[#This Row],[WA CC]],0)</f>
        <v>0</v>
      </c>
      <c r="L214" s="24">
        <f>IF(CurrentMtgRatesDataTable811[[#This Row],[Servicing Spread]]&lt;=0,L213,CurrentMtgRatesDataTable811[[#This Row],[Servicing Spread]])</f>
        <v>0.88375178414852318</v>
      </c>
      <c r="M214" s="24">
        <f>CurrentMtgRatesDataTable811[[#This Row],[SeriesNumValue]]+CurrentMtgRatesDataTable811[[#This Row],[Servicing Spread Non-Zero]]</f>
        <v>3.8495698342166733</v>
      </c>
      <c r="V214">
        <v>3.875</v>
      </c>
      <c r="W214" s="3">
        <v>40906</v>
      </c>
    </row>
    <row r="215" spans="2:23" x14ac:dyDescent="0.2">
      <c r="B215" s="27" t="s">
        <v>896</v>
      </c>
      <c r="C215" s="28">
        <v>3.0428155900438001</v>
      </c>
      <c r="D215" s="26">
        <v>3.89</v>
      </c>
      <c r="E215" s="24">
        <f t="shared" si="12"/>
        <v>6</v>
      </c>
      <c r="F215" s="24">
        <f>VLOOKUP(E215,Q$5:R$11,2,FALSE)</f>
        <v>0.2</v>
      </c>
      <c r="G215" s="24">
        <f t="shared" si="13"/>
        <v>4</v>
      </c>
      <c r="H215" s="24">
        <f>IF(G215&gt;G214,H214+C215*F215,C215*F215)</f>
        <v>2.4256376520126199</v>
      </c>
      <c r="I215" s="24">
        <f t="shared" si="14"/>
        <v>0.8</v>
      </c>
      <c r="J215" s="24">
        <f t="shared" si="15"/>
        <v>0</v>
      </c>
      <c r="K215" s="24">
        <f>IF(CurrentMtgRatesDataTable811[[#This Row],[WA CC]]&lt;&gt;0,D214-CurrentMtgRatesDataTable811[[#This Row],[WA CC]],0)</f>
        <v>0</v>
      </c>
      <c r="L215" s="24">
        <f>IF(CurrentMtgRatesDataTable811[[#This Row],[Servicing Spread]]&lt;=0,L214,CurrentMtgRatesDataTable811[[#This Row],[Servicing Spread]])</f>
        <v>0.88375178414852318</v>
      </c>
      <c r="M215" s="24">
        <f>CurrentMtgRatesDataTable811[[#This Row],[SeriesNumValue]]+CurrentMtgRatesDataTable811[[#This Row],[Servicing Spread Non-Zero]]</f>
        <v>3.9265673741923233</v>
      </c>
      <c r="V215">
        <v>3.835</v>
      </c>
      <c r="W215" s="3">
        <v>40899</v>
      </c>
    </row>
    <row r="216" spans="2:23" x14ac:dyDescent="0.2">
      <c r="B216" s="27" t="s">
        <v>897</v>
      </c>
      <c r="C216" s="28">
        <v>3.1183780726897798</v>
      </c>
      <c r="D216" s="26">
        <v>3.89</v>
      </c>
      <c r="E216" s="24">
        <f t="shared" si="12"/>
        <v>7</v>
      </c>
      <c r="F216" s="24">
        <f>VLOOKUP(E216,Q$5:R$11,2,FALSE)</f>
        <v>0.2</v>
      </c>
      <c r="G216" s="24">
        <f t="shared" si="13"/>
        <v>5</v>
      </c>
      <c r="H216" s="24">
        <f>IF(G216&gt;G215,H215+C216*F216,C216*F216)</f>
        <v>3.049313266550576</v>
      </c>
      <c r="I216" s="24">
        <f t="shared" si="14"/>
        <v>1</v>
      </c>
      <c r="J216" s="24">
        <f t="shared" si="15"/>
        <v>3.049313266550576</v>
      </c>
      <c r="K216" s="24">
        <f>IF(CurrentMtgRatesDataTable811[[#This Row],[WA CC]]&lt;&gt;0,D215-CurrentMtgRatesDataTable811[[#This Row],[WA CC]],0)</f>
        <v>0.84068673344942413</v>
      </c>
      <c r="L216" s="24">
        <f>IF(CurrentMtgRatesDataTable811[[#This Row],[Servicing Spread]]&lt;=0,L215,CurrentMtgRatesDataTable811[[#This Row],[Servicing Spread]])</f>
        <v>0.84068673344942413</v>
      </c>
      <c r="M216" s="24">
        <f>CurrentMtgRatesDataTable811[[#This Row],[SeriesNumValue]]+CurrentMtgRatesDataTable811[[#This Row],[Servicing Spread Non-Zero]]</f>
        <v>3.959064806139204</v>
      </c>
      <c r="V216">
        <v>3.89</v>
      </c>
      <c r="W216" s="3">
        <v>40892</v>
      </c>
    </row>
    <row r="217" spans="2:23" x14ac:dyDescent="0.2">
      <c r="B217" s="27" t="s">
        <v>898</v>
      </c>
      <c r="C217" s="28">
        <v>3.1859593753289501</v>
      </c>
      <c r="D217" s="26">
        <v>4.07</v>
      </c>
      <c r="E217" s="24">
        <f t="shared" si="12"/>
        <v>1</v>
      </c>
      <c r="F217" s="24">
        <f>VLOOKUP(E217,Q$5:R$11,2,FALSE)</f>
        <v>0.2</v>
      </c>
      <c r="G217" s="24">
        <f t="shared" si="13"/>
        <v>1</v>
      </c>
      <c r="H217" s="24">
        <f>IF(G217&gt;G216,H216+C217*F217,C217*F217)</f>
        <v>0.63719187506579011</v>
      </c>
      <c r="I217" s="24">
        <f t="shared" si="14"/>
        <v>0.2</v>
      </c>
      <c r="J217" s="24">
        <f t="shared" si="15"/>
        <v>0</v>
      </c>
      <c r="K217" s="24">
        <f>IF(CurrentMtgRatesDataTable811[[#This Row],[WA CC]]&lt;&gt;0,D216-CurrentMtgRatesDataTable811[[#This Row],[WA CC]],0)</f>
        <v>0</v>
      </c>
      <c r="L217" s="24">
        <f>IF(CurrentMtgRatesDataTable811[[#This Row],[Servicing Spread]]&lt;=0,L216,CurrentMtgRatesDataTable811[[#This Row],[Servicing Spread]])</f>
        <v>0.84068673344942413</v>
      </c>
      <c r="M217" s="24">
        <f>CurrentMtgRatesDataTable811[[#This Row],[SeriesNumValue]]+CurrentMtgRatesDataTable811[[#This Row],[Servicing Spread Non-Zero]]</f>
        <v>4.0266461087783743</v>
      </c>
      <c r="V217">
        <v>3.915</v>
      </c>
      <c r="W217" s="3">
        <v>40885</v>
      </c>
    </row>
    <row r="218" spans="2:23" x14ac:dyDescent="0.2">
      <c r="B218" s="27" t="s">
        <v>899</v>
      </c>
      <c r="C218" s="28">
        <v>3.2827632035572001</v>
      </c>
      <c r="D218" s="26">
        <v>4.07</v>
      </c>
      <c r="E218" s="24">
        <f t="shared" si="12"/>
        <v>2</v>
      </c>
      <c r="F218" s="24">
        <f>VLOOKUP(E218,Q$5:R$11,2,FALSE)</f>
        <v>0.2</v>
      </c>
      <c r="G218" s="24">
        <f t="shared" si="13"/>
        <v>2</v>
      </c>
      <c r="H218" s="24">
        <f>IF(G218&gt;G217,H217+C218*F218,C218*F218)</f>
        <v>1.29374451577723</v>
      </c>
      <c r="I218" s="24">
        <f t="shared" si="14"/>
        <v>0.4</v>
      </c>
      <c r="J218" s="24">
        <f t="shared" si="15"/>
        <v>0</v>
      </c>
      <c r="K218" s="24">
        <f>IF(CurrentMtgRatesDataTable811[[#This Row],[WA CC]]&lt;&gt;0,D217-CurrentMtgRatesDataTable811[[#This Row],[WA CC]],0)</f>
        <v>0</v>
      </c>
      <c r="L218" s="24">
        <f>IF(CurrentMtgRatesDataTable811[[#This Row],[Servicing Spread]]&lt;=0,L217,CurrentMtgRatesDataTable811[[#This Row],[Servicing Spread]])</f>
        <v>0.84068673344942413</v>
      </c>
      <c r="M218" s="24">
        <f>CurrentMtgRatesDataTable811[[#This Row],[SeriesNumValue]]+CurrentMtgRatesDataTable811[[#This Row],[Servicing Spread Non-Zero]]</f>
        <v>4.1234499370066242</v>
      </c>
      <c r="V218">
        <v>3.9249999999999998</v>
      </c>
      <c r="W218" s="3">
        <v>40878</v>
      </c>
    </row>
    <row r="219" spans="2:23" x14ac:dyDescent="0.2">
      <c r="B219" s="27" t="s">
        <v>900</v>
      </c>
      <c r="C219" s="28">
        <v>3.3168034791382999</v>
      </c>
      <c r="D219" s="26">
        <v>4.07</v>
      </c>
      <c r="E219" s="24">
        <f t="shared" si="12"/>
        <v>6</v>
      </c>
      <c r="F219" s="24">
        <f>VLOOKUP(E219,Q$5:R$11,2,FALSE)</f>
        <v>0.2</v>
      </c>
      <c r="G219" s="24">
        <f t="shared" si="13"/>
        <v>3</v>
      </c>
      <c r="H219" s="24">
        <f>IF(G219&gt;G218,H218+C219*F219,C219*F219)</f>
        <v>1.9571052116048899</v>
      </c>
      <c r="I219" s="24">
        <f t="shared" si="14"/>
        <v>0.60000000000000009</v>
      </c>
      <c r="J219" s="24">
        <f t="shared" si="15"/>
        <v>0</v>
      </c>
      <c r="K219" s="24">
        <f>IF(CurrentMtgRatesDataTable811[[#This Row],[WA CC]]&lt;&gt;0,D218-CurrentMtgRatesDataTable811[[#This Row],[WA CC]],0)</f>
        <v>0</v>
      </c>
      <c r="L219" s="24">
        <f>IF(CurrentMtgRatesDataTable811[[#This Row],[Servicing Spread]]&lt;=0,L218,CurrentMtgRatesDataTable811[[#This Row],[Servicing Spread]])</f>
        <v>0.84068673344942413</v>
      </c>
      <c r="M219" s="24">
        <f>CurrentMtgRatesDataTable811[[#This Row],[SeriesNumValue]]+CurrentMtgRatesDataTable811[[#This Row],[Servicing Spread Non-Zero]]</f>
        <v>4.1574902125877244</v>
      </c>
      <c r="V219">
        <v>3.9049999999999998</v>
      </c>
      <c r="W219" s="3">
        <v>40870</v>
      </c>
    </row>
    <row r="220" spans="2:23" x14ac:dyDescent="0.2">
      <c r="B220" s="27" t="s">
        <v>901</v>
      </c>
      <c r="C220" s="28">
        <v>3.3378096663708501</v>
      </c>
      <c r="D220" s="26">
        <v>4.07</v>
      </c>
      <c r="E220" s="24">
        <f t="shared" si="12"/>
        <v>7</v>
      </c>
      <c r="F220" s="24">
        <f>VLOOKUP(E220,Q$5:R$11,2,FALSE)</f>
        <v>0.2</v>
      </c>
      <c r="G220" s="24">
        <f t="shared" si="13"/>
        <v>4</v>
      </c>
      <c r="H220" s="24">
        <f>IF(G220&gt;G219,H219+C220*F220,C220*F220)</f>
        <v>2.6246671448790599</v>
      </c>
      <c r="I220" s="24">
        <f t="shared" si="14"/>
        <v>0.8</v>
      </c>
      <c r="J220" s="24">
        <f t="shared" si="15"/>
        <v>3.2808339310988246</v>
      </c>
      <c r="K220" s="24">
        <f>IF(CurrentMtgRatesDataTable811[[#This Row],[WA CC]]&lt;&gt;0,D219-CurrentMtgRatesDataTable811[[#This Row],[WA CC]],0)</f>
        <v>0.78916606890117569</v>
      </c>
      <c r="L220" s="24">
        <f>IF(CurrentMtgRatesDataTable811[[#This Row],[Servicing Spread]]&lt;=0,L219,CurrentMtgRatesDataTable811[[#This Row],[Servicing Spread]])</f>
        <v>0.78916606890117569</v>
      </c>
      <c r="M220" s="24">
        <f>CurrentMtgRatesDataTable811[[#This Row],[SeriesNumValue]]+CurrentMtgRatesDataTable811[[#This Row],[Servicing Spread Non-Zero]]</f>
        <v>4.1269757352720262</v>
      </c>
      <c r="V220">
        <v>3.9249999999999998</v>
      </c>
      <c r="W220" s="3">
        <v>40864</v>
      </c>
    </row>
    <row r="221" spans="2:23" x14ac:dyDescent="0.2">
      <c r="B221" s="27" t="s">
        <v>902</v>
      </c>
      <c r="C221" s="28">
        <v>3.3067216512953301</v>
      </c>
      <c r="D221" s="26">
        <v>4.0600000000000005</v>
      </c>
      <c r="E221" s="24">
        <f t="shared" si="12"/>
        <v>1</v>
      </c>
      <c r="F221" s="24">
        <f>VLOOKUP(E221,Q$5:R$11,2,FALSE)</f>
        <v>0.2</v>
      </c>
      <c r="G221" s="24">
        <f t="shared" si="13"/>
        <v>1</v>
      </c>
      <c r="H221" s="24">
        <f>IF(G221&gt;G220,H220+C221*F221,C221*F221)</f>
        <v>0.66134433025906603</v>
      </c>
      <c r="I221" s="24">
        <f t="shared" si="14"/>
        <v>0.2</v>
      </c>
      <c r="J221" s="24">
        <f t="shared" si="15"/>
        <v>0</v>
      </c>
      <c r="K221" s="24">
        <f>IF(CurrentMtgRatesDataTable811[[#This Row],[WA CC]]&lt;&gt;0,D220-CurrentMtgRatesDataTable811[[#This Row],[WA CC]],0)</f>
        <v>0</v>
      </c>
      <c r="L221" s="24">
        <f>IF(CurrentMtgRatesDataTable811[[#This Row],[Servicing Spread]]&lt;=0,L220,CurrentMtgRatesDataTable811[[#This Row],[Servicing Spread]])</f>
        <v>0.78916606890117569</v>
      </c>
      <c r="M221" s="24">
        <f>CurrentMtgRatesDataTable811[[#This Row],[SeriesNumValue]]+CurrentMtgRatesDataTable811[[#This Row],[Servicing Spread Non-Zero]]</f>
        <v>4.0958877201965063</v>
      </c>
      <c r="V221">
        <v>3.915</v>
      </c>
      <c r="W221" s="3">
        <v>40857</v>
      </c>
    </row>
    <row r="222" spans="2:23" x14ac:dyDescent="0.2">
      <c r="B222" s="27" t="s">
        <v>903</v>
      </c>
      <c r="C222" s="28">
        <v>3.3644554409980398</v>
      </c>
      <c r="D222" s="26">
        <v>4.0600000000000005</v>
      </c>
      <c r="E222" s="24">
        <f t="shared" si="12"/>
        <v>2</v>
      </c>
      <c r="F222" s="24">
        <f>VLOOKUP(E222,Q$5:R$11,2,FALSE)</f>
        <v>0.2</v>
      </c>
      <c r="G222" s="24">
        <f t="shared" si="13"/>
        <v>2</v>
      </c>
      <c r="H222" s="24">
        <f>IF(G222&gt;G221,H221+C222*F222,C222*F222)</f>
        <v>1.334235418458674</v>
      </c>
      <c r="I222" s="24">
        <f t="shared" si="14"/>
        <v>0.4</v>
      </c>
      <c r="J222" s="24">
        <f t="shared" si="15"/>
        <v>0</v>
      </c>
      <c r="K222" s="24">
        <f>IF(CurrentMtgRatesDataTable811[[#This Row],[WA CC]]&lt;&gt;0,D221-CurrentMtgRatesDataTable811[[#This Row],[WA CC]],0)</f>
        <v>0</v>
      </c>
      <c r="L222" s="24">
        <f>IF(CurrentMtgRatesDataTable811[[#This Row],[Servicing Spread]]&lt;=0,L221,CurrentMtgRatesDataTable811[[#This Row],[Servicing Spread]])</f>
        <v>0.78916606890117569</v>
      </c>
      <c r="M222" s="24">
        <f>CurrentMtgRatesDataTable811[[#This Row],[SeriesNumValue]]+CurrentMtgRatesDataTable811[[#This Row],[Servicing Spread Non-Zero]]</f>
        <v>4.1536215098992155</v>
      </c>
      <c r="V222">
        <v>3.9249999999999998</v>
      </c>
      <c r="W222" s="3">
        <v>40850</v>
      </c>
    </row>
    <row r="223" spans="2:23" x14ac:dyDescent="0.2">
      <c r="B223" s="27" t="s">
        <v>904</v>
      </c>
      <c r="C223" s="28">
        <v>3.29814365265038</v>
      </c>
      <c r="D223" s="26">
        <v>4.0600000000000005</v>
      </c>
      <c r="E223" s="24">
        <f t="shared" si="12"/>
        <v>5</v>
      </c>
      <c r="F223" s="24">
        <f>VLOOKUP(E223,Q$5:R$11,2,FALSE)</f>
        <v>0.2</v>
      </c>
      <c r="G223" s="24">
        <f t="shared" si="13"/>
        <v>3</v>
      </c>
      <c r="H223" s="24">
        <f>IF(G223&gt;G222,H222+C223*F223,C223*F223)</f>
        <v>1.9938641489887501</v>
      </c>
      <c r="I223" s="24">
        <f t="shared" si="14"/>
        <v>0.60000000000000009</v>
      </c>
      <c r="J223" s="24">
        <f t="shared" si="15"/>
        <v>0</v>
      </c>
      <c r="K223" s="24">
        <f>IF(CurrentMtgRatesDataTable811[[#This Row],[WA CC]]&lt;&gt;0,D222-CurrentMtgRatesDataTable811[[#This Row],[WA CC]],0)</f>
        <v>0</v>
      </c>
      <c r="L223" s="24">
        <f>IF(CurrentMtgRatesDataTable811[[#This Row],[Servicing Spread]]&lt;=0,L222,CurrentMtgRatesDataTable811[[#This Row],[Servicing Spread]])</f>
        <v>0.78916606890117569</v>
      </c>
      <c r="M223" s="24">
        <f>CurrentMtgRatesDataTable811[[#This Row],[SeriesNumValue]]+CurrentMtgRatesDataTable811[[#This Row],[Servicing Spread Non-Zero]]</f>
        <v>4.0873097215515557</v>
      </c>
      <c r="V223">
        <v>4.05</v>
      </c>
      <c r="W223" s="3">
        <v>40843</v>
      </c>
    </row>
    <row r="224" spans="2:23" x14ac:dyDescent="0.2">
      <c r="B224" s="27" t="s">
        <v>905</v>
      </c>
      <c r="C224" s="28">
        <v>3.2937414945904302</v>
      </c>
      <c r="D224" s="26">
        <v>4.0600000000000005</v>
      </c>
      <c r="E224" s="24">
        <f t="shared" si="12"/>
        <v>6</v>
      </c>
      <c r="F224" s="24">
        <f>VLOOKUP(E224,Q$5:R$11,2,FALSE)</f>
        <v>0.2</v>
      </c>
      <c r="G224" s="24">
        <f t="shared" si="13"/>
        <v>4</v>
      </c>
      <c r="H224" s="24">
        <f>IF(G224&gt;G223,H223+C224*F224,C224*F224)</f>
        <v>2.652612447906836</v>
      </c>
      <c r="I224" s="24">
        <f t="shared" si="14"/>
        <v>0.8</v>
      </c>
      <c r="J224" s="24">
        <f t="shared" si="15"/>
        <v>0</v>
      </c>
      <c r="K224" s="24">
        <f>IF(CurrentMtgRatesDataTable811[[#This Row],[WA CC]]&lt;&gt;0,D223-CurrentMtgRatesDataTable811[[#This Row],[WA CC]],0)</f>
        <v>0</v>
      </c>
      <c r="L224" s="24">
        <f>IF(CurrentMtgRatesDataTable811[[#This Row],[Servicing Spread]]&lt;=0,L223,CurrentMtgRatesDataTable811[[#This Row],[Servicing Spread]])</f>
        <v>0.78916606890117569</v>
      </c>
      <c r="M224" s="24">
        <f>CurrentMtgRatesDataTable811[[#This Row],[SeriesNumValue]]+CurrentMtgRatesDataTable811[[#This Row],[Servicing Spread Non-Zero]]</f>
        <v>4.0829075634916059</v>
      </c>
      <c r="V224">
        <v>4.0599999999999996</v>
      </c>
      <c r="W224" s="3">
        <v>40836</v>
      </c>
    </row>
    <row r="225" spans="2:23" x14ac:dyDescent="0.2">
      <c r="B225" s="27" t="s">
        <v>906</v>
      </c>
      <c r="C225" s="28">
        <v>3.3017117850831799</v>
      </c>
      <c r="D225" s="26">
        <v>4.0600000000000005</v>
      </c>
      <c r="E225" s="24">
        <f t="shared" si="12"/>
        <v>7</v>
      </c>
      <c r="F225" s="24">
        <f>VLOOKUP(E225,Q$5:R$11,2,FALSE)</f>
        <v>0.2</v>
      </c>
      <c r="G225" s="24">
        <f t="shared" si="13"/>
        <v>5</v>
      </c>
      <c r="H225" s="24">
        <f>IF(G225&gt;G224,H224+C225*F225,C225*F225)</f>
        <v>3.3129548049234723</v>
      </c>
      <c r="I225" s="24">
        <f t="shared" si="14"/>
        <v>1</v>
      </c>
      <c r="J225" s="24">
        <f t="shared" si="15"/>
        <v>3.3129548049234723</v>
      </c>
      <c r="K225" s="24">
        <f>IF(CurrentMtgRatesDataTable811[[#This Row],[WA CC]]&lt;&gt;0,D224-CurrentMtgRatesDataTable811[[#This Row],[WA CC]],0)</f>
        <v>0.74704519507652822</v>
      </c>
      <c r="L225" s="24">
        <f>IF(CurrentMtgRatesDataTable811[[#This Row],[Servicing Spread]]&lt;=0,L224,CurrentMtgRatesDataTable811[[#This Row],[Servicing Spread]])</f>
        <v>0.74704519507652822</v>
      </c>
      <c r="M225" s="24">
        <f>CurrentMtgRatesDataTable811[[#This Row],[SeriesNumValue]]+CurrentMtgRatesDataTable811[[#This Row],[Servicing Spread Non-Zero]]</f>
        <v>4.0487569801597081</v>
      </c>
      <c r="V225">
        <v>4.07</v>
      </c>
      <c r="W225" s="3">
        <v>40829</v>
      </c>
    </row>
    <row r="226" spans="2:23" x14ac:dyDescent="0.2">
      <c r="B226" s="27" t="s">
        <v>907</v>
      </c>
      <c r="C226" s="28">
        <v>3.3269877497661899</v>
      </c>
      <c r="D226" s="26">
        <v>4.05</v>
      </c>
      <c r="E226" s="24">
        <f t="shared" si="12"/>
        <v>1</v>
      </c>
      <c r="F226" s="24">
        <f>VLOOKUP(E226,Q$5:R$11,2,FALSE)</f>
        <v>0.2</v>
      </c>
      <c r="G226" s="24">
        <f t="shared" si="13"/>
        <v>1</v>
      </c>
      <c r="H226" s="24">
        <f>IF(G226&gt;G225,H225+C226*F226,C226*F226)</f>
        <v>0.66539754995323808</v>
      </c>
      <c r="I226" s="24">
        <f t="shared" si="14"/>
        <v>0.2</v>
      </c>
      <c r="J226" s="24">
        <f t="shared" si="15"/>
        <v>0</v>
      </c>
      <c r="K226" s="24">
        <f>IF(CurrentMtgRatesDataTable811[[#This Row],[WA CC]]&lt;&gt;0,D225-CurrentMtgRatesDataTable811[[#This Row],[WA CC]],0)</f>
        <v>0</v>
      </c>
      <c r="L226" s="24">
        <f>IF(CurrentMtgRatesDataTable811[[#This Row],[Servicing Spread]]&lt;=0,L225,CurrentMtgRatesDataTable811[[#This Row],[Servicing Spread]])</f>
        <v>0.74704519507652822</v>
      </c>
      <c r="M226" s="24">
        <f>CurrentMtgRatesDataTable811[[#This Row],[SeriesNumValue]]+CurrentMtgRatesDataTable811[[#This Row],[Servicing Spread Non-Zero]]</f>
        <v>4.0740329448427186</v>
      </c>
      <c r="V226">
        <v>3.89</v>
      </c>
      <c r="W226" s="3">
        <v>40822</v>
      </c>
    </row>
    <row r="227" spans="2:23" x14ac:dyDescent="0.2">
      <c r="B227" s="27" t="s">
        <v>908</v>
      </c>
      <c r="C227" s="28">
        <v>3.3306571574489601</v>
      </c>
      <c r="D227" s="26">
        <v>4.05</v>
      </c>
      <c r="E227" s="24">
        <f t="shared" si="12"/>
        <v>2</v>
      </c>
      <c r="F227" s="24">
        <f>VLOOKUP(E227,Q$5:R$11,2,FALSE)</f>
        <v>0.2</v>
      </c>
      <c r="G227" s="24">
        <f t="shared" si="13"/>
        <v>2</v>
      </c>
      <c r="H227" s="24">
        <f>IF(G227&gt;G226,H226+C227*F227,C227*F227)</f>
        <v>1.33152898144303</v>
      </c>
      <c r="I227" s="24">
        <f t="shared" si="14"/>
        <v>0.4</v>
      </c>
      <c r="J227" s="24">
        <f t="shared" si="15"/>
        <v>0</v>
      </c>
      <c r="K227" s="24">
        <f>IF(CurrentMtgRatesDataTable811[[#This Row],[WA CC]]&lt;&gt;0,D226-CurrentMtgRatesDataTable811[[#This Row],[WA CC]],0)</f>
        <v>0</v>
      </c>
      <c r="L227" s="24">
        <f>IF(CurrentMtgRatesDataTable811[[#This Row],[Servicing Spread]]&lt;=0,L226,CurrentMtgRatesDataTable811[[#This Row],[Servicing Spread]])</f>
        <v>0.74704519507652822</v>
      </c>
      <c r="M227" s="24">
        <f>CurrentMtgRatesDataTable811[[#This Row],[SeriesNumValue]]+CurrentMtgRatesDataTable811[[#This Row],[Servicing Spread Non-Zero]]</f>
        <v>4.0777023525254883</v>
      </c>
      <c r="V227">
        <v>3.9350000000000001</v>
      </c>
      <c r="W227" s="3">
        <v>40815</v>
      </c>
    </row>
    <row r="228" spans="2:23" x14ac:dyDescent="0.2">
      <c r="B228" s="27" t="s">
        <v>909</v>
      </c>
      <c r="C228" s="28">
        <v>3.3634960671290699</v>
      </c>
      <c r="D228" s="26">
        <v>4.05</v>
      </c>
      <c r="E228" s="24">
        <f t="shared" si="12"/>
        <v>5</v>
      </c>
      <c r="F228" s="24">
        <f>VLOOKUP(E228,Q$5:R$11,2,FALSE)</f>
        <v>0.2</v>
      </c>
      <c r="G228" s="24">
        <f t="shared" si="13"/>
        <v>3</v>
      </c>
      <c r="H228" s="24">
        <f>IF(G228&gt;G227,H227+C228*F228,C228*F228)</f>
        <v>2.0042281948688441</v>
      </c>
      <c r="I228" s="24">
        <f t="shared" si="14"/>
        <v>0.60000000000000009</v>
      </c>
      <c r="J228" s="24">
        <f t="shared" si="15"/>
        <v>0</v>
      </c>
      <c r="K228" s="24">
        <f>IF(CurrentMtgRatesDataTable811[[#This Row],[WA CC]]&lt;&gt;0,D227-CurrentMtgRatesDataTable811[[#This Row],[WA CC]],0)</f>
        <v>0</v>
      </c>
      <c r="L228" s="24">
        <f>IF(CurrentMtgRatesDataTable811[[#This Row],[Servicing Spread]]&lt;=0,L227,CurrentMtgRatesDataTable811[[#This Row],[Servicing Spread]])</f>
        <v>0.74704519507652822</v>
      </c>
      <c r="M228" s="24">
        <f>CurrentMtgRatesDataTable811[[#This Row],[SeriesNumValue]]+CurrentMtgRatesDataTable811[[#This Row],[Servicing Spread Non-Zero]]</f>
        <v>4.1105412622055981</v>
      </c>
      <c r="V228">
        <v>4.0149999999999997</v>
      </c>
      <c r="W228" s="3">
        <v>40808</v>
      </c>
    </row>
    <row r="229" spans="2:23" x14ac:dyDescent="0.2">
      <c r="B229" s="27" t="s">
        <v>910</v>
      </c>
      <c r="C229" s="28">
        <v>3.26466509083714</v>
      </c>
      <c r="D229" s="26">
        <v>4.05</v>
      </c>
      <c r="E229" s="24">
        <f t="shared" si="12"/>
        <v>6</v>
      </c>
      <c r="F229" s="24">
        <f>VLOOKUP(E229,Q$5:R$11,2,FALSE)</f>
        <v>0.2</v>
      </c>
      <c r="G229" s="24">
        <f t="shared" si="13"/>
        <v>4</v>
      </c>
      <c r="H229" s="24">
        <f>IF(G229&gt;G228,H228+C229*F229,C229*F229)</f>
        <v>2.6571612130362721</v>
      </c>
      <c r="I229" s="24">
        <f t="shared" si="14"/>
        <v>0.8</v>
      </c>
      <c r="J229" s="24">
        <f t="shared" si="15"/>
        <v>0</v>
      </c>
      <c r="K229" s="24">
        <f>IF(CurrentMtgRatesDataTable811[[#This Row],[WA CC]]&lt;&gt;0,D228-CurrentMtgRatesDataTable811[[#This Row],[WA CC]],0)</f>
        <v>0</v>
      </c>
      <c r="L229" s="24">
        <f>IF(CurrentMtgRatesDataTable811[[#This Row],[Servicing Spread]]&lt;=0,L228,CurrentMtgRatesDataTable811[[#This Row],[Servicing Spread]])</f>
        <v>0.74704519507652822</v>
      </c>
      <c r="M229" s="24">
        <f>CurrentMtgRatesDataTable811[[#This Row],[SeriesNumValue]]+CurrentMtgRatesDataTable811[[#This Row],[Servicing Spread Non-Zero]]</f>
        <v>4.0117102859136686</v>
      </c>
      <c r="V229">
        <v>4.0149999999999997</v>
      </c>
      <c r="W229" s="3">
        <v>40801</v>
      </c>
    </row>
    <row r="230" spans="2:23" x14ac:dyDescent="0.2">
      <c r="B230" s="27" t="s">
        <v>911</v>
      </c>
      <c r="C230" s="28">
        <v>3.3217981772157801</v>
      </c>
      <c r="D230" s="26">
        <v>4.05</v>
      </c>
      <c r="E230" s="24">
        <f t="shared" si="12"/>
        <v>7</v>
      </c>
      <c r="F230" s="24">
        <f>VLOOKUP(E230,Q$5:R$11,2,FALSE)</f>
        <v>0.2</v>
      </c>
      <c r="G230" s="24">
        <f t="shared" si="13"/>
        <v>5</v>
      </c>
      <c r="H230" s="24">
        <f>IF(G230&gt;G229,H229+C230*F230,C230*F230)</f>
        <v>3.3215208484794281</v>
      </c>
      <c r="I230" s="24">
        <f t="shared" si="14"/>
        <v>1</v>
      </c>
      <c r="J230" s="24">
        <f t="shared" si="15"/>
        <v>3.3215208484794281</v>
      </c>
      <c r="K230" s="24">
        <f>IF(CurrentMtgRatesDataTable811[[#This Row],[WA CC]]&lt;&gt;0,D229-CurrentMtgRatesDataTable811[[#This Row],[WA CC]],0)</f>
        <v>0.72847915152057174</v>
      </c>
      <c r="L230" s="24">
        <f>IF(CurrentMtgRatesDataTable811[[#This Row],[Servicing Spread]]&lt;=0,L229,CurrentMtgRatesDataTable811[[#This Row],[Servicing Spread]])</f>
        <v>0.72847915152057174</v>
      </c>
      <c r="M230" s="24">
        <f>CurrentMtgRatesDataTable811[[#This Row],[SeriesNumValue]]+CurrentMtgRatesDataTable811[[#This Row],[Servicing Spread Non-Zero]]</f>
        <v>4.0502773287363514</v>
      </c>
      <c r="V230">
        <v>4.0449999999999999</v>
      </c>
      <c r="W230" s="3">
        <v>40794</v>
      </c>
    </row>
    <row r="231" spans="2:23" x14ac:dyDescent="0.2">
      <c r="B231" s="27" t="s">
        <v>912</v>
      </c>
      <c r="C231" s="28">
        <v>3.4409162615373701</v>
      </c>
      <c r="D231" s="26">
        <v>3.9249999999999998</v>
      </c>
      <c r="E231" s="24">
        <f t="shared" si="12"/>
        <v>1</v>
      </c>
      <c r="F231" s="24">
        <f>VLOOKUP(E231,Q$5:R$11,2,FALSE)</f>
        <v>0.2</v>
      </c>
      <c r="G231" s="24">
        <f t="shared" si="13"/>
        <v>1</v>
      </c>
      <c r="H231" s="24">
        <f>IF(G231&gt;G230,H230+C231*F231,C231*F231)</f>
        <v>0.68818325230747401</v>
      </c>
      <c r="I231" s="24">
        <f t="shared" si="14"/>
        <v>0.2</v>
      </c>
      <c r="J231" s="24">
        <f t="shared" si="15"/>
        <v>0</v>
      </c>
      <c r="K231" s="24">
        <f>IF(CurrentMtgRatesDataTable811[[#This Row],[WA CC]]&lt;&gt;0,D230-CurrentMtgRatesDataTable811[[#This Row],[WA CC]],0)</f>
        <v>0</v>
      </c>
      <c r="L231" s="24">
        <f>IF(CurrentMtgRatesDataTable811[[#This Row],[Servicing Spread]]&lt;=0,L230,CurrentMtgRatesDataTable811[[#This Row],[Servicing Spread]])</f>
        <v>0.72847915152057174</v>
      </c>
      <c r="M231" s="24">
        <f>CurrentMtgRatesDataTable811[[#This Row],[SeriesNumValue]]+CurrentMtgRatesDataTable811[[#This Row],[Servicing Spread Non-Zero]]</f>
        <v>4.1693954130579414</v>
      </c>
      <c r="V231">
        <v>4.1449999999999996</v>
      </c>
      <c r="W231" s="3">
        <v>40787</v>
      </c>
    </row>
    <row r="232" spans="2:23" x14ac:dyDescent="0.2">
      <c r="B232" s="27" t="s">
        <v>913</v>
      </c>
      <c r="C232" s="28">
        <v>3.3602109055046498</v>
      </c>
      <c r="D232" s="26">
        <v>3.9249999999999998</v>
      </c>
      <c r="E232" s="24">
        <f t="shared" si="12"/>
        <v>2</v>
      </c>
      <c r="F232" s="24">
        <f>VLOOKUP(E232,Q$5:R$11,2,FALSE)</f>
        <v>0.2</v>
      </c>
      <c r="G232" s="24">
        <f t="shared" si="13"/>
        <v>2</v>
      </c>
      <c r="H232" s="24">
        <f>IF(G232&gt;G231,H231+C232*F232,C232*F232)</f>
        <v>1.3602254334084041</v>
      </c>
      <c r="I232" s="24">
        <f t="shared" si="14"/>
        <v>0.4</v>
      </c>
      <c r="J232" s="24">
        <f t="shared" si="15"/>
        <v>0</v>
      </c>
      <c r="K232" s="24">
        <f>IF(CurrentMtgRatesDataTable811[[#This Row],[WA CC]]&lt;&gt;0,D231-CurrentMtgRatesDataTable811[[#This Row],[WA CC]],0)</f>
        <v>0</v>
      </c>
      <c r="L232" s="24">
        <f>IF(CurrentMtgRatesDataTable811[[#This Row],[Servicing Spread]]&lt;=0,L231,CurrentMtgRatesDataTable811[[#This Row],[Servicing Spread]])</f>
        <v>0.72847915152057174</v>
      </c>
      <c r="M232" s="24">
        <f>CurrentMtgRatesDataTable811[[#This Row],[SeriesNumValue]]+CurrentMtgRatesDataTable811[[#This Row],[Servicing Spread Non-Zero]]</f>
        <v>4.0886900570252216</v>
      </c>
      <c r="V232">
        <v>4.1449999999999996</v>
      </c>
      <c r="W232" s="3">
        <v>40780</v>
      </c>
    </row>
    <row r="233" spans="2:23" x14ac:dyDescent="0.2">
      <c r="B233" s="27" t="s">
        <v>914</v>
      </c>
      <c r="C233" s="28">
        <v>3.2515769978966</v>
      </c>
      <c r="D233" s="26">
        <v>3.9249999999999998</v>
      </c>
      <c r="E233" s="24">
        <f t="shared" si="12"/>
        <v>5</v>
      </c>
      <c r="F233" s="24">
        <f>VLOOKUP(E233,Q$5:R$11,2,FALSE)</f>
        <v>0.2</v>
      </c>
      <c r="G233" s="24">
        <f t="shared" si="13"/>
        <v>3</v>
      </c>
      <c r="H233" s="24">
        <f>IF(G233&gt;G232,H232+C233*F233,C233*F233)</f>
        <v>2.0105408329877239</v>
      </c>
      <c r="I233" s="24">
        <f t="shared" si="14"/>
        <v>0.60000000000000009</v>
      </c>
      <c r="J233" s="24">
        <f t="shared" si="15"/>
        <v>0</v>
      </c>
      <c r="K233" s="24">
        <f>IF(CurrentMtgRatesDataTable811[[#This Row],[WA CC]]&lt;&gt;0,D232-CurrentMtgRatesDataTable811[[#This Row],[WA CC]],0)</f>
        <v>0</v>
      </c>
      <c r="L233" s="24">
        <f>IF(CurrentMtgRatesDataTable811[[#This Row],[Servicing Spread]]&lt;=0,L232,CurrentMtgRatesDataTable811[[#This Row],[Servicing Spread]])</f>
        <v>0.72847915152057174</v>
      </c>
      <c r="M233" s="24">
        <f>CurrentMtgRatesDataTable811[[#This Row],[SeriesNumValue]]+CurrentMtgRatesDataTable811[[#This Row],[Servicing Spread Non-Zero]]</f>
        <v>3.9800561494171718</v>
      </c>
      <c r="V233">
        <v>4.0750000000000002</v>
      </c>
      <c r="W233" s="3">
        <v>40773</v>
      </c>
    </row>
    <row r="234" spans="2:23" x14ac:dyDescent="0.2">
      <c r="B234" s="27" t="s">
        <v>915</v>
      </c>
      <c r="C234" s="28">
        <v>3.1279977145133802</v>
      </c>
      <c r="D234" s="26">
        <v>3.9249999999999998</v>
      </c>
      <c r="E234" s="24">
        <f t="shared" si="12"/>
        <v>6</v>
      </c>
      <c r="F234" s="24">
        <f>VLOOKUP(E234,Q$5:R$11,2,FALSE)</f>
        <v>0.2</v>
      </c>
      <c r="G234" s="24">
        <f t="shared" si="13"/>
        <v>4</v>
      </c>
      <c r="H234" s="24">
        <f>IF(G234&gt;G233,H233+C234*F234,C234*F234)</f>
        <v>2.6361403758903998</v>
      </c>
      <c r="I234" s="24">
        <f t="shared" si="14"/>
        <v>0.8</v>
      </c>
      <c r="J234" s="24">
        <f t="shared" si="15"/>
        <v>0</v>
      </c>
      <c r="K234" s="24">
        <f>IF(CurrentMtgRatesDataTable811[[#This Row],[WA CC]]&lt;&gt;0,D233-CurrentMtgRatesDataTable811[[#This Row],[WA CC]],0)</f>
        <v>0</v>
      </c>
      <c r="L234" s="24">
        <f>IF(CurrentMtgRatesDataTable811[[#This Row],[Servicing Spread]]&lt;=0,L233,CurrentMtgRatesDataTable811[[#This Row],[Servicing Spread]])</f>
        <v>0.72847915152057174</v>
      </c>
      <c r="M234" s="24">
        <f>CurrentMtgRatesDataTable811[[#This Row],[SeriesNumValue]]+CurrentMtgRatesDataTable811[[#This Row],[Servicing Spread Non-Zero]]</f>
        <v>3.8564768660339519</v>
      </c>
      <c r="V234">
        <v>4.2450000000000001</v>
      </c>
      <c r="W234" s="3">
        <v>40766</v>
      </c>
    </row>
    <row r="235" spans="2:23" x14ac:dyDescent="0.2">
      <c r="B235" s="27" t="s">
        <v>916</v>
      </c>
      <c r="C235" s="28">
        <v>3.1403563464711799</v>
      </c>
      <c r="D235" s="26">
        <v>3.9249999999999998</v>
      </c>
      <c r="E235" s="24">
        <f t="shared" si="12"/>
        <v>7</v>
      </c>
      <c r="F235" s="24">
        <f>VLOOKUP(E235,Q$5:R$11,2,FALSE)</f>
        <v>0.2</v>
      </c>
      <c r="G235" s="24">
        <f t="shared" si="13"/>
        <v>5</v>
      </c>
      <c r="H235" s="24">
        <f>IF(G235&gt;G234,H234+C235*F235,C235*F235)</f>
        <v>3.2642116451846359</v>
      </c>
      <c r="I235" s="24">
        <f t="shared" si="14"/>
        <v>1</v>
      </c>
      <c r="J235" s="24">
        <f t="shared" si="15"/>
        <v>3.2642116451846359</v>
      </c>
      <c r="K235" s="24">
        <f>IF(CurrentMtgRatesDataTable811[[#This Row],[WA CC]]&lt;&gt;0,D234-CurrentMtgRatesDataTable811[[#This Row],[WA CC]],0)</f>
        <v>0.66078835481536391</v>
      </c>
      <c r="L235" s="24">
        <f>IF(CurrentMtgRatesDataTable811[[#This Row],[Servicing Spread]]&lt;=0,L234,CurrentMtgRatesDataTable811[[#This Row],[Servicing Spread]])</f>
        <v>0.66078835481536391</v>
      </c>
      <c r="M235" s="24">
        <f>CurrentMtgRatesDataTable811[[#This Row],[SeriesNumValue]]+CurrentMtgRatesDataTable811[[#This Row],[Servicing Spread Non-Zero]]</f>
        <v>3.8011447012865438</v>
      </c>
      <c r="V235">
        <v>4.34</v>
      </c>
      <c r="W235" s="3">
        <v>40759</v>
      </c>
    </row>
    <row r="236" spans="2:23" x14ac:dyDescent="0.2">
      <c r="B236" s="27" t="s">
        <v>917</v>
      </c>
      <c r="C236" s="28">
        <v>3.1865900219174601</v>
      </c>
      <c r="D236" s="26">
        <v>3.915</v>
      </c>
      <c r="E236" s="24">
        <f t="shared" si="12"/>
        <v>1</v>
      </c>
      <c r="F236" s="24">
        <f>VLOOKUP(E236,Q$5:R$11,2,FALSE)</f>
        <v>0.2</v>
      </c>
      <c r="G236" s="24">
        <f t="shared" si="13"/>
        <v>1</v>
      </c>
      <c r="H236" s="24">
        <f>IF(G236&gt;G235,H235+C236*F236,C236*F236)</f>
        <v>0.63731800438349206</v>
      </c>
      <c r="I236" s="24">
        <f t="shared" si="14"/>
        <v>0.2</v>
      </c>
      <c r="J236" s="24">
        <f t="shared" si="15"/>
        <v>0</v>
      </c>
      <c r="K236" s="24">
        <f>IF(CurrentMtgRatesDataTable811[[#This Row],[WA CC]]&lt;&gt;0,D235-CurrentMtgRatesDataTable811[[#This Row],[WA CC]],0)</f>
        <v>0</v>
      </c>
      <c r="L236" s="24">
        <f>IF(CurrentMtgRatesDataTable811[[#This Row],[Servicing Spread]]&lt;=0,L235,CurrentMtgRatesDataTable811[[#This Row],[Servicing Spread]])</f>
        <v>0.66078835481536391</v>
      </c>
      <c r="M236" s="24">
        <f>CurrentMtgRatesDataTable811[[#This Row],[SeriesNumValue]]+CurrentMtgRatesDataTable811[[#This Row],[Servicing Spread Non-Zero]]</f>
        <v>3.847378376732824</v>
      </c>
      <c r="V236">
        <v>4.5</v>
      </c>
      <c r="W236" s="3">
        <v>40752</v>
      </c>
    </row>
    <row r="237" spans="2:23" x14ac:dyDescent="0.2">
      <c r="B237" s="27" t="s">
        <v>918</v>
      </c>
      <c r="C237" s="28">
        <v>3.1459189472432798</v>
      </c>
      <c r="D237" s="26">
        <v>3.915</v>
      </c>
      <c r="E237" s="24">
        <f t="shared" si="12"/>
        <v>2</v>
      </c>
      <c r="F237" s="24">
        <f>VLOOKUP(E237,Q$5:R$11,2,FALSE)</f>
        <v>0.2</v>
      </c>
      <c r="G237" s="24">
        <f t="shared" si="13"/>
        <v>2</v>
      </c>
      <c r="H237" s="24">
        <f>IF(G237&gt;G236,H236+C237*F237,C237*F237)</f>
        <v>1.2665017938321481</v>
      </c>
      <c r="I237" s="24">
        <f t="shared" si="14"/>
        <v>0.4</v>
      </c>
      <c r="J237" s="24">
        <f t="shared" si="15"/>
        <v>0</v>
      </c>
      <c r="K237" s="24">
        <f>IF(CurrentMtgRatesDataTable811[[#This Row],[WA CC]]&lt;&gt;0,D236-CurrentMtgRatesDataTable811[[#This Row],[WA CC]],0)</f>
        <v>0</v>
      </c>
      <c r="L237" s="24">
        <f>IF(CurrentMtgRatesDataTable811[[#This Row],[Servicing Spread]]&lt;=0,L236,CurrentMtgRatesDataTable811[[#This Row],[Servicing Spread]])</f>
        <v>0.66078835481536391</v>
      </c>
      <c r="M237" s="24">
        <f>CurrentMtgRatesDataTable811[[#This Row],[SeriesNumValue]]+CurrentMtgRatesDataTable811[[#This Row],[Servicing Spread Non-Zero]]</f>
        <v>3.8067073020586437</v>
      </c>
      <c r="V237">
        <v>4.4449999999999896</v>
      </c>
      <c r="W237" s="3">
        <v>40745</v>
      </c>
    </row>
    <row r="238" spans="2:23" x14ac:dyDescent="0.2">
      <c r="B238" s="27" t="s">
        <v>919</v>
      </c>
      <c r="C238" s="28">
        <v>3.1153555046375301</v>
      </c>
      <c r="D238" s="26">
        <v>3.915</v>
      </c>
      <c r="E238" s="24">
        <f t="shared" si="12"/>
        <v>5</v>
      </c>
      <c r="F238" s="24">
        <f>VLOOKUP(E238,Q$5:R$11,2,FALSE)</f>
        <v>0.2</v>
      </c>
      <c r="G238" s="24">
        <f t="shared" si="13"/>
        <v>3</v>
      </c>
      <c r="H238" s="24">
        <f>IF(G238&gt;G237,H237+C238*F238,C238*F238)</f>
        <v>1.8895728947596542</v>
      </c>
      <c r="I238" s="24">
        <f t="shared" si="14"/>
        <v>0.60000000000000009</v>
      </c>
      <c r="J238" s="24">
        <f t="shared" si="15"/>
        <v>0</v>
      </c>
      <c r="K238" s="24">
        <f>IF(CurrentMtgRatesDataTable811[[#This Row],[WA CC]]&lt;&gt;0,D237-CurrentMtgRatesDataTable811[[#This Row],[WA CC]],0)</f>
        <v>0</v>
      </c>
      <c r="L238" s="24">
        <f>IF(CurrentMtgRatesDataTable811[[#This Row],[Servicing Spread]]&lt;=0,L237,CurrentMtgRatesDataTable811[[#This Row],[Servicing Spread]])</f>
        <v>0.66078835481536391</v>
      </c>
      <c r="M238" s="24">
        <f>CurrentMtgRatesDataTable811[[#This Row],[SeriesNumValue]]+CurrentMtgRatesDataTable811[[#This Row],[Servicing Spread Non-Zero]]</f>
        <v>3.776143859452894</v>
      </c>
      <c r="V238">
        <v>4.4349999999999996</v>
      </c>
      <c r="W238" s="3">
        <v>40738</v>
      </c>
    </row>
    <row r="239" spans="2:23" x14ac:dyDescent="0.2">
      <c r="B239" s="27" t="s">
        <v>920</v>
      </c>
      <c r="C239" s="28">
        <v>3.1915310433588799</v>
      </c>
      <c r="D239" s="26">
        <v>3.915</v>
      </c>
      <c r="E239" s="24">
        <f t="shared" si="12"/>
        <v>6</v>
      </c>
      <c r="F239" s="24">
        <f>VLOOKUP(E239,Q$5:R$11,2,FALSE)</f>
        <v>0.2</v>
      </c>
      <c r="G239" s="24">
        <f t="shared" si="13"/>
        <v>4</v>
      </c>
      <c r="H239" s="24">
        <f>IF(G239&gt;G238,H238+C239*F239,C239*F239)</f>
        <v>2.5278791034314301</v>
      </c>
      <c r="I239" s="24">
        <f t="shared" si="14"/>
        <v>0.8</v>
      </c>
      <c r="J239" s="24">
        <f t="shared" si="15"/>
        <v>0</v>
      </c>
      <c r="K239" s="24">
        <f>IF(CurrentMtgRatesDataTable811[[#This Row],[WA CC]]&lt;&gt;0,D238-CurrentMtgRatesDataTable811[[#This Row],[WA CC]],0)</f>
        <v>0</v>
      </c>
      <c r="L239" s="24">
        <f>IF(CurrentMtgRatesDataTable811[[#This Row],[Servicing Spread]]&lt;=0,L238,CurrentMtgRatesDataTable811[[#This Row],[Servicing Spread]])</f>
        <v>0.66078835481536391</v>
      </c>
      <c r="M239" s="24">
        <f>CurrentMtgRatesDataTable811[[#This Row],[SeriesNumValue]]+CurrentMtgRatesDataTable811[[#This Row],[Servicing Spread Non-Zero]]</f>
        <v>3.8523193981742438</v>
      </c>
      <c r="V239">
        <v>4.5250000000000004</v>
      </c>
      <c r="W239" s="3">
        <v>40731</v>
      </c>
    </row>
    <row r="240" spans="2:23" x14ac:dyDescent="0.2">
      <c r="B240" s="27" t="s">
        <v>921</v>
      </c>
      <c r="C240" s="28">
        <v>3.1408308394137698</v>
      </c>
      <c r="D240" s="26">
        <v>3.915</v>
      </c>
      <c r="E240" s="24">
        <f t="shared" si="12"/>
        <v>7</v>
      </c>
      <c r="F240" s="24">
        <f>VLOOKUP(E240,Q$5:R$11,2,FALSE)</f>
        <v>0.2</v>
      </c>
      <c r="G240" s="24">
        <f t="shared" si="13"/>
        <v>5</v>
      </c>
      <c r="H240" s="24">
        <f>IF(G240&gt;G239,H239+C240*F240,C240*F240)</f>
        <v>3.1560452713141842</v>
      </c>
      <c r="I240" s="24">
        <f t="shared" si="14"/>
        <v>1</v>
      </c>
      <c r="J240" s="24">
        <f t="shared" si="15"/>
        <v>3.1560452713141842</v>
      </c>
      <c r="K240" s="24">
        <f>IF(CurrentMtgRatesDataTable811[[#This Row],[WA CC]]&lt;&gt;0,D239-CurrentMtgRatesDataTable811[[#This Row],[WA CC]],0)</f>
        <v>0.75895472868581582</v>
      </c>
      <c r="L240" s="24">
        <f>IF(CurrentMtgRatesDataTable811[[#This Row],[Servicing Spread]]&lt;=0,L239,CurrentMtgRatesDataTable811[[#This Row],[Servicing Spread]])</f>
        <v>0.75895472868581582</v>
      </c>
      <c r="M240" s="24">
        <f>CurrentMtgRatesDataTable811[[#This Row],[SeriesNumValue]]+CurrentMtgRatesDataTable811[[#This Row],[Servicing Spread Non-Zero]]</f>
        <v>3.8997855680995857</v>
      </c>
      <c r="V240">
        <v>4.4349999999999996</v>
      </c>
      <c r="W240" s="3">
        <v>40724</v>
      </c>
    </row>
    <row r="241" spans="2:23" x14ac:dyDescent="0.2">
      <c r="B241" s="27" t="s">
        <v>922</v>
      </c>
      <c r="C241" s="28">
        <v>3.1968294834055402</v>
      </c>
      <c r="D241" s="26">
        <v>3.9249999999999998</v>
      </c>
      <c r="E241" s="24">
        <f t="shared" si="12"/>
        <v>1</v>
      </c>
      <c r="F241" s="24">
        <f>VLOOKUP(E241,Q$5:R$11,2,FALSE)</f>
        <v>0.2</v>
      </c>
      <c r="G241" s="24">
        <f t="shared" si="13"/>
        <v>1</v>
      </c>
      <c r="H241" s="24">
        <f>IF(G241&gt;G240,H240+C241*F241,C241*F241)</f>
        <v>0.6393658966811081</v>
      </c>
      <c r="I241" s="24">
        <f t="shared" si="14"/>
        <v>0.2</v>
      </c>
      <c r="J241" s="24">
        <f t="shared" si="15"/>
        <v>0</v>
      </c>
      <c r="K241" s="24">
        <f>IF(CurrentMtgRatesDataTable811[[#This Row],[WA CC]]&lt;&gt;0,D240-CurrentMtgRatesDataTable811[[#This Row],[WA CC]],0)</f>
        <v>0</v>
      </c>
      <c r="L241" s="24">
        <f>IF(CurrentMtgRatesDataTable811[[#This Row],[Servicing Spread]]&lt;=0,L240,CurrentMtgRatesDataTable811[[#This Row],[Servicing Spread]])</f>
        <v>0.75895472868581582</v>
      </c>
      <c r="M241" s="24">
        <f>CurrentMtgRatesDataTable811[[#This Row],[SeriesNumValue]]+CurrentMtgRatesDataTable811[[#This Row],[Servicing Spread Non-Zero]]</f>
        <v>3.955784212091356</v>
      </c>
      <c r="V241">
        <v>4.45</v>
      </c>
      <c r="W241" s="3">
        <v>40717</v>
      </c>
    </row>
    <row r="242" spans="2:23" x14ac:dyDescent="0.2">
      <c r="B242" s="27" t="s">
        <v>923</v>
      </c>
      <c r="C242" s="28">
        <v>3.1932759720766599</v>
      </c>
      <c r="D242" s="26">
        <v>3.9249999999999998</v>
      </c>
      <c r="E242" s="24">
        <f t="shared" si="12"/>
        <v>5</v>
      </c>
      <c r="F242" s="24">
        <f>VLOOKUP(E242,Q$5:R$11,2,FALSE)</f>
        <v>0.2</v>
      </c>
      <c r="G242" s="24">
        <f t="shared" si="13"/>
        <v>2</v>
      </c>
      <c r="H242" s="24">
        <f>IF(G242&gt;G241,H241+C242*F242,C242*F242)</f>
        <v>1.27802109109644</v>
      </c>
      <c r="I242" s="24">
        <f t="shared" si="14"/>
        <v>0.4</v>
      </c>
      <c r="J242" s="24">
        <f t="shared" si="15"/>
        <v>0</v>
      </c>
      <c r="K242" s="24">
        <f>IF(CurrentMtgRatesDataTable811[[#This Row],[WA CC]]&lt;&gt;0,D241-CurrentMtgRatesDataTable811[[#This Row],[WA CC]],0)</f>
        <v>0</v>
      </c>
      <c r="L242" s="24">
        <f>IF(CurrentMtgRatesDataTable811[[#This Row],[Servicing Spread]]&lt;=0,L241,CurrentMtgRatesDataTable811[[#This Row],[Servicing Spread]])</f>
        <v>0.75895472868581582</v>
      </c>
      <c r="M242" s="24">
        <f>CurrentMtgRatesDataTable811[[#This Row],[SeriesNumValue]]+CurrentMtgRatesDataTable811[[#This Row],[Servicing Spread Non-Zero]]</f>
        <v>3.9522307007624757</v>
      </c>
      <c r="V242">
        <v>4.4249999999999998</v>
      </c>
      <c r="W242" s="3">
        <v>40710</v>
      </c>
    </row>
    <row r="243" spans="2:23" x14ac:dyDescent="0.2">
      <c r="B243" s="27" t="s">
        <v>924</v>
      </c>
      <c r="C243" s="28">
        <v>3.21923846967334</v>
      </c>
      <c r="D243" s="26">
        <v>3.9249999999999998</v>
      </c>
      <c r="E243" s="24">
        <f t="shared" si="12"/>
        <v>6</v>
      </c>
      <c r="F243" s="24">
        <f>VLOOKUP(E243,Q$5:R$11,2,FALSE)</f>
        <v>0.2</v>
      </c>
      <c r="G243" s="24">
        <f t="shared" si="13"/>
        <v>3</v>
      </c>
      <c r="H243" s="24">
        <f>IF(G243&gt;G242,H242+C243*F243,C243*F243)</f>
        <v>1.921868785031108</v>
      </c>
      <c r="I243" s="24">
        <f t="shared" si="14"/>
        <v>0.60000000000000009</v>
      </c>
      <c r="J243" s="24">
        <f t="shared" si="15"/>
        <v>0</v>
      </c>
      <c r="K243" s="24">
        <f>IF(CurrentMtgRatesDataTable811[[#This Row],[WA CC]]&lt;&gt;0,D242-CurrentMtgRatesDataTable811[[#This Row],[WA CC]],0)</f>
        <v>0</v>
      </c>
      <c r="L243" s="24">
        <f>IF(CurrentMtgRatesDataTable811[[#This Row],[Servicing Spread]]&lt;=0,L242,CurrentMtgRatesDataTable811[[#This Row],[Servicing Spread]])</f>
        <v>0.75895472868581582</v>
      </c>
      <c r="M243" s="24">
        <f>CurrentMtgRatesDataTable811[[#This Row],[SeriesNumValue]]+CurrentMtgRatesDataTable811[[#This Row],[Servicing Spread Non-Zero]]</f>
        <v>3.9781931983591559</v>
      </c>
      <c r="V243">
        <v>4.415</v>
      </c>
      <c r="W243" s="3">
        <v>40703</v>
      </c>
    </row>
    <row r="244" spans="2:23" x14ac:dyDescent="0.2">
      <c r="B244" s="27" t="s">
        <v>925</v>
      </c>
      <c r="C244" s="28">
        <v>3.2014386947341</v>
      </c>
      <c r="D244" s="26">
        <v>3.9249999999999998</v>
      </c>
      <c r="E244" s="24">
        <f t="shared" si="12"/>
        <v>7</v>
      </c>
      <c r="F244" s="24">
        <f>VLOOKUP(E244,Q$5:R$11,2,FALSE)</f>
        <v>0.2</v>
      </c>
      <c r="G244" s="24">
        <f t="shared" si="13"/>
        <v>4</v>
      </c>
      <c r="H244" s="24">
        <f>IF(G244&gt;G243,H243+C244*F244,C244*F244)</f>
        <v>2.562156523977928</v>
      </c>
      <c r="I244" s="24">
        <f t="shared" si="14"/>
        <v>0.8</v>
      </c>
      <c r="J244" s="24">
        <f t="shared" si="15"/>
        <v>3.2026956549724099</v>
      </c>
      <c r="K244" s="24">
        <f>IF(CurrentMtgRatesDataTable811[[#This Row],[WA CC]]&lt;&gt;0,D243-CurrentMtgRatesDataTable811[[#This Row],[WA CC]],0)</f>
        <v>0.72230434502758989</v>
      </c>
      <c r="L244" s="24">
        <f>IF(CurrentMtgRatesDataTable811[[#This Row],[Servicing Spread]]&lt;=0,L243,CurrentMtgRatesDataTable811[[#This Row],[Servicing Spread]])</f>
        <v>0.72230434502758989</v>
      </c>
      <c r="M244" s="24">
        <f>CurrentMtgRatesDataTable811[[#This Row],[SeriesNumValue]]+CurrentMtgRatesDataTable811[[#This Row],[Servicing Spread Non-Zero]]</f>
        <v>3.9237430397616899</v>
      </c>
      <c r="V244">
        <v>4.45</v>
      </c>
      <c r="W244" s="3">
        <v>40696</v>
      </c>
    </row>
    <row r="245" spans="2:23" x14ac:dyDescent="0.2">
      <c r="B245" s="27" t="s">
        <v>926</v>
      </c>
      <c r="C245" s="28">
        <v>3.1637028117931498</v>
      </c>
      <c r="D245" s="26">
        <v>3.9049999999999998</v>
      </c>
      <c r="E245" s="24">
        <f t="shared" si="12"/>
        <v>1</v>
      </c>
      <c r="F245" s="24">
        <f>VLOOKUP(E245,Q$5:R$11,2,FALSE)</f>
        <v>0.2</v>
      </c>
      <c r="G245" s="24">
        <f t="shared" si="13"/>
        <v>1</v>
      </c>
      <c r="H245" s="24">
        <f>IF(G245&gt;G244,H244+C245*F245,C245*F245)</f>
        <v>0.63274056235862997</v>
      </c>
      <c r="I245" s="24">
        <f t="shared" si="14"/>
        <v>0.2</v>
      </c>
      <c r="J245" s="24">
        <f t="shared" si="15"/>
        <v>0</v>
      </c>
      <c r="K245" s="24">
        <f>IF(CurrentMtgRatesDataTable811[[#This Row],[WA CC]]&lt;&gt;0,D244-CurrentMtgRatesDataTable811[[#This Row],[WA CC]],0)</f>
        <v>0</v>
      </c>
      <c r="L245" s="24">
        <f>IF(CurrentMtgRatesDataTable811[[#This Row],[Servicing Spread]]&lt;=0,L244,CurrentMtgRatesDataTable811[[#This Row],[Servicing Spread]])</f>
        <v>0.72230434502758989</v>
      </c>
      <c r="M245" s="24">
        <f>CurrentMtgRatesDataTable811[[#This Row],[SeriesNumValue]]+CurrentMtgRatesDataTable811[[#This Row],[Servicing Spread Non-Zero]]</f>
        <v>3.8860071568207397</v>
      </c>
      <c r="V245">
        <v>4.5250000000000004</v>
      </c>
      <c r="W245" s="3">
        <v>40689</v>
      </c>
    </row>
    <row r="246" spans="2:23" x14ac:dyDescent="0.2">
      <c r="B246" s="27" t="s">
        <v>927</v>
      </c>
      <c r="C246" s="28">
        <v>3.2133365381632499</v>
      </c>
      <c r="D246" s="26">
        <v>3.9049999999999998</v>
      </c>
      <c r="E246" s="24">
        <f t="shared" si="12"/>
        <v>2</v>
      </c>
      <c r="F246" s="24">
        <f>VLOOKUP(E246,Q$5:R$11,2,FALSE)</f>
        <v>0.2</v>
      </c>
      <c r="G246" s="24">
        <f t="shared" si="13"/>
        <v>2</v>
      </c>
      <c r="H246" s="24">
        <f>IF(G246&gt;G245,H245+C246*F246,C246*F246)</f>
        <v>1.2754078699912799</v>
      </c>
      <c r="I246" s="24">
        <f t="shared" si="14"/>
        <v>0.4</v>
      </c>
      <c r="J246" s="24">
        <f t="shared" si="15"/>
        <v>0</v>
      </c>
      <c r="K246" s="24">
        <f>IF(CurrentMtgRatesDataTable811[[#This Row],[WA CC]]&lt;&gt;0,D245-CurrentMtgRatesDataTable811[[#This Row],[WA CC]],0)</f>
        <v>0</v>
      </c>
      <c r="L246" s="24">
        <f>IF(CurrentMtgRatesDataTable811[[#This Row],[Servicing Spread]]&lt;=0,L245,CurrentMtgRatesDataTable811[[#This Row],[Servicing Spread]])</f>
        <v>0.72230434502758989</v>
      </c>
      <c r="M246" s="24">
        <f>CurrentMtgRatesDataTable811[[#This Row],[SeriesNumValue]]+CurrentMtgRatesDataTable811[[#This Row],[Servicing Spread Non-Zero]]</f>
        <v>3.9356408831908398</v>
      </c>
      <c r="V246">
        <v>4.5350000000000001</v>
      </c>
      <c r="W246" s="3">
        <v>40682</v>
      </c>
    </row>
    <row r="247" spans="2:23" x14ac:dyDescent="0.2">
      <c r="B247" s="27" t="s">
        <v>928</v>
      </c>
      <c r="C247" s="28">
        <v>3.1766805050266198</v>
      </c>
      <c r="D247" s="26">
        <v>3.9049999999999998</v>
      </c>
      <c r="E247" s="24">
        <f t="shared" si="12"/>
        <v>5</v>
      </c>
      <c r="F247" s="24">
        <f>VLOOKUP(E247,Q$5:R$11,2,FALSE)</f>
        <v>0.2</v>
      </c>
      <c r="G247" s="24">
        <f t="shared" si="13"/>
        <v>3</v>
      </c>
      <c r="H247" s="24">
        <f>IF(G247&gt;G246,H246+C247*F247,C247*F247)</f>
        <v>1.9107439709966039</v>
      </c>
      <c r="I247" s="24">
        <f t="shared" si="14"/>
        <v>0.60000000000000009</v>
      </c>
      <c r="J247" s="24">
        <f t="shared" si="15"/>
        <v>0</v>
      </c>
      <c r="K247" s="24">
        <f>IF(CurrentMtgRatesDataTable811[[#This Row],[WA CC]]&lt;&gt;0,D246-CurrentMtgRatesDataTable811[[#This Row],[WA CC]],0)</f>
        <v>0</v>
      </c>
      <c r="L247" s="24">
        <f>IF(CurrentMtgRatesDataTable811[[#This Row],[Servicing Spread]]&lt;=0,L246,CurrentMtgRatesDataTable811[[#This Row],[Servicing Spread]])</f>
        <v>0.72230434502758989</v>
      </c>
      <c r="M247" s="24">
        <f>CurrentMtgRatesDataTable811[[#This Row],[SeriesNumValue]]+CurrentMtgRatesDataTable811[[#This Row],[Servicing Spread Non-Zero]]</f>
        <v>3.8989848500542097</v>
      </c>
      <c r="V247">
        <v>4.5549999999999997</v>
      </c>
      <c r="W247" s="3">
        <v>40675</v>
      </c>
    </row>
    <row r="248" spans="2:23" x14ac:dyDescent="0.2">
      <c r="B248" s="27" t="s">
        <v>929</v>
      </c>
      <c r="C248" s="28">
        <v>3.1441680368371498</v>
      </c>
      <c r="D248" s="26">
        <v>3.9049999999999998</v>
      </c>
      <c r="E248" s="24">
        <f t="shared" si="12"/>
        <v>6</v>
      </c>
      <c r="F248" s="24">
        <f>VLOOKUP(E248,Q$5:R$11,2,FALSE)</f>
        <v>0.2</v>
      </c>
      <c r="G248" s="24">
        <f t="shared" si="13"/>
        <v>4</v>
      </c>
      <c r="H248" s="24">
        <f>IF(G248&gt;G247,H247+C248*F248,C248*F248)</f>
        <v>2.539577578364034</v>
      </c>
      <c r="I248" s="24">
        <f t="shared" si="14"/>
        <v>0.8</v>
      </c>
      <c r="J248" s="24">
        <f t="shared" si="15"/>
        <v>0</v>
      </c>
      <c r="K248" s="24">
        <f>IF(CurrentMtgRatesDataTable811[[#This Row],[WA CC]]&lt;&gt;0,D247-CurrentMtgRatesDataTable811[[#This Row],[WA CC]],0)</f>
        <v>0</v>
      </c>
      <c r="L248" s="24">
        <f>IF(CurrentMtgRatesDataTable811[[#This Row],[Servicing Spread]]&lt;=0,L247,CurrentMtgRatesDataTable811[[#This Row],[Servicing Spread]])</f>
        <v>0.72230434502758989</v>
      </c>
      <c r="M248" s="24">
        <f>CurrentMtgRatesDataTable811[[#This Row],[SeriesNumValue]]+CurrentMtgRatesDataTable811[[#This Row],[Servicing Spread Non-Zero]]</f>
        <v>3.8664723818647397</v>
      </c>
      <c r="V248">
        <v>4.6349999999999998</v>
      </c>
      <c r="W248" s="3">
        <v>40668</v>
      </c>
    </row>
    <row r="249" spans="2:23" x14ac:dyDescent="0.2">
      <c r="B249" s="27" t="s">
        <v>930</v>
      </c>
      <c r="C249" s="28">
        <v>3.1451663238468299</v>
      </c>
      <c r="D249" s="26">
        <v>3.9049999999999998</v>
      </c>
      <c r="E249" s="24">
        <f t="shared" si="12"/>
        <v>7</v>
      </c>
      <c r="F249" s="24">
        <f>VLOOKUP(E249,Q$5:R$11,2,FALSE)</f>
        <v>0.2</v>
      </c>
      <c r="G249" s="24">
        <f t="shared" si="13"/>
        <v>5</v>
      </c>
      <c r="H249" s="24">
        <f>IF(G249&gt;G248,H248+C249*F249,C249*F249)</f>
        <v>3.1686108431334001</v>
      </c>
      <c r="I249" s="24">
        <f t="shared" si="14"/>
        <v>1</v>
      </c>
      <c r="J249" s="24">
        <f t="shared" si="15"/>
        <v>3.1686108431334001</v>
      </c>
      <c r="K249" s="24">
        <f>IF(CurrentMtgRatesDataTable811[[#This Row],[WA CC]]&lt;&gt;0,D248-CurrentMtgRatesDataTable811[[#This Row],[WA CC]],0)</f>
        <v>0.73638915686659967</v>
      </c>
      <c r="L249" s="24">
        <f>IF(CurrentMtgRatesDataTable811[[#This Row],[Servicing Spread]]&lt;=0,L248,CurrentMtgRatesDataTable811[[#This Row],[Servicing Spread]])</f>
        <v>0.73638915686659967</v>
      </c>
      <c r="M249" s="24">
        <f>CurrentMtgRatesDataTable811[[#This Row],[SeriesNumValue]]+CurrentMtgRatesDataTable811[[#This Row],[Servicing Spread Non-Zero]]</f>
        <v>3.8815554807134296</v>
      </c>
      <c r="V249">
        <v>4.7050000000000001</v>
      </c>
      <c r="W249" s="3">
        <v>40661</v>
      </c>
    </row>
    <row r="250" spans="2:23" x14ac:dyDescent="0.2">
      <c r="B250" s="27" t="s">
        <v>931</v>
      </c>
      <c r="C250" s="28">
        <v>3.2226255567609399</v>
      </c>
      <c r="D250" s="26">
        <v>3.9249999999999998</v>
      </c>
      <c r="E250" s="24">
        <f t="shared" si="12"/>
        <v>2</v>
      </c>
      <c r="F250" s="24">
        <f>VLOOKUP(E250,Q$5:R$11,2,FALSE)</f>
        <v>0.2</v>
      </c>
      <c r="G250" s="24">
        <f t="shared" si="13"/>
        <v>1</v>
      </c>
      <c r="H250" s="24">
        <f>IF(G250&gt;G249,H249+C250*F250,C250*F250)</f>
        <v>0.64452511135218804</v>
      </c>
      <c r="I250" s="24">
        <f t="shared" si="14"/>
        <v>0.2</v>
      </c>
      <c r="J250" s="24">
        <f t="shared" si="15"/>
        <v>0</v>
      </c>
      <c r="K250" s="24">
        <f>IF(CurrentMtgRatesDataTable811[[#This Row],[WA CC]]&lt;&gt;0,D249-CurrentMtgRatesDataTable811[[#This Row],[WA CC]],0)</f>
        <v>0</v>
      </c>
      <c r="L250" s="24">
        <f>IF(CurrentMtgRatesDataTable811[[#This Row],[Servicing Spread]]&lt;=0,L249,CurrentMtgRatesDataTable811[[#This Row],[Servicing Spread]])</f>
        <v>0.73638915686659967</v>
      </c>
      <c r="M250" s="24">
        <f>CurrentMtgRatesDataTable811[[#This Row],[SeriesNumValue]]+CurrentMtgRatesDataTable811[[#This Row],[Servicing Spread Non-Zero]]</f>
        <v>3.9590147136275395</v>
      </c>
      <c r="V250">
        <v>4.7249999999999996</v>
      </c>
      <c r="W250" s="3">
        <v>40654</v>
      </c>
    </row>
    <row r="251" spans="2:23" x14ac:dyDescent="0.2">
      <c r="B251" s="27" t="s">
        <v>932</v>
      </c>
      <c r="C251" s="28">
        <v>3.1879027130286501</v>
      </c>
      <c r="D251" s="26">
        <v>3.9249999999999998</v>
      </c>
      <c r="E251" s="24">
        <f t="shared" si="12"/>
        <v>5</v>
      </c>
      <c r="F251" s="24">
        <f>VLOOKUP(E251,Q$5:R$11,2,FALSE)</f>
        <v>0.2</v>
      </c>
      <c r="G251" s="24">
        <f t="shared" si="13"/>
        <v>2</v>
      </c>
      <c r="H251" s="24">
        <f>IF(G251&gt;G250,H250+C251*F251,C251*F251)</f>
        <v>1.2821056539579181</v>
      </c>
      <c r="I251" s="24">
        <f t="shared" si="14"/>
        <v>0.4</v>
      </c>
      <c r="J251" s="24">
        <f t="shared" si="15"/>
        <v>0</v>
      </c>
      <c r="K251" s="24">
        <f>IF(CurrentMtgRatesDataTable811[[#This Row],[WA CC]]&lt;&gt;0,D250-CurrentMtgRatesDataTable811[[#This Row],[WA CC]],0)</f>
        <v>0</v>
      </c>
      <c r="L251" s="24">
        <f>IF(CurrentMtgRatesDataTable811[[#This Row],[Servicing Spread]]&lt;=0,L250,CurrentMtgRatesDataTable811[[#This Row],[Servicing Spread]])</f>
        <v>0.73638915686659967</v>
      </c>
      <c r="M251" s="24">
        <f>CurrentMtgRatesDataTable811[[#This Row],[SeriesNumValue]]+CurrentMtgRatesDataTable811[[#This Row],[Servicing Spread Non-Zero]]</f>
        <v>3.9242918698952498</v>
      </c>
      <c r="V251">
        <v>4.8099999999999996</v>
      </c>
      <c r="W251" s="3">
        <v>40647</v>
      </c>
    </row>
    <row r="252" spans="2:23" x14ac:dyDescent="0.2">
      <c r="B252" s="27" t="s">
        <v>933</v>
      </c>
      <c r="C252" s="28">
        <v>3.18160535509739</v>
      </c>
      <c r="D252" s="26">
        <v>3.9249999999999998</v>
      </c>
      <c r="E252" s="24">
        <f t="shared" si="12"/>
        <v>6</v>
      </c>
      <c r="F252" s="24">
        <f>VLOOKUP(E252,Q$5:R$11,2,FALSE)</f>
        <v>0.2</v>
      </c>
      <c r="G252" s="24">
        <f t="shared" si="13"/>
        <v>3</v>
      </c>
      <c r="H252" s="24">
        <f>IF(G252&gt;G251,H251+C252*F252,C252*F252)</f>
        <v>1.9184267249773961</v>
      </c>
      <c r="I252" s="24">
        <f t="shared" si="14"/>
        <v>0.60000000000000009</v>
      </c>
      <c r="J252" s="24">
        <f t="shared" si="15"/>
        <v>0</v>
      </c>
      <c r="K252" s="24">
        <f>IF(CurrentMtgRatesDataTable811[[#This Row],[WA CC]]&lt;&gt;0,D251-CurrentMtgRatesDataTable811[[#This Row],[WA CC]],0)</f>
        <v>0</v>
      </c>
      <c r="L252" s="24">
        <f>IF(CurrentMtgRatesDataTable811[[#This Row],[Servicing Spread]]&lt;=0,L251,CurrentMtgRatesDataTable811[[#This Row],[Servicing Spread]])</f>
        <v>0.73638915686659967</v>
      </c>
      <c r="M252" s="24">
        <f>CurrentMtgRatesDataTable811[[#This Row],[SeriesNumValue]]+CurrentMtgRatesDataTable811[[#This Row],[Servicing Spread Non-Zero]]</f>
        <v>3.9179945119639896</v>
      </c>
      <c r="V252">
        <v>4.7949999999999999</v>
      </c>
      <c r="W252" s="3">
        <v>40640</v>
      </c>
    </row>
    <row r="253" spans="2:23" x14ac:dyDescent="0.2">
      <c r="B253" s="27" t="s">
        <v>934</v>
      </c>
      <c r="C253" s="28">
        <v>3.1770193190764999</v>
      </c>
      <c r="D253" s="26">
        <v>3.9249999999999998</v>
      </c>
      <c r="E253" s="24">
        <f t="shared" si="12"/>
        <v>7</v>
      </c>
      <c r="F253" s="24">
        <f>VLOOKUP(E253,Q$5:R$11,2,FALSE)</f>
        <v>0.2</v>
      </c>
      <c r="G253" s="24">
        <f t="shared" si="13"/>
        <v>4</v>
      </c>
      <c r="H253" s="24">
        <f>IF(G253&gt;G252,H252+C253*F253,C253*F253)</f>
        <v>2.553830588792696</v>
      </c>
      <c r="I253" s="24">
        <f t="shared" si="14"/>
        <v>0.8</v>
      </c>
      <c r="J253" s="24">
        <f t="shared" si="15"/>
        <v>3.19228823599087</v>
      </c>
      <c r="K253" s="24">
        <f>IF(CurrentMtgRatesDataTable811[[#This Row],[WA CC]]&lt;&gt;0,D252-CurrentMtgRatesDataTable811[[#This Row],[WA CC]],0)</f>
        <v>0.73271176400912985</v>
      </c>
      <c r="L253" s="24">
        <f>IF(CurrentMtgRatesDataTable811[[#This Row],[Servicing Spread]]&lt;=0,L252,CurrentMtgRatesDataTable811[[#This Row],[Servicing Spread]])</f>
        <v>0.73271176400912985</v>
      </c>
      <c r="M253" s="24">
        <f>CurrentMtgRatesDataTable811[[#This Row],[SeriesNumValue]]+CurrentMtgRatesDataTable811[[#This Row],[Servicing Spread Non-Zero]]</f>
        <v>3.9097310830856298</v>
      </c>
      <c r="V253">
        <v>4.7850000000000001</v>
      </c>
      <c r="W253" s="3">
        <v>40633</v>
      </c>
    </row>
    <row r="254" spans="2:23" x14ac:dyDescent="0.2">
      <c r="B254" s="27" t="s">
        <v>935</v>
      </c>
      <c r="C254" s="28">
        <v>3.2092148157425902</v>
      </c>
      <c r="D254" s="26">
        <v>3.915</v>
      </c>
      <c r="E254" s="24">
        <f t="shared" si="12"/>
        <v>1</v>
      </c>
      <c r="F254" s="24">
        <f>VLOOKUP(E254,Q$5:R$11,2,FALSE)</f>
        <v>0.2</v>
      </c>
      <c r="G254" s="24">
        <f t="shared" si="13"/>
        <v>1</v>
      </c>
      <c r="H254" s="24">
        <f>IF(G254&gt;G253,H253+C254*F254,C254*F254)</f>
        <v>0.64184296314851808</v>
      </c>
      <c r="I254" s="24">
        <f t="shared" si="14"/>
        <v>0.2</v>
      </c>
      <c r="J254" s="24">
        <f t="shared" si="15"/>
        <v>0</v>
      </c>
      <c r="K254" s="24">
        <f>IF(CurrentMtgRatesDataTable811[[#This Row],[WA CC]]&lt;&gt;0,D253-CurrentMtgRatesDataTable811[[#This Row],[WA CC]],0)</f>
        <v>0</v>
      </c>
      <c r="L254" s="24">
        <f>IF(CurrentMtgRatesDataTable811[[#This Row],[Servicing Spread]]&lt;=0,L253,CurrentMtgRatesDataTable811[[#This Row],[Servicing Spread]])</f>
        <v>0.73271176400912985</v>
      </c>
      <c r="M254" s="24">
        <f>CurrentMtgRatesDataTable811[[#This Row],[SeriesNumValue]]+CurrentMtgRatesDataTable811[[#This Row],[Servicing Spread Non-Zero]]</f>
        <v>3.94192657975172</v>
      </c>
      <c r="V254">
        <v>4.7349999999999897</v>
      </c>
      <c r="W254" s="3">
        <v>40626</v>
      </c>
    </row>
    <row r="255" spans="2:23" x14ac:dyDescent="0.2">
      <c r="B255" s="27" t="s">
        <v>936</v>
      </c>
      <c r="C255" s="28">
        <v>3.1429302987422898</v>
      </c>
      <c r="D255" s="26">
        <v>3.915</v>
      </c>
      <c r="E255" s="24">
        <f t="shared" si="12"/>
        <v>2</v>
      </c>
      <c r="F255" s="24">
        <f>VLOOKUP(E255,Q$5:R$11,2,FALSE)</f>
        <v>0.2</v>
      </c>
      <c r="G255" s="24">
        <f t="shared" si="13"/>
        <v>2</v>
      </c>
      <c r="H255" s="24">
        <f>IF(G255&gt;G254,H254+C255*F255,C255*F255)</f>
        <v>1.2704290228969761</v>
      </c>
      <c r="I255" s="24">
        <f t="shared" si="14"/>
        <v>0.4</v>
      </c>
      <c r="J255" s="24">
        <f t="shared" si="15"/>
        <v>0</v>
      </c>
      <c r="K255" s="24">
        <f>IF(CurrentMtgRatesDataTable811[[#This Row],[WA CC]]&lt;&gt;0,D254-CurrentMtgRatesDataTable811[[#This Row],[WA CC]],0)</f>
        <v>0</v>
      </c>
      <c r="L255" s="24">
        <f>IF(CurrentMtgRatesDataTable811[[#This Row],[Servicing Spread]]&lt;=0,L254,CurrentMtgRatesDataTable811[[#This Row],[Servicing Spread]])</f>
        <v>0.73271176400912985</v>
      </c>
      <c r="M255" s="24">
        <f>CurrentMtgRatesDataTable811[[#This Row],[SeriesNumValue]]+CurrentMtgRatesDataTable811[[#This Row],[Servicing Spread Non-Zero]]</f>
        <v>3.8756420627514196</v>
      </c>
      <c r="V255">
        <v>4.6849999999999996</v>
      </c>
      <c r="W255" s="3">
        <v>40619</v>
      </c>
    </row>
    <row r="256" spans="2:23" x14ac:dyDescent="0.2">
      <c r="B256" s="27" t="s">
        <v>937</v>
      </c>
      <c r="C256" s="28">
        <v>3.1564944605964</v>
      </c>
      <c r="D256" s="26">
        <v>3.915</v>
      </c>
      <c r="E256" s="24">
        <f t="shared" si="12"/>
        <v>5</v>
      </c>
      <c r="F256" s="24">
        <f>VLOOKUP(E256,Q$5:R$11,2,FALSE)</f>
        <v>0.2</v>
      </c>
      <c r="G256" s="24">
        <f t="shared" si="13"/>
        <v>3</v>
      </c>
      <c r="H256" s="24">
        <f>IF(G256&gt;G255,H255+C256*F256,C256*F256)</f>
        <v>1.9017279150162563</v>
      </c>
      <c r="I256" s="24">
        <f t="shared" si="14"/>
        <v>0.60000000000000009</v>
      </c>
      <c r="J256" s="24">
        <f t="shared" si="15"/>
        <v>0</v>
      </c>
      <c r="K256" s="24">
        <f>IF(CurrentMtgRatesDataTable811[[#This Row],[WA CC]]&lt;&gt;0,D255-CurrentMtgRatesDataTable811[[#This Row],[WA CC]],0)</f>
        <v>0</v>
      </c>
      <c r="L256" s="24">
        <f>IF(CurrentMtgRatesDataTable811[[#This Row],[Servicing Spread]]&lt;=0,L255,CurrentMtgRatesDataTable811[[#This Row],[Servicing Spread]])</f>
        <v>0.73271176400912985</v>
      </c>
      <c r="M256" s="24">
        <f>CurrentMtgRatesDataTable811[[#This Row],[SeriesNumValue]]+CurrentMtgRatesDataTable811[[#This Row],[Servicing Spread Non-Zero]]</f>
        <v>3.8892062246055299</v>
      </c>
      <c r="V256">
        <v>4.8049999999999997</v>
      </c>
      <c r="W256" s="3">
        <v>40612</v>
      </c>
    </row>
    <row r="257" spans="2:23" x14ac:dyDescent="0.2">
      <c r="B257" s="27" t="s">
        <v>938</v>
      </c>
      <c r="C257" s="28">
        <v>3.1701948375886699</v>
      </c>
      <c r="D257" s="26">
        <v>3.915</v>
      </c>
      <c r="E257" s="24">
        <f t="shared" si="12"/>
        <v>6</v>
      </c>
      <c r="F257" s="24">
        <f>VLOOKUP(E257,Q$5:R$11,2,FALSE)</f>
        <v>0.2</v>
      </c>
      <c r="G257" s="24">
        <f t="shared" si="13"/>
        <v>4</v>
      </c>
      <c r="H257" s="24">
        <f>IF(G257&gt;G256,H256+C257*F257,C257*F257)</f>
        <v>2.5357668825339905</v>
      </c>
      <c r="I257" s="24">
        <f t="shared" si="14"/>
        <v>0.8</v>
      </c>
      <c r="J257" s="24">
        <f t="shared" si="15"/>
        <v>0</v>
      </c>
      <c r="K257" s="24">
        <f>IF(CurrentMtgRatesDataTable811[[#This Row],[WA CC]]&lt;&gt;0,D256-CurrentMtgRatesDataTable811[[#This Row],[WA CC]],0)</f>
        <v>0</v>
      </c>
      <c r="L257" s="24">
        <f>IF(CurrentMtgRatesDataTable811[[#This Row],[Servicing Spread]]&lt;=0,L256,CurrentMtgRatesDataTable811[[#This Row],[Servicing Spread]])</f>
        <v>0.73271176400912985</v>
      </c>
      <c r="M257" s="24">
        <f>CurrentMtgRatesDataTable811[[#This Row],[SeriesNumValue]]+CurrentMtgRatesDataTable811[[#This Row],[Servicing Spread Non-Zero]]</f>
        <v>3.9029066015977998</v>
      </c>
      <c r="V257">
        <v>4.7949999999999999</v>
      </c>
      <c r="W257" s="3">
        <v>40605</v>
      </c>
    </row>
    <row r="258" spans="2:23" x14ac:dyDescent="0.2">
      <c r="B258" s="27" t="s">
        <v>939</v>
      </c>
      <c r="C258" s="28">
        <v>3.0901166558694499</v>
      </c>
      <c r="D258" s="26">
        <v>3.915</v>
      </c>
      <c r="E258" s="24">
        <f t="shared" si="12"/>
        <v>7</v>
      </c>
      <c r="F258" s="24">
        <f>VLOOKUP(E258,Q$5:R$11,2,FALSE)</f>
        <v>0.2</v>
      </c>
      <c r="G258" s="24">
        <f t="shared" si="13"/>
        <v>5</v>
      </c>
      <c r="H258" s="24">
        <f>IF(G258&gt;G257,H257+C258*F258,C258*F258)</f>
        <v>3.1537902137078806</v>
      </c>
      <c r="I258" s="24">
        <f t="shared" si="14"/>
        <v>1</v>
      </c>
      <c r="J258" s="24">
        <f t="shared" si="15"/>
        <v>3.1537902137078806</v>
      </c>
      <c r="K258" s="24">
        <f>IF(CurrentMtgRatesDataTable811[[#This Row],[WA CC]]&lt;&gt;0,D257-CurrentMtgRatesDataTable811[[#This Row],[WA CC]],0)</f>
        <v>0.76120978629211944</v>
      </c>
      <c r="L258" s="24">
        <f>IF(CurrentMtgRatesDataTable811[[#This Row],[Servicing Spread]]&lt;=0,L257,CurrentMtgRatesDataTable811[[#This Row],[Servicing Spread]])</f>
        <v>0.76120978629211944</v>
      </c>
      <c r="M258" s="24">
        <f>CurrentMtgRatesDataTable811[[#This Row],[SeriesNumValue]]+CurrentMtgRatesDataTable811[[#This Row],[Servicing Spread Non-Zero]]</f>
        <v>3.8513264421615694</v>
      </c>
      <c r="V258">
        <v>4.8499999999999996</v>
      </c>
      <c r="W258" s="3">
        <v>40598</v>
      </c>
    </row>
    <row r="259" spans="2:23" x14ac:dyDescent="0.2">
      <c r="B259" s="27" t="s">
        <v>940</v>
      </c>
      <c r="C259" s="28">
        <v>3.0582086355581701</v>
      </c>
      <c r="D259" s="26">
        <v>3.89</v>
      </c>
      <c r="E259" s="24">
        <f t="shared" ref="E259:E322" si="16">WEEKDAY(B259,14)</f>
        <v>1</v>
      </c>
      <c r="F259" s="24">
        <f>VLOOKUP(E259,Q$5:R$11,2,FALSE)</f>
        <v>0.2</v>
      </c>
      <c r="G259" s="24">
        <f t="shared" ref="G259:G322" si="17">IF(AND(E259&gt;E258,G258&lt;6),G258+1,1)</f>
        <v>1</v>
      </c>
      <c r="H259" s="24">
        <f>IF(G259&gt;G258,H258+C259*F259,C259*F259)</f>
        <v>0.61164172711163411</v>
      </c>
      <c r="I259" s="24">
        <f t="shared" ref="I259:I322" si="18">IF(AND(G259&lt;6,G259&gt;G258),F259+I258,F259)</f>
        <v>0.2</v>
      </c>
      <c r="J259" s="24">
        <f t="shared" ref="J259:J322" si="19">IF(G259&gt;G260,H259/I259,0)</f>
        <v>0</v>
      </c>
      <c r="K259" s="24">
        <f>IF(CurrentMtgRatesDataTable811[[#This Row],[WA CC]]&lt;&gt;0,D258-CurrentMtgRatesDataTable811[[#This Row],[WA CC]],0)</f>
        <v>0</v>
      </c>
      <c r="L259" s="24">
        <f>IF(CurrentMtgRatesDataTable811[[#This Row],[Servicing Spread]]&lt;=0,L258,CurrentMtgRatesDataTable811[[#This Row],[Servicing Spread]])</f>
        <v>0.76120978629211944</v>
      </c>
      <c r="M259" s="24">
        <f>CurrentMtgRatesDataTable811[[#This Row],[SeriesNumValue]]+CurrentMtgRatesDataTable811[[#This Row],[Servicing Spread Non-Zero]]</f>
        <v>3.8194184218502896</v>
      </c>
      <c r="V259">
        <v>4.9249999999999998</v>
      </c>
      <c r="W259" s="3">
        <v>40591</v>
      </c>
    </row>
    <row r="260" spans="2:23" x14ac:dyDescent="0.2">
      <c r="B260" s="27" t="s">
        <v>941</v>
      </c>
      <c r="C260" s="28">
        <v>3.13668507715898</v>
      </c>
      <c r="D260" s="26">
        <v>3.89</v>
      </c>
      <c r="E260" s="24">
        <f t="shared" si="16"/>
        <v>2</v>
      </c>
      <c r="F260" s="24">
        <f>VLOOKUP(E260,Q$5:R$11,2,FALSE)</f>
        <v>0.2</v>
      </c>
      <c r="G260" s="24">
        <f t="shared" si="17"/>
        <v>2</v>
      </c>
      <c r="H260" s="24">
        <f>IF(G260&gt;G259,H259+C260*F260,C260*F260)</f>
        <v>1.2389787425434302</v>
      </c>
      <c r="I260" s="24">
        <f t="shared" si="18"/>
        <v>0.4</v>
      </c>
      <c r="J260" s="24">
        <f t="shared" si="19"/>
        <v>0</v>
      </c>
      <c r="K260" s="24">
        <f>IF(CurrentMtgRatesDataTable811[[#This Row],[WA CC]]&lt;&gt;0,D259-CurrentMtgRatesDataTable811[[#This Row],[WA CC]],0)</f>
        <v>0</v>
      </c>
      <c r="L260" s="24">
        <f>IF(CurrentMtgRatesDataTable811[[#This Row],[Servicing Spread]]&lt;=0,L259,CurrentMtgRatesDataTable811[[#This Row],[Servicing Spread]])</f>
        <v>0.76120978629211944</v>
      </c>
      <c r="M260" s="24">
        <f>CurrentMtgRatesDataTable811[[#This Row],[SeriesNumValue]]+CurrentMtgRatesDataTable811[[#This Row],[Servicing Spread Non-Zero]]</f>
        <v>3.8978948634510995</v>
      </c>
      <c r="V260">
        <v>4.9749999999999996</v>
      </c>
      <c r="W260" s="3">
        <v>40584</v>
      </c>
    </row>
    <row r="261" spans="2:23" x14ac:dyDescent="0.2">
      <c r="B261" s="27" t="s">
        <v>942</v>
      </c>
      <c r="C261" s="28">
        <v>3.12818591225721</v>
      </c>
      <c r="D261" s="26">
        <v>3.89</v>
      </c>
      <c r="E261" s="24">
        <f t="shared" si="16"/>
        <v>5</v>
      </c>
      <c r="F261" s="24">
        <f>VLOOKUP(E261,Q$5:R$11,2,FALSE)</f>
        <v>0.2</v>
      </c>
      <c r="G261" s="24">
        <f t="shared" si="17"/>
        <v>3</v>
      </c>
      <c r="H261" s="24">
        <f>IF(G261&gt;G260,H260+C261*F261,C261*F261)</f>
        <v>1.8646159249948724</v>
      </c>
      <c r="I261" s="24">
        <f t="shared" si="18"/>
        <v>0.60000000000000009</v>
      </c>
      <c r="J261" s="24">
        <f t="shared" si="19"/>
        <v>0</v>
      </c>
      <c r="K261" s="24">
        <f>IF(CurrentMtgRatesDataTable811[[#This Row],[WA CC]]&lt;&gt;0,D260-CurrentMtgRatesDataTable811[[#This Row],[WA CC]],0)</f>
        <v>0</v>
      </c>
      <c r="L261" s="24">
        <f>IF(CurrentMtgRatesDataTable811[[#This Row],[Servicing Spread]]&lt;=0,L260,CurrentMtgRatesDataTable811[[#This Row],[Servicing Spread]])</f>
        <v>0.76120978629211944</v>
      </c>
      <c r="M261" s="24">
        <f>CurrentMtgRatesDataTable811[[#This Row],[SeriesNumValue]]+CurrentMtgRatesDataTable811[[#This Row],[Servicing Spread Non-Zero]]</f>
        <v>3.8893956985493294</v>
      </c>
      <c r="V261">
        <v>4.76</v>
      </c>
      <c r="W261" s="3">
        <v>40577</v>
      </c>
    </row>
    <row r="262" spans="2:23" x14ac:dyDescent="0.2">
      <c r="B262" s="27" t="s">
        <v>943</v>
      </c>
      <c r="C262" s="28">
        <v>3.0836009703649698</v>
      </c>
      <c r="D262" s="26">
        <v>3.89</v>
      </c>
      <c r="E262" s="24">
        <f t="shared" si="16"/>
        <v>6</v>
      </c>
      <c r="F262" s="24">
        <f>VLOOKUP(E262,Q$5:R$11,2,FALSE)</f>
        <v>0.2</v>
      </c>
      <c r="G262" s="24">
        <f t="shared" si="17"/>
        <v>4</v>
      </c>
      <c r="H262" s="24">
        <f>IF(G262&gt;G261,H261+C262*F262,C262*F262)</f>
        <v>2.4813361190678664</v>
      </c>
      <c r="I262" s="24">
        <f t="shared" si="18"/>
        <v>0.8</v>
      </c>
      <c r="J262" s="24">
        <f t="shared" si="19"/>
        <v>0</v>
      </c>
      <c r="K262" s="24">
        <f>IF(CurrentMtgRatesDataTable811[[#This Row],[WA CC]]&lt;&gt;0,D261-CurrentMtgRatesDataTable811[[#This Row],[WA CC]],0)</f>
        <v>0</v>
      </c>
      <c r="L262" s="24">
        <f>IF(CurrentMtgRatesDataTable811[[#This Row],[Servicing Spread]]&lt;=0,L261,CurrentMtgRatesDataTable811[[#This Row],[Servicing Spread]])</f>
        <v>0.76120978629211944</v>
      </c>
      <c r="M262" s="24">
        <f>CurrentMtgRatesDataTable811[[#This Row],[SeriesNumValue]]+CurrentMtgRatesDataTable811[[#This Row],[Servicing Spread Non-Zero]]</f>
        <v>3.8448107566570893</v>
      </c>
      <c r="V262">
        <v>4.7249999999999996</v>
      </c>
      <c r="W262" s="3">
        <v>40570</v>
      </c>
    </row>
    <row r="263" spans="2:23" x14ac:dyDescent="0.2">
      <c r="B263" s="27" t="s">
        <v>944</v>
      </c>
      <c r="C263" s="28">
        <v>3.0099010383254599</v>
      </c>
      <c r="D263" s="26">
        <v>3.89</v>
      </c>
      <c r="E263" s="24">
        <f t="shared" si="16"/>
        <v>7</v>
      </c>
      <c r="F263" s="24">
        <f>VLOOKUP(E263,Q$5:R$11,2,FALSE)</f>
        <v>0.2</v>
      </c>
      <c r="G263" s="24">
        <f t="shared" si="17"/>
        <v>5</v>
      </c>
      <c r="H263" s="24">
        <f>IF(G263&gt;G262,H262+C263*F263,C263*F263)</f>
        <v>3.0833163267329584</v>
      </c>
      <c r="I263" s="24">
        <f t="shared" si="18"/>
        <v>1</v>
      </c>
      <c r="J263" s="24">
        <f t="shared" si="19"/>
        <v>3.0833163267329584</v>
      </c>
      <c r="K263" s="24">
        <f>IF(CurrentMtgRatesDataTable811[[#This Row],[WA CC]]&lt;&gt;0,D262-CurrentMtgRatesDataTable811[[#This Row],[WA CC]],0)</f>
        <v>0.80668367326704171</v>
      </c>
      <c r="L263" s="24">
        <f>IF(CurrentMtgRatesDataTable811[[#This Row],[Servicing Spread]]&lt;=0,L262,CurrentMtgRatesDataTable811[[#This Row],[Servicing Spread]])</f>
        <v>0.80668367326704171</v>
      </c>
      <c r="M263" s="24">
        <f>CurrentMtgRatesDataTable811[[#This Row],[SeriesNumValue]]+CurrentMtgRatesDataTable811[[#This Row],[Servicing Spread Non-Zero]]</f>
        <v>3.8165847115925016</v>
      </c>
      <c r="V263">
        <v>4.6900000000000004</v>
      </c>
      <c r="W263" s="3">
        <v>40563</v>
      </c>
    </row>
    <row r="264" spans="2:23" x14ac:dyDescent="0.2">
      <c r="B264" s="27" t="s">
        <v>945</v>
      </c>
      <c r="C264" s="28">
        <v>3.0512455688630302</v>
      </c>
      <c r="D264" s="26">
        <v>3.835</v>
      </c>
      <c r="E264" s="24">
        <f t="shared" si="16"/>
        <v>1</v>
      </c>
      <c r="F264" s="24">
        <f>VLOOKUP(E264,Q$5:R$11,2,FALSE)</f>
        <v>0.2</v>
      </c>
      <c r="G264" s="24">
        <f t="shared" si="17"/>
        <v>1</v>
      </c>
      <c r="H264" s="24">
        <f>IF(G264&gt;G263,H263+C264*F264,C264*F264)</f>
        <v>0.61024911377260604</v>
      </c>
      <c r="I264" s="24">
        <f t="shared" si="18"/>
        <v>0.2</v>
      </c>
      <c r="J264" s="24">
        <f t="shared" si="19"/>
        <v>0</v>
      </c>
      <c r="K264" s="24">
        <f>IF(CurrentMtgRatesDataTable811[[#This Row],[WA CC]]&lt;&gt;0,D263-CurrentMtgRatesDataTable811[[#This Row],[WA CC]],0)</f>
        <v>0</v>
      </c>
      <c r="L264" s="24">
        <f>IF(CurrentMtgRatesDataTable811[[#This Row],[Servicing Spread]]&lt;=0,L263,CurrentMtgRatesDataTable811[[#This Row],[Servicing Spread]])</f>
        <v>0.80668367326704171</v>
      </c>
      <c r="M264" s="24">
        <f>CurrentMtgRatesDataTable811[[#This Row],[SeriesNumValue]]+CurrentMtgRatesDataTable811[[#This Row],[Servicing Spread Non-Zero]]</f>
        <v>3.8579292421300719</v>
      </c>
      <c r="V264">
        <v>4.66</v>
      </c>
      <c r="W264" s="3">
        <v>40556</v>
      </c>
    </row>
    <row r="265" spans="2:23" x14ac:dyDescent="0.2">
      <c r="B265" s="27" t="s">
        <v>946</v>
      </c>
      <c r="C265" s="28">
        <v>3.0010367845375399</v>
      </c>
      <c r="D265" s="26">
        <v>3.835</v>
      </c>
      <c r="E265" s="24">
        <f t="shared" si="16"/>
        <v>2</v>
      </c>
      <c r="F265" s="24">
        <f>VLOOKUP(E265,Q$5:R$11,2,FALSE)</f>
        <v>0.2</v>
      </c>
      <c r="G265" s="24">
        <f t="shared" si="17"/>
        <v>2</v>
      </c>
      <c r="H265" s="24">
        <f>IF(G265&gt;G264,H264+C265*F265,C265*F265)</f>
        <v>1.2104564706801142</v>
      </c>
      <c r="I265" s="24">
        <f t="shared" si="18"/>
        <v>0.4</v>
      </c>
      <c r="J265" s="24">
        <f t="shared" si="19"/>
        <v>0</v>
      </c>
      <c r="K265" s="24">
        <f>IF(CurrentMtgRatesDataTable811[[#This Row],[WA CC]]&lt;&gt;0,D264-CurrentMtgRatesDataTable811[[#This Row],[WA CC]],0)</f>
        <v>0</v>
      </c>
      <c r="L265" s="24">
        <f>IF(CurrentMtgRatesDataTable811[[#This Row],[Servicing Spread]]&lt;=0,L264,CurrentMtgRatesDataTable811[[#This Row],[Servicing Spread]])</f>
        <v>0.80668367326704171</v>
      </c>
      <c r="M265" s="24">
        <f>CurrentMtgRatesDataTable811[[#This Row],[SeriesNumValue]]+CurrentMtgRatesDataTable811[[#This Row],[Servicing Spread Non-Zero]]</f>
        <v>3.8077204578045816</v>
      </c>
      <c r="V265">
        <v>4.72</v>
      </c>
      <c r="W265" s="3">
        <v>40549</v>
      </c>
    </row>
    <row r="266" spans="2:23" x14ac:dyDescent="0.2">
      <c r="B266" s="27" t="s">
        <v>947</v>
      </c>
      <c r="C266" s="28">
        <v>2.9894475753554</v>
      </c>
      <c r="D266" s="26">
        <v>3.835</v>
      </c>
      <c r="E266" s="24">
        <f t="shared" si="16"/>
        <v>5</v>
      </c>
      <c r="F266" s="24">
        <f>VLOOKUP(E266,Q$5:R$11,2,FALSE)</f>
        <v>0.2</v>
      </c>
      <c r="G266" s="24">
        <f t="shared" si="17"/>
        <v>3</v>
      </c>
      <c r="H266" s="24">
        <f>IF(G266&gt;G265,H265+C266*F266,C266*F266)</f>
        <v>1.8083459857511941</v>
      </c>
      <c r="I266" s="24">
        <f t="shared" si="18"/>
        <v>0.60000000000000009</v>
      </c>
      <c r="J266" s="24">
        <f t="shared" si="19"/>
        <v>0</v>
      </c>
      <c r="K266" s="24">
        <f>IF(CurrentMtgRatesDataTable811[[#This Row],[WA CC]]&lt;&gt;0,D265-CurrentMtgRatesDataTable811[[#This Row],[WA CC]],0)</f>
        <v>0</v>
      </c>
      <c r="L266" s="24">
        <f>IF(CurrentMtgRatesDataTable811[[#This Row],[Servicing Spread]]&lt;=0,L265,CurrentMtgRatesDataTable811[[#This Row],[Servicing Spread]])</f>
        <v>0.80668367326704171</v>
      </c>
      <c r="M266" s="24">
        <f>CurrentMtgRatesDataTable811[[#This Row],[SeriesNumValue]]+CurrentMtgRatesDataTable811[[#This Row],[Servicing Spread Non-Zero]]</f>
        <v>3.7961312486224417</v>
      </c>
      <c r="V266">
        <v>4.8099999999999996</v>
      </c>
      <c r="W266" s="3">
        <v>40542</v>
      </c>
    </row>
    <row r="267" spans="2:23" x14ac:dyDescent="0.2">
      <c r="B267" s="27" t="s">
        <v>948</v>
      </c>
      <c r="C267" s="28">
        <v>3.0682671271732498</v>
      </c>
      <c r="D267" s="26">
        <v>3.835</v>
      </c>
      <c r="E267" s="24">
        <f t="shared" si="16"/>
        <v>6</v>
      </c>
      <c r="F267" s="24">
        <f>VLOOKUP(E267,Q$5:R$11,2,FALSE)</f>
        <v>0.2</v>
      </c>
      <c r="G267" s="24">
        <f t="shared" si="17"/>
        <v>4</v>
      </c>
      <c r="H267" s="24">
        <f>IF(G267&gt;G266,H266+C267*F267,C267*F267)</f>
        <v>2.4219994111858441</v>
      </c>
      <c r="I267" s="24">
        <f t="shared" si="18"/>
        <v>0.8</v>
      </c>
      <c r="J267" s="24">
        <f t="shared" si="19"/>
        <v>0</v>
      </c>
      <c r="K267" s="24">
        <f>IF(CurrentMtgRatesDataTable811[[#This Row],[WA CC]]&lt;&gt;0,D266-CurrentMtgRatesDataTable811[[#This Row],[WA CC]],0)</f>
        <v>0</v>
      </c>
      <c r="L267" s="24">
        <f>IF(CurrentMtgRatesDataTable811[[#This Row],[Servicing Spread]]&lt;=0,L266,CurrentMtgRatesDataTable811[[#This Row],[Servicing Spread]])</f>
        <v>0.80668367326704171</v>
      </c>
      <c r="M267" s="24">
        <f>CurrentMtgRatesDataTable811[[#This Row],[SeriesNumValue]]+CurrentMtgRatesDataTable811[[#This Row],[Servicing Spread Non-Zero]]</f>
        <v>3.8749508004402915</v>
      </c>
      <c r="V267">
        <v>4.7349999999999897</v>
      </c>
      <c r="W267" s="3">
        <v>40535</v>
      </c>
    </row>
    <row r="268" spans="2:23" x14ac:dyDescent="0.2">
      <c r="B268" s="27" t="s">
        <v>949</v>
      </c>
      <c r="C268" s="28">
        <v>3.1062066033086002</v>
      </c>
      <c r="D268" s="26">
        <v>3.835</v>
      </c>
      <c r="E268" s="24">
        <f t="shared" si="16"/>
        <v>7</v>
      </c>
      <c r="F268" s="24">
        <f>VLOOKUP(E268,Q$5:R$11,2,FALSE)</f>
        <v>0.2</v>
      </c>
      <c r="G268" s="24">
        <f t="shared" si="17"/>
        <v>5</v>
      </c>
      <c r="H268" s="24">
        <f>IF(G268&gt;G267,H267+C268*F268,C268*F268)</f>
        <v>3.0432407318475643</v>
      </c>
      <c r="I268" s="24">
        <f t="shared" si="18"/>
        <v>1</v>
      </c>
      <c r="J268" s="24">
        <f t="shared" si="19"/>
        <v>3.0432407318475643</v>
      </c>
      <c r="K268" s="24">
        <f>IF(CurrentMtgRatesDataTable811[[#This Row],[WA CC]]&lt;&gt;0,D267-CurrentMtgRatesDataTable811[[#This Row],[WA CC]],0)</f>
        <v>0.79175926815243569</v>
      </c>
      <c r="L268" s="24">
        <f>IF(CurrentMtgRatesDataTable811[[#This Row],[Servicing Spread]]&lt;=0,L267,CurrentMtgRatesDataTable811[[#This Row],[Servicing Spread]])</f>
        <v>0.79175926815243569</v>
      </c>
      <c r="M268" s="24">
        <f>CurrentMtgRatesDataTable811[[#This Row],[SeriesNumValue]]+CurrentMtgRatesDataTable811[[#This Row],[Servicing Spread Non-Zero]]</f>
        <v>3.8979658714610359</v>
      </c>
      <c r="V268">
        <v>4.7549999999999999</v>
      </c>
      <c r="W268" s="3">
        <v>40528</v>
      </c>
    </row>
    <row r="269" spans="2:23" x14ac:dyDescent="0.2">
      <c r="B269" s="27" t="s">
        <v>950</v>
      </c>
      <c r="C269" s="28">
        <v>3.0957276012742798</v>
      </c>
      <c r="D269" s="26">
        <v>3.875</v>
      </c>
      <c r="E269" s="24">
        <f t="shared" si="16"/>
        <v>1</v>
      </c>
      <c r="F269" s="24">
        <f>VLOOKUP(E269,Q$5:R$11,2,FALSE)</f>
        <v>0.2</v>
      </c>
      <c r="G269" s="24">
        <f t="shared" si="17"/>
        <v>1</v>
      </c>
      <c r="H269" s="24">
        <f>IF(G269&gt;G268,H268+C269*F269,C269*F269)</f>
        <v>0.61914552025485603</v>
      </c>
      <c r="I269" s="24">
        <f t="shared" si="18"/>
        <v>0.2</v>
      </c>
      <c r="J269" s="24">
        <f t="shared" si="19"/>
        <v>0</v>
      </c>
      <c r="K269" s="24">
        <f>IF(CurrentMtgRatesDataTable811[[#This Row],[WA CC]]&lt;&gt;0,D268-CurrentMtgRatesDataTable811[[#This Row],[WA CC]],0)</f>
        <v>0</v>
      </c>
      <c r="L269" s="24">
        <f>IF(CurrentMtgRatesDataTable811[[#This Row],[Servicing Spread]]&lt;=0,L268,CurrentMtgRatesDataTable811[[#This Row],[Servicing Spread]])</f>
        <v>0.79175926815243569</v>
      </c>
      <c r="M269" s="24">
        <f>CurrentMtgRatesDataTable811[[#This Row],[SeriesNumValue]]+CurrentMtgRatesDataTable811[[#This Row],[Servicing Spread Non-Zero]]</f>
        <v>3.8874868694267155</v>
      </c>
      <c r="V269">
        <v>4.5350000000000001</v>
      </c>
      <c r="W269" s="3">
        <v>40521</v>
      </c>
    </row>
    <row r="270" spans="2:23" x14ac:dyDescent="0.2">
      <c r="B270" s="27" t="s">
        <v>951</v>
      </c>
      <c r="C270" s="28">
        <v>3.1705040957732402</v>
      </c>
      <c r="D270" s="26">
        <v>3.875</v>
      </c>
      <c r="E270" s="24">
        <f t="shared" si="16"/>
        <v>2</v>
      </c>
      <c r="F270" s="24">
        <f>VLOOKUP(E270,Q$5:R$11,2,FALSE)</f>
        <v>0.2</v>
      </c>
      <c r="G270" s="24">
        <f t="shared" si="17"/>
        <v>2</v>
      </c>
      <c r="H270" s="24">
        <f>IF(G270&gt;G269,H269+C270*F270,C270*F270)</f>
        <v>1.2532463394095041</v>
      </c>
      <c r="I270" s="24">
        <f t="shared" si="18"/>
        <v>0.4</v>
      </c>
      <c r="J270" s="24">
        <f t="shared" si="19"/>
        <v>0</v>
      </c>
      <c r="K270" s="24">
        <f>IF(CurrentMtgRatesDataTable811[[#This Row],[WA CC]]&lt;&gt;0,D269-CurrentMtgRatesDataTable811[[#This Row],[WA CC]],0)</f>
        <v>0</v>
      </c>
      <c r="L270" s="24">
        <f>IF(CurrentMtgRatesDataTable811[[#This Row],[Servicing Spread]]&lt;=0,L269,CurrentMtgRatesDataTable811[[#This Row],[Servicing Spread]])</f>
        <v>0.79175926815243569</v>
      </c>
      <c r="M270" s="24">
        <f>CurrentMtgRatesDataTable811[[#This Row],[SeriesNumValue]]+CurrentMtgRatesDataTable811[[#This Row],[Servicing Spread Non-Zero]]</f>
        <v>3.9622633639256759</v>
      </c>
      <c r="V270">
        <v>4.41</v>
      </c>
      <c r="W270" s="3">
        <v>40514</v>
      </c>
    </row>
    <row r="271" spans="2:23" x14ac:dyDescent="0.2">
      <c r="B271" s="27" t="s">
        <v>952</v>
      </c>
      <c r="C271" s="28">
        <v>3.1525411390212401</v>
      </c>
      <c r="D271" s="26">
        <v>3.875</v>
      </c>
      <c r="E271" s="24">
        <f t="shared" si="16"/>
        <v>6</v>
      </c>
      <c r="F271" s="24">
        <f>VLOOKUP(E271,Q$5:R$11,2,FALSE)</f>
        <v>0.2</v>
      </c>
      <c r="G271" s="24">
        <f t="shared" si="17"/>
        <v>3</v>
      </c>
      <c r="H271" s="24">
        <f>IF(G271&gt;G270,H270+C271*F271,C271*F271)</f>
        <v>1.8837545672137521</v>
      </c>
      <c r="I271" s="24">
        <f t="shared" si="18"/>
        <v>0.60000000000000009</v>
      </c>
      <c r="J271" s="24">
        <f t="shared" si="19"/>
        <v>0</v>
      </c>
      <c r="K271" s="24">
        <f>IF(CurrentMtgRatesDataTable811[[#This Row],[WA CC]]&lt;&gt;0,D270-CurrentMtgRatesDataTable811[[#This Row],[WA CC]],0)</f>
        <v>0</v>
      </c>
      <c r="L271" s="24">
        <f>IF(CurrentMtgRatesDataTable811[[#This Row],[Servicing Spread]]&lt;=0,L270,CurrentMtgRatesDataTable811[[#This Row],[Servicing Spread]])</f>
        <v>0.79175926815243569</v>
      </c>
      <c r="M271" s="24">
        <f>CurrentMtgRatesDataTable811[[#This Row],[SeriesNumValue]]+CurrentMtgRatesDataTable811[[#This Row],[Servicing Spread Non-Zero]]</f>
        <v>3.9443004071736758</v>
      </c>
    </row>
    <row r="272" spans="2:23" x14ac:dyDescent="0.2">
      <c r="B272" s="27" t="s">
        <v>953</v>
      </c>
      <c r="C272" s="28">
        <v>3.0482411283834199</v>
      </c>
      <c r="D272" s="26">
        <v>3.875</v>
      </c>
      <c r="E272" s="24">
        <f t="shared" si="16"/>
        <v>7</v>
      </c>
      <c r="F272" s="24">
        <f>VLOOKUP(E272,Q$5:R$11,2,FALSE)</f>
        <v>0.2</v>
      </c>
      <c r="G272" s="24">
        <f t="shared" si="17"/>
        <v>4</v>
      </c>
      <c r="H272" s="24">
        <f>IF(G272&gt;G271,H271+C272*F272,C272*F272)</f>
        <v>2.4934027928904361</v>
      </c>
      <c r="I272" s="24">
        <f t="shared" si="18"/>
        <v>0.8</v>
      </c>
      <c r="J272" s="24">
        <f t="shared" si="19"/>
        <v>3.116753491113045</v>
      </c>
      <c r="K272" s="24">
        <f>IF(CurrentMtgRatesDataTable811[[#This Row],[WA CC]]&lt;&gt;0,D271-CurrentMtgRatesDataTable811[[#This Row],[WA CC]],0)</f>
        <v>0.758246508886955</v>
      </c>
      <c r="L272" s="24">
        <f>IF(CurrentMtgRatesDataTable811[[#This Row],[Servicing Spread]]&lt;=0,L271,CurrentMtgRatesDataTable811[[#This Row],[Servicing Spread]])</f>
        <v>0.758246508886955</v>
      </c>
      <c r="M272" s="24">
        <f>CurrentMtgRatesDataTable811[[#This Row],[SeriesNumValue]]+CurrentMtgRatesDataTable811[[#This Row],[Servicing Spread Non-Zero]]</f>
        <v>3.8064876372703749</v>
      </c>
    </row>
    <row r="273" spans="2:13" x14ac:dyDescent="0.2">
      <c r="B273" s="27" t="s">
        <v>954</v>
      </c>
      <c r="C273" s="28">
        <v>3.02888356326996</v>
      </c>
      <c r="D273" s="26">
        <v>3.8600000000000003</v>
      </c>
      <c r="E273" s="24">
        <f t="shared" si="16"/>
        <v>1</v>
      </c>
      <c r="F273" s="24">
        <f>VLOOKUP(E273,Q$5:R$11,2,FALSE)</f>
        <v>0.2</v>
      </c>
      <c r="G273" s="24">
        <f t="shared" si="17"/>
        <v>1</v>
      </c>
      <c r="H273" s="24">
        <f>IF(G273&gt;G272,H272+C273*F273,C273*F273)</f>
        <v>0.60577671265399202</v>
      </c>
      <c r="I273" s="24">
        <f t="shared" si="18"/>
        <v>0.2</v>
      </c>
      <c r="J273" s="24">
        <f t="shared" si="19"/>
        <v>0</v>
      </c>
      <c r="K273" s="24">
        <f>IF(CurrentMtgRatesDataTable811[[#This Row],[WA CC]]&lt;&gt;0,D272-CurrentMtgRatesDataTable811[[#This Row],[WA CC]],0)</f>
        <v>0</v>
      </c>
      <c r="L273" s="24">
        <f>IF(CurrentMtgRatesDataTable811[[#This Row],[Servicing Spread]]&lt;=0,L272,CurrentMtgRatesDataTable811[[#This Row],[Servicing Spread]])</f>
        <v>0.758246508886955</v>
      </c>
      <c r="M273" s="24">
        <f>CurrentMtgRatesDataTable811[[#This Row],[SeriesNumValue]]+CurrentMtgRatesDataTable811[[#This Row],[Servicing Spread Non-Zero]]</f>
        <v>3.787130072156915</v>
      </c>
    </row>
    <row r="274" spans="2:13" x14ac:dyDescent="0.2">
      <c r="B274" s="27" t="s">
        <v>955</v>
      </c>
      <c r="C274" s="28">
        <v>3.0169008574553802</v>
      </c>
      <c r="D274" s="26">
        <v>3.8600000000000003</v>
      </c>
      <c r="E274" s="24">
        <f t="shared" si="16"/>
        <v>2</v>
      </c>
      <c r="F274" s="24">
        <f>VLOOKUP(E274,Q$5:R$11,2,FALSE)</f>
        <v>0.2</v>
      </c>
      <c r="G274" s="24">
        <f t="shared" si="17"/>
        <v>2</v>
      </c>
      <c r="H274" s="24">
        <f>IF(G274&gt;G273,H273+C274*F274,C274*F274)</f>
        <v>1.2091568841450679</v>
      </c>
      <c r="I274" s="24">
        <f t="shared" si="18"/>
        <v>0.4</v>
      </c>
      <c r="J274" s="24">
        <f t="shared" si="19"/>
        <v>0</v>
      </c>
      <c r="K274" s="24">
        <f>IF(CurrentMtgRatesDataTable811[[#This Row],[WA CC]]&lt;&gt;0,D273-CurrentMtgRatesDataTable811[[#This Row],[WA CC]],0)</f>
        <v>0</v>
      </c>
      <c r="L274" s="24">
        <f>IF(CurrentMtgRatesDataTable811[[#This Row],[Servicing Spread]]&lt;=0,L273,CurrentMtgRatesDataTable811[[#This Row],[Servicing Spread]])</f>
        <v>0.758246508886955</v>
      </c>
      <c r="M274" s="24">
        <f>CurrentMtgRatesDataTable811[[#This Row],[SeriesNumValue]]+CurrentMtgRatesDataTable811[[#This Row],[Servicing Spread Non-Zero]]</f>
        <v>3.7751473663423352</v>
      </c>
    </row>
    <row r="275" spans="2:13" x14ac:dyDescent="0.2">
      <c r="B275" s="27" t="s">
        <v>956</v>
      </c>
      <c r="C275" s="28">
        <v>2.9922052054175601</v>
      </c>
      <c r="D275" s="26">
        <v>3.8600000000000003</v>
      </c>
      <c r="E275" s="24">
        <f t="shared" si="16"/>
        <v>6</v>
      </c>
      <c r="F275" s="24">
        <f>VLOOKUP(E275,Q$5:R$11,2,FALSE)</f>
        <v>0.2</v>
      </c>
      <c r="G275" s="24">
        <f t="shared" si="17"/>
        <v>3</v>
      </c>
      <c r="H275" s="24">
        <f>IF(G275&gt;G274,H274+C275*F275,C275*F275)</f>
        <v>1.8075979252285799</v>
      </c>
      <c r="I275" s="24">
        <f t="shared" si="18"/>
        <v>0.60000000000000009</v>
      </c>
      <c r="J275" s="24">
        <f t="shared" si="19"/>
        <v>0</v>
      </c>
      <c r="K275" s="24">
        <f>IF(CurrentMtgRatesDataTable811[[#This Row],[WA CC]]&lt;&gt;0,D274-CurrentMtgRatesDataTable811[[#This Row],[WA CC]],0)</f>
        <v>0</v>
      </c>
      <c r="L275" s="24">
        <f>IF(CurrentMtgRatesDataTable811[[#This Row],[Servicing Spread]]&lt;=0,L274,CurrentMtgRatesDataTable811[[#This Row],[Servicing Spread]])</f>
        <v>0.758246508886955</v>
      </c>
      <c r="M275" s="24">
        <f>CurrentMtgRatesDataTable811[[#This Row],[SeriesNumValue]]+CurrentMtgRatesDataTable811[[#This Row],[Servicing Spread Non-Zero]]</f>
        <v>3.7504517143045151</v>
      </c>
    </row>
    <row r="276" spans="2:13" x14ac:dyDescent="0.2">
      <c r="B276" s="27" t="s">
        <v>957</v>
      </c>
      <c r="C276" s="28">
        <v>2.99570308668953</v>
      </c>
      <c r="D276" s="26">
        <v>3.8600000000000003</v>
      </c>
      <c r="E276" s="24">
        <f t="shared" si="16"/>
        <v>7</v>
      </c>
      <c r="F276" s="24">
        <f>VLOOKUP(E276,Q$5:R$11,2,FALSE)</f>
        <v>0.2</v>
      </c>
      <c r="G276" s="24">
        <f t="shared" si="17"/>
        <v>4</v>
      </c>
      <c r="H276" s="24">
        <f>IF(G276&gt;G275,H275+C276*F276,C276*F276)</f>
        <v>2.4067385425664858</v>
      </c>
      <c r="I276" s="24">
        <f t="shared" si="18"/>
        <v>0.8</v>
      </c>
      <c r="J276" s="24">
        <f t="shared" si="19"/>
        <v>3.008423178208107</v>
      </c>
      <c r="K276" s="24">
        <f>IF(CurrentMtgRatesDataTable811[[#This Row],[WA CC]]&lt;&gt;0,D275-CurrentMtgRatesDataTable811[[#This Row],[WA CC]],0)</f>
        <v>0.85157682179189331</v>
      </c>
      <c r="L276" s="24">
        <f>IF(CurrentMtgRatesDataTable811[[#This Row],[Servicing Spread]]&lt;=0,L275,CurrentMtgRatesDataTable811[[#This Row],[Servicing Spread]])</f>
        <v>0.85157682179189331</v>
      </c>
      <c r="M276" s="24">
        <f>CurrentMtgRatesDataTable811[[#This Row],[SeriesNumValue]]+CurrentMtgRatesDataTable811[[#This Row],[Servicing Spread Non-Zero]]</f>
        <v>3.8472799084814233</v>
      </c>
    </row>
    <row r="277" spans="2:13" x14ac:dyDescent="0.2">
      <c r="B277" s="27" t="s">
        <v>958</v>
      </c>
      <c r="C277" s="28">
        <v>2.91011038878244</v>
      </c>
      <c r="D277" s="26">
        <v>3.8149999999999999</v>
      </c>
      <c r="E277" s="24">
        <f t="shared" si="16"/>
        <v>1</v>
      </c>
      <c r="F277" s="24">
        <f>VLOOKUP(E277,Q$5:R$11,2,FALSE)</f>
        <v>0.2</v>
      </c>
      <c r="G277" s="24">
        <f t="shared" si="17"/>
        <v>1</v>
      </c>
      <c r="H277" s="24">
        <f>IF(G277&gt;G276,H276+C277*F277,C277*F277)</f>
        <v>0.58202207775648807</v>
      </c>
      <c r="I277" s="24">
        <f t="shared" si="18"/>
        <v>0.2</v>
      </c>
      <c r="J277" s="24">
        <f t="shared" si="19"/>
        <v>0</v>
      </c>
      <c r="K277" s="24">
        <f>IF(CurrentMtgRatesDataTable811[[#This Row],[WA CC]]&lt;&gt;0,D276-CurrentMtgRatesDataTable811[[#This Row],[WA CC]],0)</f>
        <v>0</v>
      </c>
      <c r="L277" s="24">
        <f>IF(CurrentMtgRatesDataTable811[[#This Row],[Servicing Spread]]&lt;=0,L276,CurrentMtgRatesDataTable811[[#This Row],[Servicing Spread]])</f>
        <v>0.85157682179189331</v>
      </c>
      <c r="M277" s="24">
        <f>CurrentMtgRatesDataTable811[[#This Row],[SeriesNumValue]]+CurrentMtgRatesDataTable811[[#This Row],[Servicing Spread Non-Zero]]</f>
        <v>3.7616872105743333</v>
      </c>
    </row>
    <row r="278" spans="2:13" x14ac:dyDescent="0.2">
      <c r="B278" s="27" t="s">
        <v>959</v>
      </c>
      <c r="C278" s="28">
        <v>2.85737725851964</v>
      </c>
      <c r="D278" s="26">
        <v>3.8149999999999999</v>
      </c>
      <c r="E278" s="24">
        <f t="shared" si="16"/>
        <v>2</v>
      </c>
      <c r="F278" s="24">
        <f>VLOOKUP(E278,Q$5:R$11,2,FALSE)</f>
        <v>0.2</v>
      </c>
      <c r="G278" s="24">
        <f t="shared" si="17"/>
        <v>2</v>
      </c>
      <c r="H278" s="24">
        <f>IF(G278&gt;G277,H277+C278*F278,C278*F278)</f>
        <v>1.1534975294604162</v>
      </c>
      <c r="I278" s="24">
        <f t="shared" si="18"/>
        <v>0.4</v>
      </c>
      <c r="J278" s="24">
        <f t="shared" si="19"/>
        <v>0</v>
      </c>
      <c r="K278" s="24">
        <f>IF(CurrentMtgRatesDataTable811[[#This Row],[WA CC]]&lt;&gt;0,D277-CurrentMtgRatesDataTable811[[#This Row],[WA CC]],0)</f>
        <v>0</v>
      </c>
      <c r="L278" s="24">
        <f>IF(CurrentMtgRatesDataTable811[[#This Row],[Servicing Spread]]&lt;=0,L277,CurrentMtgRatesDataTable811[[#This Row],[Servicing Spread]])</f>
        <v>0.85157682179189331</v>
      </c>
      <c r="M278" s="24">
        <f>CurrentMtgRatesDataTable811[[#This Row],[SeriesNumValue]]+CurrentMtgRatesDataTable811[[#This Row],[Servicing Spread Non-Zero]]</f>
        <v>3.7089540803115333</v>
      </c>
    </row>
    <row r="279" spans="2:13" x14ac:dyDescent="0.2">
      <c r="B279" s="27" t="s">
        <v>960</v>
      </c>
      <c r="C279" s="28">
        <v>2.8757178049708001</v>
      </c>
      <c r="D279" s="26">
        <v>3.8149999999999999</v>
      </c>
      <c r="E279" s="24">
        <f t="shared" si="16"/>
        <v>5</v>
      </c>
      <c r="F279" s="24">
        <f>VLOOKUP(E279,Q$5:R$11,2,FALSE)</f>
        <v>0.2</v>
      </c>
      <c r="G279" s="24">
        <f t="shared" si="17"/>
        <v>3</v>
      </c>
      <c r="H279" s="24">
        <f>IF(G279&gt;G278,H278+C279*F279,C279*F279)</f>
        <v>1.7286410904545764</v>
      </c>
      <c r="I279" s="24">
        <f t="shared" si="18"/>
        <v>0.60000000000000009</v>
      </c>
      <c r="J279" s="24">
        <f t="shared" si="19"/>
        <v>0</v>
      </c>
      <c r="K279" s="24">
        <f>IF(CurrentMtgRatesDataTable811[[#This Row],[WA CC]]&lt;&gt;0,D278-CurrentMtgRatesDataTable811[[#This Row],[WA CC]],0)</f>
        <v>0</v>
      </c>
      <c r="L279" s="24">
        <f>IF(CurrentMtgRatesDataTable811[[#This Row],[Servicing Spread]]&lt;=0,L278,CurrentMtgRatesDataTable811[[#This Row],[Servicing Spread]])</f>
        <v>0.85157682179189331</v>
      </c>
      <c r="M279" s="24">
        <f>CurrentMtgRatesDataTable811[[#This Row],[SeriesNumValue]]+CurrentMtgRatesDataTable811[[#This Row],[Servicing Spread Non-Zero]]</f>
        <v>3.7272946267626934</v>
      </c>
    </row>
    <row r="280" spans="2:13" x14ac:dyDescent="0.2">
      <c r="B280" s="27" t="s">
        <v>961</v>
      </c>
      <c r="C280" s="28">
        <v>2.9177878153619399</v>
      </c>
      <c r="D280" s="26">
        <v>3.8149999999999999</v>
      </c>
      <c r="E280" s="24">
        <f t="shared" si="16"/>
        <v>6</v>
      </c>
      <c r="F280" s="24">
        <f>VLOOKUP(E280,Q$5:R$11,2,FALSE)</f>
        <v>0.2</v>
      </c>
      <c r="G280" s="24">
        <f t="shared" si="17"/>
        <v>4</v>
      </c>
      <c r="H280" s="24">
        <f>IF(G280&gt;G279,H279+C280*F280,C280*F280)</f>
        <v>2.3121986535269645</v>
      </c>
      <c r="I280" s="24">
        <f t="shared" si="18"/>
        <v>0.8</v>
      </c>
      <c r="J280" s="24">
        <f t="shared" si="19"/>
        <v>0</v>
      </c>
      <c r="K280" s="24">
        <f>IF(CurrentMtgRatesDataTable811[[#This Row],[WA CC]]&lt;&gt;0,D279-CurrentMtgRatesDataTable811[[#This Row],[WA CC]],0)</f>
        <v>0</v>
      </c>
      <c r="L280" s="24">
        <f>IF(CurrentMtgRatesDataTable811[[#This Row],[Servicing Spread]]&lt;=0,L279,CurrentMtgRatesDataTable811[[#This Row],[Servicing Spread]])</f>
        <v>0.85157682179189331</v>
      </c>
      <c r="M280" s="24">
        <f>CurrentMtgRatesDataTable811[[#This Row],[SeriesNumValue]]+CurrentMtgRatesDataTable811[[#This Row],[Servicing Spread Non-Zero]]</f>
        <v>3.7693646371538332</v>
      </c>
    </row>
    <row r="281" spans="2:13" x14ac:dyDescent="0.2">
      <c r="B281" s="27" t="s">
        <v>962</v>
      </c>
      <c r="C281" s="28">
        <v>2.8837720214222302</v>
      </c>
      <c r="D281" s="26">
        <v>3.8149999999999999</v>
      </c>
      <c r="E281" s="24">
        <f t="shared" si="16"/>
        <v>7</v>
      </c>
      <c r="F281" s="24">
        <f>VLOOKUP(E281,Q$5:R$11,2,FALSE)</f>
        <v>0.2</v>
      </c>
      <c r="G281" s="24">
        <f t="shared" si="17"/>
        <v>5</v>
      </c>
      <c r="H281" s="24">
        <f>IF(G281&gt;G280,H280+C281*F281,C281*F281)</f>
        <v>2.8889530578114107</v>
      </c>
      <c r="I281" s="24">
        <f t="shared" si="18"/>
        <v>1</v>
      </c>
      <c r="J281" s="24">
        <f t="shared" si="19"/>
        <v>2.8889530578114107</v>
      </c>
      <c r="K281" s="24">
        <f>IF(CurrentMtgRatesDataTable811[[#This Row],[WA CC]]&lt;&gt;0,D280-CurrentMtgRatesDataTable811[[#This Row],[WA CC]],0)</f>
        <v>0.92604694218858929</v>
      </c>
      <c r="L281" s="24">
        <f>IF(CurrentMtgRatesDataTable811[[#This Row],[Servicing Spread]]&lt;=0,L280,CurrentMtgRatesDataTable811[[#This Row],[Servicing Spread]])</f>
        <v>0.92604694218858929</v>
      </c>
      <c r="M281" s="24">
        <f>CurrentMtgRatesDataTable811[[#This Row],[SeriesNumValue]]+CurrentMtgRatesDataTable811[[#This Row],[Servicing Spread Non-Zero]]</f>
        <v>3.8098189636108195</v>
      </c>
    </row>
    <row r="282" spans="2:13" x14ac:dyDescent="0.2">
      <c r="B282" s="27" t="s">
        <v>963</v>
      </c>
      <c r="C282" s="28">
        <v>2.8523399167499401</v>
      </c>
      <c r="D282" s="26">
        <v>3.83</v>
      </c>
      <c r="E282" s="24">
        <f t="shared" si="16"/>
        <v>1</v>
      </c>
      <c r="F282" s="24">
        <f>VLOOKUP(E282,Q$5:R$11,2,FALSE)</f>
        <v>0.2</v>
      </c>
      <c r="G282" s="24">
        <f t="shared" si="17"/>
        <v>1</v>
      </c>
      <c r="H282" s="24">
        <f>IF(G282&gt;G281,H281+C282*F282,C282*F282)</f>
        <v>0.57046798334998805</v>
      </c>
      <c r="I282" s="24">
        <f t="shared" si="18"/>
        <v>0.2</v>
      </c>
      <c r="J282" s="24">
        <f t="shared" si="19"/>
        <v>0</v>
      </c>
      <c r="K282" s="24">
        <f>IF(CurrentMtgRatesDataTable811[[#This Row],[WA CC]]&lt;&gt;0,D281-CurrentMtgRatesDataTable811[[#This Row],[WA CC]],0)</f>
        <v>0</v>
      </c>
      <c r="L282" s="24">
        <f>IF(CurrentMtgRatesDataTable811[[#This Row],[Servicing Spread]]&lt;=0,L281,CurrentMtgRatesDataTable811[[#This Row],[Servicing Spread]])</f>
        <v>0.92604694218858929</v>
      </c>
      <c r="M282" s="24">
        <f>CurrentMtgRatesDataTable811[[#This Row],[SeriesNumValue]]+CurrentMtgRatesDataTable811[[#This Row],[Servicing Spread Non-Zero]]</f>
        <v>3.7783868589385294</v>
      </c>
    </row>
    <row r="283" spans="2:13" x14ac:dyDescent="0.2">
      <c r="B283" s="27" t="s">
        <v>964</v>
      </c>
      <c r="C283" s="28">
        <v>2.81630541701854</v>
      </c>
      <c r="D283" s="26">
        <v>3.83</v>
      </c>
      <c r="E283" s="24">
        <f t="shared" si="16"/>
        <v>2</v>
      </c>
      <c r="F283" s="24">
        <f>VLOOKUP(E283,Q$5:R$11,2,FALSE)</f>
        <v>0.2</v>
      </c>
      <c r="G283" s="24">
        <f t="shared" si="17"/>
        <v>2</v>
      </c>
      <c r="H283" s="24">
        <f>IF(G283&gt;G282,H282+C283*F283,C283*F283)</f>
        <v>1.1337290667536961</v>
      </c>
      <c r="I283" s="24">
        <f t="shared" si="18"/>
        <v>0.4</v>
      </c>
      <c r="J283" s="24">
        <f t="shared" si="19"/>
        <v>0</v>
      </c>
      <c r="K283" s="24">
        <f>IF(CurrentMtgRatesDataTable811[[#This Row],[WA CC]]&lt;&gt;0,D282-CurrentMtgRatesDataTable811[[#This Row],[WA CC]],0)</f>
        <v>0</v>
      </c>
      <c r="L283" s="24">
        <f>IF(CurrentMtgRatesDataTable811[[#This Row],[Servicing Spread]]&lt;=0,L282,CurrentMtgRatesDataTable811[[#This Row],[Servicing Spread]])</f>
        <v>0.92604694218858929</v>
      </c>
      <c r="M283" s="24">
        <f>CurrentMtgRatesDataTable811[[#This Row],[SeriesNumValue]]+CurrentMtgRatesDataTable811[[#This Row],[Servicing Spread Non-Zero]]</f>
        <v>3.7423523592071293</v>
      </c>
    </row>
    <row r="284" spans="2:13" x14ac:dyDescent="0.2">
      <c r="B284" s="27" t="s">
        <v>965</v>
      </c>
      <c r="C284" s="28">
        <v>2.86264141643864</v>
      </c>
      <c r="D284" s="26">
        <v>3.83</v>
      </c>
      <c r="E284" s="24">
        <f t="shared" si="16"/>
        <v>6</v>
      </c>
      <c r="F284" s="24">
        <f>VLOOKUP(E284,Q$5:R$11,2,FALSE)</f>
        <v>0.2</v>
      </c>
      <c r="G284" s="24">
        <f t="shared" si="17"/>
        <v>3</v>
      </c>
      <c r="H284" s="24">
        <f>IF(G284&gt;G283,H283+C284*F284,C284*F284)</f>
        <v>1.7062573500414242</v>
      </c>
      <c r="I284" s="24">
        <f t="shared" si="18"/>
        <v>0.60000000000000009</v>
      </c>
      <c r="J284" s="24">
        <f t="shared" si="19"/>
        <v>0</v>
      </c>
      <c r="K284" s="24">
        <f>IF(CurrentMtgRatesDataTable811[[#This Row],[WA CC]]&lt;&gt;0,D283-CurrentMtgRatesDataTable811[[#This Row],[WA CC]],0)</f>
        <v>0</v>
      </c>
      <c r="L284" s="24">
        <f>IF(CurrentMtgRatesDataTable811[[#This Row],[Servicing Spread]]&lt;=0,L283,CurrentMtgRatesDataTable811[[#This Row],[Servicing Spread]])</f>
        <v>0.92604694218858929</v>
      </c>
      <c r="M284" s="24">
        <f>CurrentMtgRatesDataTable811[[#This Row],[SeriesNumValue]]+CurrentMtgRatesDataTable811[[#This Row],[Servicing Spread Non-Zero]]</f>
        <v>3.7886883586272293</v>
      </c>
    </row>
    <row r="285" spans="2:13" x14ac:dyDescent="0.2">
      <c r="B285" s="27" t="s">
        <v>966</v>
      </c>
      <c r="C285" s="28">
        <v>2.9029521947901298</v>
      </c>
      <c r="D285" s="26">
        <v>3.83</v>
      </c>
      <c r="E285" s="24">
        <f t="shared" si="16"/>
        <v>7</v>
      </c>
      <c r="F285" s="24">
        <f>VLOOKUP(E285,Q$5:R$11,2,FALSE)</f>
        <v>0.2</v>
      </c>
      <c r="G285" s="24">
        <f t="shared" si="17"/>
        <v>4</v>
      </c>
      <c r="H285" s="24">
        <f>IF(G285&gt;G284,H284+C285*F285,C285*F285)</f>
        <v>2.2868477889994501</v>
      </c>
      <c r="I285" s="24">
        <f t="shared" si="18"/>
        <v>0.8</v>
      </c>
      <c r="J285" s="24">
        <f t="shared" si="19"/>
        <v>2.8585597362493123</v>
      </c>
      <c r="K285" s="24">
        <f>IF(CurrentMtgRatesDataTable811[[#This Row],[WA CC]]&lt;&gt;0,D284-CurrentMtgRatesDataTable811[[#This Row],[WA CC]],0)</f>
        <v>0.97144026375068782</v>
      </c>
      <c r="L285" s="24">
        <f>IF(CurrentMtgRatesDataTable811[[#This Row],[Servicing Spread]]&lt;=0,L284,CurrentMtgRatesDataTable811[[#This Row],[Servicing Spread]])</f>
        <v>0.97144026375068782</v>
      </c>
      <c r="M285" s="24">
        <f>CurrentMtgRatesDataTable811[[#This Row],[SeriesNumValue]]+CurrentMtgRatesDataTable811[[#This Row],[Servicing Spread Non-Zero]]</f>
        <v>3.8743924585408176</v>
      </c>
    </row>
    <row r="286" spans="2:13" x14ac:dyDescent="0.2">
      <c r="B286" s="27" t="s">
        <v>967</v>
      </c>
      <c r="C286" s="28">
        <v>2.96476682464895</v>
      </c>
      <c r="D286" s="26">
        <v>3.9049999999999998</v>
      </c>
      <c r="E286" s="24">
        <f t="shared" si="16"/>
        <v>1</v>
      </c>
      <c r="F286" s="24">
        <f>VLOOKUP(E286,Q$5:R$11,2,FALSE)</f>
        <v>0.2</v>
      </c>
      <c r="G286" s="24">
        <f t="shared" si="17"/>
        <v>1</v>
      </c>
      <c r="H286" s="24">
        <f>IF(G286&gt;G285,H285+C286*F286,C286*F286)</f>
        <v>0.59295336492979001</v>
      </c>
      <c r="I286" s="24">
        <f t="shared" si="18"/>
        <v>0.2</v>
      </c>
      <c r="J286" s="24">
        <f t="shared" si="19"/>
        <v>0</v>
      </c>
      <c r="K286" s="24">
        <f>IF(CurrentMtgRatesDataTable811[[#This Row],[WA CC]]&lt;&gt;0,D285-CurrentMtgRatesDataTable811[[#This Row],[WA CC]],0)</f>
        <v>0</v>
      </c>
      <c r="L286" s="24">
        <f>IF(CurrentMtgRatesDataTable811[[#This Row],[Servicing Spread]]&lt;=0,L285,CurrentMtgRatesDataTable811[[#This Row],[Servicing Spread]])</f>
        <v>0.97144026375068782</v>
      </c>
      <c r="M286" s="24">
        <f>CurrentMtgRatesDataTable811[[#This Row],[SeriesNumValue]]+CurrentMtgRatesDataTable811[[#This Row],[Servicing Spread Non-Zero]]</f>
        <v>3.9362070883996378</v>
      </c>
    </row>
    <row r="287" spans="2:13" x14ac:dyDescent="0.2">
      <c r="B287" s="27" t="s">
        <v>968</v>
      </c>
      <c r="C287" s="28">
        <v>2.9761108761892499</v>
      </c>
      <c r="D287" s="26">
        <v>3.9049999999999998</v>
      </c>
      <c r="E287" s="24">
        <f t="shared" si="16"/>
        <v>2</v>
      </c>
      <c r="F287" s="24">
        <f>VLOOKUP(E287,Q$5:R$11,2,FALSE)</f>
        <v>0.2</v>
      </c>
      <c r="G287" s="24">
        <f t="shared" si="17"/>
        <v>2</v>
      </c>
      <c r="H287" s="24">
        <f>IF(G287&gt;G286,H286+C287*F287,C287*F287)</f>
        <v>1.1881755401676402</v>
      </c>
      <c r="I287" s="24">
        <f t="shared" si="18"/>
        <v>0.4</v>
      </c>
      <c r="J287" s="24">
        <f t="shared" si="19"/>
        <v>0</v>
      </c>
      <c r="K287" s="24">
        <f>IF(CurrentMtgRatesDataTable811[[#This Row],[WA CC]]&lt;&gt;0,D286-CurrentMtgRatesDataTable811[[#This Row],[WA CC]],0)</f>
        <v>0</v>
      </c>
      <c r="L287" s="24">
        <f>IF(CurrentMtgRatesDataTable811[[#This Row],[Servicing Spread]]&lt;=0,L286,CurrentMtgRatesDataTable811[[#This Row],[Servicing Spread]])</f>
        <v>0.97144026375068782</v>
      </c>
      <c r="M287" s="24">
        <f>CurrentMtgRatesDataTable811[[#This Row],[SeriesNumValue]]+CurrentMtgRatesDataTable811[[#This Row],[Servicing Spread Non-Zero]]</f>
        <v>3.9475511399399377</v>
      </c>
    </row>
    <row r="288" spans="2:13" x14ac:dyDescent="0.2">
      <c r="B288" s="27" t="s">
        <v>969</v>
      </c>
      <c r="C288" s="28">
        <v>2.9725641421192601</v>
      </c>
      <c r="D288" s="26">
        <v>3.9049999999999998</v>
      </c>
      <c r="E288" s="24">
        <f t="shared" si="16"/>
        <v>5</v>
      </c>
      <c r="F288" s="24">
        <f>VLOOKUP(E288,Q$5:R$11,2,FALSE)</f>
        <v>0.2</v>
      </c>
      <c r="G288" s="24">
        <f t="shared" si="17"/>
        <v>3</v>
      </c>
      <c r="H288" s="24">
        <f>IF(G288&gt;G287,H287+C288*F288,C288*F288)</f>
        <v>1.7826883685914923</v>
      </c>
      <c r="I288" s="24">
        <f t="shared" si="18"/>
        <v>0.60000000000000009</v>
      </c>
      <c r="J288" s="24">
        <f t="shared" si="19"/>
        <v>0</v>
      </c>
      <c r="K288" s="24">
        <f>IF(CurrentMtgRatesDataTable811[[#This Row],[WA CC]]&lt;&gt;0,D287-CurrentMtgRatesDataTable811[[#This Row],[WA CC]],0)</f>
        <v>0</v>
      </c>
      <c r="L288" s="24">
        <f>IF(CurrentMtgRatesDataTable811[[#This Row],[Servicing Spread]]&lt;=0,L287,CurrentMtgRatesDataTable811[[#This Row],[Servicing Spread]])</f>
        <v>0.97144026375068782</v>
      </c>
      <c r="M288" s="24">
        <f>CurrentMtgRatesDataTable811[[#This Row],[SeriesNumValue]]+CurrentMtgRatesDataTable811[[#This Row],[Servicing Spread Non-Zero]]</f>
        <v>3.9440044058699479</v>
      </c>
    </row>
    <row r="289" spans="2:13" x14ac:dyDescent="0.2">
      <c r="B289" s="27" t="s">
        <v>970</v>
      </c>
      <c r="C289" s="28">
        <v>2.95988088830397</v>
      </c>
      <c r="D289" s="26">
        <v>3.9049999999999998</v>
      </c>
      <c r="E289" s="24">
        <f t="shared" si="16"/>
        <v>6</v>
      </c>
      <c r="F289" s="24">
        <f>VLOOKUP(E289,Q$5:R$11,2,FALSE)</f>
        <v>0.2</v>
      </c>
      <c r="G289" s="24">
        <f t="shared" si="17"/>
        <v>4</v>
      </c>
      <c r="H289" s="24">
        <f>IF(G289&gt;G288,H288+C289*F289,C289*F289)</f>
        <v>2.3746645462522862</v>
      </c>
      <c r="I289" s="24">
        <f t="shared" si="18"/>
        <v>0.8</v>
      </c>
      <c r="J289" s="24">
        <f t="shared" si="19"/>
        <v>0</v>
      </c>
      <c r="K289" s="24">
        <f>IF(CurrentMtgRatesDataTable811[[#This Row],[WA CC]]&lt;&gt;0,D288-CurrentMtgRatesDataTable811[[#This Row],[WA CC]],0)</f>
        <v>0</v>
      </c>
      <c r="L289" s="24">
        <f>IF(CurrentMtgRatesDataTable811[[#This Row],[Servicing Spread]]&lt;=0,L288,CurrentMtgRatesDataTable811[[#This Row],[Servicing Spread]])</f>
        <v>0.97144026375068782</v>
      </c>
      <c r="M289" s="24">
        <f>CurrentMtgRatesDataTable811[[#This Row],[SeriesNumValue]]+CurrentMtgRatesDataTable811[[#This Row],[Servicing Spread Non-Zero]]</f>
        <v>3.9313211520546578</v>
      </c>
    </row>
    <row r="290" spans="2:13" x14ac:dyDescent="0.2">
      <c r="B290" s="27" t="s">
        <v>971</v>
      </c>
      <c r="C290" s="28">
        <v>2.9051562775956401</v>
      </c>
      <c r="D290" s="26">
        <v>3.9049999999999998</v>
      </c>
      <c r="E290" s="24">
        <f t="shared" si="16"/>
        <v>7</v>
      </c>
      <c r="F290" s="24">
        <f>VLOOKUP(E290,Q$5:R$11,2,FALSE)</f>
        <v>0.2</v>
      </c>
      <c r="G290" s="24">
        <f t="shared" si="17"/>
        <v>5</v>
      </c>
      <c r="H290" s="24">
        <f>IF(G290&gt;G289,H289+C290*F290,C290*F290)</f>
        <v>2.9556958017714141</v>
      </c>
      <c r="I290" s="24">
        <f t="shared" si="18"/>
        <v>1</v>
      </c>
      <c r="J290" s="24">
        <f t="shared" si="19"/>
        <v>2.9556958017714141</v>
      </c>
      <c r="K290" s="24">
        <f>IF(CurrentMtgRatesDataTable811[[#This Row],[WA CC]]&lt;&gt;0,D289-CurrentMtgRatesDataTable811[[#This Row],[WA CC]],0)</f>
        <v>0.94930419822858569</v>
      </c>
      <c r="L290" s="24">
        <f>IF(CurrentMtgRatesDataTable811[[#This Row],[Servicing Spread]]&lt;=0,L289,CurrentMtgRatesDataTable811[[#This Row],[Servicing Spread]])</f>
        <v>0.94930419822858569</v>
      </c>
      <c r="M290" s="24">
        <f>CurrentMtgRatesDataTable811[[#This Row],[SeriesNumValue]]+CurrentMtgRatesDataTable811[[#This Row],[Servicing Spread Non-Zero]]</f>
        <v>3.8544604758242258</v>
      </c>
    </row>
    <row r="291" spans="2:13" x14ac:dyDescent="0.2">
      <c r="B291" s="27" t="s">
        <v>972</v>
      </c>
      <c r="C291" s="28">
        <v>2.8435838400443298</v>
      </c>
      <c r="D291" s="26">
        <v>3.8200000000000003</v>
      </c>
      <c r="E291" s="24">
        <f t="shared" si="16"/>
        <v>1</v>
      </c>
      <c r="F291" s="24">
        <f>VLOOKUP(E291,Q$5:R$11,2,FALSE)</f>
        <v>0.2</v>
      </c>
      <c r="G291" s="24">
        <f t="shared" si="17"/>
        <v>1</v>
      </c>
      <c r="H291" s="24">
        <f>IF(G291&gt;G290,H290+C291*F291,C291*F291)</f>
        <v>0.56871676800886595</v>
      </c>
      <c r="I291" s="24">
        <f t="shared" si="18"/>
        <v>0.2</v>
      </c>
      <c r="J291" s="24">
        <f t="shared" si="19"/>
        <v>0</v>
      </c>
      <c r="K291" s="24">
        <f>IF(CurrentMtgRatesDataTable811[[#This Row],[WA CC]]&lt;&gt;0,D290-CurrentMtgRatesDataTable811[[#This Row],[WA CC]],0)</f>
        <v>0</v>
      </c>
      <c r="L291" s="24">
        <f>IF(CurrentMtgRatesDataTable811[[#This Row],[Servicing Spread]]&lt;=0,L290,CurrentMtgRatesDataTable811[[#This Row],[Servicing Spread]])</f>
        <v>0.94930419822858569</v>
      </c>
      <c r="M291" s="24">
        <f>CurrentMtgRatesDataTable811[[#This Row],[SeriesNumValue]]+CurrentMtgRatesDataTable811[[#This Row],[Servicing Spread Non-Zero]]</f>
        <v>3.7928880382729155</v>
      </c>
    </row>
    <row r="292" spans="2:13" x14ac:dyDescent="0.2">
      <c r="B292" s="27" t="s">
        <v>973</v>
      </c>
      <c r="C292" s="28">
        <v>2.8082441725420599</v>
      </c>
      <c r="D292" s="26">
        <v>3.8200000000000003</v>
      </c>
      <c r="E292" s="24">
        <f t="shared" si="16"/>
        <v>2</v>
      </c>
      <c r="F292" s="24">
        <f>VLOOKUP(E292,Q$5:R$11,2,FALSE)</f>
        <v>0.2</v>
      </c>
      <c r="G292" s="24">
        <f t="shared" si="17"/>
        <v>2</v>
      </c>
      <c r="H292" s="24">
        <f>IF(G292&gt;G291,H291+C292*F292,C292*F292)</f>
        <v>1.1303656025172779</v>
      </c>
      <c r="I292" s="24">
        <f t="shared" si="18"/>
        <v>0.4</v>
      </c>
      <c r="J292" s="24">
        <f t="shared" si="19"/>
        <v>0</v>
      </c>
      <c r="K292" s="24">
        <f>IF(CurrentMtgRatesDataTable811[[#This Row],[WA CC]]&lt;&gt;0,D291-CurrentMtgRatesDataTable811[[#This Row],[WA CC]],0)</f>
        <v>0</v>
      </c>
      <c r="L292" s="24">
        <f>IF(CurrentMtgRatesDataTable811[[#This Row],[Servicing Spread]]&lt;=0,L291,CurrentMtgRatesDataTable811[[#This Row],[Servicing Spread]])</f>
        <v>0.94930419822858569</v>
      </c>
      <c r="M292" s="24">
        <f>CurrentMtgRatesDataTable811[[#This Row],[SeriesNumValue]]+CurrentMtgRatesDataTable811[[#This Row],[Servicing Spread Non-Zero]]</f>
        <v>3.7575483707706456</v>
      </c>
    </row>
    <row r="293" spans="2:13" x14ac:dyDescent="0.2">
      <c r="B293" s="27" t="s">
        <v>974</v>
      </c>
      <c r="C293" s="28">
        <v>2.8089477142816799</v>
      </c>
      <c r="D293" s="26">
        <v>3.8200000000000003</v>
      </c>
      <c r="E293" s="24">
        <f t="shared" si="16"/>
        <v>5</v>
      </c>
      <c r="F293" s="24">
        <f>VLOOKUP(E293,Q$5:R$11,2,FALSE)</f>
        <v>0.2</v>
      </c>
      <c r="G293" s="24">
        <f t="shared" si="17"/>
        <v>3</v>
      </c>
      <c r="H293" s="24">
        <f>IF(G293&gt;G292,H292+C293*F293,C293*F293)</f>
        <v>1.6921551453736139</v>
      </c>
      <c r="I293" s="24">
        <f t="shared" si="18"/>
        <v>0.60000000000000009</v>
      </c>
      <c r="J293" s="24">
        <f t="shared" si="19"/>
        <v>0</v>
      </c>
      <c r="K293" s="24">
        <f>IF(CurrentMtgRatesDataTable811[[#This Row],[WA CC]]&lt;&gt;0,D292-CurrentMtgRatesDataTable811[[#This Row],[WA CC]],0)</f>
        <v>0</v>
      </c>
      <c r="L293" s="24">
        <f>IF(CurrentMtgRatesDataTable811[[#This Row],[Servicing Spread]]&lt;=0,L292,CurrentMtgRatesDataTable811[[#This Row],[Servicing Spread]])</f>
        <v>0.94930419822858569</v>
      </c>
      <c r="M293" s="24">
        <f>CurrentMtgRatesDataTable811[[#This Row],[SeriesNumValue]]+CurrentMtgRatesDataTable811[[#This Row],[Servicing Spread Non-Zero]]</f>
        <v>3.7582519125102656</v>
      </c>
    </row>
    <row r="294" spans="2:13" x14ac:dyDescent="0.2">
      <c r="B294" s="27" t="s">
        <v>975</v>
      </c>
      <c r="C294" s="28">
        <v>2.7762952709571298</v>
      </c>
      <c r="D294" s="26">
        <v>3.8200000000000003</v>
      </c>
      <c r="E294" s="24">
        <f t="shared" si="16"/>
        <v>6</v>
      </c>
      <c r="F294" s="24">
        <f>VLOOKUP(E294,Q$5:R$11,2,FALSE)</f>
        <v>0.2</v>
      </c>
      <c r="G294" s="24">
        <f t="shared" si="17"/>
        <v>4</v>
      </c>
      <c r="H294" s="24">
        <f>IF(G294&gt;G293,H293+C294*F294,C294*F294)</f>
        <v>2.2474141995650401</v>
      </c>
      <c r="I294" s="24">
        <f t="shared" si="18"/>
        <v>0.8</v>
      </c>
      <c r="J294" s="24">
        <f t="shared" si="19"/>
        <v>0</v>
      </c>
      <c r="K294" s="24">
        <f>IF(CurrentMtgRatesDataTable811[[#This Row],[WA CC]]&lt;&gt;0,D293-CurrentMtgRatesDataTable811[[#This Row],[WA CC]],0)</f>
        <v>0</v>
      </c>
      <c r="L294" s="24">
        <f>IF(CurrentMtgRatesDataTable811[[#This Row],[Servicing Spread]]&lt;=0,L293,CurrentMtgRatesDataTable811[[#This Row],[Servicing Spread]])</f>
        <v>0.94930419822858569</v>
      </c>
      <c r="M294" s="24">
        <f>CurrentMtgRatesDataTable811[[#This Row],[SeriesNumValue]]+CurrentMtgRatesDataTable811[[#This Row],[Servicing Spread Non-Zero]]</f>
        <v>3.7255994691857155</v>
      </c>
    </row>
    <row r="295" spans="2:13" x14ac:dyDescent="0.2">
      <c r="B295" s="27" t="s">
        <v>976</v>
      </c>
      <c r="C295" s="28">
        <v>2.77294304324607</v>
      </c>
      <c r="D295" s="26">
        <v>3.8200000000000003</v>
      </c>
      <c r="E295" s="24">
        <f t="shared" si="16"/>
        <v>7</v>
      </c>
      <c r="F295" s="24">
        <f>VLOOKUP(E295,Q$5:R$11,2,FALSE)</f>
        <v>0.2</v>
      </c>
      <c r="G295" s="24">
        <f t="shared" si="17"/>
        <v>5</v>
      </c>
      <c r="H295" s="24">
        <f>IF(G295&gt;G294,H294+C295*F295,C295*F295)</f>
        <v>2.8020028082142541</v>
      </c>
      <c r="I295" s="24">
        <f t="shared" si="18"/>
        <v>1</v>
      </c>
      <c r="J295" s="24">
        <f t="shared" si="19"/>
        <v>2.8020028082142541</v>
      </c>
      <c r="K295" s="24">
        <f>IF(CurrentMtgRatesDataTable811[[#This Row],[WA CC]]&lt;&gt;0,D294-CurrentMtgRatesDataTable811[[#This Row],[WA CC]],0)</f>
        <v>1.0179971917857462</v>
      </c>
      <c r="L295" s="24">
        <f>IF(CurrentMtgRatesDataTable811[[#This Row],[Servicing Spread]]&lt;=0,L294,CurrentMtgRatesDataTable811[[#This Row],[Servicing Spread]])</f>
        <v>1.0179971917857462</v>
      </c>
      <c r="M295" s="24">
        <f>CurrentMtgRatesDataTable811[[#This Row],[SeriesNumValue]]+CurrentMtgRatesDataTable811[[#This Row],[Servicing Spread Non-Zero]]</f>
        <v>3.7909402350318162</v>
      </c>
    </row>
    <row r="296" spans="2:13" x14ac:dyDescent="0.2">
      <c r="B296" s="27" t="s">
        <v>977</v>
      </c>
      <c r="C296" s="28">
        <v>2.7164025154935398</v>
      </c>
      <c r="D296" s="26">
        <v>3.8200000000000003</v>
      </c>
      <c r="E296" s="24">
        <f t="shared" si="16"/>
        <v>1</v>
      </c>
      <c r="F296" s="24">
        <f>VLOOKUP(E296,Q$5:R$11,2,FALSE)</f>
        <v>0.2</v>
      </c>
      <c r="G296" s="24">
        <f t="shared" si="17"/>
        <v>1</v>
      </c>
      <c r="H296" s="24">
        <f>IF(G296&gt;G295,H295+C296*F296,C296*F296)</f>
        <v>0.54328050309870801</v>
      </c>
      <c r="I296" s="24">
        <f t="shared" si="18"/>
        <v>0.2</v>
      </c>
      <c r="J296" s="24">
        <f t="shared" si="19"/>
        <v>0</v>
      </c>
      <c r="K296" s="24">
        <f>IF(CurrentMtgRatesDataTable811[[#This Row],[WA CC]]&lt;&gt;0,D295-CurrentMtgRatesDataTable811[[#This Row],[WA CC]],0)</f>
        <v>0</v>
      </c>
      <c r="L296" s="24">
        <f>IF(CurrentMtgRatesDataTable811[[#This Row],[Servicing Spread]]&lt;=0,L295,CurrentMtgRatesDataTable811[[#This Row],[Servicing Spread]])</f>
        <v>1.0179971917857462</v>
      </c>
      <c r="M296" s="24">
        <f>CurrentMtgRatesDataTable811[[#This Row],[SeriesNumValue]]+CurrentMtgRatesDataTable811[[#This Row],[Servicing Spread Non-Zero]]</f>
        <v>3.7343997072792861</v>
      </c>
    </row>
    <row r="297" spans="2:13" x14ac:dyDescent="0.2">
      <c r="B297" s="27" t="s">
        <v>978</v>
      </c>
      <c r="C297" s="28">
        <v>2.8101423093636502</v>
      </c>
      <c r="D297" s="26">
        <v>3.8200000000000003</v>
      </c>
      <c r="E297" s="24">
        <f t="shared" si="16"/>
        <v>2</v>
      </c>
      <c r="F297" s="24">
        <f>VLOOKUP(E297,Q$5:R$11,2,FALSE)</f>
        <v>0.2</v>
      </c>
      <c r="G297" s="24">
        <f t="shared" si="17"/>
        <v>2</v>
      </c>
      <c r="H297" s="24">
        <f>IF(G297&gt;G296,H296+C297*F297,C297*F297)</f>
        <v>1.105308964971438</v>
      </c>
      <c r="I297" s="24">
        <f t="shared" si="18"/>
        <v>0.4</v>
      </c>
      <c r="J297" s="24">
        <f t="shared" si="19"/>
        <v>0</v>
      </c>
      <c r="K297" s="24">
        <f>IF(CurrentMtgRatesDataTable811[[#This Row],[WA CC]]&lt;&gt;0,D296-CurrentMtgRatesDataTable811[[#This Row],[WA CC]],0)</f>
        <v>0</v>
      </c>
      <c r="L297" s="24">
        <f>IF(CurrentMtgRatesDataTable811[[#This Row],[Servicing Spread]]&lt;=0,L296,CurrentMtgRatesDataTable811[[#This Row],[Servicing Spread]])</f>
        <v>1.0179971917857462</v>
      </c>
      <c r="M297" s="24">
        <f>CurrentMtgRatesDataTable811[[#This Row],[SeriesNumValue]]+CurrentMtgRatesDataTable811[[#This Row],[Servicing Spread Non-Zero]]</f>
        <v>3.8281395011493964</v>
      </c>
    </row>
    <row r="298" spans="2:13" x14ac:dyDescent="0.2">
      <c r="B298" s="27" t="s">
        <v>979</v>
      </c>
      <c r="C298" s="28">
        <v>2.7613284335862098</v>
      </c>
      <c r="D298" s="26">
        <v>3.8200000000000003</v>
      </c>
      <c r="E298" s="24">
        <f t="shared" si="16"/>
        <v>5</v>
      </c>
      <c r="F298" s="24">
        <f>VLOOKUP(E298,Q$5:R$11,2,FALSE)</f>
        <v>0.2</v>
      </c>
      <c r="G298" s="24">
        <f t="shared" si="17"/>
        <v>3</v>
      </c>
      <c r="H298" s="24">
        <f>IF(G298&gt;G297,H297+C298*F298,C298*F298)</f>
        <v>1.65757465168868</v>
      </c>
      <c r="I298" s="24">
        <f t="shared" si="18"/>
        <v>0.60000000000000009</v>
      </c>
      <c r="J298" s="24">
        <f t="shared" si="19"/>
        <v>0</v>
      </c>
      <c r="K298" s="24">
        <f>IF(CurrentMtgRatesDataTable811[[#This Row],[WA CC]]&lt;&gt;0,D297-CurrentMtgRatesDataTable811[[#This Row],[WA CC]],0)</f>
        <v>0</v>
      </c>
      <c r="L298" s="24">
        <f>IF(CurrentMtgRatesDataTable811[[#This Row],[Servicing Spread]]&lt;=0,L297,CurrentMtgRatesDataTable811[[#This Row],[Servicing Spread]])</f>
        <v>1.0179971917857462</v>
      </c>
      <c r="M298" s="24">
        <f>CurrentMtgRatesDataTable811[[#This Row],[SeriesNumValue]]+CurrentMtgRatesDataTable811[[#This Row],[Servicing Spread Non-Zero]]</f>
        <v>3.779325625371956</v>
      </c>
    </row>
    <row r="299" spans="2:13" x14ac:dyDescent="0.2">
      <c r="B299" s="27" t="s">
        <v>980</v>
      </c>
      <c r="C299" s="28">
        <v>2.7946021127853302</v>
      </c>
      <c r="D299" s="26">
        <v>3.8200000000000003</v>
      </c>
      <c r="E299" s="24">
        <f t="shared" si="16"/>
        <v>6</v>
      </c>
      <c r="F299" s="24">
        <f>VLOOKUP(E299,Q$5:R$11,2,FALSE)</f>
        <v>0.2</v>
      </c>
      <c r="G299" s="24">
        <f t="shared" si="17"/>
        <v>4</v>
      </c>
      <c r="H299" s="24">
        <f>IF(G299&gt;G298,H298+C299*F299,C299*F299)</f>
        <v>2.2164950742457461</v>
      </c>
      <c r="I299" s="24">
        <f t="shared" si="18"/>
        <v>0.8</v>
      </c>
      <c r="J299" s="24">
        <f t="shared" si="19"/>
        <v>0</v>
      </c>
      <c r="K299" s="24">
        <f>IF(CurrentMtgRatesDataTable811[[#This Row],[WA CC]]&lt;&gt;0,D298-CurrentMtgRatesDataTable811[[#This Row],[WA CC]],0)</f>
        <v>0</v>
      </c>
      <c r="L299" s="24">
        <f>IF(CurrentMtgRatesDataTable811[[#This Row],[Servicing Spread]]&lt;=0,L298,CurrentMtgRatesDataTable811[[#This Row],[Servicing Spread]])</f>
        <v>1.0179971917857462</v>
      </c>
      <c r="M299" s="24">
        <f>CurrentMtgRatesDataTable811[[#This Row],[SeriesNumValue]]+CurrentMtgRatesDataTable811[[#This Row],[Servicing Spread Non-Zero]]</f>
        <v>3.8125993045710764</v>
      </c>
    </row>
    <row r="300" spans="2:13" x14ac:dyDescent="0.2">
      <c r="B300" s="27" t="s">
        <v>981</v>
      </c>
      <c r="C300" s="28">
        <v>2.7670306950221799</v>
      </c>
      <c r="D300" s="26">
        <v>3.8200000000000003</v>
      </c>
      <c r="E300" s="24">
        <f t="shared" si="16"/>
        <v>7</v>
      </c>
      <c r="F300" s="24">
        <f>VLOOKUP(E300,Q$5:R$11,2,FALSE)</f>
        <v>0.2</v>
      </c>
      <c r="G300" s="24">
        <f t="shared" si="17"/>
        <v>5</v>
      </c>
      <c r="H300" s="24">
        <f>IF(G300&gt;G299,H299+C300*F300,C300*F300)</f>
        <v>2.7699012132501819</v>
      </c>
      <c r="I300" s="24">
        <f t="shared" si="18"/>
        <v>1</v>
      </c>
      <c r="J300" s="24">
        <f t="shared" si="19"/>
        <v>2.7699012132501819</v>
      </c>
      <c r="K300" s="24">
        <f>IF(CurrentMtgRatesDataTable811[[#This Row],[WA CC]]&lt;&gt;0,D299-CurrentMtgRatesDataTable811[[#This Row],[WA CC]],0)</f>
        <v>1.0500987867498184</v>
      </c>
      <c r="L300" s="24">
        <f>IF(CurrentMtgRatesDataTable811[[#This Row],[Servicing Spread]]&lt;=0,L299,CurrentMtgRatesDataTable811[[#This Row],[Servicing Spread]])</f>
        <v>1.0500987867498184</v>
      </c>
      <c r="M300" s="24">
        <f>CurrentMtgRatesDataTable811[[#This Row],[SeriesNumValue]]+CurrentMtgRatesDataTable811[[#This Row],[Servicing Spread Non-Zero]]</f>
        <v>3.8171294817719983</v>
      </c>
    </row>
    <row r="301" spans="2:13" x14ac:dyDescent="0.2">
      <c r="B301" s="27" t="s">
        <v>982</v>
      </c>
      <c r="C301" s="28">
        <v>2.8458544397299299</v>
      </c>
      <c r="D301" s="26">
        <v>3.8200000000000003</v>
      </c>
      <c r="E301" s="24">
        <f t="shared" si="16"/>
        <v>1</v>
      </c>
      <c r="F301" s="24">
        <f>VLOOKUP(E301,Q$5:R$11,2,FALSE)</f>
        <v>0.2</v>
      </c>
      <c r="G301" s="24">
        <f t="shared" si="17"/>
        <v>1</v>
      </c>
      <c r="H301" s="24">
        <f>IF(G301&gt;G300,H300+C301*F301,C301*F301)</f>
        <v>0.56917088794598603</v>
      </c>
      <c r="I301" s="24">
        <f t="shared" si="18"/>
        <v>0.2</v>
      </c>
      <c r="J301" s="24">
        <f t="shared" si="19"/>
        <v>0</v>
      </c>
      <c r="K301" s="24">
        <f>IF(CurrentMtgRatesDataTable811[[#This Row],[WA CC]]&lt;&gt;0,D300-CurrentMtgRatesDataTable811[[#This Row],[WA CC]],0)</f>
        <v>0</v>
      </c>
      <c r="L301" s="24">
        <f>IF(CurrentMtgRatesDataTable811[[#This Row],[Servicing Spread]]&lt;=0,L300,CurrentMtgRatesDataTable811[[#This Row],[Servicing Spread]])</f>
        <v>1.0500987867498184</v>
      </c>
      <c r="M301" s="24">
        <f>CurrentMtgRatesDataTable811[[#This Row],[SeriesNumValue]]+CurrentMtgRatesDataTable811[[#This Row],[Servicing Spread Non-Zero]]</f>
        <v>3.8959532264797483</v>
      </c>
    </row>
    <row r="302" spans="2:13" x14ac:dyDescent="0.2">
      <c r="B302" s="27" t="s">
        <v>983</v>
      </c>
      <c r="C302" s="28">
        <v>2.8097489693642799</v>
      </c>
      <c r="D302" s="26">
        <v>3.8200000000000003</v>
      </c>
      <c r="E302" s="24">
        <f t="shared" si="16"/>
        <v>2</v>
      </c>
      <c r="F302" s="24">
        <f>VLOOKUP(E302,Q$5:R$11,2,FALSE)</f>
        <v>0.2</v>
      </c>
      <c r="G302" s="24">
        <f t="shared" si="17"/>
        <v>2</v>
      </c>
      <c r="H302" s="24">
        <f>IF(G302&gt;G301,H301+C302*F302,C302*F302)</f>
        <v>1.131120681818842</v>
      </c>
      <c r="I302" s="24">
        <f t="shared" si="18"/>
        <v>0.4</v>
      </c>
      <c r="J302" s="24">
        <f t="shared" si="19"/>
        <v>0</v>
      </c>
      <c r="K302" s="24">
        <f>IF(CurrentMtgRatesDataTable811[[#This Row],[WA CC]]&lt;&gt;0,D301-CurrentMtgRatesDataTable811[[#This Row],[WA CC]],0)</f>
        <v>0</v>
      </c>
      <c r="L302" s="24">
        <f>IF(CurrentMtgRatesDataTable811[[#This Row],[Servicing Spread]]&lt;=0,L301,CurrentMtgRatesDataTable811[[#This Row],[Servicing Spread]])</f>
        <v>1.0500987867498184</v>
      </c>
      <c r="M302" s="24">
        <f>CurrentMtgRatesDataTable811[[#This Row],[SeriesNumValue]]+CurrentMtgRatesDataTable811[[#This Row],[Servicing Spread Non-Zero]]</f>
        <v>3.8598477561140982</v>
      </c>
    </row>
    <row r="303" spans="2:13" x14ac:dyDescent="0.2">
      <c r="B303" s="27" t="s">
        <v>984</v>
      </c>
      <c r="C303" s="28">
        <v>2.8174854723691301</v>
      </c>
      <c r="D303" s="26">
        <v>3.8200000000000003</v>
      </c>
      <c r="E303" s="24">
        <f t="shared" si="16"/>
        <v>5</v>
      </c>
      <c r="F303" s="24">
        <f>VLOOKUP(E303,Q$5:R$11,2,FALSE)</f>
        <v>0.2</v>
      </c>
      <c r="G303" s="24">
        <f t="shared" si="17"/>
        <v>3</v>
      </c>
      <c r="H303" s="24">
        <f>IF(G303&gt;G302,H302+C303*F303,C303*F303)</f>
        <v>1.694617776292668</v>
      </c>
      <c r="I303" s="24">
        <f t="shared" si="18"/>
        <v>0.60000000000000009</v>
      </c>
      <c r="J303" s="24">
        <f t="shared" si="19"/>
        <v>0</v>
      </c>
      <c r="K303" s="24">
        <f>IF(CurrentMtgRatesDataTable811[[#This Row],[WA CC]]&lt;&gt;0,D302-CurrentMtgRatesDataTable811[[#This Row],[WA CC]],0)</f>
        <v>0</v>
      </c>
      <c r="L303" s="24">
        <f>IF(CurrentMtgRatesDataTable811[[#This Row],[Servicing Spread]]&lt;=0,L302,CurrentMtgRatesDataTable811[[#This Row],[Servicing Spread]])</f>
        <v>1.0500987867498184</v>
      </c>
      <c r="M303" s="24">
        <f>CurrentMtgRatesDataTable811[[#This Row],[SeriesNumValue]]+CurrentMtgRatesDataTable811[[#This Row],[Servicing Spread Non-Zero]]</f>
        <v>3.8675842591189484</v>
      </c>
    </row>
    <row r="304" spans="2:13" x14ac:dyDescent="0.2">
      <c r="B304" s="27" t="s">
        <v>985</v>
      </c>
      <c r="C304" s="28">
        <v>2.7668146373676499</v>
      </c>
      <c r="D304" s="26">
        <v>3.8200000000000003</v>
      </c>
      <c r="E304" s="24">
        <f t="shared" si="16"/>
        <v>6</v>
      </c>
      <c r="F304" s="24">
        <f>VLOOKUP(E304,Q$5:R$11,2,FALSE)</f>
        <v>0.2</v>
      </c>
      <c r="G304" s="24">
        <f t="shared" si="17"/>
        <v>4</v>
      </c>
      <c r="H304" s="24">
        <f>IF(G304&gt;G303,H303+C304*F304,C304*F304)</f>
        <v>2.2479807037661979</v>
      </c>
      <c r="I304" s="24">
        <f t="shared" si="18"/>
        <v>0.8</v>
      </c>
      <c r="J304" s="24">
        <f t="shared" si="19"/>
        <v>0</v>
      </c>
      <c r="K304" s="24">
        <f>IF(CurrentMtgRatesDataTable811[[#This Row],[WA CC]]&lt;&gt;0,D303-CurrentMtgRatesDataTable811[[#This Row],[WA CC]],0)</f>
        <v>0</v>
      </c>
      <c r="L304" s="24">
        <f>IF(CurrentMtgRatesDataTable811[[#This Row],[Servicing Spread]]&lt;=0,L303,CurrentMtgRatesDataTable811[[#This Row],[Servicing Spread]])</f>
        <v>1.0500987867498184</v>
      </c>
      <c r="M304" s="24">
        <f>CurrentMtgRatesDataTable811[[#This Row],[SeriesNumValue]]+CurrentMtgRatesDataTable811[[#This Row],[Servicing Spread Non-Zero]]</f>
        <v>3.8169134241174683</v>
      </c>
    </row>
    <row r="305" spans="2:13" x14ac:dyDescent="0.2">
      <c r="B305" s="27" t="s">
        <v>986</v>
      </c>
      <c r="C305" s="28">
        <v>2.78221187240857</v>
      </c>
      <c r="D305" s="26">
        <v>3.8200000000000003</v>
      </c>
      <c r="E305" s="24">
        <f t="shared" si="16"/>
        <v>7</v>
      </c>
      <c r="F305" s="24">
        <f>VLOOKUP(E305,Q$5:R$11,2,FALSE)</f>
        <v>0.2</v>
      </c>
      <c r="G305" s="24">
        <f t="shared" si="17"/>
        <v>5</v>
      </c>
      <c r="H305" s="24">
        <f>IF(G305&gt;G304,H304+C305*F305,C305*F305)</f>
        <v>2.804423078247912</v>
      </c>
      <c r="I305" s="24">
        <f t="shared" si="18"/>
        <v>1</v>
      </c>
      <c r="J305" s="24">
        <f t="shared" si="19"/>
        <v>2.804423078247912</v>
      </c>
      <c r="K305" s="24">
        <f>IF(CurrentMtgRatesDataTable811[[#This Row],[WA CC]]&lt;&gt;0,D304-CurrentMtgRatesDataTable811[[#This Row],[WA CC]],0)</f>
        <v>1.0155769217520882</v>
      </c>
      <c r="L305" s="24">
        <f>IF(CurrentMtgRatesDataTable811[[#This Row],[Servicing Spread]]&lt;=0,L304,CurrentMtgRatesDataTable811[[#This Row],[Servicing Spread]])</f>
        <v>1.0155769217520882</v>
      </c>
      <c r="M305" s="24">
        <f>CurrentMtgRatesDataTable811[[#This Row],[SeriesNumValue]]+CurrentMtgRatesDataTable811[[#This Row],[Servicing Spread Non-Zero]]</f>
        <v>3.7977887941606583</v>
      </c>
    </row>
    <row r="306" spans="2:13" x14ac:dyDescent="0.2">
      <c r="B306" s="27" t="s">
        <v>987</v>
      </c>
      <c r="C306" s="28">
        <v>2.8316730610652701</v>
      </c>
      <c r="D306" s="26">
        <v>3.9000000000000004</v>
      </c>
      <c r="E306" s="24">
        <f t="shared" si="16"/>
        <v>1</v>
      </c>
      <c r="F306" s="24">
        <f>VLOOKUP(E306,Q$5:R$11,2,FALSE)</f>
        <v>0.2</v>
      </c>
      <c r="G306" s="24">
        <f t="shared" si="17"/>
        <v>1</v>
      </c>
      <c r="H306" s="24">
        <f>IF(G306&gt;G305,H305+C306*F306,C306*F306)</f>
        <v>0.56633461221305403</v>
      </c>
      <c r="I306" s="24">
        <f t="shared" si="18"/>
        <v>0.2</v>
      </c>
      <c r="J306" s="24">
        <f t="shared" si="19"/>
        <v>0</v>
      </c>
      <c r="K306" s="24">
        <f>IF(CurrentMtgRatesDataTable811[[#This Row],[WA CC]]&lt;&gt;0,D305-CurrentMtgRatesDataTable811[[#This Row],[WA CC]],0)</f>
        <v>0</v>
      </c>
      <c r="L306" s="24">
        <f>IF(CurrentMtgRatesDataTable811[[#This Row],[Servicing Spread]]&lt;=0,L305,CurrentMtgRatesDataTable811[[#This Row],[Servicing Spread]])</f>
        <v>1.0155769217520882</v>
      </c>
      <c r="M306" s="24">
        <f>CurrentMtgRatesDataTable811[[#This Row],[SeriesNumValue]]+CurrentMtgRatesDataTable811[[#This Row],[Servicing Spread Non-Zero]]</f>
        <v>3.8472499828173583</v>
      </c>
    </row>
    <row r="307" spans="2:13" x14ac:dyDescent="0.2">
      <c r="B307" s="27" t="s">
        <v>988</v>
      </c>
      <c r="C307" s="28">
        <v>2.8683607059376999</v>
      </c>
      <c r="D307" s="26">
        <v>3.9000000000000004</v>
      </c>
      <c r="E307" s="24">
        <f t="shared" si="16"/>
        <v>2</v>
      </c>
      <c r="F307" s="24">
        <f>VLOOKUP(E307,Q$5:R$11,2,FALSE)</f>
        <v>0.2</v>
      </c>
      <c r="G307" s="24">
        <f t="shared" si="17"/>
        <v>2</v>
      </c>
      <c r="H307" s="24">
        <f>IF(G307&gt;G306,H306+C307*F307,C307*F307)</f>
        <v>1.140006753400594</v>
      </c>
      <c r="I307" s="24">
        <f t="shared" si="18"/>
        <v>0.4</v>
      </c>
      <c r="J307" s="24">
        <f t="shared" si="19"/>
        <v>0</v>
      </c>
      <c r="K307" s="24">
        <f>IF(CurrentMtgRatesDataTable811[[#This Row],[WA CC]]&lt;&gt;0,D306-CurrentMtgRatesDataTable811[[#This Row],[WA CC]],0)</f>
        <v>0</v>
      </c>
      <c r="L307" s="24">
        <f>IF(CurrentMtgRatesDataTable811[[#This Row],[Servicing Spread]]&lt;=0,L306,CurrentMtgRatesDataTable811[[#This Row],[Servicing Spread]])</f>
        <v>1.0155769217520882</v>
      </c>
      <c r="M307" s="24">
        <f>CurrentMtgRatesDataTable811[[#This Row],[SeriesNumValue]]+CurrentMtgRatesDataTable811[[#This Row],[Servicing Spread Non-Zero]]</f>
        <v>3.8839376276897881</v>
      </c>
    </row>
    <row r="308" spans="2:13" x14ac:dyDescent="0.2">
      <c r="B308" s="27" t="s">
        <v>989</v>
      </c>
      <c r="C308" s="28">
        <v>2.9231559987667999</v>
      </c>
      <c r="D308" s="26">
        <v>3.9000000000000004</v>
      </c>
      <c r="E308" s="24">
        <f t="shared" si="16"/>
        <v>6</v>
      </c>
      <c r="F308" s="24">
        <f>VLOOKUP(E308,Q$5:R$11,2,FALSE)</f>
        <v>0.2</v>
      </c>
      <c r="G308" s="24">
        <f t="shared" si="17"/>
        <v>3</v>
      </c>
      <c r="H308" s="24">
        <f>IF(G308&gt;G307,H307+C308*F308,C308*F308)</f>
        <v>1.724637953153954</v>
      </c>
      <c r="I308" s="24">
        <f t="shared" si="18"/>
        <v>0.60000000000000009</v>
      </c>
      <c r="J308" s="24">
        <f t="shared" si="19"/>
        <v>0</v>
      </c>
      <c r="K308" s="24">
        <f>IF(CurrentMtgRatesDataTable811[[#This Row],[WA CC]]&lt;&gt;0,D307-CurrentMtgRatesDataTable811[[#This Row],[WA CC]],0)</f>
        <v>0</v>
      </c>
      <c r="L308" s="24">
        <f>IF(CurrentMtgRatesDataTable811[[#This Row],[Servicing Spread]]&lt;=0,L307,CurrentMtgRatesDataTable811[[#This Row],[Servicing Spread]])</f>
        <v>1.0155769217520882</v>
      </c>
      <c r="M308" s="24">
        <f>CurrentMtgRatesDataTable811[[#This Row],[SeriesNumValue]]+CurrentMtgRatesDataTable811[[#This Row],[Servicing Spread Non-Zero]]</f>
        <v>3.9387329205188881</v>
      </c>
    </row>
    <row r="309" spans="2:13" x14ac:dyDescent="0.2">
      <c r="B309" s="27" t="s">
        <v>990</v>
      </c>
      <c r="C309" s="28">
        <v>2.8731313932433</v>
      </c>
      <c r="D309" s="26">
        <v>3.9000000000000004</v>
      </c>
      <c r="E309" s="24">
        <f t="shared" si="16"/>
        <v>7</v>
      </c>
      <c r="F309" s="24">
        <f>VLOOKUP(E309,Q$5:R$11,2,FALSE)</f>
        <v>0.2</v>
      </c>
      <c r="G309" s="24">
        <f t="shared" si="17"/>
        <v>4</v>
      </c>
      <c r="H309" s="24">
        <f>IF(G309&gt;G308,H308+C309*F309,C309*F309)</f>
        <v>2.299264231802614</v>
      </c>
      <c r="I309" s="24">
        <f t="shared" si="18"/>
        <v>0.8</v>
      </c>
      <c r="J309" s="24">
        <f t="shared" si="19"/>
        <v>2.8740802897532673</v>
      </c>
      <c r="K309" s="24">
        <f>IF(CurrentMtgRatesDataTable811[[#This Row],[WA CC]]&lt;&gt;0,D308-CurrentMtgRatesDataTable811[[#This Row],[WA CC]],0)</f>
        <v>1.025919710246733</v>
      </c>
      <c r="L309" s="24">
        <f>IF(CurrentMtgRatesDataTable811[[#This Row],[Servicing Spread]]&lt;=0,L308,CurrentMtgRatesDataTable811[[#This Row],[Servicing Spread]])</f>
        <v>1.025919710246733</v>
      </c>
      <c r="M309" s="24">
        <f>CurrentMtgRatesDataTable811[[#This Row],[SeriesNumValue]]+CurrentMtgRatesDataTable811[[#This Row],[Servicing Spread Non-Zero]]</f>
        <v>3.899051103490033</v>
      </c>
    </row>
    <row r="310" spans="2:13" x14ac:dyDescent="0.2">
      <c r="B310" s="27" t="s">
        <v>991</v>
      </c>
      <c r="C310" s="28">
        <v>2.8348328361096802</v>
      </c>
      <c r="D310" s="26">
        <v>3.85</v>
      </c>
      <c r="E310" s="24">
        <f t="shared" si="16"/>
        <v>1</v>
      </c>
      <c r="F310" s="24">
        <f>VLOOKUP(E310,Q$5:R$11,2,FALSE)</f>
        <v>0.2</v>
      </c>
      <c r="G310" s="24">
        <f t="shared" si="17"/>
        <v>1</v>
      </c>
      <c r="H310" s="24">
        <f>IF(G310&gt;G309,H309+C310*F310,C310*F310)</f>
        <v>0.56696656722193606</v>
      </c>
      <c r="I310" s="24">
        <f t="shared" si="18"/>
        <v>0.2</v>
      </c>
      <c r="J310" s="24">
        <f t="shared" si="19"/>
        <v>0</v>
      </c>
      <c r="K310" s="24">
        <f>IF(CurrentMtgRatesDataTable811[[#This Row],[WA CC]]&lt;&gt;0,D309-CurrentMtgRatesDataTable811[[#This Row],[WA CC]],0)</f>
        <v>0</v>
      </c>
      <c r="L310" s="24">
        <f>IF(CurrentMtgRatesDataTable811[[#This Row],[Servicing Spread]]&lt;=0,L309,CurrentMtgRatesDataTable811[[#This Row],[Servicing Spread]])</f>
        <v>1.025919710246733</v>
      </c>
      <c r="M310" s="24">
        <f>CurrentMtgRatesDataTable811[[#This Row],[SeriesNumValue]]+CurrentMtgRatesDataTable811[[#This Row],[Servicing Spread Non-Zero]]</f>
        <v>3.8607525463564132</v>
      </c>
    </row>
    <row r="311" spans="2:13" x14ac:dyDescent="0.2">
      <c r="B311" s="27" t="s">
        <v>992</v>
      </c>
      <c r="C311" s="28">
        <v>2.8468470783678899</v>
      </c>
      <c r="D311" s="26">
        <v>3.85</v>
      </c>
      <c r="E311" s="24">
        <f t="shared" si="16"/>
        <v>2</v>
      </c>
      <c r="F311" s="24">
        <f>VLOOKUP(E311,Q$5:R$11,2,FALSE)</f>
        <v>0.2</v>
      </c>
      <c r="G311" s="24">
        <f t="shared" si="17"/>
        <v>2</v>
      </c>
      <c r="H311" s="24">
        <f>IF(G311&gt;G310,H310+C311*F311,C311*F311)</f>
        <v>1.1363359828955142</v>
      </c>
      <c r="I311" s="24">
        <f t="shared" si="18"/>
        <v>0.4</v>
      </c>
      <c r="J311" s="24">
        <f t="shared" si="19"/>
        <v>0</v>
      </c>
      <c r="K311" s="24">
        <f>IF(CurrentMtgRatesDataTable811[[#This Row],[WA CC]]&lt;&gt;0,D310-CurrentMtgRatesDataTable811[[#This Row],[WA CC]],0)</f>
        <v>0</v>
      </c>
      <c r="L311" s="24">
        <f>IF(CurrentMtgRatesDataTable811[[#This Row],[Servicing Spread]]&lt;=0,L310,CurrentMtgRatesDataTable811[[#This Row],[Servicing Spread]])</f>
        <v>1.025919710246733</v>
      </c>
      <c r="M311" s="24">
        <f>CurrentMtgRatesDataTable811[[#This Row],[SeriesNumValue]]+CurrentMtgRatesDataTable811[[#This Row],[Servicing Spread Non-Zero]]</f>
        <v>3.8727667886146229</v>
      </c>
    </row>
    <row r="312" spans="2:13" x14ac:dyDescent="0.2">
      <c r="B312" s="27" t="s">
        <v>993</v>
      </c>
      <c r="C312" s="28">
        <v>2.8205390519018301</v>
      </c>
      <c r="D312" s="26">
        <v>3.85</v>
      </c>
      <c r="E312" s="24">
        <f t="shared" si="16"/>
        <v>5</v>
      </c>
      <c r="F312" s="24">
        <f>VLOOKUP(E312,Q$5:R$11,2,FALSE)</f>
        <v>0.2</v>
      </c>
      <c r="G312" s="24">
        <f t="shared" si="17"/>
        <v>3</v>
      </c>
      <c r="H312" s="24">
        <f>IF(G312&gt;G311,H311+C312*F312,C312*F312)</f>
        <v>1.7004437932758802</v>
      </c>
      <c r="I312" s="24">
        <f t="shared" si="18"/>
        <v>0.60000000000000009</v>
      </c>
      <c r="J312" s="24">
        <f t="shared" si="19"/>
        <v>0</v>
      </c>
      <c r="K312" s="24">
        <f>IF(CurrentMtgRatesDataTable811[[#This Row],[WA CC]]&lt;&gt;0,D311-CurrentMtgRatesDataTable811[[#This Row],[WA CC]],0)</f>
        <v>0</v>
      </c>
      <c r="L312" s="24">
        <f>IF(CurrentMtgRatesDataTable811[[#This Row],[Servicing Spread]]&lt;=0,L311,CurrentMtgRatesDataTable811[[#This Row],[Servicing Spread]])</f>
        <v>1.025919710246733</v>
      </c>
      <c r="M312" s="24">
        <f>CurrentMtgRatesDataTable811[[#This Row],[SeriesNumValue]]+CurrentMtgRatesDataTable811[[#This Row],[Servicing Spread Non-Zero]]</f>
        <v>3.8464587621485631</v>
      </c>
    </row>
    <row r="313" spans="2:13" x14ac:dyDescent="0.2">
      <c r="B313" s="27" t="s">
        <v>994</v>
      </c>
      <c r="C313" s="28">
        <v>2.8101961676338898</v>
      </c>
      <c r="D313" s="26">
        <v>3.85</v>
      </c>
      <c r="E313" s="24">
        <f t="shared" si="16"/>
        <v>6</v>
      </c>
      <c r="F313" s="24">
        <f>VLOOKUP(E313,Q$5:R$11,2,FALSE)</f>
        <v>0.2</v>
      </c>
      <c r="G313" s="24">
        <f t="shared" si="17"/>
        <v>4</v>
      </c>
      <c r="H313" s="24">
        <f>IF(G313&gt;G312,H312+C313*F313,C313*F313)</f>
        <v>2.2624830268026583</v>
      </c>
      <c r="I313" s="24">
        <f t="shared" si="18"/>
        <v>0.8</v>
      </c>
      <c r="J313" s="24">
        <f t="shared" si="19"/>
        <v>0</v>
      </c>
      <c r="K313" s="24">
        <f>IF(CurrentMtgRatesDataTable811[[#This Row],[WA CC]]&lt;&gt;0,D312-CurrentMtgRatesDataTable811[[#This Row],[WA CC]],0)</f>
        <v>0</v>
      </c>
      <c r="L313" s="24">
        <f>IF(CurrentMtgRatesDataTable811[[#This Row],[Servicing Spread]]&lt;=0,L312,CurrentMtgRatesDataTable811[[#This Row],[Servicing Spread]])</f>
        <v>1.025919710246733</v>
      </c>
      <c r="M313" s="24">
        <f>CurrentMtgRatesDataTable811[[#This Row],[SeriesNumValue]]+CurrentMtgRatesDataTable811[[#This Row],[Servicing Spread Non-Zero]]</f>
        <v>3.8361158778806228</v>
      </c>
    </row>
    <row r="314" spans="2:13" x14ac:dyDescent="0.2">
      <c r="B314" s="27" t="s">
        <v>995</v>
      </c>
      <c r="C314" s="28">
        <v>2.8817315463419</v>
      </c>
      <c r="D314" s="26">
        <v>3.85</v>
      </c>
      <c r="E314" s="24">
        <f t="shared" si="16"/>
        <v>7</v>
      </c>
      <c r="F314" s="24">
        <f>VLOOKUP(E314,Q$5:R$11,2,FALSE)</f>
        <v>0.2</v>
      </c>
      <c r="G314" s="24">
        <f t="shared" si="17"/>
        <v>5</v>
      </c>
      <c r="H314" s="24">
        <f>IF(G314&gt;G313,H313+C314*F314,C314*F314)</f>
        <v>2.8388293360710382</v>
      </c>
      <c r="I314" s="24">
        <f t="shared" si="18"/>
        <v>1</v>
      </c>
      <c r="J314" s="24">
        <f t="shared" si="19"/>
        <v>2.8388293360710382</v>
      </c>
      <c r="K314" s="24">
        <f>IF(CurrentMtgRatesDataTable811[[#This Row],[WA CC]]&lt;&gt;0,D313-CurrentMtgRatesDataTable811[[#This Row],[WA CC]],0)</f>
        <v>1.0111706639289619</v>
      </c>
      <c r="L314" s="24">
        <f>IF(CurrentMtgRatesDataTable811[[#This Row],[Servicing Spread]]&lt;=0,L313,CurrentMtgRatesDataTable811[[#This Row],[Servicing Spread]])</f>
        <v>1.0111706639289619</v>
      </c>
      <c r="M314" s="24">
        <f>CurrentMtgRatesDataTable811[[#This Row],[SeriesNumValue]]+CurrentMtgRatesDataTable811[[#This Row],[Servicing Spread Non-Zero]]</f>
        <v>3.8929022102708619</v>
      </c>
    </row>
    <row r="315" spans="2:13" x14ac:dyDescent="0.2">
      <c r="B315" s="27" t="s">
        <v>996</v>
      </c>
      <c r="C315" s="28">
        <v>2.9287236028717998</v>
      </c>
      <c r="D315" s="26">
        <v>3.83</v>
      </c>
      <c r="E315" s="24">
        <f t="shared" si="16"/>
        <v>1</v>
      </c>
      <c r="F315" s="24">
        <f>VLOOKUP(E315,Q$5:R$11,2,FALSE)</f>
        <v>0.2</v>
      </c>
      <c r="G315" s="24">
        <f t="shared" si="17"/>
        <v>1</v>
      </c>
      <c r="H315" s="24">
        <f>IF(G315&gt;G314,H314+C315*F315,C315*F315)</f>
        <v>0.58574472057436</v>
      </c>
      <c r="I315" s="24">
        <f t="shared" si="18"/>
        <v>0.2</v>
      </c>
      <c r="J315" s="24">
        <f t="shared" si="19"/>
        <v>0</v>
      </c>
      <c r="K315" s="24">
        <f>IF(CurrentMtgRatesDataTable811[[#This Row],[WA CC]]&lt;&gt;0,D314-CurrentMtgRatesDataTable811[[#This Row],[WA CC]],0)</f>
        <v>0</v>
      </c>
      <c r="L315" s="24">
        <f>IF(CurrentMtgRatesDataTable811[[#This Row],[Servicing Spread]]&lt;=0,L314,CurrentMtgRatesDataTable811[[#This Row],[Servicing Spread]])</f>
        <v>1.0111706639289619</v>
      </c>
      <c r="M315" s="24">
        <f>CurrentMtgRatesDataTable811[[#This Row],[SeriesNumValue]]+CurrentMtgRatesDataTable811[[#This Row],[Servicing Spread Non-Zero]]</f>
        <v>3.9398942668007617</v>
      </c>
    </row>
    <row r="316" spans="2:13" x14ac:dyDescent="0.2">
      <c r="B316" s="27" t="s">
        <v>997</v>
      </c>
      <c r="C316" s="28">
        <v>2.89080300621736</v>
      </c>
      <c r="D316" s="26">
        <v>3.83</v>
      </c>
      <c r="E316" s="24">
        <f t="shared" si="16"/>
        <v>2</v>
      </c>
      <c r="F316" s="24">
        <f>VLOOKUP(E316,Q$5:R$11,2,FALSE)</f>
        <v>0.2</v>
      </c>
      <c r="G316" s="24">
        <f t="shared" si="17"/>
        <v>2</v>
      </c>
      <c r="H316" s="24">
        <f>IF(G316&gt;G315,H315+C316*F316,C316*F316)</f>
        <v>1.1639053218178321</v>
      </c>
      <c r="I316" s="24">
        <f t="shared" si="18"/>
        <v>0.4</v>
      </c>
      <c r="J316" s="24">
        <f t="shared" si="19"/>
        <v>0</v>
      </c>
      <c r="K316" s="24">
        <f>IF(CurrentMtgRatesDataTable811[[#This Row],[WA CC]]&lt;&gt;0,D315-CurrentMtgRatesDataTable811[[#This Row],[WA CC]],0)</f>
        <v>0</v>
      </c>
      <c r="L316" s="24">
        <f>IF(CurrentMtgRatesDataTable811[[#This Row],[Servicing Spread]]&lt;=0,L315,CurrentMtgRatesDataTable811[[#This Row],[Servicing Spread]])</f>
        <v>1.0111706639289619</v>
      </c>
      <c r="M316" s="24">
        <f>CurrentMtgRatesDataTable811[[#This Row],[SeriesNumValue]]+CurrentMtgRatesDataTable811[[#This Row],[Servicing Spread Non-Zero]]</f>
        <v>3.9019736701463219</v>
      </c>
    </row>
    <row r="317" spans="2:13" x14ac:dyDescent="0.2">
      <c r="B317" s="27" t="s">
        <v>998</v>
      </c>
      <c r="C317" s="28">
        <v>2.9007707644806802</v>
      </c>
      <c r="D317" s="26">
        <v>3.83</v>
      </c>
      <c r="E317" s="24">
        <f t="shared" si="16"/>
        <v>5</v>
      </c>
      <c r="F317" s="24">
        <f>VLOOKUP(E317,Q$5:R$11,2,FALSE)</f>
        <v>0.2</v>
      </c>
      <c r="G317" s="24">
        <f t="shared" si="17"/>
        <v>3</v>
      </c>
      <c r="H317" s="24">
        <f>IF(G317&gt;G316,H316+C317*F317,C317*F317)</f>
        <v>1.7440594747139682</v>
      </c>
      <c r="I317" s="24">
        <f t="shared" si="18"/>
        <v>0.60000000000000009</v>
      </c>
      <c r="J317" s="24">
        <f t="shared" si="19"/>
        <v>0</v>
      </c>
      <c r="K317" s="24">
        <f>IF(CurrentMtgRatesDataTable811[[#This Row],[WA CC]]&lt;&gt;0,D316-CurrentMtgRatesDataTable811[[#This Row],[WA CC]],0)</f>
        <v>0</v>
      </c>
      <c r="L317" s="24">
        <f>IF(CurrentMtgRatesDataTable811[[#This Row],[Servicing Spread]]&lt;=0,L316,CurrentMtgRatesDataTable811[[#This Row],[Servicing Spread]])</f>
        <v>1.0111706639289619</v>
      </c>
      <c r="M317" s="24">
        <f>CurrentMtgRatesDataTable811[[#This Row],[SeriesNumValue]]+CurrentMtgRatesDataTable811[[#This Row],[Servicing Spread Non-Zero]]</f>
        <v>3.9119414284096421</v>
      </c>
    </row>
    <row r="318" spans="2:13" x14ac:dyDescent="0.2">
      <c r="B318" s="27" t="s">
        <v>999</v>
      </c>
      <c r="C318" s="28">
        <v>2.8650613840049299</v>
      </c>
      <c r="D318" s="26">
        <v>3.83</v>
      </c>
      <c r="E318" s="24">
        <f t="shared" si="16"/>
        <v>6</v>
      </c>
      <c r="F318" s="24">
        <f>VLOOKUP(E318,Q$5:R$11,2,FALSE)</f>
        <v>0.2</v>
      </c>
      <c r="G318" s="24">
        <f t="shared" si="17"/>
        <v>4</v>
      </c>
      <c r="H318" s="24">
        <f>IF(G318&gt;G317,H317+C318*F318,C318*F318)</f>
        <v>2.3170717515149541</v>
      </c>
      <c r="I318" s="24">
        <f t="shared" si="18"/>
        <v>0.8</v>
      </c>
      <c r="J318" s="24">
        <f t="shared" si="19"/>
        <v>0</v>
      </c>
      <c r="K318" s="24">
        <f>IF(CurrentMtgRatesDataTable811[[#This Row],[WA CC]]&lt;&gt;0,D317-CurrentMtgRatesDataTable811[[#This Row],[WA CC]],0)</f>
        <v>0</v>
      </c>
      <c r="L318" s="24">
        <f>IF(CurrentMtgRatesDataTable811[[#This Row],[Servicing Spread]]&lt;=0,L317,CurrentMtgRatesDataTable811[[#This Row],[Servicing Spread]])</f>
        <v>1.0111706639289619</v>
      </c>
      <c r="M318" s="24">
        <f>CurrentMtgRatesDataTable811[[#This Row],[SeriesNumValue]]+CurrentMtgRatesDataTable811[[#This Row],[Servicing Spread Non-Zero]]</f>
        <v>3.8762320479338919</v>
      </c>
    </row>
    <row r="319" spans="2:13" x14ac:dyDescent="0.2">
      <c r="B319" s="27" t="s">
        <v>1000</v>
      </c>
      <c r="C319" s="28">
        <v>2.8996218577463</v>
      </c>
      <c r="D319" s="26">
        <v>3.83</v>
      </c>
      <c r="E319" s="24">
        <f t="shared" si="16"/>
        <v>7</v>
      </c>
      <c r="F319" s="24">
        <f>VLOOKUP(E319,Q$5:R$11,2,FALSE)</f>
        <v>0.2</v>
      </c>
      <c r="G319" s="24">
        <f t="shared" si="17"/>
        <v>5</v>
      </c>
      <c r="H319" s="24">
        <f>IF(G319&gt;G318,H318+C319*F319,C319*F319)</f>
        <v>2.8969961230642141</v>
      </c>
      <c r="I319" s="24">
        <f t="shared" si="18"/>
        <v>1</v>
      </c>
      <c r="J319" s="24">
        <f t="shared" si="19"/>
        <v>2.8969961230642141</v>
      </c>
      <c r="K319" s="24">
        <f>IF(CurrentMtgRatesDataTable811[[#This Row],[WA CC]]&lt;&gt;0,D318-CurrentMtgRatesDataTable811[[#This Row],[WA CC]],0)</f>
        <v>0.93300387693578601</v>
      </c>
      <c r="L319" s="24">
        <f>IF(CurrentMtgRatesDataTable811[[#This Row],[Servicing Spread]]&lt;=0,L318,CurrentMtgRatesDataTable811[[#This Row],[Servicing Spread]])</f>
        <v>0.93300387693578601</v>
      </c>
      <c r="M319" s="24">
        <f>CurrentMtgRatesDataTable811[[#This Row],[SeriesNumValue]]+CurrentMtgRatesDataTable811[[#This Row],[Servicing Spread Non-Zero]]</f>
        <v>3.832625734682086</v>
      </c>
    </row>
    <row r="320" spans="2:13" x14ac:dyDescent="0.2">
      <c r="B320" s="27" t="s">
        <v>1001</v>
      </c>
      <c r="C320" s="28">
        <v>2.9336402803405499</v>
      </c>
      <c r="D320" s="26">
        <v>3.87</v>
      </c>
      <c r="E320" s="24">
        <f t="shared" si="16"/>
        <v>1</v>
      </c>
      <c r="F320" s="24">
        <f>VLOOKUP(E320,Q$5:R$11,2,FALSE)</f>
        <v>0.2</v>
      </c>
      <c r="G320" s="24">
        <f t="shared" si="17"/>
        <v>1</v>
      </c>
      <c r="H320" s="24">
        <f>IF(G320&gt;G319,H319+C320*F320,C320*F320)</f>
        <v>0.58672805606810996</v>
      </c>
      <c r="I320" s="24">
        <f t="shared" si="18"/>
        <v>0.2</v>
      </c>
      <c r="J320" s="24">
        <f t="shared" si="19"/>
        <v>0</v>
      </c>
      <c r="K320" s="24">
        <f>IF(CurrentMtgRatesDataTable811[[#This Row],[WA CC]]&lt;&gt;0,D319-CurrentMtgRatesDataTable811[[#This Row],[WA CC]],0)</f>
        <v>0</v>
      </c>
      <c r="L320" s="24">
        <f>IF(CurrentMtgRatesDataTable811[[#This Row],[Servicing Spread]]&lt;=0,L319,CurrentMtgRatesDataTable811[[#This Row],[Servicing Spread]])</f>
        <v>0.93300387693578601</v>
      </c>
      <c r="M320" s="24">
        <f>CurrentMtgRatesDataTable811[[#This Row],[SeriesNumValue]]+CurrentMtgRatesDataTable811[[#This Row],[Servicing Spread Non-Zero]]</f>
        <v>3.8666441572763359</v>
      </c>
    </row>
    <row r="321" spans="2:13" x14ac:dyDescent="0.2">
      <c r="B321" s="27" t="s">
        <v>1002</v>
      </c>
      <c r="C321" s="28">
        <v>2.9219507354995198</v>
      </c>
      <c r="D321" s="26">
        <v>3.87</v>
      </c>
      <c r="E321" s="24">
        <f t="shared" si="16"/>
        <v>2</v>
      </c>
      <c r="F321" s="24">
        <f>VLOOKUP(E321,Q$5:R$11,2,FALSE)</f>
        <v>0.2</v>
      </c>
      <c r="G321" s="24">
        <f t="shared" si="17"/>
        <v>2</v>
      </c>
      <c r="H321" s="24">
        <f>IF(G321&gt;G320,H320+C321*F321,C321*F321)</f>
        <v>1.1711182031680138</v>
      </c>
      <c r="I321" s="24">
        <f t="shared" si="18"/>
        <v>0.4</v>
      </c>
      <c r="J321" s="24">
        <f t="shared" si="19"/>
        <v>0</v>
      </c>
      <c r="K321" s="24">
        <f>IF(CurrentMtgRatesDataTable811[[#This Row],[WA CC]]&lt;&gt;0,D320-CurrentMtgRatesDataTable811[[#This Row],[WA CC]],0)</f>
        <v>0</v>
      </c>
      <c r="L321" s="24">
        <f>IF(CurrentMtgRatesDataTable811[[#This Row],[Servicing Spread]]&lt;=0,L320,CurrentMtgRatesDataTable811[[#This Row],[Servicing Spread]])</f>
        <v>0.93300387693578601</v>
      </c>
      <c r="M321" s="24">
        <f>CurrentMtgRatesDataTable811[[#This Row],[SeriesNumValue]]+CurrentMtgRatesDataTable811[[#This Row],[Servicing Spread Non-Zero]]</f>
        <v>3.8549546124353058</v>
      </c>
    </row>
    <row r="322" spans="2:13" x14ac:dyDescent="0.2">
      <c r="B322" s="27" t="s">
        <v>1003</v>
      </c>
      <c r="C322" s="28">
        <v>2.9162427900275998</v>
      </c>
      <c r="D322" s="26">
        <v>3.87</v>
      </c>
      <c r="E322" s="24">
        <f t="shared" si="16"/>
        <v>5</v>
      </c>
      <c r="F322" s="24">
        <f>VLOOKUP(E322,Q$5:R$11,2,FALSE)</f>
        <v>0.2</v>
      </c>
      <c r="G322" s="24">
        <f t="shared" si="17"/>
        <v>3</v>
      </c>
      <c r="H322" s="24">
        <f>IF(G322&gt;G321,H321+C322*F322,C322*F322)</f>
        <v>1.7543667611735339</v>
      </c>
      <c r="I322" s="24">
        <f t="shared" si="18"/>
        <v>0.60000000000000009</v>
      </c>
      <c r="J322" s="24">
        <f t="shared" si="19"/>
        <v>0</v>
      </c>
      <c r="K322" s="24">
        <f>IF(CurrentMtgRatesDataTable811[[#This Row],[WA CC]]&lt;&gt;0,D321-CurrentMtgRatesDataTable811[[#This Row],[WA CC]],0)</f>
        <v>0</v>
      </c>
      <c r="L322" s="24">
        <f>IF(CurrentMtgRatesDataTable811[[#This Row],[Servicing Spread]]&lt;=0,L321,CurrentMtgRatesDataTable811[[#This Row],[Servicing Spread]])</f>
        <v>0.93300387693578601</v>
      </c>
      <c r="M322" s="24">
        <f>CurrentMtgRatesDataTable811[[#This Row],[SeriesNumValue]]+CurrentMtgRatesDataTable811[[#This Row],[Servicing Spread Non-Zero]]</f>
        <v>3.8492466669633858</v>
      </c>
    </row>
    <row r="323" spans="2:13" x14ac:dyDescent="0.2">
      <c r="B323" s="27" t="s">
        <v>1004</v>
      </c>
      <c r="C323" s="28">
        <v>2.99140124187609</v>
      </c>
      <c r="D323" s="26">
        <v>3.87</v>
      </c>
      <c r="E323" s="24">
        <f t="shared" ref="E323:E386" si="20">WEEKDAY(B323,14)</f>
        <v>6</v>
      </c>
      <c r="F323" s="24">
        <f>VLOOKUP(E323,Q$5:R$11,2,FALSE)</f>
        <v>0.2</v>
      </c>
      <c r="G323" s="24">
        <f t="shared" ref="G323:G386" si="21">IF(AND(E323&gt;E322,G322&lt;6),G322+1,1)</f>
        <v>4</v>
      </c>
      <c r="H323" s="24">
        <f>IF(G323&gt;G322,H322+C323*F323,C323*F323)</f>
        <v>2.3526470095487517</v>
      </c>
      <c r="I323" s="24">
        <f t="shared" ref="I323:I386" si="22">IF(AND(G323&lt;6,G323&gt;G322),F323+I322,F323)</f>
        <v>0.8</v>
      </c>
      <c r="J323" s="24">
        <f t="shared" ref="J323:J386" si="23">IF(G323&gt;G324,H323/I323,0)</f>
        <v>0</v>
      </c>
      <c r="K323" s="24">
        <f>IF(CurrentMtgRatesDataTable811[[#This Row],[WA CC]]&lt;&gt;0,D322-CurrentMtgRatesDataTable811[[#This Row],[WA CC]],0)</f>
        <v>0</v>
      </c>
      <c r="L323" s="24">
        <f>IF(CurrentMtgRatesDataTable811[[#This Row],[Servicing Spread]]&lt;=0,L322,CurrentMtgRatesDataTable811[[#This Row],[Servicing Spread]])</f>
        <v>0.93300387693578601</v>
      </c>
      <c r="M323" s="24">
        <f>CurrentMtgRatesDataTable811[[#This Row],[SeriesNumValue]]+CurrentMtgRatesDataTable811[[#This Row],[Servicing Spread Non-Zero]]</f>
        <v>3.924405118811876</v>
      </c>
    </row>
    <row r="324" spans="2:13" x14ac:dyDescent="0.2">
      <c r="B324" s="27" t="s">
        <v>1005</v>
      </c>
      <c r="C324" s="28">
        <v>3.1695853606328299</v>
      </c>
      <c r="D324" s="26">
        <v>3.87</v>
      </c>
      <c r="E324" s="24">
        <f t="shared" si="20"/>
        <v>7</v>
      </c>
      <c r="F324" s="24">
        <f>VLOOKUP(E324,Q$5:R$11,2,FALSE)</f>
        <v>0.2</v>
      </c>
      <c r="G324" s="24">
        <f t="shared" si="21"/>
        <v>5</v>
      </c>
      <c r="H324" s="24">
        <f>IF(G324&gt;G323,H323+C324*F324,C324*F324)</f>
        <v>2.9865640816753176</v>
      </c>
      <c r="I324" s="24">
        <f t="shared" si="22"/>
        <v>1</v>
      </c>
      <c r="J324" s="24">
        <f t="shared" si="23"/>
        <v>2.9865640816753176</v>
      </c>
      <c r="K324" s="24">
        <f>IF(CurrentMtgRatesDataTable811[[#This Row],[WA CC]]&lt;&gt;0,D323-CurrentMtgRatesDataTable811[[#This Row],[WA CC]],0)</f>
        <v>0.88343591832468249</v>
      </c>
      <c r="L324" s="24">
        <f>IF(CurrentMtgRatesDataTable811[[#This Row],[Servicing Spread]]&lt;=0,L323,CurrentMtgRatesDataTable811[[#This Row],[Servicing Spread]])</f>
        <v>0.88343591832468249</v>
      </c>
      <c r="M324" s="24">
        <f>CurrentMtgRatesDataTable811[[#This Row],[SeriesNumValue]]+CurrentMtgRatesDataTable811[[#This Row],[Servicing Spread Non-Zero]]</f>
        <v>4.0530212789575124</v>
      </c>
    </row>
    <row r="325" spans="2:13" x14ac:dyDescent="0.2">
      <c r="B325" s="27" t="s">
        <v>1006</v>
      </c>
      <c r="C325" s="28">
        <v>3.1589558563859499</v>
      </c>
      <c r="D325" s="26">
        <v>4.03</v>
      </c>
      <c r="E325" s="24">
        <f t="shared" si="20"/>
        <v>1</v>
      </c>
      <c r="F325" s="24">
        <f>VLOOKUP(E325,Q$5:R$11,2,FALSE)</f>
        <v>0.2</v>
      </c>
      <c r="G325" s="24">
        <f t="shared" si="21"/>
        <v>1</v>
      </c>
      <c r="H325" s="24">
        <f>IF(G325&gt;G324,H324+C325*F325,C325*F325)</f>
        <v>0.63179117127718998</v>
      </c>
      <c r="I325" s="24">
        <f t="shared" si="22"/>
        <v>0.2</v>
      </c>
      <c r="J325" s="24">
        <f t="shared" si="23"/>
        <v>0</v>
      </c>
      <c r="K325" s="24">
        <f>IF(CurrentMtgRatesDataTable811[[#This Row],[WA CC]]&lt;&gt;0,D324-CurrentMtgRatesDataTable811[[#This Row],[WA CC]],0)</f>
        <v>0</v>
      </c>
      <c r="L325" s="24">
        <f>IF(CurrentMtgRatesDataTable811[[#This Row],[Servicing Spread]]&lt;=0,L324,CurrentMtgRatesDataTable811[[#This Row],[Servicing Spread]])</f>
        <v>0.88343591832468249</v>
      </c>
      <c r="M325" s="24">
        <f>CurrentMtgRatesDataTable811[[#This Row],[SeriesNumValue]]+CurrentMtgRatesDataTable811[[#This Row],[Servicing Spread Non-Zero]]</f>
        <v>4.0423917747106319</v>
      </c>
    </row>
    <row r="326" spans="2:13" x14ac:dyDescent="0.2">
      <c r="B326" s="27" t="s">
        <v>1007</v>
      </c>
      <c r="C326" s="28">
        <v>3.13095195050672</v>
      </c>
      <c r="D326" s="26">
        <v>4.03</v>
      </c>
      <c r="E326" s="24">
        <f t="shared" si="20"/>
        <v>2</v>
      </c>
      <c r="F326" s="24">
        <f>VLOOKUP(E326,Q$5:R$11,2,FALSE)</f>
        <v>0.2</v>
      </c>
      <c r="G326" s="24">
        <f t="shared" si="21"/>
        <v>2</v>
      </c>
      <c r="H326" s="24">
        <f>IF(G326&gt;G325,H325+C326*F326,C326*F326)</f>
        <v>1.2579815613785339</v>
      </c>
      <c r="I326" s="24">
        <f t="shared" si="22"/>
        <v>0.4</v>
      </c>
      <c r="J326" s="24">
        <f t="shared" si="23"/>
        <v>0</v>
      </c>
      <c r="K326" s="24">
        <f>IF(CurrentMtgRatesDataTable811[[#This Row],[WA CC]]&lt;&gt;0,D325-CurrentMtgRatesDataTable811[[#This Row],[WA CC]],0)</f>
        <v>0</v>
      </c>
      <c r="L326" s="24">
        <f>IF(CurrentMtgRatesDataTable811[[#This Row],[Servicing Spread]]&lt;=0,L325,CurrentMtgRatesDataTable811[[#This Row],[Servicing Spread]])</f>
        <v>0.88343591832468249</v>
      </c>
      <c r="M326" s="24">
        <f>CurrentMtgRatesDataTable811[[#This Row],[SeriesNumValue]]+CurrentMtgRatesDataTable811[[#This Row],[Servicing Spread Non-Zero]]</f>
        <v>4.0143878688314025</v>
      </c>
    </row>
    <row r="327" spans="2:13" x14ac:dyDescent="0.2">
      <c r="B327" s="27" t="s">
        <v>1008</v>
      </c>
      <c r="C327" s="28">
        <v>3.2363757673390801</v>
      </c>
      <c r="D327" s="26">
        <v>4.03</v>
      </c>
      <c r="E327" s="24">
        <f t="shared" si="20"/>
        <v>5</v>
      </c>
      <c r="F327" s="24">
        <f>VLOOKUP(E327,Q$5:R$11,2,FALSE)</f>
        <v>0.2</v>
      </c>
      <c r="G327" s="24">
        <f t="shared" si="21"/>
        <v>3</v>
      </c>
      <c r="H327" s="24">
        <f>IF(G327&gt;G326,H326+C327*F327,C327*F327)</f>
        <v>1.90525671484635</v>
      </c>
      <c r="I327" s="24">
        <f t="shared" si="22"/>
        <v>0.60000000000000009</v>
      </c>
      <c r="J327" s="24">
        <f t="shared" si="23"/>
        <v>0</v>
      </c>
      <c r="K327" s="24">
        <f>IF(CurrentMtgRatesDataTable811[[#This Row],[WA CC]]&lt;&gt;0,D326-CurrentMtgRatesDataTable811[[#This Row],[WA CC]],0)</f>
        <v>0</v>
      </c>
      <c r="L327" s="24">
        <f>IF(CurrentMtgRatesDataTable811[[#This Row],[Servicing Spread]]&lt;=0,L326,CurrentMtgRatesDataTable811[[#This Row],[Servicing Spread]])</f>
        <v>0.88343591832468249</v>
      </c>
      <c r="M327" s="24">
        <f>CurrentMtgRatesDataTable811[[#This Row],[SeriesNumValue]]+CurrentMtgRatesDataTable811[[#This Row],[Servicing Spread Non-Zero]]</f>
        <v>4.1198116856637625</v>
      </c>
    </row>
    <row r="328" spans="2:13" x14ac:dyDescent="0.2">
      <c r="B328" s="27" t="s">
        <v>1009</v>
      </c>
      <c r="C328" s="28">
        <v>3.24144029220705</v>
      </c>
      <c r="D328" s="26">
        <v>4.03</v>
      </c>
      <c r="E328" s="24">
        <f t="shared" si="20"/>
        <v>6</v>
      </c>
      <c r="F328" s="24">
        <f>VLOOKUP(E328,Q$5:R$11,2,FALSE)</f>
        <v>0.2</v>
      </c>
      <c r="G328" s="24">
        <f t="shared" si="21"/>
        <v>4</v>
      </c>
      <c r="H328" s="24">
        <f>IF(G328&gt;G327,H327+C328*F328,C328*F328)</f>
        <v>2.5535447732877601</v>
      </c>
      <c r="I328" s="24">
        <f t="shared" si="22"/>
        <v>0.8</v>
      </c>
      <c r="J328" s="24">
        <f t="shared" si="23"/>
        <v>0</v>
      </c>
      <c r="K328" s="24">
        <f>IF(CurrentMtgRatesDataTable811[[#This Row],[WA CC]]&lt;&gt;0,D327-CurrentMtgRatesDataTable811[[#This Row],[WA CC]],0)</f>
        <v>0</v>
      </c>
      <c r="L328" s="24">
        <f>IF(CurrentMtgRatesDataTable811[[#This Row],[Servicing Spread]]&lt;=0,L327,CurrentMtgRatesDataTable811[[#This Row],[Servicing Spread]])</f>
        <v>0.88343591832468249</v>
      </c>
      <c r="M328" s="24">
        <f>CurrentMtgRatesDataTable811[[#This Row],[SeriesNumValue]]+CurrentMtgRatesDataTable811[[#This Row],[Servicing Spread Non-Zero]]</f>
        <v>4.1248762105317329</v>
      </c>
    </row>
    <row r="329" spans="2:13" x14ac:dyDescent="0.2">
      <c r="B329" s="27" t="s">
        <v>1010</v>
      </c>
      <c r="C329" s="28">
        <v>3.15731967015545</v>
      </c>
      <c r="D329" s="26">
        <v>4.03</v>
      </c>
      <c r="E329" s="24">
        <f t="shared" si="20"/>
        <v>7</v>
      </c>
      <c r="F329" s="24">
        <f>VLOOKUP(E329,Q$5:R$11,2,FALSE)</f>
        <v>0.2</v>
      </c>
      <c r="G329" s="24">
        <f t="shared" si="21"/>
        <v>5</v>
      </c>
      <c r="H329" s="24">
        <f>IF(G329&gt;G328,H328+C329*F329,C329*F329)</f>
        <v>3.18500870731885</v>
      </c>
      <c r="I329" s="24">
        <f t="shared" si="22"/>
        <v>1</v>
      </c>
      <c r="J329" s="24">
        <f t="shared" si="23"/>
        <v>3.18500870731885</v>
      </c>
      <c r="K329" s="24">
        <f>IF(CurrentMtgRatesDataTable811[[#This Row],[WA CC]]&lt;&gt;0,D328-CurrentMtgRatesDataTable811[[#This Row],[WA CC]],0)</f>
        <v>0.84499129268115025</v>
      </c>
      <c r="L329" s="24">
        <f>IF(CurrentMtgRatesDataTable811[[#This Row],[Servicing Spread]]&lt;=0,L328,CurrentMtgRatesDataTable811[[#This Row],[Servicing Spread]])</f>
        <v>0.84499129268115025</v>
      </c>
      <c r="M329" s="24">
        <f>CurrentMtgRatesDataTable811[[#This Row],[SeriesNumValue]]+CurrentMtgRatesDataTable811[[#This Row],[Servicing Spread Non-Zero]]</f>
        <v>4.0023109628366003</v>
      </c>
    </row>
    <row r="330" spans="2:13" x14ac:dyDescent="0.2">
      <c r="B330" s="27" t="s">
        <v>1011</v>
      </c>
      <c r="C330" s="28">
        <v>3.1570833298388399</v>
      </c>
      <c r="D330" s="26">
        <v>3.915</v>
      </c>
      <c r="E330" s="24">
        <f t="shared" si="20"/>
        <v>1</v>
      </c>
      <c r="F330" s="24">
        <f>VLOOKUP(E330,Q$5:R$11,2,FALSE)</f>
        <v>0.2</v>
      </c>
      <c r="G330" s="24">
        <f t="shared" si="21"/>
        <v>1</v>
      </c>
      <c r="H330" s="24">
        <f>IF(G330&gt;G329,H329+C330*F330,C330*F330)</f>
        <v>0.63141666596776802</v>
      </c>
      <c r="I330" s="24">
        <f t="shared" si="22"/>
        <v>0.2</v>
      </c>
      <c r="J330" s="24">
        <f t="shared" si="23"/>
        <v>0</v>
      </c>
      <c r="K330" s="24">
        <f>IF(CurrentMtgRatesDataTable811[[#This Row],[WA CC]]&lt;&gt;0,D329-CurrentMtgRatesDataTable811[[#This Row],[WA CC]],0)</f>
        <v>0</v>
      </c>
      <c r="L330" s="24">
        <f>IF(CurrentMtgRatesDataTable811[[#This Row],[Servicing Spread]]&lt;=0,L329,CurrentMtgRatesDataTable811[[#This Row],[Servicing Spread]])</f>
        <v>0.84499129268115025</v>
      </c>
      <c r="M330" s="24">
        <f>CurrentMtgRatesDataTable811[[#This Row],[SeriesNumValue]]+CurrentMtgRatesDataTable811[[#This Row],[Servicing Spread Non-Zero]]</f>
        <v>4.0020746225199897</v>
      </c>
    </row>
    <row r="331" spans="2:13" x14ac:dyDescent="0.2">
      <c r="B331" s="27" t="s">
        <v>1012</v>
      </c>
      <c r="C331" s="28">
        <v>3.1324491901767901</v>
      </c>
      <c r="D331" s="26">
        <v>3.915</v>
      </c>
      <c r="E331" s="24">
        <f t="shared" si="20"/>
        <v>2</v>
      </c>
      <c r="F331" s="24">
        <f>VLOOKUP(E331,Q$5:R$11,2,FALSE)</f>
        <v>0.2</v>
      </c>
      <c r="G331" s="24">
        <f t="shared" si="21"/>
        <v>2</v>
      </c>
      <c r="H331" s="24">
        <f>IF(G331&gt;G330,H330+C331*F331,C331*F331)</f>
        <v>1.2579065040031261</v>
      </c>
      <c r="I331" s="24">
        <f t="shared" si="22"/>
        <v>0.4</v>
      </c>
      <c r="J331" s="24">
        <f t="shared" si="23"/>
        <v>0</v>
      </c>
      <c r="K331" s="24">
        <f>IF(CurrentMtgRatesDataTable811[[#This Row],[WA CC]]&lt;&gt;0,D330-CurrentMtgRatesDataTable811[[#This Row],[WA CC]],0)</f>
        <v>0</v>
      </c>
      <c r="L331" s="24">
        <f>IF(CurrentMtgRatesDataTable811[[#This Row],[Servicing Spread]]&lt;=0,L330,CurrentMtgRatesDataTable811[[#This Row],[Servicing Spread]])</f>
        <v>0.84499129268115025</v>
      </c>
      <c r="M331" s="24">
        <f>CurrentMtgRatesDataTable811[[#This Row],[SeriesNumValue]]+CurrentMtgRatesDataTable811[[#This Row],[Servicing Spread Non-Zero]]</f>
        <v>3.9774404828579404</v>
      </c>
    </row>
    <row r="332" spans="2:13" x14ac:dyDescent="0.2">
      <c r="B332" s="27" t="s">
        <v>1013</v>
      </c>
      <c r="C332" s="28">
        <v>3.1182772307865498</v>
      </c>
      <c r="D332" s="26">
        <v>3.915</v>
      </c>
      <c r="E332" s="24">
        <f t="shared" si="20"/>
        <v>5</v>
      </c>
      <c r="F332" s="24">
        <f>VLOOKUP(E332,Q$5:R$11,2,FALSE)</f>
        <v>0.2</v>
      </c>
      <c r="G332" s="24">
        <f t="shared" si="21"/>
        <v>3</v>
      </c>
      <c r="H332" s="24">
        <f>IF(G332&gt;G331,H331+C332*F332,C332*F332)</f>
        <v>1.8815619501604361</v>
      </c>
      <c r="I332" s="24">
        <f t="shared" si="22"/>
        <v>0.60000000000000009</v>
      </c>
      <c r="J332" s="24">
        <f t="shared" si="23"/>
        <v>0</v>
      </c>
      <c r="K332" s="24">
        <f>IF(CurrentMtgRatesDataTable811[[#This Row],[WA CC]]&lt;&gt;0,D331-CurrentMtgRatesDataTable811[[#This Row],[WA CC]],0)</f>
        <v>0</v>
      </c>
      <c r="L332" s="24">
        <f>IF(CurrentMtgRatesDataTable811[[#This Row],[Servicing Spread]]&lt;=0,L331,CurrentMtgRatesDataTable811[[#This Row],[Servicing Spread]])</f>
        <v>0.84499129268115025</v>
      </c>
      <c r="M332" s="24">
        <f>CurrentMtgRatesDataTable811[[#This Row],[SeriesNumValue]]+CurrentMtgRatesDataTable811[[#This Row],[Servicing Spread Non-Zero]]</f>
        <v>3.9632685234677001</v>
      </c>
    </row>
    <row r="333" spans="2:13" x14ac:dyDescent="0.2">
      <c r="B333" s="27" t="s">
        <v>1014</v>
      </c>
      <c r="C333" s="28">
        <v>3.0399029769438499</v>
      </c>
      <c r="D333" s="26">
        <v>3.915</v>
      </c>
      <c r="E333" s="24">
        <f t="shared" si="20"/>
        <v>6</v>
      </c>
      <c r="F333" s="24">
        <f>VLOOKUP(E333,Q$5:R$11,2,FALSE)</f>
        <v>0.2</v>
      </c>
      <c r="G333" s="24">
        <f t="shared" si="21"/>
        <v>4</v>
      </c>
      <c r="H333" s="24">
        <f>IF(G333&gt;G332,H332+C333*F333,C333*F333)</f>
        <v>2.489542545549206</v>
      </c>
      <c r="I333" s="24">
        <f t="shared" si="22"/>
        <v>0.8</v>
      </c>
      <c r="J333" s="24">
        <f t="shared" si="23"/>
        <v>0</v>
      </c>
      <c r="K333" s="24">
        <f>IF(CurrentMtgRatesDataTable811[[#This Row],[WA CC]]&lt;&gt;0,D332-CurrentMtgRatesDataTable811[[#This Row],[WA CC]],0)</f>
        <v>0</v>
      </c>
      <c r="L333" s="24">
        <f>IF(CurrentMtgRatesDataTable811[[#This Row],[Servicing Spread]]&lt;=0,L332,CurrentMtgRatesDataTable811[[#This Row],[Servicing Spread]])</f>
        <v>0.84499129268115025</v>
      </c>
      <c r="M333" s="24">
        <f>CurrentMtgRatesDataTable811[[#This Row],[SeriesNumValue]]+CurrentMtgRatesDataTable811[[#This Row],[Servicing Spread Non-Zero]]</f>
        <v>3.8848942696250002</v>
      </c>
    </row>
    <row r="334" spans="2:13" x14ac:dyDescent="0.2">
      <c r="B334" s="27" t="s">
        <v>1015</v>
      </c>
      <c r="C334" s="28">
        <v>3.0568438879801101</v>
      </c>
      <c r="D334" s="26">
        <v>3.915</v>
      </c>
      <c r="E334" s="24">
        <f t="shared" si="20"/>
        <v>7</v>
      </c>
      <c r="F334" s="24">
        <f>VLOOKUP(E334,Q$5:R$11,2,FALSE)</f>
        <v>0.2</v>
      </c>
      <c r="G334" s="24">
        <f t="shared" si="21"/>
        <v>5</v>
      </c>
      <c r="H334" s="24">
        <f>IF(G334&gt;G333,H333+C334*F334,C334*F334)</f>
        <v>3.1009113231452279</v>
      </c>
      <c r="I334" s="24">
        <f t="shared" si="22"/>
        <v>1</v>
      </c>
      <c r="J334" s="24">
        <f t="shared" si="23"/>
        <v>3.1009113231452279</v>
      </c>
      <c r="K334" s="24">
        <f>IF(CurrentMtgRatesDataTable811[[#This Row],[WA CC]]&lt;&gt;0,D333-CurrentMtgRatesDataTable811[[#This Row],[WA CC]],0)</f>
        <v>0.81408867685477215</v>
      </c>
      <c r="L334" s="24">
        <f>IF(CurrentMtgRatesDataTable811[[#This Row],[Servicing Spread]]&lt;=0,L333,CurrentMtgRatesDataTable811[[#This Row],[Servicing Spread]])</f>
        <v>0.81408867685477215</v>
      </c>
      <c r="M334" s="24">
        <f>CurrentMtgRatesDataTable811[[#This Row],[SeriesNumValue]]+CurrentMtgRatesDataTable811[[#This Row],[Servicing Spread Non-Zero]]</f>
        <v>3.8709325648348822</v>
      </c>
    </row>
    <row r="335" spans="2:13" x14ac:dyDescent="0.2">
      <c r="B335" s="27" t="s">
        <v>1016</v>
      </c>
      <c r="C335" s="28">
        <v>3.0219603652996301</v>
      </c>
      <c r="D335" s="26">
        <v>3.9049999999999998</v>
      </c>
      <c r="E335" s="24">
        <f t="shared" si="20"/>
        <v>1</v>
      </c>
      <c r="F335" s="24">
        <f>VLOOKUP(E335,Q$5:R$11,2,FALSE)</f>
        <v>0.2</v>
      </c>
      <c r="G335" s="24">
        <f t="shared" si="21"/>
        <v>1</v>
      </c>
      <c r="H335" s="24">
        <f>IF(G335&gt;G334,H334+C335*F335,C335*F335)</f>
        <v>0.60439207305992604</v>
      </c>
      <c r="I335" s="24">
        <f t="shared" si="22"/>
        <v>0.2</v>
      </c>
      <c r="J335" s="24">
        <f t="shared" si="23"/>
        <v>0</v>
      </c>
      <c r="K335" s="24">
        <f>IF(CurrentMtgRatesDataTable811[[#This Row],[WA CC]]&lt;&gt;0,D334-CurrentMtgRatesDataTable811[[#This Row],[WA CC]],0)</f>
        <v>0</v>
      </c>
      <c r="L335" s="24">
        <f>IF(CurrentMtgRatesDataTable811[[#This Row],[Servicing Spread]]&lt;=0,L334,CurrentMtgRatesDataTable811[[#This Row],[Servicing Spread]])</f>
        <v>0.81408867685477215</v>
      </c>
      <c r="M335" s="24">
        <f>CurrentMtgRatesDataTable811[[#This Row],[SeriesNumValue]]+CurrentMtgRatesDataTable811[[#This Row],[Servicing Spread Non-Zero]]</f>
        <v>3.8360490421544022</v>
      </c>
    </row>
    <row r="336" spans="2:13" x14ac:dyDescent="0.2">
      <c r="B336" s="27" t="s">
        <v>1017</v>
      </c>
      <c r="C336" s="28">
        <v>3.0669215754139501</v>
      </c>
      <c r="D336" s="26">
        <v>3.9049999999999998</v>
      </c>
      <c r="E336" s="24">
        <f t="shared" si="20"/>
        <v>2</v>
      </c>
      <c r="F336" s="24">
        <f>VLOOKUP(E336,Q$5:R$11,2,FALSE)</f>
        <v>0.2</v>
      </c>
      <c r="G336" s="24">
        <f t="shared" si="21"/>
        <v>2</v>
      </c>
      <c r="H336" s="24">
        <f>IF(G336&gt;G335,H335+C336*F336,C336*F336)</f>
        <v>1.2177763881427159</v>
      </c>
      <c r="I336" s="24">
        <f t="shared" si="22"/>
        <v>0.4</v>
      </c>
      <c r="J336" s="24">
        <f t="shared" si="23"/>
        <v>0</v>
      </c>
      <c r="K336" s="24">
        <f>IF(CurrentMtgRatesDataTable811[[#This Row],[WA CC]]&lt;&gt;0,D335-CurrentMtgRatesDataTable811[[#This Row],[WA CC]],0)</f>
        <v>0</v>
      </c>
      <c r="L336" s="24">
        <f>IF(CurrentMtgRatesDataTable811[[#This Row],[Servicing Spread]]&lt;=0,L335,CurrentMtgRatesDataTable811[[#This Row],[Servicing Spread]])</f>
        <v>0.81408867685477215</v>
      </c>
      <c r="M336" s="24">
        <f>CurrentMtgRatesDataTable811[[#This Row],[SeriesNumValue]]+CurrentMtgRatesDataTable811[[#This Row],[Servicing Spread Non-Zero]]</f>
        <v>3.8810102522687222</v>
      </c>
    </row>
    <row r="337" spans="2:13" x14ac:dyDescent="0.2">
      <c r="B337" s="27" t="s">
        <v>1018</v>
      </c>
      <c r="C337" s="28">
        <v>3.0449639552276002</v>
      </c>
      <c r="D337" s="26">
        <v>3.9049999999999998</v>
      </c>
      <c r="E337" s="24">
        <f t="shared" si="20"/>
        <v>5</v>
      </c>
      <c r="F337" s="24">
        <f>VLOOKUP(E337,Q$5:R$11,2,FALSE)</f>
        <v>0.2</v>
      </c>
      <c r="G337" s="24">
        <f t="shared" si="21"/>
        <v>3</v>
      </c>
      <c r="H337" s="24">
        <f>IF(G337&gt;G336,H336+C337*F337,C337*F337)</f>
        <v>1.8267691791882359</v>
      </c>
      <c r="I337" s="24">
        <f t="shared" si="22"/>
        <v>0.60000000000000009</v>
      </c>
      <c r="J337" s="24">
        <f t="shared" si="23"/>
        <v>0</v>
      </c>
      <c r="K337" s="24">
        <f>IF(CurrentMtgRatesDataTable811[[#This Row],[WA CC]]&lt;&gt;0,D336-CurrentMtgRatesDataTable811[[#This Row],[WA CC]],0)</f>
        <v>0</v>
      </c>
      <c r="L337" s="24">
        <f>IF(CurrentMtgRatesDataTable811[[#This Row],[Servicing Spread]]&lt;=0,L336,CurrentMtgRatesDataTable811[[#This Row],[Servicing Spread]])</f>
        <v>0.81408867685477215</v>
      </c>
      <c r="M337" s="24">
        <f>CurrentMtgRatesDataTable811[[#This Row],[SeriesNumValue]]+CurrentMtgRatesDataTable811[[#This Row],[Servicing Spread Non-Zero]]</f>
        <v>3.8590526320823724</v>
      </c>
    </row>
    <row r="338" spans="2:13" x14ac:dyDescent="0.2">
      <c r="B338" s="27" t="s">
        <v>1019</v>
      </c>
      <c r="C338" s="28">
        <v>3.1649158455545399</v>
      </c>
      <c r="D338" s="26">
        <v>3.9049999999999998</v>
      </c>
      <c r="E338" s="24">
        <f t="shared" si="20"/>
        <v>6</v>
      </c>
      <c r="F338" s="24">
        <f>VLOOKUP(E338,Q$5:R$11,2,FALSE)</f>
        <v>0.2</v>
      </c>
      <c r="G338" s="24">
        <f t="shared" si="21"/>
        <v>4</v>
      </c>
      <c r="H338" s="24">
        <f>IF(G338&gt;G337,H337+C338*F338,C338*F338)</f>
        <v>2.4597523482991441</v>
      </c>
      <c r="I338" s="24">
        <f t="shared" si="22"/>
        <v>0.8</v>
      </c>
      <c r="J338" s="24">
        <f t="shared" si="23"/>
        <v>0</v>
      </c>
      <c r="K338" s="24">
        <f>IF(CurrentMtgRatesDataTable811[[#This Row],[WA CC]]&lt;&gt;0,D337-CurrentMtgRatesDataTable811[[#This Row],[WA CC]],0)</f>
        <v>0</v>
      </c>
      <c r="L338" s="24">
        <f>IF(CurrentMtgRatesDataTable811[[#This Row],[Servicing Spread]]&lt;=0,L337,CurrentMtgRatesDataTable811[[#This Row],[Servicing Spread]])</f>
        <v>0.81408867685477215</v>
      </c>
      <c r="M338" s="24">
        <f>CurrentMtgRatesDataTable811[[#This Row],[SeriesNumValue]]+CurrentMtgRatesDataTable811[[#This Row],[Servicing Spread Non-Zero]]</f>
        <v>3.979004522409312</v>
      </c>
    </row>
    <row r="339" spans="2:13" x14ac:dyDescent="0.2">
      <c r="B339" s="27" t="s">
        <v>1020</v>
      </c>
      <c r="C339" s="28">
        <v>3.10879854950432</v>
      </c>
      <c r="D339" s="26">
        <v>3.9049999999999998</v>
      </c>
      <c r="E339" s="24">
        <f t="shared" si="20"/>
        <v>7</v>
      </c>
      <c r="F339" s="24">
        <f>VLOOKUP(E339,Q$5:R$11,2,FALSE)</f>
        <v>0.2</v>
      </c>
      <c r="G339" s="24">
        <f t="shared" si="21"/>
        <v>5</v>
      </c>
      <c r="H339" s="24">
        <f>IF(G339&gt;G338,H338+C339*F339,C339*F339)</f>
        <v>3.0815120582000084</v>
      </c>
      <c r="I339" s="24">
        <f t="shared" si="22"/>
        <v>1</v>
      </c>
      <c r="J339" s="24">
        <f t="shared" si="23"/>
        <v>3.0815120582000084</v>
      </c>
      <c r="K339" s="24">
        <f>IF(CurrentMtgRatesDataTable811[[#This Row],[WA CC]]&lt;&gt;0,D338-CurrentMtgRatesDataTable811[[#This Row],[WA CC]],0)</f>
        <v>0.82348794179999141</v>
      </c>
      <c r="L339" s="24">
        <f>IF(CurrentMtgRatesDataTable811[[#This Row],[Servicing Spread]]&lt;=0,L338,CurrentMtgRatesDataTable811[[#This Row],[Servicing Spread]])</f>
        <v>0.82348794179999141</v>
      </c>
      <c r="M339" s="24">
        <f>CurrentMtgRatesDataTable811[[#This Row],[SeriesNumValue]]+CurrentMtgRatesDataTable811[[#This Row],[Servicing Spread Non-Zero]]</f>
        <v>3.9322864913043114</v>
      </c>
    </row>
    <row r="340" spans="2:13" x14ac:dyDescent="0.2">
      <c r="B340" s="27" t="s">
        <v>1021</v>
      </c>
      <c r="C340" s="28">
        <v>3.0539631363774702</v>
      </c>
      <c r="D340" s="26">
        <v>3.8049999999999997</v>
      </c>
      <c r="E340" s="24">
        <f t="shared" si="20"/>
        <v>1</v>
      </c>
      <c r="F340" s="24">
        <f>VLOOKUP(E340,Q$5:R$11,2,FALSE)</f>
        <v>0.2</v>
      </c>
      <c r="G340" s="24">
        <f t="shared" si="21"/>
        <v>1</v>
      </c>
      <c r="H340" s="24">
        <f>IF(G340&gt;G339,H339+C340*F340,C340*F340)</f>
        <v>0.6107926272754941</v>
      </c>
      <c r="I340" s="24">
        <f t="shared" si="22"/>
        <v>0.2</v>
      </c>
      <c r="J340" s="24">
        <f t="shared" si="23"/>
        <v>0</v>
      </c>
      <c r="K340" s="24">
        <f>IF(CurrentMtgRatesDataTable811[[#This Row],[WA CC]]&lt;&gt;0,D339-CurrentMtgRatesDataTable811[[#This Row],[WA CC]],0)</f>
        <v>0</v>
      </c>
      <c r="L340" s="24">
        <f>IF(CurrentMtgRatesDataTable811[[#This Row],[Servicing Spread]]&lt;=0,L339,CurrentMtgRatesDataTable811[[#This Row],[Servicing Spread]])</f>
        <v>0.82348794179999141</v>
      </c>
      <c r="M340" s="24">
        <f>CurrentMtgRatesDataTable811[[#This Row],[SeriesNumValue]]+CurrentMtgRatesDataTable811[[#This Row],[Servicing Spread Non-Zero]]</f>
        <v>3.8774510781774616</v>
      </c>
    </row>
    <row r="341" spans="2:13" x14ac:dyDescent="0.2">
      <c r="B341" s="27" t="s">
        <v>1022</v>
      </c>
      <c r="C341" s="28">
        <v>2.93072207475555</v>
      </c>
      <c r="D341" s="26">
        <v>3.8049999999999997</v>
      </c>
      <c r="E341" s="24">
        <f t="shared" si="20"/>
        <v>2</v>
      </c>
      <c r="F341" s="24">
        <f>VLOOKUP(E341,Q$5:R$11,2,FALSE)</f>
        <v>0.2</v>
      </c>
      <c r="G341" s="24">
        <f t="shared" si="21"/>
        <v>2</v>
      </c>
      <c r="H341" s="24">
        <f>IF(G341&gt;G340,H340+C341*F341,C341*F341)</f>
        <v>1.1969370422266041</v>
      </c>
      <c r="I341" s="24">
        <f t="shared" si="22"/>
        <v>0.4</v>
      </c>
      <c r="J341" s="24">
        <f t="shared" si="23"/>
        <v>0</v>
      </c>
      <c r="K341" s="24">
        <f>IF(CurrentMtgRatesDataTable811[[#This Row],[WA CC]]&lt;&gt;0,D340-CurrentMtgRatesDataTable811[[#This Row],[WA CC]],0)</f>
        <v>0</v>
      </c>
      <c r="L341" s="24">
        <f>IF(CurrentMtgRatesDataTable811[[#This Row],[Servicing Spread]]&lt;=0,L340,CurrentMtgRatesDataTable811[[#This Row],[Servicing Spread]])</f>
        <v>0.82348794179999141</v>
      </c>
      <c r="M341" s="24">
        <f>CurrentMtgRatesDataTable811[[#This Row],[SeriesNumValue]]+CurrentMtgRatesDataTable811[[#This Row],[Servicing Spread Non-Zero]]</f>
        <v>3.7542100165555414</v>
      </c>
    </row>
    <row r="342" spans="2:13" x14ac:dyDescent="0.2">
      <c r="B342" s="27" t="s">
        <v>1023</v>
      </c>
      <c r="C342" s="28">
        <v>2.9115161148392898</v>
      </c>
      <c r="D342" s="26">
        <v>3.8049999999999997</v>
      </c>
      <c r="E342" s="24">
        <f t="shared" si="20"/>
        <v>5</v>
      </c>
      <c r="F342" s="24">
        <f>VLOOKUP(E342,Q$5:R$11,2,FALSE)</f>
        <v>0.2</v>
      </c>
      <c r="G342" s="24">
        <f t="shared" si="21"/>
        <v>3</v>
      </c>
      <c r="H342" s="24">
        <f>IF(G342&gt;G341,H341+C342*F342,C342*F342)</f>
        <v>1.7792402651944621</v>
      </c>
      <c r="I342" s="24">
        <f t="shared" si="22"/>
        <v>0.60000000000000009</v>
      </c>
      <c r="J342" s="24">
        <f t="shared" si="23"/>
        <v>0</v>
      </c>
      <c r="K342" s="24">
        <f>IF(CurrentMtgRatesDataTable811[[#This Row],[WA CC]]&lt;&gt;0,D341-CurrentMtgRatesDataTable811[[#This Row],[WA CC]],0)</f>
        <v>0</v>
      </c>
      <c r="L342" s="24">
        <f>IF(CurrentMtgRatesDataTable811[[#This Row],[Servicing Spread]]&lt;=0,L341,CurrentMtgRatesDataTable811[[#This Row],[Servicing Spread]])</f>
        <v>0.82348794179999141</v>
      </c>
      <c r="M342" s="24">
        <f>CurrentMtgRatesDataTable811[[#This Row],[SeriesNumValue]]+CurrentMtgRatesDataTable811[[#This Row],[Servicing Spread Non-Zero]]</f>
        <v>3.7350040566392813</v>
      </c>
    </row>
    <row r="343" spans="2:13" x14ac:dyDescent="0.2">
      <c r="B343" s="27" t="s">
        <v>1024</v>
      </c>
      <c r="C343" s="28">
        <v>2.9109852395687899</v>
      </c>
      <c r="D343" s="26">
        <v>3.8049999999999997</v>
      </c>
      <c r="E343" s="24">
        <f t="shared" si="20"/>
        <v>6</v>
      </c>
      <c r="F343" s="24">
        <f>VLOOKUP(E343,Q$5:R$11,2,FALSE)</f>
        <v>0.2</v>
      </c>
      <c r="G343" s="24">
        <f t="shared" si="21"/>
        <v>4</v>
      </c>
      <c r="H343" s="24">
        <f>IF(G343&gt;G342,H342+C343*F343,C343*F343)</f>
        <v>2.3614373131082202</v>
      </c>
      <c r="I343" s="24">
        <f t="shared" si="22"/>
        <v>0.8</v>
      </c>
      <c r="J343" s="24">
        <f t="shared" si="23"/>
        <v>0</v>
      </c>
      <c r="K343" s="24">
        <f>IF(CurrentMtgRatesDataTable811[[#This Row],[WA CC]]&lt;&gt;0,D342-CurrentMtgRatesDataTable811[[#This Row],[WA CC]],0)</f>
        <v>0</v>
      </c>
      <c r="L343" s="24">
        <f>IF(CurrentMtgRatesDataTable811[[#This Row],[Servicing Spread]]&lt;=0,L342,CurrentMtgRatesDataTable811[[#This Row],[Servicing Spread]])</f>
        <v>0.82348794179999141</v>
      </c>
      <c r="M343" s="24">
        <f>CurrentMtgRatesDataTable811[[#This Row],[SeriesNumValue]]+CurrentMtgRatesDataTable811[[#This Row],[Servicing Spread Non-Zero]]</f>
        <v>3.7344731813687813</v>
      </c>
    </row>
    <row r="344" spans="2:13" x14ac:dyDescent="0.2">
      <c r="B344" s="27" t="s">
        <v>1025</v>
      </c>
      <c r="C344" s="28">
        <v>2.9307831448374801</v>
      </c>
      <c r="D344" s="26">
        <v>3.8049999999999997</v>
      </c>
      <c r="E344" s="24">
        <f t="shared" si="20"/>
        <v>7</v>
      </c>
      <c r="F344" s="24">
        <f>VLOOKUP(E344,Q$5:R$11,2,FALSE)</f>
        <v>0.2</v>
      </c>
      <c r="G344" s="24">
        <f t="shared" si="21"/>
        <v>5</v>
      </c>
      <c r="H344" s="24">
        <f>IF(G344&gt;G343,H343+C344*F344,C344*F344)</f>
        <v>2.9475939420757165</v>
      </c>
      <c r="I344" s="24">
        <f t="shared" si="22"/>
        <v>1</v>
      </c>
      <c r="J344" s="24">
        <f t="shared" si="23"/>
        <v>2.9475939420757165</v>
      </c>
      <c r="K344" s="24">
        <f>IF(CurrentMtgRatesDataTable811[[#This Row],[WA CC]]&lt;&gt;0,D343-CurrentMtgRatesDataTable811[[#This Row],[WA CC]],0)</f>
        <v>0.85740605792428326</v>
      </c>
      <c r="L344" s="24">
        <f>IF(CurrentMtgRatesDataTable811[[#This Row],[Servicing Spread]]&lt;=0,L343,CurrentMtgRatesDataTable811[[#This Row],[Servicing Spread]])</f>
        <v>0.85740605792428326</v>
      </c>
      <c r="M344" s="24">
        <f>CurrentMtgRatesDataTable811[[#This Row],[SeriesNumValue]]+CurrentMtgRatesDataTable811[[#This Row],[Servicing Spread Non-Zero]]</f>
        <v>3.7881892027617634</v>
      </c>
    </row>
    <row r="345" spans="2:13" x14ac:dyDescent="0.2">
      <c r="B345" s="27" t="s">
        <v>1026</v>
      </c>
      <c r="C345" s="28">
        <v>2.9674500244903301</v>
      </c>
      <c r="D345" s="26">
        <v>3.85</v>
      </c>
      <c r="E345" s="24">
        <f t="shared" si="20"/>
        <v>1</v>
      </c>
      <c r="F345" s="24">
        <f>VLOOKUP(E345,Q$5:R$11,2,FALSE)</f>
        <v>0.2</v>
      </c>
      <c r="G345" s="24">
        <f t="shared" si="21"/>
        <v>1</v>
      </c>
      <c r="H345" s="24">
        <f>IF(G345&gt;G344,H344+C345*F345,C345*F345)</f>
        <v>0.59349000489806603</v>
      </c>
      <c r="I345" s="24">
        <f t="shared" si="22"/>
        <v>0.2</v>
      </c>
      <c r="J345" s="24">
        <f t="shared" si="23"/>
        <v>0</v>
      </c>
      <c r="K345" s="24">
        <f>IF(CurrentMtgRatesDataTable811[[#This Row],[WA CC]]&lt;&gt;0,D344-CurrentMtgRatesDataTable811[[#This Row],[WA CC]],0)</f>
        <v>0</v>
      </c>
      <c r="L345" s="24">
        <f>IF(CurrentMtgRatesDataTable811[[#This Row],[Servicing Spread]]&lt;=0,L344,CurrentMtgRatesDataTable811[[#This Row],[Servicing Spread]])</f>
        <v>0.85740605792428326</v>
      </c>
      <c r="M345" s="24">
        <f>CurrentMtgRatesDataTable811[[#This Row],[SeriesNumValue]]+CurrentMtgRatesDataTable811[[#This Row],[Servicing Spread Non-Zero]]</f>
        <v>3.8248560824146134</v>
      </c>
    </row>
    <row r="346" spans="2:13" x14ac:dyDescent="0.2">
      <c r="B346" s="27" t="s">
        <v>1027</v>
      </c>
      <c r="C346" s="28">
        <v>2.93226575052006</v>
      </c>
      <c r="D346" s="26">
        <v>3.85</v>
      </c>
      <c r="E346" s="24">
        <f t="shared" si="20"/>
        <v>2</v>
      </c>
      <c r="F346" s="24">
        <f>VLOOKUP(E346,Q$5:R$11,2,FALSE)</f>
        <v>0.2</v>
      </c>
      <c r="G346" s="24">
        <f t="shared" si="21"/>
        <v>2</v>
      </c>
      <c r="H346" s="24">
        <f>IF(G346&gt;G345,H345+C346*F346,C346*F346)</f>
        <v>1.179943155002078</v>
      </c>
      <c r="I346" s="24">
        <f t="shared" si="22"/>
        <v>0.4</v>
      </c>
      <c r="J346" s="24">
        <f t="shared" si="23"/>
        <v>0</v>
      </c>
      <c r="K346" s="24">
        <f>IF(CurrentMtgRatesDataTable811[[#This Row],[WA CC]]&lt;&gt;0,D345-CurrentMtgRatesDataTable811[[#This Row],[WA CC]],0)</f>
        <v>0</v>
      </c>
      <c r="L346" s="24">
        <f>IF(CurrentMtgRatesDataTable811[[#This Row],[Servicing Spread]]&lt;=0,L345,CurrentMtgRatesDataTable811[[#This Row],[Servicing Spread]])</f>
        <v>0.85740605792428326</v>
      </c>
      <c r="M346" s="24">
        <f>CurrentMtgRatesDataTable811[[#This Row],[SeriesNumValue]]+CurrentMtgRatesDataTable811[[#This Row],[Servicing Spread Non-Zero]]</f>
        <v>3.7896718084443433</v>
      </c>
    </row>
    <row r="347" spans="2:13" x14ac:dyDescent="0.2">
      <c r="B347" s="27" t="s">
        <v>1028</v>
      </c>
      <c r="C347" s="28">
        <v>2.91808321555345</v>
      </c>
      <c r="D347" s="26">
        <v>3.85</v>
      </c>
      <c r="E347" s="24">
        <f t="shared" si="20"/>
        <v>5</v>
      </c>
      <c r="F347" s="24">
        <f>VLOOKUP(E347,Q$5:R$11,2,FALSE)</f>
        <v>0.2</v>
      </c>
      <c r="G347" s="24">
        <f t="shared" si="21"/>
        <v>3</v>
      </c>
      <c r="H347" s="24">
        <f>IF(G347&gt;G346,H346+C347*F347,C347*F347)</f>
        <v>1.7635597981127682</v>
      </c>
      <c r="I347" s="24">
        <f t="shared" si="22"/>
        <v>0.60000000000000009</v>
      </c>
      <c r="J347" s="24">
        <f t="shared" si="23"/>
        <v>0</v>
      </c>
      <c r="K347" s="24">
        <f>IF(CurrentMtgRatesDataTable811[[#This Row],[WA CC]]&lt;&gt;0,D346-CurrentMtgRatesDataTable811[[#This Row],[WA CC]],0)</f>
        <v>0</v>
      </c>
      <c r="L347" s="24">
        <f>IF(CurrentMtgRatesDataTable811[[#This Row],[Servicing Spread]]&lt;=0,L346,CurrentMtgRatesDataTable811[[#This Row],[Servicing Spread]])</f>
        <v>0.85740605792428326</v>
      </c>
      <c r="M347" s="24">
        <f>CurrentMtgRatesDataTable811[[#This Row],[SeriesNumValue]]+CurrentMtgRatesDataTable811[[#This Row],[Servicing Spread Non-Zero]]</f>
        <v>3.7754892734777332</v>
      </c>
    </row>
    <row r="348" spans="2:13" x14ac:dyDescent="0.2">
      <c r="B348" s="27" t="s">
        <v>1029</v>
      </c>
      <c r="C348" s="28">
        <v>2.9570995386029302</v>
      </c>
      <c r="D348" s="26">
        <v>3.85</v>
      </c>
      <c r="E348" s="24">
        <f t="shared" si="20"/>
        <v>6</v>
      </c>
      <c r="F348" s="24">
        <f>VLOOKUP(E348,Q$5:R$11,2,FALSE)</f>
        <v>0.2</v>
      </c>
      <c r="G348" s="24">
        <f t="shared" si="21"/>
        <v>4</v>
      </c>
      <c r="H348" s="24">
        <f>IF(G348&gt;G347,H347+C348*F348,C348*F348)</f>
        <v>2.3549797058333541</v>
      </c>
      <c r="I348" s="24">
        <f t="shared" si="22"/>
        <v>0.8</v>
      </c>
      <c r="J348" s="24">
        <f t="shared" si="23"/>
        <v>0</v>
      </c>
      <c r="K348" s="24">
        <f>IF(CurrentMtgRatesDataTable811[[#This Row],[WA CC]]&lt;&gt;0,D347-CurrentMtgRatesDataTable811[[#This Row],[WA CC]],0)</f>
        <v>0</v>
      </c>
      <c r="L348" s="24">
        <f>IF(CurrentMtgRatesDataTable811[[#This Row],[Servicing Spread]]&lt;=0,L347,CurrentMtgRatesDataTable811[[#This Row],[Servicing Spread]])</f>
        <v>0.85740605792428326</v>
      </c>
      <c r="M348" s="24">
        <f>CurrentMtgRatesDataTable811[[#This Row],[SeriesNumValue]]+CurrentMtgRatesDataTable811[[#This Row],[Servicing Spread Non-Zero]]</f>
        <v>3.8145055965272134</v>
      </c>
    </row>
    <row r="349" spans="2:13" x14ac:dyDescent="0.2">
      <c r="B349" s="27" t="s">
        <v>1030</v>
      </c>
      <c r="C349" s="28">
        <v>2.9304565344863098</v>
      </c>
      <c r="D349" s="26">
        <v>3.85</v>
      </c>
      <c r="E349" s="24">
        <f t="shared" si="20"/>
        <v>7</v>
      </c>
      <c r="F349" s="24">
        <f>VLOOKUP(E349,Q$5:R$11,2,FALSE)</f>
        <v>0.2</v>
      </c>
      <c r="G349" s="24">
        <f t="shared" si="21"/>
        <v>5</v>
      </c>
      <c r="H349" s="24">
        <f>IF(G349&gt;G348,H348+C349*F349,C349*F349)</f>
        <v>2.9410710127306161</v>
      </c>
      <c r="I349" s="24">
        <f t="shared" si="22"/>
        <v>1</v>
      </c>
      <c r="J349" s="24">
        <f t="shared" si="23"/>
        <v>2.9410710127306161</v>
      </c>
      <c r="K349" s="24">
        <f>IF(CurrentMtgRatesDataTable811[[#This Row],[WA CC]]&lt;&gt;0,D348-CurrentMtgRatesDataTable811[[#This Row],[WA CC]],0)</f>
        <v>0.90892898726938398</v>
      </c>
      <c r="L349" s="24">
        <f>IF(CurrentMtgRatesDataTable811[[#This Row],[Servicing Spread]]&lt;=0,L348,CurrentMtgRatesDataTable811[[#This Row],[Servicing Spread]])</f>
        <v>0.90892898726938398</v>
      </c>
      <c r="M349" s="24">
        <f>CurrentMtgRatesDataTable811[[#This Row],[SeriesNumValue]]+CurrentMtgRatesDataTable811[[#This Row],[Servicing Spread Non-Zero]]</f>
        <v>3.8393855217556938</v>
      </c>
    </row>
    <row r="350" spans="2:13" x14ac:dyDescent="0.2">
      <c r="B350" s="27" t="s">
        <v>1031</v>
      </c>
      <c r="C350" s="28">
        <v>2.8874390264499499</v>
      </c>
      <c r="D350" s="26">
        <v>3.8049999999999997</v>
      </c>
      <c r="E350" s="24">
        <f t="shared" si="20"/>
        <v>1</v>
      </c>
      <c r="F350" s="24">
        <f>VLOOKUP(E350,Q$5:R$11,2,FALSE)</f>
        <v>0.2</v>
      </c>
      <c r="G350" s="24">
        <f t="shared" si="21"/>
        <v>1</v>
      </c>
      <c r="H350" s="24">
        <f>IF(G350&gt;G349,H349+C350*F350,C350*F350)</f>
        <v>0.57748780528999</v>
      </c>
      <c r="I350" s="24">
        <f t="shared" si="22"/>
        <v>0.2</v>
      </c>
      <c r="J350" s="24">
        <f t="shared" si="23"/>
        <v>0</v>
      </c>
      <c r="K350" s="24">
        <f>IF(CurrentMtgRatesDataTable811[[#This Row],[WA CC]]&lt;&gt;0,D349-CurrentMtgRatesDataTable811[[#This Row],[WA CC]],0)</f>
        <v>0</v>
      </c>
      <c r="L350" s="24">
        <f>IF(CurrentMtgRatesDataTable811[[#This Row],[Servicing Spread]]&lt;=0,L349,CurrentMtgRatesDataTable811[[#This Row],[Servicing Spread]])</f>
        <v>0.90892898726938398</v>
      </c>
      <c r="M350" s="24">
        <f>CurrentMtgRatesDataTable811[[#This Row],[SeriesNumValue]]+CurrentMtgRatesDataTable811[[#This Row],[Servicing Spread Non-Zero]]</f>
        <v>3.7963680137193339</v>
      </c>
    </row>
    <row r="351" spans="2:13" x14ac:dyDescent="0.2">
      <c r="B351" s="27" t="s">
        <v>1032</v>
      </c>
      <c r="C351" s="28">
        <v>2.90335136163185</v>
      </c>
      <c r="D351" s="26">
        <v>3.8049999999999997</v>
      </c>
      <c r="E351" s="24">
        <f t="shared" si="20"/>
        <v>2</v>
      </c>
      <c r="F351" s="24">
        <f>VLOOKUP(E351,Q$5:R$11,2,FALSE)</f>
        <v>0.2</v>
      </c>
      <c r="G351" s="24">
        <f t="shared" si="21"/>
        <v>2</v>
      </c>
      <c r="H351" s="24">
        <f>IF(G351&gt;G350,H350+C351*F351,C351*F351)</f>
        <v>1.15815807761636</v>
      </c>
      <c r="I351" s="24">
        <f t="shared" si="22"/>
        <v>0.4</v>
      </c>
      <c r="J351" s="24">
        <f t="shared" si="23"/>
        <v>0</v>
      </c>
      <c r="K351" s="24">
        <f>IF(CurrentMtgRatesDataTable811[[#This Row],[WA CC]]&lt;&gt;0,D350-CurrentMtgRatesDataTable811[[#This Row],[WA CC]],0)</f>
        <v>0</v>
      </c>
      <c r="L351" s="24">
        <f>IF(CurrentMtgRatesDataTable811[[#This Row],[Servicing Spread]]&lt;=0,L350,CurrentMtgRatesDataTable811[[#This Row],[Servicing Spread]])</f>
        <v>0.90892898726938398</v>
      </c>
      <c r="M351" s="24">
        <f>CurrentMtgRatesDataTable811[[#This Row],[SeriesNumValue]]+CurrentMtgRatesDataTable811[[#This Row],[Servicing Spread Non-Zero]]</f>
        <v>3.812280348901234</v>
      </c>
    </row>
    <row r="352" spans="2:13" x14ac:dyDescent="0.2">
      <c r="B352" s="27" t="s">
        <v>1033</v>
      </c>
      <c r="C352" s="28">
        <v>2.8708141508909</v>
      </c>
      <c r="D352" s="26">
        <v>3.8049999999999997</v>
      </c>
      <c r="E352" s="24">
        <f t="shared" si="20"/>
        <v>5</v>
      </c>
      <c r="F352" s="24">
        <f>VLOOKUP(E352,Q$5:R$11,2,FALSE)</f>
        <v>0.2</v>
      </c>
      <c r="G352" s="24">
        <f t="shared" si="21"/>
        <v>3</v>
      </c>
      <c r="H352" s="24">
        <f>IF(G352&gt;G351,H351+C352*F352,C352*F352)</f>
        <v>1.7323209077945401</v>
      </c>
      <c r="I352" s="24">
        <f t="shared" si="22"/>
        <v>0.60000000000000009</v>
      </c>
      <c r="J352" s="24">
        <f t="shared" si="23"/>
        <v>0</v>
      </c>
      <c r="K352" s="24">
        <f>IF(CurrentMtgRatesDataTable811[[#This Row],[WA CC]]&lt;&gt;0,D351-CurrentMtgRatesDataTable811[[#This Row],[WA CC]],0)</f>
        <v>0</v>
      </c>
      <c r="L352" s="24">
        <f>IF(CurrentMtgRatesDataTable811[[#This Row],[Servicing Spread]]&lt;=0,L351,CurrentMtgRatesDataTable811[[#This Row],[Servicing Spread]])</f>
        <v>0.90892898726938398</v>
      </c>
      <c r="M352" s="24">
        <f>CurrentMtgRatesDataTable811[[#This Row],[SeriesNumValue]]+CurrentMtgRatesDataTable811[[#This Row],[Servicing Spread Non-Zero]]</f>
        <v>3.779743138160284</v>
      </c>
    </row>
    <row r="353" spans="2:13" x14ac:dyDescent="0.2">
      <c r="B353" s="27" t="s">
        <v>1034</v>
      </c>
      <c r="C353" s="28">
        <v>2.9009701197976399</v>
      </c>
      <c r="D353" s="26">
        <v>3.8049999999999997</v>
      </c>
      <c r="E353" s="24">
        <f t="shared" si="20"/>
        <v>6</v>
      </c>
      <c r="F353" s="24">
        <f>VLOOKUP(E353,Q$5:R$11,2,FALSE)</f>
        <v>0.2</v>
      </c>
      <c r="G353" s="24">
        <f t="shared" si="21"/>
        <v>4</v>
      </c>
      <c r="H353" s="24">
        <f>IF(G353&gt;G352,H352+C353*F353,C353*F353)</f>
        <v>2.3125149317540679</v>
      </c>
      <c r="I353" s="24">
        <f t="shared" si="22"/>
        <v>0.8</v>
      </c>
      <c r="J353" s="24">
        <f t="shared" si="23"/>
        <v>0</v>
      </c>
      <c r="K353" s="24">
        <f>IF(CurrentMtgRatesDataTable811[[#This Row],[WA CC]]&lt;&gt;0,D352-CurrentMtgRatesDataTable811[[#This Row],[WA CC]],0)</f>
        <v>0</v>
      </c>
      <c r="L353" s="24">
        <f>IF(CurrentMtgRatesDataTable811[[#This Row],[Servicing Spread]]&lt;=0,L352,CurrentMtgRatesDataTable811[[#This Row],[Servicing Spread]])</f>
        <v>0.90892898726938398</v>
      </c>
      <c r="M353" s="24">
        <f>CurrentMtgRatesDataTable811[[#This Row],[SeriesNumValue]]+CurrentMtgRatesDataTable811[[#This Row],[Servicing Spread Non-Zero]]</f>
        <v>3.8098991070670238</v>
      </c>
    </row>
    <row r="354" spans="2:13" x14ac:dyDescent="0.2">
      <c r="B354" s="27" t="s">
        <v>1035</v>
      </c>
      <c r="C354" s="28">
        <v>2.9224114614009999</v>
      </c>
      <c r="D354" s="26">
        <v>3.8049999999999997</v>
      </c>
      <c r="E354" s="24">
        <f t="shared" si="20"/>
        <v>7</v>
      </c>
      <c r="F354" s="24">
        <f>VLOOKUP(E354,Q$5:R$11,2,FALSE)</f>
        <v>0.2</v>
      </c>
      <c r="G354" s="24">
        <f t="shared" si="21"/>
        <v>5</v>
      </c>
      <c r="H354" s="24">
        <f>IF(G354&gt;G353,H353+C354*F354,C354*F354)</f>
        <v>2.8969972240342678</v>
      </c>
      <c r="I354" s="24">
        <f t="shared" si="22"/>
        <v>1</v>
      </c>
      <c r="J354" s="24">
        <f t="shared" si="23"/>
        <v>2.8969972240342678</v>
      </c>
      <c r="K354" s="24">
        <f>IF(CurrentMtgRatesDataTable811[[#This Row],[WA CC]]&lt;&gt;0,D353-CurrentMtgRatesDataTable811[[#This Row],[WA CC]],0)</f>
        <v>0.90800277596573187</v>
      </c>
      <c r="L354" s="24">
        <f>IF(CurrentMtgRatesDataTable811[[#This Row],[Servicing Spread]]&lt;=0,L353,CurrentMtgRatesDataTable811[[#This Row],[Servicing Spread]])</f>
        <v>0.90800277596573187</v>
      </c>
      <c r="M354" s="24">
        <f>CurrentMtgRatesDataTable811[[#This Row],[SeriesNumValue]]+CurrentMtgRatesDataTable811[[#This Row],[Servicing Spread Non-Zero]]</f>
        <v>3.8304142373667318</v>
      </c>
    </row>
    <row r="355" spans="2:13" x14ac:dyDescent="0.2">
      <c r="B355" s="27" t="s">
        <v>1036</v>
      </c>
      <c r="C355" s="28">
        <v>2.8924009736045302</v>
      </c>
      <c r="D355" s="26">
        <v>3.79</v>
      </c>
      <c r="E355" s="24">
        <f t="shared" si="20"/>
        <v>1</v>
      </c>
      <c r="F355" s="24">
        <f>VLOOKUP(E355,Q$5:R$11,2,FALSE)</f>
        <v>0.2</v>
      </c>
      <c r="G355" s="24">
        <f t="shared" si="21"/>
        <v>1</v>
      </c>
      <c r="H355" s="24">
        <f>IF(G355&gt;G354,H354+C355*F355,C355*F355)</f>
        <v>0.57848019472090606</v>
      </c>
      <c r="I355" s="24">
        <f t="shared" si="22"/>
        <v>0.2</v>
      </c>
      <c r="J355" s="24">
        <f t="shared" si="23"/>
        <v>0</v>
      </c>
      <c r="K355" s="24">
        <f>IF(CurrentMtgRatesDataTable811[[#This Row],[WA CC]]&lt;&gt;0,D354-CurrentMtgRatesDataTable811[[#This Row],[WA CC]],0)</f>
        <v>0</v>
      </c>
      <c r="L355" s="24">
        <f>IF(CurrentMtgRatesDataTable811[[#This Row],[Servicing Spread]]&lt;=0,L354,CurrentMtgRatesDataTable811[[#This Row],[Servicing Spread]])</f>
        <v>0.90800277596573187</v>
      </c>
      <c r="M355" s="24">
        <f>CurrentMtgRatesDataTable811[[#This Row],[SeriesNumValue]]+CurrentMtgRatesDataTable811[[#This Row],[Servicing Spread Non-Zero]]</f>
        <v>3.8004037495702621</v>
      </c>
    </row>
    <row r="356" spans="2:13" x14ac:dyDescent="0.2">
      <c r="B356" s="27" t="s">
        <v>1037</v>
      </c>
      <c r="C356" s="28">
        <v>2.8716721168117001</v>
      </c>
      <c r="D356" s="26">
        <v>3.79</v>
      </c>
      <c r="E356" s="24">
        <f t="shared" si="20"/>
        <v>2</v>
      </c>
      <c r="F356" s="24">
        <f>VLOOKUP(E356,Q$5:R$11,2,FALSE)</f>
        <v>0.2</v>
      </c>
      <c r="G356" s="24">
        <f t="shared" si="21"/>
        <v>2</v>
      </c>
      <c r="H356" s="24">
        <f>IF(G356&gt;G355,H355+C356*F356,C356*F356)</f>
        <v>1.1528146180832461</v>
      </c>
      <c r="I356" s="24">
        <f t="shared" si="22"/>
        <v>0.4</v>
      </c>
      <c r="J356" s="24">
        <f t="shared" si="23"/>
        <v>0</v>
      </c>
      <c r="K356" s="24">
        <f>IF(CurrentMtgRatesDataTable811[[#This Row],[WA CC]]&lt;&gt;0,D355-CurrentMtgRatesDataTable811[[#This Row],[WA CC]],0)</f>
        <v>0</v>
      </c>
      <c r="L356" s="24">
        <f>IF(CurrentMtgRatesDataTable811[[#This Row],[Servicing Spread]]&lt;=0,L355,CurrentMtgRatesDataTable811[[#This Row],[Servicing Spread]])</f>
        <v>0.90800277596573187</v>
      </c>
      <c r="M356" s="24">
        <f>CurrentMtgRatesDataTable811[[#This Row],[SeriesNumValue]]+CurrentMtgRatesDataTable811[[#This Row],[Servicing Spread Non-Zero]]</f>
        <v>3.779674892777432</v>
      </c>
    </row>
    <row r="357" spans="2:13" x14ac:dyDescent="0.2">
      <c r="B357" s="27" t="s">
        <v>1038</v>
      </c>
      <c r="C357" s="28">
        <v>2.8585941716778001</v>
      </c>
      <c r="D357" s="26">
        <v>3.79</v>
      </c>
      <c r="E357" s="24">
        <f t="shared" si="20"/>
        <v>5</v>
      </c>
      <c r="F357" s="24">
        <f>VLOOKUP(E357,Q$5:R$11,2,FALSE)</f>
        <v>0.2</v>
      </c>
      <c r="G357" s="24">
        <f t="shared" si="21"/>
        <v>3</v>
      </c>
      <c r="H357" s="24">
        <f>IF(G357&gt;G356,H356+C357*F357,C357*F357)</f>
        <v>1.7245334524188061</v>
      </c>
      <c r="I357" s="24">
        <f t="shared" si="22"/>
        <v>0.60000000000000009</v>
      </c>
      <c r="J357" s="24">
        <f t="shared" si="23"/>
        <v>0</v>
      </c>
      <c r="K357" s="24">
        <f>IF(CurrentMtgRatesDataTable811[[#This Row],[WA CC]]&lt;&gt;0,D356-CurrentMtgRatesDataTable811[[#This Row],[WA CC]],0)</f>
        <v>0</v>
      </c>
      <c r="L357" s="24">
        <f>IF(CurrentMtgRatesDataTable811[[#This Row],[Servicing Spread]]&lt;=0,L356,CurrentMtgRatesDataTable811[[#This Row],[Servicing Spread]])</f>
        <v>0.90800277596573187</v>
      </c>
      <c r="M357" s="24">
        <f>CurrentMtgRatesDataTable811[[#This Row],[SeriesNumValue]]+CurrentMtgRatesDataTable811[[#This Row],[Servicing Spread Non-Zero]]</f>
        <v>3.7665969476435319</v>
      </c>
    </row>
    <row r="358" spans="2:13" x14ac:dyDescent="0.2">
      <c r="B358" s="27" t="s">
        <v>1039</v>
      </c>
      <c r="C358" s="28">
        <v>2.8908484323394701</v>
      </c>
      <c r="D358" s="26">
        <v>3.79</v>
      </c>
      <c r="E358" s="24">
        <f t="shared" si="20"/>
        <v>6</v>
      </c>
      <c r="F358" s="24">
        <f>VLOOKUP(E358,Q$5:R$11,2,FALSE)</f>
        <v>0.2</v>
      </c>
      <c r="G358" s="24">
        <f t="shared" si="21"/>
        <v>4</v>
      </c>
      <c r="H358" s="24">
        <f>IF(G358&gt;G357,H357+C358*F358,C358*F358)</f>
        <v>2.3027031388867001</v>
      </c>
      <c r="I358" s="24">
        <f t="shared" si="22"/>
        <v>0.8</v>
      </c>
      <c r="J358" s="24">
        <f t="shared" si="23"/>
        <v>0</v>
      </c>
      <c r="K358" s="24">
        <f>IF(CurrentMtgRatesDataTable811[[#This Row],[WA CC]]&lt;&gt;0,D357-CurrentMtgRatesDataTable811[[#This Row],[WA CC]],0)</f>
        <v>0</v>
      </c>
      <c r="L358" s="24">
        <f>IF(CurrentMtgRatesDataTable811[[#This Row],[Servicing Spread]]&lt;=0,L357,CurrentMtgRatesDataTable811[[#This Row],[Servicing Spread]])</f>
        <v>0.90800277596573187</v>
      </c>
      <c r="M358" s="24">
        <f>CurrentMtgRatesDataTable811[[#This Row],[SeriesNumValue]]+CurrentMtgRatesDataTable811[[#This Row],[Servicing Spread Non-Zero]]</f>
        <v>3.798851208305202</v>
      </c>
    </row>
    <row r="359" spans="2:13" x14ac:dyDescent="0.2">
      <c r="B359" s="27" t="s">
        <v>1040</v>
      </c>
      <c r="C359" s="28">
        <v>2.8733809550088201</v>
      </c>
      <c r="D359" s="26">
        <v>3.79</v>
      </c>
      <c r="E359" s="24">
        <f t="shared" si="20"/>
        <v>7</v>
      </c>
      <c r="F359" s="24">
        <f>VLOOKUP(E359,Q$5:R$11,2,FALSE)</f>
        <v>0.2</v>
      </c>
      <c r="G359" s="24">
        <f t="shared" si="21"/>
        <v>5</v>
      </c>
      <c r="H359" s="24">
        <f>IF(G359&gt;G358,H358+C359*F359,C359*F359)</f>
        <v>2.877379329888464</v>
      </c>
      <c r="I359" s="24">
        <f t="shared" si="22"/>
        <v>1</v>
      </c>
      <c r="J359" s="24">
        <f t="shared" si="23"/>
        <v>2.877379329888464</v>
      </c>
      <c r="K359" s="24">
        <f>IF(CurrentMtgRatesDataTable811[[#This Row],[WA CC]]&lt;&gt;0,D358-CurrentMtgRatesDataTable811[[#This Row],[WA CC]],0)</f>
        <v>0.91262067011153603</v>
      </c>
      <c r="L359" s="24">
        <f>IF(CurrentMtgRatesDataTable811[[#This Row],[Servicing Spread]]&lt;=0,L358,CurrentMtgRatesDataTable811[[#This Row],[Servicing Spread]])</f>
        <v>0.91262067011153603</v>
      </c>
      <c r="M359" s="24">
        <f>CurrentMtgRatesDataTable811[[#This Row],[SeriesNumValue]]+CurrentMtgRatesDataTable811[[#This Row],[Servicing Spread Non-Zero]]</f>
        <v>3.7860016251203561</v>
      </c>
    </row>
    <row r="360" spans="2:13" x14ac:dyDescent="0.2">
      <c r="B360" s="27" t="s">
        <v>1041</v>
      </c>
      <c r="C360" s="28">
        <v>2.88233463781564</v>
      </c>
      <c r="D360" s="26">
        <v>3.7549999999999999</v>
      </c>
      <c r="E360" s="24">
        <f t="shared" si="20"/>
        <v>1</v>
      </c>
      <c r="F360" s="24">
        <f>VLOOKUP(E360,Q$5:R$11,2,FALSE)</f>
        <v>0.2</v>
      </c>
      <c r="G360" s="24">
        <f t="shared" si="21"/>
        <v>1</v>
      </c>
      <c r="H360" s="24">
        <f>IF(G360&gt;G359,H359+C360*F360,C360*F360)</f>
        <v>0.57646692756312801</v>
      </c>
      <c r="I360" s="24">
        <f t="shared" si="22"/>
        <v>0.2</v>
      </c>
      <c r="J360" s="24">
        <f t="shared" si="23"/>
        <v>0</v>
      </c>
      <c r="K360" s="24">
        <f>IF(CurrentMtgRatesDataTable811[[#This Row],[WA CC]]&lt;&gt;0,D359-CurrentMtgRatesDataTable811[[#This Row],[WA CC]],0)</f>
        <v>0</v>
      </c>
      <c r="L360" s="24">
        <f>IF(CurrentMtgRatesDataTable811[[#This Row],[Servicing Spread]]&lt;=0,L359,CurrentMtgRatesDataTable811[[#This Row],[Servicing Spread]])</f>
        <v>0.91262067011153603</v>
      </c>
      <c r="M360" s="24">
        <f>CurrentMtgRatesDataTable811[[#This Row],[SeriesNumValue]]+CurrentMtgRatesDataTable811[[#This Row],[Servicing Spread Non-Zero]]</f>
        <v>3.7949553079271761</v>
      </c>
    </row>
    <row r="361" spans="2:13" x14ac:dyDescent="0.2">
      <c r="B361" s="27" t="s">
        <v>1042</v>
      </c>
      <c r="C361" s="28">
        <v>2.8508681241779898</v>
      </c>
      <c r="D361" s="26">
        <v>3.7549999999999999</v>
      </c>
      <c r="E361" s="24">
        <f t="shared" si="20"/>
        <v>2</v>
      </c>
      <c r="F361" s="24">
        <f>VLOOKUP(E361,Q$5:R$11,2,FALSE)</f>
        <v>0.2</v>
      </c>
      <c r="G361" s="24">
        <f t="shared" si="21"/>
        <v>2</v>
      </c>
      <c r="H361" s="24">
        <f>IF(G361&gt;G360,H360+C361*F361,C361*F361)</f>
        <v>1.146640552398726</v>
      </c>
      <c r="I361" s="24">
        <f t="shared" si="22"/>
        <v>0.4</v>
      </c>
      <c r="J361" s="24">
        <f t="shared" si="23"/>
        <v>0</v>
      </c>
      <c r="K361" s="24">
        <f>IF(CurrentMtgRatesDataTable811[[#This Row],[WA CC]]&lt;&gt;0,D360-CurrentMtgRatesDataTable811[[#This Row],[WA CC]],0)</f>
        <v>0</v>
      </c>
      <c r="L361" s="24">
        <f>IF(CurrentMtgRatesDataTable811[[#This Row],[Servicing Spread]]&lt;=0,L360,CurrentMtgRatesDataTable811[[#This Row],[Servicing Spread]])</f>
        <v>0.91262067011153603</v>
      </c>
      <c r="M361" s="24">
        <f>CurrentMtgRatesDataTable811[[#This Row],[SeriesNumValue]]+CurrentMtgRatesDataTable811[[#This Row],[Servicing Spread Non-Zero]]</f>
        <v>3.7634887942895259</v>
      </c>
    </row>
    <row r="362" spans="2:13" x14ac:dyDescent="0.2">
      <c r="B362" s="27" t="s">
        <v>1043</v>
      </c>
      <c r="C362" s="28">
        <v>2.85847369417964</v>
      </c>
      <c r="D362" s="26">
        <v>3.7549999999999999</v>
      </c>
      <c r="E362" s="24">
        <f t="shared" si="20"/>
        <v>5</v>
      </c>
      <c r="F362" s="24">
        <f>VLOOKUP(E362,Q$5:R$11,2,FALSE)</f>
        <v>0.2</v>
      </c>
      <c r="G362" s="24">
        <f t="shared" si="21"/>
        <v>3</v>
      </c>
      <c r="H362" s="24">
        <f>IF(G362&gt;G361,H361+C362*F362,C362*F362)</f>
        <v>1.7183352912346539</v>
      </c>
      <c r="I362" s="24">
        <f t="shared" si="22"/>
        <v>0.60000000000000009</v>
      </c>
      <c r="J362" s="24">
        <f t="shared" si="23"/>
        <v>0</v>
      </c>
      <c r="K362" s="24">
        <f>IF(CurrentMtgRatesDataTable811[[#This Row],[WA CC]]&lt;&gt;0,D361-CurrentMtgRatesDataTable811[[#This Row],[WA CC]],0)</f>
        <v>0</v>
      </c>
      <c r="L362" s="24">
        <f>IF(CurrentMtgRatesDataTable811[[#This Row],[Servicing Spread]]&lt;=0,L361,CurrentMtgRatesDataTable811[[#This Row],[Servicing Spread]])</f>
        <v>0.91262067011153603</v>
      </c>
      <c r="M362" s="24">
        <f>CurrentMtgRatesDataTable811[[#This Row],[SeriesNumValue]]+CurrentMtgRatesDataTable811[[#This Row],[Servicing Spread Non-Zero]]</f>
        <v>3.7710943642911761</v>
      </c>
    </row>
    <row r="363" spans="2:13" x14ac:dyDescent="0.2">
      <c r="B363" s="27" t="s">
        <v>1044</v>
      </c>
      <c r="C363" s="28">
        <v>2.8457023219339699</v>
      </c>
      <c r="D363" s="26">
        <v>3.7549999999999999</v>
      </c>
      <c r="E363" s="24">
        <f t="shared" si="20"/>
        <v>6</v>
      </c>
      <c r="F363" s="24">
        <f>VLOOKUP(E363,Q$5:R$11,2,FALSE)</f>
        <v>0.2</v>
      </c>
      <c r="G363" s="24">
        <f t="shared" si="21"/>
        <v>4</v>
      </c>
      <c r="H363" s="24">
        <f>IF(G363&gt;G362,H362+C363*F363,C363*F363)</f>
        <v>2.2874757556214478</v>
      </c>
      <c r="I363" s="24">
        <f t="shared" si="22"/>
        <v>0.8</v>
      </c>
      <c r="J363" s="24">
        <f t="shared" si="23"/>
        <v>0</v>
      </c>
      <c r="K363" s="24">
        <f>IF(CurrentMtgRatesDataTable811[[#This Row],[WA CC]]&lt;&gt;0,D362-CurrentMtgRatesDataTable811[[#This Row],[WA CC]],0)</f>
        <v>0</v>
      </c>
      <c r="L363" s="24">
        <f>IF(CurrentMtgRatesDataTable811[[#This Row],[Servicing Spread]]&lt;=0,L362,CurrentMtgRatesDataTable811[[#This Row],[Servicing Spread]])</f>
        <v>0.91262067011153603</v>
      </c>
      <c r="M363" s="24">
        <f>CurrentMtgRatesDataTable811[[#This Row],[SeriesNumValue]]+CurrentMtgRatesDataTable811[[#This Row],[Servicing Spread Non-Zero]]</f>
        <v>3.7583229920455059</v>
      </c>
    </row>
    <row r="364" spans="2:13" x14ac:dyDescent="0.2">
      <c r="B364" s="27" t="s">
        <v>1045</v>
      </c>
      <c r="C364" s="28">
        <v>2.8327642978398999</v>
      </c>
      <c r="D364" s="26">
        <v>3.7549999999999999</v>
      </c>
      <c r="E364" s="24">
        <f t="shared" si="20"/>
        <v>7</v>
      </c>
      <c r="F364" s="24">
        <f>VLOOKUP(E364,Q$5:R$11,2,FALSE)</f>
        <v>0.2</v>
      </c>
      <c r="G364" s="24">
        <f t="shared" si="21"/>
        <v>5</v>
      </c>
      <c r="H364" s="24">
        <f>IF(G364&gt;G363,H363+C364*F364,C364*F364)</f>
        <v>2.8540286151894279</v>
      </c>
      <c r="I364" s="24">
        <f t="shared" si="22"/>
        <v>1</v>
      </c>
      <c r="J364" s="24">
        <f t="shared" si="23"/>
        <v>2.8540286151894279</v>
      </c>
      <c r="K364" s="24">
        <f>IF(CurrentMtgRatesDataTable811[[#This Row],[WA CC]]&lt;&gt;0,D363-CurrentMtgRatesDataTable811[[#This Row],[WA CC]],0)</f>
        <v>0.90097138481057204</v>
      </c>
      <c r="L364" s="24">
        <f>IF(CurrentMtgRatesDataTable811[[#This Row],[Servicing Spread]]&lt;=0,L363,CurrentMtgRatesDataTable811[[#This Row],[Servicing Spread]])</f>
        <v>0.90097138481057204</v>
      </c>
      <c r="M364" s="24">
        <f>CurrentMtgRatesDataTable811[[#This Row],[SeriesNumValue]]+CurrentMtgRatesDataTable811[[#This Row],[Servicing Spread Non-Zero]]</f>
        <v>3.733735682650472</v>
      </c>
    </row>
    <row r="365" spans="2:13" x14ac:dyDescent="0.2">
      <c r="B365" s="27" t="s">
        <v>1046</v>
      </c>
      <c r="C365" s="28">
        <v>2.8246078637178802</v>
      </c>
      <c r="D365" s="26">
        <v>3.7149999999999999</v>
      </c>
      <c r="E365" s="24">
        <f t="shared" si="20"/>
        <v>1</v>
      </c>
      <c r="F365" s="24">
        <f>VLOOKUP(E365,Q$5:R$11,2,FALSE)</f>
        <v>0.2</v>
      </c>
      <c r="G365" s="24">
        <f t="shared" si="21"/>
        <v>1</v>
      </c>
      <c r="H365" s="24">
        <f>IF(G365&gt;G364,H364+C365*F365,C365*F365)</f>
        <v>0.56492157274357602</v>
      </c>
      <c r="I365" s="24">
        <f t="shared" si="22"/>
        <v>0.2</v>
      </c>
      <c r="J365" s="24">
        <f t="shared" si="23"/>
        <v>0</v>
      </c>
      <c r="K365" s="24">
        <f>IF(CurrentMtgRatesDataTable811[[#This Row],[WA CC]]&lt;&gt;0,D364-CurrentMtgRatesDataTable811[[#This Row],[WA CC]],0)</f>
        <v>0</v>
      </c>
      <c r="L365" s="24">
        <f>IF(CurrentMtgRatesDataTable811[[#This Row],[Servicing Spread]]&lt;=0,L364,CurrentMtgRatesDataTable811[[#This Row],[Servicing Spread]])</f>
        <v>0.90097138481057204</v>
      </c>
      <c r="M365" s="24">
        <f>CurrentMtgRatesDataTable811[[#This Row],[SeriesNumValue]]+CurrentMtgRatesDataTable811[[#This Row],[Servicing Spread Non-Zero]]</f>
        <v>3.7255792485284522</v>
      </c>
    </row>
    <row r="366" spans="2:13" x14ac:dyDescent="0.2">
      <c r="B366" s="27" t="s">
        <v>1047</v>
      </c>
      <c r="C366" s="28">
        <v>2.8052772077153998</v>
      </c>
      <c r="D366" s="26">
        <v>3.7149999999999999</v>
      </c>
      <c r="E366" s="24">
        <f t="shared" si="20"/>
        <v>2</v>
      </c>
      <c r="F366" s="24">
        <f>VLOOKUP(E366,Q$5:R$11,2,FALSE)</f>
        <v>0.2</v>
      </c>
      <c r="G366" s="24">
        <f t="shared" si="21"/>
        <v>2</v>
      </c>
      <c r="H366" s="24">
        <f>IF(G366&gt;G365,H365+C366*F366,C366*F366)</f>
        <v>1.1259770142866561</v>
      </c>
      <c r="I366" s="24">
        <f t="shared" si="22"/>
        <v>0.4</v>
      </c>
      <c r="J366" s="24">
        <f t="shared" si="23"/>
        <v>0</v>
      </c>
      <c r="K366" s="24">
        <f>IF(CurrentMtgRatesDataTable811[[#This Row],[WA CC]]&lt;&gt;0,D365-CurrentMtgRatesDataTable811[[#This Row],[WA CC]],0)</f>
        <v>0</v>
      </c>
      <c r="L366" s="24">
        <f>IF(CurrentMtgRatesDataTable811[[#This Row],[Servicing Spread]]&lt;=0,L365,CurrentMtgRatesDataTable811[[#This Row],[Servicing Spread]])</f>
        <v>0.90097138481057204</v>
      </c>
      <c r="M366" s="24">
        <f>CurrentMtgRatesDataTable811[[#This Row],[SeriesNumValue]]+CurrentMtgRatesDataTable811[[#This Row],[Servicing Spread Non-Zero]]</f>
        <v>3.7062485925259718</v>
      </c>
    </row>
    <row r="367" spans="2:13" x14ac:dyDescent="0.2">
      <c r="B367" s="27" t="s">
        <v>1048</v>
      </c>
      <c r="C367" s="28">
        <v>2.7739749118365999</v>
      </c>
      <c r="D367" s="26">
        <v>3.7149999999999999</v>
      </c>
      <c r="E367" s="24">
        <f t="shared" si="20"/>
        <v>5</v>
      </c>
      <c r="F367" s="24">
        <f>VLOOKUP(E367,Q$5:R$11,2,FALSE)</f>
        <v>0.2</v>
      </c>
      <c r="G367" s="24">
        <f t="shared" si="21"/>
        <v>3</v>
      </c>
      <c r="H367" s="24">
        <f>IF(G367&gt;G366,H366+C367*F367,C367*F367)</f>
        <v>1.6807719966539763</v>
      </c>
      <c r="I367" s="24">
        <f t="shared" si="22"/>
        <v>0.60000000000000009</v>
      </c>
      <c r="J367" s="24">
        <f t="shared" si="23"/>
        <v>0</v>
      </c>
      <c r="K367" s="24">
        <f>IF(CurrentMtgRatesDataTable811[[#This Row],[WA CC]]&lt;&gt;0,D366-CurrentMtgRatesDataTable811[[#This Row],[WA CC]],0)</f>
        <v>0</v>
      </c>
      <c r="L367" s="24">
        <f>IF(CurrentMtgRatesDataTable811[[#This Row],[Servicing Spread]]&lt;=0,L366,CurrentMtgRatesDataTable811[[#This Row],[Servicing Spread]])</f>
        <v>0.90097138481057204</v>
      </c>
      <c r="M367" s="24">
        <f>CurrentMtgRatesDataTable811[[#This Row],[SeriesNumValue]]+CurrentMtgRatesDataTable811[[#This Row],[Servicing Spread Non-Zero]]</f>
        <v>3.674946296647172</v>
      </c>
    </row>
    <row r="368" spans="2:13" x14ac:dyDescent="0.2">
      <c r="B368" s="27" t="s">
        <v>1049</v>
      </c>
      <c r="C368" s="28">
        <v>2.7697091879875599</v>
      </c>
      <c r="D368" s="26">
        <v>3.7149999999999999</v>
      </c>
      <c r="E368" s="24">
        <f t="shared" si="20"/>
        <v>6</v>
      </c>
      <c r="F368" s="24">
        <f>VLOOKUP(E368,Q$5:R$11,2,FALSE)</f>
        <v>0.2</v>
      </c>
      <c r="G368" s="24">
        <f t="shared" si="21"/>
        <v>4</v>
      </c>
      <c r="H368" s="24">
        <f>IF(G368&gt;G367,H367+C368*F368,C368*F368)</f>
        <v>2.2347138342514885</v>
      </c>
      <c r="I368" s="24">
        <f t="shared" si="22"/>
        <v>0.8</v>
      </c>
      <c r="J368" s="24">
        <f t="shared" si="23"/>
        <v>0</v>
      </c>
      <c r="K368" s="24">
        <f>IF(CurrentMtgRatesDataTable811[[#This Row],[WA CC]]&lt;&gt;0,D367-CurrentMtgRatesDataTable811[[#This Row],[WA CC]],0)</f>
        <v>0</v>
      </c>
      <c r="L368" s="24">
        <f>IF(CurrentMtgRatesDataTable811[[#This Row],[Servicing Spread]]&lt;=0,L367,CurrentMtgRatesDataTable811[[#This Row],[Servicing Spread]])</f>
        <v>0.90097138481057204</v>
      </c>
      <c r="M368" s="24">
        <f>CurrentMtgRatesDataTable811[[#This Row],[SeriesNumValue]]+CurrentMtgRatesDataTable811[[#This Row],[Servicing Spread Non-Zero]]</f>
        <v>3.670680572798132</v>
      </c>
    </row>
    <row r="369" spans="2:13" x14ac:dyDescent="0.2">
      <c r="B369" s="27" t="s">
        <v>1050</v>
      </c>
      <c r="C369" s="28">
        <v>2.7401286983352402</v>
      </c>
      <c r="D369" s="26">
        <v>3.7149999999999999</v>
      </c>
      <c r="E369" s="24">
        <f t="shared" si="20"/>
        <v>7</v>
      </c>
      <c r="F369" s="24">
        <f>VLOOKUP(E369,Q$5:R$11,2,FALSE)</f>
        <v>0.2</v>
      </c>
      <c r="G369" s="24">
        <f t="shared" si="21"/>
        <v>5</v>
      </c>
      <c r="H369" s="24">
        <f>IF(G369&gt;G368,H368+C369*F369,C369*F369)</f>
        <v>2.7827395739185365</v>
      </c>
      <c r="I369" s="24">
        <f t="shared" si="22"/>
        <v>1</v>
      </c>
      <c r="J369" s="24">
        <f t="shared" si="23"/>
        <v>2.7827395739185365</v>
      </c>
      <c r="K369" s="24">
        <f>IF(CurrentMtgRatesDataTable811[[#This Row],[WA CC]]&lt;&gt;0,D368-CurrentMtgRatesDataTable811[[#This Row],[WA CC]],0)</f>
        <v>0.93226042608146331</v>
      </c>
      <c r="L369" s="24">
        <f>IF(CurrentMtgRatesDataTable811[[#This Row],[Servicing Spread]]&lt;=0,L368,CurrentMtgRatesDataTable811[[#This Row],[Servicing Spread]])</f>
        <v>0.93226042608146331</v>
      </c>
      <c r="M369" s="24">
        <f>CurrentMtgRatesDataTable811[[#This Row],[SeriesNumValue]]+CurrentMtgRatesDataTable811[[#This Row],[Servicing Spread Non-Zero]]</f>
        <v>3.6723891244167035</v>
      </c>
    </row>
    <row r="370" spans="2:13" x14ac:dyDescent="0.2">
      <c r="B370" s="27" t="s">
        <v>1051</v>
      </c>
      <c r="C370" s="28">
        <v>2.6718406862121098</v>
      </c>
      <c r="D370" s="26">
        <v>3.73</v>
      </c>
      <c r="E370" s="24">
        <f t="shared" si="20"/>
        <v>1</v>
      </c>
      <c r="F370" s="24">
        <f>VLOOKUP(E370,Q$5:R$11,2,FALSE)</f>
        <v>0.2</v>
      </c>
      <c r="G370" s="24">
        <f t="shared" si="21"/>
        <v>1</v>
      </c>
      <c r="H370" s="24">
        <f>IF(G370&gt;G369,H369+C370*F370,C370*F370)</f>
        <v>0.53436813724242194</v>
      </c>
      <c r="I370" s="24">
        <f t="shared" si="22"/>
        <v>0.2</v>
      </c>
      <c r="J370" s="24">
        <f t="shared" si="23"/>
        <v>0</v>
      </c>
      <c r="K370" s="24">
        <f>IF(CurrentMtgRatesDataTable811[[#This Row],[WA CC]]&lt;&gt;0,D369-CurrentMtgRatesDataTable811[[#This Row],[WA CC]],0)</f>
        <v>0</v>
      </c>
      <c r="L370" s="24">
        <f>IF(CurrentMtgRatesDataTable811[[#This Row],[Servicing Spread]]&lt;=0,L369,CurrentMtgRatesDataTable811[[#This Row],[Servicing Spread]])</f>
        <v>0.93226042608146331</v>
      </c>
      <c r="M370" s="24">
        <f>CurrentMtgRatesDataTable811[[#This Row],[SeriesNumValue]]+CurrentMtgRatesDataTable811[[#This Row],[Servicing Spread Non-Zero]]</f>
        <v>3.6041011122935731</v>
      </c>
    </row>
    <row r="371" spans="2:13" x14ac:dyDescent="0.2">
      <c r="B371" s="27" t="s">
        <v>1052</v>
      </c>
      <c r="C371" s="28">
        <v>2.67797206633489</v>
      </c>
      <c r="D371" s="26">
        <v>3.73</v>
      </c>
      <c r="E371" s="24">
        <f t="shared" si="20"/>
        <v>2</v>
      </c>
      <c r="F371" s="24">
        <f>VLOOKUP(E371,Q$5:R$11,2,FALSE)</f>
        <v>0.2</v>
      </c>
      <c r="G371" s="24">
        <f t="shared" si="21"/>
        <v>2</v>
      </c>
      <c r="H371" s="24">
        <f>IF(G371&gt;G370,H370+C371*F371,C371*F371)</f>
        <v>1.0699625505093999</v>
      </c>
      <c r="I371" s="24">
        <f t="shared" si="22"/>
        <v>0.4</v>
      </c>
      <c r="J371" s="24">
        <f t="shared" si="23"/>
        <v>0</v>
      </c>
      <c r="K371" s="24">
        <f>IF(CurrentMtgRatesDataTable811[[#This Row],[WA CC]]&lt;&gt;0,D370-CurrentMtgRatesDataTable811[[#This Row],[WA CC]],0)</f>
        <v>0</v>
      </c>
      <c r="L371" s="24">
        <f>IF(CurrentMtgRatesDataTable811[[#This Row],[Servicing Spread]]&lt;=0,L370,CurrentMtgRatesDataTable811[[#This Row],[Servicing Spread]])</f>
        <v>0.93226042608146331</v>
      </c>
      <c r="M371" s="24">
        <f>CurrentMtgRatesDataTable811[[#This Row],[SeriesNumValue]]+CurrentMtgRatesDataTable811[[#This Row],[Servicing Spread Non-Zero]]</f>
        <v>3.6102324924163534</v>
      </c>
    </row>
    <row r="372" spans="2:13" x14ac:dyDescent="0.2">
      <c r="B372" s="27" t="s">
        <v>1053</v>
      </c>
      <c r="C372" s="28">
        <v>2.73357010628694</v>
      </c>
      <c r="D372" s="26">
        <v>3.73</v>
      </c>
      <c r="E372" s="24">
        <f t="shared" si="20"/>
        <v>5</v>
      </c>
      <c r="F372" s="24">
        <f>VLOOKUP(E372,Q$5:R$11,2,FALSE)</f>
        <v>0.2</v>
      </c>
      <c r="G372" s="24">
        <f t="shared" si="21"/>
        <v>3</v>
      </c>
      <c r="H372" s="24">
        <f>IF(G372&gt;G371,H371+C372*F372,C372*F372)</f>
        <v>1.6166765717667879</v>
      </c>
      <c r="I372" s="24">
        <f t="shared" si="22"/>
        <v>0.60000000000000009</v>
      </c>
      <c r="J372" s="24">
        <f t="shared" si="23"/>
        <v>0</v>
      </c>
      <c r="K372" s="24">
        <f>IF(CurrentMtgRatesDataTable811[[#This Row],[WA CC]]&lt;&gt;0,D371-CurrentMtgRatesDataTable811[[#This Row],[WA CC]],0)</f>
        <v>0</v>
      </c>
      <c r="L372" s="24">
        <f>IF(CurrentMtgRatesDataTable811[[#This Row],[Servicing Spread]]&lt;=0,L371,CurrentMtgRatesDataTable811[[#This Row],[Servicing Spread]])</f>
        <v>0.93226042608146331</v>
      </c>
      <c r="M372" s="24">
        <f>CurrentMtgRatesDataTable811[[#This Row],[SeriesNumValue]]+CurrentMtgRatesDataTable811[[#This Row],[Servicing Spread Non-Zero]]</f>
        <v>3.6658305323684033</v>
      </c>
    </row>
    <row r="373" spans="2:13" x14ac:dyDescent="0.2">
      <c r="B373" s="27" t="s">
        <v>1054</v>
      </c>
      <c r="C373" s="28">
        <v>2.76969358536605</v>
      </c>
      <c r="D373" s="26">
        <v>3.73</v>
      </c>
      <c r="E373" s="24">
        <f t="shared" si="20"/>
        <v>6</v>
      </c>
      <c r="F373" s="24">
        <f>VLOOKUP(E373,Q$5:R$11,2,FALSE)</f>
        <v>0.2</v>
      </c>
      <c r="G373" s="24">
        <f t="shared" si="21"/>
        <v>4</v>
      </c>
      <c r="H373" s="24">
        <f>IF(G373&gt;G372,H372+C373*F373,C373*F373)</f>
        <v>2.1706152888399979</v>
      </c>
      <c r="I373" s="24">
        <f t="shared" si="22"/>
        <v>0.8</v>
      </c>
      <c r="J373" s="24">
        <f t="shared" si="23"/>
        <v>0</v>
      </c>
      <c r="K373" s="24">
        <f>IF(CurrentMtgRatesDataTable811[[#This Row],[WA CC]]&lt;&gt;0,D372-CurrentMtgRatesDataTable811[[#This Row],[WA CC]],0)</f>
        <v>0</v>
      </c>
      <c r="L373" s="24">
        <f>IF(CurrentMtgRatesDataTable811[[#This Row],[Servicing Spread]]&lt;=0,L372,CurrentMtgRatesDataTable811[[#This Row],[Servicing Spread]])</f>
        <v>0.93226042608146331</v>
      </c>
      <c r="M373" s="24">
        <f>CurrentMtgRatesDataTable811[[#This Row],[SeriesNumValue]]+CurrentMtgRatesDataTable811[[#This Row],[Servicing Spread Non-Zero]]</f>
        <v>3.7019540114475133</v>
      </c>
    </row>
    <row r="374" spans="2:13" x14ac:dyDescent="0.2">
      <c r="B374" s="27" t="s">
        <v>1055</v>
      </c>
      <c r="C374" s="28">
        <v>2.7350812469927099</v>
      </c>
      <c r="D374" s="26">
        <v>3.73</v>
      </c>
      <c r="E374" s="24">
        <f t="shared" si="20"/>
        <v>7</v>
      </c>
      <c r="F374" s="24">
        <f>VLOOKUP(E374,Q$5:R$11,2,FALSE)</f>
        <v>0.2</v>
      </c>
      <c r="G374" s="24">
        <f t="shared" si="21"/>
        <v>5</v>
      </c>
      <c r="H374" s="24">
        <f>IF(G374&gt;G373,H373+C374*F374,C374*F374)</f>
        <v>2.7176315382385399</v>
      </c>
      <c r="I374" s="24">
        <f t="shared" si="22"/>
        <v>1</v>
      </c>
      <c r="J374" s="24">
        <f t="shared" si="23"/>
        <v>2.7176315382385399</v>
      </c>
      <c r="K374" s="24">
        <f>IF(CurrentMtgRatesDataTable811[[#This Row],[WA CC]]&lt;&gt;0,D373-CurrentMtgRatesDataTable811[[#This Row],[WA CC]],0)</f>
        <v>1.0123684617614601</v>
      </c>
      <c r="L374" s="24">
        <f>IF(CurrentMtgRatesDataTable811[[#This Row],[Servicing Spread]]&lt;=0,L373,CurrentMtgRatesDataTable811[[#This Row],[Servicing Spread]])</f>
        <v>1.0123684617614601</v>
      </c>
      <c r="M374" s="24">
        <f>CurrentMtgRatesDataTable811[[#This Row],[SeriesNumValue]]+CurrentMtgRatesDataTable811[[#This Row],[Servicing Spread Non-Zero]]</f>
        <v>3.7474497087541701</v>
      </c>
    </row>
    <row r="375" spans="2:13" x14ac:dyDescent="0.2">
      <c r="B375" s="27" t="s">
        <v>1056</v>
      </c>
      <c r="C375" s="28">
        <v>2.7605421873144298</v>
      </c>
      <c r="D375" s="26">
        <v>3.7</v>
      </c>
      <c r="E375" s="24">
        <f t="shared" si="20"/>
        <v>1</v>
      </c>
      <c r="F375" s="24">
        <f>VLOOKUP(E375,Q$5:R$11,2,FALSE)</f>
        <v>0.2</v>
      </c>
      <c r="G375" s="24">
        <f t="shared" si="21"/>
        <v>1</v>
      </c>
      <c r="H375" s="24">
        <f>IF(G375&gt;G374,H374+C375*F375,C375*F375)</f>
        <v>0.55210843746288596</v>
      </c>
      <c r="I375" s="24">
        <f t="shared" si="22"/>
        <v>0.2</v>
      </c>
      <c r="J375" s="24">
        <f t="shared" si="23"/>
        <v>0</v>
      </c>
      <c r="K375" s="24">
        <f>IF(CurrentMtgRatesDataTable811[[#This Row],[WA CC]]&lt;&gt;0,D374-CurrentMtgRatesDataTable811[[#This Row],[WA CC]],0)</f>
        <v>0</v>
      </c>
      <c r="L375" s="24">
        <f>IF(CurrentMtgRatesDataTable811[[#This Row],[Servicing Spread]]&lt;=0,L374,CurrentMtgRatesDataTable811[[#This Row],[Servicing Spread]])</f>
        <v>1.0123684617614601</v>
      </c>
      <c r="M375" s="24">
        <f>CurrentMtgRatesDataTable811[[#This Row],[SeriesNumValue]]+CurrentMtgRatesDataTable811[[#This Row],[Servicing Spread Non-Zero]]</f>
        <v>3.7729106490758899</v>
      </c>
    </row>
    <row r="376" spans="2:13" x14ac:dyDescent="0.2">
      <c r="B376" s="27" t="s">
        <v>1057</v>
      </c>
      <c r="C376" s="28">
        <v>2.7634534959262198</v>
      </c>
      <c r="D376" s="26">
        <v>3.7</v>
      </c>
      <c r="E376" s="24">
        <f t="shared" si="20"/>
        <v>2</v>
      </c>
      <c r="F376" s="24">
        <f>VLOOKUP(E376,Q$5:R$11,2,FALSE)</f>
        <v>0.2</v>
      </c>
      <c r="G376" s="24">
        <f t="shared" si="21"/>
        <v>2</v>
      </c>
      <c r="H376" s="24">
        <f>IF(G376&gt;G375,H375+C376*F376,C376*F376)</f>
        <v>1.10479913664813</v>
      </c>
      <c r="I376" s="24">
        <f t="shared" si="22"/>
        <v>0.4</v>
      </c>
      <c r="J376" s="24">
        <f t="shared" si="23"/>
        <v>0</v>
      </c>
      <c r="K376" s="24">
        <f>IF(CurrentMtgRatesDataTable811[[#This Row],[WA CC]]&lt;&gt;0,D375-CurrentMtgRatesDataTable811[[#This Row],[WA CC]],0)</f>
        <v>0</v>
      </c>
      <c r="L376" s="24">
        <f>IF(CurrentMtgRatesDataTable811[[#This Row],[Servicing Spread]]&lt;=0,L375,CurrentMtgRatesDataTable811[[#This Row],[Servicing Spread]])</f>
        <v>1.0123684617614601</v>
      </c>
      <c r="M376" s="24">
        <f>CurrentMtgRatesDataTable811[[#This Row],[SeriesNumValue]]+CurrentMtgRatesDataTable811[[#This Row],[Servicing Spread Non-Zero]]</f>
        <v>3.7758219576876799</v>
      </c>
    </row>
    <row r="377" spans="2:13" x14ac:dyDescent="0.2">
      <c r="B377" s="27" t="s">
        <v>1058</v>
      </c>
      <c r="C377" s="28">
        <v>2.77148784579206</v>
      </c>
      <c r="D377" s="26">
        <v>3.7</v>
      </c>
      <c r="E377" s="24">
        <f t="shared" si="20"/>
        <v>6</v>
      </c>
      <c r="F377" s="24">
        <f>VLOOKUP(E377,Q$5:R$11,2,FALSE)</f>
        <v>0.2</v>
      </c>
      <c r="G377" s="24">
        <f t="shared" si="21"/>
        <v>3</v>
      </c>
      <c r="H377" s="24">
        <f>IF(G377&gt;G376,H376+C377*F377,C377*F377)</f>
        <v>1.659096705806542</v>
      </c>
      <c r="I377" s="24">
        <f t="shared" si="22"/>
        <v>0.60000000000000009</v>
      </c>
      <c r="J377" s="24">
        <f t="shared" si="23"/>
        <v>0</v>
      </c>
      <c r="K377" s="24">
        <f>IF(CurrentMtgRatesDataTable811[[#This Row],[WA CC]]&lt;&gt;0,D376-CurrentMtgRatesDataTable811[[#This Row],[WA CC]],0)</f>
        <v>0</v>
      </c>
      <c r="L377" s="24">
        <f>IF(CurrentMtgRatesDataTable811[[#This Row],[Servicing Spread]]&lt;=0,L376,CurrentMtgRatesDataTable811[[#This Row],[Servicing Spread]])</f>
        <v>1.0123684617614601</v>
      </c>
      <c r="M377" s="24">
        <f>CurrentMtgRatesDataTable811[[#This Row],[SeriesNumValue]]+CurrentMtgRatesDataTable811[[#This Row],[Servicing Spread Non-Zero]]</f>
        <v>3.7838563075535201</v>
      </c>
    </row>
    <row r="378" spans="2:13" x14ac:dyDescent="0.2">
      <c r="B378" s="27" t="s">
        <v>1059</v>
      </c>
      <c r="C378" s="28">
        <v>2.6848642616862599</v>
      </c>
      <c r="D378" s="26">
        <v>3.7</v>
      </c>
      <c r="E378" s="24">
        <f t="shared" si="20"/>
        <v>7</v>
      </c>
      <c r="F378" s="24">
        <f>VLOOKUP(E378,Q$5:R$11,2,FALSE)</f>
        <v>0.2</v>
      </c>
      <c r="G378" s="24">
        <f t="shared" si="21"/>
        <v>4</v>
      </c>
      <c r="H378" s="24">
        <f>IF(G378&gt;G377,H377+C378*F378,C378*F378)</f>
        <v>2.1960695581437939</v>
      </c>
      <c r="I378" s="24">
        <f t="shared" si="22"/>
        <v>0.8</v>
      </c>
      <c r="J378" s="24">
        <f t="shared" si="23"/>
        <v>2.7450869476797424</v>
      </c>
      <c r="K378" s="24">
        <f>IF(CurrentMtgRatesDataTable811[[#This Row],[WA CC]]&lt;&gt;0,D377-CurrentMtgRatesDataTable811[[#This Row],[WA CC]],0)</f>
        <v>0.9549130523202578</v>
      </c>
      <c r="L378" s="24">
        <f>IF(CurrentMtgRatesDataTable811[[#This Row],[Servicing Spread]]&lt;=0,L377,CurrentMtgRatesDataTable811[[#This Row],[Servicing Spread]])</f>
        <v>0.9549130523202578</v>
      </c>
      <c r="M378" s="24">
        <f>CurrentMtgRatesDataTable811[[#This Row],[SeriesNumValue]]+CurrentMtgRatesDataTable811[[#This Row],[Servicing Spread Non-Zero]]</f>
        <v>3.6397773140065177</v>
      </c>
    </row>
    <row r="379" spans="2:13" x14ac:dyDescent="0.2">
      <c r="B379" s="27" t="s">
        <v>1060</v>
      </c>
      <c r="C379" s="28">
        <v>2.6463905286345102</v>
      </c>
      <c r="D379" s="26">
        <v>3.5949999999999998</v>
      </c>
      <c r="E379" s="24">
        <f t="shared" si="20"/>
        <v>1</v>
      </c>
      <c r="F379" s="24">
        <f>VLOOKUP(E379,Q$5:R$11,2,FALSE)</f>
        <v>0.2</v>
      </c>
      <c r="G379" s="24">
        <f t="shared" si="21"/>
        <v>1</v>
      </c>
      <c r="H379" s="24">
        <f>IF(G379&gt;G378,H378+C379*F379,C379*F379)</f>
        <v>0.52927810572690204</v>
      </c>
      <c r="I379" s="24">
        <f t="shared" si="22"/>
        <v>0.2</v>
      </c>
      <c r="J379" s="24">
        <f t="shared" si="23"/>
        <v>0</v>
      </c>
      <c r="K379" s="24">
        <f>IF(CurrentMtgRatesDataTable811[[#This Row],[WA CC]]&lt;&gt;0,D378-CurrentMtgRatesDataTable811[[#This Row],[WA CC]],0)</f>
        <v>0</v>
      </c>
      <c r="L379" s="24">
        <f>IF(CurrentMtgRatesDataTable811[[#This Row],[Servicing Spread]]&lt;=0,L378,CurrentMtgRatesDataTable811[[#This Row],[Servicing Spread]])</f>
        <v>0.9549130523202578</v>
      </c>
      <c r="M379" s="24">
        <f>CurrentMtgRatesDataTable811[[#This Row],[SeriesNumValue]]+CurrentMtgRatesDataTable811[[#This Row],[Servicing Spread Non-Zero]]</f>
        <v>3.601303580954768</v>
      </c>
    </row>
    <row r="380" spans="2:13" x14ac:dyDescent="0.2">
      <c r="B380" s="27" t="s">
        <v>1061</v>
      </c>
      <c r="C380" s="28">
        <v>2.5315862032348999</v>
      </c>
      <c r="D380" s="26">
        <v>3.5949999999999998</v>
      </c>
      <c r="E380" s="24">
        <f t="shared" si="20"/>
        <v>2</v>
      </c>
      <c r="F380" s="24">
        <f>VLOOKUP(E380,Q$5:R$11,2,FALSE)</f>
        <v>0.2</v>
      </c>
      <c r="G380" s="24">
        <f t="shared" si="21"/>
        <v>2</v>
      </c>
      <c r="H380" s="24">
        <f>IF(G380&gt;G379,H379+C380*F380,C380*F380)</f>
        <v>1.0355953463738821</v>
      </c>
      <c r="I380" s="24">
        <f t="shared" si="22"/>
        <v>0.4</v>
      </c>
      <c r="J380" s="24">
        <f t="shared" si="23"/>
        <v>0</v>
      </c>
      <c r="K380" s="24">
        <f>IF(CurrentMtgRatesDataTable811[[#This Row],[WA CC]]&lt;&gt;0,D379-CurrentMtgRatesDataTable811[[#This Row],[WA CC]],0)</f>
        <v>0</v>
      </c>
      <c r="L380" s="24">
        <f>IF(CurrentMtgRatesDataTable811[[#This Row],[Servicing Spread]]&lt;=0,L379,CurrentMtgRatesDataTable811[[#This Row],[Servicing Spread]])</f>
        <v>0.9549130523202578</v>
      </c>
      <c r="M380" s="24">
        <f>CurrentMtgRatesDataTable811[[#This Row],[SeriesNumValue]]+CurrentMtgRatesDataTable811[[#This Row],[Servicing Spread Non-Zero]]</f>
        <v>3.4864992555551577</v>
      </c>
    </row>
    <row r="381" spans="2:13" x14ac:dyDescent="0.2">
      <c r="B381" s="27" t="s">
        <v>1062</v>
      </c>
      <c r="C381" s="28">
        <v>2.62225605452167</v>
      </c>
      <c r="D381" s="26">
        <v>3.5949999999999998</v>
      </c>
      <c r="E381" s="24">
        <f t="shared" si="20"/>
        <v>5</v>
      </c>
      <c r="F381" s="24">
        <f>VLOOKUP(E381,Q$5:R$11,2,FALSE)</f>
        <v>0.2</v>
      </c>
      <c r="G381" s="24">
        <f t="shared" si="21"/>
        <v>3</v>
      </c>
      <c r="H381" s="24">
        <f>IF(G381&gt;G380,H380+C381*F381,C381*F381)</f>
        <v>1.5600465572782161</v>
      </c>
      <c r="I381" s="24">
        <f t="shared" si="22"/>
        <v>0.60000000000000009</v>
      </c>
      <c r="J381" s="24">
        <f t="shared" si="23"/>
        <v>0</v>
      </c>
      <c r="K381" s="24">
        <f>IF(CurrentMtgRatesDataTable811[[#This Row],[WA CC]]&lt;&gt;0,D380-CurrentMtgRatesDataTable811[[#This Row],[WA CC]],0)</f>
        <v>0</v>
      </c>
      <c r="L381" s="24">
        <f>IF(CurrentMtgRatesDataTable811[[#This Row],[Servicing Spread]]&lt;=0,L380,CurrentMtgRatesDataTable811[[#This Row],[Servicing Spread]])</f>
        <v>0.9549130523202578</v>
      </c>
      <c r="M381" s="24">
        <f>CurrentMtgRatesDataTable811[[#This Row],[SeriesNumValue]]+CurrentMtgRatesDataTable811[[#This Row],[Servicing Spread Non-Zero]]</f>
        <v>3.5771691068419278</v>
      </c>
    </row>
    <row r="382" spans="2:13" x14ac:dyDescent="0.2">
      <c r="B382" s="27" t="s">
        <v>1063</v>
      </c>
      <c r="C382" s="28">
        <v>2.67215902179854</v>
      </c>
      <c r="D382" s="26">
        <v>3.5949999999999998</v>
      </c>
      <c r="E382" s="24">
        <f t="shared" si="20"/>
        <v>6</v>
      </c>
      <c r="F382" s="24">
        <f>VLOOKUP(E382,Q$5:R$11,2,FALSE)</f>
        <v>0.2</v>
      </c>
      <c r="G382" s="24">
        <f t="shared" si="21"/>
        <v>4</v>
      </c>
      <c r="H382" s="24">
        <f>IF(G382&gt;G381,H381+C382*F382,C382*F382)</f>
        <v>2.0944783616379241</v>
      </c>
      <c r="I382" s="24">
        <f t="shared" si="22"/>
        <v>0.8</v>
      </c>
      <c r="J382" s="24">
        <f t="shared" si="23"/>
        <v>0</v>
      </c>
      <c r="K382" s="24">
        <f>IF(CurrentMtgRatesDataTable811[[#This Row],[WA CC]]&lt;&gt;0,D381-CurrentMtgRatesDataTable811[[#This Row],[WA CC]],0)</f>
        <v>0</v>
      </c>
      <c r="L382" s="24">
        <f>IF(CurrentMtgRatesDataTable811[[#This Row],[Servicing Spread]]&lt;=0,L381,CurrentMtgRatesDataTable811[[#This Row],[Servicing Spread]])</f>
        <v>0.9549130523202578</v>
      </c>
      <c r="M382" s="24">
        <f>CurrentMtgRatesDataTable811[[#This Row],[SeriesNumValue]]+CurrentMtgRatesDataTable811[[#This Row],[Servicing Spread Non-Zero]]</f>
        <v>3.6270720741187978</v>
      </c>
    </row>
    <row r="383" spans="2:13" x14ac:dyDescent="0.2">
      <c r="B383" s="27" t="s">
        <v>1064</v>
      </c>
      <c r="C383" s="28">
        <v>2.7069899299945201</v>
      </c>
      <c r="D383" s="26">
        <v>3.5949999999999998</v>
      </c>
      <c r="E383" s="24">
        <f t="shared" si="20"/>
        <v>7</v>
      </c>
      <c r="F383" s="24">
        <f>VLOOKUP(E383,Q$5:R$11,2,FALSE)</f>
        <v>0.2</v>
      </c>
      <c r="G383" s="24">
        <f t="shared" si="21"/>
        <v>5</v>
      </c>
      <c r="H383" s="24">
        <f>IF(G383&gt;G382,H382+C383*F383,C383*F383)</f>
        <v>2.6358763476368283</v>
      </c>
      <c r="I383" s="24">
        <f t="shared" si="22"/>
        <v>1</v>
      </c>
      <c r="J383" s="24">
        <f t="shared" si="23"/>
        <v>2.6358763476368283</v>
      </c>
      <c r="K383" s="24">
        <f>IF(CurrentMtgRatesDataTable811[[#This Row],[WA CC]]&lt;&gt;0,D382-CurrentMtgRatesDataTable811[[#This Row],[WA CC]],0)</f>
        <v>0.95912365236317143</v>
      </c>
      <c r="L383" s="24">
        <f>IF(CurrentMtgRatesDataTable811[[#This Row],[Servicing Spread]]&lt;=0,L382,CurrentMtgRatesDataTable811[[#This Row],[Servicing Spread]])</f>
        <v>0.95912365236317143</v>
      </c>
      <c r="M383" s="24">
        <f>CurrentMtgRatesDataTable811[[#This Row],[SeriesNumValue]]+CurrentMtgRatesDataTable811[[#This Row],[Servicing Spread Non-Zero]]</f>
        <v>3.6661135823576916</v>
      </c>
    </row>
    <row r="384" spans="2:13" x14ac:dyDescent="0.2">
      <c r="B384" s="27" t="s">
        <v>1065</v>
      </c>
      <c r="C384" s="28">
        <v>2.6775785563630401</v>
      </c>
      <c r="D384" s="26">
        <v>3.6349999999999998</v>
      </c>
      <c r="E384" s="24">
        <f t="shared" si="20"/>
        <v>1</v>
      </c>
      <c r="F384" s="24">
        <f>VLOOKUP(E384,Q$5:R$11,2,FALSE)</f>
        <v>0.2</v>
      </c>
      <c r="G384" s="24">
        <f t="shared" si="21"/>
        <v>1</v>
      </c>
      <c r="H384" s="24">
        <f>IF(G384&gt;G383,H383+C384*F384,C384*F384)</f>
        <v>0.535515711272608</v>
      </c>
      <c r="I384" s="24">
        <f t="shared" si="22"/>
        <v>0.2</v>
      </c>
      <c r="J384" s="24">
        <f t="shared" si="23"/>
        <v>0</v>
      </c>
      <c r="K384" s="24">
        <f>IF(CurrentMtgRatesDataTable811[[#This Row],[WA CC]]&lt;&gt;0,D383-CurrentMtgRatesDataTable811[[#This Row],[WA CC]],0)</f>
        <v>0</v>
      </c>
      <c r="L384" s="24">
        <f>IF(CurrentMtgRatesDataTable811[[#This Row],[Servicing Spread]]&lt;=0,L383,CurrentMtgRatesDataTable811[[#This Row],[Servicing Spread]])</f>
        <v>0.95912365236317143</v>
      </c>
      <c r="M384" s="24">
        <f>CurrentMtgRatesDataTable811[[#This Row],[SeriesNumValue]]+CurrentMtgRatesDataTable811[[#This Row],[Servicing Spread Non-Zero]]</f>
        <v>3.6367022087262115</v>
      </c>
    </row>
    <row r="385" spans="2:13" x14ac:dyDescent="0.2">
      <c r="B385" s="27" t="s">
        <v>1066</v>
      </c>
      <c r="C385" s="28">
        <v>2.6791053539735099</v>
      </c>
      <c r="D385" s="26">
        <v>3.6349999999999998</v>
      </c>
      <c r="E385" s="24">
        <f t="shared" si="20"/>
        <v>2</v>
      </c>
      <c r="F385" s="24">
        <f>VLOOKUP(E385,Q$5:R$11,2,FALSE)</f>
        <v>0.2</v>
      </c>
      <c r="G385" s="24">
        <f t="shared" si="21"/>
        <v>2</v>
      </c>
      <c r="H385" s="24">
        <f>IF(G385&gt;G384,H384+C385*F385,C385*F385)</f>
        <v>1.0713367820673101</v>
      </c>
      <c r="I385" s="24">
        <f t="shared" si="22"/>
        <v>0.4</v>
      </c>
      <c r="J385" s="24">
        <f t="shared" si="23"/>
        <v>0</v>
      </c>
      <c r="K385" s="24">
        <f>IF(CurrentMtgRatesDataTable811[[#This Row],[WA CC]]&lt;&gt;0,D384-CurrentMtgRatesDataTable811[[#This Row],[WA CC]],0)</f>
        <v>0</v>
      </c>
      <c r="L385" s="24">
        <f>IF(CurrentMtgRatesDataTable811[[#This Row],[Servicing Spread]]&lt;=0,L384,CurrentMtgRatesDataTable811[[#This Row],[Servicing Spread]])</f>
        <v>0.95912365236317143</v>
      </c>
      <c r="M385" s="24">
        <f>CurrentMtgRatesDataTable811[[#This Row],[SeriesNumValue]]+CurrentMtgRatesDataTable811[[#This Row],[Servicing Spread Non-Zero]]</f>
        <v>3.6382290063366813</v>
      </c>
    </row>
    <row r="386" spans="2:13" x14ac:dyDescent="0.2">
      <c r="B386" s="27" t="s">
        <v>1067</v>
      </c>
      <c r="C386" s="28">
        <v>2.6398968961248501</v>
      </c>
      <c r="D386" s="26">
        <v>3.6349999999999998</v>
      </c>
      <c r="E386" s="24">
        <f t="shared" si="20"/>
        <v>5</v>
      </c>
      <c r="F386" s="24">
        <f>VLOOKUP(E386,Q$5:R$11,2,FALSE)</f>
        <v>0.2</v>
      </c>
      <c r="G386" s="24">
        <f t="shared" si="21"/>
        <v>3</v>
      </c>
      <c r="H386" s="24">
        <f>IF(G386&gt;G385,H385+C386*F386,C386*F386)</f>
        <v>1.5993161612922802</v>
      </c>
      <c r="I386" s="24">
        <f t="shared" si="22"/>
        <v>0.60000000000000009</v>
      </c>
      <c r="J386" s="24">
        <f t="shared" si="23"/>
        <v>0</v>
      </c>
      <c r="K386" s="24">
        <f>IF(CurrentMtgRatesDataTable811[[#This Row],[WA CC]]&lt;&gt;0,D385-CurrentMtgRatesDataTable811[[#This Row],[WA CC]],0)</f>
        <v>0</v>
      </c>
      <c r="L386" s="24">
        <f>IF(CurrentMtgRatesDataTable811[[#This Row],[Servicing Spread]]&lt;=0,L385,CurrentMtgRatesDataTable811[[#This Row],[Servicing Spread]])</f>
        <v>0.95912365236317143</v>
      </c>
      <c r="M386" s="24">
        <f>CurrentMtgRatesDataTable811[[#This Row],[SeriesNumValue]]+CurrentMtgRatesDataTable811[[#This Row],[Servicing Spread Non-Zero]]</f>
        <v>3.5990205484880216</v>
      </c>
    </row>
    <row r="387" spans="2:13" x14ac:dyDescent="0.2">
      <c r="B387" s="27" t="s">
        <v>1068</v>
      </c>
      <c r="C387" s="28">
        <v>2.6959588926221301</v>
      </c>
      <c r="D387" s="26">
        <v>3.6349999999999998</v>
      </c>
      <c r="E387" s="24">
        <f t="shared" ref="E387:E450" si="24">WEEKDAY(B387,14)</f>
        <v>6</v>
      </c>
      <c r="F387" s="24">
        <f>VLOOKUP(E387,Q$5:R$11,2,FALSE)</f>
        <v>0.2</v>
      </c>
      <c r="G387" s="24">
        <f t="shared" ref="G387:G450" si="25">IF(AND(E387&gt;E386,G386&lt;6),G386+1,1)</f>
        <v>4</v>
      </c>
      <c r="H387" s="24">
        <f>IF(G387&gt;G386,H386+C387*F387,C387*F387)</f>
        <v>2.1385079398167059</v>
      </c>
      <c r="I387" s="24">
        <f t="shared" ref="I387:I450" si="26">IF(AND(G387&lt;6,G387&gt;G386),F387+I386,F387)</f>
        <v>0.8</v>
      </c>
      <c r="J387" s="24">
        <f t="shared" ref="J387:J450" si="27">IF(G387&gt;G388,H387/I387,0)</f>
        <v>0</v>
      </c>
      <c r="K387" s="24">
        <f>IF(CurrentMtgRatesDataTable811[[#This Row],[WA CC]]&lt;&gt;0,D386-CurrentMtgRatesDataTable811[[#This Row],[WA CC]],0)</f>
        <v>0</v>
      </c>
      <c r="L387" s="24">
        <f>IF(CurrentMtgRatesDataTable811[[#This Row],[Servicing Spread]]&lt;=0,L386,CurrentMtgRatesDataTable811[[#This Row],[Servicing Spread]])</f>
        <v>0.95912365236317143</v>
      </c>
      <c r="M387" s="24">
        <f>CurrentMtgRatesDataTable811[[#This Row],[SeriesNumValue]]+CurrentMtgRatesDataTable811[[#This Row],[Servicing Spread Non-Zero]]</f>
        <v>3.6550825449853015</v>
      </c>
    </row>
    <row r="388" spans="2:13" x14ac:dyDescent="0.2">
      <c r="B388" s="27" t="s">
        <v>1069</v>
      </c>
      <c r="C388" s="28">
        <v>2.6525646200106201</v>
      </c>
      <c r="D388" s="26">
        <v>3.6349999999999998</v>
      </c>
      <c r="E388" s="24">
        <f t="shared" si="24"/>
        <v>7</v>
      </c>
      <c r="F388" s="24">
        <f>VLOOKUP(E388,Q$5:R$11,2,FALSE)</f>
        <v>0.2</v>
      </c>
      <c r="G388" s="24">
        <f t="shared" si="25"/>
        <v>5</v>
      </c>
      <c r="H388" s="24">
        <f>IF(G388&gt;G387,H387+C388*F388,C388*F388)</f>
        <v>2.66902086381883</v>
      </c>
      <c r="I388" s="24">
        <f t="shared" si="26"/>
        <v>1</v>
      </c>
      <c r="J388" s="24">
        <f t="shared" si="27"/>
        <v>2.66902086381883</v>
      </c>
      <c r="K388" s="24">
        <f>IF(CurrentMtgRatesDataTable811[[#This Row],[WA CC]]&lt;&gt;0,D387-CurrentMtgRatesDataTable811[[#This Row],[WA CC]],0)</f>
        <v>0.96597913618116982</v>
      </c>
      <c r="L388" s="24">
        <f>IF(CurrentMtgRatesDataTable811[[#This Row],[Servicing Spread]]&lt;=0,L387,CurrentMtgRatesDataTable811[[#This Row],[Servicing Spread]])</f>
        <v>0.96597913618116982</v>
      </c>
      <c r="M388" s="24">
        <f>CurrentMtgRatesDataTable811[[#This Row],[SeriesNumValue]]+CurrentMtgRatesDataTable811[[#This Row],[Servicing Spread Non-Zero]]</f>
        <v>3.6185437561917899</v>
      </c>
    </row>
    <row r="389" spans="2:13" x14ac:dyDescent="0.2">
      <c r="B389" s="27" t="s">
        <v>1070</v>
      </c>
      <c r="C389" s="28">
        <v>2.63093877997242</v>
      </c>
      <c r="D389" s="26">
        <v>3.585</v>
      </c>
      <c r="E389" s="24">
        <f t="shared" si="24"/>
        <v>1</v>
      </c>
      <c r="F389" s="24">
        <f>VLOOKUP(E389,Q$5:R$11,2,FALSE)</f>
        <v>0.2</v>
      </c>
      <c r="G389" s="24">
        <f t="shared" si="25"/>
        <v>1</v>
      </c>
      <c r="H389" s="24">
        <f>IF(G389&gt;G388,H388+C389*F389,C389*F389)</f>
        <v>0.52618775599448397</v>
      </c>
      <c r="I389" s="24">
        <f t="shared" si="26"/>
        <v>0.2</v>
      </c>
      <c r="J389" s="24">
        <f t="shared" si="27"/>
        <v>0</v>
      </c>
      <c r="K389" s="24">
        <f>IF(CurrentMtgRatesDataTable811[[#This Row],[WA CC]]&lt;&gt;0,D388-CurrentMtgRatesDataTable811[[#This Row],[WA CC]],0)</f>
        <v>0</v>
      </c>
      <c r="L389" s="24">
        <f>IF(CurrentMtgRatesDataTable811[[#This Row],[Servicing Spread]]&lt;=0,L388,CurrentMtgRatesDataTable811[[#This Row],[Servicing Spread]])</f>
        <v>0.96597913618116982</v>
      </c>
      <c r="M389" s="24">
        <f>CurrentMtgRatesDataTable811[[#This Row],[SeriesNumValue]]+CurrentMtgRatesDataTable811[[#This Row],[Servicing Spread Non-Zero]]</f>
        <v>3.5969179161535898</v>
      </c>
    </row>
    <row r="390" spans="2:13" x14ac:dyDescent="0.2">
      <c r="B390" s="27" t="s">
        <v>1071</v>
      </c>
      <c r="C390" s="28">
        <v>2.6135481549442598</v>
      </c>
      <c r="D390" s="26">
        <v>3.585</v>
      </c>
      <c r="E390" s="24">
        <f t="shared" si="24"/>
        <v>2</v>
      </c>
      <c r="F390" s="24">
        <f>VLOOKUP(E390,Q$5:R$11,2,FALSE)</f>
        <v>0.2</v>
      </c>
      <c r="G390" s="24">
        <f t="shared" si="25"/>
        <v>2</v>
      </c>
      <c r="H390" s="24">
        <f>IF(G390&gt;G389,H389+C390*F390,C390*F390)</f>
        <v>1.048897386983336</v>
      </c>
      <c r="I390" s="24">
        <f t="shared" si="26"/>
        <v>0.4</v>
      </c>
      <c r="J390" s="24">
        <f t="shared" si="27"/>
        <v>0</v>
      </c>
      <c r="K390" s="24">
        <f>IF(CurrentMtgRatesDataTable811[[#This Row],[WA CC]]&lt;&gt;0,D389-CurrentMtgRatesDataTable811[[#This Row],[WA CC]],0)</f>
        <v>0</v>
      </c>
      <c r="L390" s="24">
        <f>IF(CurrentMtgRatesDataTable811[[#This Row],[Servicing Spread]]&lt;=0,L389,CurrentMtgRatesDataTable811[[#This Row],[Servicing Spread]])</f>
        <v>0.96597913618116982</v>
      </c>
      <c r="M390" s="24">
        <f>CurrentMtgRatesDataTable811[[#This Row],[SeriesNumValue]]+CurrentMtgRatesDataTable811[[#This Row],[Servicing Spread Non-Zero]]</f>
        <v>3.5795272911254297</v>
      </c>
    </row>
    <row r="391" spans="2:13" x14ac:dyDescent="0.2">
      <c r="B391" s="27" t="s">
        <v>1072</v>
      </c>
      <c r="C391" s="28">
        <v>2.5951502868946998</v>
      </c>
      <c r="D391" s="26">
        <v>3.585</v>
      </c>
      <c r="E391" s="24">
        <f t="shared" si="24"/>
        <v>5</v>
      </c>
      <c r="F391" s="24">
        <f>VLOOKUP(E391,Q$5:R$11,2,FALSE)</f>
        <v>0.2</v>
      </c>
      <c r="G391" s="24">
        <f t="shared" si="25"/>
        <v>3</v>
      </c>
      <c r="H391" s="24">
        <f>IF(G391&gt;G390,H390+C391*F391,C391*F391)</f>
        <v>1.5679274443622759</v>
      </c>
      <c r="I391" s="24">
        <f t="shared" si="26"/>
        <v>0.60000000000000009</v>
      </c>
      <c r="J391" s="24">
        <f t="shared" si="27"/>
        <v>0</v>
      </c>
      <c r="K391" s="24">
        <f>IF(CurrentMtgRatesDataTable811[[#This Row],[WA CC]]&lt;&gt;0,D390-CurrentMtgRatesDataTable811[[#This Row],[WA CC]],0)</f>
        <v>0</v>
      </c>
      <c r="L391" s="24">
        <f>IF(CurrentMtgRatesDataTable811[[#This Row],[Servicing Spread]]&lt;=0,L390,CurrentMtgRatesDataTable811[[#This Row],[Servicing Spread]])</f>
        <v>0.96597913618116982</v>
      </c>
      <c r="M391" s="24">
        <f>CurrentMtgRatesDataTable811[[#This Row],[SeriesNumValue]]+CurrentMtgRatesDataTable811[[#This Row],[Servicing Spread Non-Zero]]</f>
        <v>3.5611294230758697</v>
      </c>
    </row>
    <row r="392" spans="2:13" x14ac:dyDescent="0.2">
      <c r="B392" s="27" t="s">
        <v>1073</v>
      </c>
      <c r="C392" s="28">
        <v>2.5989008122860202</v>
      </c>
      <c r="D392" s="26">
        <v>3.585</v>
      </c>
      <c r="E392" s="24">
        <f t="shared" si="24"/>
        <v>6</v>
      </c>
      <c r="F392" s="24">
        <f>VLOOKUP(E392,Q$5:R$11,2,FALSE)</f>
        <v>0.2</v>
      </c>
      <c r="G392" s="24">
        <f t="shared" si="25"/>
        <v>4</v>
      </c>
      <c r="H392" s="24">
        <f>IF(G392&gt;G391,H391+C392*F392,C392*F392)</f>
        <v>2.08770760681948</v>
      </c>
      <c r="I392" s="24">
        <f t="shared" si="26"/>
        <v>0.8</v>
      </c>
      <c r="J392" s="24">
        <f t="shared" si="27"/>
        <v>0</v>
      </c>
      <c r="K392" s="24">
        <f>IF(CurrentMtgRatesDataTable811[[#This Row],[WA CC]]&lt;&gt;0,D391-CurrentMtgRatesDataTable811[[#This Row],[WA CC]],0)</f>
        <v>0</v>
      </c>
      <c r="L392" s="24">
        <f>IF(CurrentMtgRatesDataTable811[[#This Row],[Servicing Spread]]&lt;=0,L391,CurrentMtgRatesDataTable811[[#This Row],[Servicing Spread]])</f>
        <v>0.96597913618116982</v>
      </c>
      <c r="M392" s="24">
        <f>CurrentMtgRatesDataTable811[[#This Row],[SeriesNumValue]]+CurrentMtgRatesDataTable811[[#This Row],[Servicing Spread Non-Zero]]</f>
        <v>3.56487994846719</v>
      </c>
    </row>
    <row r="393" spans="2:13" x14ac:dyDescent="0.2">
      <c r="B393" s="27" t="s">
        <v>1074</v>
      </c>
      <c r="C393" s="28">
        <v>2.6422120111570599</v>
      </c>
      <c r="D393" s="26">
        <v>3.585</v>
      </c>
      <c r="E393" s="24">
        <f t="shared" si="24"/>
        <v>7</v>
      </c>
      <c r="F393" s="24">
        <f>VLOOKUP(E393,Q$5:R$11,2,FALSE)</f>
        <v>0.2</v>
      </c>
      <c r="G393" s="24">
        <f t="shared" si="25"/>
        <v>5</v>
      </c>
      <c r="H393" s="24">
        <f>IF(G393&gt;G392,H392+C393*F393,C393*F393)</f>
        <v>2.6161500090508918</v>
      </c>
      <c r="I393" s="24">
        <f t="shared" si="26"/>
        <v>1</v>
      </c>
      <c r="J393" s="24">
        <f t="shared" si="27"/>
        <v>2.6161500090508918</v>
      </c>
      <c r="K393" s="24">
        <f>IF(CurrentMtgRatesDataTable811[[#This Row],[WA CC]]&lt;&gt;0,D392-CurrentMtgRatesDataTable811[[#This Row],[WA CC]],0)</f>
        <v>0.96884999094910818</v>
      </c>
      <c r="L393" s="24">
        <f>IF(CurrentMtgRatesDataTable811[[#This Row],[Servicing Spread]]&lt;=0,L392,CurrentMtgRatesDataTable811[[#This Row],[Servicing Spread]])</f>
        <v>0.96884999094910818</v>
      </c>
      <c r="M393" s="24">
        <f>CurrentMtgRatesDataTable811[[#This Row],[SeriesNumValue]]+CurrentMtgRatesDataTable811[[#This Row],[Servicing Spread Non-Zero]]</f>
        <v>3.6110620021061681</v>
      </c>
    </row>
    <row r="394" spans="2:13" x14ac:dyDescent="0.2">
      <c r="B394" s="27" t="s">
        <v>1075</v>
      </c>
      <c r="C394" s="28">
        <v>2.61404533663225</v>
      </c>
      <c r="D394" s="26">
        <v>3.585</v>
      </c>
      <c r="E394" s="24">
        <f t="shared" si="24"/>
        <v>1</v>
      </c>
      <c r="F394" s="24">
        <f>VLOOKUP(E394,Q$5:R$11,2,FALSE)</f>
        <v>0.2</v>
      </c>
      <c r="G394" s="24">
        <f t="shared" si="25"/>
        <v>1</v>
      </c>
      <c r="H394" s="24">
        <f>IF(G394&gt;G393,H393+C394*F394,C394*F394)</f>
        <v>0.52280906732645005</v>
      </c>
      <c r="I394" s="24">
        <f t="shared" si="26"/>
        <v>0.2</v>
      </c>
      <c r="J394" s="24">
        <f t="shared" si="27"/>
        <v>0</v>
      </c>
      <c r="K394" s="24">
        <f>IF(CurrentMtgRatesDataTable811[[#This Row],[WA CC]]&lt;&gt;0,D393-CurrentMtgRatesDataTable811[[#This Row],[WA CC]],0)</f>
        <v>0</v>
      </c>
      <c r="L394" s="24">
        <f>IF(CurrentMtgRatesDataTable811[[#This Row],[Servicing Spread]]&lt;=0,L393,CurrentMtgRatesDataTable811[[#This Row],[Servicing Spread]])</f>
        <v>0.96884999094910818</v>
      </c>
      <c r="M394" s="24">
        <f>CurrentMtgRatesDataTable811[[#This Row],[SeriesNumValue]]+CurrentMtgRatesDataTable811[[#This Row],[Servicing Spread Non-Zero]]</f>
        <v>3.5828953275813582</v>
      </c>
    </row>
    <row r="395" spans="2:13" x14ac:dyDescent="0.2">
      <c r="B395" s="27" t="s">
        <v>1076</v>
      </c>
      <c r="C395" s="28">
        <v>2.6681925280418901</v>
      </c>
      <c r="D395" s="26">
        <v>3.585</v>
      </c>
      <c r="E395" s="24">
        <f t="shared" si="24"/>
        <v>2</v>
      </c>
      <c r="F395" s="24">
        <f>VLOOKUP(E395,Q$5:R$11,2,FALSE)</f>
        <v>0.2</v>
      </c>
      <c r="G395" s="24">
        <f t="shared" si="25"/>
        <v>2</v>
      </c>
      <c r="H395" s="24">
        <f>IF(G395&gt;G394,H394+C395*F395,C395*F395)</f>
        <v>1.0564475729348279</v>
      </c>
      <c r="I395" s="24">
        <f t="shared" si="26"/>
        <v>0.4</v>
      </c>
      <c r="J395" s="24">
        <f t="shared" si="27"/>
        <v>0</v>
      </c>
      <c r="K395" s="24">
        <f>IF(CurrentMtgRatesDataTable811[[#This Row],[WA CC]]&lt;&gt;0,D394-CurrentMtgRatesDataTable811[[#This Row],[WA CC]],0)</f>
        <v>0</v>
      </c>
      <c r="L395" s="24">
        <f>IF(CurrentMtgRatesDataTable811[[#This Row],[Servicing Spread]]&lt;=0,L394,CurrentMtgRatesDataTable811[[#This Row],[Servicing Spread]])</f>
        <v>0.96884999094910818</v>
      </c>
      <c r="M395" s="24">
        <f>CurrentMtgRatesDataTable811[[#This Row],[SeriesNumValue]]+CurrentMtgRatesDataTable811[[#This Row],[Servicing Spread Non-Zero]]</f>
        <v>3.6370425189909983</v>
      </c>
    </row>
    <row r="396" spans="2:13" x14ac:dyDescent="0.2">
      <c r="B396" s="27" t="s">
        <v>1077</v>
      </c>
      <c r="C396" s="28">
        <v>2.57850061271707</v>
      </c>
      <c r="D396" s="26">
        <v>3.585</v>
      </c>
      <c r="E396" s="24">
        <f t="shared" si="24"/>
        <v>5</v>
      </c>
      <c r="F396" s="24">
        <f>VLOOKUP(E396,Q$5:R$11,2,FALSE)</f>
        <v>0.2</v>
      </c>
      <c r="G396" s="24">
        <f t="shared" si="25"/>
        <v>3</v>
      </c>
      <c r="H396" s="24">
        <f>IF(G396&gt;G395,H395+C396*F396,C396*F396)</f>
        <v>1.5721476954782418</v>
      </c>
      <c r="I396" s="24">
        <f t="shared" si="26"/>
        <v>0.60000000000000009</v>
      </c>
      <c r="J396" s="24">
        <f t="shared" si="27"/>
        <v>0</v>
      </c>
      <c r="K396" s="24">
        <f>IF(CurrentMtgRatesDataTable811[[#This Row],[WA CC]]&lt;&gt;0,D395-CurrentMtgRatesDataTable811[[#This Row],[WA CC]],0)</f>
        <v>0</v>
      </c>
      <c r="L396" s="24">
        <f>IF(CurrentMtgRatesDataTable811[[#This Row],[Servicing Spread]]&lt;=0,L395,CurrentMtgRatesDataTable811[[#This Row],[Servicing Spread]])</f>
        <v>0.96884999094910818</v>
      </c>
      <c r="M396" s="24">
        <f>CurrentMtgRatesDataTable811[[#This Row],[SeriesNumValue]]+CurrentMtgRatesDataTable811[[#This Row],[Servicing Spread Non-Zero]]</f>
        <v>3.5473506036661782</v>
      </c>
    </row>
    <row r="397" spans="2:13" x14ac:dyDescent="0.2">
      <c r="B397" s="27" t="s">
        <v>1078</v>
      </c>
      <c r="C397" s="28">
        <v>2.6163872152587899</v>
      </c>
      <c r="D397" s="26">
        <v>3.585</v>
      </c>
      <c r="E397" s="24">
        <f t="shared" si="24"/>
        <v>6</v>
      </c>
      <c r="F397" s="24">
        <f>VLOOKUP(E397,Q$5:R$11,2,FALSE)</f>
        <v>0.2</v>
      </c>
      <c r="G397" s="24">
        <f t="shared" si="25"/>
        <v>4</v>
      </c>
      <c r="H397" s="24">
        <f>IF(G397&gt;G396,H396+C397*F397,C397*F397)</f>
        <v>2.09542513853</v>
      </c>
      <c r="I397" s="24">
        <f t="shared" si="26"/>
        <v>0.8</v>
      </c>
      <c r="J397" s="24">
        <f t="shared" si="27"/>
        <v>0</v>
      </c>
      <c r="K397" s="24">
        <f>IF(CurrentMtgRatesDataTable811[[#This Row],[WA CC]]&lt;&gt;0,D396-CurrentMtgRatesDataTable811[[#This Row],[WA CC]],0)</f>
        <v>0</v>
      </c>
      <c r="L397" s="24">
        <f>IF(CurrentMtgRatesDataTable811[[#This Row],[Servicing Spread]]&lt;=0,L396,CurrentMtgRatesDataTable811[[#This Row],[Servicing Spread]])</f>
        <v>0.96884999094910818</v>
      </c>
      <c r="M397" s="24">
        <f>CurrentMtgRatesDataTable811[[#This Row],[SeriesNumValue]]+CurrentMtgRatesDataTable811[[#This Row],[Servicing Spread Non-Zero]]</f>
        <v>3.5852372062078981</v>
      </c>
    </row>
    <row r="398" spans="2:13" x14ac:dyDescent="0.2">
      <c r="B398" s="27" t="s">
        <v>1079</v>
      </c>
      <c r="C398" s="28">
        <v>2.5886723749410501</v>
      </c>
      <c r="D398" s="26">
        <v>3.585</v>
      </c>
      <c r="E398" s="24">
        <f t="shared" si="24"/>
        <v>7</v>
      </c>
      <c r="F398" s="24">
        <f>VLOOKUP(E398,Q$5:R$11,2,FALSE)</f>
        <v>0.2</v>
      </c>
      <c r="G398" s="24">
        <f t="shared" si="25"/>
        <v>5</v>
      </c>
      <c r="H398" s="24">
        <f>IF(G398&gt;G397,H397+C398*F398,C398*F398)</f>
        <v>2.61315961351821</v>
      </c>
      <c r="I398" s="24">
        <f t="shared" si="26"/>
        <v>1</v>
      </c>
      <c r="J398" s="24">
        <f t="shared" si="27"/>
        <v>2.61315961351821</v>
      </c>
      <c r="K398" s="24">
        <f>IF(CurrentMtgRatesDataTable811[[#This Row],[WA CC]]&lt;&gt;0,D397-CurrentMtgRatesDataTable811[[#This Row],[WA CC]],0)</f>
        <v>0.97184038648178994</v>
      </c>
      <c r="L398" s="24">
        <f>IF(CurrentMtgRatesDataTable811[[#This Row],[Servicing Spread]]&lt;=0,L397,CurrentMtgRatesDataTable811[[#This Row],[Servicing Spread]])</f>
        <v>0.97184038648178994</v>
      </c>
      <c r="M398" s="24">
        <f>CurrentMtgRatesDataTable811[[#This Row],[SeriesNumValue]]+CurrentMtgRatesDataTable811[[#This Row],[Servicing Spread Non-Zero]]</f>
        <v>3.56051276142284</v>
      </c>
    </row>
    <row r="399" spans="2:13" x14ac:dyDescent="0.2">
      <c r="B399" s="27" t="s">
        <v>1080</v>
      </c>
      <c r="C399" s="28">
        <v>2.5509636037861898</v>
      </c>
      <c r="D399" s="26">
        <v>3.5700000000000003</v>
      </c>
      <c r="E399" s="24">
        <f t="shared" si="24"/>
        <v>1</v>
      </c>
      <c r="F399" s="24">
        <f>VLOOKUP(E399,Q$5:R$11,2,FALSE)</f>
        <v>0.2</v>
      </c>
      <c r="G399" s="24">
        <f t="shared" si="25"/>
        <v>1</v>
      </c>
      <c r="H399" s="24">
        <f>IF(G399&gt;G398,H398+C399*F399,C399*F399)</f>
        <v>0.51019272075723798</v>
      </c>
      <c r="I399" s="24">
        <f t="shared" si="26"/>
        <v>0.2</v>
      </c>
      <c r="J399" s="24">
        <f t="shared" si="27"/>
        <v>0</v>
      </c>
      <c r="K399" s="24">
        <f>IF(CurrentMtgRatesDataTable811[[#This Row],[WA CC]]&lt;&gt;0,D398-CurrentMtgRatesDataTable811[[#This Row],[WA CC]],0)</f>
        <v>0</v>
      </c>
      <c r="L399" s="24">
        <f>IF(CurrentMtgRatesDataTable811[[#This Row],[Servicing Spread]]&lt;=0,L398,CurrentMtgRatesDataTable811[[#This Row],[Servicing Spread]])</f>
        <v>0.97184038648178994</v>
      </c>
      <c r="M399" s="24">
        <f>CurrentMtgRatesDataTable811[[#This Row],[SeriesNumValue]]+CurrentMtgRatesDataTable811[[#This Row],[Servicing Spread Non-Zero]]</f>
        <v>3.5228039902679797</v>
      </c>
    </row>
    <row r="400" spans="2:13" x14ac:dyDescent="0.2">
      <c r="B400" s="27" t="s">
        <v>1081</v>
      </c>
      <c r="C400" s="28">
        <v>2.6237188553228199</v>
      </c>
      <c r="D400" s="26">
        <v>3.5700000000000003</v>
      </c>
      <c r="E400" s="24">
        <f t="shared" si="24"/>
        <v>2</v>
      </c>
      <c r="F400" s="24">
        <f>VLOOKUP(E400,Q$5:R$11,2,FALSE)</f>
        <v>0.2</v>
      </c>
      <c r="G400" s="24">
        <f t="shared" si="25"/>
        <v>2</v>
      </c>
      <c r="H400" s="24">
        <f>IF(G400&gt;G399,H399+C400*F400,C400*F400)</f>
        <v>1.034936491821802</v>
      </c>
      <c r="I400" s="24">
        <f t="shared" si="26"/>
        <v>0.4</v>
      </c>
      <c r="J400" s="24">
        <f t="shared" si="27"/>
        <v>0</v>
      </c>
      <c r="K400" s="24">
        <f>IF(CurrentMtgRatesDataTable811[[#This Row],[WA CC]]&lt;&gt;0,D399-CurrentMtgRatesDataTable811[[#This Row],[WA CC]],0)</f>
        <v>0</v>
      </c>
      <c r="L400" s="24">
        <f>IF(CurrentMtgRatesDataTable811[[#This Row],[Servicing Spread]]&lt;=0,L399,CurrentMtgRatesDataTable811[[#This Row],[Servicing Spread]])</f>
        <v>0.97184038648178994</v>
      </c>
      <c r="M400" s="24">
        <f>CurrentMtgRatesDataTable811[[#This Row],[SeriesNumValue]]+CurrentMtgRatesDataTable811[[#This Row],[Servicing Spread Non-Zero]]</f>
        <v>3.5955592418046098</v>
      </c>
    </row>
    <row r="401" spans="2:13" x14ac:dyDescent="0.2">
      <c r="B401" s="27" t="s">
        <v>1082</v>
      </c>
      <c r="C401" s="28">
        <v>2.54531844167705</v>
      </c>
      <c r="D401" s="26">
        <v>3.5700000000000003</v>
      </c>
      <c r="E401" s="24">
        <f t="shared" si="24"/>
        <v>5</v>
      </c>
      <c r="F401" s="24">
        <f>VLOOKUP(E401,Q$5:R$11,2,FALSE)</f>
        <v>0.2</v>
      </c>
      <c r="G401" s="24">
        <f t="shared" si="25"/>
        <v>3</v>
      </c>
      <c r="H401" s="24">
        <f>IF(G401&gt;G400,H400+C401*F401,C401*F401)</f>
        <v>1.5440001801572121</v>
      </c>
      <c r="I401" s="24">
        <f t="shared" si="26"/>
        <v>0.60000000000000009</v>
      </c>
      <c r="J401" s="24">
        <f t="shared" si="27"/>
        <v>0</v>
      </c>
      <c r="K401" s="24">
        <f>IF(CurrentMtgRatesDataTable811[[#This Row],[WA CC]]&lt;&gt;0,D400-CurrentMtgRatesDataTable811[[#This Row],[WA CC]],0)</f>
        <v>0</v>
      </c>
      <c r="L401" s="24">
        <f>IF(CurrentMtgRatesDataTable811[[#This Row],[Servicing Spread]]&lt;=0,L400,CurrentMtgRatesDataTable811[[#This Row],[Servicing Spread]])</f>
        <v>0.97184038648178994</v>
      </c>
      <c r="M401" s="24">
        <f>CurrentMtgRatesDataTable811[[#This Row],[SeriesNumValue]]+CurrentMtgRatesDataTable811[[#This Row],[Servicing Spread Non-Zero]]</f>
        <v>3.51715882815884</v>
      </c>
    </row>
    <row r="402" spans="2:13" x14ac:dyDescent="0.2">
      <c r="B402" s="27" t="s">
        <v>1083</v>
      </c>
      <c r="C402" s="28">
        <v>2.58328220354782</v>
      </c>
      <c r="D402" s="26">
        <v>3.5700000000000003</v>
      </c>
      <c r="E402" s="24">
        <f t="shared" si="24"/>
        <v>6</v>
      </c>
      <c r="F402" s="24">
        <f>VLOOKUP(E402,Q$5:R$11,2,FALSE)</f>
        <v>0.2</v>
      </c>
      <c r="G402" s="24">
        <f t="shared" si="25"/>
        <v>4</v>
      </c>
      <c r="H402" s="24">
        <f>IF(G402&gt;G401,H401+C402*F402,C402*F402)</f>
        <v>2.060656620866776</v>
      </c>
      <c r="I402" s="24">
        <f t="shared" si="26"/>
        <v>0.8</v>
      </c>
      <c r="J402" s="24">
        <f t="shared" si="27"/>
        <v>2.5758207760834697</v>
      </c>
      <c r="K402" s="24">
        <f>IF(CurrentMtgRatesDataTable811[[#This Row],[WA CC]]&lt;&gt;0,D401-CurrentMtgRatesDataTable811[[#This Row],[WA CC]],0)</f>
        <v>0.99417922391653057</v>
      </c>
      <c r="L402" s="24">
        <f>IF(CurrentMtgRatesDataTable811[[#This Row],[Servicing Spread]]&lt;=0,L401,CurrentMtgRatesDataTable811[[#This Row],[Servicing Spread]])</f>
        <v>0.99417922391653057</v>
      </c>
      <c r="M402" s="24">
        <f>CurrentMtgRatesDataTable811[[#This Row],[SeriesNumValue]]+CurrentMtgRatesDataTable811[[#This Row],[Servicing Spread Non-Zero]]</f>
        <v>3.5774614274643506</v>
      </c>
    </row>
    <row r="403" spans="2:13" x14ac:dyDescent="0.2">
      <c r="B403" s="27" t="s">
        <v>1084</v>
      </c>
      <c r="C403" s="28">
        <v>2.5563795134905498</v>
      </c>
      <c r="D403" s="26">
        <v>3.4849999999999999</v>
      </c>
      <c r="E403" s="24">
        <f t="shared" si="24"/>
        <v>1</v>
      </c>
      <c r="F403" s="24">
        <f>VLOOKUP(E403,Q$5:R$11,2,FALSE)</f>
        <v>0.2</v>
      </c>
      <c r="G403" s="24">
        <f t="shared" si="25"/>
        <v>1</v>
      </c>
      <c r="H403" s="24">
        <f>IF(G403&gt;G402,H402+C403*F403,C403*F403)</f>
        <v>0.51127590269810996</v>
      </c>
      <c r="I403" s="24">
        <f t="shared" si="26"/>
        <v>0.2</v>
      </c>
      <c r="J403" s="24">
        <f t="shared" si="27"/>
        <v>0</v>
      </c>
      <c r="K403" s="24">
        <f>IF(CurrentMtgRatesDataTable811[[#This Row],[WA CC]]&lt;&gt;0,D402-CurrentMtgRatesDataTable811[[#This Row],[WA CC]],0)</f>
        <v>0</v>
      </c>
      <c r="L403" s="24">
        <f>IF(CurrentMtgRatesDataTable811[[#This Row],[Servicing Spread]]&lt;=0,L402,CurrentMtgRatesDataTable811[[#This Row],[Servicing Spread]])</f>
        <v>0.99417922391653057</v>
      </c>
      <c r="M403" s="24">
        <f>CurrentMtgRatesDataTable811[[#This Row],[SeriesNumValue]]+CurrentMtgRatesDataTable811[[#This Row],[Servicing Spread Non-Zero]]</f>
        <v>3.5505587374070804</v>
      </c>
    </row>
    <row r="404" spans="2:13" x14ac:dyDescent="0.2">
      <c r="B404" s="27" t="s">
        <v>1085</v>
      </c>
      <c r="C404" s="28">
        <v>2.4766480457309101</v>
      </c>
      <c r="D404" s="26">
        <v>3.4849999999999999</v>
      </c>
      <c r="E404" s="24">
        <f t="shared" si="24"/>
        <v>2</v>
      </c>
      <c r="F404" s="24">
        <f>VLOOKUP(E404,Q$5:R$11,2,FALSE)</f>
        <v>0.2</v>
      </c>
      <c r="G404" s="24">
        <f t="shared" si="25"/>
        <v>2</v>
      </c>
      <c r="H404" s="24">
        <f>IF(G404&gt;G403,H403+C404*F404,C404*F404)</f>
        <v>1.006605511844292</v>
      </c>
      <c r="I404" s="24">
        <f t="shared" si="26"/>
        <v>0.4</v>
      </c>
      <c r="J404" s="24">
        <f t="shared" si="27"/>
        <v>0</v>
      </c>
      <c r="K404" s="24">
        <f>IF(CurrentMtgRatesDataTable811[[#This Row],[WA CC]]&lt;&gt;0,D403-CurrentMtgRatesDataTable811[[#This Row],[WA CC]],0)</f>
        <v>0</v>
      </c>
      <c r="L404" s="24">
        <f>IF(CurrentMtgRatesDataTable811[[#This Row],[Servicing Spread]]&lt;=0,L403,CurrentMtgRatesDataTable811[[#This Row],[Servicing Spread]])</f>
        <v>0.99417922391653057</v>
      </c>
      <c r="M404" s="24">
        <f>CurrentMtgRatesDataTable811[[#This Row],[SeriesNumValue]]+CurrentMtgRatesDataTable811[[#This Row],[Servicing Spread Non-Zero]]</f>
        <v>3.4708272696474407</v>
      </c>
    </row>
    <row r="405" spans="2:13" x14ac:dyDescent="0.2">
      <c r="B405" s="27" t="s">
        <v>1086</v>
      </c>
      <c r="C405" s="28">
        <v>2.4491972100580299</v>
      </c>
      <c r="D405" s="26">
        <v>3.4849999999999999</v>
      </c>
      <c r="E405" s="24">
        <f t="shared" si="24"/>
        <v>5</v>
      </c>
      <c r="F405" s="24">
        <f>VLOOKUP(E405,Q$5:R$11,2,FALSE)</f>
        <v>0.2</v>
      </c>
      <c r="G405" s="24">
        <f t="shared" si="25"/>
        <v>3</v>
      </c>
      <c r="H405" s="24">
        <f>IF(G405&gt;G404,H404+C405*F405,C405*F405)</f>
        <v>1.4964449538558982</v>
      </c>
      <c r="I405" s="24">
        <f t="shared" si="26"/>
        <v>0.60000000000000009</v>
      </c>
      <c r="J405" s="24">
        <f t="shared" si="27"/>
        <v>0</v>
      </c>
      <c r="K405" s="24">
        <f>IF(CurrentMtgRatesDataTable811[[#This Row],[WA CC]]&lt;&gt;0,D404-CurrentMtgRatesDataTable811[[#This Row],[WA CC]],0)</f>
        <v>0</v>
      </c>
      <c r="L405" s="24">
        <f>IF(CurrentMtgRatesDataTable811[[#This Row],[Servicing Spread]]&lt;=0,L404,CurrentMtgRatesDataTable811[[#This Row],[Servicing Spread]])</f>
        <v>0.99417922391653057</v>
      </c>
      <c r="M405" s="24">
        <f>CurrentMtgRatesDataTable811[[#This Row],[SeriesNumValue]]+CurrentMtgRatesDataTable811[[#This Row],[Servicing Spread Non-Zero]]</f>
        <v>3.4433764339745605</v>
      </c>
    </row>
    <row r="406" spans="2:13" x14ac:dyDescent="0.2">
      <c r="B406" s="27" t="s">
        <v>1087</v>
      </c>
      <c r="C406" s="28">
        <v>2.42302981927218</v>
      </c>
      <c r="D406" s="26">
        <v>3.4849999999999999</v>
      </c>
      <c r="E406" s="24">
        <f t="shared" si="24"/>
        <v>6</v>
      </c>
      <c r="F406" s="24">
        <f>VLOOKUP(E406,Q$5:R$11,2,FALSE)</f>
        <v>0.2</v>
      </c>
      <c r="G406" s="24">
        <f t="shared" si="25"/>
        <v>4</v>
      </c>
      <c r="H406" s="24">
        <f>IF(G406&gt;G405,H405+C406*F406,C406*F406)</f>
        <v>1.9810509177103341</v>
      </c>
      <c r="I406" s="24">
        <f t="shared" si="26"/>
        <v>0.8</v>
      </c>
      <c r="J406" s="24">
        <f t="shared" si="27"/>
        <v>0</v>
      </c>
      <c r="K406" s="24">
        <f>IF(CurrentMtgRatesDataTable811[[#This Row],[WA CC]]&lt;&gt;0,D405-CurrentMtgRatesDataTable811[[#This Row],[WA CC]],0)</f>
        <v>0</v>
      </c>
      <c r="L406" s="24">
        <f>IF(CurrentMtgRatesDataTable811[[#This Row],[Servicing Spread]]&lt;=0,L405,CurrentMtgRatesDataTable811[[#This Row],[Servicing Spread]])</f>
        <v>0.99417922391653057</v>
      </c>
      <c r="M406" s="24">
        <f>CurrentMtgRatesDataTable811[[#This Row],[SeriesNumValue]]+CurrentMtgRatesDataTable811[[#This Row],[Servicing Spread Non-Zero]]</f>
        <v>3.4172090431887105</v>
      </c>
    </row>
    <row r="407" spans="2:13" x14ac:dyDescent="0.2">
      <c r="B407" s="27" t="s">
        <v>1088</v>
      </c>
      <c r="C407" s="28">
        <v>2.4116172706611501</v>
      </c>
      <c r="D407" s="26">
        <v>3.4849999999999999</v>
      </c>
      <c r="E407" s="24">
        <f t="shared" si="24"/>
        <v>7</v>
      </c>
      <c r="F407" s="24">
        <f>VLOOKUP(E407,Q$5:R$11,2,FALSE)</f>
        <v>0.2</v>
      </c>
      <c r="G407" s="24">
        <f t="shared" si="25"/>
        <v>5</v>
      </c>
      <c r="H407" s="24">
        <f>IF(G407&gt;G406,H406+C407*F407,C407*F407)</f>
        <v>2.4633743718425642</v>
      </c>
      <c r="I407" s="24">
        <f t="shared" si="26"/>
        <v>1</v>
      </c>
      <c r="J407" s="24">
        <f t="shared" si="27"/>
        <v>2.4633743718425642</v>
      </c>
      <c r="K407" s="24">
        <f>IF(CurrentMtgRatesDataTable811[[#This Row],[WA CC]]&lt;&gt;0,D406-CurrentMtgRatesDataTable811[[#This Row],[WA CC]],0)</f>
        <v>1.0216256281574356</v>
      </c>
      <c r="L407" s="24">
        <f>IF(CurrentMtgRatesDataTable811[[#This Row],[Servicing Spread]]&lt;=0,L406,CurrentMtgRatesDataTable811[[#This Row],[Servicing Spread]])</f>
        <v>1.0216256281574356</v>
      </c>
      <c r="M407" s="24">
        <f>CurrentMtgRatesDataTable811[[#This Row],[SeriesNumValue]]+CurrentMtgRatesDataTable811[[#This Row],[Servicing Spread Non-Zero]]</f>
        <v>3.4332428988185857</v>
      </c>
    </row>
    <row r="408" spans="2:13" x14ac:dyDescent="0.2">
      <c r="B408" s="27" t="s">
        <v>1089</v>
      </c>
      <c r="C408" s="28">
        <v>2.4034266466938199</v>
      </c>
      <c r="D408" s="26">
        <v>3.4549999999999996</v>
      </c>
      <c r="E408" s="24">
        <f t="shared" si="24"/>
        <v>1</v>
      </c>
      <c r="F408" s="24">
        <f>VLOOKUP(E408,Q$5:R$11,2,FALSE)</f>
        <v>0.2</v>
      </c>
      <c r="G408" s="24">
        <f t="shared" si="25"/>
        <v>1</v>
      </c>
      <c r="H408" s="24">
        <f>IF(G408&gt;G407,H407+C408*F408,C408*F408)</f>
        <v>0.48068532933876401</v>
      </c>
      <c r="I408" s="24">
        <f t="shared" si="26"/>
        <v>0.2</v>
      </c>
      <c r="J408" s="24">
        <f t="shared" si="27"/>
        <v>0</v>
      </c>
      <c r="K408" s="24">
        <f>IF(CurrentMtgRatesDataTable811[[#This Row],[WA CC]]&lt;&gt;0,D407-CurrentMtgRatesDataTable811[[#This Row],[WA CC]],0)</f>
        <v>0</v>
      </c>
      <c r="L408" s="24">
        <f>IF(CurrentMtgRatesDataTable811[[#This Row],[Servicing Spread]]&lt;=0,L407,CurrentMtgRatesDataTable811[[#This Row],[Servicing Spread]])</f>
        <v>1.0216256281574356</v>
      </c>
      <c r="M408" s="24">
        <f>CurrentMtgRatesDataTable811[[#This Row],[SeriesNumValue]]+CurrentMtgRatesDataTable811[[#This Row],[Servicing Spread Non-Zero]]</f>
        <v>3.4250522748512555</v>
      </c>
    </row>
    <row r="409" spans="2:13" x14ac:dyDescent="0.2">
      <c r="B409" s="27" t="s">
        <v>1090</v>
      </c>
      <c r="C409" s="28">
        <v>2.45850252986091</v>
      </c>
      <c r="D409" s="26">
        <v>3.4549999999999996</v>
      </c>
      <c r="E409" s="24">
        <f t="shared" si="24"/>
        <v>2</v>
      </c>
      <c r="F409" s="24">
        <f>VLOOKUP(E409,Q$5:R$11,2,FALSE)</f>
        <v>0.2</v>
      </c>
      <c r="G409" s="24">
        <f t="shared" si="25"/>
        <v>2</v>
      </c>
      <c r="H409" s="24">
        <f>IF(G409&gt;G408,H408+C409*F409,C409*F409)</f>
        <v>0.97238583531094602</v>
      </c>
      <c r="I409" s="24">
        <f t="shared" si="26"/>
        <v>0.4</v>
      </c>
      <c r="J409" s="24">
        <f t="shared" si="27"/>
        <v>0</v>
      </c>
      <c r="K409" s="24">
        <f>IF(CurrentMtgRatesDataTable811[[#This Row],[WA CC]]&lt;&gt;0,D408-CurrentMtgRatesDataTable811[[#This Row],[WA CC]],0)</f>
        <v>0</v>
      </c>
      <c r="L409" s="24">
        <f>IF(CurrentMtgRatesDataTable811[[#This Row],[Servicing Spread]]&lt;=0,L408,CurrentMtgRatesDataTable811[[#This Row],[Servicing Spread]])</f>
        <v>1.0216256281574356</v>
      </c>
      <c r="M409" s="24">
        <f>CurrentMtgRatesDataTable811[[#This Row],[SeriesNumValue]]+CurrentMtgRatesDataTable811[[#This Row],[Servicing Spread Non-Zero]]</f>
        <v>3.4801281580183456</v>
      </c>
    </row>
    <row r="410" spans="2:13" x14ac:dyDescent="0.2">
      <c r="B410" s="27" t="s">
        <v>1091</v>
      </c>
      <c r="C410" s="28">
        <v>2.3968423718228902</v>
      </c>
      <c r="D410" s="26">
        <v>3.4549999999999996</v>
      </c>
      <c r="E410" s="24">
        <f t="shared" si="24"/>
        <v>5</v>
      </c>
      <c r="F410" s="24">
        <f>VLOOKUP(E410,Q$5:R$11,2,FALSE)</f>
        <v>0.2</v>
      </c>
      <c r="G410" s="24">
        <f t="shared" si="25"/>
        <v>3</v>
      </c>
      <c r="H410" s="24">
        <f>IF(G410&gt;G409,H409+C410*F410,C410*F410)</f>
        <v>1.4517543096755241</v>
      </c>
      <c r="I410" s="24">
        <f t="shared" si="26"/>
        <v>0.60000000000000009</v>
      </c>
      <c r="J410" s="24">
        <f t="shared" si="27"/>
        <v>0</v>
      </c>
      <c r="K410" s="24">
        <f>IF(CurrentMtgRatesDataTable811[[#This Row],[WA CC]]&lt;&gt;0,D409-CurrentMtgRatesDataTable811[[#This Row],[WA CC]],0)</f>
        <v>0</v>
      </c>
      <c r="L410" s="24">
        <f>IF(CurrentMtgRatesDataTable811[[#This Row],[Servicing Spread]]&lt;=0,L409,CurrentMtgRatesDataTable811[[#This Row],[Servicing Spread]])</f>
        <v>1.0216256281574356</v>
      </c>
      <c r="M410" s="24">
        <f>CurrentMtgRatesDataTable811[[#This Row],[SeriesNumValue]]+CurrentMtgRatesDataTable811[[#This Row],[Servicing Spread Non-Zero]]</f>
        <v>3.4184679999803258</v>
      </c>
    </row>
    <row r="411" spans="2:13" x14ac:dyDescent="0.2">
      <c r="B411" s="27" t="s">
        <v>1092</v>
      </c>
      <c r="C411" s="28">
        <v>2.4360959184987601</v>
      </c>
      <c r="D411" s="26">
        <v>3.4549999999999996</v>
      </c>
      <c r="E411" s="24">
        <f t="shared" si="24"/>
        <v>6</v>
      </c>
      <c r="F411" s="24">
        <f>VLOOKUP(E411,Q$5:R$11,2,FALSE)</f>
        <v>0.2</v>
      </c>
      <c r="G411" s="24">
        <f t="shared" si="25"/>
        <v>4</v>
      </c>
      <c r="H411" s="24">
        <f>IF(G411&gt;G410,H410+C411*F411,C411*F411)</f>
        <v>1.938973493375276</v>
      </c>
      <c r="I411" s="24">
        <f t="shared" si="26"/>
        <v>0.8</v>
      </c>
      <c r="J411" s="24">
        <f t="shared" si="27"/>
        <v>0</v>
      </c>
      <c r="K411" s="24">
        <f>IF(CurrentMtgRatesDataTable811[[#This Row],[WA CC]]&lt;&gt;0,D410-CurrentMtgRatesDataTable811[[#This Row],[WA CC]],0)</f>
        <v>0</v>
      </c>
      <c r="L411" s="24">
        <f>IF(CurrentMtgRatesDataTable811[[#This Row],[Servicing Spread]]&lt;=0,L410,CurrentMtgRatesDataTable811[[#This Row],[Servicing Spread]])</f>
        <v>1.0216256281574356</v>
      </c>
      <c r="M411" s="24">
        <f>CurrentMtgRatesDataTable811[[#This Row],[SeriesNumValue]]+CurrentMtgRatesDataTable811[[#This Row],[Servicing Spread Non-Zero]]</f>
        <v>3.4577215466561957</v>
      </c>
    </row>
    <row r="412" spans="2:13" x14ac:dyDescent="0.2">
      <c r="B412" s="27" t="s">
        <v>1093</v>
      </c>
      <c r="C412" s="28">
        <v>2.3758504228028601</v>
      </c>
      <c r="D412" s="26">
        <v>3.4549999999999996</v>
      </c>
      <c r="E412" s="24">
        <f t="shared" si="24"/>
        <v>7</v>
      </c>
      <c r="F412" s="24">
        <f>VLOOKUP(E412,Q$5:R$11,2,FALSE)</f>
        <v>0.2</v>
      </c>
      <c r="G412" s="24">
        <f t="shared" si="25"/>
        <v>5</v>
      </c>
      <c r="H412" s="24">
        <f>IF(G412&gt;G411,H411+C412*F412,C412*F412)</f>
        <v>2.4141435779358482</v>
      </c>
      <c r="I412" s="24">
        <f t="shared" si="26"/>
        <v>1</v>
      </c>
      <c r="J412" s="24">
        <f t="shared" si="27"/>
        <v>2.4141435779358482</v>
      </c>
      <c r="K412" s="24">
        <f>IF(CurrentMtgRatesDataTable811[[#This Row],[WA CC]]&lt;&gt;0,D411-CurrentMtgRatesDataTable811[[#This Row],[WA CC]],0)</f>
        <v>1.0408564220641514</v>
      </c>
      <c r="L412" s="24">
        <f>IF(CurrentMtgRatesDataTable811[[#This Row],[Servicing Spread]]&lt;=0,L411,CurrentMtgRatesDataTable811[[#This Row],[Servicing Spread]])</f>
        <v>1.0408564220641514</v>
      </c>
      <c r="M412" s="24">
        <f>CurrentMtgRatesDataTable811[[#This Row],[SeriesNumValue]]+CurrentMtgRatesDataTable811[[#This Row],[Servicing Spread Non-Zero]]</f>
        <v>3.4167068448670115</v>
      </c>
    </row>
    <row r="413" spans="2:13" x14ac:dyDescent="0.2">
      <c r="B413" s="27" t="s">
        <v>1094</v>
      </c>
      <c r="C413" s="28">
        <v>2.3931217438343899</v>
      </c>
      <c r="D413" s="26">
        <v>3.415</v>
      </c>
      <c r="E413" s="24">
        <f t="shared" si="24"/>
        <v>1</v>
      </c>
      <c r="F413" s="24">
        <f>VLOOKUP(E413,Q$5:R$11,2,FALSE)</f>
        <v>0.2</v>
      </c>
      <c r="G413" s="24">
        <f t="shared" si="25"/>
        <v>1</v>
      </c>
      <c r="H413" s="24">
        <f>IF(G413&gt;G412,H412+C413*F413,C413*F413)</f>
        <v>0.47862434876687798</v>
      </c>
      <c r="I413" s="24">
        <f t="shared" si="26"/>
        <v>0.2</v>
      </c>
      <c r="J413" s="24">
        <f t="shared" si="27"/>
        <v>0</v>
      </c>
      <c r="K413" s="24">
        <f>IF(CurrentMtgRatesDataTable811[[#This Row],[WA CC]]&lt;&gt;0,D412-CurrentMtgRatesDataTable811[[#This Row],[WA CC]],0)</f>
        <v>0</v>
      </c>
      <c r="L413" s="24">
        <f>IF(CurrentMtgRatesDataTable811[[#This Row],[Servicing Spread]]&lt;=0,L412,CurrentMtgRatesDataTable811[[#This Row],[Servicing Spread]])</f>
        <v>1.0408564220641514</v>
      </c>
      <c r="M413" s="24">
        <f>CurrentMtgRatesDataTable811[[#This Row],[SeriesNumValue]]+CurrentMtgRatesDataTable811[[#This Row],[Servicing Spread Non-Zero]]</f>
        <v>3.4339781658985413</v>
      </c>
    </row>
    <row r="414" spans="2:13" x14ac:dyDescent="0.2">
      <c r="B414" s="27" t="s">
        <v>1095</v>
      </c>
      <c r="C414" s="28">
        <v>2.32496037866738</v>
      </c>
      <c r="D414" s="26">
        <v>3.415</v>
      </c>
      <c r="E414" s="24">
        <f t="shared" si="24"/>
        <v>2</v>
      </c>
      <c r="F414" s="24">
        <f>VLOOKUP(E414,Q$5:R$11,2,FALSE)</f>
        <v>0.2</v>
      </c>
      <c r="G414" s="24">
        <f t="shared" si="25"/>
        <v>2</v>
      </c>
      <c r="H414" s="24">
        <f>IF(G414&gt;G413,H413+C414*F414,C414*F414)</f>
        <v>0.94361642450035399</v>
      </c>
      <c r="I414" s="24">
        <f t="shared" si="26"/>
        <v>0.4</v>
      </c>
      <c r="J414" s="24">
        <f t="shared" si="27"/>
        <v>0</v>
      </c>
      <c r="K414" s="24">
        <f>IF(CurrentMtgRatesDataTable811[[#This Row],[WA CC]]&lt;&gt;0,D413-CurrentMtgRatesDataTable811[[#This Row],[WA CC]],0)</f>
        <v>0</v>
      </c>
      <c r="L414" s="24">
        <f>IF(CurrentMtgRatesDataTable811[[#This Row],[Servicing Spread]]&lt;=0,L413,CurrentMtgRatesDataTable811[[#This Row],[Servicing Spread]])</f>
        <v>1.0408564220641514</v>
      </c>
      <c r="M414" s="24">
        <f>CurrentMtgRatesDataTable811[[#This Row],[SeriesNumValue]]+CurrentMtgRatesDataTable811[[#This Row],[Servicing Spread Non-Zero]]</f>
        <v>3.3658168007315314</v>
      </c>
    </row>
    <row r="415" spans="2:13" x14ac:dyDescent="0.2">
      <c r="B415" s="27" t="s">
        <v>1096</v>
      </c>
      <c r="C415" s="28">
        <v>2.27723185682542</v>
      </c>
      <c r="D415" s="26">
        <v>3.415</v>
      </c>
      <c r="E415" s="24">
        <f t="shared" si="24"/>
        <v>5</v>
      </c>
      <c r="F415" s="24">
        <f>VLOOKUP(E415,Q$5:R$11,2,FALSE)</f>
        <v>0.2</v>
      </c>
      <c r="G415" s="24">
        <f t="shared" si="25"/>
        <v>3</v>
      </c>
      <c r="H415" s="24">
        <f>IF(G415&gt;G414,H414+C415*F415,C415*F415)</f>
        <v>1.399062795865438</v>
      </c>
      <c r="I415" s="24">
        <f t="shared" si="26"/>
        <v>0.60000000000000009</v>
      </c>
      <c r="J415" s="24">
        <f t="shared" si="27"/>
        <v>0</v>
      </c>
      <c r="K415" s="24">
        <f>IF(CurrentMtgRatesDataTable811[[#This Row],[WA CC]]&lt;&gt;0,D414-CurrentMtgRatesDataTable811[[#This Row],[WA CC]],0)</f>
        <v>0</v>
      </c>
      <c r="L415" s="24">
        <f>IF(CurrentMtgRatesDataTable811[[#This Row],[Servicing Spread]]&lt;=0,L414,CurrentMtgRatesDataTable811[[#This Row],[Servicing Spread]])</f>
        <v>1.0408564220641514</v>
      </c>
      <c r="M415" s="24">
        <f>CurrentMtgRatesDataTable811[[#This Row],[SeriesNumValue]]+CurrentMtgRatesDataTable811[[#This Row],[Servicing Spread Non-Zero]]</f>
        <v>3.3180882788895714</v>
      </c>
    </row>
    <row r="416" spans="2:13" x14ac:dyDescent="0.2">
      <c r="B416" s="27" t="s">
        <v>1097</v>
      </c>
      <c r="C416" s="28">
        <v>2.2471779895370898</v>
      </c>
      <c r="D416" s="26">
        <v>3.415</v>
      </c>
      <c r="E416" s="24">
        <f t="shared" si="24"/>
        <v>6</v>
      </c>
      <c r="F416" s="24">
        <f>VLOOKUP(E416,Q$5:R$11,2,FALSE)</f>
        <v>0.2</v>
      </c>
      <c r="G416" s="24">
        <f t="shared" si="25"/>
        <v>4</v>
      </c>
      <c r="H416" s="24">
        <f>IF(G416&gt;G415,H415+C416*F416,C416*F416)</f>
        <v>1.8484983937728561</v>
      </c>
      <c r="I416" s="24">
        <f t="shared" si="26"/>
        <v>0.8</v>
      </c>
      <c r="J416" s="24">
        <f t="shared" si="27"/>
        <v>0</v>
      </c>
      <c r="K416" s="24">
        <f>IF(CurrentMtgRatesDataTable811[[#This Row],[WA CC]]&lt;&gt;0,D415-CurrentMtgRatesDataTable811[[#This Row],[WA CC]],0)</f>
        <v>0</v>
      </c>
      <c r="L416" s="24">
        <f>IF(CurrentMtgRatesDataTable811[[#This Row],[Servicing Spread]]&lt;=0,L415,CurrentMtgRatesDataTable811[[#This Row],[Servicing Spread]])</f>
        <v>1.0408564220641514</v>
      </c>
      <c r="M416" s="24">
        <f>CurrentMtgRatesDataTable811[[#This Row],[SeriesNumValue]]+CurrentMtgRatesDataTable811[[#This Row],[Servicing Spread Non-Zero]]</f>
        <v>3.2880344116012412</v>
      </c>
    </row>
    <row r="417" spans="2:13" x14ac:dyDescent="0.2">
      <c r="B417" s="27" t="s">
        <v>1098</v>
      </c>
      <c r="C417" s="28">
        <v>2.2633680242154099</v>
      </c>
      <c r="D417" s="26">
        <v>3.415</v>
      </c>
      <c r="E417" s="24">
        <f t="shared" si="24"/>
        <v>7</v>
      </c>
      <c r="F417" s="24">
        <f>VLOOKUP(E417,Q$5:R$11,2,FALSE)</f>
        <v>0.2</v>
      </c>
      <c r="G417" s="24">
        <f t="shared" si="25"/>
        <v>5</v>
      </c>
      <c r="H417" s="24">
        <f>IF(G417&gt;G416,H416+C417*F417,C417*F417)</f>
        <v>2.301171998615938</v>
      </c>
      <c r="I417" s="24">
        <f t="shared" si="26"/>
        <v>1</v>
      </c>
      <c r="J417" s="24">
        <f t="shared" si="27"/>
        <v>2.301171998615938</v>
      </c>
      <c r="K417" s="24">
        <f>IF(CurrentMtgRatesDataTable811[[#This Row],[WA CC]]&lt;&gt;0,D416-CurrentMtgRatesDataTable811[[#This Row],[WA CC]],0)</f>
        <v>1.113828001384062</v>
      </c>
      <c r="L417" s="24">
        <f>IF(CurrentMtgRatesDataTable811[[#This Row],[Servicing Spread]]&lt;=0,L416,CurrentMtgRatesDataTable811[[#This Row],[Servicing Spread]])</f>
        <v>1.113828001384062</v>
      </c>
      <c r="M417" s="24">
        <f>CurrentMtgRatesDataTable811[[#This Row],[SeriesNumValue]]+CurrentMtgRatesDataTable811[[#This Row],[Servicing Spread Non-Zero]]</f>
        <v>3.377196025599472</v>
      </c>
    </row>
    <row r="418" spans="2:13" x14ac:dyDescent="0.2">
      <c r="B418" s="27" t="s">
        <v>1099</v>
      </c>
      <c r="C418" s="28">
        <v>2.2877898548229898</v>
      </c>
      <c r="D418" s="26">
        <v>3.4749999999999996</v>
      </c>
      <c r="E418" s="24">
        <f t="shared" si="24"/>
        <v>1</v>
      </c>
      <c r="F418" s="24">
        <f>VLOOKUP(E418,Q$5:R$11,2,FALSE)</f>
        <v>0.2</v>
      </c>
      <c r="G418" s="24">
        <f t="shared" si="25"/>
        <v>1</v>
      </c>
      <c r="H418" s="24">
        <f>IF(G418&gt;G417,H417+C418*F418,C418*F418)</f>
        <v>0.45755797096459799</v>
      </c>
      <c r="I418" s="24">
        <f t="shared" si="26"/>
        <v>0.2</v>
      </c>
      <c r="J418" s="24">
        <f t="shared" si="27"/>
        <v>0</v>
      </c>
      <c r="K418" s="24">
        <f>IF(CurrentMtgRatesDataTable811[[#This Row],[WA CC]]&lt;&gt;0,D417-CurrentMtgRatesDataTable811[[#This Row],[WA CC]],0)</f>
        <v>0</v>
      </c>
      <c r="L418" s="24">
        <f>IF(CurrentMtgRatesDataTable811[[#This Row],[Servicing Spread]]&lt;=0,L417,CurrentMtgRatesDataTable811[[#This Row],[Servicing Spread]])</f>
        <v>1.113828001384062</v>
      </c>
      <c r="M418" s="24">
        <f>CurrentMtgRatesDataTable811[[#This Row],[SeriesNumValue]]+CurrentMtgRatesDataTable811[[#This Row],[Servicing Spread Non-Zero]]</f>
        <v>3.4016178562070518</v>
      </c>
    </row>
    <row r="419" spans="2:13" x14ac:dyDescent="0.2">
      <c r="B419" s="27" t="s">
        <v>1100</v>
      </c>
      <c r="C419" s="28">
        <v>2.4685368274640398</v>
      </c>
      <c r="D419" s="26">
        <v>3.4749999999999996</v>
      </c>
      <c r="E419" s="24">
        <f t="shared" si="24"/>
        <v>2</v>
      </c>
      <c r="F419" s="24">
        <f>VLOOKUP(E419,Q$5:R$11,2,FALSE)</f>
        <v>0.2</v>
      </c>
      <c r="G419" s="24">
        <f t="shared" si="25"/>
        <v>2</v>
      </c>
      <c r="H419" s="24">
        <f>IF(G419&gt;G418,H418+C419*F419,C419*F419)</f>
        <v>0.95126533645740596</v>
      </c>
      <c r="I419" s="24">
        <f t="shared" si="26"/>
        <v>0.4</v>
      </c>
      <c r="J419" s="24">
        <f t="shared" si="27"/>
        <v>0</v>
      </c>
      <c r="K419" s="24">
        <f>IF(CurrentMtgRatesDataTable811[[#This Row],[WA CC]]&lt;&gt;0,D418-CurrentMtgRatesDataTable811[[#This Row],[WA CC]],0)</f>
        <v>0</v>
      </c>
      <c r="L419" s="24">
        <f>IF(CurrentMtgRatesDataTable811[[#This Row],[Servicing Spread]]&lt;=0,L418,CurrentMtgRatesDataTable811[[#This Row],[Servicing Spread]])</f>
        <v>1.113828001384062</v>
      </c>
      <c r="M419" s="24">
        <f>CurrentMtgRatesDataTable811[[#This Row],[SeriesNumValue]]+CurrentMtgRatesDataTable811[[#This Row],[Servicing Spread Non-Zero]]</f>
        <v>3.5823648288481018</v>
      </c>
    </row>
    <row r="420" spans="2:13" x14ac:dyDescent="0.2">
      <c r="B420" s="27" t="s">
        <v>1101</v>
      </c>
      <c r="C420" s="28">
        <v>2.3365107534465399</v>
      </c>
      <c r="D420" s="26">
        <v>3.4749999999999996</v>
      </c>
      <c r="E420" s="24">
        <f t="shared" si="24"/>
        <v>5</v>
      </c>
      <c r="F420" s="24">
        <f>VLOOKUP(E420,Q$5:R$11,2,FALSE)</f>
        <v>0.2</v>
      </c>
      <c r="G420" s="24">
        <f t="shared" si="25"/>
        <v>3</v>
      </c>
      <c r="H420" s="24">
        <f>IF(G420&gt;G419,H419+C420*F420,C420*F420)</f>
        <v>1.418567487146714</v>
      </c>
      <c r="I420" s="24">
        <f t="shared" si="26"/>
        <v>0.60000000000000009</v>
      </c>
      <c r="J420" s="24">
        <f t="shared" si="27"/>
        <v>0</v>
      </c>
      <c r="K420" s="24">
        <f>IF(CurrentMtgRatesDataTable811[[#This Row],[WA CC]]&lt;&gt;0,D419-CurrentMtgRatesDataTable811[[#This Row],[WA CC]],0)</f>
        <v>0</v>
      </c>
      <c r="L420" s="24">
        <f>IF(CurrentMtgRatesDataTable811[[#This Row],[Servicing Spread]]&lt;=0,L419,CurrentMtgRatesDataTable811[[#This Row],[Servicing Spread]])</f>
        <v>1.113828001384062</v>
      </c>
      <c r="M420" s="24">
        <f>CurrentMtgRatesDataTable811[[#This Row],[SeriesNumValue]]+CurrentMtgRatesDataTable811[[#This Row],[Servicing Spread Non-Zero]]</f>
        <v>3.4503387548306019</v>
      </c>
    </row>
    <row r="421" spans="2:13" x14ac:dyDescent="0.2">
      <c r="B421" s="27" t="s">
        <v>1102</v>
      </c>
      <c r="C421" s="28">
        <v>2.3145960727619199</v>
      </c>
      <c r="D421" s="26">
        <v>3.4749999999999996</v>
      </c>
      <c r="E421" s="24">
        <f t="shared" si="24"/>
        <v>6</v>
      </c>
      <c r="F421" s="24">
        <f>VLOOKUP(E421,Q$5:R$11,2,FALSE)</f>
        <v>0.2</v>
      </c>
      <c r="G421" s="24">
        <f t="shared" si="25"/>
        <v>4</v>
      </c>
      <c r="H421" s="24">
        <f>IF(G421&gt;G420,H420+C421*F421,C421*F421)</f>
        <v>1.8814867016990979</v>
      </c>
      <c r="I421" s="24">
        <f t="shared" si="26"/>
        <v>0.8</v>
      </c>
      <c r="J421" s="24">
        <f t="shared" si="27"/>
        <v>0</v>
      </c>
      <c r="K421" s="24">
        <f>IF(CurrentMtgRatesDataTable811[[#This Row],[WA CC]]&lt;&gt;0,D420-CurrentMtgRatesDataTable811[[#This Row],[WA CC]],0)</f>
        <v>0</v>
      </c>
      <c r="L421" s="24">
        <f>IF(CurrentMtgRatesDataTable811[[#This Row],[Servicing Spread]]&lt;=0,L420,CurrentMtgRatesDataTable811[[#This Row],[Servicing Spread]])</f>
        <v>1.113828001384062</v>
      </c>
      <c r="M421" s="24">
        <f>CurrentMtgRatesDataTable811[[#This Row],[SeriesNumValue]]+CurrentMtgRatesDataTable811[[#This Row],[Servicing Spread Non-Zero]]</f>
        <v>3.4284240741459819</v>
      </c>
    </row>
    <row r="422" spans="2:13" x14ac:dyDescent="0.2">
      <c r="B422" s="27" t="s">
        <v>1103</v>
      </c>
      <c r="C422" s="28">
        <v>2.3658814096234999</v>
      </c>
      <c r="D422" s="26">
        <v>3.4749999999999996</v>
      </c>
      <c r="E422" s="24">
        <f t="shared" si="24"/>
        <v>7</v>
      </c>
      <c r="F422" s="24">
        <f>VLOOKUP(E422,Q$5:R$11,2,FALSE)</f>
        <v>0.2</v>
      </c>
      <c r="G422" s="24">
        <f t="shared" si="25"/>
        <v>5</v>
      </c>
      <c r="H422" s="24">
        <f>IF(G422&gt;G421,H421+C422*F422,C422*F422)</f>
        <v>2.3546629836237978</v>
      </c>
      <c r="I422" s="24">
        <f t="shared" si="26"/>
        <v>1</v>
      </c>
      <c r="J422" s="24">
        <f t="shared" si="27"/>
        <v>2.3546629836237978</v>
      </c>
      <c r="K422" s="24">
        <f>IF(CurrentMtgRatesDataTable811[[#This Row],[WA CC]]&lt;&gt;0,D421-CurrentMtgRatesDataTable811[[#This Row],[WA CC]],0)</f>
        <v>1.1203370163762019</v>
      </c>
      <c r="L422" s="24">
        <f>IF(CurrentMtgRatesDataTable811[[#This Row],[Servicing Spread]]&lt;=0,L421,CurrentMtgRatesDataTable811[[#This Row],[Servicing Spread]])</f>
        <v>1.1203370163762019</v>
      </c>
      <c r="M422" s="24">
        <f>CurrentMtgRatesDataTable811[[#This Row],[SeriesNumValue]]+CurrentMtgRatesDataTable811[[#This Row],[Servicing Spread Non-Zero]]</f>
        <v>3.4862184259997018</v>
      </c>
    </row>
    <row r="423" spans="2:13" x14ac:dyDescent="0.2">
      <c r="B423" s="27" t="s">
        <v>1104</v>
      </c>
      <c r="C423" s="28">
        <v>2.33657189118883</v>
      </c>
      <c r="D423" s="26">
        <v>3.4899999999999998</v>
      </c>
      <c r="E423" s="24">
        <f t="shared" si="24"/>
        <v>1</v>
      </c>
      <c r="F423" s="24">
        <f>VLOOKUP(E423,Q$5:R$11,2,FALSE)</f>
        <v>0.2</v>
      </c>
      <c r="G423" s="24">
        <f t="shared" si="25"/>
        <v>1</v>
      </c>
      <c r="H423" s="24">
        <f>IF(G423&gt;G422,H422+C423*F423,C423*F423)</f>
        <v>0.467314378237766</v>
      </c>
      <c r="I423" s="24">
        <f t="shared" si="26"/>
        <v>0.2</v>
      </c>
      <c r="J423" s="24">
        <f t="shared" si="27"/>
        <v>0</v>
      </c>
      <c r="K423" s="24">
        <f>IF(CurrentMtgRatesDataTable811[[#This Row],[WA CC]]&lt;&gt;0,D422-CurrentMtgRatesDataTable811[[#This Row],[WA CC]],0)</f>
        <v>0</v>
      </c>
      <c r="L423" s="24">
        <f>IF(CurrentMtgRatesDataTable811[[#This Row],[Servicing Spread]]&lt;=0,L422,CurrentMtgRatesDataTable811[[#This Row],[Servicing Spread]])</f>
        <v>1.1203370163762019</v>
      </c>
      <c r="M423" s="24">
        <f>CurrentMtgRatesDataTable811[[#This Row],[SeriesNumValue]]+CurrentMtgRatesDataTable811[[#This Row],[Servicing Spread Non-Zero]]</f>
        <v>3.4569089075650319</v>
      </c>
    </row>
    <row r="424" spans="2:13" x14ac:dyDescent="0.2">
      <c r="B424" s="27" t="s">
        <v>1105</v>
      </c>
      <c r="C424" s="28">
        <v>2.42675409444622</v>
      </c>
      <c r="D424" s="26">
        <v>3.4899999999999998</v>
      </c>
      <c r="E424" s="24">
        <f t="shared" si="24"/>
        <v>2</v>
      </c>
      <c r="F424" s="24">
        <f>VLOOKUP(E424,Q$5:R$11,2,FALSE)</f>
        <v>0.2</v>
      </c>
      <c r="G424" s="24">
        <f t="shared" si="25"/>
        <v>2</v>
      </c>
      <c r="H424" s="24">
        <f>IF(G424&gt;G423,H423+C424*F424,C424*F424)</f>
        <v>0.95266519712701003</v>
      </c>
      <c r="I424" s="24">
        <f t="shared" si="26"/>
        <v>0.4</v>
      </c>
      <c r="J424" s="24">
        <f t="shared" si="27"/>
        <v>0</v>
      </c>
      <c r="K424" s="24">
        <f>IF(CurrentMtgRatesDataTable811[[#This Row],[WA CC]]&lt;&gt;0,D423-CurrentMtgRatesDataTable811[[#This Row],[WA CC]],0)</f>
        <v>0</v>
      </c>
      <c r="L424" s="24">
        <f>IF(CurrentMtgRatesDataTable811[[#This Row],[Servicing Spread]]&lt;=0,L423,CurrentMtgRatesDataTable811[[#This Row],[Servicing Spread]])</f>
        <v>1.1203370163762019</v>
      </c>
      <c r="M424" s="24">
        <f>CurrentMtgRatesDataTable811[[#This Row],[SeriesNumValue]]+CurrentMtgRatesDataTable811[[#This Row],[Servicing Spread Non-Zero]]</f>
        <v>3.5470911108224219</v>
      </c>
    </row>
    <row r="425" spans="2:13" x14ac:dyDescent="0.2">
      <c r="B425" s="27" t="s">
        <v>1106</v>
      </c>
      <c r="C425" s="28">
        <v>2.4102554462908099</v>
      </c>
      <c r="D425" s="26">
        <v>3.4899999999999998</v>
      </c>
      <c r="E425" s="24">
        <f t="shared" si="24"/>
        <v>5</v>
      </c>
      <c r="F425" s="24">
        <f>VLOOKUP(E425,Q$5:R$11,2,FALSE)</f>
        <v>0.2</v>
      </c>
      <c r="G425" s="24">
        <f t="shared" si="25"/>
        <v>3</v>
      </c>
      <c r="H425" s="24">
        <f>IF(G425&gt;G424,H424+C425*F425,C425*F425)</f>
        <v>1.4347162863851719</v>
      </c>
      <c r="I425" s="24">
        <f t="shared" si="26"/>
        <v>0.60000000000000009</v>
      </c>
      <c r="J425" s="24">
        <f t="shared" si="27"/>
        <v>0</v>
      </c>
      <c r="K425" s="24">
        <f>IF(CurrentMtgRatesDataTable811[[#This Row],[WA CC]]&lt;&gt;0,D424-CurrentMtgRatesDataTable811[[#This Row],[WA CC]],0)</f>
        <v>0</v>
      </c>
      <c r="L425" s="24">
        <f>IF(CurrentMtgRatesDataTable811[[#This Row],[Servicing Spread]]&lt;=0,L424,CurrentMtgRatesDataTable811[[#This Row],[Servicing Spread]])</f>
        <v>1.1203370163762019</v>
      </c>
      <c r="M425" s="24">
        <f>CurrentMtgRatesDataTable811[[#This Row],[SeriesNumValue]]+CurrentMtgRatesDataTable811[[#This Row],[Servicing Spread Non-Zero]]</f>
        <v>3.5305924626670118</v>
      </c>
    </row>
    <row r="426" spans="2:13" x14ac:dyDescent="0.2">
      <c r="B426" s="27" t="s">
        <v>1107</v>
      </c>
      <c r="C426" s="28">
        <v>2.4648279812140101</v>
      </c>
      <c r="D426" s="26">
        <v>3.4899999999999998</v>
      </c>
      <c r="E426" s="24">
        <f t="shared" si="24"/>
        <v>6</v>
      </c>
      <c r="F426" s="24">
        <f>VLOOKUP(E426,Q$5:R$11,2,FALSE)</f>
        <v>0.2</v>
      </c>
      <c r="G426" s="24">
        <f t="shared" si="25"/>
        <v>4</v>
      </c>
      <c r="H426" s="24">
        <f>IF(G426&gt;G425,H425+C426*F426,C426*F426)</f>
        <v>1.927681882627974</v>
      </c>
      <c r="I426" s="24">
        <f t="shared" si="26"/>
        <v>0.8</v>
      </c>
      <c r="J426" s="24">
        <f t="shared" si="27"/>
        <v>0</v>
      </c>
      <c r="K426" s="24">
        <f>IF(CurrentMtgRatesDataTable811[[#This Row],[WA CC]]&lt;&gt;0,D425-CurrentMtgRatesDataTable811[[#This Row],[WA CC]],0)</f>
        <v>0</v>
      </c>
      <c r="L426" s="24">
        <f>IF(CurrentMtgRatesDataTable811[[#This Row],[Servicing Spread]]&lt;=0,L425,CurrentMtgRatesDataTable811[[#This Row],[Servicing Spread]])</f>
        <v>1.1203370163762019</v>
      </c>
      <c r="M426" s="24">
        <f>CurrentMtgRatesDataTable811[[#This Row],[SeriesNumValue]]+CurrentMtgRatesDataTable811[[#This Row],[Servicing Spread Non-Zero]]</f>
        <v>3.585164997590212</v>
      </c>
    </row>
    <row r="427" spans="2:13" x14ac:dyDescent="0.2">
      <c r="B427" s="27" t="s">
        <v>1108</v>
      </c>
      <c r="C427" s="28">
        <v>2.45387778372179</v>
      </c>
      <c r="D427" s="26">
        <v>3.4899999999999998</v>
      </c>
      <c r="E427" s="24">
        <f t="shared" si="24"/>
        <v>7</v>
      </c>
      <c r="F427" s="24">
        <f>VLOOKUP(E427,Q$5:R$11,2,FALSE)</f>
        <v>0.2</v>
      </c>
      <c r="G427" s="24">
        <f t="shared" si="25"/>
        <v>5</v>
      </c>
      <c r="H427" s="24">
        <f>IF(G427&gt;G426,H426+C427*F427,C427*F427)</f>
        <v>2.4184574393723319</v>
      </c>
      <c r="I427" s="24">
        <f t="shared" si="26"/>
        <v>1</v>
      </c>
      <c r="J427" s="24">
        <f t="shared" si="27"/>
        <v>2.4184574393723319</v>
      </c>
      <c r="K427" s="24">
        <f>IF(CurrentMtgRatesDataTable811[[#This Row],[WA CC]]&lt;&gt;0,D426-CurrentMtgRatesDataTable811[[#This Row],[WA CC]],0)</f>
        <v>1.0715425606276678</v>
      </c>
      <c r="L427" s="24">
        <f>IF(CurrentMtgRatesDataTable811[[#This Row],[Servicing Spread]]&lt;=0,L426,CurrentMtgRatesDataTable811[[#This Row],[Servicing Spread]])</f>
        <v>1.0715425606276678</v>
      </c>
      <c r="M427" s="24">
        <f>CurrentMtgRatesDataTable811[[#This Row],[SeriesNumValue]]+CurrentMtgRatesDataTable811[[#This Row],[Servicing Spread Non-Zero]]</f>
        <v>3.5254203443494578</v>
      </c>
    </row>
    <row r="428" spans="2:13" x14ac:dyDescent="0.2">
      <c r="B428" s="27" t="s">
        <v>1109</v>
      </c>
      <c r="C428" s="28">
        <v>2.45717074132124</v>
      </c>
      <c r="D428" s="26">
        <v>3.52</v>
      </c>
      <c r="E428" s="24">
        <f t="shared" si="24"/>
        <v>1</v>
      </c>
      <c r="F428" s="24">
        <f>VLOOKUP(E428,Q$5:R$11,2,FALSE)</f>
        <v>0.2</v>
      </c>
      <c r="G428" s="24">
        <f t="shared" si="25"/>
        <v>1</v>
      </c>
      <c r="H428" s="24">
        <f>IF(G428&gt;G427,H427+C428*F428,C428*F428)</f>
        <v>0.49143414826424803</v>
      </c>
      <c r="I428" s="24">
        <f t="shared" si="26"/>
        <v>0.2</v>
      </c>
      <c r="J428" s="24">
        <f t="shared" si="27"/>
        <v>0</v>
      </c>
      <c r="K428" s="24">
        <f>IF(CurrentMtgRatesDataTable811[[#This Row],[WA CC]]&lt;&gt;0,D427-CurrentMtgRatesDataTable811[[#This Row],[WA CC]],0)</f>
        <v>0</v>
      </c>
      <c r="L428" s="24">
        <f>IF(CurrentMtgRatesDataTable811[[#This Row],[Servicing Spread]]&lt;=0,L427,CurrentMtgRatesDataTable811[[#This Row],[Servicing Spread]])</f>
        <v>1.0715425606276678</v>
      </c>
      <c r="M428" s="24">
        <f>CurrentMtgRatesDataTable811[[#This Row],[SeriesNumValue]]+CurrentMtgRatesDataTable811[[#This Row],[Servicing Spread Non-Zero]]</f>
        <v>3.5287133019489079</v>
      </c>
    </row>
    <row r="429" spans="2:13" x14ac:dyDescent="0.2">
      <c r="B429" s="27" t="s">
        <v>1110</v>
      </c>
      <c r="C429" s="28">
        <v>2.43734688080974</v>
      </c>
      <c r="D429" s="26">
        <v>3.52</v>
      </c>
      <c r="E429" s="24">
        <f t="shared" si="24"/>
        <v>2</v>
      </c>
      <c r="F429" s="24">
        <f>VLOOKUP(E429,Q$5:R$11,2,FALSE)</f>
        <v>0.2</v>
      </c>
      <c r="G429" s="24">
        <f t="shared" si="25"/>
        <v>2</v>
      </c>
      <c r="H429" s="24">
        <f>IF(G429&gt;G428,H428+C429*F429,C429*F429)</f>
        <v>0.9789035244261961</v>
      </c>
      <c r="I429" s="24">
        <f t="shared" si="26"/>
        <v>0.4</v>
      </c>
      <c r="J429" s="24">
        <f t="shared" si="27"/>
        <v>0</v>
      </c>
      <c r="K429" s="24">
        <f>IF(CurrentMtgRatesDataTable811[[#This Row],[WA CC]]&lt;&gt;0,D428-CurrentMtgRatesDataTable811[[#This Row],[WA CC]],0)</f>
        <v>0</v>
      </c>
      <c r="L429" s="24">
        <f>IF(CurrentMtgRatesDataTable811[[#This Row],[Servicing Spread]]&lt;=0,L428,CurrentMtgRatesDataTable811[[#This Row],[Servicing Spread]])</f>
        <v>1.0715425606276678</v>
      </c>
      <c r="M429" s="24">
        <f>CurrentMtgRatesDataTable811[[#This Row],[SeriesNumValue]]+CurrentMtgRatesDataTable811[[#This Row],[Servicing Spread Non-Zero]]</f>
        <v>3.5088894414374079</v>
      </c>
    </row>
    <row r="430" spans="2:13" x14ac:dyDescent="0.2">
      <c r="B430" s="27" t="s">
        <v>1111</v>
      </c>
      <c r="C430" s="28">
        <v>2.4326197879338101</v>
      </c>
      <c r="D430" s="26">
        <v>3.52</v>
      </c>
      <c r="E430" s="24">
        <f t="shared" si="24"/>
        <v>5</v>
      </c>
      <c r="F430" s="24">
        <f>VLOOKUP(E430,Q$5:R$11,2,FALSE)</f>
        <v>0.2</v>
      </c>
      <c r="G430" s="24">
        <f t="shared" si="25"/>
        <v>3</v>
      </c>
      <c r="H430" s="24">
        <f>IF(G430&gt;G429,H429+C430*F430,C430*F430)</f>
        <v>1.465427482012958</v>
      </c>
      <c r="I430" s="24">
        <f t="shared" si="26"/>
        <v>0.60000000000000009</v>
      </c>
      <c r="J430" s="24">
        <f t="shared" si="27"/>
        <v>0</v>
      </c>
      <c r="K430" s="24">
        <f>IF(CurrentMtgRatesDataTable811[[#This Row],[WA CC]]&lt;&gt;0,D429-CurrentMtgRatesDataTable811[[#This Row],[WA CC]],0)</f>
        <v>0</v>
      </c>
      <c r="L430" s="24">
        <f>IF(CurrentMtgRatesDataTable811[[#This Row],[Servicing Spread]]&lt;=0,L429,CurrentMtgRatesDataTable811[[#This Row],[Servicing Spread]])</f>
        <v>1.0715425606276678</v>
      </c>
      <c r="M430" s="24">
        <f>CurrentMtgRatesDataTable811[[#This Row],[SeriesNumValue]]+CurrentMtgRatesDataTable811[[#This Row],[Servicing Spread Non-Zero]]</f>
        <v>3.5041623485614779</v>
      </c>
    </row>
    <row r="431" spans="2:13" x14ac:dyDescent="0.2">
      <c r="B431" s="27" t="s">
        <v>1112</v>
      </c>
      <c r="C431" s="28">
        <v>2.5032104637526098</v>
      </c>
      <c r="D431" s="26">
        <v>3.52</v>
      </c>
      <c r="E431" s="24">
        <f t="shared" si="24"/>
        <v>6</v>
      </c>
      <c r="F431" s="24">
        <f>VLOOKUP(E431,Q$5:R$11,2,FALSE)</f>
        <v>0.2</v>
      </c>
      <c r="G431" s="24">
        <f t="shared" si="25"/>
        <v>4</v>
      </c>
      <c r="H431" s="24">
        <f>IF(G431&gt;G430,H430+C431*F431,C431*F431)</f>
        <v>1.96606957476348</v>
      </c>
      <c r="I431" s="24">
        <f t="shared" si="26"/>
        <v>0.8</v>
      </c>
      <c r="J431" s="24">
        <f t="shared" si="27"/>
        <v>0</v>
      </c>
      <c r="K431" s="24">
        <f>IF(CurrentMtgRatesDataTable811[[#This Row],[WA CC]]&lt;&gt;0,D430-CurrentMtgRatesDataTable811[[#This Row],[WA CC]],0)</f>
        <v>0</v>
      </c>
      <c r="L431" s="24">
        <f>IF(CurrentMtgRatesDataTable811[[#This Row],[Servicing Spread]]&lt;=0,L430,CurrentMtgRatesDataTable811[[#This Row],[Servicing Spread]])</f>
        <v>1.0715425606276678</v>
      </c>
      <c r="M431" s="24">
        <f>CurrentMtgRatesDataTable811[[#This Row],[SeriesNumValue]]+CurrentMtgRatesDataTable811[[#This Row],[Servicing Spread Non-Zero]]</f>
        <v>3.5747530243802776</v>
      </c>
    </row>
    <row r="432" spans="2:13" x14ac:dyDescent="0.2">
      <c r="B432" s="27" t="s">
        <v>1113</v>
      </c>
      <c r="C432" s="28">
        <v>2.6381335660023502</v>
      </c>
      <c r="D432" s="26">
        <v>3.52</v>
      </c>
      <c r="E432" s="24">
        <f t="shared" si="24"/>
        <v>7</v>
      </c>
      <c r="F432" s="24">
        <f>VLOOKUP(E432,Q$5:R$11,2,FALSE)</f>
        <v>0.2</v>
      </c>
      <c r="G432" s="24">
        <f t="shared" si="25"/>
        <v>5</v>
      </c>
      <c r="H432" s="24">
        <f>IF(G432&gt;G431,H431+C432*F432,C432*F432)</f>
        <v>2.4936962879639499</v>
      </c>
      <c r="I432" s="24">
        <f t="shared" si="26"/>
        <v>1</v>
      </c>
      <c r="J432" s="24">
        <f t="shared" si="27"/>
        <v>2.4936962879639499</v>
      </c>
      <c r="K432" s="24">
        <f>IF(CurrentMtgRatesDataTable811[[#This Row],[WA CC]]&lt;&gt;0,D431-CurrentMtgRatesDataTable811[[#This Row],[WA CC]],0)</f>
        <v>1.0263037120360501</v>
      </c>
      <c r="L432" s="24">
        <f>IF(CurrentMtgRatesDataTable811[[#This Row],[Servicing Spread]]&lt;=0,L431,CurrentMtgRatesDataTable811[[#This Row],[Servicing Spread]])</f>
        <v>1.0263037120360501</v>
      </c>
      <c r="M432" s="24">
        <f>CurrentMtgRatesDataTable811[[#This Row],[SeriesNumValue]]+CurrentMtgRatesDataTable811[[#This Row],[Servicing Spread Non-Zero]]</f>
        <v>3.6644372780384002</v>
      </c>
    </row>
    <row r="433" spans="2:13" x14ac:dyDescent="0.2">
      <c r="B433" s="27" t="s">
        <v>1114</v>
      </c>
      <c r="C433" s="28">
        <v>2.67019432510418</v>
      </c>
      <c r="D433" s="26">
        <v>3.585</v>
      </c>
      <c r="E433" s="24">
        <f t="shared" si="24"/>
        <v>1</v>
      </c>
      <c r="F433" s="24">
        <f>VLOOKUP(E433,Q$5:R$11,2,FALSE)</f>
        <v>0.2</v>
      </c>
      <c r="G433" s="24">
        <f t="shared" si="25"/>
        <v>1</v>
      </c>
      <c r="H433" s="24">
        <f>IF(G433&gt;G432,H432+C433*F433,C433*F433)</f>
        <v>0.53403886502083597</v>
      </c>
      <c r="I433" s="24">
        <f t="shared" si="26"/>
        <v>0.2</v>
      </c>
      <c r="J433" s="24">
        <f t="shared" si="27"/>
        <v>0</v>
      </c>
      <c r="K433" s="24">
        <f>IF(CurrentMtgRatesDataTable811[[#This Row],[WA CC]]&lt;&gt;0,D432-CurrentMtgRatesDataTable811[[#This Row],[WA CC]],0)</f>
        <v>0</v>
      </c>
      <c r="L433" s="24">
        <f>IF(CurrentMtgRatesDataTable811[[#This Row],[Servicing Spread]]&lt;=0,L432,CurrentMtgRatesDataTable811[[#This Row],[Servicing Spread]])</f>
        <v>1.0263037120360501</v>
      </c>
      <c r="M433" s="24">
        <f>CurrentMtgRatesDataTable811[[#This Row],[SeriesNumValue]]+CurrentMtgRatesDataTable811[[#This Row],[Servicing Spread Non-Zero]]</f>
        <v>3.6964980371402301</v>
      </c>
    </row>
    <row r="434" spans="2:13" x14ac:dyDescent="0.2">
      <c r="B434" s="27" t="s">
        <v>1115</v>
      </c>
      <c r="C434" s="28">
        <v>2.6390371038052001</v>
      </c>
      <c r="D434" s="26">
        <v>3.585</v>
      </c>
      <c r="E434" s="24">
        <f t="shared" si="24"/>
        <v>2</v>
      </c>
      <c r="F434" s="24">
        <f>VLOOKUP(E434,Q$5:R$11,2,FALSE)</f>
        <v>0.2</v>
      </c>
      <c r="G434" s="24">
        <f t="shared" si="25"/>
        <v>2</v>
      </c>
      <c r="H434" s="24">
        <f>IF(G434&gt;G433,H433+C434*F434,C434*F434)</f>
        <v>1.061846285781876</v>
      </c>
      <c r="I434" s="24">
        <f t="shared" si="26"/>
        <v>0.4</v>
      </c>
      <c r="J434" s="24">
        <f t="shared" si="27"/>
        <v>0</v>
      </c>
      <c r="K434" s="24">
        <f>IF(CurrentMtgRatesDataTable811[[#This Row],[WA CC]]&lt;&gt;0,D433-CurrentMtgRatesDataTable811[[#This Row],[WA CC]],0)</f>
        <v>0</v>
      </c>
      <c r="L434" s="24">
        <f>IF(CurrentMtgRatesDataTable811[[#This Row],[Servicing Spread]]&lt;=0,L433,CurrentMtgRatesDataTable811[[#This Row],[Servicing Spread]])</f>
        <v>1.0263037120360501</v>
      </c>
      <c r="M434" s="24">
        <f>CurrentMtgRatesDataTable811[[#This Row],[SeriesNumValue]]+CurrentMtgRatesDataTable811[[#This Row],[Servicing Spread Non-Zero]]</f>
        <v>3.6653408158412502</v>
      </c>
    </row>
    <row r="435" spans="2:13" x14ac:dyDescent="0.2">
      <c r="B435" s="27" t="s">
        <v>1116</v>
      </c>
      <c r="C435" s="28">
        <v>2.6186769861639401</v>
      </c>
      <c r="D435" s="26">
        <v>3.585</v>
      </c>
      <c r="E435" s="24">
        <f t="shared" si="24"/>
        <v>5</v>
      </c>
      <c r="F435" s="24">
        <f>VLOOKUP(E435,Q$5:R$11,2,FALSE)</f>
        <v>0.2</v>
      </c>
      <c r="G435" s="24">
        <f t="shared" si="25"/>
        <v>3</v>
      </c>
      <c r="H435" s="24">
        <f>IF(G435&gt;G434,H434+C435*F435,C435*F435)</f>
        <v>1.5855816830146641</v>
      </c>
      <c r="I435" s="24">
        <f t="shared" si="26"/>
        <v>0.60000000000000009</v>
      </c>
      <c r="J435" s="24">
        <f t="shared" si="27"/>
        <v>0</v>
      </c>
      <c r="K435" s="24">
        <f>IF(CurrentMtgRatesDataTable811[[#This Row],[WA CC]]&lt;&gt;0,D434-CurrentMtgRatesDataTable811[[#This Row],[WA CC]],0)</f>
        <v>0</v>
      </c>
      <c r="L435" s="24">
        <f>IF(CurrentMtgRatesDataTable811[[#This Row],[Servicing Spread]]&lt;=0,L434,CurrentMtgRatesDataTable811[[#This Row],[Servicing Spread]])</f>
        <v>1.0263037120360501</v>
      </c>
      <c r="M435" s="24">
        <f>CurrentMtgRatesDataTable811[[#This Row],[SeriesNumValue]]+CurrentMtgRatesDataTable811[[#This Row],[Servicing Spread Non-Zero]]</f>
        <v>3.6449806981999902</v>
      </c>
    </row>
    <row r="436" spans="2:13" x14ac:dyDescent="0.2">
      <c r="B436" s="27" t="s">
        <v>1117</v>
      </c>
      <c r="C436" s="28">
        <v>2.6258914158610902</v>
      </c>
      <c r="D436" s="26">
        <v>3.585</v>
      </c>
      <c r="E436" s="24">
        <f t="shared" si="24"/>
        <v>6</v>
      </c>
      <c r="F436" s="24">
        <f>VLOOKUP(E436,Q$5:R$11,2,FALSE)</f>
        <v>0.2</v>
      </c>
      <c r="G436" s="24">
        <f t="shared" si="25"/>
        <v>4</v>
      </c>
      <c r="H436" s="24">
        <f>IF(G436&gt;G435,H435+C436*F436,C436*F436)</f>
        <v>2.1107599661868823</v>
      </c>
      <c r="I436" s="24">
        <f t="shared" si="26"/>
        <v>0.8</v>
      </c>
      <c r="J436" s="24">
        <f t="shared" si="27"/>
        <v>0</v>
      </c>
      <c r="K436" s="24">
        <f>IF(CurrentMtgRatesDataTable811[[#This Row],[WA CC]]&lt;&gt;0,D435-CurrentMtgRatesDataTable811[[#This Row],[WA CC]],0)</f>
        <v>0</v>
      </c>
      <c r="L436" s="24">
        <f>IF(CurrentMtgRatesDataTable811[[#This Row],[Servicing Spread]]&lt;=0,L435,CurrentMtgRatesDataTable811[[#This Row],[Servicing Spread]])</f>
        <v>1.0263037120360501</v>
      </c>
      <c r="M436" s="24">
        <f>CurrentMtgRatesDataTable811[[#This Row],[SeriesNumValue]]+CurrentMtgRatesDataTable811[[#This Row],[Servicing Spread Non-Zero]]</f>
        <v>3.6521951278971403</v>
      </c>
    </row>
    <row r="437" spans="2:13" x14ac:dyDescent="0.2">
      <c r="B437" s="27" t="s">
        <v>1118</v>
      </c>
      <c r="C437" s="28">
        <v>2.5120707644049798</v>
      </c>
      <c r="D437" s="26">
        <v>3.585</v>
      </c>
      <c r="E437" s="24">
        <f t="shared" si="24"/>
        <v>7</v>
      </c>
      <c r="F437" s="24">
        <f>VLOOKUP(E437,Q$5:R$11,2,FALSE)</f>
        <v>0.2</v>
      </c>
      <c r="G437" s="24">
        <f t="shared" si="25"/>
        <v>5</v>
      </c>
      <c r="H437" s="24">
        <f>IF(G437&gt;G436,H436+C437*F437,C437*F437)</f>
        <v>2.6131741190678781</v>
      </c>
      <c r="I437" s="24">
        <f t="shared" si="26"/>
        <v>1</v>
      </c>
      <c r="J437" s="24">
        <f t="shared" si="27"/>
        <v>2.6131741190678781</v>
      </c>
      <c r="K437" s="24">
        <f>IF(CurrentMtgRatesDataTable811[[#This Row],[WA CC]]&lt;&gt;0,D436-CurrentMtgRatesDataTable811[[#This Row],[WA CC]],0)</f>
        <v>0.97182588093212185</v>
      </c>
      <c r="L437" s="24">
        <f>IF(CurrentMtgRatesDataTable811[[#This Row],[Servicing Spread]]&lt;=0,L436,CurrentMtgRatesDataTable811[[#This Row],[Servicing Spread]])</f>
        <v>0.97182588093212185</v>
      </c>
      <c r="M437" s="24">
        <f>CurrentMtgRatesDataTable811[[#This Row],[SeriesNumValue]]+CurrentMtgRatesDataTable811[[#This Row],[Servicing Spread Non-Zero]]</f>
        <v>3.4838966453371016</v>
      </c>
    </row>
    <row r="438" spans="2:13" x14ac:dyDescent="0.2">
      <c r="B438" s="27" t="s">
        <v>1119</v>
      </c>
      <c r="C438" s="28">
        <v>2.4447051610431401</v>
      </c>
      <c r="D438" s="26">
        <v>3.4899999999999998</v>
      </c>
      <c r="E438" s="24">
        <f t="shared" si="24"/>
        <v>1</v>
      </c>
      <c r="F438" s="24">
        <f>VLOOKUP(E438,Q$5:R$11,2,FALSE)</f>
        <v>0.2</v>
      </c>
      <c r="G438" s="24">
        <f t="shared" si="25"/>
        <v>1</v>
      </c>
      <c r="H438" s="24">
        <f>IF(G438&gt;G437,H437+C438*F438,C438*F438)</f>
        <v>0.48894103220862806</v>
      </c>
      <c r="I438" s="24">
        <f t="shared" si="26"/>
        <v>0.2</v>
      </c>
      <c r="J438" s="24">
        <f t="shared" si="27"/>
        <v>0</v>
      </c>
      <c r="K438" s="24">
        <f>IF(CurrentMtgRatesDataTable811[[#This Row],[WA CC]]&lt;&gt;0,D437-CurrentMtgRatesDataTable811[[#This Row],[WA CC]],0)</f>
        <v>0</v>
      </c>
      <c r="L438" s="24">
        <f>IF(CurrentMtgRatesDataTable811[[#This Row],[Servicing Spread]]&lt;=0,L437,CurrentMtgRatesDataTable811[[#This Row],[Servicing Spread]])</f>
        <v>0.97182588093212185</v>
      </c>
      <c r="M438" s="24">
        <f>CurrentMtgRatesDataTable811[[#This Row],[SeriesNumValue]]+CurrentMtgRatesDataTable811[[#This Row],[Servicing Spread Non-Zero]]</f>
        <v>3.4165310419752619</v>
      </c>
    </row>
    <row r="439" spans="2:13" x14ac:dyDescent="0.2">
      <c r="B439" s="27" t="s">
        <v>1120</v>
      </c>
      <c r="C439" s="28">
        <v>2.4760934642707801</v>
      </c>
      <c r="D439" s="26">
        <v>3.4899999999999998</v>
      </c>
      <c r="E439" s="24">
        <f t="shared" si="24"/>
        <v>2</v>
      </c>
      <c r="F439" s="24">
        <f>VLOOKUP(E439,Q$5:R$11,2,FALSE)</f>
        <v>0.2</v>
      </c>
      <c r="G439" s="24">
        <f t="shared" si="25"/>
        <v>2</v>
      </c>
      <c r="H439" s="24">
        <f>IF(G439&gt;G438,H438+C439*F439,C439*F439)</f>
        <v>0.98415972506278404</v>
      </c>
      <c r="I439" s="24">
        <f t="shared" si="26"/>
        <v>0.4</v>
      </c>
      <c r="J439" s="24">
        <f t="shared" si="27"/>
        <v>0</v>
      </c>
      <c r="K439" s="24">
        <f>IF(CurrentMtgRatesDataTable811[[#This Row],[WA CC]]&lt;&gt;0,D438-CurrentMtgRatesDataTable811[[#This Row],[WA CC]],0)</f>
        <v>0</v>
      </c>
      <c r="L439" s="24">
        <f>IF(CurrentMtgRatesDataTable811[[#This Row],[Servicing Spread]]&lt;=0,L438,CurrentMtgRatesDataTable811[[#This Row],[Servicing Spread]])</f>
        <v>0.97182588093212185</v>
      </c>
      <c r="M439" s="24">
        <f>CurrentMtgRatesDataTable811[[#This Row],[SeriesNumValue]]+CurrentMtgRatesDataTable811[[#This Row],[Servicing Spread Non-Zero]]</f>
        <v>3.447919345202902</v>
      </c>
    </row>
    <row r="440" spans="2:13" x14ac:dyDescent="0.2">
      <c r="B440" s="27" t="s">
        <v>1121</v>
      </c>
      <c r="C440" s="28">
        <v>2.4407526300903402</v>
      </c>
      <c r="D440" s="26">
        <v>3.4899999999999998</v>
      </c>
      <c r="E440" s="24">
        <f t="shared" si="24"/>
        <v>5</v>
      </c>
      <c r="F440" s="24">
        <f>VLOOKUP(E440,Q$5:R$11,2,FALSE)</f>
        <v>0.2</v>
      </c>
      <c r="G440" s="24">
        <f t="shared" si="25"/>
        <v>3</v>
      </c>
      <c r="H440" s="24">
        <f>IF(G440&gt;G439,H439+C440*F440,C440*F440)</f>
        <v>1.4723102510808521</v>
      </c>
      <c r="I440" s="24">
        <f t="shared" si="26"/>
        <v>0.60000000000000009</v>
      </c>
      <c r="J440" s="24">
        <f t="shared" si="27"/>
        <v>0</v>
      </c>
      <c r="K440" s="24">
        <f>IF(CurrentMtgRatesDataTable811[[#This Row],[WA CC]]&lt;&gt;0,D439-CurrentMtgRatesDataTable811[[#This Row],[WA CC]],0)</f>
        <v>0</v>
      </c>
      <c r="L440" s="24">
        <f>IF(CurrentMtgRatesDataTable811[[#This Row],[Servicing Spread]]&lt;=0,L439,CurrentMtgRatesDataTable811[[#This Row],[Servicing Spread]])</f>
        <v>0.97182588093212185</v>
      </c>
      <c r="M440" s="24">
        <f>CurrentMtgRatesDataTable811[[#This Row],[SeriesNumValue]]+CurrentMtgRatesDataTable811[[#This Row],[Servicing Spread Non-Zero]]</f>
        <v>3.412578511022462</v>
      </c>
    </row>
    <row r="441" spans="2:13" x14ac:dyDescent="0.2">
      <c r="B441" s="27" t="s">
        <v>1122</v>
      </c>
      <c r="C441" s="28">
        <v>2.4110384199427202</v>
      </c>
      <c r="D441" s="26">
        <v>3.4899999999999998</v>
      </c>
      <c r="E441" s="24">
        <f t="shared" si="24"/>
        <v>6</v>
      </c>
      <c r="F441" s="24">
        <f>VLOOKUP(E441,Q$5:R$11,2,FALSE)</f>
        <v>0.2</v>
      </c>
      <c r="G441" s="24">
        <f t="shared" si="25"/>
        <v>4</v>
      </c>
      <c r="H441" s="24">
        <f>IF(G441&gt;G440,H440+C441*F441,C441*F441)</f>
        <v>1.9545179350693962</v>
      </c>
      <c r="I441" s="24">
        <f t="shared" si="26"/>
        <v>0.8</v>
      </c>
      <c r="J441" s="24">
        <f t="shared" si="27"/>
        <v>0</v>
      </c>
      <c r="K441" s="24">
        <f>IF(CurrentMtgRatesDataTable811[[#This Row],[WA CC]]&lt;&gt;0,D440-CurrentMtgRatesDataTable811[[#This Row],[WA CC]],0)</f>
        <v>0</v>
      </c>
      <c r="L441" s="24">
        <f>IF(CurrentMtgRatesDataTable811[[#This Row],[Servicing Spread]]&lt;=0,L440,CurrentMtgRatesDataTable811[[#This Row],[Servicing Spread]])</f>
        <v>0.97182588093212185</v>
      </c>
      <c r="M441" s="24">
        <f>CurrentMtgRatesDataTable811[[#This Row],[SeriesNumValue]]+CurrentMtgRatesDataTable811[[#This Row],[Servicing Spread Non-Zero]]</f>
        <v>3.382864300874842</v>
      </c>
    </row>
    <row r="442" spans="2:13" x14ac:dyDescent="0.2">
      <c r="B442" s="27" t="s">
        <v>1123</v>
      </c>
      <c r="C442" s="28">
        <v>2.4687840450515499</v>
      </c>
      <c r="D442" s="26">
        <v>3.4899999999999998</v>
      </c>
      <c r="E442" s="24">
        <f t="shared" si="24"/>
        <v>7</v>
      </c>
      <c r="F442" s="24">
        <f>VLOOKUP(E442,Q$5:R$11,2,FALSE)</f>
        <v>0.2</v>
      </c>
      <c r="G442" s="24">
        <f t="shared" si="25"/>
        <v>5</v>
      </c>
      <c r="H442" s="24">
        <f>IF(G442&gt;G441,H441+C442*F442,C442*F442)</f>
        <v>2.4482747440797064</v>
      </c>
      <c r="I442" s="24">
        <f t="shared" si="26"/>
        <v>1</v>
      </c>
      <c r="J442" s="24">
        <f t="shared" si="27"/>
        <v>2.4482747440797064</v>
      </c>
      <c r="K442" s="24">
        <f>IF(CurrentMtgRatesDataTable811[[#This Row],[WA CC]]&lt;&gt;0,D441-CurrentMtgRatesDataTable811[[#This Row],[WA CC]],0)</f>
        <v>1.0417252559202934</v>
      </c>
      <c r="L442" s="24">
        <f>IF(CurrentMtgRatesDataTable811[[#This Row],[Servicing Spread]]&lt;=0,L441,CurrentMtgRatesDataTable811[[#This Row],[Servicing Spread]])</f>
        <v>1.0417252559202934</v>
      </c>
      <c r="M442" s="24">
        <f>CurrentMtgRatesDataTable811[[#This Row],[SeriesNumValue]]+CurrentMtgRatesDataTable811[[#This Row],[Servicing Spread Non-Zero]]</f>
        <v>3.5105093009718433</v>
      </c>
    </row>
    <row r="443" spans="2:13" x14ac:dyDescent="0.2">
      <c r="B443" s="27" t="s">
        <v>1124</v>
      </c>
      <c r="C443" s="28">
        <v>2.4337082726962702</v>
      </c>
      <c r="D443" s="26">
        <v>3.4749999999999996</v>
      </c>
      <c r="E443" s="24">
        <f t="shared" si="24"/>
        <v>1</v>
      </c>
      <c r="F443" s="24">
        <f>VLOOKUP(E443,Q$5:R$11,2,FALSE)</f>
        <v>0.2</v>
      </c>
      <c r="G443" s="24">
        <f t="shared" si="25"/>
        <v>1</v>
      </c>
      <c r="H443" s="24">
        <f>IF(G443&gt;G442,H442+C443*F443,C443*F443)</f>
        <v>0.48674165453925405</v>
      </c>
      <c r="I443" s="24">
        <f t="shared" si="26"/>
        <v>0.2</v>
      </c>
      <c r="J443" s="24">
        <f t="shared" si="27"/>
        <v>0</v>
      </c>
      <c r="K443" s="24">
        <f>IF(CurrentMtgRatesDataTable811[[#This Row],[WA CC]]&lt;&gt;0,D442-CurrentMtgRatesDataTable811[[#This Row],[WA CC]],0)</f>
        <v>0</v>
      </c>
      <c r="L443" s="24">
        <f>IF(CurrentMtgRatesDataTable811[[#This Row],[Servicing Spread]]&lt;=0,L442,CurrentMtgRatesDataTable811[[#This Row],[Servicing Spread]])</f>
        <v>1.0417252559202934</v>
      </c>
      <c r="M443" s="24">
        <f>CurrentMtgRatesDataTable811[[#This Row],[SeriesNumValue]]+CurrentMtgRatesDataTable811[[#This Row],[Servicing Spread Non-Zero]]</f>
        <v>3.4754335286165636</v>
      </c>
    </row>
    <row r="444" spans="2:13" x14ac:dyDescent="0.2">
      <c r="B444" s="27" t="s">
        <v>1125</v>
      </c>
      <c r="C444" s="28">
        <v>2.3689486742097801</v>
      </c>
      <c r="D444" s="26">
        <v>3.4749999999999996</v>
      </c>
      <c r="E444" s="24">
        <f t="shared" si="24"/>
        <v>2</v>
      </c>
      <c r="F444" s="24">
        <f>VLOOKUP(E444,Q$5:R$11,2,FALSE)</f>
        <v>0.2</v>
      </c>
      <c r="G444" s="24">
        <f t="shared" si="25"/>
        <v>2</v>
      </c>
      <c r="H444" s="24">
        <f>IF(G444&gt;G443,H443+C444*F444,C444*F444)</f>
        <v>0.96053138938121008</v>
      </c>
      <c r="I444" s="24">
        <f t="shared" si="26"/>
        <v>0.4</v>
      </c>
      <c r="J444" s="24">
        <f t="shared" si="27"/>
        <v>0</v>
      </c>
      <c r="K444" s="24">
        <f>IF(CurrentMtgRatesDataTable811[[#This Row],[WA CC]]&lt;&gt;0,D443-CurrentMtgRatesDataTable811[[#This Row],[WA CC]],0)</f>
        <v>0</v>
      </c>
      <c r="L444" s="24">
        <f>IF(CurrentMtgRatesDataTable811[[#This Row],[Servicing Spread]]&lt;=0,L443,CurrentMtgRatesDataTable811[[#This Row],[Servicing Spread]])</f>
        <v>1.0417252559202934</v>
      </c>
      <c r="M444" s="24">
        <f>CurrentMtgRatesDataTable811[[#This Row],[SeriesNumValue]]+CurrentMtgRatesDataTable811[[#This Row],[Servicing Spread Non-Zero]]</f>
        <v>3.4106739301300735</v>
      </c>
    </row>
    <row r="445" spans="2:13" x14ac:dyDescent="0.2">
      <c r="B445" s="27" t="s">
        <v>1126</v>
      </c>
      <c r="C445" s="28">
        <v>2.3841669341916099</v>
      </c>
      <c r="D445" s="26">
        <v>3.4749999999999996</v>
      </c>
      <c r="E445" s="24">
        <f t="shared" si="24"/>
        <v>6</v>
      </c>
      <c r="F445" s="24">
        <f>VLOOKUP(E445,Q$5:R$11,2,FALSE)</f>
        <v>0.2</v>
      </c>
      <c r="G445" s="24">
        <f t="shared" si="25"/>
        <v>3</v>
      </c>
      <c r="H445" s="24">
        <f>IF(G445&gt;G444,H444+C445*F445,C445*F445)</f>
        <v>1.4373647762195321</v>
      </c>
      <c r="I445" s="24">
        <f t="shared" si="26"/>
        <v>0.60000000000000009</v>
      </c>
      <c r="J445" s="24">
        <f t="shared" si="27"/>
        <v>0</v>
      </c>
      <c r="K445" s="24">
        <f>IF(CurrentMtgRatesDataTable811[[#This Row],[WA CC]]&lt;&gt;0,D444-CurrentMtgRatesDataTable811[[#This Row],[WA CC]],0)</f>
        <v>0</v>
      </c>
      <c r="L445" s="24">
        <f>IF(CurrentMtgRatesDataTable811[[#This Row],[Servicing Spread]]&lt;=0,L444,CurrentMtgRatesDataTable811[[#This Row],[Servicing Spread]])</f>
        <v>1.0417252559202934</v>
      </c>
      <c r="M445" s="24">
        <f>CurrentMtgRatesDataTable811[[#This Row],[SeriesNumValue]]+CurrentMtgRatesDataTable811[[#This Row],[Servicing Spread Non-Zero]]</f>
        <v>3.4258921901119033</v>
      </c>
    </row>
    <row r="446" spans="2:13" x14ac:dyDescent="0.2">
      <c r="B446" s="27" t="s">
        <v>1127</v>
      </c>
      <c r="C446" s="28">
        <v>2.39527607095176</v>
      </c>
      <c r="D446" s="26">
        <v>3.4749999999999996</v>
      </c>
      <c r="E446" s="24">
        <f t="shared" si="24"/>
        <v>7</v>
      </c>
      <c r="F446" s="24">
        <f>VLOOKUP(E446,Q$5:R$11,2,FALSE)</f>
        <v>0.2</v>
      </c>
      <c r="G446" s="24">
        <f t="shared" si="25"/>
        <v>4</v>
      </c>
      <c r="H446" s="24">
        <f>IF(G446&gt;G445,H445+C446*F446,C446*F446)</f>
        <v>1.9164199904098842</v>
      </c>
      <c r="I446" s="24">
        <f t="shared" si="26"/>
        <v>0.8</v>
      </c>
      <c r="J446" s="24">
        <f t="shared" si="27"/>
        <v>2.395524988012355</v>
      </c>
      <c r="K446" s="24">
        <f>IF(CurrentMtgRatesDataTable811[[#This Row],[WA CC]]&lt;&gt;0,D445-CurrentMtgRatesDataTable811[[#This Row],[WA CC]],0)</f>
        <v>1.0794750119876446</v>
      </c>
      <c r="L446" s="24">
        <f>IF(CurrentMtgRatesDataTable811[[#This Row],[Servicing Spread]]&lt;=0,L445,CurrentMtgRatesDataTable811[[#This Row],[Servicing Spread]])</f>
        <v>1.0794750119876446</v>
      </c>
      <c r="M446" s="24">
        <f>CurrentMtgRatesDataTable811[[#This Row],[SeriesNumValue]]+CurrentMtgRatesDataTable811[[#This Row],[Servicing Spread Non-Zero]]</f>
        <v>3.4747510829394046</v>
      </c>
    </row>
    <row r="447" spans="2:13" x14ac:dyDescent="0.2">
      <c r="B447" s="27" t="s">
        <v>1128</v>
      </c>
      <c r="C447" s="28">
        <v>2.4560721347491201</v>
      </c>
      <c r="D447" s="26">
        <v>3.4499999999999997</v>
      </c>
      <c r="E447" s="24">
        <f t="shared" si="24"/>
        <v>1</v>
      </c>
      <c r="F447" s="24">
        <f>VLOOKUP(E447,Q$5:R$11,2,FALSE)</f>
        <v>0.2</v>
      </c>
      <c r="G447" s="24">
        <f t="shared" si="25"/>
        <v>1</v>
      </c>
      <c r="H447" s="24">
        <f>IF(G447&gt;G446,H446+C447*F447,C447*F447)</f>
        <v>0.49121442694982403</v>
      </c>
      <c r="I447" s="24">
        <f t="shared" si="26"/>
        <v>0.2</v>
      </c>
      <c r="J447" s="24">
        <f t="shared" si="27"/>
        <v>0</v>
      </c>
      <c r="K447" s="24">
        <f>IF(CurrentMtgRatesDataTable811[[#This Row],[WA CC]]&lt;&gt;0,D446-CurrentMtgRatesDataTable811[[#This Row],[WA CC]],0)</f>
        <v>0</v>
      </c>
      <c r="L447" s="24">
        <f>IF(CurrentMtgRatesDataTable811[[#This Row],[Servicing Spread]]&lt;=0,L446,CurrentMtgRatesDataTable811[[#This Row],[Servicing Spread]])</f>
        <v>1.0794750119876446</v>
      </c>
      <c r="M447" s="24">
        <f>CurrentMtgRatesDataTable811[[#This Row],[SeriesNumValue]]+CurrentMtgRatesDataTable811[[#This Row],[Servicing Spread Non-Zero]]</f>
        <v>3.5355471467367647</v>
      </c>
    </row>
    <row r="448" spans="2:13" x14ac:dyDescent="0.2">
      <c r="B448" s="27" t="s">
        <v>1129</v>
      </c>
      <c r="C448" s="28">
        <v>2.3738371878590399</v>
      </c>
      <c r="D448" s="26">
        <v>3.4499999999999997</v>
      </c>
      <c r="E448" s="24">
        <f t="shared" si="24"/>
        <v>2</v>
      </c>
      <c r="F448" s="24">
        <f>VLOOKUP(E448,Q$5:R$11,2,FALSE)</f>
        <v>0.2</v>
      </c>
      <c r="G448" s="24">
        <f t="shared" si="25"/>
        <v>2</v>
      </c>
      <c r="H448" s="24">
        <f>IF(G448&gt;G447,H447+C448*F448,C448*F448)</f>
        <v>0.96598186452163204</v>
      </c>
      <c r="I448" s="24">
        <f t="shared" si="26"/>
        <v>0.4</v>
      </c>
      <c r="J448" s="24">
        <f t="shared" si="27"/>
        <v>0</v>
      </c>
      <c r="K448" s="24">
        <f>IF(CurrentMtgRatesDataTable811[[#This Row],[WA CC]]&lt;&gt;0,D447-CurrentMtgRatesDataTable811[[#This Row],[WA CC]],0)</f>
        <v>0</v>
      </c>
      <c r="L448" s="24">
        <f>IF(CurrentMtgRatesDataTable811[[#This Row],[Servicing Spread]]&lt;=0,L447,CurrentMtgRatesDataTable811[[#This Row],[Servicing Spread]])</f>
        <v>1.0794750119876446</v>
      </c>
      <c r="M448" s="24">
        <f>CurrentMtgRatesDataTable811[[#This Row],[SeriesNumValue]]+CurrentMtgRatesDataTable811[[#This Row],[Servicing Spread Non-Zero]]</f>
        <v>3.4533121998466845</v>
      </c>
    </row>
    <row r="449" spans="2:13" x14ac:dyDescent="0.2">
      <c r="B449" s="27" t="s">
        <v>1130</v>
      </c>
      <c r="C449" s="28">
        <v>2.3778465565534201</v>
      </c>
      <c r="D449" s="26">
        <v>3.4499999999999997</v>
      </c>
      <c r="E449" s="24">
        <f t="shared" si="24"/>
        <v>5</v>
      </c>
      <c r="F449" s="24">
        <f>VLOOKUP(E449,Q$5:R$11,2,FALSE)</f>
        <v>0.2</v>
      </c>
      <c r="G449" s="24">
        <f t="shared" si="25"/>
        <v>3</v>
      </c>
      <c r="H449" s="24">
        <f>IF(G449&gt;G448,H448+C449*F449,C449*F449)</f>
        <v>1.4415511758323161</v>
      </c>
      <c r="I449" s="24">
        <f t="shared" si="26"/>
        <v>0.60000000000000009</v>
      </c>
      <c r="J449" s="24">
        <f t="shared" si="27"/>
        <v>0</v>
      </c>
      <c r="K449" s="24">
        <f>IF(CurrentMtgRatesDataTable811[[#This Row],[WA CC]]&lt;&gt;0,D448-CurrentMtgRatesDataTable811[[#This Row],[WA CC]],0)</f>
        <v>0</v>
      </c>
      <c r="L449" s="24">
        <f>IF(CurrentMtgRatesDataTable811[[#This Row],[Servicing Spread]]&lt;=0,L448,CurrentMtgRatesDataTable811[[#This Row],[Servicing Spread]])</f>
        <v>1.0794750119876446</v>
      </c>
      <c r="M449" s="24">
        <f>CurrentMtgRatesDataTable811[[#This Row],[SeriesNumValue]]+CurrentMtgRatesDataTable811[[#This Row],[Servicing Spread Non-Zero]]</f>
        <v>3.4573215685410648</v>
      </c>
    </row>
    <row r="450" spans="2:13" x14ac:dyDescent="0.2">
      <c r="B450" s="27" t="s">
        <v>1131</v>
      </c>
      <c r="C450" s="28">
        <v>2.3937114953982901</v>
      </c>
      <c r="D450" s="26">
        <v>3.4499999999999997</v>
      </c>
      <c r="E450" s="24">
        <f t="shared" si="24"/>
        <v>6</v>
      </c>
      <c r="F450" s="24">
        <f>VLOOKUP(E450,Q$5:R$11,2,FALSE)</f>
        <v>0.2</v>
      </c>
      <c r="G450" s="24">
        <f t="shared" si="25"/>
        <v>4</v>
      </c>
      <c r="H450" s="24">
        <f>IF(G450&gt;G449,H449+C450*F450,C450*F450)</f>
        <v>1.9202934749119742</v>
      </c>
      <c r="I450" s="24">
        <f t="shared" si="26"/>
        <v>0.8</v>
      </c>
      <c r="J450" s="24">
        <f t="shared" si="27"/>
        <v>0</v>
      </c>
      <c r="K450" s="24">
        <f>IF(CurrentMtgRatesDataTable811[[#This Row],[WA CC]]&lt;&gt;0,D449-CurrentMtgRatesDataTable811[[#This Row],[WA CC]],0)</f>
        <v>0</v>
      </c>
      <c r="L450" s="24">
        <f>IF(CurrentMtgRatesDataTable811[[#This Row],[Servicing Spread]]&lt;=0,L449,CurrentMtgRatesDataTable811[[#This Row],[Servicing Spread]])</f>
        <v>1.0794750119876446</v>
      </c>
      <c r="M450" s="24">
        <f>CurrentMtgRatesDataTable811[[#This Row],[SeriesNumValue]]+CurrentMtgRatesDataTable811[[#This Row],[Servicing Spread Non-Zero]]</f>
        <v>3.4731865073859347</v>
      </c>
    </row>
    <row r="451" spans="2:13" x14ac:dyDescent="0.2">
      <c r="B451" s="27" t="s">
        <v>1132</v>
      </c>
      <c r="C451" s="28">
        <v>2.4292166245487601</v>
      </c>
      <c r="D451" s="26">
        <v>3.4499999999999997</v>
      </c>
      <c r="E451" s="24">
        <f t="shared" ref="E451:E514" si="28">WEEKDAY(B451,14)</f>
        <v>7</v>
      </c>
      <c r="F451" s="24">
        <f>VLOOKUP(E451,Q$5:R$11,2,FALSE)</f>
        <v>0.2</v>
      </c>
      <c r="G451" s="24">
        <f t="shared" ref="G451:G514" si="29">IF(AND(E451&gt;E450,G450&lt;6),G450+1,1)</f>
        <v>5</v>
      </c>
      <c r="H451" s="24">
        <f>IF(G451&gt;G450,H450+C451*F451,C451*F451)</f>
        <v>2.4061367998217262</v>
      </c>
      <c r="I451" s="24">
        <f t="shared" ref="I451:I514" si="30">IF(AND(G451&lt;6,G451&gt;G450),F451+I450,F451)</f>
        <v>1</v>
      </c>
      <c r="J451" s="24">
        <f t="shared" ref="J451:J514" si="31">IF(G451&gt;G452,H451/I451,0)</f>
        <v>2.4061367998217262</v>
      </c>
      <c r="K451" s="24">
        <f>IF(CurrentMtgRatesDataTable811[[#This Row],[WA CC]]&lt;&gt;0,D450-CurrentMtgRatesDataTable811[[#This Row],[WA CC]],0)</f>
        <v>1.0438632001782735</v>
      </c>
      <c r="L451" s="24">
        <f>IF(CurrentMtgRatesDataTable811[[#This Row],[Servicing Spread]]&lt;=0,L450,CurrentMtgRatesDataTable811[[#This Row],[Servicing Spread]])</f>
        <v>1.0438632001782735</v>
      </c>
      <c r="M451" s="24">
        <f>CurrentMtgRatesDataTable811[[#This Row],[SeriesNumValue]]+CurrentMtgRatesDataTable811[[#This Row],[Servicing Spread Non-Zero]]</f>
        <v>3.4730798247270336</v>
      </c>
    </row>
    <row r="452" spans="2:13" x14ac:dyDescent="0.2">
      <c r="B452" s="27" t="s">
        <v>1133</v>
      </c>
      <c r="C452" s="28">
        <v>2.2060134697218898</v>
      </c>
      <c r="D452" s="26">
        <v>3.39</v>
      </c>
      <c r="E452" s="24">
        <f t="shared" si="28"/>
        <v>1</v>
      </c>
      <c r="F452" s="24">
        <f>VLOOKUP(E452,Q$5:R$11,2,FALSE)</f>
        <v>0.2</v>
      </c>
      <c r="G452" s="24">
        <f t="shared" si="29"/>
        <v>1</v>
      </c>
      <c r="H452" s="24">
        <f>IF(G452&gt;G451,H451+C452*F452,C452*F452)</f>
        <v>0.441202693944378</v>
      </c>
      <c r="I452" s="24">
        <f t="shared" si="30"/>
        <v>0.2</v>
      </c>
      <c r="J452" s="24">
        <f t="shared" si="31"/>
        <v>0</v>
      </c>
      <c r="K452" s="24">
        <f>IF(CurrentMtgRatesDataTable811[[#This Row],[WA CC]]&lt;&gt;0,D451-CurrentMtgRatesDataTable811[[#This Row],[WA CC]],0)</f>
        <v>0</v>
      </c>
      <c r="L452" s="24">
        <f>IF(CurrentMtgRatesDataTable811[[#This Row],[Servicing Spread]]&lt;=0,L451,CurrentMtgRatesDataTable811[[#This Row],[Servicing Spread]])</f>
        <v>1.0438632001782735</v>
      </c>
      <c r="M452" s="24">
        <f>CurrentMtgRatesDataTable811[[#This Row],[SeriesNumValue]]+CurrentMtgRatesDataTable811[[#This Row],[Servicing Spread Non-Zero]]</f>
        <v>3.2498766699001633</v>
      </c>
    </row>
    <row r="453" spans="2:13" x14ac:dyDescent="0.2">
      <c r="B453" s="27" t="s">
        <v>1134</v>
      </c>
      <c r="C453" s="28">
        <v>2.2680491660278101</v>
      </c>
      <c r="D453" s="26">
        <v>3.39</v>
      </c>
      <c r="E453" s="24">
        <f t="shared" si="28"/>
        <v>2</v>
      </c>
      <c r="F453" s="24">
        <f>VLOOKUP(E453,Q$5:R$11,2,FALSE)</f>
        <v>0.2</v>
      </c>
      <c r="G453" s="24">
        <f t="shared" si="29"/>
        <v>2</v>
      </c>
      <c r="H453" s="24">
        <f>IF(G453&gt;G452,H452+C453*F453,C453*F453)</f>
        <v>0.89481252714994008</v>
      </c>
      <c r="I453" s="24">
        <f t="shared" si="30"/>
        <v>0.4</v>
      </c>
      <c r="J453" s="24">
        <f t="shared" si="31"/>
        <v>0</v>
      </c>
      <c r="K453" s="24">
        <f>IF(CurrentMtgRatesDataTable811[[#This Row],[WA CC]]&lt;&gt;0,D452-CurrentMtgRatesDataTable811[[#This Row],[WA CC]],0)</f>
        <v>0</v>
      </c>
      <c r="L453" s="24">
        <f>IF(CurrentMtgRatesDataTable811[[#This Row],[Servicing Spread]]&lt;=0,L452,CurrentMtgRatesDataTable811[[#This Row],[Servicing Spread]])</f>
        <v>1.0438632001782735</v>
      </c>
      <c r="M453" s="24">
        <f>CurrentMtgRatesDataTable811[[#This Row],[SeriesNumValue]]+CurrentMtgRatesDataTable811[[#This Row],[Servicing Spread Non-Zero]]</f>
        <v>3.3119123662060836</v>
      </c>
    </row>
    <row r="454" spans="2:13" x14ac:dyDescent="0.2">
      <c r="B454" s="27" t="s">
        <v>1135</v>
      </c>
      <c r="C454" s="28">
        <v>2.2811650726171102</v>
      </c>
      <c r="D454" s="26">
        <v>3.39</v>
      </c>
      <c r="E454" s="24">
        <f t="shared" si="28"/>
        <v>5</v>
      </c>
      <c r="F454" s="24">
        <f>VLOOKUP(E454,Q$5:R$11,2,FALSE)</f>
        <v>0.2</v>
      </c>
      <c r="G454" s="24">
        <f t="shared" si="29"/>
        <v>3</v>
      </c>
      <c r="H454" s="24">
        <f>IF(G454&gt;G453,H453+C454*F454,C454*F454)</f>
        <v>1.3510455416733622</v>
      </c>
      <c r="I454" s="24">
        <f t="shared" si="30"/>
        <v>0.60000000000000009</v>
      </c>
      <c r="J454" s="24">
        <f t="shared" si="31"/>
        <v>0</v>
      </c>
      <c r="K454" s="24">
        <f>IF(CurrentMtgRatesDataTable811[[#This Row],[WA CC]]&lt;&gt;0,D453-CurrentMtgRatesDataTable811[[#This Row],[WA CC]],0)</f>
        <v>0</v>
      </c>
      <c r="L454" s="24">
        <f>IF(CurrentMtgRatesDataTable811[[#This Row],[Servicing Spread]]&lt;=0,L453,CurrentMtgRatesDataTable811[[#This Row],[Servicing Spread]])</f>
        <v>1.0438632001782735</v>
      </c>
      <c r="M454" s="24">
        <f>CurrentMtgRatesDataTable811[[#This Row],[SeriesNumValue]]+CurrentMtgRatesDataTable811[[#This Row],[Servicing Spread Non-Zero]]</f>
        <v>3.3250282727953837</v>
      </c>
    </row>
    <row r="455" spans="2:13" x14ac:dyDescent="0.2">
      <c r="B455" s="27" t="s">
        <v>1136</v>
      </c>
      <c r="C455" s="28">
        <v>2.2693986193058602</v>
      </c>
      <c r="D455" s="26">
        <v>3.39</v>
      </c>
      <c r="E455" s="24">
        <f t="shared" si="28"/>
        <v>6</v>
      </c>
      <c r="F455" s="24">
        <f>VLOOKUP(E455,Q$5:R$11,2,FALSE)</f>
        <v>0.2</v>
      </c>
      <c r="G455" s="24">
        <f t="shared" si="29"/>
        <v>4</v>
      </c>
      <c r="H455" s="24">
        <f>IF(G455&gt;G454,H454+C455*F455,C455*F455)</f>
        <v>1.8049252655345343</v>
      </c>
      <c r="I455" s="24">
        <f t="shared" si="30"/>
        <v>0.8</v>
      </c>
      <c r="J455" s="24">
        <f t="shared" si="31"/>
        <v>0</v>
      </c>
      <c r="K455" s="24">
        <f>IF(CurrentMtgRatesDataTable811[[#This Row],[WA CC]]&lt;&gt;0,D454-CurrentMtgRatesDataTable811[[#This Row],[WA CC]],0)</f>
        <v>0</v>
      </c>
      <c r="L455" s="24">
        <f>IF(CurrentMtgRatesDataTable811[[#This Row],[Servicing Spread]]&lt;=0,L454,CurrentMtgRatesDataTable811[[#This Row],[Servicing Spread]])</f>
        <v>1.0438632001782735</v>
      </c>
      <c r="M455" s="24">
        <f>CurrentMtgRatesDataTable811[[#This Row],[SeriesNumValue]]+CurrentMtgRatesDataTable811[[#This Row],[Servicing Spread Non-Zero]]</f>
        <v>3.3132618194841337</v>
      </c>
    </row>
    <row r="456" spans="2:13" x14ac:dyDescent="0.2">
      <c r="B456" s="27" t="s">
        <v>1137</v>
      </c>
      <c r="C456" s="28">
        <v>2.2108565855724298</v>
      </c>
      <c r="D456" s="26">
        <v>3.39</v>
      </c>
      <c r="E456" s="24">
        <f t="shared" si="28"/>
        <v>7</v>
      </c>
      <c r="F456" s="24">
        <f>VLOOKUP(E456,Q$5:R$11,2,FALSE)</f>
        <v>0.2</v>
      </c>
      <c r="G456" s="24">
        <f t="shared" si="29"/>
        <v>5</v>
      </c>
      <c r="H456" s="24">
        <f>IF(G456&gt;G455,H455+C456*F456,C456*F456)</f>
        <v>2.2470965826490201</v>
      </c>
      <c r="I456" s="24">
        <f t="shared" si="30"/>
        <v>1</v>
      </c>
      <c r="J456" s="24">
        <f t="shared" si="31"/>
        <v>2.2470965826490201</v>
      </c>
      <c r="K456" s="24">
        <f>IF(CurrentMtgRatesDataTable811[[#This Row],[WA CC]]&lt;&gt;0,D455-CurrentMtgRatesDataTable811[[#This Row],[WA CC]],0)</f>
        <v>1.14290341735098</v>
      </c>
      <c r="L456" s="24">
        <f>IF(CurrentMtgRatesDataTable811[[#This Row],[Servicing Spread]]&lt;=0,L455,CurrentMtgRatesDataTable811[[#This Row],[Servicing Spread]])</f>
        <v>1.14290341735098</v>
      </c>
      <c r="M456" s="24">
        <f>CurrentMtgRatesDataTable811[[#This Row],[SeriesNumValue]]+CurrentMtgRatesDataTable811[[#This Row],[Servicing Spread Non-Zero]]</f>
        <v>3.3537600029234098</v>
      </c>
    </row>
    <row r="457" spans="2:13" x14ac:dyDescent="0.2">
      <c r="B457" s="27" t="s">
        <v>1138</v>
      </c>
      <c r="C457" s="28">
        <v>2.1699341948075102</v>
      </c>
      <c r="D457" s="26">
        <v>3.3</v>
      </c>
      <c r="E457" s="24">
        <f t="shared" si="28"/>
        <v>1</v>
      </c>
      <c r="F457" s="24">
        <f>VLOOKUP(E457,Q$5:R$11,2,FALSE)</f>
        <v>0.2</v>
      </c>
      <c r="G457" s="24">
        <f t="shared" si="29"/>
        <v>1</v>
      </c>
      <c r="H457" s="24">
        <f>IF(G457&gt;G456,H456+C457*F457,C457*F457)</f>
        <v>0.43398683896150203</v>
      </c>
      <c r="I457" s="24">
        <f t="shared" si="30"/>
        <v>0.2</v>
      </c>
      <c r="J457" s="24">
        <f t="shared" si="31"/>
        <v>0</v>
      </c>
      <c r="K457" s="24">
        <f>IF(CurrentMtgRatesDataTable811[[#This Row],[WA CC]]&lt;&gt;0,D456-CurrentMtgRatesDataTable811[[#This Row],[WA CC]],0)</f>
        <v>0</v>
      </c>
      <c r="L457" s="24">
        <f>IF(CurrentMtgRatesDataTable811[[#This Row],[Servicing Spread]]&lt;=0,L456,CurrentMtgRatesDataTable811[[#This Row],[Servicing Spread]])</f>
        <v>1.14290341735098</v>
      </c>
      <c r="M457" s="24">
        <f>CurrentMtgRatesDataTable811[[#This Row],[SeriesNumValue]]+CurrentMtgRatesDataTable811[[#This Row],[Servicing Spread Non-Zero]]</f>
        <v>3.3128376121584902</v>
      </c>
    </row>
    <row r="458" spans="2:13" x14ac:dyDescent="0.2">
      <c r="B458" s="27" t="s">
        <v>1139</v>
      </c>
      <c r="C458" s="28">
        <v>2.0967004826224001</v>
      </c>
      <c r="D458" s="26">
        <v>3.3</v>
      </c>
      <c r="E458" s="24">
        <f t="shared" si="28"/>
        <v>2</v>
      </c>
      <c r="F458" s="24">
        <f>VLOOKUP(E458,Q$5:R$11,2,FALSE)</f>
        <v>0.2</v>
      </c>
      <c r="G458" s="24">
        <f t="shared" si="29"/>
        <v>2</v>
      </c>
      <c r="H458" s="24">
        <f>IF(G458&gt;G457,H457+C458*F458,C458*F458)</f>
        <v>0.85332693548598204</v>
      </c>
      <c r="I458" s="24">
        <f t="shared" si="30"/>
        <v>0.4</v>
      </c>
      <c r="J458" s="24">
        <f t="shared" si="31"/>
        <v>0</v>
      </c>
      <c r="K458" s="24">
        <f>IF(CurrentMtgRatesDataTable811[[#This Row],[WA CC]]&lt;&gt;0,D457-CurrentMtgRatesDataTable811[[#This Row],[WA CC]],0)</f>
        <v>0</v>
      </c>
      <c r="L458" s="24">
        <f>IF(CurrentMtgRatesDataTable811[[#This Row],[Servicing Spread]]&lt;=0,L457,CurrentMtgRatesDataTable811[[#This Row],[Servicing Spread]])</f>
        <v>1.14290341735098</v>
      </c>
      <c r="M458" s="24">
        <f>CurrentMtgRatesDataTable811[[#This Row],[SeriesNumValue]]+CurrentMtgRatesDataTable811[[#This Row],[Servicing Spread Non-Zero]]</f>
        <v>3.2396038999733801</v>
      </c>
    </row>
    <row r="459" spans="2:13" x14ac:dyDescent="0.2">
      <c r="B459" s="27" t="s">
        <v>1140</v>
      </c>
      <c r="C459" s="28">
        <v>2.0433470771670201</v>
      </c>
      <c r="D459" s="26">
        <v>3.3</v>
      </c>
      <c r="E459" s="24">
        <f t="shared" si="28"/>
        <v>5</v>
      </c>
      <c r="F459" s="24">
        <f>VLOOKUP(E459,Q$5:R$11,2,FALSE)</f>
        <v>0.2</v>
      </c>
      <c r="G459" s="24">
        <f t="shared" si="29"/>
        <v>3</v>
      </c>
      <c r="H459" s="24">
        <f>IF(G459&gt;G458,H458+C459*F459,C459*F459)</f>
        <v>1.2619963509193861</v>
      </c>
      <c r="I459" s="24">
        <f t="shared" si="30"/>
        <v>0.60000000000000009</v>
      </c>
      <c r="J459" s="24">
        <f t="shared" si="31"/>
        <v>0</v>
      </c>
      <c r="K459" s="24">
        <f>IF(CurrentMtgRatesDataTable811[[#This Row],[WA CC]]&lt;&gt;0,D458-CurrentMtgRatesDataTable811[[#This Row],[WA CC]],0)</f>
        <v>0</v>
      </c>
      <c r="L459" s="24">
        <f>IF(CurrentMtgRatesDataTable811[[#This Row],[Servicing Spread]]&lt;=0,L458,CurrentMtgRatesDataTable811[[#This Row],[Servicing Spread]])</f>
        <v>1.14290341735098</v>
      </c>
      <c r="M459" s="24">
        <f>CurrentMtgRatesDataTable811[[#This Row],[SeriesNumValue]]+CurrentMtgRatesDataTable811[[#This Row],[Servicing Spread Non-Zero]]</f>
        <v>3.1862504945180001</v>
      </c>
    </row>
    <row r="460" spans="2:13" x14ac:dyDescent="0.2">
      <c r="B460" s="27" t="s">
        <v>1141</v>
      </c>
      <c r="C460" s="28">
        <v>1.9795562323798399</v>
      </c>
      <c r="D460" s="26">
        <v>3.3</v>
      </c>
      <c r="E460" s="24">
        <f t="shared" si="28"/>
        <v>6</v>
      </c>
      <c r="F460" s="24">
        <f>VLOOKUP(E460,Q$5:R$11,2,FALSE)</f>
        <v>0.2</v>
      </c>
      <c r="G460" s="24">
        <f t="shared" si="29"/>
        <v>4</v>
      </c>
      <c r="H460" s="24">
        <f>IF(G460&gt;G459,H459+C460*F460,C460*F460)</f>
        <v>1.6579075973953541</v>
      </c>
      <c r="I460" s="24">
        <f t="shared" si="30"/>
        <v>0.8</v>
      </c>
      <c r="J460" s="24">
        <f t="shared" si="31"/>
        <v>0</v>
      </c>
      <c r="K460" s="24">
        <f>IF(CurrentMtgRatesDataTable811[[#This Row],[WA CC]]&lt;&gt;0,D459-CurrentMtgRatesDataTable811[[#This Row],[WA CC]],0)</f>
        <v>0</v>
      </c>
      <c r="L460" s="24">
        <f>IF(CurrentMtgRatesDataTable811[[#This Row],[Servicing Spread]]&lt;=0,L459,CurrentMtgRatesDataTable811[[#This Row],[Servicing Spread]])</f>
        <v>1.14290341735098</v>
      </c>
      <c r="M460" s="24">
        <f>CurrentMtgRatesDataTable811[[#This Row],[SeriesNumValue]]+CurrentMtgRatesDataTable811[[#This Row],[Servicing Spread Non-Zero]]</f>
        <v>3.1224596497308199</v>
      </c>
    </row>
    <row r="461" spans="2:13" x14ac:dyDescent="0.2">
      <c r="B461" s="27" t="s">
        <v>1142</v>
      </c>
      <c r="C461" s="28">
        <v>1.9736635579989501</v>
      </c>
      <c r="D461" s="26">
        <v>3.3</v>
      </c>
      <c r="E461" s="24">
        <f t="shared" si="28"/>
        <v>7</v>
      </c>
      <c r="F461" s="24">
        <f>VLOOKUP(E461,Q$5:R$11,2,FALSE)</f>
        <v>0.2</v>
      </c>
      <c r="G461" s="24">
        <f t="shared" si="29"/>
        <v>5</v>
      </c>
      <c r="H461" s="24">
        <f>IF(G461&gt;G460,H460+C461*F461,C461*F461)</f>
        <v>2.0526403089951444</v>
      </c>
      <c r="I461" s="24">
        <f t="shared" si="30"/>
        <v>1</v>
      </c>
      <c r="J461" s="24">
        <f t="shared" si="31"/>
        <v>2.0526403089951444</v>
      </c>
      <c r="K461" s="24">
        <f>IF(CurrentMtgRatesDataTable811[[#This Row],[WA CC]]&lt;&gt;0,D460-CurrentMtgRatesDataTable811[[#This Row],[WA CC]],0)</f>
        <v>1.2473596910048554</v>
      </c>
      <c r="L461" s="24">
        <f>IF(CurrentMtgRatesDataTable811[[#This Row],[Servicing Spread]]&lt;=0,L460,CurrentMtgRatesDataTable811[[#This Row],[Servicing Spread]])</f>
        <v>1.2473596910048554</v>
      </c>
      <c r="M461" s="24">
        <f>CurrentMtgRatesDataTable811[[#This Row],[SeriesNumValue]]+CurrentMtgRatesDataTable811[[#This Row],[Servicing Spread Non-Zero]]</f>
        <v>3.2210232490038058</v>
      </c>
    </row>
    <row r="462" spans="2:13" x14ac:dyDescent="0.2">
      <c r="B462" s="27" t="s">
        <v>1143</v>
      </c>
      <c r="C462" s="28">
        <v>2.0509749333657501</v>
      </c>
      <c r="D462" s="26">
        <v>3.26</v>
      </c>
      <c r="E462" s="24">
        <f t="shared" si="28"/>
        <v>1</v>
      </c>
      <c r="F462" s="24">
        <f>VLOOKUP(E462,Q$5:R$11,2,FALSE)</f>
        <v>0.2</v>
      </c>
      <c r="G462" s="24">
        <f t="shared" si="29"/>
        <v>1</v>
      </c>
      <c r="H462" s="24">
        <f>IF(G462&gt;G461,H461+C462*F462,C462*F462)</f>
        <v>0.41019498667315002</v>
      </c>
      <c r="I462" s="24">
        <f t="shared" si="30"/>
        <v>0.2</v>
      </c>
      <c r="J462" s="24">
        <f t="shared" si="31"/>
        <v>0</v>
      </c>
      <c r="K462" s="24">
        <f>IF(CurrentMtgRatesDataTable811[[#This Row],[WA CC]]&lt;&gt;0,D461-CurrentMtgRatesDataTable811[[#This Row],[WA CC]],0)</f>
        <v>0</v>
      </c>
      <c r="L462" s="24">
        <f>IF(CurrentMtgRatesDataTable811[[#This Row],[Servicing Spread]]&lt;=0,L461,CurrentMtgRatesDataTable811[[#This Row],[Servicing Spread]])</f>
        <v>1.2473596910048554</v>
      </c>
      <c r="M462" s="24">
        <f>CurrentMtgRatesDataTable811[[#This Row],[SeriesNumValue]]+CurrentMtgRatesDataTable811[[#This Row],[Servicing Spread Non-Zero]]</f>
        <v>3.2983346243706055</v>
      </c>
    </row>
    <row r="463" spans="2:13" x14ac:dyDescent="0.2">
      <c r="B463" s="27" t="s">
        <v>1144</v>
      </c>
      <c r="C463" s="28">
        <v>2.0399140401394802</v>
      </c>
      <c r="D463" s="26">
        <v>3.26</v>
      </c>
      <c r="E463" s="24">
        <f t="shared" si="28"/>
        <v>2</v>
      </c>
      <c r="F463" s="24">
        <f>VLOOKUP(E463,Q$5:R$11,2,FALSE)</f>
        <v>0.2</v>
      </c>
      <c r="G463" s="24">
        <f t="shared" si="29"/>
        <v>2</v>
      </c>
      <c r="H463" s="24">
        <f>IF(G463&gt;G462,H462+C463*F463,C463*F463)</f>
        <v>0.81817779470104601</v>
      </c>
      <c r="I463" s="24">
        <f t="shared" si="30"/>
        <v>0.4</v>
      </c>
      <c r="J463" s="24">
        <f t="shared" si="31"/>
        <v>0</v>
      </c>
      <c r="K463" s="24">
        <f>IF(CurrentMtgRatesDataTable811[[#This Row],[WA CC]]&lt;&gt;0,D462-CurrentMtgRatesDataTable811[[#This Row],[WA CC]],0)</f>
        <v>0</v>
      </c>
      <c r="L463" s="24">
        <f>IF(CurrentMtgRatesDataTable811[[#This Row],[Servicing Spread]]&lt;=0,L462,CurrentMtgRatesDataTable811[[#This Row],[Servicing Spread]])</f>
        <v>1.2473596910048554</v>
      </c>
      <c r="M463" s="24">
        <f>CurrentMtgRatesDataTable811[[#This Row],[SeriesNumValue]]+CurrentMtgRatesDataTable811[[#This Row],[Servicing Spread Non-Zero]]</f>
        <v>3.2872737311443356</v>
      </c>
    </row>
    <row r="464" spans="2:13" x14ac:dyDescent="0.2">
      <c r="B464" s="27" t="s">
        <v>1145</v>
      </c>
      <c r="C464" s="28">
        <v>1.9791061697796299</v>
      </c>
      <c r="D464" s="26">
        <v>3.26</v>
      </c>
      <c r="E464" s="24">
        <f t="shared" si="28"/>
        <v>5</v>
      </c>
      <c r="F464" s="24">
        <f>VLOOKUP(E464,Q$5:R$11,2,FALSE)</f>
        <v>0.2</v>
      </c>
      <c r="G464" s="24">
        <f t="shared" si="29"/>
        <v>3</v>
      </c>
      <c r="H464" s="24">
        <f>IF(G464&gt;G463,H463+C464*F464,C464*F464)</f>
        <v>1.213999028656972</v>
      </c>
      <c r="I464" s="24">
        <f t="shared" si="30"/>
        <v>0.60000000000000009</v>
      </c>
      <c r="J464" s="24">
        <f t="shared" si="31"/>
        <v>0</v>
      </c>
      <c r="K464" s="24">
        <f>IF(CurrentMtgRatesDataTable811[[#This Row],[WA CC]]&lt;&gt;0,D463-CurrentMtgRatesDataTable811[[#This Row],[WA CC]],0)</f>
        <v>0</v>
      </c>
      <c r="L464" s="24">
        <f>IF(CurrentMtgRatesDataTable811[[#This Row],[Servicing Spread]]&lt;=0,L463,CurrentMtgRatesDataTable811[[#This Row],[Servicing Spread]])</f>
        <v>1.2473596910048554</v>
      </c>
      <c r="M464" s="24">
        <f>CurrentMtgRatesDataTable811[[#This Row],[SeriesNumValue]]+CurrentMtgRatesDataTable811[[#This Row],[Servicing Spread Non-Zero]]</f>
        <v>3.2264658607844856</v>
      </c>
    </row>
    <row r="465" spans="2:13" x14ac:dyDescent="0.2">
      <c r="B465" s="27" t="s">
        <v>1146</v>
      </c>
      <c r="C465" s="28">
        <v>1.89926870046304</v>
      </c>
      <c r="D465" s="26">
        <v>3.26</v>
      </c>
      <c r="E465" s="24">
        <f t="shared" si="28"/>
        <v>6</v>
      </c>
      <c r="F465" s="24">
        <f>VLOOKUP(E465,Q$5:R$11,2,FALSE)</f>
        <v>0.2</v>
      </c>
      <c r="G465" s="24">
        <f t="shared" si="29"/>
        <v>4</v>
      </c>
      <c r="H465" s="24">
        <f>IF(G465&gt;G464,H464+C465*F465,C465*F465)</f>
        <v>1.59385276874958</v>
      </c>
      <c r="I465" s="24">
        <f t="shared" si="30"/>
        <v>0.8</v>
      </c>
      <c r="J465" s="24">
        <f t="shared" si="31"/>
        <v>0</v>
      </c>
      <c r="K465" s="24">
        <f>IF(CurrentMtgRatesDataTable811[[#This Row],[WA CC]]&lt;&gt;0,D464-CurrentMtgRatesDataTable811[[#This Row],[WA CC]],0)</f>
        <v>0</v>
      </c>
      <c r="L465" s="24">
        <f>IF(CurrentMtgRatesDataTable811[[#This Row],[Servicing Spread]]&lt;=0,L464,CurrentMtgRatesDataTable811[[#This Row],[Servicing Spread]])</f>
        <v>1.2473596910048554</v>
      </c>
      <c r="M465" s="24">
        <f>CurrentMtgRatesDataTable811[[#This Row],[SeriesNumValue]]+CurrentMtgRatesDataTable811[[#This Row],[Servicing Spread Non-Zero]]</f>
        <v>3.1466283914678952</v>
      </c>
    </row>
    <row r="466" spans="2:13" x14ac:dyDescent="0.2">
      <c r="B466" s="27" t="s">
        <v>1147</v>
      </c>
      <c r="C466" s="28">
        <v>1.9744446236261499</v>
      </c>
      <c r="D466" s="26">
        <v>3.26</v>
      </c>
      <c r="E466" s="24">
        <f t="shared" si="28"/>
        <v>7</v>
      </c>
      <c r="F466" s="24">
        <f>VLOOKUP(E466,Q$5:R$11,2,FALSE)</f>
        <v>0.2</v>
      </c>
      <c r="G466" s="24">
        <f t="shared" si="29"/>
        <v>5</v>
      </c>
      <c r="H466" s="24">
        <f>IF(G466&gt;G465,H465+C466*F466,C466*F466)</f>
        <v>1.9887416934748101</v>
      </c>
      <c r="I466" s="24">
        <f t="shared" si="30"/>
        <v>1</v>
      </c>
      <c r="J466" s="24">
        <f t="shared" si="31"/>
        <v>1.9887416934748101</v>
      </c>
      <c r="K466" s="24">
        <f>IF(CurrentMtgRatesDataTable811[[#This Row],[WA CC]]&lt;&gt;0,D465-CurrentMtgRatesDataTable811[[#This Row],[WA CC]],0)</f>
        <v>1.2712583065251897</v>
      </c>
      <c r="L466" s="24">
        <f>IF(CurrentMtgRatesDataTable811[[#This Row],[Servicing Spread]]&lt;=0,L465,CurrentMtgRatesDataTable811[[#This Row],[Servicing Spread]])</f>
        <v>1.2712583065251897</v>
      </c>
      <c r="M466" s="24">
        <f>CurrentMtgRatesDataTable811[[#This Row],[SeriesNumValue]]+CurrentMtgRatesDataTable811[[#This Row],[Servicing Spread Non-Zero]]</f>
        <v>3.2457029301513396</v>
      </c>
    </row>
    <row r="467" spans="2:13" x14ac:dyDescent="0.2">
      <c r="B467" s="27" t="s">
        <v>1148</v>
      </c>
      <c r="C467" s="28">
        <v>2.0658821659188802</v>
      </c>
      <c r="D467" s="26">
        <v>3.3149999999999999</v>
      </c>
      <c r="E467" s="24">
        <f t="shared" si="28"/>
        <v>1</v>
      </c>
      <c r="F467" s="24">
        <f>VLOOKUP(E467,Q$5:R$11,2,FALSE)</f>
        <v>0.2</v>
      </c>
      <c r="G467" s="24">
        <f t="shared" si="29"/>
        <v>1</v>
      </c>
      <c r="H467" s="24">
        <f>IF(G467&gt;G466,H466+C467*F467,C467*F467)</f>
        <v>0.41317643318377606</v>
      </c>
      <c r="I467" s="24">
        <f t="shared" si="30"/>
        <v>0.2</v>
      </c>
      <c r="J467" s="24">
        <f t="shared" si="31"/>
        <v>0</v>
      </c>
      <c r="K467" s="24">
        <f>IF(CurrentMtgRatesDataTable811[[#This Row],[WA CC]]&lt;&gt;0,D466-CurrentMtgRatesDataTable811[[#This Row],[WA CC]],0)</f>
        <v>0</v>
      </c>
      <c r="L467" s="24">
        <f>IF(CurrentMtgRatesDataTable811[[#This Row],[Servicing Spread]]&lt;=0,L466,CurrentMtgRatesDataTable811[[#This Row],[Servicing Spread]])</f>
        <v>1.2712583065251897</v>
      </c>
      <c r="M467" s="24">
        <f>CurrentMtgRatesDataTable811[[#This Row],[SeriesNumValue]]+CurrentMtgRatesDataTable811[[#This Row],[Servicing Spread Non-Zero]]</f>
        <v>3.3371404724440699</v>
      </c>
    </row>
    <row r="468" spans="2:13" x14ac:dyDescent="0.2">
      <c r="B468" s="27" t="s">
        <v>1149</v>
      </c>
      <c r="C468" s="28">
        <v>2.0999165140206202</v>
      </c>
      <c r="D468" s="26">
        <v>3.3149999999999999</v>
      </c>
      <c r="E468" s="24">
        <f t="shared" si="28"/>
        <v>2</v>
      </c>
      <c r="F468" s="24">
        <f>VLOOKUP(E468,Q$5:R$11,2,FALSE)</f>
        <v>0.2</v>
      </c>
      <c r="G468" s="24">
        <f t="shared" si="29"/>
        <v>2</v>
      </c>
      <c r="H468" s="24">
        <f>IF(G468&gt;G467,H467+C468*F468,C468*F468)</f>
        <v>0.83315973598790016</v>
      </c>
      <c r="I468" s="24">
        <f t="shared" si="30"/>
        <v>0.4</v>
      </c>
      <c r="J468" s="24">
        <f t="shared" si="31"/>
        <v>0</v>
      </c>
      <c r="K468" s="24">
        <f>IF(CurrentMtgRatesDataTable811[[#This Row],[WA CC]]&lt;&gt;0,D467-CurrentMtgRatesDataTable811[[#This Row],[WA CC]],0)</f>
        <v>0</v>
      </c>
      <c r="L468" s="24">
        <f>IF(CurrentMtgRatesDataTable811[[#This Row],[Servicing Spread]]&lt;=0,L467,CurrentMtgRatesDataTable811[[#This Row],[Servicing Spread]])</f>
        <v>1.2712583065251897</v>
      </c>
      <c r="M468" s="24">
        <f>CurrentMtgRatesDataTable811[[#This Row],[SeriesNumValue]]+CurrentMtgRatesDataTable811[[#This Row],[Servicing Spread Non-Zero]]</f>
        <v>3.3711748205458099</v>
      </c>
    </row>
    <row r="469" spans="2:13" x14ac:dyDescent="0.2">
      <c r="B469" s="27" t="s">
        <v>1150</v>
      </c>
      <c r="C469" s="28">
        <v>2.1121992044017102</v>
      </c>
      <c r="D469" s="26">
        <v>3.3149999999999999</v>
      </c>
      <c r="E469" s="24">
        <f t="shared" si="28"/>
        <v>6</v>
      </c>
      <c r="F469" s="24">
        <f>VLOOKUP(E469,Q$5:R$11,2,FALSE)</f>
        <v>0.2</v>
      </c>
      <c r="G469" s="24">
        <f t="shared" si="29"/>
        <v>3</v>
      </c>
      <c r="H469" s="24">
        <f>IF(G469&gt;G468,H468+C469*F469,C469*F469)</f>
        <v>1.2555995768682422</v>
      </c>
      <c r="I469" s="24">
        <f t="shared" si="30"/>
        <v>0.60000000000000009</v>
      </c>
      <c r="J469" s="24">
        <f t="shared" si="31"/>
        <v>0</v>
      </c>
      <c r="K469" s="24">
        <f>IF(CurrentMtgRatesDataTable811[[#This Row],[WA CC]]&lt;&gt;0,D468-CurrentMtgRatesDataTable811[[#This Row],[WA CC]],0)</f>
        <v>0</v>
      </c>
      <c r="L469" s="24">
        <f>IF(CurrentMtgRatesDataTable811[[#This Row],[Servicing Spread]]&lt;=0,L468,CurrentMtgRatesDataTable811[[#This Row],[Servicing Spread]])</f>
        <v>1.2712583065251897</v>
      </c>
      <c r="M469" s="24">
        <f>CurrentMtgRatesDataTable811[[#This Row],[SeriesNumValue]]+CurrentMtgRatesDataTable811[[#This Row],[Servicing Spread Non-Zero]]</f>
        <v>3.3834575109268998</v>
      </c>
    </row>
    <row r="470" spans="2:13" x14ac:dyDescent="0.2">
      <c r="B470" s="27" t="s">
        <v>1151</v>
      </c>
      <c r="C470" s="28">
        <v>2.0566984028863402</v>
      </c>
      <c r="D470" s="26">
        <v>3.3149999999999999</v>
      </c>
      <c r="E470" s="24">
        <f t="shared" si="28"/>
        <v>7</v>
      </c>
      <c r="F470" s="24">
        <f>VLOOKUP(E470,Q$5:R$11,2,FALSE)</f>
        <v>0.2</v>
      </c>
      <c r="G470" s="24">
        <f t="shared" si="29"/>
        <v>4</v>
      </c>
      <c r="H470" s="24">
        <f>IF(G470&gt;G469,H469+C470*F470,C470*F470)</f>
        <v>1.6669392574455102</v>
      </c>
      <c r="I470" s="24">
        <f t="shared" si="30"/>
        <v>0.8</v>
      </c>
      <c r="J470" s="24">
        <f t="shared" si="31"/>
        <v>2.0836740718068878</v>
      </c>
      <c r="K470" s="24">
        <f>IF(CurrentMtgRatesDataTable811[[#This Row],[WA CC]]&lt;&gt;0,D469-CurrentMtgRatesDataTable811[[#This Row],[WA CC]],0)</f>
        <v>1.2313259281931122</v>
      </c>
      <c r="L470" s="24">
        <f>IF(CurrentMtgRatesDataTable811[[#This Row],[Servicing Spread]]&lt;=0,L469,CurrentMtgRatesDataTable811[[#This Row],[Servicing Spread]])</f>
        <v>1.2313259281931122</v>
      </c>
      <c r="M470" s="24">
        <f>CurrentMtgRatesDataTable811[[#This Row],[SeriesNumValue]]+CurrentMtgRatesDataTable811[[#This Row],[Servicing Spread Non-Zero]]</f>
        <v>3.2880243310794524</v>
      </c>
    </row>
    <row r="471" spans="2:13" x14ac:dyDescent="0.2">
      <c r="B471" s="27" t="s">
        <v>1152</v>
      </c>
      <c r="C471" s="28">
        <v>2.0188150642087299</v>
      </c>
      <c r="D471" s="26">
        <v>3.2949999999999999</v>
      </c>
      <c r="E471" s="24">
        <f t="shared" si="28"/>
        <v>1</v>
      </c>
      <c r="F471" s="24">
        <f>VLOOKUP(E471,Q$5:R$11,2,FALSE)</f>
        <v>0.2</v>
      </c>
      <c r="G471" s="24">
        <f t="shared" si="29"/>
        <v>1</v>
      </c>
      <c r="H471" s="24">
        <f>IF(G471&gt;G470,H470+C471*F471,C471*F471)</f>
        <v>0.40376301284174598</v>
      </c>
      <c r="I471" s="24">
        <f t="shared" si="30"/>
        <v>0.2</v>
      </c>
      <c r="J471" s="24">
        <f t="shared" si="31"/>
        <v>0</v>
      </c>
      <c r="K471" s="24">
        <f>IF(CurrentMtgRatesDataTable811[[#This Row],[WA CC]]&lt;&gt;0,D470-CurrentMtgRatesDataTable811[[#This Row],[WA CC]],0)</f>
        <v>0</v>
      </c>
      <c r="L471" s="24">
        <f>IF(CurrentMtgRatesDataTable811[[#This Row],[Servicing Spread]]&lt;=0,L470,CurrentMtgRatesDataTable811[[#This Row],[Servicing Spread]])</f>
        <v>1.2313259281931122</v>
      </c>
      <c r="M471" s="24">
        <f>CurrentMtgRatesDataTable811[[#This Row],[SeriesNumValue]]+CurrentMtgRatesDataTable811[[#This Row],[Servicing Spread Non-Zero]]</f>
        <v>3.2501409924018421</v>
      </c>
    </row>
    <row r="472" spans="2:13" x14ac:dyDescent="0.2">
      <c r="B472" s="27" t="s">
        <v>1153</v>
      </c>
      <c r="C472" s="28">
        <v>2.0148705784973</v>
      </c>
      <c r="D472" s="26">
        <v>3.2949999999999999</v>
      </c>
      <c r="E472" s="24">
        <f t="shared" si="28"/>
        <v>2</v>
      </c>
      <c r="F472" s="24">
        <f>VLOOKUP(E472,Q$5:R$11,2,FALSE)</f>
        <v>0.2</v>
      </c>
      <c r="G472" s="24">
        <f t="shared" si="29"/>
        <v>2</v>
      </c>
      <c r="H472" s="24">
        <f>IF(G472&gt;G471,H471+C472*F472,C472*F472)</f>
        <v>0.80673712854120594</v>
      </c>
      <c r="I472" s="24">
        <f t="shared" si="30"/>
        <v>0.4</v>
      </c>
      <c r="J472" s="24">
        <f t="shared" si="31"/>
        <v>0</v>
      </c>
      <c r="K472" s="24">
        <f>IF(CurrentMtgRatesDataTable811[[#This Row],[WA CC]]&lt;&gt;0,D471-CurrentMtgRatesDataTable811[[#This Row],[WA CC]],0)</f>
        <v>0</v>
      </c>
      <c r="L472" s="24">
        <f>IF(CurrentMtgRatesDataTable811[[#This Row],[Servicing Spread]]&lt;=0,L471,CurrentMtgRatesDataTable811[[#This Row],[Servicing Spread]])</f>
        <v>1.2313259281931122</v>
      </c>
      <c r="M472" s="24">
        <f>CurrentMtgRatesDataTable811[[#This Row],[SeriesNumValue]]+CurrentMtgRatesDataTable811[[#This Row],[Servicing Spread Non-Zero]]</f>
        <v>3.2461965066904122</v>
      </c>
    </row>
    <row r="473" spans="2:13" x14ac:dyDescent="0.2">
      <c r="B473" s="27" t="s">
        <v>1154</v>
      </c>
      <c r="C473" s="28">
        <v>2.0433983497425001</v>
      </c>
      <c r="D473" s="26">
        <v>3.2949999999999999</v>
      </c>
      <c r="E473" s="24">
        <f t="shared" si="28"/>
        <v>5</v>
      </c>
      <c r="F473" s="24">
        <f>VLOOKUP(E473,Q$5:R$11,2,FALSE)</f>
        <v>0.2</v>
      </c>
      <c r="G473" s="24">
        <f t="shared" si="29"/>
        <v>3</v>
      </c>
      <c r="H473" s="24">
        <f>IF(G473&gt;G472,H472+C473*F473,C473*F473)</f>
        <v>1.215416798489706</v>
      </c>
      <c r="I473" s="24">
        <f t="shared" si="30"/>
        <v>0.60000000000000009</v>
      </c>
      <c r="J473" s="24">
        <f t="shared" si="31"/>
        <v>0</v>
      </c>
      <c r="K473" s="24">
        <f>IF(CurrentMtgRatesDataTable811[[#This Row],[WA CC]]&lt;&gt;0,D472-CurrentMtgRatesDataTable811[[#This Row],[WA CC]],0)</f>
        <v>0</v>
      </c>
      <c r="L473" s="24">
        <f>IF(CurrentMtgRatesDataTable811[[#This Row],[Servicing Spread]]&lt;=0,L472,CurrentMtgRatesDataTable811[[#This Row],[Servicing Spread]])</f>
        <v>1.2313259281931122</v>
      </c>
      <c r="M473" s="24">
        <f>CurrentMtgRatesDataTable811[[#This Row],[SeriesNumValue]]+CurrentMtgRatesDataTable811[[#This Row],[Servicing Spread Non-Zero]]</f>
        <v>3.2747242779356123</v>
      </c>
    </row>
    <row r="474" spans="2:13" x14ac:dyDescent="0.2">
      <c r="B474" s="27" t="s">
        <v>1155</v>
      </c>
      <c r="C474" s="28">
        <v>2.0903131154582399</v>
      </c>
      <c r="D474" s="26">
        <v>3.2949999999999999</v>
      </c>
      <c r="E474" s="24">
        <f t="shared" si="28"/>
        <v>6</v>
      </c>
      <c r="F474" s="24">
        <f>VLOOKUP(E474,Q$5:R$11,2,FALSE)</f>
        <v>0.2</v>
      </c>
      <c r="G474" s="24">
        <f t="shared" si="29"/>
        <v>4</v>
      </c>
      <c r="H474" s="24">
        <f>IF(G474&gt;G473,H473+C474*F474,C474*F474)</f>
        <v>1.633479421581354</v>
      </c>
      <c r="I474" s="24">
        <f t="shared" si="30"/>
        <v>0.8</v>
      </c>
      <c r="J474" s="24">
        <f t="shared" si="31"/>
        <v>0</v>
      </c>
      <c r="K474" s="24">
        <f>IF(CurrentMtgRatesDataTable811[[#This Row],[WA CC]]&lt;&gt;0,D473-CurrentMtgRatesDataTable811[[#This Row],[WA CC]],0)</f>
        <v>0</v>
      </c>
      <c r="L474" s="24">
        <f>IF(CurrentMtgRatesDataTable811[[#This Row],[Servicing Spread]]&lt;=0,L473,CurrentMtgRatesDataTable811[[#This Row],[Servicing Spread]])</f>
        <v>1.2313259281931122</v>
      </c>
      <c r="M474" s="24">
        <f>CurrentMtgRatesDataTable811[[#This Row],[SeriesNumValue]]+CurrentMtgRatesDataTable811[[#This Row],[Servicing Spread Non-Zero]]</f>
        <v>3.3216390436513521</v>
      </c>
    </row>
    <row r="475" spans="2:13" x14ac:dyDescent="0.2">
      <c r="B475" s="27" t="s">
        <v>1156</v>
      </c>
      <c r="C475" s="28">
        <v>2.1999397264302898</v>
      </c>
      <c r="D475" s="26">
        <v>3.2949999999999999</v>
      </c>
      <c r="E475" s="24">
        <f t="shared" si="28"/>
        <v>7</v>
      </c>
      <c r="F475" s="24">
        <f>VLOOKUP(E475,Q$5:R$11,2,FALSE)</f>
        <v>0.2</v>
      </c>
      <c r="G475" s="24">
        <f t="shared" si="29"/>
        <v>5</v>
      </c>
      <c r="H475" s="24">
        <f>IF(G475&gt;G474,H474+C475*F475,C475*F475)</f>
        <v>2.073467366867412</v>
      </c>
      <c r="I475" s="24">
        <f t="shared" si="30"/>
        <v>1</v>
      </c>
      <c r="J475" s="24">
        <f t="shared" si="31"/>
        <v>2.073467366867412</v>
      </c>
      <c r="K475" s="24">
        <f>IF(CurrentMtgRatesDataTable811[[#This Row],[WA CC]]&lt;&gt;0,D474-CurrentMtgRatesDataTable811[[#This Row],[WA CC]],0)</f>
        <v>1.221532633132588</v>
      </c>
      <c r="L475" s="24">
        <f>IF(CurrentMtgRatesDataTable811[[#This Row],[Servicing Spread]]&lt;=0,L474,CurrentMtgRatesDataTable811[[#This Row],[Servicing Spread]])</f>
        <v>1.221532633132588</v>
      </c>
      <c r="M475" s="24">
        <f>CurrentMtgRatesDataTable811[[#This Row],[SeriesNumValue]]+CurrentMtgRatesDataTable811[[#This Row],[Servicing Spread Non-Zero]]</f>
        <v>3.4214723595628778</v>
      </c>
    </row>
    <row r="476" spans="2:13" x14ac:dyDescent="0.2">
      <c r="B476" s="27" t="s">
        <v>1157</v>
      </c>
      <c r="C476" s="28">
        <v>2.23804060063864</v>
      </c>
      <c r="D476" s="26">
        <v>3.335</v>
      </c>
      <c r="E476" s="24">
        <f t="shared" si="28"/>
        <v>1</v>
      </c>
      <c r="F476" s="24">
        <f>VLOOKUP(E476,Q$5:R$11,2,FALSE)</f>
        <v>0.2</v>
      </c>
      <c r="G476" s="24">
        <f t="shared" si="29"/>
        <v>1</v>
      </c>
      <c r="H476" s="24">
        <f>IF(G476&gt;G475,H475+C476*F476,C476*F476)</f>
        <v>0.44760812012772799</v>
      </c>
      <c r="I476" s="24">
        <f t="shared" si="30"/>
        <v>0.2</v>
      </c>
      <c r="J476" s="24">
        <f t="shared" si="31"/>
        <v>0</v>
      </c>
      <c r="K476" s="24">
        <f>IF(CurrentMtgRatesDataTable811[[#This Row],[WA CC]]&lt;&gt;0,D475-CurrentMtgRatesDataTable811[[#This Row],[WA CC]],0)</f>
        <v>0</v>
      </c>
      <c r="L476" s="24">
        <f>IF(CurrentMtgRatesDataTable811[[#This Row],[Servicing Spread]]&lt;=0,L475,CurrentMtgRatesDataTable811[[#This Row],[Servicing Spread]])</f>
        <v>1.221532633132588</v>
      </c>
      <c r="M476" s="24">
        <f>CurrentMtgRatesDataTable811[[#This Row],[SeriesNumValue]]+CurrentMtgRatesDataTable811[[#This Row],[Servicing Spread Non-Zero]]</f>
        <v>3.4595732337712279</v>
      </c>
    </row>
    <row r="477" spans="2:13" x14ac:dyDescent="0.2">
      <c r="B477" s="27" t="s">
        <v>1158</v>
      </c>
      <c r="C477" s="28">
        <v>2.17149064090427</v>
      </c>
      <c r="D477" s="26">
        <v>3.335</v>
      </c>
      <c r="E477" s="24">
        <f t="shared" si="28"/>
        <v>2</v>
      </c>
      <c r="F477" s="24">
        <f>VLOOKUP(E477,Q$5:R$11,2,FALSE)</f>
        <v>0.2</v>
      </c>
      <c r="G477" s="24">
        <f t="shared" si="29"/>
        <v>2</v>
      </c>
      <c r="H477" s="24">
        <f>IF(G477&gt;G476,H476+C477*F477,C477*F477)</f>
        <v>0.881906248308582</v>
      </c>
      <c r="I477" s="24">
        <f t="shared" si="30"/>
        <v>0.4</v>
      </c>
      <c r="J477" s="24">
        <f t="shared" si="31"/>
        <v>0</v>
      </c>
      <c r="K477" s="24">
        <f>IF(CurrentMtgRatesDataTable811[[#This Row],[WA CC]]&lt;&gt;0,D476-CurrentMtgRatesDataTable811[[#This Row],[WA CC]],0)</f>
        <v>0</v>
      </c>
      <c r="L477" s="24">
        <f>IF(CurrentMtgRatesDataTable811[[#This Row],[Servicing Spread]]&lt;=0,L476,CurrentMtgRatesDataTable811[[#This Row],[Servicing Spread]])</f>
        <v>1.221532633132588</v>
      </c>
      <c r="M477" s="24">
        <f>CurrentMtgRatesDataTable811[[#This Row],[SeriesNumValue]]+CurrentMtgRatesDataTable811[[#This Row],[Servicing Spread Non-Zero]]</f>
        <v>3.393023274036858</v>
      </c>
    </row>
    <row r="478" spans="2:13" x14ac:dyDescent="0.2">
      <c r="B478" s="27" t="s">
        <v>1159</v>
      </c>
      <c r="C478" s="28">
        <v>2.2048003727510999</v>
      </c>
      <c r="D478" s="26">
        <v>3.335</v>
      </c>
      <c r="E478" s="24">
        <f t="shared" si="28"/>
        <v>5</v>
      </c>
      <c r="F478" s="24">
        <f>VLOOKUP(E478,Q$5:R$11,2,FALSE)</f>
        <v>0.2</v>
      </c>
      <c r="G478" s="24">
        <f t="shared" si="29"/>
        <v>3</v>
      </c>
      <c r="H478" s="24">
        <f>IF(G478&gt;G477,H477+C478*F478,C478*F478)</f>
        <v>1.322866322858802</v>
      </c>
      <c r="I478" s="24">
        <f t="shared" si="30"/>
        <v>0.60000000000000009</v>
      </c>
      <c r="J478" s="24">
        <f t="shared" si="31"/>
        <v>0</v>
      </c>
      <c r="K478" s="24">
        <f>IF(CurrentMtgRatesDataTable811[[#This Row],[WA CC]]&lt;&gt;0,D477-CurrentMtgRatesDataTable811[[#This Row],[WA CC]],0)</f>
        <v>0</v>
      </c>
      <c r="L478" s="24">
        <f>IF(CurrentMtgRatesDataTable811[[#This Row],[Servicing Spread]]&lt;=0,L477,CurrentMtgRatesDataTable811[[#This Row],[Servicing Spread]])</f>
        <v>1.221532633132588</v>
      </c>
      <c r="M478" s="24">
        <f>CurrentMtgRatesDataTable811[[#This Row],[SeriesNumValue]]+CurrentMtgRatesDataTable811[[#This Row],[Servicing Spread Non-Zero]]</f>
        <v>3.4263330058836878</v>
      </c>
    </row>
    <row r="479" spans="2:13" x14ac:dyDescent="0.2">
      <c r="B479" s="27" t="s">
        <v>1160</v>
      </c>
      <c r="C479" s="28">
        <v>2.1883122196514102</v>
      </c>
      <c r="D479" s="26">
        <v>3.335</v>
      </c>
      <c r="E479" s="24">
        <f t="shared" si="28"/>
        <v>6</v>
      </c>
      <c r="F479" s="24">
        <f>VLOOKUP(E479,Q$5:R$11,2,FALSE)</f>
        <v>0.2</v>
      </c>
      <c r="G479" s="24">
        <f t="shared" si="29"/>
        <v>4</v>
      </c>
      <c r="H479" s="24">
        <f>IF(G479&gt;G478,H478+C479*F479,C479*F479)</f>
        <v>1.7605287667890841</v>
      </c>
      <c r="I479" s="24">
        <f t="shared" si="30"/>
        <v>0.8</v>
      </c>
      <c r="J479" s="24">
        <f t="shared" si="31"/>
        <v>0</v>
      </c>
      <c r="K479" s="24">
        <f>IF(CurrentMtgRatesDataTable811[[#This Row],[WA CC]]&lt;&gt;0,D478-CurrentMtgRatesDataTable811[[#This Row],[WA CC]],0)</f>
        <v>0</v>
      </c>
      <c r="L479" s="24">
        <f>IF(CurrentMtgRatesDataTable811[[#This Row],[Servicing Spread]]&lt;=0,L478,CurrentMtgRatesDataTable811[[#This Row],[Servicing Spread]])</f>
        <v>1.221532633132588</v>
      </c>
      <c r="M479" s="24">
        <f>CurrentMtgRatesDataTable811[[#This Row],[SeriesNumValue]]+CurrentMtgRatesDataTable811[[#This Row],[Servicing Spread Non-Zero]]</f>
        <v>3.4098448527839982</v>
      </c>
    </row>
    <row r="480" spans="2:13" x14ac:dyDescent="0.2">
      <c r="B480" s="27" t="s">
        <v>1161</v>
      </c>
      <c r="C480" s="28">
        <v>2.2250151290701798</v>
      </c>
      <c r="D480" s="26">
        <v>3.335</v>
      </c>
      <c r="E480" s="24">
        <f t="shared" si="28"/>
        <v>7</v>
      </c>
      <c r="F480" s="24">
        <f>VLOOKUP(E480,Q$5:R$11,2,FALSE)</f>
        <v>0.2</v>
      </c>
      <c r="G480" s="24">
        <f t="shared" si="29"/>
        <v>5</v>
      </c>
      <c r="H480" s="24">
        <f>IF(G480&gt;G479,H479+C480*F480,C480*F480)</f>
        <v>2.2055317926031202</v>
      </c>
      <c r="I480" s="24">
        <f t="shared" si="30"/>
        <v>1</v>
      </c>
      <c r="J480" s="24">
        <f t="shared" si="31"/>
        <v>2.2055317926031202</v>
      </c>
      <c r="K480" s="24">
        <f>IF(CurrentMtgRatesDataTable811[[#This Row],[WA CC]]&lt;&gt;0,D479-CurrentMtgRatesDataTable811[[#This Row],[WA CC]],0)</f>
        <v>1.1294682073968798</v>
      </c>
      <c r="L480" s="24">
        <f>IF(CurrentMtgRatesDataTable811[[#This Row],[Servicing Spread]]&lt;=0,L479,CurrentMtgRatesDataTable811[[#This Row],[Servicing Spread]])</f>
        <v>1.1294682073968798</v>
      </c>
      <c r="M480" s="24">
        <f>CurrentMtgRatesDataTable811[[#This Row],[SeriesNumValue]]+CurrentMtgRatesDataTable811[[#This Row],[Servicing Spread Non-Zero]]</f>
        <v>3.3544833364670597</v>
      </c>
    </row>
    <row r="481" spans="2:13" x14ac:dyDescent="0.2">
      <c r="B481" s="27" t="s">
        <v>1162</v>
      </c>
      <c r="C481" s="28">
        <v>2.2775343256732099</v>
      </c>
      <c r="D481" s="26">
        <v>3.3149999999999999</v>
      </c>
      <c r="E481" s="24">
        <f t="shared" si="28"/>
        <v>1</v>
      </c>
      <c r="F481" s="24">
        <f>VLOOKUP(E481,Q$5:R$11,2,FALSE)</f>
        <v>0.2</v>
      </c>
      <c r="G481" s="24">
        <f t="shared" si="29"/>
        <v>1</v>
      </c>
      <c r="H481" s="24">
        <f>IF(G481&gt;G480,H480+C481*F481,C481*F481)</f>
        <v>0.455506865134642</v>
      </c>
      <c r="I481" s="24">
        <f t="shared" si="30"/>
        <v>0.2</v>
      </c>
      <c r="J481" s="24">
        <f t="shared" si="31"/>
        <v>0</v>
      </c>
      <c r="K481" s="24">
        <f>IF(CurrentMtgRatesDataTable811[[#This Row],[WA CC]]&lt;&gt;0,D480-CurrentMtgRatesDataTable811[[#This Row],[WA CC]],0)</f>
        <v>0</v>
      </c>
      <c r="L481" s="24">
        <f>IF(CurrentMtgRatesDataTable811[[#This Row],[Servicing Spread]]&lt;=0,L480,CurrentMtgRatesDataTable811[[#This Row],[Servicing Spread]])</f>
        <v>1.1294682073968798</v>
      </c>
      <c r="M481" s="24">
        <f>CurrentMtgRatesDataTable811[[#This Row],[SeriesNumValue]]+CurrentMtgRatesDataTable811[[#This Row],[Servicing Spread Non-Zero]]</f>
        <v>3.4070025330700897</v>
      </c>
    </row>
    <row r="482" spans="2:13" x14ac:dyDescent="0.2">
      <c r="B482" s="27" t="s">
        <v>1163</v>
      </c>
      <c r="C482" s="28">
        <v>2.2062412812927401</v>
      </c>
      <c r="D482" s="26">
        <v>3.3149999999999999</v>
      </c>
      <c r="E482" s="24">
        <f t="shared" si="28"/>
        <v>2</v>
      </c>
      <c r="F482" s="24">
        <f>VLOOKUP(E482,Q$5:R$11,2,FALSE)</f>
        <v>0.2</v>
      </c>
      <c r="G482" s="24">
        <f t="shared" si="29"/>
        <v>2</v>
      </c>
      <c r="H482" s="24">
        <f>IF(G482&gt;G481,H481+C482*F482,C482*F482)</f>
        <v>0.89675512139319002</v>
      </c>
      <c r="I482" s="24">
        <f t="shared" si="30"/>
        <v>0.4</v>
      </c>
      <c r="J482" s="24">
        <f t="shared" si="31"/>
        <v>0</v>
      </c>
      <c r="K482" s="24">
        <f>IF(CurrentMtgRatesDataTable811[[#This Row],[WA CC]]&lt;&gt;0,D481-CurrentMtgRatesDataTable811[[#This Row],[WA CC]],0)</f>
        <v>0</v>
      </c>
      <c r="L482" s="24">
        <f>IF(CurrentMtgRatesDataTable811[[#This Row],[Servicing Spread]]&lt;=0,L481,CurrentMtgRatesDataTable811[[#This Row],[Servicing Spread]])</f>
        <v>1.1294682073968798</v>
      </c>
      <c r="M482" s="24">
        <f>CurrentMtgRatesDataTable811[[#This Row],[SeriesNumValue]]+CurrentMtgRatesDataTable811[[#This Row],[Servicing Spread Non-Zero]]</f>
        <v>3.3357094886896199</v>
      </c>
    </row>
    <row r="483" spans="2:13" x14ac:dyDescent="0.2">
      <c r="B483" s="27" t="s">
        <v>1164</v>
      </c>
      <c r="C483" s="28">
        <v>2.1758632003490601</v>
      </c>
      <c r="D483" s="26">
        <v>3.3149999999999999</v>
      </c>
      <c r="E483" s="24">
        <f t="shared" si="28"/>
        <v>5</v>
      </c>
      <c r="F483" s="24">
        <f>VLOOKUP(E483,Q$5:R$11,2,FALSE)</f>
        <v>0.2</v>
      </c>
      <c r="G483" s="24">
        <f t="shared" si="29"/>
        <v>3</v>
      </c>
      <c r="H483" s="24">
        <f>IF(G483&gt;G482,H482+C483*F483,C483*F483)</f>
        <v>1.3319277614630021</v>
      </c>
      <c r="I483" s="24">
        <f t="shared" si="30"/>
        <v>0.60000000000000009</v>
      </c>
      <c r="J483" s="24">
        <f t="shared" si="31"/>
        <v>0</v>
      </c>
      <c r="K483" s="24">
        <f>IF(CurrentMtgRatesDataTable811[[#This Row],[WA CC]]&lt;&gt;0,D482-CurrentMtgRatesDataTable811[[#This Row],[WA CC]],0)</f>
        <v>0</v>
      </c>
      <c r="L483" s="24">
        <f>IF(CurrentMtgRatesDataTable811[[#This Row],[Servicing Spread]]&lt;=0,L482,CurrentMtgRatesDataTable811[[#This Row],[Servicing Spread]])</f>
        <v>1.1294682073968798</v>
      </c>
      <c r="M483" s="24">
        <f>CurrentMtgRatesDataTable811[[#This Row],[SeriesNumValue]]+CurrentMtgRatesDataTable811[[#This Row],[Servicing Spread Non-Zero]]</f>
        <v>3.3053314077459399</v>
      </c>
    </row>
    <row r="484" spans="2:13" x14ac:dyDescent="0.2">
      <c r="B484" s="27" t="s">
        <v>1165</v>
      </c>
      <c r="C484" s="28">
        <v>2.1423497452898399</v>
      </c>
      <c r="D484" s="26">
        <v>3.3149999999999999</v>
      </c>
      <c r="E484" s="24">
        <f t="shared" si="28"/>
        <v>7</v>
      </c>
      <c r="F484" s="24">
        <f>VLOOKUP(E484,Q$5:R$11,2,FALSE)</f>
        <v>0.2</v>
      </c>
      <c r="G484" s="24">
        <f t="shared" si="29"/>
        <v>4</v>
      </c>
      <c r="H484" s="24">
        <f>IF(G484&gt;G483,H483+C484*F484,C484*F484)</f>
        <v>1.76039771052097</v>
      </c>
      <c r="I484" s="24">
        <f t="shared" si="30"/>
        <v>0.8</v>
      </c>
      <c r="J484" s="24">
        <f t="shared" si="31"/>
        <v>2.2004971381512126</v>
      </c>
      <c r="K484" s="24">
        <f>IF(CurrentMtgRatesDataTable811[[#This Row],[WA CC]]&lt;&gt;0,D483-CurrentMtgRatesDataTable811[[#This Row],[WA CC]],0)</f>
        <v>1.1145028618487873</v>
      </c>
      <c r="L484" s="24">
        <f>IF(CurrentMtgRatesDataTable811[[#This Row],[Servicing Spread]]&lt;=0,L483,CurrentMtgRatesDataTable811[[#This Row],[Servicing Spread]])</f>
        <v>1.1145028618487873</v>
      </c>
      <c r="M484" s="24">
        <f>CurrentMtgRatesDataTable811[[#This Row],[SeriesNumValue]]+CurrentMtgRatesDataTable811[[#This Row],[Servicing Spread Non-Zero]]</f>
        <v>3.2568526071386272</v>
      </c>
    </row>
    <row r="485" spans="2:13" x14ac:dyDescent="0.2">
      <c r="B485" s="27" t="s">
        <v>1166</v>
      </c>
      <c r="C485" s="28">
        <v>2.2324289694544102</v>
      </c>
      <c r="D485" s="26">
        <v>3.3249999999999997</v>
      </c>
      <c r="E485" s="24">
        <f t="shared" si="28"/>
        <v>1</v>
      </c>
      <c r="F485" s="24">
        <f>VLOOKUP(E485,Q$5:R$11,2,FALSE)</f>
        <v>0.2</v>
      </c>
      <c r="G485" s="24">
        <f t="shared" si="29"/>
        <v>1</v>
      </c>
      <c r="H485" s="24">
        <f>IF(G485&gt;G484,H484+C485*F485,C485*F485)</f>
        <v>0.44648579389088205</v>
      </c>
      <c r="I485" s="24">
        <f t="shared" si="30"/>
        <v>0.2</v>
      </c>
      <c r="J485" s="24">
        <f t="shared" si="31"/>
        <v>0</v>
      </c>
      <c r="K485" s="24">
        <f>IF(CurrentMtgRatesDataTable811[[#This Row],[WA CC]]&lt;&gt;0,D484-CurrentMtgRatesDataTable811[[#This Row],[WA CC]],0)</f>
        <v>0</v>
      </c>
      <c r="L485" s="24">
        <f>IF(CurrentMtgRatesDataTable811[[#This Row],[Servicing Spread]]&lt;=0,L484,CurrentMtgRatesDataTable811[[#This Row],[Servicing Spread]])</f>
        <v>1.1145028618487873</v>
      </c>
      <c r="M485" s="24">
        <f>CurrentMtgRatesDataTable811[[#This Row],[SeriesNumValue]]+CurrentMtgRatesDataTable811[[#This Row],[Servicing Spread Non-Zero]]</f>
        <v>3.3469318313031975</v>
      </c>
    </row>
    <row r="486" spans="2:13" x14ac:dyDescent="0.2">
      <c r="B486" s="27" t="s">
        <v>1167</v>
      </c>
      <c r="C486" s="28">
        <v>2.1949310629738199</v>
      </c>
      <c r="D486" s="26">
        <v>3.3249999999999997</v>
      </c>
      <c r="E486" s="24">
        <f t="shared" si="28"/>
        <v>2</v>
      </c>
      <c r="F486" s="24">
        <f>VLOOKUP(E486,Q$5:R$11,2,FALSE)</f>
        <v>0.2</v>
      </c>
      <c r="G486" s="24">
        <f t="shared" si="29"/>
        <v>2</v>
      </c>
      <c r="H486" s="24">
        <f>IF(G486&gt;G485,H485+C486*F486,C486*F486)</f>
        <v>0.88547200648564606</v>
      </c>
      <c r="I486" s="24">
        <f t="shared" si="30"/>
        <v>0.4</v>
      </c>
      <c r="J486" s="24">
        <f t="shared" si="31"/>
        <v>0</v>
      </c>
      <c r="K486" s="24">
        <f>IF(CurrentMtgRatesDataTable811[[#This Row],[WA CC]]&lt;&gt;0,D485-CurrentMtgRatesDataTable811[[#This Row],[WA CC]],0)</f>
        <v>0</v>
      </c>
      <c r="L486" s="24">
        <f>IF(CurrentMtgRatesDataTable811[[#This Row],[Servicing Spread]]&lt;=0,L485,CurrentMtgRatesDataTable811[[#This Row],[Servicing Spread]])</f>
        <v>1.1145028618487873</v>
      </c>
      <c r="M486" s="24">
        <f>CurrentMtgRatesDataTable811[[#This Row],[SeriesNumValue]]+CurrentMtgRatesDataTable811[[#This Row],[Servicing Spread Non-Zero]]</f>
        <v>3.3094339248226072</v>
      </c>
    </row>
    <row r="487" spans="2:13" x14ac:dyDescent="0.2">
      <c r="B487" s="27" t="s">
        <v>1168</v>
      </c>
      <c r="C487" s="28">
        <v>2.1479421519661601</v>
      </c>
      <c r="D487" s="26">
        <v>3.3249999999999997</v>
      </c>
      <c r="E487" s="24">
        <f t="shared" si="28"/>
        <v>5</v>
      </c>
      <c r="F487" s="24">
        <f>VLOOKUP(E487,Q$5:R$11,2,FALSE)</f>
        <v>0.2</v>
      </c>
      <c r="G487" s="24">
        <f t="shared" si="29"/>
        <v>3</v>
      </c>
      <c r="H487" s="24">
        <f>IF(G487&gt;G486,H486+C487*F487,C487*F487)</f>
        <v>1.3150604368788781</v>
      </c>
      <c r="I487" s="24">
        <f t="shared" si="30"/>
        <v>0.60000000000000009</v>
      </c>
      <c r="J487" s="24">
        <f t="shared" si="31"/>
        <v>0</v>
      </c>
      <c r="K487" s="24">
        <f>IF(CurrentMtgRatesDataTable811[[#This Row],[WA CC]]&lt;&gt;0,D486-CurrentMtgRatesDataTable811[[#This Row],[WA CC]],0)</f>
        <v>0</v>
      </c>
      <c r="L487" s="24">
        <f>IF(CurrentMtgRatesDataTable811[[#This Row],[Servicing Spread]]&lt;=0,L486,CurrentMtgRatesDataTable811[[#This Row],[Servicing Spread]])</f>
        <v>1.1145028618487873</v>
      </c>
      <c r="M487" s="24">
        <f>CurrentMtgRatesDataTable811[[#This Row],[SeriesNumValue]]+CurrentMtgRatesDataTable811[[#This Row],[Servicing Spread Non-Zero]]</f>
        <v>3.2624450138149474</v>
      </c>
    </row>
    <row r="488" spans="2:13" x14ac:dyDescent="0.2">
      <c r="B488" s="27" t="s">
        <v>1169</v>
      </c>
      <c r="C488" s="28">
        <v>2.2488911274377399</v>
      </c>
      <c r="D488" s="26">
        <v>3.3249999999999997</v>
      </c>
      <c r="E488" s="24">
        <f t="shared" si="28"/>
        <v>6</v>
      </c>
      <c r="F488" s="24">
        <f>VLOOKUP(E488,Q$5:R$11,2,FALSE)</f>
        <v>0.2</v>
      </c>
      <c r="G488" s="24">
        <f t="shared" si="29"/>
        <v>4</v>
      </c>
      <c r="H488" s="24">
        <f>IF(G488&gt;G487,H487+C488*F488,C488*F488)</f>
        <v>1.7648386623664261</v>
      </c>
      <c r="I488" s="24">
        <f t="shared" si="30"/>
        <v>0.8</v>
      </c>
      <c r="J488" s="24">
        <f t="shared" si="31"/>
        <v>0</v>
      </c>
      <c r="K488" s="24">
        <f>IF(CurrentMtgRatesDataTable811[[#This Row],[WA CC]]&lt;&gt;0,D487-CurrentMtgRatesDataTable811[[#This Row],[WA CC]],0)</f>
        <v>0</v>
      </c>
      <c r="L488" s="24">
        <f>IF(CurrentMtgRatesDataTable811[[#This Row],[Servicing Spread]]&lt;=0,L487,CurrentMtgRatesDataTable811[[#This Row],[Servicing Spread]])</f>
        <v>1.1145028618487873</v>
      </c>
      <c r="M488" s="24">
        <f>CurrentMtgRatesDataTable811[[#This Row],[SeriesNumValue]]+CurrentMtgRatesDataTable811[[#This Row],[Servicing Spread Non-Zero]]</f>
        <v>3.3633939892865272</v>
      </c>
    </row>
    <row r="489" spans="2:13" x14ac:dyDescent="0.2">
      <c r="B489" s="27" t="s">
        <v>1170</v>
      </c>
      <c r="C489" s="28">
        <v>2.0919724577728598</v>
      </c>
      <c r="D489" s="26">
        <v>3.3249999999999997</v>
      </c>
      <c r="E489" s="24">
        <f t="shared" si="28"/>
        <v>7</v>
      </c>
      <c r="F489" s="24">
        <f>VLOOKUP(E489,Q$5:R$11,2,FALSE)</f>
        <v>0.2</v>
      </c>
      <c r="G489" s="24">
        <f t="shared" si="29"/>
        <v>5</v>
      </c>
      <c r="H489" s="24">
        <f>IF(G489&gt;G488,H488+C489*F489,C489*F489)</f>
        <v>2.1832331539209981</v>
      </c>
      <c r="I489" s="24">
        <f t="shared" si="30"/>
        <v>1</v>
      </c>
      <c r="J489" s="24">
        <f t="shared" si="31"/>
        <v>2.1832331539209981</v>
      </c>
      <c r="K489" s="24">
        <f>IF(CurrentMtgRatesDataTable811[[#This Row],[WA CC]]&lt;&gt;0,D488-CurrentMtgRatesDataTable811[[#This Row],[WA CC]],0)</f>
        <v>1.1417668460790016</v>
      </c>
      <c r="L489" s="24">
        <f>IF(CurrentMtgRatesDataTable811[[#This Row],[Servicing Spread]]&lt;=0,L488,CurrentMtgRatesDataTable811[[#This Row],[Servicing Spread]])</f>
        <v>1.1417668460790016</v>
      </c>
      <c r="M489" s="24">
        <f>CurrentMtgRatesDataTable811[[#This Row],[SeriesNumValue]]+CurrentMtgRatesDataTable811[[#This Row],[Servicing Spread Non-Zero]]</f>
        <v>3.2337393038518614</v>
      </c>
    </row>
    <row r="490" spans="2:13" x14ac:dyDescent="0.2">
      <c r="B490" s="27" t="s">
        <v>1171</v>
      </c>
      <c r="C490" s="28">
        <v>2.04956432037537</v>
      </c>
      <c r="D490" s="26">
        <v>3.2649999999999997</v>
      </c>
      <c r="E490" s="24">
        <f t="shared" si="28"/>
        <v>1</v>
      </c>
      <c r="F490" s="24">
        <f>VLOOKUP(E490,Q$5:R$11,2,FALSE)</f>
        <v>0.2</v>
      </c>
      <c r="G490" s="24">
        <f t="shared" si="29"/>
        <v>1</v>
      </c>
      <c r="H490" s="24">
        <f>IF(G490&gt;G489,H489+C490*F490,C490*F490)</f>
        <v>0.40991286407507399</v>
      </c>
      <c r="I490" s="24">
        <f t="shared" si="30"/>
        <v>0.2</v>
      </c>
      <c r="J490" s="24">
        <f t="shared" si="31"/>
        <v>0</v>
      </c>
      <c r="K490" s="24">
        <f>IF(CurrentMtgRatesDataTable811[[#This Row],[WA CC]]&lt;&gt;0,D489-CurrentMtgRatesDataTable811[[#This Row],[WA CC]],0)</f>
        <v>0</v>
      </c>
      <c r="L490" s="24">
        <f>IF(CurrentMtgRatesDataTable811[[#This Row],[Servicing Spread]]&lt;=0,L489,CurrentMtgRatesDataTable811[[#This Row],[Servicing Spread]])</f>
        <v>1.1417668460790016</v>
      </c>
      <c r="M490" s="24">
        <f>CurrentMtgRatesDataTable811[[#This Row],[SeriesNumValue]]+CurrentMtgRatesDataTable811[[#This Row],[Servicing Spread Non-Zero]]</f>
        <v>3.1913311664543715</v>
      </c>
    </row>
    <row r="491" spans="2:13" x14ac:dyDescent="0.2">
      <c r="B491" s="27" t="s">
        <v>1172</v>
      </c>
      <c r="C491" s="28">
        <v>2.0595956654124499</v>
      </c>
      <c r="D491" s="26">
        <v>3.2649999999999997</v>
      </c>
      <c r="E491" s="24">
        <f t="shared" si="28"/>
        <v>2</v>
      </c>
      <c r="F491" s="24">
        <f>VLOOKUP(E491,Q$5:R$11,2,FALSE)</f>
        <v>0.2</v>
      </c>
      <c r="G491" s="24">
        <f t="shared" si="29"/>
        <v>2</v>
      </c>
      <c r="H491" s="24">
        <f>IF(G491&gt;G490,H490+C491*F491,C491*F491)</f>
        <v>0.82183199715756405</v>
      </c>
      <c r="I491" s="24">
        <f t="shared" si="30"/>
        <v>0.4</v>
      </c>
      <c r="J491" s="24">
        <f t="shared" si="31"/>
        <v>0</v>
      </c>
      <c r="K491" s="24">
        <f>IF(CurrentMtgRatesDataTable811[[#This Row],[WA CC]]&lt;&gt;0,D490-CurrentMtgRatesDataTable811[[#This Row],[WA CC]],0)</f>
        <v>0</v>
      </c>
      <c r="L491" s="24">
        <f>IF(CurrentMtgRatesDataTable811[[#This Row],[Servicing Spread]]&lt;=0,L490,CurrentMtgRatesDataTable811[[#This Row],[Servicing Spread]])</f>
        <v>1.1417668460790016</v>
      </c>
      <c r="M491" s="24">
        <f>CurrentMtgRatesDataTable811[[#This Row],[SeriesNumValue]]+CurrentMtgRatesDataTable811[[#This Row],[Servicing Spread Non-Zero]]</f>
        <v>3.2013625114914515</v>
      </c>
    </row>
    <row r="492" spans="2:13" x14ac:dyDescent="0.2">
      <c r="B492" s="27" t="s">
        <v>1173</v>
      </c>
      <c r="C492" s="28">
        <v>2.0829778986268401</v>
      </c>
      <c r="D492" s="26">
        <v>3.2649999999999997</v>
      </c>
      <c r="E492" s="24">
        <f t="shared" si="28"/>
        <v>6</v>
      </c>
      <c r="F492" s="24">
        <f>VLOOKUP(E492,Q$5:R$11,2,FALSE)</f>
        <v>0.2</v>
      </c>
      <c r="G492" s="24">
        <f t="shared" si="29"/>
        <v>3</v>
      </c>
      <c r="H492" s="24">
        <f>IF(G492&gt;G491,H491+C492*F492,C492*F492)</f>
        <v>1.238427576882932</v>
      </c>
      <c r="I492" s="24">
        <f t="shared" si="30"/>
        <v>0.60000000000000009</v>
      </c>
      <c r="J492" s="24">
        <f t="shared" si="31"/>
        <v>0</v>
      </c>
      <c r="K492" s="24">
        <f>IF(CurrentMtgRatesDataTable811[[#This Row],[WA CC]]&lt;&gt;0,D491-CurrentMtgRatesDataTable811[[#This Row],[WA CC]],0)</f>
        <v>0</v>
      </c>
      <c r="L492" s="24">
        <f>IF(CurrentMtgRatesDataTable811[[#This Row],[Servicing Spread]]&lt;=0,L491,CurrentMtgRatesDataTable811[[#This Row],[Servicing Spread]])</f>
        <v>1.1417668460790016</v>
      </c>
      <c r="M492" s="24">
        <f>CurrentMtgRatesDataTable811[[#This Row],[SeriesNumValue]]+CurrentMtgRatesDataTable811[[#This Row],[Servicing Spread Non-Zero]]</f>
        <v>3.2247447447058417</v>
      </c>
    </row>
    <row r="493" spans="2:13" x14ac:dyDescent="0.2">
      <c r="B493" s="27" t="s">
        <v>1174</v>
      </c>
      <c r="C493" s="28">
        <v>2.1343540804519301</v>
      </c>
      <c r="D493" s="26">
        <v>3.2649999999999997</v>
      </c>
      <c r="E493" s="24">
        <f t="shared" si="28"/>
        <v>7</v>
      </c>
      <c r="F493" s="24">
        <f>VLOOKUP(E493,Q$5:R$11,2,FALSE)</f>
        <v>0.2</v>
      </c>
      <c r="G493" s="24">
        <f t="shared" si="29"/>
        <v>4</v>
      </c>
      <c r="H493" s="24">
        <f>IF(G493&gt;G492,H492+C493*F493,C493*F493)</f>
        <v>1.6652983929733181</v>
      </c>
      <c r="I493" s="24">
        <f t="shared" si="30"/>
        <v>0.8</v>
      </c>
      <c r="J493" s="24">
        <f t="shared" si="31"/>
        <v>2.0816229912166473</v>
      </c>
      <c r="K493" s="24">
        <f>IF(CurrentMtgRatesDataTable811[[#This Row],[WA CC]]&lt;&gt;0,D492-CurrentMtgRatesDataTable811[[#This Row],[WA CC]],0)</f>
        <v>1.1833770087833524</v>
      </c>
      <c r="L493" s="24">
        <f>IF(CurrentMtgRatesDataTable811[[#This Row],[Servicing Spread]]&lt;=0,L492,CurrentMtgRatesDataTable811[[#This Row],[Servicing Spread]])</f>
        <v>1.1833770087833524</v>
      </c>
      <c r="M493" s="24">
        <f>CurrentMtgRatesDataTable811[[#This Row],[SeriesNumValue]]+CurrentMtgRatesDataTable811[[#This Row],[Servicing Spread Non-Zero]]</f>
        <v>3.3177310892352825</v>
      </c>
    </row>
    <row r="494" spans="2:13" x14ac:dyDescent="0.2">
      <c r="B494" s="27" t="s">
        <v>1175</v>
      </c>
      <c r="C494" s="28">
        <v>2.0923386430292501</v>
      </c>
      <c r="D494" s="26">
        <v>3.2349999999999999</v>
      </c>
      <c r="E494" s="24">
        <f t="shared" si="28"/>
        <v>1</v>
      </c>
      <c r="F494" s="24">
        <f>VLOOKUP(E494,Q$5:R$11,2,FALSE)</f>
        <v>0.2</v>
      </c>
      <c r="G494" s="24">
        <f t="shared" si="29"/>
        <v>1</v>
      </c>
      <c r="H494" s="24">
        <f>IF(G494&gt;G493,H493+C494*F494,C494*F494)</f>
        <v>0.41846772860585002</v>
      </c>
      <c r="I494" s="24">
        <f t="shared" si="30"/>
        <v>0.2</v>
      </c>
      <c r="J494" s="24">
        <f t="shared" si="31"/>
        <v>0</v>
      </c>
      <c r="K494" s="24">
        <f>IF(CurrentMtgRatesDataTable811[[#This Row],[WA CC]]&lt;&gt;0,D493-CurrentMtgRatesDataTable811[[#This Row],[WA CC]],0)</f>
        <v>0</v>
      </c>
      <c r="L494" s="24">
        <f>IF(CurrentMtgRatesDataTable811[[#This Row],[Servicing Spread]]&lt;=0,L493,CurrentMtgRatesDataTable811[[#This Row],[Servicing Spread]])</f>
        <v>1.1833770087833524</v>
      </c>
      <c r="M494" s="24">
        <f>CurrentMtgRatesDataTable811[[#This Row],[SeriesNumValue]]+CurrentMtgRatesDataTable811[[#This Row],[Servicing Spread Non-Zero]]</f>
        <v>3.2757156518126025</v>
      </c>
    </row>
    <row r="495" spans="2:13" x14ac:dyDescent="0.2">
      <c r="B495" s="27" t="s">
        <v>1176</v>
      </c>
      <c r="C495" s="28">
        <v>2.0361071292777302</v>
      </c>
      <c r="D495" s="26">
        <v>3.2349999999999999</v>
      </c>
      <c r="E495" s="24">
        <f t="shared" si="28"/>
        <v>2</v>
      </c>
      <c r="F495" s="24">
        <f>VLOOKUP(E495,Q$5:R$11,2,FALSE)</f>
        <v>0.2</v>
      </c>
      <c r="G495" s="24">
        <f t="shared" si="29"/>
        <v>2</v>
      </c>
      <c r="H495" s="24">
        <f>IF(G495&gt;G494,H494+C495*F495,C495*F495)</f>
        <v>0.82568915446139601</v>
      </c>
      <c r="I495" s="24">
        <f t="shared" si="30"/>
        <v>0.4</v>
      </c>
      <c r="J495" s="24">
        <f t="shared" si="31"/>
        <v>0</v>
      </c>
      <c r="K495" s="24">
        <f>IF(CurrentMtgRatesDataTable811[[#This Row],[WA CC]]&lt;&gt;0,D494-CurrentMtgRatesDataTable811[[#This Row],[WA CC]],0)</f>
        <v>0</v>
      </c>
      <c r="L495" s="24">
        <f>IF(CurrentMtgRatesDataTable811[[#This Row],[Servicing Spread]]&lt;=0,L494,CurrentMtgRatesDataTable811[[#This Row],[Servicing Spread]])</f>
        <v>1.1833770087833524</v>
      </c>
      <c r="M495" s="24">
        <f>CurrentMtgRatesDataTable811[[#This Row],[SeriesNumValue]]+CurrentMtgRatesDataTable811[[#This Row],[Servicing Spread Non-Zero]]</f>
        <v>3.2194841380610826</v>
      </c>
    </row>
    <row r="496" spans="2:13" x14ac:dyDescent="0.2">
      <c r="B496" s="27" t="s">
        <v>1177</v>
      </c>
      <c r="C496" s="28">
        <v>2.0699676944682599</v>
      </c>
      <c r="D496" s="26">
        <v>3.2349999999999999</v>
      </c>
      <c r="E496" s="24">
        <f t="shared" si="28"/>
        <v>5</v>
      </c>
      <c r="F496" s="24">
        <f>VLOOKUP(E496,Q$5:R$11,2,FALSE)</f>
        <v>0.2</v>
      </c>
      <c r="G496" s="24">
        <f t="shared" si="29"/>
        <v>3</v>
      </c>
      <c r="H496" s="24">
        <f>IF(G496&gt;G495,H495+C496*F496,C496*F496)</f>
        <v>1.239682693355048</v>
      </c>
      <c r="I496" s="24">
        <f t="shared" si="30"/>
        <v>0.60000000000000009</v>
      </c>
      <c r="J496" s="24">
        <f t="shared" si="31"/>
        <v>0</v>
      </c>
      <c r="K496" s="24">
        <f>IF(CurrentMtgRatesDataTable811[[#This Row],[WA CC]]&lt;&gt;0,D495-CurrentMtgRatesDataTable811[[#This Row],[WA CC]],0)</f>
        <v>0</v>
      </c>
      <c r="L496" s="24">
        <f>IF(CurrentMtgRatesDataTable811[[#This Row],[Servicing Spread]]&lt;=0,L495,CurrentMtgRatesDataTable811[[#This Row],[Servicing Spread]])</f>
        <v>1.1833770087833524</v>
      </c>
      <c r="M496" s="24">
        <f>CurrentMtgRatesDataTable811[[#This Row],[SeriesNumValue]]+CurrentMtgRatesDataTable811[[#This Row],[Servicing Spread Non-Zero]]</f>
        <v>3.2533447032516123</v>
      </c>
    </row>
    <row r="497" spans="2:13" x14ac:dyDescent="0.2">
      <c r="B497" s="27" t="s">
        <v>1178</v>
      </c>
      <c r="C497" s="28">
        <v>2.1420411801194499</v>
      </c>
      <c r="D497" s="26">
        <v>3.2349999999999999</v>
      </c>
      <c r="E497" s="24">
        <f t="shared" si="28"/>
        <v>6</v>
      </c>
      <c r="F497" s="24">
        <f>VLOOKUP(E497,Q$5:R$11,2,FALSE)</f>
        <v>0.2</v>
      </c>
      <c r="G497" s="24">
        <f t="shared" si="29"/>
        <v>4</v>
      </c>
      <c r="H497" s="24">
        <f>IF(G497&gt;G496,H496+C497*F497,C497*F497)</f>
        <v>1.6680909293789381</v>
      </c>
      <c r="I497" s="24">
        <f t="shared" si="30"/>
        <v>0.8</v>
      </c>
      <c r="J497" s="24">
        <f t="shared" si="31"/>
        <v>0</v>
      </c>
      <c r="K497" s="24">
        <f>IF(CurrentMtgRatesDataTable811[[#This Row],[WA CC]]&lt;&gt;0,D496-CurrentMtgRatesDataTable811[[#This Row],[WA CC]],0)</f>
        <v>0</v>
      </c>
      <c r="L497" s="24">
        <f>IF(CurrentMtgRatesDataTable811[[#This Row],[Servicing Spread]]&lt;=0,L496,CurrentMtgRatesDataTable811[[#This Row],[Servicing Spread]])</f>
        <v>1.1833770087833524</v>
      </c>
      <c r="M497" s="24">
        <f>CurrentMtgRatesDataTable811[[#This Row],[SeriesNumValue]]+CurrentMtgRatesDataTable811[[#This Row],[Servicing Spread Non-Zero]]</f>
        <v>3.3254181889028023</v>
      </c>
    </row>
    <row r="498" spans="2:13" x14ac:dyDescent="0.2">
      <c r="B498" s="27" t="s">
        <v>1179</v>
      </c>
      <c r="C498" s="28">
        <v>2.1925425327534098</v>
      </c>
      <c r="D498" s="26">
        <v>3.2349999999999999</v>
      </c>
      <c r="E498" s="24">
        <f t="shared" si="28"/>
        <v>7</v>
      </c>
      <c r="F498" s="24">
        <f>VLOOKUP(E498,Q$5:R$11,2,FALSE)</f>
        <v>0.2</v>
      </c>
      <c r="G498" s="24">
        <f t="shared" si="29"/>
        <v>5</v>
      </c>
      <c r="H498" s="24">
        <f>IF(G498&gt;G497,H497+C498*F498,C498*F498)</f>
        <v>2.1065994359296201</v>
      </c>
      <c r="I498" s="24">
        <f t="shared" si="30"/>
        <v>1</v>
      </c>
      <c r="J498" s="24">
        <f t="shared" si="31"/>
        <v>2.1065994359296201</v>
      </c>
      <c r="K498" s="24">
        <f>IF(CurrentMtgRatesDataTable811[[#This Row],[WA CC]]&lt;&gt;0,D497-CurrentMtgRatesDataTable811[[#This Row],[WA CC]],0)</f>
        <v>1.1284005640703798</v>
      </c>
      <c r="L498" s="24">
        <f>IF(CurrentMtgRatesDataTable811[[#This Row],[Servicing Spread]]&lt;=0,L497,CurrentMtgRatesDataTable811[[#This Row],[Servicing Spread]])</f>
        <v>1.1284005640703798</v>
      </c>
      <c r="M498" s="24">
        <f>CurrentMtgRatesDataTable811[[#This Row],[SeriesNumValue]]+CurrentMtgRatesDataTable811[[#This Row],[Servicing Spread Non-Zero]]</f>
        <v>3.3209430968237896</v>
      </c>
    </row>
    <row r="499" spans="2:13" x14ac:dyDescent="0.2">
      <c r="B499" s="27" t="s">
        <v>1180</v>
      </c>
      <c r="C499" s="28">
        <v>2.2012643194611901</v>
      </c>
      <c r="D499" s="26">
        <v>3.27</v>
      </c>
      <c r="E499" s="24">
        <f t="shared" si="28"/>
        <v>2</v>
      </c>
      <c r="F499" s="24">
        <f>VLOOKUP(E499,Q$5:R$11,2,FALSE)</f>
        <v>0.2</v>
      </c>
      <c r="G499" s="24">
        <f t="shared" si="29"/>
        <v>1</v>
      </c>
      <c r="H499" s="24">
        <f>IF(G499&gt;G498,H498+C499*F499,C499*F499)</f>
        <v>0.44025286389223806</v>
      </c>
      <c r="I499" s="24">
        <f t="shared" si="30"/>
        <v>0.2</v>
      </c>
      <c r="J499" s="24">
        <f t="shared" si="31"/>
        <v>0</v>
      </c>
      <c r="K499" s="24">
        <f>IF(CurrentMtgRatesDataTable811[[#This Row],[WA CC]]&lt;&gt;0,D498-CurrentMtgRatesDataTable811[[#This Row],[WA CC]],0)</f>
        <v>0</v>
      </c>
      <c r="L499" s="24">
        <f>IF(CurrentMtgRatesDataTable811[[#This Row],[Servicing Spread]]&lt;=0,L498,CurrentMtgRatesDataTable811[[#This Row],[Servicing Spread]])</f>
        <v>1.1284005640703798</v>
      </c>
      <c r="M499" s="24">
        <f>CurrentMtgRatesDataTable811[[#This Row],[SeriesNumValue]]+CurrentMtgRatesDataTable811[[#This Row],[Servicing Spread Non-Zero]]</f>
        <v>3.3296648835315699</v>
      </c>
    </row>
    <row r="500" spans="2:13" x14ac:dyDescent="0.2">
      <c r="B500" s="27" t="s">
        <v>1181</v>
      </c>
      <c r="C500" s="28">
        <v>2.1328988734204701</v>
      </c>
      <c r="D500" s="26">
        <v>3.27</v>
      </c>
      <c r="E500" s="24">
        <f t="shared" si="28"/>
        <v>5</v>
      </c>
      <c r="F500" s="24">
        <f>VLOOKUP(E500,Q$5:R$11,2,FALSE)</f>
        <v>0.2</v>
      </c>
      <c r="G500" s="24">
        <f t="shared" si="29"/>
        <v>2</v>
      </c>
      <c r="H500" s="24">
        <f>IF(G500&gt;G499,H499+C500*F500,C500*F500)</f>
        <v>0.86683263857633208</v>
      </c>
      <c r="I500" s="24">
        <f t="shared" si="30"/>
        <v>0.4</v>
      </c>
      <c r="J500" s="24">
        <f t="shared" si="31"/>
        <v>0</v>
      </c>
      <c r="K500" s="24">
        <f>IF(CurrentMtgRatesDataTable811[[#This Row],[WA CC]]&lt;&gt;0,D499-CurrentMtgRatesDataTable811[[#This Row],[WA CC]],0)</f>
        <v>0</v>
      </c>
      <c r="L500" s="24">
        <f>IF(CurrentMtgRatesDataTable811[[#This Row],[Servicing Spread]]&lt;=0,L499,CurrentMtgRatesDataTable811[[#This Row],[Servicing Spread]])</f>
        <v>1.1284005640703798</v>
      </c>
      <c r="M500" s="24">
        <f>CurrentMtgRatesDataTable811[[#This Row],[SeriesNumValue]]+CurrentMtgRatesDataTable811[[#This Row],[Servicing Spread Non-Zero]]</f>
        <v>3.2612994374908499</v>
      </c>
    </row>
    <row r="501" spans="2:13" x14ac:dyDescent="0.2">
      <c r="B501" s="27" t="s">
        <v>1182</v>
      </c>
      <c r="C501" s="28">
        <v>2.0440489527996202</v>
      </c>
      <c r="D501" s="26">
        <v>3.27</v>
      </c>
      <c r="E501" s="24">
        <f t="shared" si="28"/>
        <v>6</v>
      </c>
      <c r="F501" s="24">
        <f>VLOOKUP(E501,Q$5:R$11,2,FALSE)</f>
        <v>0.2</v>
      </c>
      <c r="G501" s="24">
        <f t="shared" si="29"/>
        <v>3</v>
      </c>
      <c r="H501" s="24">
        <f>IF(G501&gt;G500,H500+C501*F501,C501*F501)</f>
        <v>1.2756424291362563</v>
      </c>
      <c r="I501" s="24">
        <f t="shared" si="30"/>
        <v>0.60000000000000009</v>
      </c>
      <c r="J501" s="24">
        <f t="shared" si="31"/>
        <v>0</v>
      </c>
      <c r="K501" s="24">
        <f>IF(CurrentMtgRatesDataTable811[[#This Row],[WA CC]]&lt;&gt;0,D500-CurrentMtgRatesDataTable811[[#This Row],[WA CC]],0)</f>
        <v>0</v>
      </c>
      <c r="L501" s="24">
        <f>IF(CurrentMtgRatesDataTable811[[#This Row],[Servicing Spread]]&lt;=0,L500,CurrentMtgRatesDataTable811[[#This Row],[Servicing Spread]])</f>
        <v>1.1284005640703798</v>
      </c>
      <c r="M501" s="24">
        <f>CurrentMtgRatesDataTable811[[#This Row],[SeriesNumValue]]+CurrentMtgRatesDataTable811[[#This Row],[Servicing Spread Non-Zero]]</f>
        <v>3.17244951687</v>
      </c>
    </row>
    <row r="502" spans="2:13" x14ac:dyDescent="0.2">
      <c r="B502" s="27" t="s">
        <v>1183</v>
      </c>
      <c r="C502" s="28">
        <v>2.0509742576327699</v>
      </c>
      <c r="D502" s="26">
        <v>3.27</v>
      </c>
      <c r="E502" s="24">
        <f t="shared" si="28"/>
        <v>7</v>
      </c>
      <c r="F502" s="24">
        <f>VLOOKUP(E502,Q$5:R$11,2,FALSE)</f>
        <v>0.2</v>
      </c>
      <c r="G502" s="24">
        <f t="shared" si="29"/>
        <v>4</v>
      </c>
      <c r="H502" s="24">
        <f>IF(G502&gt;G501,H501+C502*F502,C502*F502)</f>
        <v>1.6858372806628101</v>
      </c>
      <c r="I502" s="24">
        <f t="shared" si="30"/>
        <v>0.8</v>
      </c>
      <c r="J502" s="24">
        <f t="shared" si="31"/>
        <v>2.1072966008285126</v>
      </c>
      <c r="K502" s="24">
        <f>IF(CurrentMtgRatesDataTable811[[#This Row],[WA CC]]&lt;&gt;0,D501-CurrentMtgRatesDataTable811[[#This Row],[WA CC]],0)</f>
        <v>1.1627033991714875</v>
      </c>
      <c r="L502" s="24">
        <f>IF(CurrentMtgRatesDataTable811[[#This Row],[Servicing Spread]]&lt;=0,L501,CurrentMtgRatesDataTable811[[#This Row],[Servicing Spread]])</f>
        <v>1.1627033991714875</v>
      </c>
      <c r="M502" s="24">
        <f>CurrentMtgRatesDataTable811[[#This Row],[SeriesNumValue]]+CurrentMtgRatesDataTable811[[#This Row],[Servicing Spread Non-Zero]]</f>
        <v>3.2136776568042573</v>
      </c>
    </row>
    <row r="503" spans="2:13" x14ac:dyDescent="0.2">
      <c r="B503" s="27" t="s">
        <v>1184</v>
      </c>
      <c r="C503" s="28">
        <v>2.0724438614292899</v>
      </c>
      <c r="D503" s="26">
        <v>3.2649999999999997</v>
      </c>
      <c r="E503" s="24">
        <f t="shared" si="28"/>
        <v>1</v>
      </c>
      <c r="F503" s="24">
        <f>VLOOKUP(E503,Q$5:R$11,2,FALSE)</f>
        <v>0.2</v>
      </c>
      <c r="G503" s="24">
        <f t="shared" si="29"/>
        <v>1</v>
      </c>
      <c r="H503" s="24">
        <f>IF(G503&gt;G502,H502+C503*F503,C503*F503)</f>
        <v>0.41448877228585801</v>
      </c>
      <c r="I503" s="24">
        <f t="shared" si="30"/>
        <v>0.2</v>
      </c>
      <c r="J503" s="24">
        <f t="shared" si="31"/>
        <v>0</v>
      </c>
      <c r="K503" s="24">
        <f>IF(CurrentMtgRatesDataTable811[[#This Row],[WA CC]]&lt;&gt;0,D502-CurrentMtgRatesDataTable811[[#This Row],[WA CC]],0)</f>
        <v>0</v>
      </c>
      <c r="L503" s="24">
        <f>IF(CurrentMtgRatesDataTable811[[#This Row],[Servicing Spread]]&lt;=0,L502,CurrentMtgRatesDataTable811[[#This Row],[Servicing Spread]])</f>
        <v>1.1627033991714875</v>
      </c>
      <c r="M503" s="24">
        <f>CurrentMtgRatesDataTable811[[#This Row],[SeriesNumValue]]+CurrentMtgRatesDataTable811[[#This Row],[Servicing Spread Non-Zero]]</f>
        <v>3.2351472606007774</v>
      </c>
    </row>
    <row r="504" spans="2:13" x14ac:dyDescent="0.2">
      <c r="B504" s="27" t="s">
        <v>1185</v>
      </c>
      <c r="C504" s="28">
        <v>2.0725335490580301</v>
      </c>
      <c r="D504" s="26">
        <v>3.2649999999999997</v>
      </c>
      <c r="E504" s="24">
        <f t="shared" si="28"/>
        <v>2</v>
      </c>
      <c r="F504" s="24">
        <f>VLOOKUP(E504,Q$5:R$11,2,FALSE)</f>
        <v>0.2</v>
      </c>
      <c r="G504" s="24">
        <f t="shared" si="29"/>
        <v>2</v>
      </c>
      <c r="H504" s="24">
        <f>IF(G504&gt;G503,H503+C504*F504,C504*F504)</f>
        <v>0.8289954820974641</v>
      </c>
      <c r="I504" s="24">
        <f t="shared" si="30"/>
        <v>0.4</v>
      </c>
      <c r="J504" s="24">
        <f t="shared" si="31"/>
        <v>0</v>
      </c>
      <c r="K504" s="24">
        <f>IF(CurrentMtgRatesDataTable811[[#This Row],[WA CC]]&lt;&gt;0,D503-CurrentMtgRatesDataTable811[[#This Row],[WA CC]],0)</f>
        <v>0</v>
      </c>
      <c r="L504" s="24">
        <f>IF(CurrentMtgRatesDataTable811[[#This Row],[Servicing Spread]]&lt;=0,L503,CurrentMtgRatesDataTable811[[#This Row],[Servicing Spread]])</f>
        <v>1.1627033991714875</v>
      </c>
      <c r="M504" s="24">
        <f>CurrentMtgRatesDataTable811[[#This Row],[SeriesNumValue]]+CurrentMtgRatesDataTable811[[#This Row],[Servicing Spread Non-Zero]]</f>
        <v>3.2352369482295176</v>
      </c>
    </row>
    <row r="505" spans="2:13" x14ac:dyDescent="0.2">
      <c r="B505" s="27" t="s">
        <v>1186</v>
      </c>
      <c r="C505" s="28">
        <v>2.0862225711456399</v>
      </c>
      <c r="D505" s="26">
        <v>3.2649999999999997</v>
      </c>
      <c r="E505" s="24">
        <f t="shared" si="28"/>
        <v>5</v>
      </c>
      <c r="F505" s="24">
        <f>VLOOKUP(E505,Q$5:R$11,2,FALSE)</f>
        <v>0.2</v>
      </c>
      <c r="G505" s="24">
        <f t="shared" si="29"/>
        <v>3</v>
      </c>
      <c r="H505" s="24">
        <f>IF(G505&gt;G504,H504+C505*F505,C505*F505)</f>
        <v>1.246239996326592</v>
      </c>
      <c r="I505" s="24">
        <f t="shared" si="30"/>
        <v>0.60000000000000009</v>
      </c>
      <c r="J505" s="24">
        <f t="shared" si="31"/>
        <v>0</v>
      </c>
      <c r="K505" s="24">
        <f>IF(CurrentMtgRatesDataTable811[[#This Row],[WA CC]]&lt;&gt;0,D504-CurrentMtgRatesDataTable811[[#This Row],[WA CC]],0)</f>
        <v>0</v>
      </c>
      <c r="L505" s="24">
        <f>IF(CurrentMtgRatesDataTable811[[#This Row],[Servicing Spread]]&lt;=0,L504,CurrentMtgRatesDataTable811[[#This Row],[Servicing Spread]])</f>
        <v>1.1627033991714875</v>
      </c>
      <c r="M505" s="24">
        <f>CurrentMtgRatesDataTable811[[#This Row],[SeriesNumValue]]+CurrentMtgRatesDataTable811[[#This Row],[Servicing Spread Non-Zero]]</f>
        <v>3.2489259703171274</v>
      </c>
    </row>
    <row r="506" spans="2:13" x14ac:dyDescent="0.2">
      <c r="B506" s="27" t="s">
        <v>1187</v>
      </c>
      <c r="C506" s="28">
        <v>2.0678302367394399</v>
      </c>
      <c r="D506" s="26">
        <v>3.2649999999999997</v>
      </c>
      <c r="E506" s="24">
        <f t="shared" si="28"/>
        <v>6</v>
      </c>
      <c r="F506" s="24">
        <f>VLOOKUP(E506,Q$5:R$11,2,FALSE)</f>
        <v>0.2</v>
      </c>
      <c r="G506" s="24">
        <f t="shared" si="29"/>
        <v>4</v>
      </c>
      <c r="H506" s="24">
        <f>IF(G506&gt;G505,H505+C506*F506,C506*F506)</f>
        <v>1.6598060436744799</v>
      </c>
      <c r="I506" s="24">
        <f t="shared" si="30"/>
        <v>0.8</v>
      </c>
      <c r="J506" s="24">
        <f t="shared" si="31"/>
        <v>0</v>
      </c>
      <c r="K506" s="24">
        <f>IF(CurrentMtgRatesDataTable811[[#This Row],[WA CC]]&lt;&gt;0,D505-CurrentMtgRatesDataTable811[[#This Row],[WA CC]],0)</f>
        <v>0</v>
      </c>
      <c r="L506" s="24">
        <f>IF(CurrentMtgRatesDataTable811[[#This Row],[Servicing Spread]]&lt;=0,L505,CurrentMtgRatesDataTable811[[#This Row],[Servicing Spread]])</f>
        <v>1.1627033991714875</v>
      </c>
      <c r="M506" s="24">
        <f>CurrentMtgRatesDataTable811[[#This Row],[SeriesNumValue]]+CurrentMtgRatesDataTable811[[#This Row],[Servicing Spread Non-Zero]]</f>
        <v>3.2305336359109273</v>
      </c>
    </row>
    <row r="507" spans="2:13" x14ac:dyDescent="0.2">
      <c r="B507" s="27" t="s">
        <v>1188</v>
      </c>
      <c r="C507" s="28">
        <v>2.0799414922025399</v>
      </c>
      <c r="D507" s="26">
        <v>3.2649999999999997</v>
      </c>
      <c r="E507" s="24">
        <f t="shared" si="28"/>
        <v>7</v>
      </c>
      <c r="F507" s="24">
        <f>VLOOKUP(E507,Q$5:R$11,2,FALSE)</f>
        <v>0.2</v>
      </c>
      <c r="G507" s="24">
        <f t="shared" si="29"/>
        <v>5</v>
      </c>
      <c r="H507" s="24">
        <f>IF(G507&gt;G506,H506+C507*F507,C507*F507)</f>
        <v>2.075794342114988</v>
      </c>
      <c r="I507" s="24">
        <f t="shared" si="30"/>
        <v>1</v>
      </c>
      <c r="J507" s="24">
        <f t="shared" si="31"/>
        <v>2.075794342114988</v>
      </c>
      <c r="K507" s="24">
        <f>IF(CurrentMtgRatesDataTable811[[#This Row],[WA CC]]&lt;&gt;0,D506-CurrentMtgRatesDataTable811[[#This Row],[WA CC]],0)</f>
        <v>1.1892056578850116</v>
      </c>
      <c r="L507" s="24">
        <f>IF(CurrentMtgRatesDataTable811[[#This Row],[Servicing Spread]]&lt;=0,L506,CurrentMtgRatesDataTable811[[#This Row],[Servicing Spread]])</f>
        <v>1.1892056578850116</v>
      </c>
      <c r="M507" s="24">
        <f>CurrentMtgRatesDataTable811[[#This Row],[SeriesNumValue]]+CurrentMtgRatesDataTable811[[#This Row],[Servicing Spread Non-Zero]]</f>
        <v>3.2691471500875515</v>
      </c>
    </row>
    <row r="508" spans="2:13" x14ac:dyDescent="0.2">
      <c r="B508" s="27" t="s">
        <v>1189</v>
      </c>
      <c r="C508" s="28">
        <v>2.1082736282319798</v>
      </c>
      <c r="D508" s="26">
        <v>3.2449999999999997</v>
      </c>
      <c r="E508" s="24">
        <f t="shared" si="28"/>
        <v>1</v>
      </c>
      <c r="F508" s="24">
        <f>VLOOKUP(E508,Q$5:R$11,2,FALSE)</f>
        <v>0.2</v>
      </c>
      <c r="G508" s="24">
        <f t="shared" si="29"/>
        <v>1</v>
      </c>
      <c r="H508" s="24">
        <f>IF(G508&gt;G507,H507+C508*F508,C508*F508)</f>
        <v>0.421654725646396</v>
      </c>
      <c r="I508" s="24">
        <f t="shared" si="30"/>
        <v>0.2</v>
      </c>
      <c r="J508" s="24">
        <f t="shared" si="31"/>
        <v>0</v>
      </c>
      <c r="K508" s="24">
        <f>IF(CurrentMtgRatesDataTable811[[#This Row],[WA CC]]&lt;&gt;0,D507-CurrentMtgRatesDataTable811[[#This Row],[WA CC]],0)</f>
        <v>0</v>
      </c>
      <c r="L508" s="24">
        <f>IF(CurrentMtgRatesDataTable811[[#This Row],[Servicing Spread]]&lt;=0,L507,CurrentMtgRatesDataTable811[[#This Row],[Servicing Spread]])</f>
        <v>1.1892056578850116</v>
      </c>
      <c r="M508" s="24">
        <f>CurrentMtgRatesDataTable811[[#This Row],[SeriesNumValue]]+CurrentMtgRatesDataTable811[[#This Row],[Servicing Spread Non-Zero]]</f>
        <v>3.2974792861169915</v>
      </c>
    </row>
    <row r="509" spans="2:13" x14ac:dyDescent="0.2">
      <c r="B509" s="27" t="s">
        <v>1190</v>
      </c>
      <c r="C509" s="28">
        <v>2.1663327490122799</v>
      </c>
      <c r="D509" s="26">
        <v>3.2449999999999997</v>
      </c>
      <c r="E509" s="24">
        <f t="shared" si="28"/>
        <v>2</v>
      </c>
      <c r="F509" s="24">
        <f>VLOOKUP(E509,Q$5:R$11,2,FALSE)</f>
        <v>0.2</v>
      </c>
      <c r="G509" s="24">
        <f t="shared" si="29"/>
        <v>2</v>
      </c>
      <c r="H509" s="24">
        <f>IF(G509&gt;G508,H508+C509*F509,C509*F509)</f>
        <v>0.85492127544885199</v>
      </c>
      <c r="I509" s="24">
        <f t="shared" si="30"/>
        <v>0.4</v>
      </c>
      <c r="J509" s="24">
        <f t="shared" si="31"/>
        <v>0</v>
      </c>
      <c r="K509" s="24">
        <f>IF(CurrentMtgRatesDataTable811[[#This Row],[WA CC]]&lt;&gt;0,D508-CurrentMtgRatesDataTable811[[#This Row],[WA CC]],0)</f>
        <v>0</v>
      </c>
      <c r="L509" s="24">
        <f>IF(CurrentMtgRatesDataTable811[[#This Row],[Servicing Spread]]&lt;=0,L508,CurrentMtgRatesDataTable811[[#This Row],[Servicing Spread]])</f>
        <v>1.1892056578850116</v>
      </c>
      <c r="M509" s="24">
        <f>CurrentMtgRatesDataTable811[[#This Row],[SeriesNumValue]]+CurrentMtgRatesDataTable811[[#This Row],[Servicing Spread Non-Zero]]</f>
        <v>3.3555384068972915</v>
      </c>
    </row>
    <row r="510" spans="2:13" x14ac:dyDescent="0.2">
      <c r="B510" s="27" t="s">
        <v>1191</v>
      </c>
      <c r="C510" s="28">
        <v>2.1263199579473602</v>
      </c>
      <c r="D510" s="26">
        <v>3.2449999999999997</v>
      </c>
      <c r="E510" s="24">
        <f t="shared" si="28"/>
        <v>5</v>
      </c>
      <c r="F510" s="24">
        <f>VLOOKUP(E510,Q$5:R$11,2,FALSE)</f>
        <v>0.2</v>
      </c>
      <c r="G510" s="24">
        <f t="shared" si="29"/>
        <v>3</v>
      </c>
      <c r="H510" s="24">
        <f>IF(G510&gt;G509,H509+C510*F510,C510*F510)</f>
        <v>1.280185267038324</v>
      </c>
      <c r="I510" s="24">
        <f t="shared" si="30"/>
        <v>0.60000000000000009</v>
      </c>
      <c r="J510" s="24">
        <f t="shared" si="31"/>
        <v>0</v>
      </c>
      <c r="K510" s="24">
        <f>IF(CurrentMtgRatesDataTable811[[#This Row],[WA CC]]&lt;&gt;0,D509-CurrentMtgRatesDataTable811[[#This Row],[WA CC]],0)</f>
        <v>0</v>
      </c>
      <c r="L510" s="24">
        <f>IF(CurrentMtgRatesDataTable811[[#This Row],[Servicing Spread]]&lt;=0,L509,CurrentMtgRatesDataTable811[[#This Row],[Servicing Spread]])</f>
        <v>1.1892056578850116</v>
      </c>
      <c r="M510" s="24">
        <f>CurrentMtgRatesDataTable811[[#This Row],[SeriesNumValue]]+CurrentMtgRatesDataTable811[[#This Row],[Servicing Spread Non-Zero]]</f>
        <v>3.3155256158323718</v>
      </c>
    </row>
    <row r="511" spans="2:13" x14ac:dyDescent="0.2">
      <c r="B511" s="27" t="s">
        <v>1192</v>
      </c>
      <c r="C511" s="28">
        <v>2.1257047070821802</v>
      </c>
      <c r="D511" s="26">
        <v>3.2449999999999997</v>
      </c>
      <c r="E511" s="24">
        <f t="shared" si="28"/>
        <v>6</v>
      </c>
      <c r="F511" s="24">
        <f>VLOOKUP(E511,Q$5:R$11,2,FALSE)</f>
        <v>0.2</v>
      </c>
      <c r="G511" s="24">
        <f t="shared" si="29"/>
        <v>4</v>
      </c>
      <c r="H511" s="24">
        <f>IF(G511&gt;G510,H510+C511*F511,C511*F511)</f>
        <v>1.70532620845476</v>
      </c>
      <c r="I511" s="24">
        <f t="shared" si="30"/>
        <v>0.8</v>
      </c>
      <c r="J511" s="24">
        <f t="shared" si="31"/>
        <v>0</v>
      </c>
      <c r="K511" s="24">
        <f>IF(CurrentMtgRatesDataTable811[[#This Row],[WA CC]]&lt;&gt;0,D510-CurrentMtgRatesDataTable811[[#This Row],[WA CC]],0)</f>
        <v>0</v>
      </c>
      <c r="L511" s="24">
        <f>IF(CurrentMtgRatesDataTable811[[#This Row],[Servicing Spread]]&lt;=0,L510,CurrentMtgRatesDataTable811[[#This Row],[Servicing Spread]])</f>
        <v>1.1892056578850116</v>
      </c>
      <c r="M511" s="24">
        <f>CurrentMtgRatesDataTable811[[#This Row],[SeriesNumValue]]+CurrentMtgRatesDataTable811[[#This Row],[Servicing Spread Non-Zero]]</f>
        <v>3.3149103649671918</v>
      </c>
    </row>
    <row r="512" spans="2:13" x14ac:dyDescent="0.2">
      <c r="B512" s="27" t="s">
        <v>1193</v>
      </c>
      <c r="C512" s="28">
        <v>2.1698452448822598</v>
      </c>
      <c r="D512" s="26">
        <v>3.2449999999999997</v>
      </c>
      <c r="E512" s="24">
        <f t="shared" si="28"/>
        <v>7</v>
      </c>
      <c r="F512" s="24">
        <f>VLOOKUP(E512,Q$5:R$11,2,FALSE)</f>
        <v>0.2</v>
      </c>
      <c r="G512" s="24">
        <f t="shared" si="29"/>
        <v>5</v>
      </c>
      <c r="H512" s="24">
        <f>IF(G512&gt;G511,H511+C512*F512,C512*F512)</f>
        <v>2.1392952574312121</v>
      </c>
      <c r="I512" s="24">
        <f t="shared" si="30"/>
        <v>1</v>
      </c>
      <c r="J512" s="24">
        <f t="shared" si="31"/>
        <v>2.1392952574312121</v>
      </c>
      <c r="K512" s="24">
        <f>IF(CurrentMtgRatesDataTable811[[#This Row],[WA CC]]&lt;&gt;0,D511-CurrentMtgRatesDataTable811[[#This Row],[WA CC]],0)</f>
        <v>1.1057047425687876</v>
      </c>
      <c r="L512" s="24">
        <f>IF(CurrentMtgRatesDataTable811[[#This Row],[Servicing Spread]]&lt;=0,L511,CurrentMtgRatesDataTable811[[#This Row],[Servicing Spread]])</f>
        <v>1.1057047425687876</v>
      </c>
      <c r="M512" s="24">
        <f>CurrentMtgRatesDataTable811[[#This Row],[SeriesNumValue]]+CurrentMtgRatesDataTable811[[#This Row],[Servicing Spread Non-Zero]]</f>
        <v>3.2755499874510474</v>
      </c>
    </row>
    <row r="513" spans="2:13" x14ac:dyDescent="0.2">
      <c r="B513" s="27" t="s">
        <v>1194</v>
      </c>
      <c r="C513" s="28">
        <v>2.17954329599754</v>
      </c>
      <c r="D513" s="26">
        <v>3.2949999999999999</v>
      </c>
      <c r="E513" s="24">
        <f t="shared" si="28"/>
        <v>1</v>
      </c>
      <c r="F513" s="24">
        <f>VLOOKUP(E513,Q$5:R$11,2,FALSE)</f>
        <v>0.2</v>
      </c>
      <c r="G513" s="24">
        <f t="shared" si="29"/>
        <v>1</v>
      </c>
      <c r="H513" s="24">
        <f>IF(G513&gt;G512,H512+C513*F513,C513*F513)</f>
        <v>0.43590865919950805</v>
      </c>
      <c r="I513" s="24">
        <f t="shared" si="30"/>
        <v>0.2</v>
      </c>
      <c r="J513" s="24">
        <f t="shared" si="31"/>
        <v>0</v>
      </c>
      <c r="K513" s="24">
        <f>IF(CurrentMtgRatesDataTable811[[#This Row],[WA CC]]&lt;&gt;0,D512-CurrentMtgRatesDataTable811[[#This Row],[WA CC]],0)</f>
        <v>0</v>
      </c>
      <c r="L513" s="24">
        <f>IF(CurrentMtgRatesDataTable811[[#This Row],[Servicing Spread]]&lt;=0,L512,CurrentMtgRatesDataTable811[[#This Row],[Servicing Spread]])</f>
        <v>1.1057047425687876</v>
      </c>
      <c r="M513" s="24">
        <f>CurrentMtgRatesDataTable811[[#This Row],[SeriesNumValue]]+CurrentMtgRatesDataTable811[[#This Row],[Servicing Spread Non-Zero]]</f>
        <v>3.2852480385663276</v>
      </c>
    </row>
    <row r="514" spans="2:13" x14ac:dyDescent="0.2">
      <c r="B514" s="27" t="s">
        <v>1195</v>
      </c>
      <c r="C514" s="28">
        <v>2.1747058079367898</v>
      </c>
      <c r="D514" s="26">
        <v>3.2949999999999999</v>
      </c>
      <c r="E514" s="24">
        <f t="shared" si="28"/>
        <v>2</v>
      </c>
      <c r="F514" s="24">
        <f>VLOOKUP(E514,Q$5:R$11,2,FALSE)</f>
        <v>0.2</v>
      </c>
      <c r="G514" s="24">
        <f t="shared" si="29"/>
        <v>2</v>
      </c>
      <c r="H514" s="24">
        <f>IF(G514&gt;G513,H513+C514*F514,C514*F514)</f>
        <v>0.87084982078686601</v>
      </c>
      <c r="I514" s="24">
        <f t="shared" si="30"/>
        <v>0.4</v>
      </c>
      <c r="J514" s="24">
        <f t="shared" si="31"/>
        <v>0</v>
      </c>
      <c r="K514" s="24">
        <f>IF(CurrentMtgRatesDataTable811[[#This Row],[WA CC]]&lt;&gt;0,D513-CurrentMtgRatesDataTable811[[#This Row],[WA CC]],0)</f>
        <v>0</v>
      </c>
      <c r="L514" s="24">
        <f>IF(CurrentMtgRatesDataTable811[[#This Row],[Servicing Spread]]&lt;=0,L513,CurrentMtgRatesDataTable811[[#This Row],[Servicing Spread]])</f>
        <v>1.1057047425687876</v>
      </c>
      <c r="M514" s="24">
        <f>CurrentMtgRatesDataTable811[[#This Row],[SeriesNumValue]]+CurrentMtgRatesDataTable811[[#This Row],[Servicing Spread Non-Zero]]</f>
        <v>3.2804105505055774</v>
      </c>
    </row>
    <row r="515" spans="2:13" x14ac:dyDescent="0.2">
      <c r="B515" s="27" t="s">
        <v>1196</v>
      </c>
      <c r="C515" s="28">
        <v>2.1860869431888501</v>
      </c>
      <c r="D515" s="26">
        <v>3.2949999999999999</v>
      </c>
      <c r="E515" s="24">
        <f t="shared" ref="E515:E578" si="32">WEEKDAY(B515,14)</f>
        <v>5</v>
      </c>
      <c r="F515" s="24">
        <f>VLOOKUP(E515,Q$5:R$11,2,FALSE)</f>
        <v>0.2</v>
      </c>
      <c r="G515" s="24">
        <f t="shared" ref="G515:G578" si="33">IF(AND(E515&gt;E514,G514&lt;6),G514+1,1)</f>
        <v>3</v>
      </c>
      <c r="H515" s="24">
        <f>IF(G515&gt;G514,H514+C515*F515,C515*F515)</f>
        <v>1.3080672094246362</v>
      </c>
      <c r="I515" s="24">
        <f t="shared" ref="I515:I578" si="34">IF(AND(G515&lt;6,G515&gt;G514),F515+I514,F515)</f>
        <v>0.60000000000000009</v>
      </c>
      <c r="J515" s="24">
        <f t="shared" ref="J515:J578" si="35">IF(G515&gt;G516,H515/I515,0)</f>
        <v>0</v>
      </c>
      <c r="K515" s="24">
        <f>IF(CurrentMtgRatesDataTable811[[#This Row],[WA CC]]&lt;&gt;0,D514-CurrentMtgRatesDataTable811[[#This Row],[WA CC]],0)</f>
        <v>0</v>
      </c>
      <c r="L515" s="24">
        <f>IF(CurrentMtgRatesDataTable811[[#This Row],[Servicing Spread]]&lt;=0,L514,CurrentMtgRatesDataTable811[[#This Row],[Servicing Spread]])</f>
        <v>1.1057047425687876</v>
      </c>
      <c r="M515" s="24">
        <f>CurrentMtgRatesDataTable811[[#This Row],[SeriesNumValue]]+CurrentMtgRatesDataTable811[[#This Row],[Servicing Spread Non-Zero]]</f>
        <v>3.2917916857576377</v>
      </c>
    </row>
    <row r="516" spans="2:13" x14ac:dyDescent="0.2">
      <c r="B516" s="27" t="s">
        <v>1197</v>
      </c>
      <c r="C516" s="28">
        <v>2.2549632116225702</v>
      </c>
      <c r="D516" s="26">
        <v>3.2949999999999999</v>
      </c>
      <c r="E516" s="24">
        <f t="shared" si="32"/>
        <v>6</v>
      </c>
      <c r="F516" s="24">
        <f>VLOOKUP(E516,Q$5:R$11,2,FALSE)</f>
        <v>0.2</v>
      </c>
      <c r="G516" s="24">
        <f t="shared" si="33"/>
        <v>4</v>
      </c>
      <c r="H516" s="24">
        <f>IF(G516&gt;G515,H515+C516*F516,C516*F516)</f>
        <v>1.7590598517491502</v>
      </c>
      <c r="I516" s="24">
        <f t="shared" si="34"/>
        <v>0.8</v>
      </c>
      <c r="J516" s="24">
        <f t="shared" si="35"/>
        <v>0</v>
      </c>
      <c r="K516" s="24">
        <f>IF(CurrentMtgRatesDataTable811[[#This Row],[WA CC]]&lt;&gt;0,D515-CurrentMtgRatesDataTable811[[#This Row],[WA CC]],0)</f>
        <v>0</v>
      </c>
      <c r="L516" s="24">
        <f>IF(CurrentMtgRatesDataTable811[[#This Row],[Servicing Spread]]&lt;=0,L515,CurrentMtgRatesDataTable811[[#This Row],[Servicing Spread]])</f>
        <v>1.1057047425687876</v>
      </c>
      <c r="M516" s="24">
        <f>CurrentMtgRatesDataTable811[[#This Row],[SeriesNumValue]]+CurrentMtgRatesDataTable811[[#This Row],[Servicing Spread Non-Zero]]</f>
        <v>3.3606679541913578</v>
      </c>
    </row>
    <row r="517" spans="2:13" x14ac:dyDescent="0.2">
      <c r="B517" s="27" t="s">
        <v>1198</v>
      </c>
      <c r="C517" s="28">
        <v>2.20825796099597</v>
      </c>
      <c r="D517" s="26">
        <v>3.2949999999999999</v>
      </c>
      <c r="E517" s="24">
        <f t="shared" si="32"/>
        <v>7</v>
      </c>
      <c r="F517" s="24">
        <f>VLOOKUP(E517,Q$5:R$11,2,FALSE)</f>
        <v>0.2</v>
      </c>
      <c r="G517" s="24">
        <f t="shared" si="33"/>
        <v>5</v>
      </c>
      <c r="H517" s="24">
        <f>IF(G517&gt;G516,H516+C517*F517,C517*F517)</f>
        <v>2.2007114439483444</v>
      </c>
      <c r="I517" s="24">
        <f t="shared" si="34"/>
        <v>1</v>
      </c>
      <c r="J517" s="24">
        <f t="shared" si="35"/>
        <v>2.2007114439483444</v>
      </c>
      <c r="K517" s="24">
        <f>IF(CurrentMtgRatesDataTable811[[#This Row],[WA CC]]&lt;&gt;0,D516-CurrentMtgRatesDataTable811[[#This Row],[WA CC]],0)</f>
        <v>1.0942885560516555</v>
      </c>
      <c r="L517" s="24">
        <f>IF(CurrentMtgRatesDataTable811[[#This Row],[Servicing Spread]]&lt;=0,L516,CurrentMtgRatesDataTable811[[#This Row],[Servicing Spread]])</f>
        <v>1.0942885560516555</v>
      </c>
      <c r="M517" s="24">
        <f>CurrentMtgRatesDataTable811[[#This Row],[SeriesNumValue]]+CurrentMtgRatesDataTable811[[#This Row],[Servicing Spread Non-Zero]]</f>
        <v>3.3025465170476256</v>
      </c>
    </row>
    <row r="518" spans="2:13" x14ac:dyDescent="0.2">
      <c r="B518" s="27" t="s">
        <v>1199</v>
      </c>
      <c r="C518" s="28">
        <v>2.18927927513684</v>
      </c>
      <c r="D518" s="26">
        <v>3.2749999999999999</v>
      </c>
      <c r="E518" s="24">
        <f t="shared" si="32"/>
        <v>1</v>
      </c>
      <c r="F518" s="24">
        <f>VLOOKUP(E518,Q$5:R$11,2,FALSE)</f>
        <v>0.2</v>
      </c>
      <c r="G518" s="24">
        <f t="shared" si="33"/>
        <v>1</v>
      </c>
      <c r="H518" s="24">
        <f>IF(G518&gt;G517,H517+C518*F518,C518*F518)</f>
        <v>0.43785585502736801</v>
      </c>
      <c r="I518" s="24">
        <f t="shared" si="34"/>
        <v>0.2</v>
      </c>
      <c r="J518" s="24">
        <f t="shared" si="35"/>
        <v>0</v>
      </c>
      <c r="K518" s="24">
        <f>IF(CurrentMtgRatesDataTable811[[#This Row],[WA CC]]&lt;&gt;0,D517-CurrentMtgRatesDataTable811[[#This Row],[WA CC]],0)</f>
        <v>0</v>
      </c>
      <c r="L518" s="24">
        <f>IF(CurrentMtgRatesDataTable811[[#This Row],[Servicing Spread]]&lt;=0,L517,CurrentMtgRatesDataTable811[[#This Row],[Servicing Spread]])</f>
        <v>1.0942885560516555</v>
      </c>
      <c r="M518" s="24">
        <f>CurrentMtgRatesDataTable811[[#This Row],[SeriesNumValue]]+CurrentMtgRatesDataTable811[[#This Row],[Servicing Spread Non-Zero]]</f>
        <v>3.2835678311884955</v>
      </c>
    </row>
    <row r="519" spans="2:13" x14ac:dyDescent="0.2">
      <c r="B519" s="27" t="s">
        <v>1200</v>
      </c>
      <c r="C519" s="28">
        <v>2.14957407921754</v>
      </c>
      <c r="D519" s="26">
        <v>3.2749999999999999</v>
      </c>
      <c r="E519" s="24">
        <f t="shared" si="32"/>
        <v>2</v>
      </c>
      <c r="F519" s="24">
        <f>VLOOKUP(E519,Q$5:R$11,2,FALSE)</f>
        <v>0.2</v>
      </c>
      <c r="G519" s="24">
        <f t="shared" si="33"/>
        <v>2</v>
      </c>
      <c r="H519" s="24">
        <f>IF(G519&gt;G518,H518+C519*F519,C519*F519)</f>
        <v>0.867770670870876</v>
      </c>
      <c r="I519" s="24">
        <f t="shared" si="34"/>
        <v>0.4</v>
      </c>
      <c r="J519" s="24">
        <f t="shared" si="35"/>
        <v>0</v>
      </c>
      <c r="K519" s="24">
        <f>IF(CurrentMtgRatesDataTable811[[#This Row],[WA CC]]&lt;&gt;0,D518-CurrentMtgRatesDataTable811[[#This Row],[WA CC]],0)</f>
        <v>0</v>
      </c>
      <c r="L519" s="24">
        <f>IF(CurrentMtgRatesDataTable811[[#This Row],[Servicing Spread]]&lt;=0,L518,CurrentMtgRatesDataTable811[[#This Row],[Servicing Spread]])</f>
        <v>1.0942885560516555</v>
      </c>
      <c r="M519" s="24">
        <f>CurrentMtgRatesDataTable811[[#This Row],[SeriesNumValue]]+CurrentMtgRatesDataTable811[[#This Row],[Servicing Spread Non-Zero]]</f>
        <v>3.2438626352691955</v>
      </c>
    </row>
    <row r="520" spans="2:13" x14ac:dyDescent="0.2">
      <c r="B520" s="27" t="s">
        <v>1201</v>
      </c>
      <c r="C520" s="28">
        <v>2.1781660184228402</v>
      </c>
      <c r="D520" s="26">
        <v>3.2749999999999999</v>
      </c>
      <c r="E520" s="24">
        <f t="shared" si="32"/>
        <v>5</v>
      </c>
      <c r="F520" s="24">
        <f>VLOOKUP(E520,Q$5:R$11,2,FALSE)</f>
        <v>0.2</v>
      </c>
      <c r="G520" s="24">
        <f t="shared" si="33"/>
        <v>3</v>
      </c>
      <c r="H520" s="24">
        <f>IF(G520&gt;G519,H519+C520*F520,C520*F520)</f>
        <v>1.3034038745554439</v>
      </c>
      <c r="I520" s="24">
        <f t="shared" si="34"/>
        <v>0.60000000000000009</v>
      </c>
      <c r="J520" s="24">
        <f t="shared" si="35"/>
        <v>0</v>
      </c>
      <c r="K520" s="24">
        <f>IF(CurrentMtgRatesDataTable811[[#This Row],[WA CC]]&lt;&gt;0,D519-CurrentMtgRatesDataTable811[[#This Row],[WA CC]],0)</f>
        <v>0</v>
      </c>
      <c r="L520" s="24">
        <f>IF(CurrentMtgRatesDataTable811[[#This Row],[Servicing Spread]]&lt;=0,L519,CurrentMtgRatesDataTable811[[#This Row],[Servicing Spread]])</f>
        <v>1.0942885560516555</v>
      </c>
      <c r="M520" s="24">
        <f>CurrentMtgRatesDataTable811[[#This Row],[SeriesNumValue]]+CurrentMtgRatesDataTable811[[#This Row],[Servicing Spread Non-Zero]]</f>
        <v>3.2724545744744957</v>
      </c>
    </row>
    <row r="521" spans="2:13" x14ac:dyDescent="0.2">
      <c r="B521" s="27" t="s">
        <v>1202</v>
      </c>
      <c r="C521" s="28">
        <v>2.1575085514306598</v>
      </c>
      <c r="D521" s="26">
        <v>3.2749999999999999</v>
      </c>
      <c r="E521" s="24">
        <f t="shared" si="32"/>
        <v>7</v>
      </c>
      <c r="F521" s="24">
        <f>VLOOKUP(E521,Q$5:R$11,2,FALSE)</f>
        <v>0.2</v>
      </c>
      <c r="G521" s="24">
        <f t="shared" si="33"/>
        <v>4</v>
      </c>
      <c r="H521" s="24">
        <f>IF(G521&gt;G520,H520+C521*F521,C521*F521)</f>
        <v>1.734905584841576</v>
      </c>
      <c r="I521" s="24">
        <f t="shared" si="34"/>
        <v>0.8</v>
      </c>
      <c r="J521" s="24">
        <f t="shared" si="35"/>
        <v>2.1686319810519699</v>
      </c>
      <c r="K521" s="24">
        <f>IF(CurrentMtgRatesDataTable811[[#This Row],[WA CC]]&lt;&gt;0,D520-CurrentMtgRatesDataTable811[[#This Row],[WA CC]],0)</f>
        <v>1.1063680189480301</v>
      </c>
      <c r="L521" s="24">
        <f>IF(CurrentMtgRatesDataTable811[[#This Row],[Servicing Spread]]&lt;=0,L520,CurrentMtgRatesDataTable811[[#This Row],[Servicing Spread]])</f>
        <v>1.1063680189480301</v>
      </c>
      <c r="M521" s="24">
        <f>CurrentMtgRatesDataTable811[[#This Row],[SeriesNumValue]]+CurrentMtgRatesDataTable811[[#This Row],[Servicing Spread Non-Zero]]</f>
        <v>3.2638765703786898</v>
      </c>
    </row>
    <row r="522" spans="2:13" x14ac:dyDescent="0.2">
      <c r="B522" s="27" t="s">
        <v>1203</v>
      </c>
      <c r="C522" s="28">
        <v>2.12227766952706</v>
      </c>
      <c r="D522" s="26">
        <v>3.2649999999999997</v>
      </c>
      <c r="E522" s="24">
        <f t="shared" si="32"/>
        <v>1</v>
      </c>
      <c r="F522" s="24">
        <f>VLOOKUP(E522,Q$5:R$11,2,FALSE)</f>
        <v>0.2</v>
      </c>
      <c r="G522" s="24">
        <f t="shared" si="33"/>
        <v>1</v>
      </c>
      <c r="H522" s="24">
        <f>IF(G522&gt;G521,H521+C522*F522,C522*F522)</f>
        <v>0.42445553390541202</v>
      </c>
      <c r="I522" s="24">
        <f t="shared" si="34"/>
        <v>0.2</v>
      </c>
      <c r="J522" s="24">
        <f t="shared" si="35"/>
        <v>0</v>
      </c>
      <c r="K522" s="24">
        <f>IF(CurrentMtgRatesDataTable811[[#This Row],[WA CC]]&lt;&gt;0,D521-CurrentMtgRatesDataTable811[[#This Row],[WA CC]],0)</f>
        <v>0</v>
      </c>
      <c r="L522" s="24">
        <f>IF(CurrentMtgRatesDataTable811[[#This Row],[Servicing Spread]]&lt;=0,L521,CurrentMtgRatesDataTable811[[#This Row],[Servicing Spread]])</f>
        <v>1.1063680189480301</v>
      </c>
      <c r="M522" s="24">
        <f>CurrentMtgRatesDataTable811[[#This Row],[SeriesNumValue]]+CurrentMtgRatesDataTable811[[#This Row],[Servicing Spread Non-Zero]]</f>
        <v>3.22864568847509</v>
      </c>
    </row>
    <row r="523" spans="2:13" x14ac:dyDescent="0.2">
      <c r="B523" s="27" t="s">
        <v>1204</v>
      </c>
      <c r="C523" s="28">
        <v>2.1401763219910399</v>
      </c>
      <c r="D523" s="26">
        <v>3.2649999999999997</v>
      </c>
      <c r="E523" s="24">
        <f t="shared" si="32"/>
        <v>2</v>
      </c>
      <c r="F523" s="24">
        <f>VLOOKUP(E523,Q$5:R$11,2,FALSE)</f>
        <v>0.2</v>
      </c>
      <c r="G523" s="24">
        <f t="shared" si="33"/>
        <v>2</v>
      </c>
      <c r="H523" s="24">
        <f>IF(G523&gt;G522,H522+C523*F523,C523*F523)</f>
        <v>0.85249079830362007</v>
      </c>
      <c r="I523" s="24">
        <f t="shared" si="34"/>
        <v>0.4</v>
      </c>
      <c r="J523" s="24">
        <f t="shared" si="35"/>
        <v>0</v>
      </c>
      <c r="K523" s="24">
        <f>IF(CurrentMtgRatesDataTable811[[#This Row],[WA CC]]&lt;&gt;0,D522-CurrentMtgRatesDataTable811[[#This Row],[WA CC]],0)</f>
        <v>0</v>
      </c>
      <c r="L523" s="24">
        <f>IF(CurrentMtgRatesDataTable811[[#This Row],[Servicing Spread]]&lt;=0,L522,CurrentMtgRatesDataTable811[[#This Row],[Servicing Spread]])</f>
        <v>1.1063680189480301</v>
      </c>
      <c r="M523" s="24">
        <f>CurrentMtgRatesDataTable811[[#This Row],[SeriesNumValue]]+CurrentMtgRatesDataTable811[[#This Row],[Servicing Spread Non-Zero]]</f>
        <v>3.24654434093907</v>
      </c>
    </row>
    <row r="524" spans="2:13" x14ac:dyDescent="0.2">
      <c r="B524" s="27" t="s">
        <v>1205</v>
      </c>
      <c r="C524" s="28">
        <v>2.1517307112587098</v>
      </c>
      <c r="D524" s="26">
        <v>3.2649999999999997</v>
      </c>
      <c r="E524" s="24">
        <f t="shared" si="32"/>
        <v>5</v>
      </c>
      <c r="F524" s="24">
        <f>VLOOKUP(E524,Q$5:R$11,2,FALSE)</f>
        <v>0.2</v>
      </c>
      <c r="G524" s="24">
        <f t="shared" si="33"/>
        <v>3</v>
      </c>
      <c r="H524" s="24">
        <f>IF(G524&gt;G523,H523+C524*F524,C524*F524)</f>
        <v>1.2828369405553621</v>
      </c>
      <c r="I524" s="24">
        <f t="shared" si="34"/>
        <v>0.60000000000000009</v>
      </c>
      <c r="J524" s="24">
        <f t="shared" si="35"/>
        <v>0</v>
      </c>
      <c r="K524" s="24">
        <f>IF(CurrentMtgRatesDataTable811[[#This Row],[WA CC]]&lt;&gt;0,D523-CurrentMtgRatesDataTable811[[#This Row],[WA CC]],0)</f>
        <v>0</v>
      </c>
      <c r="L524" s="24">
        <f>IF(CurrentMtgRatesDataTable811[[#This Row],[Servicing Spread]]&lt;=0,L523,CurrentMtgRatesDataTable811[[#This Row],[Servicing Spread]])</f>
        <v>1.1063680189480301</v>
      </c>
      <c r="M524" s="24">
        <f>CurrentMtgRatesDataTable811[[#This Row],[SeriesNumValue]]+CurrentMtgRatesDataTable811[[#This Row],[Servicing Spread Non-Zero]]</f>
        <v>3.2580987302067399</v>
      </c>
    </row>
    <row r="525" spans="2:13" x14ac:dyDescent="0.2">
      <c r="B525" s="27" t="s">
        <v>1206</v>
      </c>
      <c r="C525" s="28">
        <v>2.2179772298988301</v>
      </c>
      <c r="D525" s="26">
        <v>3.2649999999999997</v>
      </c>
      <c r="E525" s="24">
        <f t="shared" si="32"/>
        <v>7</v>
      </c>
      <c r="F525" s="24">
        <f>VLOOKUP(E525,Q$5:R$11,2,FALSE)</f>
        <v>0.2</v>
      </c>
      <c r="G525" s="24">
        <f t="shared" si="33"/>
        <v>4</v>
      </c>
      <c r="H525" s="24">
        <f>IF(G525&gt;G524,H524+C525*F525,C525*F525)</f>
        <v>1.7264323865351281</v>
      </c>
      <c r="I525" s="24">
        <f t="shared" si="34"/>
        <v>0.8</v>
      </c>
      <c r="J525" s="24">
        <f t="shared" si="35"/>
        <v>2.15804048316891</v>
      </c>
      <c r="K525" s="24">
        <f>IF(CurrentMtgRatesDataTable811[[#This Row],[WA CC]]&lt;&gt;0,D524-CurrentMtgRatesDataTable811[[#This Row],[WA CC]],0)</f>
        <v>1.1069595168310897</v>
      </c>
      <c r="L525" s="24">
        <f>IF(CurrentMtgRatesDataTable811[[#This Row],[Servicing Spread]]&lt;=0,L524,CurrentMtgRatesDataTable811[[#This Row],[Servicing Spread]])</f>
        <v>1.1069595168310897</v>
      </c>
      <c r="M525" s="24">
        <f>CurrentMtgRatesDataTable811[[#This Row],[SeriesNumValue]]+CurrentMtgRatesDataTable811[[#This Row],[Servicing Spread Non-Zero]]</f>
        <v>3.3249367467299198</v>
      </c>
    </row>
    <row r="526" spans="2:13" x14ac:dyDescent="0.2">
      <c r="B526" s="27" t="s">
        <v>1207</v>
      </c>
      <c r="C526" s="28">
        <v>2.33893527316877</v>
      </c>
      <c r="D526" s="26">
        <v>3.3249999999999997</v>
      </c>
      <c r="E526" s="24">
        <f t="shared" si="32"/>
        <v>1</v>
      </c>
      <c r="F526" s="24">
        <f>VLOOKUP(E526,Q$5:R$11,2,FALSE)</f>
        <v>0.2</v>
      </c>
      <c r="G526" s="24">
        <f t="shared" si="33"/>
        <v>1</v>
      </c>
      <c r="H526" s="24">
        <f>IF(G526&gt;G525,H525+C526*F526,C526*F526)</f>
        <v>0.46778705463375403</v>
      </c>
      <c r="I526" s="24">
        <f t="shared" si="34"/>
        <v>0.2</v>
      </c>
      <c r="J526" s="24">
        <f t="shared" si="35"/>
        <v>0</v>
      </c>
      <c r="K526" s="24">
        <f>IF(CurrentMtgRatesDataTable811[[#This Row],[WA CC]]&lt;&gt;0,D525-CurrentMtgRatesDataTable811[[#This Row],[WA CC]],0)</f>
        <v>0</v>
      </c>
      <c r="L526" s="24">
        <f>IF(CurrentMtgRatesDataTable811[[#This Row],[Servicing Spread]]&lt;=0,L525,CurrentMtgRatesDataTable811[[#This Row],[Servicing Spread]])</f>
        <v>1.1069595168310897</v>
      </c>
      <c r="M526" s="24">
        <f>CurrentMtgRatesDataTable811[[#This Row],[SeriesNumValue]]+CurrentMtgRatesDataTable811[[#This Row],[Servicing Spread Non-Zero]]</f>
        <v>3.4458947899998598</v>
      </c>
    </row>
    <row r="527" spans="2:13" x14ac:dyDescent="0.2">
      <c r="B527" s="27" t="s">
        <v>1208</v>
      </c>
      <c r="C527" s="28">
        <v>2.3583903097049501</v>
      </c>
      <c r="D527" s="26">
        <v>3.3249999999999997</v>
      </c>
      <c r="E527" s="24">
        <f t="shared" si="32"/>
        <v>2</v>
      </c>
      <c r="F527" s="24">
        <f>VLOOKUP(E527,Q$5:R$11,2,FALSE)</f>
        <v>0.2</v>
      </c>
      <c r="G527" s="24">
        <f t="shared" si="33"/>
        <v>2</v>
      </c>
      <c r="H527" s="24">
        <f>IF(G527&gt;G526,H526+C527*F527,C527*F527)</f>
        <v>0.93946511657474407</v>
      </c>
      <c r="I527" s="24">
        <f t="shared" si="34"/>
        <v>0.4</v>
      </c>
      <c r="J527" s="24">
        <f t="shared" si="35"/>
        <v>0</v>
      </c>
      <c r="K527" s="24">
        <f>IF(CurrentMtgRatesDataTable811[[#This Row],[WA CC]]&lt;&gt;0,D526-CurrentMtgRatesDataTable811[[#This Row],[WA CC]],0)</f>
        <v>0</v>
      </c>
      <c r="L527" s="24">
        <f>IF(CurrentMtgRatesDataTable811[[#This Row],[Servicing Spread]]&lt;=0,L526,CurrentMtgRatesDataTable811[[#This Row],[Servicing Spread]])</f>
        <v>1.1069595168310897</v>
      </c>
      <c r="M527" s="24">
        <f>CurrentMtgRatesDataTable811[[#This Row],[SeriesNumValue]]+CurrentMtgRatesDataTable811[[#This Row],[Servicing Spread Non-Zero]]</f>
        <v>3.4653498265360398</v>
      </c>
    </row>
    <row r="528" spans="2:13" x14ac:dyDescent="0.2">
      <c r="B528" s="27" t="s">
        <v>1209</v>
      </c>
      <c r="C528" s="28">
        <v>2.3132421541265802</v>
      </c>
      <c r="D528" s="26">
        <v>3.3249999999999997</v>
      </c>
      <c r="E528" s="24">
        <f t="shared" si="32"/>
        <v>5</v>
      </c>
      <c r="F528" s="24">
        <f>VLOOKUP(E528,Q$5:R$11,2,FALSE)</f>
        <v>0.2</v>
      </c>
      <c r="G528" s="24">
        <f t="shared" si="33"/>
        <v>3</v>
      </c>
      <c r="H528" s="24">
        <f>IF(G528&gt;G527,H527+C528*F528,C528*F528)</f>
        <v>1.4021135474000601</v>
      </c>
      <c r="I528" s="24">
        <f t="shared" si="34"/>
        <v>0.60000000000000009</v>
      </c>
      <c r="J528" s="24">
        <f t="shared" si="35"/>
        <v>0</v>
      </c>
      <c r="K528" s="24">
        <f>IF(CurrentMtgRatesDataTable811[[#This Row],[WA CC]]&lt;&gt;0,D527-CurrentMtgRatesDataTable811[[#This Row],[WA CC]],0)</f>
        <v>0</v>
      </c>
      <c r="L528" s="24">
        <f>IF(CurrentMtgRatesDataTable811[[#This Row],[Servicing Spread]]&lt;=0,L527,CurrentMtgRatesDataTable811[[#This Row],[Servicing Spread]])</f>
        <v>1.1069595168310897</v>
      </c>
      <c r="M528" s="24">
        <f>CurrentMtgRatesDataTable811[[#This Row],[SeriesNumValue]]+CurrentMtgRatesDataTable811[[#This Row],[Servicing Spread Non-Zero]]</f>
        <v>3.4202016709576699</v>
      </c>
    </row>
    <row r="529" spans="2:13" x14ac:dyDescent="0.2">
      <c r="B529" s="27" t="s">
        <v>1210</v>
      </c>
      <c r="C529" s="28">
        <v>2.2872202205924901</v>
      </c>
      <c r="D529" s="26">
        <v>3.3249999999999997</v>
      </c>
      <c r="E529" s="24">
        <f t="shared" si="32"/>
        <v>6</v>
      </c>
      <c r="F529" s="24">
        <f>VLOOKUP(E529,Q$5:R$11,2,FALSE)</f>
        <v>0.2</v>
      </c>
      <c r="G529" s="24">
        <f t="shared" si="33"/>
        <v>4</v>
      </c>
      <c r="H529" s="24">
        <f>IF(G529&gt;G528,H528+C529*F529,C529*F529)</f>
        <v>1.8595575915185583</v>
      </c>
      <c r="I529" s="24">
        <f t="shared" si="34"/>
        <v>0.8</v>
      </c>
      <c r="J529" s="24">
        <f t="shared" si="35"/>
        <v>0</v>
      </c>
      <c r="K529" s="24">
        <f>IF(CurrentMtgRatesDataTable811[[#This Row],[WA CC]]&lt;&gt;0,D528-CurrentMtgRatesDataTable811[[#This Row],[WA CC]],0)</f>
        <v>0</v>
      </c>
      <c r="L529" s="24">
        <f>IF(CurrentMtgRatesDataTable811[[#This Row],[Servicing Spread]]&lt;=0,L528,CurrentMtgRatesDataTable811[[#This Row],[Servicing Spread]])</f>
        <v>1.1069595168310897</v>
      </c>
      <c r="M529" s="24">
        <f>CurrentMtgRatesDataTable811[[#This Row],[SeriesNumValue]]+CurrentMtgRatesDataTable811[[#This Row],[Servicing Spread Non-Zero]]</f>
        <v>3.3941797374235798</v>
      </c>
    </row>
    <row r="530" spans="2:13" x14ac:dyDescent="0.2">
      <c r="B530" s="27" t="s">
        <v>1211</v>
      </c>
      <c r="C530" s="28">
        <v>2.2542377381479901</v>
      </c>
      <c r="D530" s="26">
        <v>3.3249999999999997</v>
      </c>
      <c r="E530" s="24">
        <f t="shared" si="32"/>
        <v>7</v>
      </c>
      <c r="F530" s="24">
        <f>VLOOKUP(E530,Q$5:R$11,2,FALSE)</f>
        <v>0.2</v>
      </c>
      <c r="G530" s="24">
        <f t="shared" si="33"/>
        <v>5</v>
      </c>
      <c r="H530" s="24">
        <f>IF(G530&gt;G529,H529+C530*F530,C530*F530)</f>
        <v>2.3104051391481564</v>
      </c>
      <c r="I530" s="24">
        <f t="shared" si="34"/>
        <v>1</v>
      </c>
      <c r="J530" s="24">
        <f t="shared" si="35"/>
        <v>2.3104051391481564</v>
      </c>
      <c r="K530" s="24">
        <f>IF(CurrentMtgRatesDataTable811[[#This Row],[WA CC]]&lt;&gt;0,D529-CurrentMtgRatesDataTable811[[#This Row],[WA CC]],0)</f>
        <v>1.0145948608518434</v>
      </c>
      <c r="L530" s="24">
        <f>IF(CurrentMtgRatesDataTable811[[#This Row],[Servicing Spread]]&lt;=0,L529,CurrentMtgRatesDataTable811[[#This Row],[Servicing Spread]])</f>
        <v>1.0145948608518434</v>
      </c>
      <c r="M530" s="24">
        <f>CurrentMtgRatesDataTable811[[#This Row],[SeriesNumValue]]+CurrentMtgRatesDataTable811[[#This Row],[Servicing Spread Non-Zero]]</f>
        <v>3.2688325989998335</v>
      </c>
    </row>
    <row r="531" spans="2:13" x14ac:dyDescent="0.2">
      <c r="B531" s="27" t="s">
        <v>1212</v>
      </c>
      <c r="C531" s="28">
        <v>2.3058062237430601</v>
      </c>
      <c r="D531" s="26">
        <v>3.3049999999999997</v>
      </c>
      <c r="E531" s="24">
        <f t="shared" si="32"/>
        <v>1</v>
      </c>
      <c r="F531" s="24">
        <f>VLOOKUP(E531,Q$5:R$11,2,FALSE)</f>
        <v>0.2</v>
      </c>
      <c r="G531" s="24">
        <f t="shared" si="33"/>
        <v>1</v>
      </c>
      <c r="H531" s="24">
        <f>IF(G531&gt;G530,H530+C531*F531,C531*F531)</f>
        <v>0.46116124474861203</v>
      </c>
      <c r="I531" s="24">
        <f t="shared" si="34"/>
        <v>0.2</v>
      </c>
      <c r="J531" s="24">
        <f t="shared" si="35"/>
        <v>0</v>
      </c>
      <c r="K531" s="24">
        <f>IF(CurrentMtgRatesDataTable811[[#This Row],[WA CC]]&lt;&gt;0,D530-CurrentMtgRatesDataTable811[[#This Row],[WA CC]],0)</f>
        <v>0</v>
      </c>
      <c r="L531" s="24">
        <f>IF(CurrentMtgRatesDataTable811[[#This Row],[Servicing Spread]]&lt;=0,L530,CurrentMtgRatesDataTable811[[#This Row],[Servicing Spread]])</f>
        <v>1.0145948608518434</v>
      </c>
      <c r="M531" s="24">
        <f>CurrentMtgRatesDataTable811[[#This Row],[SeriesNumValue]]+CurrentMtgRatesDataTable811[[#This Row],[Servicing Spread Non-Zero]]</f>
        <v>3.3204010845949035</v>
      </c>
    </row>
    <row r="532" spans="2:13" x14ac:dyDescent="0.2">
      <c r="B532" s="27" t="s">
        <v>1213</v>
      </c>
      <c r="C532" s="28">
        <v>2.2816853967186499</v>
      </c>
      <c r="D532" s="26">
        <v>3.3049999999999997</v>
      </c>
      <c r="E532" s="24">
        <f t="shared" si="32"/>
        <v>2</v>
      </c>
      <c r="F532" s="24">
        <f>VLOOKUP(E532,Q$5:R$11,2,FALSE)</f>
        <v>0.2</v>
      </c>
      <c r="G532" s="24">
        <f t="shared" si="33"/>
        <v>2</v>
      </c>
      <c r="H532" s="24">
        <f>IF(G532&gt;G531,H531+C532*F532,C532*F532)</f>
        <v>0.917498324092342</v>
      </c>
      <c r="I532" s="24">
        <f t="shared" si="34"/>
        <v>0.4</v>
      </c>
      <c r="J532" s="24">
        <f t="shared" si="35"/>
        <v>0</v>
      </c>
      <c r="K532" s="24">
        <f>IF(CurrentMtgRatesDataTable811[[#This Row],[WA CC]]&lt;&gt;0,D531-CurrentMtgRatesDataTable811[[#This Row],[WA CC]],0)</f>
        <v>0</v>
      </c>
      <c r="L532" s="24">
        <f>IF(CurrentMtgRatesDataTable811[[#This Row],[Servicing Spread]]&lt;=0,L531,CurrentMtgRatesDataTable811[[#This Row],[Servicing Spread]])</f>
        <v>1.0145948608518434</v>
      </c>
      <c r="M532" s="24">
        <f>CurrentMtgRatesDataTable811[[#This Row],[SeriesNumValue]]+CurrentMtgRatesDataTable811[[#This Row],[Servicing Spread Non-Zero]]</f>
        <v>3.2962802575704933</v>
      </c>
    </row>
    <row r="533" spans="2:13" x14ac:dyDescent="0.2">
      <c r="B533" s="27" t="s">
        <v>1214</v>
      </c>
      <c r="C533" s="28">
        <v>2.2784009909774001</v>
      </c>
      <c r="D533" s="26">
        <v>3.3049999999999997</v>
      </c>
      <c r="E533" s="24">
        <f t="shared" si="32"/>
        <v>5</v>
      </c>
      <c r="F533" s="24">
        <f>VLOOKUP(E533,Q$5:R$11,2,FALSE)</f>
        <v>0.2</v>
      </c>
      <c r="G533" s="24">
        <f t="shared" si="33"/>
        <v>3</v>
      </c>
      <c r="H533" s="24">
        <f>IF(G533&gt;G532,H532+C533*F533,C533*F533)</f>
        <v>1.3731785222878221</v>
      </c>
      <c r="I533" s="24">
        <f t="shared" si="34"/>
        <v>0.60000000000000009</v>
      </c>
      <c r="J533" s="24">
        <f t="shared" si="35"/>
        <v>0</v>
      </c>
      <c r="K533" s="24">
        <f>IF(CurrentMtgRatesDataTable811[[#This Row],[WA CC]]&lt;&gt;0,D532-CurrentMtgRatesDataTable811[[#This Row],[WA CC]],0)</f>
        <v>0</v>
      </c>
      <c r="L533" s="24">
        <f>IF(CurrentMtgRatesDataTable811[[#This Row],[Servicing Spread]]&lt;=0,L532,CurrentMtgRatesDataTable811[[#This Row],[Servicing Spread]])</f>
        <v>1.0145948608518434</v>
      </c>
      <c r="M533" s="24">
        <f>CurrentMtgRatesDataTable811[[#This Row],[SeriesNumValue]]+CurrentMtgRatesDataTable811[[#This Row],[Servicing Spread Non-Zero]]</f>
        <v>3.2929958518292435</v>
      </c>
    </row>
    <row r="534" spans="2:13" x14ac:dyDescent="0.2">
      <c r="B534" s="27" t="s">
        <v>1215</v>
      </c>
      <c r="C534" s="28">
        <v>2.2938425272831502</v>
      </c>
      <c r="D534" s="26">
        <v>3.3049999999999997</v>
      </c>
      <c r="E534" s="24">
        <f t="shared" si="32"/>
        <v>6</v>
      </c>
      <c r="F534" s="24">
        <f>VLOOKUP(E534,Q$5:R$11,2,FALSE)</f>
        <v>0.2</v>
      </c>
      <c r="G534" s="24">
        <f t="shared" si="33"/>
        <v>4</v>
      </c>
      <c r="H534" s="24">
        <f>IF(G534&gt;G533,H533+C534*F534,C534*F534)</f>
        <v>1.8319470277444521</v>
      </c>
      <c r="I534" s="24">
        <f t="shared" si="34"/>
        <v>0.8</v>
      </c>
      <c r="J534" s="24">
        <f t="shared" si="35"/>
        <v>0</v>
      </c>
      <c r="K534" s="24">
        <f>IF(CurrentMtgRatesDataTable811[[#This Row],[WA CC]]&lt;&gt;0,D533-CurrentMtgRatesDataTable811[[#This Row],[WA CC]],0)</f>
        <v>0</v>
      </c>
      <c r="L534" s="24">
        <f>IF(CurrentMtgRatesDataTable811[[#This Row],[Servicing Spread]]&lt;=0,L533,CurrentMtgRatesDataTable811[[#This Row],[Servicing Spread]])</f>
        <v>1.0145948608518434</v>
      </c>
      <c r="M534" s="24">
        <f>CurrentMtgRatesDataTable811[[#This Row],[SeriesNumValue]]+CurrentMtgRatesDataTable811[[#This Row],[Servicing Spread Non-Zero]]</f>
        <v>3.3084373881349936</v>
      </c>
    </row>
    <row r="535" spans="2:13" x14ac:dyDescent="0.2">
      <c r="B535" s="27" t="s">
        <v>1216</v>
      </c>
      <c r="C535" s="28">
        <v>2.2944098288443899</v>
      </c>
      <c r="D535" s="26">
        <v>3.3049999999999997</v>
      </c>
      <c r="E535" s="24">
        <f t="shared" si="32"/>
        <v>7</v>
      </c>
      <c r="F535" s="24">
        <f>VLOOKUP(E535,Q$5:R$11,2,FALSE)</f>
        <v>0.2</v>
      </c>
      <c r="G535" s="24">
        <f t="shared" si="33"/>
        <v>5</v>
      </c>
      <c r="H535" s="24">
        <f>IF(G535&gt;G534,H534+C535*F535,C535*F535)</f>
        <v>2.2908289935133301</v>
      </c>
      <c r="I535" s="24">
        <f t="shared" si="34"/>
        <v>1</v>
      </c>
      <c r="J535" s="24">
        <f t="shared" si="35"/>
        <v>2.2908289935133301</v>
      </c>
      <c r="K535" s="24">
        <f>IF(CurrentMtgRatesDataTable811[[#This Row],[WA CC]]&lt;&gt;0,D534-CurrentMtgRatesDataTable811[[#This Row],[WA CC]],0)</f>
        <v>1.0141710064866696</v>
      </c>
      <c r="L535" s="24">
        <f>IF(CurrentMtgRatesDataTable811[[#This Row],[Servicing Spread]]&lt;=0,L534,CurrentMtgRatesDataTable811[[#This Row],[Servicing Spread]])</f>
        <v>1.0141710064866696</v>
      </c>
      <c r="M535" s="24">
        <f>CurrentMtgRatesDataTable811[[#This Row],[SeriesNumValue]]+CurrentMtgRatesDataTable811[[#This Row],[Servicing Spread Non-Zero]]</f>
        <v>3.3085808353310595</v>
      </c>
    </row>
    <row r="536" spans="2:13" x14ac:dyDescent="0.2">
      <c r="B536" s="27" t="s">
        <v>1217</v>
      </c>
      <c r="C536" s="28">
        <v>2.3689111618910199</v>
      </c>
      <c r="D536" s="26">
        <v>3.3449999999999998</v>
      </c>
      <c r="E536" s="24">
        <f t="shared" si="32"/>
        <v>1</v>
      </c>
      <c r="F536" s="24">
        <f>VLOOKUP(E536,Q$5:R$11,2,FALSE)</f>
        <v>0.2</v>
      </c>
      <c r="G536" s="24">
        <f t="shared" si="33"/>
        <v>1</v>
      </c>
      <c r="H536" s="24">
        <f>IF(G536&gt;G535,H535+C536*F536,C536*F536)</f>
        <v>0.47378223237820399</v>
      </c>
      <c r="I536" s="24">
        <f t="shared" si="34"/>
        <v>0.2</v>
      </c>
      <c r="J536" s="24">
        <f t="shared" si="35"/>
        <v>0</v>
      </c>
      <c r="K536" s="24">
        <f>IF(CurrentMtgRatesDataTable811[[#This Row],[WA CC]]&lt;&gt;0,D535-CurrentMtgRatesDataTable811[[#This Row],[WA CC]],0)</f>
        <v>0</v>
      </c>
      <c r="L536" s="24">
        <f>IF(CurrentMtgRatesDataTable811[[#This Row],[Servicing Spread]]&lt;=0,L535,CurrentMtgRatesDataTable811[[#This Row],[Servicing Spread]])</f>
        <v>1.0141710064866696</v>
      </c>
      <c r="M536" s="24">
        <f>CurrentMtgRatesDataTable811[[#This Row],[SeriesNumValue]]+CurrentMtgRatesDataTable811[[#This Row],[Servicing Spread Non-Zero]]</f>
        <v>3.3830821683776895</v>
      </c>
    </row>
    <row r="537" spans="2:13" x14ac:dyDescent="0.2">
      <c r="B537" s="27" t="s">
        <v>1218</v>
      </c>
      <c r="C537" s="28">
        <v>2.3502791672529901</v>
      </c>
      <c r="D537" s="26">
        <v>3.3449999999999998</v>
      </c>
      <c r="E537" s="24">
        <f t="shared" si="32"/>
        <v>2</v>
      </c>
      <c r="F537" s="24">
        <f>VLOOKUP(E537,Q$5:R$11,2,FALSE)</f>
        <v>0.2</v>
      </c>
      <c r="G537" s="24">
        <f t="shared" si="33"/>
        <v>2</v>
      </c>
      <c r="H537" s="24">
        <f>IF(G537&gt;G536,H536+C537*F537,C537*F537)</f>
        <v>0.94383806582880203</v>
      </c>
      <c r="I537" s="24">
        <f t="shared" si="34"/>
        <v>0.4</v>
      </c>
      <c r="J537" s="24">
        <f t="shared" si="35"/>
        <v>0</v>
      </c>
      <c r="K537" s="24">
        <f>IF(CurrentMtgRatesDataTable811[[#This Row],[WA CC]]&lt;&gt;0,D536-CurrentMtgRatesDataTable811[[#This Row],[WA CC]],0)</f>
        <v>0</v>
      </c>
      <c r="L537" s="24">
        <f>IF(CurrentMtgRatesDataTable811[[#This Row],[Servicing Spread]]&lt;=0,L536,CurrentMtgRatesDataTable811[[#This Row],[Servicing Spread]])</f>
        <v>1.0141710064866696</v>
      </c>
      <c r="M537" s="24">
        <f>CurrentMtgRatesDataTable811[[#This Row],[SeriesNumValue]]+CurrentMtgRatesDataTable811[[#This Row],[Servicing Spread Non-Zero]]</f>
        <v>3.3644501737396597</v>
      </c>
    </row>
    <row r="538" spans="2:13" x14ac:dyDescent="0.2">
      <c r="B538" s="27" t="s">
        <v>1219</v>
      </c>
      <c r="C538" s="28">
        <v>2.35220774246172</v>
      </c>
      <c r="D538" s="26">
        <v>3.3449999999999998</v>
      </c>
      <c r="E538" s="24">
        <f t="shared" si="32"/>
        <v>6</v>
      </c>
      <c r="F538" s="24">
        <f>VLOOKUP(E538,Q$5:R$11,2,FALSE)</f>
        <v>0.2</v>
      </c>
      <c r="G538" s="24">
        <f t="shared" si="33"/>
        <v>3</v>
      </c>
      <c r="H538" s="24">
        <f>IF(G538&gt;G537,H537+C538*F538,C538*F538)</f>
        <v>1.414279614321146</v>
      </c>
      <c r="I538" s="24">
        <f t="shared" si="34"/>
        <v>0.60000000000000009</v>
      </c>
      <c r="J538" s="24">
        <f t="shared" si="35"/>
        <v>0</v>
      </c>
      <c r="K538" s="24">
        <f>IF(CurrentMtgRatesDataTable811[[#This Row],[WA CC]]&lt;&gt;0,D537-CurrentMtgRatesDataTable811[[#This Row],[WA CC]],0)</f>
        <v>0</v>
      </c>
      <c r="L538" s="24">
        <f>IF(CurrentMtgRatesDataTable811[[#This Row],[Servicing Spread]]&lt;=0,L537,CurrentMtgRatesDataTable811[[#This Row],[Servicing Spread]])</f>
        <v>1.0141710064866696</v>
      </c>
      <c r="M538" s="24">
        <f>CurrentMtgRatesDataTable811[[#This Row],[SeriesNumValue]]+CurrentMtgRatesDataTable811[[#This Row],[Servicing Spread Non-Zero]]</f>
        <v>3.3663787489483896</v>
      </c>
    </row>
    <row r="539" spans="2:13" x14ac:dyDescent="0.2">
      <c r="B539" s="27" t="s">
        <v>1220</v>
      </c>
      <c r="C539" s="28">
        <v>2.3433125325998301</v>
      </c>
      <c r="D539" s="26">
        <v>3.3449999999999998</v>
      </c>
      <c r="E539" s="24">
        <f t="shared" si="32"/>
        <v>7</v>
      </c>
      <c r="F539" s="24">
        <f>VLOOKUP(E539,Q$5:R$11,2,FALSE)</f>
        <v>0.2</v>
      </c>
      <c r="G539" s="24">
        <f t="shared" si="33"/>
        <v>4</v>
      </c>
      <c r="H539" s="24">
        <f>IF(G539&gt;G538,H538+C539*F539,C539*F539)</f>
        <v>1.8829421208411121</v>
      </c>
      <c r="I539" s="24">
        <f t="shared" si="34"/>
        <v>0.8</v>
      </c>
      <c r="J539" s="24">
        <f t="shared" si="35"/>
        <v>2.3536776510513899</v>
      </c>
      <c r="K539" s="24">
        <f>IF(CurrentMtgRatesDataTable811[[#This Row],[WA CC]]&lt;&gt;0,D538-CurrentMtgRatesDataTable811[[#This Row],[WA CC]],0)</f>
        <v>0.99132234894860982</v>
      </c>
      <c r="L539" s="24">
        <f>IF(CurrentMtgRatesDataTable811[[#This Row],[Servicing Spread]]&lt;=0,L538,CurrentMtgRatesDataTable811[[#This Row],[Servicing Spread]])</f>
        <v>0.99132234894860982</v>
      </c>
      <c r="M539" s="24">
        <f>CurrentMtgRatesDataTable811[[#This Row],[SeriesNumValue]]+CurrentMtgRatesDataTable811[[#This Row],[Servicing Spread Non-Zero]]</f>
        <v>3.3346348815484399</v>
      </c>
    </row>
    <row r="540" spans="2:13" x14ac:dyDescent="0.2">
      <c r="B540" s="27" t="s">
        <v>1221</v>
      </c>
      <c r="C540" s="28">
        <v>2.3674188938348699</v>
      </c>
      <c r="D540" s="26">
        <v>3.4549999999999996</v>
      </c>
      <c r="E540" s="24">
        <f t="shared" si="32"/>
        <v>1</v>
      </c>
      <c r="F540" s="24">
        <f>VLOOKUP(E540,Q$5:R$11,2,FALSE)</f>
        <v>0.2</v>
      </c>
      <c r="G540" s="24">
        <f t="shared" si="33"/>
        <v>1</v>
      </c>
      <c r="H540" s="24">
        <f>IF(G540&gt;G539,H539+C540*F540,C540*F540)</f>
        <v>0.47348377876697401</v>
      </c>
      <c r="I540" s="24">
        <f t="shared" si="34"/>
        <v>0.2</v>
      </c>
      <c r="J540" s="24">
        <f t="shared" si="35"/>
        <v>0</v>
      </c>
      <c r="K540" s="24">
        <f>IF(CurrentMtgRatesDataTable811[[#This Row],[WA CC]]&lt;&gt;0,D539-CurrentMtgRatesDataTable811[[#This Row],[WA CC]],0)</f>
        <v>0</v>
      </c>
      <c r="L540" s="24">
        <f>IF(CurrentMtgRatesDataTable811[[#This Row],[Servicing Spread]]&lt;=0,L539,CurrentMtgRatesDataTable811[[#This Row],[Servicing Spread]])</f>
        <v>0.99132234894860982</v>
      </c>
      <c r="M540" s="24">
        <f>CurrentMtgRatesDataTable811[[#This Row],[SeriesNumValue]]+CurrentMtgRatesDataTable811[[#This Row],[Servicing Spread Non-Zero]]</f>
        <v>3.3587412427834797</v>
      </c>
    </row>
    <row r="541" spans="2:13" x14ac:dyDescent="0.2">
      <c r="B541" s="27" t="s">
        <v>1222</v>
      </c>
      <c r="C541" s="28">
        <v>2.50531849536197</v>
      </c>
      <c r="D541" s="26">
        <v>3.4549999999999996</v>
      </c>
      <c r="E541" s="24">
        <f t="shared" si="32"/>
        <v>2</v>
      </c>
      <c r="F541" s="24">
        <f>VLOOKUP(E541,Q$5:R$11,2,FALSE)</f>
        <v>0.2</v>
      </c>
      <c r="G541" s="24">
        <f t="shared" si="33"/>
        <v>2</v>
      </c>
      <c r="H541" s="24">
        <f>IF(G541&gt;G540,H540+C541*F541,C541*F541)</f>
        <v>0.97454747783936801</v>
      </c>
      <c r="I541" s="24">
        <f t="shared" si="34"/>
        <v>0.4</v>
      </c>
      <c r="J541" s="24">
        <f t="shared" si="35"/>
        <v>0</v>
      </c>
      <c r="K541" s="24">
        <f>IF(CurrentMtgRatesDataTable811[[#This Row],[WA CC]]&lt;&gt;0,D540-CurrentMtgRatesDataTable811[[#This Row],[WA CC]],0)</f>
        <v>0</v>
      </c>
      <c r="L541" s="24">
        <f>IF(CurrentMtgRatesDataTable811[[#This Row],[Servicing Spread]]&lt;=0,L540,CurrentMtgRatesDataTable811[[#This Row],[Servicing Spread]])</f>
        <v>0.99132234894860982</v>
      </c>
      <c r="M541" s="24">
        <f>CurrentMtgRatesDataTable811[[#This Row],[SeriesNumValue]]+CurrentMtgRatesDataTable811[[#This Row],[Servicing Spread Non-Zero]]</f>
        <v>3.4966408443105799</v>
      </c>
    </row>
    <row r="542" spans="2:13" x14ac:dyDescent="0.2">
      <c r="B542" s="27" t="s">
        <v>1223</v>
      </c>
      <c r="C542" s="28">
        <v>2.5393282304868099</v>
      </c>
      <c r="D542" s="26">
        <v>3.4549999999999996</v>
      </c>
      <c r="E542" s="24">
        <f t="shared" si="32"/>
        <v>5</v>
      </c>
      <c r="F542" s="24">
        <f>VLOOKUP(E542,Q$5:R$11,2,FALSE)</f>
        <v>0.2</v>
      </c>
      <c r="G542" s="24">
        <f t="shared" si="33"/>
        <v>3</v>
      </c>
      <c r="H542" s="24">
        <f>IF(G542&gt;G541,H541+C542*F542,C542*F542)</f>
        <v>1.48241312393673</v>
      </c>
      <c r="I542" s="24">
        <f t="shared" si="34"/>
        <v>0.60000000000000009</v>
      </c>
      <c r="J542" s="24">
        <f t="shared" si="35"/>
        <v>0</v>
      </c>
      <c r="K542" s="24">
        <f>IF(CurrentMtgRatesDataTable811[[#This Row],[WA CC]]&lt;&gt;0,D541-CurrentMtgRatesDataTable811[[#This Row],[WA CC]],0)</f>
        <v>0</v>
      </c>
      <c r="L542" s="24">
        <f>IF(CurrentMtgRatesDataTable811[[#This Row],[Servicing Spread]]&lt;=0,L541,CurrentMtgRatesDataTable811[[#This Row],[Servicing Spread]])</f>
        <v>0.99132234894860982</v>
      </c>
      <c r="M542" s="24">
        <f>CurrentMtgRatesDataTable811[[#This Row],[SeriesNumValue]]+CurrentMtgRatesDataTable811[[#This Row],[Servicing Spread Non-Zero]]</f>
        <v>3.5306505794354197</v>
      </c>
    </row>
    <row r="543" spans="2:13" x14ac:dyDescent="0.2">
      <c r="B543" s="27" t="s">
        <v>1224</v>
      </c>
      <c r="C543" s="28">
        <v>2.5598092537420398</v>
      </c>
      <c r="D543" s="26">
        <v>3.4549999999999996</v>
      </c>
      <c r="E543" s="24">
        <f t="shared" si="32"/>
        <v>6</v>
      </c>
      <c r="F543" s="24">
        <f>VLOOKUP(E543,Q$5:R$11,2,FALSE)</f>
        <v>0.2</v>
      </c>
      <c r="G543" s="24">
        <f t="shared" si="33"/>
        <v>4</v>
      </c>
      <c r="H543" s="24">
        <f>IF(G543&gt;G542,H542+C543*F543,C543*F543)</f>
        <v>1.994374974685138</v>
      </c>
      <c r="I543" s="24">
        <f t="shared" si="34"/>
        <v>0.8</v>
      </c>
      <c r="J543" s="24">
        <f t="shared" si="35"/>
        <v>0</v>
      </c>
      <c r="K543" s="24">
        <f>IF(CurrentMtgRatesDataTable811[[#This Row],[WA CC]]&lt;&gt;0,D542-CurrentMtgRatesDataTable811[[#This Row],[WA CC]],0)</f>
        <v>0</v>
      </c>
      <c r="L543" s="24">
        <f>IF(CurrentMtgRatesDataTable811[[#This Row],[Servicing Spread]]&lt;=0,L542,CurrentMtgRatesDataTable811[[#This Row],[Servicing Spread]])</f>
        <v>0.99132234894860982</v>
      </c>
      <c r="M543" s="24">
        <f>CurrentMtgRatesDataTable811[[#This Row],[SeriesNumValue]]+CurrentMtgRatesDataTable811[[#This Row],[Servicing Spread Non-Zero]]</f>
        <v>3.5511316026906496</v>
      </c>
    </row>
    <row r="544" spans="2:13" x14ac:dyDescent="0.2">
      <c r="B544" s="27" t="s">
        <v>1225</v>
      </c>
      <c r="C544" s="28">
        <v>2.5772925233697599</v>
      </c>
      <c r="D544" s="26">
        <v>3.4549999999999996</v>
      </c>
      <c r="E544" s="24">
        <f t="shared" si="32"/>
        <v>7</v>
      </c>
      <c r="F544" s="24">
        <f>VLOOKUP(E544,Q$5:R$11,2,FALSE)</f>
        <v>0.2</v>
      </c>
      <c r="G544" s="24">
        <f t="shared" si="33"/>
        <v>5</v>
      </c>
      <c r="H544" s="24">
        <f>IF(G544&gt;G543,H543+C544*F544,C544*F544)</f>
        <v>2.5098334793590902</v>
      </c>
      <c r="I544" s="24">
        <f t="shared" si="34"/>
        <v>1</v>
      </c>
      <c r="J544" s="24">
        <f t="shared" si="35"/>
        <v>2.5098334793590902</v>
      </c>
      <c r="K544" s="24">
        <f>IF(CurrentMtgRatesDataTable811[[#This Row],[WA CC]]&lt;&gt;0,D543-CurrentMtgRatesDataTable811[[#This Row],[WA CC]],0)</f>
        <v>0.94516652064090945</v>
      </c>
      <c r="L544" s="24">
        <f>IF(CurrentMtgRatesDataTable811[[#This Row],[Servicing Spread]]&lt;=0,L543,CurrentMtgRatesDataTable811[[#This Row],[Servicing Spread]])</f>
        <v>0.94516652064090945</v>
      </c>
      <c r="M544" s="24">
        <f>CurrentMtgRatesDataTable811[[#This Row],[SeriesNumValue]]+CurrentMtgRatesDataTable811[[#This Row],[Servicing Spread Non-Zero]]</f>
        <v>3.5224590440106693</v>
      </c>
    </row>
    <row r="545" spans="2:13" x14ac:dyDescent="0.2">
      <c r="B545" s="27" t="s">
        <v>1226</v>
      </c>
      <c r="C545" s="28">
        <v>2.57376759097352</v>
      </c>
      <c r="D545" s="26">
        <v>3.48</v>
      </c>
      <c r="E545" s="24">
        <f t="shared" si="32"/>
        <v>1</v>
      </c>
      <c r="F545" s="24">
        <f>VLOOKUP(E545,Q$5:R$11,2,FALSE)</f>
        <v>0.2</v>
      </c>
      <c r="G545" s="24">
        <f t="shared" si="33"/>
        <v>1</v>
      </c>
      <c r="H545" s="24">
        <f>IF(G545&gt;G544,H544+C545*F545,C545*F545)</f>
        <v>0.51475351819470405</v>
      </c>
      <c r="I545" s="24">
        <f t="shared" si="34"/>
        <v>0.2</v>
      </c>
      <c r="J545" s="24">
        <f t="shared" si="35"/>
        <v>0</v>
      </c>
      <c r="K545" s="24">
        <f>IF(CurrentMtgRatesDataTable811[[#This Row],[WA CC]]&lt;&gt;0,D544-CurrentMtgRatesDataTable811[[#This Row],[WA CC]],0)</f>
        <v>0</v>
      </c>
      <c r="L545" s="24">
        <f>IF(CurrentMtgRatesDataTable811[[#This Row],[Servicing Spread]]&lt;=0,L544,CurrentMtgRatesDataTable811[[#This Row],[Servicing Spread]])</f>
        <v>0.94516652064090945</v>
      </c>
      <c r="M545" s="24">
        <f>CurrentMtgRatesDataTable811[[#This Row],[SeriesNumValue]]+CurrentMtgRatesDataTable811[[#This Row],[Servicing Spread Non-Zero]]</f>
        <v>3.5189341116144295</v>
      </c>
    </row>
    <row r="546" spans="2:13" x14ac:dyDescent="0.2">
      <c r="B546" s="27" t="s">
        <v>1227</v>
      </c>
      <c r="C546" s="28">
        <v>2.5914055356862402</v>
      </c>
      <c r="D546" s="26">
        <v>3.48</v>
      </c>
      <c r="E546" s="24">
        <f t="shared" si="32"/>
        <v>2</v>
      </c>
      <c r="F546" s="24">
        <f>VLOOKUP(E546,Q$5:R$11,2,FALSE)</f>
        <v>0.2</v>
      </c>
      <c r="G546" s="24">
        <f t="shared" si="33"/>
        <v>2</v>
      </c>
      <c r="H546" s="24">
        <f>IF(G546&gt;G545,H545+C546*F546,C546*F546)</f>
        <v>1.0330346253319522</v>
      </c>
      <c r="I546" s="24">
        <f t="shared" si="34"/>
        <v>0.4</v>
      </c>
      <c r="J546" s="24">
        <f t="shared" si="35"/>
        <v>0</v>
      </c>
      <c r="K546" s="24">
        <f>IF(CurrentMtgRatesDataTable811[[#This Row],[WA CC]]&lt;&gt;0,D545-CurrentMtgRatesDataTable811[[#This Row],[WA CC]],0)</f>
        <v>0</v>
      </c>
      <c r="L546" s="24">
        <f>IF(CurrentMtgRatesDataTable811[[#This Row],[Servicing Spread]]&lt;=0,L545,CurrentMtgRatesDataTable811[[#This Row],[Servicing Spread]])</f>
        <v>0.94516652064090945</v>
      </c>
      <c r="M546" s="24">
        <f>CurrentMtgRatesDataTable811[[#This Row],[SeriesNumValue]]+CurrentMtgRatesDataTable811[[#This Row],[Servicing Spread Non-Zero]]</f>
        <v>3.5365720563271497</v>
      </c>
    </row>
    <row r="547" spans="2:13" x14ac:dyDescent="0.2">
      <c r="B547" s="27" t="s">
        <v>1228</v>
      </c>
      <c r="C547" s="28">
        <v>2.5556270132589098</v>
      </c>
      <c r="D547" s="26">
        <v>3.48</v>
      </c>
      <c r="E547" s="24">
        <f t="shared" si="32"/>
        <v>5</v>
      </c>
      <c r="F547" s="24">
        <f>VLOOKUP(E547,Q$5:R$11,2,FALSE)</f>
        <v>0.2</v>
      </c>
      <c r="G547" s="24">
        <f t="shared" si="33"/>
        <v>3</v>
      </c>
      <c r="H547" s="24">
        <f>IF(G547&gt;G546,H546+C547*F547,C547*F547)</f>
        <v>1.5441600279837342</v>
      </c>
      <c r="I547" s="24">
        <f t="shared" si="34"/>
        <v>0.60000000000000009</v>
      </c>
      <c r="J547" s="24">
        <f t="shared" si="35"/>
        <v>0</v>
      </c>
      <c r="K547" s="24">
        <f>IF(CurrentMtgRatesDataTable811[[#This Row],[WA CC]]&lt;&gt;0,D546-CurrentMtgRatesDataTable811[[#This Row],[WA CC]],0)</f>
        <v>0</v>
      </c>
      <c r="L547" s="24">
        <f>IF(CurrentMtgRatesDataTable811[[#This Row],[Servicing Spread]]&lt;=0,L546,CurrentMtgRatesDataTable811[[#This Row],[Servicing Spread]])</f>
        <v>0.94516652064090945</v>
      </c>
      <c r="M547" s="24">
        <f>CurrentMtgRatesDataTable811[[#This Row],[SeriesNumValue]]+CurrentMtgRatesDataTable811[[#This Row],[Servicing Spread Non-Zero]]</f>
        <v>3.5007935338998193</v>
      </c>
    </row>
    <row r="548" spans="2:13" x14ac:dyDescent="0.2">
      <c r="B548" s="27" t="s">
        <v>1229</v>
      </c>
      <c r="C548" s="28">
        <v>2.6005196496782901</v>
      </c>
      <c r="D548" s="26">
        <v>3.48</v>
      </c>
      <c r="E548" s="24">
        <f t="shared" si="32"/>
        <v>6</v>
      </c>
      <c r="F548" s="24">
        <f>VLOOKUP(E548,Q$5:R$11,2,FALSE)</f>
        <v>0.2</v>
      </c>
      <c r="G548" s="24">
        <f t="shared" si="33"/>
        <v>4</v>
      </c>
      <c r="H548" s="24">
        <f>IF(G548&gt;G547,H547+C548*F548,C548*F548)</f>
        <v>2.0642639579193922</v>
      </c>
      <c r="I548" s="24">
        <f t="shared" si="34"/>
        <v>0.8</v>
      </c>
      <c r="J548" s="24">
        <f t="shared" si="35"/>
        <v>0</v>
      </c>
      <c r="K548" s="24">
        <f>IF(CurrentMtgRatesDataTable811[[#This Row],[WA CC]]&lt;&gt;0,D547-CurrentMtgRatesDataTable811[[#This Row],[WA CC]],0)</f>
        <v>0</v>
      </c>
      <c r="L548" s="24">
        <f>IF(CurrentMtgRatesDataTable811[[#This Row],[Servicing Spread]]&lt;=0,L547,CurrentMtgRatesDataTable811[[#This Row],[Servicing Spread]])</f>
        <v>0.94516652064090945</v>
      </c>
      <c r="M548" s="24">
        <f>CurrentMtgRatesDataTable811[[#This Row],[SeriesNumValue]]+CurrentMtgRatesDataTable811[[#This Row],[Servicing Spread Non-Zero]]</f>
        <v>3.5456861703191995</v>
      </c>
    </row>
    <row r="549" spans="2:13" x14ac:dyDescent="0.2">
      <c r="B549" s="27" t="s">
        <v>1230</v>
      </c>
      <c r="C549" s="28">
        <v>2.55943207517402</v>
      </c>
      <c r="D549" s="26">
        <v>3.48</v>
      </c>
      <c r="E549" s="24">
        <f t="shared" si="32"/>
        <v>7</v>
      </c>
      <c r="F549" s="24">
        <f>VLOOKUP(E549,Q$5:R$11,2,FALSE)</f>
        <v>0.2</v>
      </c>
      <c r="G549" s="24">
        <f t="shared" si="33"/>
        <v>5</v>
      </c>
      <c r="H549" s="24">
        <f>IF(G549&gt;G548,H548+C549*F549,C549*F549)</f>
        <v>2.5761503729541961</v>
      </c>
      <c r="I549" s="24">
        <f t="shared" si="34"/>
        <v>1</v>
      </c>
      <c r="J549" s="24">
        <f t="shared" si="35"/>
        <v>2.5761503729541961</v>
      </c>
      <c r="K549" s="24">
        <f>IF(CurrentMtgRatesDataTable811[[#This Row],[WA CC]]&lt;&gt;0,D548-CurrentMtgRatesDataTable811[[#This Row],[WA CC]],0)</f>
        <v>0.90384962704580385</v>
      </c>
      <c r="L549" s="24">
        <f>IF(CurrentMtgRatesDataTable811[[#This Row],[Servicing Spread]]&lt;=0,L548,CurrentMtgRatesDataTable811[[#This Row],[Servicing Spread]])</f>
        <v>0.90384962704580385</v>
      </c>
      <c r="M549" s="24">
        <f>CurrentMtgRatesDataTable811[[#This Row],[SeriesNumValue]]+CurrentMtgRatesDataTable811[[#This Row],[Servicing Spread Non-Zero]]</f>
        <v>3.4632817022198239</v>
      </c>
    </row>
    <row r="550" spans="2:13" x14ac:dyDescent="0.2">
      <c r="B550" s="27" t="s">
        <v>1231</v>
      </c>
      <c r="C550" s="28">
        <v>2.5513624904448799</v>
      </c>
      <c r="D550" s="26">
        <v>3.48</v>
      </c>
      <c r="E550" s="24">
        <f t="shared" si="32"/>
        <v>1</v>
      </c>
      <c r="F550" s="24">
        <f>VLOOKUP(E550,Q$5:R$11,2,FALSE)</f>
        <v>0.2</v>
      </c>
      <c r="G550" s="24">
        <f t="shared" si="33"/>
        <v>1</v>
      </c>
      <c r="H550" s="24">
        <f>IF(G550&gt;G549,H549+C550*F550,C550*F550)</f>
        <v>0.51027249808897601</v>
      </c>
      <c r="I550" s="24">
        <f t="shared" si="34"/>
        <v>0.2</v>
      </c>
      <c r="J550" s="24">
        <f t="shared" si="35"/>
        <v>0</v>
      </c>
      <c r="K550" s="24">
        <f>IF(CurrentMtgRatesDataTable811[[#This Row],[WA CC]]&lt;&gt;0,D549-CurrentMtgRatesDataTable811[[#This Row],[WA CC]],0)</f>
        <v>0</v>
      </c>
      <c r="L550" s="24">
        <f>IF(CurrentMtgRatesDataTable811[[#This Row],[Servicing Spread]]&lt;=0,L549,CurrentMtgRatesDataTable811[[#This Row],[Servicing Spread]])</f>
        <v>0.90384962704580385</v>
      </c>
      <c r="M550" s="24">
        <f>CurrentMtgRatesDataTable811[[#This Row],[SeriesNumValue]]+CurrentMtgRatesDataTable811[[#This Row],[Servicing Spread Non-Zero]]</f>
        <v>3.4552121174906838</v>
      </c>
    </row>
    <row r="551" spans="2:13" x14ac:dyDescent="0.2">
      <c r="B551" s="27" t="s">
        <v>1232</v>
      </c>
      <c r="C551" s="28">
        <v>2.5731755488249699</v>
      </c>
      <c r="D551" s="26">
        <v>3.48</v>
      </c>
      <c r="E551" s="24">
        <f t="shared" si="32"/>
        <v>2</v>
      </c>
      <c r="F551" s="24">
        <f>VLOOKUP(E551,Q$5:R$11,2,FALSE)</f>
        <v>0.2</v>
      </c>
      <c r="G551" s="24">
        <f t="shared" si="33"/>
        <v>2</v>
      </c>
      <c r="H551" s="24">
        <f>IF(G551&gt;G550,H550+C551*F551,C551*F551)</f>
        <v>1.0249076078539701</v>
      </c>
      <c r="I551" s="24">
        <f t="shared" si="34"/>
        <v>0.4</v>
      </c>
      <c r="J551" s="24">
        <f t="shared" si="35"/>
        <v>0</v>
      </c>
      <c r="K551" s="24">
        <f>IF(CurrentMtgRatesDataTable811[[#This Row],[WA CC]]&lt;&gt;0,D550-CurrentMtgRatesDataTable811[[#This Row],[WA CC]],0)</f>
        <v>0</v>
      </c>
      <c r="L551" s="24">
        <f>IF(CurrentMtgRatesDataTable811[[#This Row],[Servicing Spread]]&lt;=0,L550,CurrentMtgRatesDataTable811[[#This Row],[Servicing Spread]])</f>
        <v>0.90384962704580385</v>
      </c>
      <c r="M551" s="24">
        <f>CurrentMtgRatesDataTable811[[#This Row],[SeriesNumValue]]+CurrentMtgRatesDataTable811[[#This Row],[Servicing Spread Non-Zero]]</f>
        <v>3.4770251758707738</v>
      </c>
    </row>
    <row r="552" spans="2:13" x14ac:dyDescent="0.2">
      <c r="B552" s="27" t="s">
        <v>1233</v>
      </c>
      <c r="C552" s="28">
        <v>2.56530846465939</v>
      </c>
      <c r="D552" s="26">
        <v>3.48</v>
      </c>
      <c r="E552" s="24">
        <f t="shared" si="32"/>
        <v>5</v>
      </c>
      <c r="F552" s="24">
        <f>VLOOKUP(E552,Q$5:R$11,2,FALSE)</f>
        <v>0.2</v>
      </c>
      <c r="G552" s="24">
        <f t="shared" si="33"/>
        <v>3</v>
      </c>
      <c r="H552" s="24">
        <f>IF(G552&gt;G551,H551+C552*F552,C552*F552)</f>
        <v>1.5379693007858481</v>
      </c>
      <c r="I552" s="24">
        <f t="shared" si="34"/>
        <v>0.60000000000000009</v>
      </c>
      <c r="J552" s="24">
        <f t="shared" si="35"/>
        <v>0</v>
      </c>
      <c r="K552" s="24">
        <f>IF(CurrentMtgRatesDataTable811[[#This Row],[WA CC]]&lt;&gt;0,D551-CurrentMtgRatesDataTable811[[#This Row],[WA CC]],0)</f>
        <v>0</v>
      </c>
      <c r="L552" s="24">
        <f>IF(CurrentMtgRatesDataTable811[[#This Row],[Servicing Spread]]&lt;=0,L551,CurrentMtgRatesDataTable811[[#This Row],[Servicing Spread]])</f>
        <v>0.90384962704580385</v>
      </c>
      <c r="M552" s="24">
        <f>CurrentMtgRatesDataTable811[[#This Row],[SeriesNumValue]]+CurrentMtgRatesDataTable811[[#This Row],[Servicing Spread Non-Zero]]</f>
        <v>3.4691580917051938</v>
      </c>
    </row>
    <row r="553" spans="2:13" x14ac:dyDescent="0.2">
      <c r="B553" s="27" t="s">
        <v>1234</v>
      </c>
      <c r="C553" s="28">
        <v>2.6070118411689598</v>
      </c>
      <c r="D553" s="26">
        <v>3.48</v>
      </c>
      <c r="E553" s="24">
        <f t="shared" si="32"/>
        <v>6</v>
      </c>
      <c r="F553" s="24">
        <f>VLOOKUP(E553,Q$5:R$11,2,FALSE)</f>
        <v>0.2</v>
      </c>
      <c r="G553" s="24">
        <f t="shared" si="33"/>
        <v>4</v>
      </c>
      <c r="H553" s="24">
        <f>IF(G553&gt;G552,H552+C553*F553,C553*F553)</f>
        <v>2.0593716690196402</v>
      </c>
      <c r="I553" s="24">
        <f t="shared" si="34"/>
        <v>0.8</v>
      </c>
      <c r="J553" s="24">
        <f t="shared" si="35"/>
        <v>0</v>
      </c>
      <c r="K553" s="24">
        <f>IF(CurrentMtgRatesDataTable811[[#This Row],[WA CC]]&lt;&gt;0,D552-CurrentMtgRatesDataTable811[[#This Row],[WA CC]],0)</f>
        <v>0</v>
      </c>
      <c r="L553" s="24">
        <f>IF(CurrentMtgRatesDataTable811[[#This Row],[Servicing Spread]]&lt;=0,L552,CurrentMtgRatesDataTable811[[#This Row],[Servicing Spread]])</f>
        <v>0.90384962704580385</v>
      </c>
      <c r="M553" s="24">
        <f>CurrentMtgRatesDataTable811[[#This Row],[SeriesNumValue]]+CurrentMtgRatesDataTable811[[#This Row],[Servicing Spread Non-Zero]]</f>
        <v>3.5108614682147636</v>
      </c>
    </row>
    <row r="554" spans="2:13" x14ac:dyDescent="0.2">
      <c r="B554" s="27" t="s">
        <v>1235</v>
      </c>
      <c r="C554" s="28">
        <v>2.6537197373142098</v>
      </c>
      <c r="D554" s="26">
        <v>3.48</v>
      </c>
      <c r="E554" s="24">
        <f t="shared" si="32"/>
        <v>7</v>
      </c>
      <c r="F554" s="24">
        <f>VLOOKUP(E554,Q$5:R$11,2,FALSE)</f>
        <v>0.2</v>
      </c>
      <c r="G554" s="24">
        <f t="shared" si="33"/>
        <v>5</v>
      </c>
      <c r="H554" s="24">
        <f>IF(G554&gt;G553,H553+C554*F554,C554*F554)</f>
        <v>2.5901156164824823</v>
      </c>
      <c r="I554" s="24">
        <f t="shared" si="34"/>
        <v>1</v>
      </c>
      <c r="J554" s="24">
        <f t="shared" si="35"/>
        <v>2.5901156164824823</v>
      </c>
      <c r="K554" s="24">
        <f>IF(CurrentMtgRatesDataTable811[[#This Row],[WA CC]]&lt;&gt;0,D553-CurrentMtgRatesDataTable811[[#This Row],[WA CC]],0)</f>
        <v>0.88988438351751764</v>
      </c>
      <c r="L554" s="24">
        <f>IF(CurrentMtgRatesDataTable811[[#This Row],[Servicing Spread]]&lt;=0,L553,CurrentMtgRatesDataTable811[[#This Row],[Servicing Spread]])</f>
        <v>0.88988438351751764</v>
      </c>
      <c r="M554" s="24">
        <f>CurrentMtgRatesDataTable811[[#This Row],[SeriesNumValue]]+CurrentMtgRatesDataTable811[[#This Row],[Servicing Spread Non-Zero]]</f>
        <v>3.5436041208317275</v>
      </c>
    </row>
    <row r="555" spans="2:13" x14ac:dyDescent="0.2">
      <c r="B555" s="27" t="s">
        <v>1236</v>
      </c>
      <c r="C555" s="28">
        <v>2.6085491789438602</v>
      </c>
      <c r="D555" s="26">
        <v>3.5100000000000002</v>
      </c>
      <c r="E555" s="24">
        <f t="shared" si="32"/>
        <v>1</v>
      </c>
      <c r="F555" s="24">
        <f>VLOOKUP(E555,Q$5:R$11,2,FALSE)</f>
        <v>0.2</v>
      </c>
      <c r="G555" s="24">
        <f t="shared" si="33"/>
        <v>1</v>
      </c>
      <c r="H555" s="24">
        <f>IF(G555&gt;G554,H554+C555*F555,C555*F555)</f>
        <v>0.52170983578877206</v>
      </c>
      <c r="I555" s="24">
        <f t="shared" si="34"/>
        <v>0.2</v>
      </c>
      <c r="J555" s="24">
        <f t="shared" si="35"/>
        <v>0</v>
      </c>
      <c r="K555" s="24">
        <f>IF(CurrentMtgRatesDataTable811[[#This Row],[WA CC]]&lt;&gt;0,D554-CurrentMtgRatesDataTable811[[#This Row],[WA CC]],0)</f>
        <v>0</v>
      </c>
      <c r="L555" s="24">
        <f>IF(CurrentMtgRatesDataTable811[[#This Row],[Servicing Spread]]&lt;=0,L554,CurrentMtgRatesDataTable811[[#This Row],[Servicing Spread]])</f>
        <v>0.88988438351751764</v>
      </c>
      <c r="M555" s="24">
        <f>CurrentMtgRatesDataTable811[[#This Row],[SeriesNumValue]]+CurrentMtgRatesDataTable811[[#This Row],[Servicing Spread Non-Zero]]</f>
        <v>3.4984335624613778</v>
      </c>
    </row>
    <row r="556" spans="2:13" x14ac:dyDescent="0.2">
      <c r="B556" s="27" t="s">
        <v>1237</v>
      </c>
      <c r="C556" s="28">
        <v>2.6207856725732901</v>
      </c>
      <c r="D556" s="26">
        <v>3.5100000000000002</v>
      </c>
      <c r="E556" s="24">
        <f t="shared" si="32"/>
        <v>2</v>
      </c>
      <c r="F556" s="24">
        <f>VLOOKUP(E556,Q$5:R$11,2,FALSE)</f>
        <v>0.2</v>
      </c>
      <c r="G556" s="24">
        <f t="shared" si="33"/>
        <v>2</v>
      </c>
      <c r="H556" s="24">
        <f>IF(G556&gt;G555,H555+C556*F556,C556*F556)</f>
        <v>1.0458669703034302</v>
      </c>
      <c r="I556" s="24">
        <f t="shared" si="34"/>
        <v>0.4</v>
      </c>
      <c r="J556" s="24">
        <f t="shared" si="35"/>
        <v>0</v>
      </c>
      <c r="K556" s="24">
        <f>IF(CurrentMtgRatesDataTable811[[#This Row],[WA CC]]&lt;&gt;0,D555-CurrentMtgRatesDataTable811[[#This Row],[WA CC]],0)</f>
        <v>0</v>
      </c>
      <c r="L556" s="24">
        <f>IF(CurrentMtgRatesDataTable811[[#This Row],[Servicing Spread]]&lt;=0,L555,CurrentMtgRatesDataTable811[[#This Row],[Servicing Spread]])</f>
        <v>0.88988438351751764</v>
      </c>
      <c r="M556" s="24">
        <f>CurrentMtgRatesDataTable811[[#This Row],[SeriesNumValue]]+CurrentMtgRatesDataTable811[[#This Row],[Servicing Spread Non-Zero]]</f>
        <v>3.5106700560908077</v>
      </c>
    </row>
    <row r="557" spans="2:13" x14ac:dyDescent="0.2">
      <c r="B557" s="27" t="s">
        <v>1238</v>
      </c>
      <c r="C557" s="28">
        <v>2.6380211947179002</v>
      </c>
      <c r="D557" s="26">
        <v>3.5100000000000002</v>
      </c>
      <c r="E557" s="24">
        <f t="shared" si="32"/>
        <v>6</v>
      </c>
      <c r="F557" s="24">
        <f>VLOOKUP(E557,Q$5:R$11,2,FALSE)</f>
        <v>0.2</v>
      </c>
      <c r="G557" s="24">
        <f t="shared" si="33"/>
        <v>3</v>
      </c>
      <c r="H557" s="24">
        <f>IF(G557&gt;G556,H556+C557*F557,C557*F557)</f>
        <v>1.5734712092470104</v>
      </c>
      <c r="I557" s="24">
        <f t="shared" si="34"/>
        <v>0.60000000000000009</v>
      </c>
      <c r="J557" s="24">
        <f t="shared" si="35"/>
        <v>0</v>
      </c>
      <c r="K557" s="24">
        <f>IF(CurrentMtgRatesDataTable811[[#This Row],[WA CC]]&lt;&gt;0,D556-CurrentMtgRatesDataTable811[[#This Row],[WA CC]],0)</f>
        <v>0</v>
      </c>
      <c r="L557" s="24">
        <f>IF(CurrentMtgRatesDataTable811[[#This Row],[Servicing Spread]]&lt;=0,L556,CurrentMtgRatesDataTable811[[#This Row],[Servicing Spread]])</f>
        <v>0.88988438351751764</v>
      </c>
      <c r="M557" s="24">
        <f>CurrentMtgRatesDataTable811[[#This Row],[SeriesNumValue]]+CurrentMtgRatesDataTable811[[#This Row],[Servicing Spread Non-Zero]]</f>
        <v>3.5279055782354178</v>
      </c>
    </row>
    <row r="558" spans="2:13" x14ac:dyDescent="0.2">
      <c r="B558" s="27" t="s">
        <v>1239</v>
      </c>
      <c r="C558" s="28">
        <v>2.63796949913782</v>
      </c>
      <c r="D558" s="26">
        <v>3.5100000000000002</v>
      </c>
      <c r="E558" s="24">
        <f t="shared" si="32"/>
        <v>7</v>
      </c>
      <c r="F558" s="24">
        <f>VLOOKUP(E558,Q$5:R$11,2,FALSE)</f>
        <v>0.2</v>
      </c>
      <c r="G558" s="24">
        <f t="shared" si="33"/>
        <v>4</v>
      </c>
      <c r="H558" s="24">
        <f>IF(G558&gt;G557,H557+C558*F558,C558*F558)</f>
        <v>2.1010651090745744</v>
      </c>
      <c r="I558" s="24">
        <f t="shared" si="34"/>
        <v>0.8</v>
      </c>
      <c r="J558" s="24">
        <f t="shared" si="35"/>
        <v>2.6263313863432178</v>
      </c>
      <c r="K558" s="24">
        <f>IF(CurrentMtgRatesDataTable811[[#This Row],[WA CC]]&lt;&gt;0,D557-CurrentMtgRatesDataTable811[[#This Row],[WA CC]],0)</f>
        <v>0.8836686136567824</v>
      </c>
      <c r="L558" s="24">
        <f>IF(CurrentMtgRatesDataTable811[[#This Row],[Servicing Spread]]&lt;=0,L557,CurrentMtgRatesDataTable811[[#This Row],[Servicing Spread]])</f>
        <v>0.8836686136567824</v>
      </c>
      <c r="M558" s="24">
        <f>CurrentMtgRatesDataTable811[[#This Row],[SeriesNumValue]]+CurrentMtgRatesDataTable811[[#This Row],[Servicing Spread Non-Zero]]</f>
        <v>3.5216381127946024</v>
      </c>
    </row>
    <row r="559" spans="2:13" x14ac:dyDescent="0.2">
      <c r="B559" s="27" t="s">
        <v>1240</v>
      </c>
      <c r="C559" s="28">
        <v>2.6257405351132901</v>
      </c>
      <c r="D559" s="26">
        <v>3.46</v>
      </c>
      <c r="E559" s="24">
        <f t="shared" si="32"/>
        <v>1</v>
      </c>
      <c r="F559" s="24">
        <f>VLOOKUP(E559,Q$5:R$11,2,FALSE)</f>
        <v>0.2</v>
      </c>
      <c r="G559" s="24">
        <f t="shared" si="33"/>
        <v>1</v>
      </c>
      <c r="H559" s="24">
        <f>IF(G559&gt;G558,H558+C559*F559,C559*F559)</f>
        <v>0.52514810702265802</v>
      </c>
      <c r="I559" s="24">
        <f t="shared" si="34"/>
        <v>0.2</v>
      </c>
      <c r="J559" s="24">
        <f t="shared" si="35"/>
        <v>0</v>
      </c>
      <c r="K559" s="24">
        <f>IF(CurrentMtgRatesDataTable811[[#This Row],[WA CC]]&lt;&gt;0,D558-CurrentMtgRatesDataTable811[[#This Row],[WA CC]],0)</f>
        <v>0</v>
      </c>
      <c r="L559" s="24">
        <f>IF(CurrentMtgRatesDataTable811[[#This Row],[Servicing Spread]]&lt;=0,L558,CurrentMtgRatesDataTable811[[#This Row],[Servicing Spread]])</f>
        <v>0.8836686136567824</v>
      </c>
      <c r="M559" s="24">
        <f>CurrentMtgRatesDataTable811[[#This Row],[SeriesNumValue]]+CurrentMtgRatesDataTable811[[#This Row],[Servicing Spread Non-Zero]]</f>
        <v>3.5094091487700725</v>
      </c>
    </row>
    <row r="560" spans="2:13" x14ac:dyDescent="0.2">
      <c r="B560" s="27" t="s">
        <v>1241</v>
      </c>
      <c r="C560" s="28">
        <v>2.6251399034844098</v>
      </c>
      <c r="D560" s="26">
        <v>3.46</v>
      </c>
      <c r="E560" s="24">
        <f t="shared" si="32"/>
        <v>2</v>
      </c>
      <c r="F560" s="24">
        <f>VLOOKUP(E560,Q$5:R$11,2,FALSE)</f>
        <v>0.2</v>
      </c>
      <c r="G560" s="24">
        <f t="shared" si="33"/>
        <v>2</v>
      </c>
      <c r="H560" s="24">
        <f>IF(G560&gt;G559,H559+C560*F560,C560*F560)</f>
        <v>1.0501760877195401</v>
      </c>
      <c r="I560" s="24">
        <f t="shared" si="34"/>
        <v>0.4</v>
      </c>
      <c r="J560" s="24">
        <f t="shared" si="35"/>
        <v>0</v>
      </c>
      <c r="K560" s="24">
        <f>IF(CurrentMtgRatesDataTable811[[#This Row],[WA CC]]&lt;&gt;0,D559-CurrentMtgRatesDataTable811[[#This Row],[WA CC]],0)</f>
        <v>0</v>
      </c>
      <c r="L560" s="24">
        <f>IF(CurrentMtgRatesDataTable811[[#This Row],[Servicing Spread]]&lt;=0,L559,CurrentMtgRatesDataTable811[[#This Row],[Servicing Spread]])</f>
        <v>0.8836686136567824</v>
      </c>
      <c r="M560" s="24">
        <f>CurrentMtgRatesDataTable811[[#This Row],[SeriesNumValue]]+CurrentMtgRatesDataTable811[[#This Row],[Servicing Spread Non-Zero]]</f>
        <v>3.5088085171411922</v>
      </c>
    </row>
    <row r="561" spans="2:13" x14ac:dyDescent="0.2">
      <c r="B561" s="27" t="s">
        <v>1242</v>
      </c>
      <c r="C561" s="28">
        <v>2.5578588429933502</v>
      </c>
      <c r="D561" s="26">
        <v>3.46</v>
      </c>
      <c r="E561" s="24">
        <f t="shared" si="32"/>
        <v>5</v>
      </c>
      <c r="F561" s="24">
        <f>VLOOKUP(E561,Q$5:R$11,2,FALSE)</f>
        <v>0.2</v>
      </c>
      <c r="G561" s="24">
        <f t="shared" si="33"/>
        <v>3</v>
      </c>
      <c r="H561" s="24">
        <f>IF(G561&gt;G560,H560+C561*F561,C561*F561)</f>
        <v>1.5617478563182101</v>
      </c>
      <c r="I561" s="24">
        <f t="shared" si="34"/>
        <v>0.60000000000000009</v>
      </c>
      <c r="J561" s="24">
        <f t="shared" si="35"/>
        <v>0</v>
      </c>
      <c r="K561" s="24">
        <f>IF(CurrentMtgRatesDataTable811[[#This Row],[WA CC]]&lt;&gt;0,D560-CurrentMtgRatesDataTable811[[#This Row],[WA CC]],0)</f>
        <v>0</v>
      </c>
      <c r="L561" s="24">
        <f>IF(CurrentMtgRatesDataTable811[[#This Row],[Servicing Spread]]&lt;=0,L560,CurrentMtgRatesDataTable811[[#This Row],[Servicing Spread]])</f>
        <v>0.8836686136567824</v>
      </c>
      <c r="M561" s="24">
        <f>CurrentMtgRatesDataTable811[[#This Row],[SeriesNumValue]]+CurrentMtgRatesDataTable811[[#This Row],[Servicing Spread Non-Zero]]</f>
        <v>3.4415274566501326</v>
      </c>
    </row>
    <row r="562" spans="2:13" x14ac:dyDescent="0.2">
      <c r="B562" s="27" t="s">
        <v>1243</v>
      </c>
      <c r="C562" s="28">
        <v>2.5389569445759999</v>
      </c>
      <c r="D562" s="26">
        <v>3.46</v>
      </c>
      <c r="E562" s="24">
        <f t="shared" si="32"/>
        <v>6</v>
      </c>
      <c r="F562" s="24">
        <f>VLOOKUP(E562,Q$5:R$11,2,FALSE)</f>
        <v>0.2</v>
      </c>
      <c r="G562" s="24">
        <f t="shared" si="33"/>
        <v>4</v>
      </c>
      <c r="H562" s="24">
        <f>IF(G562&gt;G561,H561+C562*F562,C562*F562)</f>
        <v>2.0695392452334103</v>
      </c>
      <c r="I562" s="24">
        <f t="shared" si="34"/>
        <v>0.8</v>
      </c>
      <c r="J562" s="24">
        <f t="shared" si="35"/>
        <v>0</v>
      </c>
      <c r="K562" s="24">
        <f>IF(CurrentMtgRatesDataTable811[[#This Row],[WA CC]]&lt;&gt;0,D561-CurrentMtgRatesDataTable811[[#This Row],[WA CC]],0)</f>
        <v>0</v>
      </c>
      <c r="L562" s="24">
        <f>IF(CurrentMtgRatesDataTable811[[#This Row],[Servicing Spread]]&lt;=0,L561,CurrentMtgRatesDataTable811[[#This Row],[Servicing Spread]])</f>
        <v>0.8836686136567824</v>
      </c>
      <c r="M562" s="24">
        <f>CurrentMtgRatesDataTable811[[#This Row],[SeriesNumValue]]+CurrentMtgRatesDataTable811[[#This Row],[Servicing Spread Non-Zero]]</f>
        <v>3.4226255582327823</v>
      </c>
    </row>
    <row r="563" spans="2:13" x14ac:dyDescent="0.2">
      <c r="B563" s="27" t="s">
        <v>1244</v>
      </c>
      <c r="C563" s="28">
        <v>2.5732198821136101</v>
      </c>
      <c r="D563" s="26">
        <v>3.46</v>
      </c>
      <c r="E563" s="24">
        <f t="shared" si="32"/>
        <v>7</v>
      </c>
      <c r="F563" s="24">
        <f>VLOOKUP(E563,Q$5:R$11,2,FALSE)</f>
        <v>0.2</v>
      </c>
      <c r="G563" s="24">
        <f t="shared" si="33"/>
        <v>5</v>
      </c>
      <c r="H563" s="24">
        <f>IF(G563&gt;G562,H562+C563*F563,C563*F563)</f>
        <v>2.5841832216561325</v>
      </c>
      <c r="I563" s="24">
        <f t="shared" si="34"/>
        <v>1</v>
      </c>
      <c r="J563" s="24">
        <f t="shared" si="35"/>
        <v>2.5841832216561325</v>
      </c>
      <c r="K563" s="24">
        <f>IF(CurrentMtgRatesDataTable811[[#This Row],[WA CC]]&lt;&gt;0,D562-CurrentMtgRatesDataTable811[[#This Row],[WA CC]],0)</f>
        <v>0.87581677834386751</v>
      </c>
      <c r="L563" s="24">
        <f>IF(CurrentMtgRatesDataTable811[[#This Row],[Servicing Spread]]&lt;=0,L562,CurrentMtgRatesDataTable811[[#This Row],[Servicing Spread]])</f>
        <v>0.87581677834386751</v>
      </c>
      <c r="M563" s="24">
        <f>CurrentMtgRatesDataTable811[[#This Row],[SeriesNumValue]]+CurrentMtgRatesDataTable811[[#This Row],[Servicing Spread Non-Zero]]</f>
        <v>3.4490366604574776</v>
      </c>
    </row>
    <row r="564" spans="2:13" x14ac:dyDescent="0.2">
      <c r="B564" s="27" t="s">
        <v>1245</v>
      </c>
      <c r="C564" s="28">
        <v>2.5448374323223399</v>
      </c>
      <c r="D564" s="26">
        <v>3.4449999999999998</v>
      </c>
      <c r="E564" s="24">
        <f t="shared" si="32"/>
        <v>1</v>
      </c>
      <c r="F564" s="24">
        <f>VLOOKUP(E564,Q$5:R$11,2,FALSE)</f>
        <v>0.2</v>
      </c>
      <c r="G564" s="24">
        <f t="shared" si="33"/>
        <v>1</v>
      </c>
      <c r="H564" s="24">
        <f>IF(G564&gt;G563,H563+C564*F564,C564*F564)</f>
        <v>0.50896748646446799</v>
      </c>
      <c r="I564" s="24">
        <f t="shared" si="34"/>
        <v>0.2</v>
      </c>
      <c r="J564" s="24">
        <f t="shared" si="35"/>
        <v>0</v>
      </c>
      <c r="K564" s="24">
        <f>IF(CurrentMtgRatesDataTable811[[#This Row],[WA CC]]&lt;&gt;0,D563-CurrentMtgRatesDataTable811[[#This Row],[WA CC]],0)</f>
        <v>0</v>
      </c>
      <c r="L564" s="24">
        <f>IF(CurrentMtgRatesDataTable811[[#This Row],[Servicing Spread]]&lt;=0,L563,CurrentMtgRatesDataTable811[[#This Row],[Servicing Spread]])</f>
        <v>0.87581677834386751</v>
      </c>
      <c r="M564" s="24">
        <f>CurrentMtgRatesDataTable811[[#This Row],[SeriesNumValue]]+CurrentMtgRatesDataTable811[[#This Row],[Servicing Spread Non-Zero]]</f>
        <v>3.4206542106662075</v>
      </c>
    </row>
    <row r="565" spans="2:13" x14ac:dyDescent="0.2">
      <c r="B565" s="27" t="s">
        <v>1246</v>
      </c>
      <c r="C565" s="28">
        <v>2.5299300395983999</v>
      </c>
      <c r="D565" s="26">
        <v>3.4449999999999998</v>
      </c>
      <c r="E565" s="24">
        <f t="shared" si="32"/>
        <v>2</v>
      </c>
      <c r="F565" s="24">
        <f>VLOOKUP(E565,Q$5:R$11,2,FALSE)</f>
        <v>0.2</v>
      </c>
      <c r="G565" s="24">
        <f t="shared" si="33"/>
        <v>2</v>
      </c>
      <c r="H565" s="24">
        <f>IF(G565&gt;G564,H564+C565*F565,C565*F565)</f>
        <v>1.0149534943841481</v>
      </c>
      <c r="I565" s="24">
        <f t="shared" si="34"/>
        <v>0.4</v>
      </c>
      <c r="J565" s="24">
        <f t="shared" si="35"/>
        <v>0</v>
      </c>
      <c r="K565" s="24">
        <f>IF(CurrentMtgRatesDataTable811[[#This Row],[WA CC]]&lt;&gt;0,D564-CurrentMtgRatesDataTable811[[#This Row],[WA CC]],0)</f>
        <v>0</v>
      </c>
      <c r="L565" s="24">
        <f>IF(CurrentMtgRatesDataTable811[[#This Row],[Servicing Spread]]&lt;=0,L564,CurrentMtgRatesDataTable811[[#This Row],[Servicing Spread]])</f>
        <v>0.87581677834386751</v>
      </c>
      <c r="M565" s="24">
        <f>CurrentMtgRatesDataTable811[[#This Row],[SeriesNumValue]]+CurrentMtgRatesDataTable811[[#This Row],[Servicing Spread Non-Zero]]</f>
        <v>3.4057468179422674</v>
      </c>
    </row>
    <row r="566" spans="2:13" x14ac:dyDescent="0.2">
      <c r="B566" s="27" t="s">
        <v>1247</v>
      </c>
      <c r="C566" s="28">
        <v>2.5457760046441602</v>
      </c>
      <c r="D566" s="26">
        <v>3.4449999999999998</v>
      </c>
      <c r="E566" s="24">
        <f t="shared" si="32"/>
        <v>5</v>
      </c>
      <c r="F566" s="24">
        <f>VLOOKUP(E566,Q$5:R$11,2,FALSE)</f>
        <v>0.2</v>
      </c>
      <c r="G566" s="24">
        <f t="shared" si="33"/>
        <v>3</v>
      </c>
      <c r="H566" s="24">
        <f>IF(G566&gt;G565,H565+C566*F566,C566*F566)</f>
        <v>1.5241086953129801</v>
      </c>
      <c r="I566" s="24">
        <f t="shared" si="34"/>
        <v>0.60000000000000009</v>
      </c>
      <c r="J566" s="24">
        <f t="shared" si="35"/>
        <v>0</v>
      </c>
      <c r="K566" s="24">
        <f>IF(CurrentMtgRatesDataTable811[[#This Row],[WA CC]]&lt;&gt;0,D565-CurrentMtgRatesDataTable811[[#This Row],[WA CC]],0)</f>
        <v>0</v>
      </c>
      <c r="L566" s="24">
        <f>IF(CurrentMtgRatesDataTable811[[#This Row],[Servicing Spread]]&lt;=0,L565,CurrentMtgRatesDataTable811[[#This Row],[Servicing Spread]])</f>
        <v>0.87581677834386751</v>
      </c>
      <c r="M566" s="24">
        <f>CurrentMtgRatesDataTable811[[#This Row],[SeriesNumValue]]+CurrentMtgRatesDataTable811[[#This Row],[Servicing Spread Non-Zero]]</f>
        <v>3.4215927829880277</v>
      </c>
    </row>
    <row r="567" spans="2:13" x14ac:dyDescent="0.2">
      <c r="B567" s="27" t="s">
        <v>1248</v>
      </c>
      <c r="C567" s="28">
        <v>2.56075645776348</v>
      </c>
      <c r="D567" s="26">
        <v>3.4449999999999998</v>
      </c>
      <c r="E567" s="24">
        <f t="shared" si="32"/>
        <v>6</v>
      </c>
      <c r="F567" s="24">
        <f>VLOOKUP(E567,Q$5:R$11,2,FALSE)</f>
        <v>0.2</v>
      </c>
      <c r="G567" s="24">
        <f t="shared" si="33"/>
        <v>4</v>
      </c>
      <c r="H567" s="24">
        <f>IF(G567&gt;G566,H566+C567*F567,C567*F567)</f>
        <v>2.0362599868656761</v>
      </c>
      <c r="I567" s="24">
        <f t="shared" si="34"/>
        <v>0.8</v>
      </c>
      <c r="J567" s="24">
        <f t="shared" si="35"/>
        <v>0</v>
      </c>
      <c r="K567" s="24">
        <f>IF(CurrentMtgRatesDataTable811[[#This Row],[WA CC]]&lt;&gt;0,D566-CurrentMtgRatesDataTable811[[#This Row],[WA CC]],0)</f>
        <v>0</v>
      </c>
      <c r="L567" s="24">
        <f>IF(CurrentMtgRatesDataTable811[[#This Row],[Servicing Spread]]&lt;=0,L566,CurrentMtgRatesDataTable811[[#This Row],[Servicing Spread]])</f>
        <v>0.87581677834386751</v>
      </c>
      <c r="M567" s="24">
        <f>CurrentMtgRatesDataTable811[[#This Row],[SeriesNumValue]]+CurrentMtgRatesDataTable811[[#This Row],[Servicing Spread Non-Zero]]</f>
        <v>3.4365732361073476</v>
      </c>
    </row>
    <row r="568" spans="2:13" x14ac:dyDescent="0.2">
      <c r="B568" s="27" t="s">
        <v>1249</v>
      </c>
      <c r="C568" s="28">
        <v>2.6125524232747801</v>
      </c>
      <c r="D568" s="26">
        <v>3.4449999999999998</v>
      </c>
      <c r="E568" s="24">
        <f t="shared" si="32"/>
        <v>7</v>
      </c>
      <c r="F568" s="24">
        <f>VLOOKUP(E568,Q$5:R$11,2,FALSE)</f>
        <v>0.2</v>
      </c>
      <c r="G568" s="24">
        <f t="shared" si="33"/>
        <v>5</v>
      </c>
      <c r="H568" s="24">
        <f>IF(G568&gt;G567,H567+C568*F568,C568*F568)</f>
        <v>2.5587704715206323</v>
      </c>
      <c r="I568" s="24">
        <f t="shared" si="34"/>
        <v>1</v>
      </c>
      <c r="J568" s="24">
        <f t="shared" si="35"/>
        <v>2.5587704715206323</v>
      </c>
      <c r="K568" s="24">
        <f>IF(CurrentMtgRatesDataTable811[[#This Row],[WA CC]]&lt;&gt;0,D567-CurrentMtgRatesDataTable811[[#This Row],[WA CC]],0)</f>
        <v>0.88622952847936753</v>
      </c>
      <c r="L568" s="24">
        <f>IF(CurrentMtgRatesDataTable811[[#This Row],[Servicing Spread]]&lt;=0,L567,CurrentMtgRatesDataTable811[[#This Row],[Servicing Spread]])</f>
        <v>0.88622952847936753</v>
      </c>
      <c r="M568" s="24">
        <f>CurrentMtgRatesDataTable811[[#This Row],[SeriesNumValue]]+CurrentMtgRatesDataTable811[[#This Row],[Servicing Spread Non-Zero]]</f>
        <v>3.4987819517541476</v>
      </c>
    </row>
    <row r="569" spans="2:13" x14ac:dyDescent="0.2">
      <c r="B569" s="27" t="s">
        <v>1250</v>
      </c>
      <c r="C569" s="28">
        <v>2.6733074908689098</v>
      </c>
      <c r="D569" s="26">
        <v>3.58</v>
      </c>
      <c r="E569" s="24">
        <f t="shared" si="32"/>
        <v>1</v>
      </c>
      <c r="F569" s="24">
        <f>VLOOKUP(E569,Q$5:R$11,2,FALSE)</f>
        <v>0.2</v>
      </c>
      <c r="G569" s="24">
        <f t="shared" si="33"/>
        <v>1</v>
      </c>
      <c r="H569" s="24">
        <f>IF(G569&gt;G568,H568+C569*F569,C569*F569)</f>
        <v>0.53466149817378195</v>
      </c>
      <c r="I569" s="24">
        <f t="shared" si="34"/>
        <v>0.2</v>
      </c>
      <c r="J569" s="24">
        <f t="shared" si="35"/>
        <v>0</v>
      </c>
      <c r="K569" s="24">
        <f>IF(CurrentMtgRatesDataTable811[[#This Row],[WA CC]]&lt;&gt;0,D568-CurrentMtgRatesDataTable811[[#This Row],[WA CC]],0)</f>
        <v>0</v>
      </c>
      <c r="L569" s="24">
        <f>IF(CurrentMtgRatesDataTable811[[#This Row],[Servicing Spread]]&lt;=0,L568,CurrentMtgRatesDataTable811[[#This Row],[Servicing Spread]])</f>
        <v>0.88622952847936753</v>
      </c>
      <c r="M569" s="24">
        <f>CurrentMtgRatesDataTable811[[#This Row],[SeriesNumValue]]+CurrentMtgRatesDataTable811[[#This Row],[Servicing Spread Non-Zero]]</f>
        <v>3.5595370193482774</v>
      </c>
    </row>
    <row r="570" spans="2:13" x14ac:dyDescent="0.2">
      <c r="B570" s="27" t="s">
        <v>1251</v>
      </c>
      <c r="C570" s="28">
        <v>2.7519155244705402</v>
      </c>
      <c r="D570" s="26">
        <v>3.58</v>
      </c>
      <c r="E570" s="24">
        <f t="shared" si="32"/>
        <v>2</v>
      </c>
      <c r="F570" s="24">
        <f>VLOOKUP(E570,Q$5:R$11,2,FALSE)</f>
        <v>0.2</v>
      </c>
      <c r="G570" s="24">
        <f t="shared" si="33"/>
        <v>2</v>
      </c>
      <c r="H570" s="24">
        <f>IF(G570&gt;G569,H569+C570*F570,C570*F570)</f>
        <v>1.08504460306789</v>
      </c>
      <c r="I570" s="24">
        <f t="shared" si="34"/>
        <v>0.4</v>
      </c>
      <c r="J570" s="24">
        <f t="shared" si="35"/>
        <v>0</v>
      </c>
      <c r="K570" s="24">
        <f>IF(CurrentMtgRatesDataTable811[[#This Row],[WA CC]]&lt;&gt;0,D569-CurrentMtgRatesDataTable811[[#This Row],[WA CC]],0)</f>
        <v>0</v>
      </c>
      <c r="L570" s="24">
        <f>IF(CurrentMtgRatesDataTable811[[#This Row],[Servicing Spread]]&lt;=0,L569,CurrentMtgRatesDataTable811[[#This Row],[Servicing Spread]])</f>
        <v>0.88622952847936753</v>
      </c>
      <c r="M570" s="24">
        <f>CurrentMtgRatesDataTable811[[#This Row],[SeriesNumValue]]+CurrentMtgRatesDataTable811[[#This Row],[Servicing Spread Non-Zero]]</f>
        <v>3.6381450529499078</v>
      </c>
    </row>
    <row r="571" spans="2:13" x14ac:dyDescent="0.2">
      <c r="B571" s="27" t="s">
        <v>1252</v>
      </c>
      <c r="C571" s="28">
        <v>2.7399845789483299</v>
      </c>
      <c r="D571" s="26">
        <v>3.58</v>
      </c>
      <c r="E571" s="24">
        <f t="shared" si="32"/>
        <v>5</v>
      </c>
      <c r="F571" s="24">
        <f>VLOOKUP(E571,Q$5:R$11,2,FALSE)</f>
        <v>0.2</v>
      </c>
      <c r="G571" s="24">
        <f t="shared" si="33"/>
        <v>3</v>
      </c>
      <c r="H571" s="24">
        <f>IF(G571&gt;G570,H570+C571*F571,C571*F571)</f>
        <v>1.633041518857556</v>
      </c>
      <c r="I571" s="24">
        <f t="shared" si="34"/>
        <v>0.60000000000000009</v>
      </c>
      <c r="J571" s="24">
        <f t="shared" si="35"/>
        <v>0</v>
      </c>
      <c r="K571" s="24">
        <f>IF(CurrentMtgRatesDataTable811[[#This Row],[WA CC]]&lt;&gt;0,D570-CurrentMtgRatesDataTable811[[#This Row],[WA CC]],0)</f>
        <v>0</v>
      </c>
      <c r="L571" s="24">
        <f>IF(CurrentMtgRatesDataTable811[[#This Row],[Servicing Spread]]&lt;=0,L570,CurrentMtgRatesDataTable811[[#This Row],[Servicing Spread]])</f>
        <v>0.88622952847936753</v>
      </c>
      <c r="M571" s="24">
        <f>CurrentMtgRatesDataTable811[[#This Row],[SeriesNumValue]]+CurrentMtgRatesDataTable811[[#This Row],[Servicing Spread Non-Zero]]</f>
        <v>3.6262141074276975</v>
      </c>
    </row>
    <row r="572" spans="2:13" x14ac:dyDescent="0.2">
      <c r="B572" s="27" t="s">
        <v>1253</v>
      </c>
      <c r="C572" s="28">
        <v>2.7064552884836801</v>
      </c>
      <c r="D572" s="26">
        <v>3.58</v>
      </c>
      <c r="E572" s="24">
        <f t="shared" si="32"/>
        <v>6</v>
      </c>
      <c r="F572" s="24">
        <f>VLOOKUP(E572,Q$5:R$11,2,FALSE)</f>
        <v>0.2</v>
      </c>
      <c r="G572" s="24">
        <f t="shared" si="33"/>
        <v>4</v>
      </c>
      <c r="H572" s="24">
        <f>IF(G572&gt;G571,H571+C572*F572,C572*F572)</f>
        <v>2.174332576554292</v>
      </c>
      <c r="I572" s="24">
        <f t="shared" si="34"/>
        <v>0.8</v>
      </c>
      <c r="J572" s="24">
        <f t="shared" si="35"/>
        <v>0</v>
      </c>
      <c r="K572" s="24">
        <f>IF(CurrentMtgRatesDataTable811[[#This Row],[WA CC]]&lt;&gt;0,D571-CurrentMtgRatesDataTable811[[#This Row],[WA CC]],0)</f>
        <v>0</v>
      </c>
      <c r="L572" s="24">
        <f>IF(CurrentMtgRatesDataTable811[[#This Row],[Servicing Spread]]&lt;=0,L571,CurrentMtgRatesDataTable811[[#This Row],[Servicing Spread]])</f>
        <v>0.88622952847936753</v>
      </c>
      <c r="M572" s="24">
        <f>CurrentMtgRatesDataTable811[[#This Row],[SeriesNumValue]]+CurrentMtgRatesDataTable811[[#This Row],[Servicing Spread Non-Zero]]</f>
        <v>3.5926848169630476</v>
      </c>
    </row>
    <row r="573" spans="2:13" x14ac:dyDescent="0.2">
      <c r="B573" s="27" t="s">
        <v>1254</v>
      </c>
      <c r="C573" s="28">
        <v>2.70043867478531</v>
      </c>
      <c r="D573" s="26">
        <v>3.58</v>
      </c>
      <c r="E573" s="24">
        <f t="shared" si="32"/>
        <v>7</v>
      </c>
      <c r="F573" s="24">
        <f>VLOOKUP(E573,Q$5:R$11,2,FALSE)</f>
        <v>0.2</v>
      </c>
      <c r="G573" s="24">
        <f t="shared" si="33"/>
        <v>5</v>
      </c>
      <c r="H573" s="24">
        <f>IF(G573&gt;G572,H572+C573*F573,C573*F573)</f>
        <v>2.7144203115113541</v>
      </c>
      <c r="I573" s="24">
        <f t="shared" si="34"/>
        <v>1</v>
      </c>
      <c r="J573" s="24">
        <f t="shared" si="35"/>
        <v>2.7144203115113541</v>
      </c>
      <c r="K573" s="24">
        <f>IF(CurrentMtgRatesDataTable811[[#This Row],[WA CC]]&lt;&gt;0,D572-CurrentMtgRatesDataTable811[[#This Row],[WA CC]],0)</f>
        <v>0.86557968848864597</v>
      </c>
      <c r="L573" s="24">
        <f>IF(CurrentMtgRatesDataTable811[[#This Row],[Servicing Spread]]&lt;=0,L572,CurrentMtgRatesDataTable811[[#This Row],[Servicing Spread]])</f>
        <v>0.86557968848864597</v>
      </c>
      <c r="M573" s="24">
        <f>CurrentMtgRatesDataTable811[[#This Row],[SeriesNumValue]]+CurrentMtgRatesDataTable811[[#This Row],[Servicing Spread Non-Zero]]</f>
        <v>3.5660183632739559</v>
      </c>
    </row>
    <row r="574" spans="2:13" x14ac:dyDescent="0.2">
      <c r="B574" s="27" t="s">
        <v>1255</v>
      </c>
      <c r="C574" s="28">
        <v>2.7054585787984</v>
      </c>
      <c r="D574" s="26">
        <v>3.49</v>
      </c>
      <c r="E574" s="24">
        <f t="shared" si="32"/>
        <v>1</v>
      </c>
      <c r="F574" s="24">
        <f>VLOOKUP(E574,Q$5:R$11,2,FALSE)</f>
        <v>0.2</v>
      </c>
      <c r="G574" s="24">
        <f t="shared" si="33"/>
        <v>1</v>
      </c>
      <c r="H574" s="24">
        <f>IF(G574&gt;G573,H573+C574*F574,C574*F574)</f>
        <v>0.54109171575968007</v>
      </c>
      <c r="I574" s="24">
        <f t="shared" si="34"/>
        <v>0.2</v>
      </c>
      <c r="J574" s="24">
        <f t="shared" si="35"/>
        <v>0</v>
      </c>
      <c r="K574" s="24">
        <f>IF(CurrentMtgRatesDataTable811[[#This Row],[WA CC]]&lt;&gt;0,D573-CurrentMtgRatesDataTable811[[#This Row],[WA CC]],0)</f>
        <v>0</v>
      </c>
      <c r="L574" s="24">
        <f>IF(CurrentMtgRatesDataTable811[[#This Row],[Servicing Spread]]&lt;=0,L573,CurrentMtgRatesDataTable811[[#This Row],[Servicing Spread]])</f>
        <v>0.86557968848864597</v>
      </c>
      <c r="M574" s="24">
        <f>CurrentMtgRatesDataTable811[[#This Row],[SeriesNumValue]]+CurrentMtgRatesDataTable811[[#This Row],[Servicing Spread Non-Zero]]</f>
        <v>3.571038267287046</v>
      </c>
    </row>
    <row r="575" spans="2:13" x14ac:dyDescent="0.2">
      <c r="B575" s="27" t="s">
        <v>1256</v>
      </c>
      <c r="C575" s="28">
        <v>2.6643363272696798</v>
      </c>
      <c r="D575" s="26">
        <v>3.49</v>
      </c>
      <c r="E575" s="24">
        <f t="shared" si="32"/>
        <v>2</v>
      </c>
      <c r="F575" s="24">
        <f>VLOOKUP(E575,Q$5:R$11,2,FALSE)</f>
        <v>0.2</v>
      </c>
      <c r="G575" s="24">
        <f t="shared" si="33"/>
        <v>2</v>
      </c>
      <c r="H575" s="24">
        <f>IF(G575&gt;G574,H574+C575*F575,C575*F575)</f>
        <v>1.0739589812136161</v>
      </c>
      <c r="I575" s="24">
        <f t="shared" si="34"/>
        <v>0.4</v>
      </c>
      <c r="J575" s="24">
        <f t="shared" si="35"/>
        <v>0</v>
      </c>
      <c r="K575" s="24">
        <f>IF(CurrentMtgRatesDataTable811[[#This Row],[WA CC]]&lt;&gt;0,D574-CurrentMtgRatesDataTable811[[#This Row],[WA CC]],0)</f>
        <v>0</v>
      </c>
      <c r="L575" s="24">
        <f>IF(CurrentMtgRatesDataTable811[[#This Row],[Servicing Spread]]&lt;=0,L574,CurrentMtgRatesDataTable811[[#This Row],[Servicing Spread]])</f>
        <v>0.86557968848864597</v>
      </c>
      <c r="M575" s="24">
        <f>CurrentMtgRatesDataTable811[[#This Row],[SeriesNumValue]]+CurrentMtgRatesDataTable811[[#This Row],[Servicing Spread Non-Zero]]</f>
        <v>3.5299160157583258</v>
      </c>
    </row>
    <row r="576" spans="2:13" x14ac:dyDescent="0.2">
      <c r="B576" s="27" t="s">
        <v>1257</v>
      </c>
      <c r="C576" s="28">
        <v>2.6296268135310301</v>
      </c>
      <c r="D576" s="26">
        <v>3.49</v>
      </c>
      <c r="E576" s="24">
        <f t="shared" si="32"/>
        <v>5</v>
      </c>
      <c r="F576" s="24">
        <f>VLOOKUP(E576,Q$5:R$11,2,FALSE)</f>
        <v>0.2</v>
      </c>
      <c r="G576" s="24">
        <f t="shared" si="33"/>
        <v>3</v>
      </c>
      <c r="H576" s="24">
        <f>IF(G576&gt;G575,H575+C576*F576,C576*F576)</f>
        <v>1.5998843439198223</v>
      </c>
      <c r="I576" s="24">
        <f t="shared" si="34"/>
        <v>0.60000000000000009</v>
      </c>
      <c r="J576" s="24">
        <f t="shared" si="35"/>
        <v>0</v>
      </c>
      <c r="K576" s="24">
        <f>IF(CurrentMtgRatesDataTable811[[#This Row],[WA CC]]&lt;&gt;0,D575-CurrentMtgRatesDataTable811[[#This Row],[WA CC]],0)</f>
        <v>0</v>
      </c>
      <c r="L576" s="24">
        <f>IF(CurrentMtgRatesDataTable811[[#This Row],[Servicing Spread]]&lt;=0,L575,CurrentMtgRatesDataTable811[[#This Row],[Servicing Spread]])</f>
        <v>0.86557968848864597</v>
      </c>
      <c r="M576" s="24">
        <f>CurrentMtgRatesDataTable811[[#This Row],[SeriesNumValue]]+CurrentMtgRatesDataTable811[[#This Row],[Servicing Spread Non-Zero]]</f>
        <v>3.4952065020196761</v>
      </c>
    </row>
    <row r="577" spans="2:13" x14ac:dyDescent="0.2">
      <c r="B577" s="27" t="s">
        <v>1258</v>
      </c>
      <c r="C577" s="28">
        <v>2.6068633017671599</v>
      </c>
      <c r="D577" s="26">
        <v>3.49</v>
      </c>
      <c r="E577" s="24">
        <f t="shared" si="32"/>
        <v>6</v>
      </c>
      <c r="F577" s="24">
        <f>VLOOKUP(E577,Q$5:R$11,2,FALSE)</f>
        <v>0.2</v>
      </c>
      <c r="G577" s="24">
        <f t="shared" si="33"/>
        <v>4</v>
      </c>
      <c r="H577" s="24">
        <f>IF(G577&gt;G576,H576+C577*F577,C577*F577)</f>
        <v>2.1212570042732541</v>
      </c>
      <c r="I577" s="24">
        <f t="shared" si="34"/>
        <v>0.8</v>
      </c>
      <c r="J577" s="24">
        <f t="shared" si="35"/>
        <v>0</v>
      </c>
      <c r="K577" s="24">
        <f>IF(CurrentMtgRatesDataTable811[[#This Row],[WA CC]]&lt;&gt;0,D576-CurrentMtgRatesDataTable811[[#This Row],[WA CC]],0)</f>
        <v>0</v>
      </c>
      <c r="L577" s="24">
        <f>IF(CurrentMtgRatesDataTable811[[#This Row],[Servicing Spread]]&lt;=0,L576,CurrentMtgRatesDataTable811[[#This Row],[Servicing Spread]])</f>
        <v>0.86557968848864597</v>
      </c>
      <c r="M577" s="24">
        <f>CurrentMtgRatesDataTable811[[#This Row],[SeriesNumValue]]+CurrentMtgRatesDataTable811[[#This Row],[Servicing Spread Non-Zero]]</f>
        <v>3.4724429902558058</v>
      </c>
    </row>
    <row r="578" spans="2:13" x14ac:dyDescent="0.2">
      <c r="B578" s="27" t="s">
        <v>1259</v>
      </c>
      <c r="C578" s="28">
        <v>2.6469827013594598</v>
      </c>
      <c r="D578" s="26">
        <v>3.49</v>
      </c>
      <c r="E578" s="24">
        <f t="shared" si="32"/>
        <v>7</v>
      </c>
      <c r="F578" s="24">
        <f>VLOOKUP(E578,Q$5:R$11,2,FALSE)</f>
        <v>0.2</v>
      </c>
      <c r="G578" s="24">
        <f t="shared" si="33"/>
        <v>5</v>
      </c>
      <c r="H578" s="24">
        <f>IF(G578&gt;G577,H577+C578*F578,C578*F578)</f>
        <v>2.650653544545146</v>
      </c>
      <c r="I578" s="24">
        <f t="shared" si="34"/>
        <v>1</v>
      </c>
      <c r="J578" s="24">
        <f t="shared" si="35"/>
        <v>2.650653544545146</v>
      </c>
      <c r="K578" s="24">
        <f>IF(CurrentMtgRatesDataTable811[[#This Row],[WA CC]]&lt;&gt;0,D577-CurrentMtgRatesDataTable811[[#This Row],[WA CC]],0)</f>
        <v>0.8393464554548542</v>
      </c>
      <c r="L578" s="24">
        <f>IF(CurrentMtgRatesDataTable811[[#This Row],[Servicing Spread]]&lt;=0,L577,CurrentMtgRatesDataTable811[[#This Row],[Servicing Spread]])</f>
        <v>0.8393464554548542</v>
      </c>
      <c r="M578" s="24">
        <f>CurrentMtgRatesDataTable811[[#This Row],[SeriesNumValue]]+CurrentMtgRatesDataTable811[[#This Row],[Servicing Spread Non-Zero]]</f>
        <v>3.486329156814314</v>
      </c>
    </row>
    <row r="579" spans="2:13" x14ac:dyDescent="0.2">
      <c r="B579" s="27" t="s">
        <v>1260</v>
      </c>
      <c r="C579" s="28">
        <v>2.6762749111600002</v>
      </c>
      <c r="D579" s="26">
        <v>3.52</v>
      </c>
      <c r="E579" s="24">
        <f t="shared" ref="E579:E642" si="36">WEEKDAY(B579,14)</f>
        <v>1</v>
      </c>
      <c r="F579" s="24">
        <f>VLOOKUP(E579,Q$5:R$11,2,FALSE)</f>
        <v>0.2</v>
      </c>
      <c r="G579" s="24">
        <f t="shared" ref="G579:G642" si="37">IF(AND(E579&gt;E578,G578&lt;6),G578+1,1)</f>
        <v>1</v>
      </c>
      <c r="H579" s="24">
        <f>IF(G579&gt;G578,H578+C579*F579,C579*F579)</f>
        <v>0.53525498223200008</v>
      </c>
      <c r="I579" s="24">
        <f t="shared" ref="I579:I642" si="38">IF(AND(G579&lt;6,G579&gt;G578),F579+I578,F579)</f>
        <v>0.2</v>
      </c>
      <c r="J579" s="24">
        <f t="shared" ref="J579:J642" si="39">IF(G579&gt;G580,H579/I579,0)</f>
        <v>0</v>
      </c>
      <c r="K579" s="24">
        <f>IF(CurrentMtgRatesDataTable811[[#This Row],[WA CC]]&lt;&gt;0,D578-CurrentMtgRatesDataTable811[[#This Row],[WA CC]],0)</f>
        <v>0</v>
      </c>
      <c r="L579" s="24">
        <f>IF(CurrentMtgRatesDataTable811[[#This Row],[Servicing Spread]]&lt;=0,L578,CurrentMtgRatesDataTable811[[#This Row],[Servicing Spread]])</f>
        <v>0.8393464554548542</v>
      </c>
      <c r="M579" s="24">
        <f>CurrentMtgRatesDataTable811[[#This Row],[SeriesNumValue]]+CurrentMtgRatesDataTable811[[#This Row],[Servicing Spread Non-Zero]]</f>
        <v>3.5156213666148544</v>
      </c>
    </row>
    <row r="580" spans="2:13" x14ac:dyDescent="0.2">
      <c r="B580" s="27" t="s">
        <v>1261</v>
      </c>
      <c r="C580" s="28">
        <v>2.6414844586182298</v>
      </c>
      <c r="D580" s="26">
        <v>3.52</v>
      </c>
      <c r="E580" s="24">
        <f t="shared" si="36"/>
        <v>2</v>
      </c>
      <c r="F580" s="24">
        <f>VLOOKUP(E580,Q$5:R$11,2,FALSE)</f>
        <v>0.2</v>
      </c>
      <c r="G580" s="24">
        <f t="shared" si="37"/>
        <v>2</v>
      </c>
      <c r="H580" s="24">
        <f>IF(G580&gt;G579,H579+C580*F580,C580*F580)</f>
        <v>1.063551873955646</v>
      </c>
      <c r="I580" s="24">
        <f t="shared" si="38"/>
        <v>0.4</v>
      </c>
      <c r="J580" s="24">
        <f t="shared" si="39"/>
        <v>0</v>
      </c>
      <c r="K580" s="24">
        <f>IF(CurrentMtgRatesDataTable811[[#This Row],[WA CC]]&lt;&gt;0,D579-CurrentMtgRatesDataTable811[[#This Row],[WA CC]],0)</f>
        <v>0</v>
      </c>
      <c r="L580" s="24">
        <f>IF(CurrentMtgRatesDataTable811[[#This Row],[Servicing Spread]]&lt;=0,L579,CurrentMtgRatesDataTable811[[#This Row],[Servicing Spread]])</f>
        <v>0.8393464554548542</v>
      </c>
      <c r="M580" s="24">
        <f>CurrentMtgRatesDataTable811[[#This Row],[SeriesNumValue]]+CurrentMtgRatesDataTable811[[#This Row],[Servicing Spread Non-Zero]]</f>
        <v>3.480830914073084</v>
      </c>
    </row>
    <row r="581" spans="2:13" x14ac:dyDescent="0.2">
      <c r="B581" s="27" t="s">
        <v>1262</v>
      </c>
      <c r="C581" s="28">
        <v>2.6394759315969498</v>
      </c>
      <c r="D581" s="26">
        <v>3.52</v>
      </c>
      <c r="E581" s="24">
        <f t="shared" si="36"/>
        <v>5</v>
      </c>
      <c r="F581" s="24">
        <f>VLOOKUP(E581,Q$5:R$11,2,FALSE)</f>
        <v>0.2</v>
      </c>
      <c r="G581" s="24">
        <f t="shared" si="37"/>
        <v>3</v>
      </c>
      <c r="H581" s="24">
        <f>IF(G581&gt;G580,H580+C581*F581,C581*F581)</f>
        <v>1.5914470602750361</v>
      </c>
      <c r="I581" s="24">
        <f t="shared" si="38"/>
        <v>0.60000000000000009</v>
      </c>
      <c r="J581" s="24">
        <f t="shared" si="39"/>
        <v>0</v>
      </c>
      <c r="K581" s="24">
        <f>IF(CurrentMtgRatesDataTable811[[#This Row],[WA CC]]&lt;&gt;0,D580-CurrentMtgRatesDataTable811[[#This Row],[WA CC]],0)</f>
        <v>0</v>
      </c>
      <c r="L581" s="24">
        <f>IF(CurrentMtgRatesDataTable811[[#This Row],[Servicing Spread]]&lt;=0,L580,CurrentMtgRatesDataTable811[[#This Row],[Servicing Spread]])</f>
        <v>0.8393464554548542</v>
      </c>
      <c r="M581" s="24">
        <f>CurrentMtgRatesDataTable811[[#This Row],[SeriesNumValue]]+CurrentMtgRatesDataTable811[[#This Row],[Servicing Spread Non-Zero]]</f>
        <v>3.478822387051804</v>
      </c>
    </row>
    <row r="582" spans="2:13" x14ac:dyDescent="0.2">
      <c r="B582" s="27" t="s">
        <v>1263</v>
      </c>
      <c r="C582" s="28">
        <v>2.6425583507311501</v>
      </c>
      <c r="D582" s="26">
        <v>3.52</v>
      </c>
      <c r="E582" s="24">
        <f t="shared" si="36"/>
        <v>6</v>
      </c>
      <c r="F582" s="24">
        <f>VLOOKUP(E582,Q$5:R$11,2,FALSE)</f>
        <v>0.2</v>
      </c>
      <c r="G582" s="24">
        <f t="shared" si="37"/>
        <v>4</v>
      </c>
      <c r="H582" s="24">
        <f>IF(G582&gt;G581,H581+C582*F582,C582*F582)</f>
        <v>2.1199587304212661</v>
      </c>
      <c r="I582" s="24">
        <f t="shared" si="38"/>
        <v>0.8</v>
      </c>
      <c r="J582" s="24">
        <f t="shared" si="39"/>
        <v>0</v>
      </c>
      <c r="K582" s="24">
        <f>IF(CurrentMtgRatesDataTable811[[#This Row],[WA CC]]&lt;&gt;0,D581-CurrentMtgRatesDataTable811[[#This Row],[WA CC]],0)</f>
        <v>0</v>
      </c>
      <c r="L582" s="24">
        <f>IF(CurrentMtgRatesDataTable811[[#This Row],[Servicing Spread]]&lt;=0,L581,CurrentMtgRatesDataTable811[[#This Row],[Servicing Spread]])</f>
        <v>0.8393464554548542</v>
      </c>
      <c r="M582" s="24">
        <f>CurrentMtgRatesDataTable811[[#This Row],[SeriesNumValue]]+CurrentMtgRatesDataTable811[[#This Row],[Servicing Spread Non-Zero]]</f>
        <v>3.4819048061860043</v>
      </c>
    </row>
    <row r="583" spans="2:13" x14ac:dyDescent="0.2">
      <c r="B583" s="27" t="s">
        <v>1264</v>
      </c>
      <c r="C583" s="28">
        <v>2.6080685310037901</v>
      </c>
      <c r="D583" s="26">
        <v>3.52</v>
      </c>
      <c r="E583" s="24">
        <f t="shared" si="36"/>
        <v>7</v>
      </c>
      <c r="F583" s="24">
        <f>VLOOKUP(E583,Q$5:R$11,2,FALSE)</f>
        <v>0.2</v>
      </c>
      <c r="G583" s="24">
        <f t="shared" si="37"/>
        <v>5</v>
      </c>
      <c r="H583" s="24">
        <f>IF(G583&gt;G582,H582+C583*F583,C583*F583)</f>
        <v>2.6415724366220243</v>
      </c>
      <c r="I583" s="24">
        <f t="shared" si="38"/>
        <v>1</v>
      </c>
      <c r="J583" s="24">
        <f t="shared" si="39"/>
        <v>2.6415724366220243</v>
      </c>
      <c r="K583" s="24">
        <f>IF(CurrentMtgRatesDataTable811[[#This Row],[WA CC]]&lt;&gt;0,D582-CurrentMtgRatesDataTable811[[#This Row],[WA CC]],0)</f>
        <v>0.87842756337797567</v>
      </c>
      <c r="L583" s="24">
        <f>IF(CurrentMtgRatesDataTable811[[#This Row],[Servicing Spread]]&lt;=0,L582,CurrentMtgRatesDataTable811[[#This Row],[Servicing Spread]])</f>
        <v>0.87842756337797567</v>
      </c>
      <c r="M583" s="24">
        <f>CurrentMtgRatesDataTable811[[#This Row],[SeriesNumValue]]+CurrentMtgRatesDataTable811[[#This Row],[Servicing Spread Non-Zero]]</f>
        <v>3.4864960943817658</v>
      </c>
    </row>
    <row r="584" spans="2:13" x14ac:dyDescent="0.2">
      <c r="B584" s="27" t="s">
        <v>1265</v>
      </c>
      <c r="C584" s="28">
        <v>2.6143335780898398</v>
      </c>
      <c r="D584" s="26">
        <v>3.49</v>
      </c>
      <c r="E584" s="24">
        <f t="shared" si="36"/>
        <v>1</v>
      </c>
      <c r="F584" s="24">
        <f>VLOOKUP(E584,Q$5:R$11,2,FALSE)</f>
        <v>0.2</v>
      </c>
      <c r="G584" s="24">
        <f t="shared" si="37"/>
        <v>1</v>
      </c>
      <c r="H584" s="24">
        <f>IF(G584&gt;G583,H583+C584*F584,C584*F584)</f>
        <v>0.52286671561796794</v>
      </c>
      <c r="I584" s="24">
        <f t="shared" si="38"/>
        <v>0.2</v>
      </c>
      <c r="J584" s="24">
        <f t="shared" si="39"/>
        <v>0</v>
      </c>
      <c r="K584" s="24">
        <f>IF(CurrentMtgRatesDataTable811[[#This Row],[WA CC]]&lt;&gt;0,D583-CurrentMtgRatesDataTable811[[#This Row],[WA CC]],0)</f>
        <v>0</v>
      </c>
      <c r="L584" s="24">
        <f>IF(CurrentMtgRatesDataTable811[[#This Row],[Servicing Spread]]&lt;=0,L583,CurrentMtgRatesDataTable811[[#This Row],[Servicing Spread]])</f>
        <v>0.87842756337797567</v>
      </c>
      <c r="M584" s="24">
        <f>CurrentMtgRatesDataTable811[[#This Row],[SeriesNumValue]]+CurrentMtgRatesDataTable811[[#This Row],[Servicing Spread Non-Zero]]</f>
        <v>3.4927611414678155</v>
      </c>
    </row>
    <row r="585" spans="2:13" x14ac:dyDescent="0.2">
      <c r="B585" s="27" t="s">
        <v>1266</v>
      </c>
      <c r="C585" s="28">
        <v>2.5951295555522802</v>
      </c>
      <c r="D585" s="26">
        <v>3.49</v>
      </c>
      <c r="E585" s="24">
        <f t="shared" si="36"/>
        <v>5</v>
      </c>
      <c r="F585" s="24">
        <f>VLOOKUP(E585,Q$5:R$11,2,FALSE)</f>
        <v>0.2</v>
      </c>
      <c r="G585" s="24">
        <f t="shared" si="37"/>
        <v>2</v>
      </c>
      <c r="H585" s="24">
        <f>IF(G585&gt;G584,H584+C585*F585,C585*F585)</f>
        <v>1.0418926267284241</v>
      </c>
      <c r="I585" s="24">
        <f t="shared" si="38"/>
        <v>0.4</v>
      </c>
      <c r="J585" s="24">
        <f t="shared" si="39"/>
        <v>0</v>
      </c>
      <c r="K585" s="24">
        <f>IF(CurrentMtgRatesDataTable811[[#This Row],[WA CC]]&lt;&gt;0,D584-CurrentMtgRatesDataTable811[[#This Row],[WA CC]],0)</f>
        <v>0</v>
      </c>
      <c r="L585" s="24">
        <f>IF(CurrentMtgRatesDataTable811[[#This Row],[Servicing Spread]]&lt;=0,L584,CurrentMtgRatesDataTable811[[#This Row],[Servicing Spread]])</f>
        <v>0.87842756337797567</v>
      </c>
      <c r="M585" s="24">
        <f>CurrentMtgRatesDataTable811[[#This Row],[SeriesNumValue]]+CurrentMtgRatesDataTable811[[#This Row],[Servicing Spread Non-Zero]]</f>
        <v>3.4735571189302559</v>
      </c>
    </row>
    <row r="586" spans="2:13" x14ac:dyDescent="0.2">
      <c r="B586" s="27" t="s">
        <v>1267</v>
      </c>
      <c r="C586" s="28">
        <v>2.6101991222676499</v>
      </c>
      <c r="D586" s="26">
        <v>3.49</v>
      </c>
      <c r="E586" s="24">
        <f t="shared" si="36"/>
        <v>6</v>
      </c>
      <c r="F586" s="24">
        <f>VLOOKUP(E586,Q$5:R$11,2,FALSE)</f>
        <v>0.2</v>
      </c>
      <c r="G586" s="24">
        <f t="shared" si="37"/>
        <v>3</v>
      </c>
      <c r="H586" s="24">
        <f>IF(G586&gt;G585,H585+C586*F586,C586*F586)</f>
        <v>1.5639324511819541</v>
      </c>
      <c r="I586" s="24">
        <f t="shared" si="38"/>
        <v>0.60000000000000009</v>
      </c>
      <c r="J586" s="24">
        <f t="shared" si="39"/>
        <v>0</v>
      </c>
      <c r="K586" s="24">
        <f>IF(CurrentMtgRatesDataTable811[[#This Row],[WA CC]]&lt;&gt;0,D585-CurrentMtgRatesDataTable811[[#This Row],[WA CC]],0)</f>
        <v>0</v>
      </c>
      <c r="L586" s="24">
        <f>IF(CurrentMtgRatesDataTable811[[#This Row],[Servicing Spread]]&lt;=0,L585,CurrentMtgRatesDataTable811[[#This Row],[Servicing Spread]])</f>
        <v>0.87842756337797567</v>
      </c>
      <c r="M586" s="24">
        <f>CurrentMtgRatesDataTable811[[#This Row],[SeriesNumValue]]+CurrentMtgRatesDataTable811[[#This Row],[Servicing Spread Non-Zero]]</f>
        <v>3.4886266856456256</v>
      </c>
    </row>
    <row r="587" spans="2:13" x14ac:dyDescent="0.2">
      <c r="B587" s="27" t="s">
        <v>1268</v>
      </c>
      <c r="C587" s="28">
        <v>2.5647186741288901</v>
      </c>
      <c r="D587" s="26">
        <v>3.49</v>
      </c>
      <c r="E587" s="24">
        <f t="shared" si="36"/>
        <v>7</v>
      </c>
      <c r="F587" s="24">
        <f>VLOOKUP(E587,Q$5:R$11,2,FALSE)</f>
        <v>0.2</v>
      </c>
      <c r="G587" s="24">
        <f t="shared" si="37"/>
        <v>4</v>
      </c>
      <c r="H587" s="24">
        <f>IF(G587&gt;G586,H586+C587*F587,C587*F587)</f>
        <v>2.0768761860077323</v>
      </c>
      <c r="I587" s="24">
        <f t="shared" si="38"/>
        <v>0.8</v>
      </c>
      <c r="J587" s="24">
        <f t="shared" si="39"/>
        <v>2.5960952325096653</v>
      </c>
      <c r="K587" s="24">
        <f>IF(CurrentMtgRatesDataTable811[[#This Row],[WA CC]]&lt;&gt;0,D586-CurrentMtgRatesDataTable811[[#This Row],[WA CC]],0)</f>
        <v>0.89390476749033487</v>
      </c>
      <c r="L587" s="24">
        <f>IF(CurrentMtgRatesDataTable811[[#This Row],[Servicing Spread]]&lt;=0,L586,CurrentMtgRatesDataTable811[[#This Row],[Servicing Spread]])</f>
        <v>0.89390476749033487</v>
      </c>
      <c r="M587" s="24">
        <f>CurrentMtgRatesDataTable811[[#This Row],[SeriesNumValue]]+CurrentMtgRatesDataTable811[[#This Row],[Servicing Spread Non-Zero]]</f>
        <v>3.458623441619225</v>
      </c>
    </row>
    <row r="588" spans="2:13" x14ac:dyDescent="0.2">
      <c r="B588" s="27" t="s">
        <v>1269</v>
      </c>
      <c r="C588" s="28">
        <v>2.4858730996264899</v>
      </c>
      <c r="D588" s="26">
        <v>3.3800000000000003</v>
      </c>
      <c r="E588" s="24">
        <f t="shared" si="36"/>
        <v>1</v>
      </c>
      <c r="F588" s="24">
        <f>VLOOKUP(E588,Q$5:R$11,2,FALSE)</f>
        <v>0.2</v>
      </c>
      <c r="G588" s="24">
        <f t="shared" si="37"/>
        <v>1</v>
      </c>
      <c r="H588" s="24">
        <f>IF(G588&gt;G587,H587+C588*F588,C588*F588)</f>
        <v>0.49717461992529799</v>
      </c>
      <c r="I588" s="24">
        <f t="shared" si="38"/>
        <v>0.2</v>
      </c>
      <c r="J588" s="24">
        <f t="shared" si="39"/>
        <v>0</v>
      </c>
      <c r="K588" s="24">
        <f>IF(CurrentMtgRatesDataTable811[[#This Row],[WA CC]]&lt;&gt;0,D587-CurrentMtgRatesDataTable811[[#This Row],[WA CC]],0)</f>
        <v>0</v>
      </c>
      <c r="L588" s="24">
        <f>IF(CurrentMtgRatesDataTable811[[#This Row],[Servicing Spread]]&lt;=0,L587,CurrentMtgRatesDataTable811[[#This Row],[Servicing Spread]])</f>
        <v>0.89390476749033487</v>
      </c>
      <c r="M588" s="24">
        <f>CurrentMtgRatesDataTable811[[#This Row],[SeriesNumValue]]+CurrentMtgRatesDataTable811[[#This Row],[Servicing Spread Non-Zero]]</f>
        <v>3.3797778671168248</v>
      </c>
    </row>
    <row r="589" spans="2:13" x14ac:dyDescent="0.2">
      <c r="B589" s="27" t="s">
        <v>1270</v>
      </c>
      <c r="C589" s="28">
        <v>2.4173832768427301</v>
      </c>
      <c r="D589" s="26">
        <v>3.3800000000000003</v>
      </c>
      <c r="E589" s="24">
        <f t="shared" si="36"/>
        <v>2</v>
      </c>
      <c r="F589" s="24">
        <f>VLOOKUP(E589,Q$5:R$11,2,FALSE)</f>
        <v>0.2</v>
      </c>
      <c r="G589" s="24">
        <f t="shared" si="37"/>
        <v>2</v>
      </c>
      <c r="H589" s="24">
        <f>IF(G589&gt;G588,H588+C589*F589,C589*F589)</f>
        <v>0.9806512752938441</v>
      </c>
      <c r="I589" s="24">
        <f t="shared" si="38"/>
        <v>0.4</v>
      </c>
      <c r="J589" s="24">
        <f t="shared" si="39"/>
        <v>0</v>
      </c>
      <c r="K589" s="24">
        <f>IF(CurrentMtgRatesDataTable811[[#This Row],[WA CC]]&lt;&gt;0,D588-CurrentMtgRatesDataTable811[[#This Row],[WA CC]],0)</f>
        <v>0</v>
      </c>
      <c r="L589" s="24">
        <f>IF(CurrentMtgRatesDataTable811[[#This Row],[Servicing Spread]]&lt;=0,L588,CurrentMtgRatesDataTable811[[#This Row],[Servicing Spread]])</f>
        <v>0.89390476749033487</v>
      </c>
      <c r="M589" s="24">
        <f>CurrentMtgRatesDataTable811[[#This Row],[SeriesNumValue]]+CurrentMtgRatesDataTable811[[#This Row],[Servicing Spread Non-Zero]]</f>
        <v>3.311288044333065</v>
      </c>
    </row>
    <row r="590" spans="2:13" x14ac:dyDescent="0.2">
      <c r="B590" s="27" t="s">
        <v>1271</v>
      </c>
      <c r="C590" s="28">
        <v>2.4769497822755899</v>
      </c>
      <c r="D590" s="26">
        <v>3.3800000000000003</v>
      </c>
      <c r="E590" s="24">
        <f t="shared" si="36"/>
        <v>5</v>
      </c>
      <c r="F590" s="24">
        <f>VLOOKUP(E590,Q$5:R$11,2,FALSE)</f>
        <v>0.2</v>
      </c>
      <c r="G590" s="24">
        <f t="shared" si="37"/>
        <v>3</v>
      </c>
      <c r="H590" s="24">
        <f>IF(G590&gt;G589,H589+C590*F590,C590*F590)</f>
        <v>1.4760412317489622</v>
      </c>
      <c r="I590" s="24">
        <f t="shared" si="38"/>
        <v>0.60000000000000009</v>
      </c>
      <c r="J590" s="24">
        <f t="shared" si="39"/>
        <v>0</v>
      </c>
      <c r="K590" s="24">
        <f>IF(CurrentMtgRatesDataTable811[[#This Row],[WA CC]]&lt;&gt;0,D589-CurrentMtgRatesDataTable811[[#This Row],[WA CC]],0)</f>
        <v>0</v>
      </c>
      <c r="L590" s="24">
        <f>IF(CurrentMtgRatesDataTable811[[#This Row],[Servicing Spread]]&lt;=0,L589,CurrentMtgRatesDataTable811[[#This Row],[Servicing Spread]])</f>
        <v>0.89390476749033487</v>
      </c>
      <c r="M590" s="24">
        <f>CurrentMtgRatesDataTable811[[#This Row],[SeriesNumValue]]+CurrentMtgRatesDataTable811[[#This Row],[Servicing Spread Non-Zero]]</f>
        <v>3.3708545497659248</v>
      </c>
    </row>
    <row r="591" spans="2:13" x14ac:dyDescent="0.2">
      <c r="B591" s="27" t="s">
        <v>1272</v>
      </c>
      <c r="C591" s="28">
        <v>2.4893778182677</v>
      </c>
      <c r="D591" s="26">
        <v>3.3800000000000003</v>
      </c>
      <c r="E591" s="24">
        <f t="shared" si="36"/>
        <v>6</v>
      </c>
      <c r="F591" s="24">
        <f>VLOOKUP(E591,Q$5:R$11,2,FALSE)</f>
        <v>0.2</v>
      </c>
      <c r="G591" s="24">
        <f t="shared" si="37"/>
        <v>4</v>
      </c>
      <c r="H591" s="24">
        <f>IF(G591&gt;G590,H590+C591*F591,C591*F591)</f>
        <v>1.9739167954025021</v>
      </c>
      <c r="I591" s="24">
        <f t="shared" si="38"/>
        <v>0.8</v>
      </c>
      <c r="J591" s="24">
        <f t="shared" si="39"/>
        <v>0</v>
      </c>
      <c r="K591" s="24">
        <f>IF(CurrentMtgRatesDataTable811[[#This Row],[WA CC]]&lt;&gt;0,D590-CurrentMtgRatesDataTable811[[#This Row],[WA CC]],0)</f>
        <v>0</v>
      </c>
      <c r="L591" s="24">
        <f>IF(CurrentMtgRatesDataTable811[[#This Row],[Servicing Spread]]&lt;=0,L590,CurrentMtgRatesDataTable811[[#This Row],[Servicing Spread]])</f>
        <v>0.89390476749033487</v>
      </c>
      <c r="M591" s="24">
        <f>CurrentMtgRatesDataTable811[[#This Row],[SeriesNumValue]]+CurrentMtgRatesDataTable811[[#This Row],[Servicing Spread Non-Zero]]</f>
        <v>3.3832825857580349</v>
      </c>
    </row>
    <row r="592" spans="2:13" x14ac:dyDescent="0.2">
      <c r="B592" s="27" t="s">
        <v>1273</v>
      </c>
      <c r="C592" s="28">
        <v>2.54479183649527</v>
      </c>
      <c r="D592" s="26">
        <v>3.3800000000000003</v>
      </c>
      <c r="E592" s="24">
        <f t="shared" si="36"/>
        <v>7</v>
      </c>
      <c r="F592" s="24">
        <f>VLOOKUP(E592,Q$5:R$11,2,FALSE)</f>
        <v>0.2</v>
      </c>
      <c r="G592" s="24">
        <f t="shared" si="37"/>
        <v>5</v>
      </c>
      <c r="H592" s="24">
        <f>IF(G592&gt;G591,H591+C592*F592,C592*F592)</f>
        <v>2.4828751627015562</v>
      </c>
      <c r="I592" s="24">
        <f t="shared" si="38"/>
        <v>1</v>
      </c>
      <c r="J592" s="24">
        <f t="shared" si="39"/>
        <v>2.4828751627015562</v>
      </c>
      <c r="K592" s="24">
        <f>IF(CurrentMtgRatesDataTable811[[#This Row],[WA CC]]&lt;&gt;0,D591-CurrentMtgRatesDataTable811[[#This Row],[WA CC]],0)</f>
        <v>0.89712483729844417</v>
      </c>
      <c r="L592" s="24">
        <f>IF(CurrentMtgRatesDataTable811[[#This Row],[Servicing Spread]]&lt;=0,L591,CurrentMtgRatesDataTable811[[#This Row],[Servicing Spread]])</f>
        <v>0.89712483729844417</v>
      </c>
      <c r="M592" s="24">
        <f>CurrentMtgRatesDataTable811[[#This Row],[SeriesNumValue]]+CurrentMtgRatesDataTable811[[#This Row],[Servicing Spread Non-Zero]]</f>
        <v>3.4419166737937141</v>
      </c>
    </row>
    <row r="593" spans="2:13" x14ac:dyDescent="0.2">
      <c r="B593" s="27" t="s">
        <v>1274</v>
      </c>
      <c r="C593" s="28">
        <v>2.5180760618821498</v>
      </c>
      <c r="D593" s="26">
        <v>3.335</v>
      </c>
      <c r="E593" s="24">
        <f t="shared" si="36"/>
        <v>1</v>
      </c>
      <c r="F593" s="24">
        <f>VLOOKUP(E593,Q$5:R$11,2,FALSE)</f>
        <v>0.2</v>
      </c>
      <c r="G593" s="24">
        <f t="shared" si="37"/>
        <v>1</v>
      </c>
      <c r="H593" s="24">
        <f>IF(G593&gt;G592,H592+C593*F593,C593*F593)</f>
        <v>0.50361521237643003</v>
      </c>
      <c r="I593" s="24">
        <f t="shared" si="38"/>
        <v>0.2</v>
      </c>
      <c r="J593" s="24">
        <f t="shared" si="39"/>
        <v>0</v>
      </c>
      <c r="K593" s="24">
        <f>IF(CurrentMtgRatesDataTable811[[#This Row],[WA CC]]&lt;&gt;0,D592-CurrentMtgRatesDataTable811[[#This Row],[WA CC]],0)</f>
        <v>0</v>
      </c>
      <c r="L593" s="24">
        <f>IF(CurrentMtgRatesDataTable811[[#This Row],[Servicing Spread]]&lt;=0,L592,CurrentMtgRatesDataTable811[[#This Row],[Servicing Spread]])</f>
        <v>0.89712483729844417</v>
      </c>
      <c r="M593" s="24">
        <f>CurrentMtgRatesDataTable811[[#This Row],[SeriesNumValue]]+CurrentMtgRatesDataTable811[[#This Row],[Servicing Spread Non-Zero]]</f>
        <v>3.415200899180594</v>
      </c>
    </row>
    <row r="594" spans="2:13" x14ac:dyDescent="0.2">
      <c r="B594" s="27" t="s">
        <v>1275</v>
      </c>
      <c r="C594" s="28">
        <v>2.4532379481842601</v>
      </c>
      <c r="D594" s="26">
        <v>3.335</v>
      </c>
      <c r="E594" s="24">
        <f t="shared" si="36"/>
        <v>2</v>
      </c>
      <c r="F594" s="24">
        <f>VLOOKUP(E594,Q$5:R$11,2,FALSE)</f>
        <v>0.2</v>
      </c>
      <c r="G594" s="24">
        <f t="shared" si="37"/>
        <v>2</v>
      </c>
      <c r="H594" s="24">
        <f>IF(G594&gt;G593,H593+C594*F594,C594*F594)</f>
        <v>0.9942628020132821</v>
      </c>
      <c r="I594" s="24">
        <f t="shared" si="38"/>
        <v>0.4</v>
      </c>
      <c r="J594" s="24">
        <f t="shared" si="39"/>
        <v>0</v>
      </c>
      <c r="K594" s="24">
        <f>IF(CurrentMtgRatesDataTable811[[#This Row],[WA CC]]&lt;&gt;0,D593-CurrentMtgRatesDataTable811[[#This Row],[WA CC]],0)</f>
        <v>0</v>
      </c>
      <c r="L594" s="24">
        <f>IF(CurrentMtgRatesDataTable811[[#This Row],[Servicing Spread]]&lt;=0,L593,CurrentMtgRatesDataTable811[[#This Row],[Servicing Spread]])</f>
        <v>0.89712483729844417</v>
      </c>
      <c r="M594" s="24">
        <f>CurrentMtgRatesDataTable811[[#This Row],[SeriesNumValue]]+CurrentMtgRatesDataTable811[[#This Row],[Servicing Spread Non-Zero]]</f>
        <v>3.3503627854827043</v>
      </c>
    </row>
    <row r="595" spans="2:13" x14ac:dyDescent="0.2">
      <c r="B595" s="27" t="s">
        <v>1276</v>
      </c>
      <c r="C595" s="28">
        <v>2.4306597894947899</v>
      </c>
      <c r="D595" s="26">
        <v>3.335</v>
      </c>
      <c r="E595" s="24">
        <f t="shared" si="36"/>
        <v>5</v>
      </c>
      <c r="F595" s="24">
        <f>VLOOKUP(E595,Q$5:R$11,2,FALSE)</f>
        <v>0.2</v>
      </c>
      <c r="G595" s="24">
        <f t="shared" si="37"/>
        <v>3</v>
      </c>
      <c r="H595" s="24">
        <f>IF(G595&gt;G594,H594+C595*F595,C595*F595)</f>
        <v>1.4803947599122402</v>
      </c>
      <c r="I595" s="24">
        <f t="shared" si="38"/>
        <v>0.60000000000000009</v>
      </c>
      <c r="J595" s="24">
        <f t="shared" si="39"/>
        <v>0</v>
      </c>
      <c r="K595" s="24">
        <f>IF(CurrentMtgRatesDataTable811[[#This Row],[WA CC]]&lt;&gt;0,D594-CurrentMtgRatesDataTable811[[#This Row],[WA CC]],0)</f>
        <v>0</v>
      </c>
      <c r="L595" s="24">
        <f>IF(CurrentMtgRatesDataTable811[[#This Row],[Servicing Spread]]&lt;=0,L594,CurrentMtgRatesDataTable811[[#This Row],[Servicing Spread]])</f>
        <v>0.89712483729844417</v>
      </c>
      <c r="M595" s="24">
        <f>CurrentMtgRatesDataTable811[[#This Row],[SeriesNumValue]]+CurrentMtgRatesDataTable811[[#This Row],[Servicing Spread Non-Zero]]</f>
        <v>3.3277846267932341</v>
      </c>
    </row>
    <row r="596" spans="2:13" x14ac:dyDescent="0.2">
      <c r="B596" s="27" t="s">
        <v>1277</v>
      </c>
      <c r="C596" s="28">
        <v>2.45465029105896</v>
      </c>
      <c r="D596" s="26">
        <v>3.335</v>
      </c>
      <c r="E596" s="24">
        <f t="shared" si="36"/>
        <v>6</v>
      </c>
      <c r="F596" s="24">
        <f>VLOOKUP(E596,Q$5:R$11,2,FALSE)</f>
        <v>0.2</v>
      </c>
      <c r="G596" s="24">
        <f t="shared" si="37"/>
        <v>4</v>
      </c>
      <c r="H596" s="24">
        <f>IF(G596&gt;G595,H595+C596*F596,C596*F596)</f>
        <v>1.9713248181240322</v>
      </c>
      <c r="I596" s="24">
        <f t="shared" si="38"/>
        <v>0.8</v>
      </c>
      <c r="J596" s="24">
        <f t="shared" si="39"/>
        <v>0</v>
      </c>
      <c r="K596" s="24">
        <f>IF(CurrentMtgRatesDataTable811[[#This Row],[WA CC]]&lt;&gt;0,D595-CurrentMtgRatesDataTable811[[#This Row],[WA CC]],0)</f>
        <v>0</v>
      </c>
      <c r="L596" s="24">
        <f>IF(CurrentMtgRatesDataTable811[[#This Row],[Servicing Spread]]&lt;=0,L595,CurrentMtgRatesDataTable811[[#This Row],[Servicing Spread]])</f>
        <v>0.89712483729844417</v>
      </c>
      <c r="M596" s="24">
        <f>CurrentMtgRatesDataTable811[[#This Row],[SeriesNumValue]]+CurrentMtgRatesDataTable811[[#This Row],[Servicing Spread Non-Zero]]</f>
        <v>3.3517751283574042</v>
      </c>
    </row>
    <row r="597" spans="2:13" x14ac:dyDescent="0.2">
      <c r="B597" s="27" t="s">
        <v>1278</v>
      </c>
      <c r="C597" s="28">
        <v>2.4500518771238999</v>
      </c>
      <c r="D597" s="26">
        <v>3.335</v>
      </c>
      <c r="E597" s="24">
        <f t="shared" si="36"/>
        <v>7</v>
      </c>
      <c r="F597" s="24">
        <f>VLOOKUP(E597,Q$5:R$11,2,FALSE)</f>
        <v>0.2</v>
      </c>
      <c r="G597" s="24">
        <f t="shared" si="37"/>
        <v>5</v>
      </c>
      <c r="H597" s="24">
        <f>IF(G597&gt;G596,H596+C597*F597,C597*F597)</f>
        <v>2.4613351935488121</v>
      </c>
      <c r="I597" s="24">
        <f t="shared" si="38"/>
        <v>1</v>
      </c>
      <c r="J597" s="24">
        <f t="shared" si="39"/>
        <v>2.4613351935488121</v>
      </c>
      <c r="K597" s="24">
        <f>IF(CurrentMtgRatesDataTable811[[#This Row],[WA CC]]&lt;&gt;0,D596-CurrentMtgRatesDataTable811[[#This Row],[WA CC]],0)</f>
        <v>0.87366480645118783</v>
      </c>
      <c r="L597" s="24">
        <f>IF(CurrentMtgRatesDataTable811[[#This Row],[Servicing Spread]]&lt;=0,L596,CurrentMtgRatesDataTable811[[#This Row],[Servicing Spread]])</f>
        <v>0.87366480645118783</v>
      </c>
      <c r="M597" s="24">
        <f>CurrentMtgRatesDataTable811[[#This Row],[SeriesNumValue]]+CurrentMtgRatesDataTable811[[#This Row],[Servicing Spread Non-Zero]]</f>
        <v>3.3237166835750878</v>
      </c>
    </row>
    <row r="598" spans="2:13" x14ac:dyDescent="0.2">
      <c r="B598" s="27" t="s">
        <v>1279</v>
      </c>
      <c r="C598" s="28">
        <v>2.43192110209089</v>
      </c>
      <c r="D598" s="26">
        <v>3.35</v>
      </c>
      <c r="E598" s="24">
        <f t="shared" si="36"/>
        <v>1</v>
      </c>
      <c r="F598" s="24">
        <f>VLOOKUP(E598,Q$5:R$11,2,FALSE)</f>
        <v>0.2</v>
      </c>
      <c r="G598" s="24">
        <f t="shared" si="37"/>
        <v>1</v>
      </c>
      <c r="H598" s="24">
        <f>IF(G598&gt;G597,H597+C598*F598,C598*F598)</f>
        <v>0.48638422041817803</v>
      </c>
      <c r="I598" s="24">
        <f t="shared" si="38"/>
        <v>0.2</v>
      </c>
      <c r="J598" s="24">
        <f t="shared" si="39"/>
        <v>0</v>
      </c>
      <c r="K598" s="24">
        <f>IF(CurrentMtgRatesDataTable811[[#This Row],[WA CC]]&lt;&gt;0,D597-CurrentMtgRatesDataTable811[[#This Row],[WA CC]],0)</f>
        <v>0</v>
      </c>
      <c r="L598" s="24">
        <f>IF(CurrentMtgRatesDataTable811[[#This Row],[Servicing Spread]]&lt;=0,L597,CurrentMtgRatesDataTable811[[#This Row],[Servicing Spread]])</f>
        <v>0.87366480645118783</v>
      </c>
      <c r="M598" s="24">
        <f>CurrentMtgRatesDataTable811[[#This Row],[SeriesNumValue]]+CurrentMtgRatesDataTable811[[#This Row],[Servicing Spread Non-Zero]]</f>
        <v>3.3055859085420778</v>
      </c>
    </row>
    <row r="599" spans="2:13" x14ac:dyDescent="0.2">
      <c r="B599" s="27" t="s">
        <v>1280</v>
      </c>
      <c r="C599" s="28">
        <v>2.4478292625910401</v>
      </c>
      <c r="D599" s="26">
        <v>3.35</v>
      </c>
      <c r="E599" s="24">
        <f t="shared" si="36"/>
        <v>2</v>
      </c>
      <c r="F599" s="24">
        <f>VLOOKUP(E599,Q$5:R$11,2,FALSE)</f>
        <v>0.2</v>
      </c>
      <c r="G599" s="24">
        <f t="shared" si="37"/>
        <v>2</v>
      </c>
      <c r="H599" s="24">
        <f>IF(G599&gt;G598,H598+C599*F599,C599*F599)</f>
        <v>0.97595007293638614</v>
      </c>
      <c r="I599" s="24">
        <f t="shared" si="38"/>
        <v>0.4</v>
      </c>
      <c r="J599" s="24">
        <f t="shared" si="39"/>
        <v>0</v>
      </c>
      <c r="K599" s="24">
        <f>IF(CurrentMtgRatesDataTable811[[#This Row],[WA CC]]&lt;&gt;0,D598-CurrentMtgRatesDataTable811[[#This Row],[WA CC]],0)</f>
        <v>0</v>
      </c>
      <c r="L599" s="24">
        <f>IF(CurrentMtgRatesDataTable811[[#This Row],[Servicing Spread]]&lt;=0,L598,CurrentMtgRatesDataTable811[[#This Row],[Servicing Spread]])</f>
        <v>0.87366480645118783</v>
      </c>
      <c r="M599" s="24">
        <f>CurrentMtgRatesDataTable811[[#This Row],[SeriesNumValue]]+CurrentMtgRatesDataTable811[[#This Row],[Servicing Spread Non-Zero]]</f>
        <v>3.3214940690422279</v>
      </c>
    </row>
    <row r="600" spans="2:13" x14ac:dyDescent="0.2">
      <c r="B600" s="27" t="s">
        <v>1281</v>
      </c>
      <c r="C600" s="28">
        <v>2.4460987781161698</v>
      </c>
      <c r="D600" s="26">
        <v>3.35</v>
      </c>
      <c r="E600" s="24">
        <f t="shared" si="36"/>
        <v>5</v>
      </c>
      <c r="F600" s="24">
        <f>VLOOKUP(E600,Q$5:R$11,2,FALSE)</f>
        <v>0.2</v>
      </c>
      <c r="G600" s="24">
        <f t="shared" si="37"/>
        <v>3</v>
      </c>
      <c r="H600" s="24">
        <f>IF(G600&gt;G599,H599+C600*F600,C600*F600)</f>
        <v>1.4651698285596202</v>
      </c>
      <c r="I600" s="24">
        <f t="shared" si="38"/>
        <v>0.60000000000000009</v>
      </c>
      <c r="J600" s="24">
        <f t="shared" si="39"/>
        <v>0</v>
      </c>
      <c r="K600" s="24">
        <f>IF(CurrentMtgRatesDataTable811[[#This Row],[WA CC]]&lt;&gt;0,D599-CurrentMtgRatesDataTable811[[#This Row],[WA CC]],0)</f>
        <v>0</v>
      </c>
      <c r="L600" s="24">
        <f>IF(CurrentMtgRatesDataTable811[[#This Row],[Servicing Spread]]&lt;=0,L599,CurrentMtgRatesDataTable811[[#This Row],[Servicing Spread]])</f>
        <v>0.87366480645118783</v>
      </c>
      <c r="M600" s="24">
        <f>CurrentMtgRatesDataTable811[[#This Row],[SeriesNumValue]]+CurrentMtgRatesDataTable811[[#This Row],[Servicing Spread Non-Zero]]</f>
        <v>3.3197635845673577</v>
      </c>
    </row>
    <row r="601" spans="2:13" x14ac:dyDescent="0.2">
      <c r="B601" s="27" t="s">
        <v>1282</v>
      </c>
      <c r="C601" s="28">
        <v>2.4375323431689502</v>
      </c>
      <c r="D601" s="26">
        <v>3.35</v>
      </c>
      <c r="E601" s="24">
        <f t="shared" si="36"/>
        <v>6</v>
      </c>
      <c r="F601" s="24">
        <f>VLOOKUP(E601,Q$5:R$11,2,FALSE)</f>
        <v>0.2</v>
      </c>
      <c r="G601" s="24">
        <f t="shared" si="37"/>
        <v>4</v>
      </c>
      <c r="H601" s="24">
        <f>IF(G601&gt;G600,H600+C601*F601,C601*F601)</f>
        <v>1.9526762971934102</v>
      </c>
      <c r="I601" s="24">
        <f t="shared" si="38"/>
        <v>0.8</v>
      </c>
      <c r="J601" s="24">
        <f t="shared" si="39"/>
        <v>0</v>
      </c>
      <c r="K601" s="24">
        <f>IF(CurrentMtgRatesDataTable811[[#This Row],[WA CC]]&lt;&gt;0,D600-CurrentMtgRatesDataTable811[[#This Row],[WA CC]],0)</f>
        <v>0</v>
      </c>
      <c r="L601" s="24">
        <f>IF(CurrentMtgRatesDataTable811[[#This Row],[Servicing Spread]]&lt;=0,L600,CurrentMtgRatesDataTable811[[#This Row],[Servicing Spread]])</f>
        <v>0.87366480645118783</v>
      </c>
      <c r="M601" s="24">
        <f>CurrentMtgRatesDataTable811[[#This Row],[SeriesNumValue]]+CurrentMtgRatesDataTable811[[#This Row],[Servicing Spread Non-Zero]]</f>
        <v>3.311197149620138</v>
      </c>
    </row>
    <row r="602" spans="2:13" x14ac:dyDescent="0.2">
      <c r="B602" s="27" t="s">
        <v>1283</v>
      </c>
      <c r="C602" s="28">
        <v>2.4323883653727401</v>
      </c>
      <c r="D602" s="26">
        <v>3.35</v>
      </c>
      <c r="E602" s="24">
        <f t="shared" si="36"/>
        <v>7</v>
      </c>
      <c r="F602" s="24">
        <f>VLOOKUP(E602,Q$5:R$11,2,FALSE)</f>
        <v>0.2</v>
      </c>
      <c r="G602" s="24">
        <f t="shared" si="37"/>
        <v>5</v>
      </c>
      <c r="H602" s="24">
        <f>IF(G602&gt;G601,H601+C602*F602,C602*F602)</f>
        <v>2.4391539702679581</v>
      </c>
      <c r="I602" s="24">
        <f t="shared" si="38"/>
        <v>1</v>
      </c>
      <c r="J602" s="24">
        <f t="shared" si="39"/>
        <v>2.4391539702679581</v>
      </c>
      <c r="K602" s="24">
        <f>IF(CurrentMtgRatesDataTable811[[#This Row],[WA CC]]&lt;&gt;0,D601-CurrentMtgRatesDataTable811[[#This Row],[WA CC]],0)</f>
        <v>0.91084602973204198</v>
      </c>
      <c r="L602" s="24">
        <f>IF(CurrentMtgRatesDataTable811[[#This Row],[Servicing Spread]]&lt;=0,L601,CurrentMtgRatesDataTable811[[#This Row],[Servicing Spread]])</f>
        <v>0.91084602973204198</v>
      </c>
      <c r="M602" s="24">
        <f>CurrentMtgRatesDataTable811[[#This Row],[SeriesNumValue]]+CurrentMtgRatesDataTable811[[#This Row],[Servicing Spread Non-Zero]]</f>
        <v>3.343234395104782</v>
      </c>
    </row>
    <row r="603" spans="2:13" x14ac:dyDescent="0.2">
      <c r="B603" s="27" t="s">
        <v>1284</v>
      </c>
      <c r="C603" s="28">
        <v>2.4323453281375</v>
      </c>
      <c r="D603" s="26">
        <v>3.2749999999999999</v>
      </c>
      <c r="E603" s="24">
        <f t="shared" si="36"/>
        <v>1</v>
      </c>
      <c r="F603" s="24">
        <f>VLOOKUP(E603,Q$5:R$11,2,FALSE)</f>
        <v>0.2</v>
      </c>
      <c r="G603" s="24">
        <f t="shared" si="37"/>
        <v>1</v>
      </c>
      <c r="H603" s="24">
        <f>IF(G603&gt;G602,H602+C603*F603,C603*F603)</f>
        <v>0.48646906562750003</v>
      </c>
      <c r="I603" s="24">
        <f t="shared" si="38"/>
        <v>0.2</v>
      </c>
      <c r="J603" s="24">
        <f t="shared" si="39"/>
        <v>0</v>
      </c>
      <c r="K603" s="24">
        <f>IF(CurrentMtgRatesDataTable811[[#This Row],[WA CC]]&lt;&gt;0,D602-CurrentMtgRatesDataTable811[[#This Row],[WA CC]],0)</f>
        <v>0</v>
      </c>
      <c r="L603" s="24">
        <f>IF(CurrentMtgRatesDataTable811[[#This Row],[Servicing Spread]]&lt;=0,L602,CurrentMtgRatesDataTable811[[#This Row],[Servicing Spread]])</f>
        <v>0.91084602973204198</v>
      </c>
      <c r="M603" s="24">
        <f>CurrentMtgRatesDataTable811[[#This Row],[SeriesNumValue]]+CurrentMtgRatesDataTable811[[#This Row],[Servicing Spread Non-Zero]]</f>
        <v>3.343191357869542</v>
      </c>
    </row>
    <row r="604" spans="2:13" x14ac:dyDescent="0.2">
      <c r="B604" s="27" t="s">
        <v>1285</v>
      </c>
      <c r="C604" s="28">
        <v>2.3795080679074299</v>
      </c>
      <c r="D604" s="26">
        <v>3.2749999999999999</v>
      </c>
      <c r="E604" s="24">
        <f t="shared" si="36"/>
        <v>2</v>
      </c>
      <c r="F604" s="24">
        <f>VLOOKUP(E604,Q$5:R$11,2,FALSE)</f>
        <v>0.2</v>
      </c>
      <c r="G604" s="24">
        <f t="shared" si="37"/>
        <v>2</v>
      </c>
      <c r="H604" s="24">
        <f>IF(G604&gt;G603,H603+C604*F604,C604*F604)</f>
        <v>0.962370679208986</v>
      </c>
      <c r="I604" s="24">
        <f t="shared" si="38"/>
        <v>0.4</v>
      </c>
      <c r="J604" s="24">
        <f t="shared" si="39"/>
        <v>0</v>
      </c>
      <c r="K604" s="24">
        <f>IF(CurrentMtgRatesDataTable811[[#This Row],[WA CC]]&lt;&gt;0,D603-CurrentMtgRatesDataTable811[[#This Row],[WA CC]],0)</f>
        <v>0</v>
      </c>
      <c r="L604" s="24">
        <f>IF(CurrentMtgRatesDataTable811[[#This Row],[Servicing Spread]]&lt;=0,L603,CurrentMtgRatesDataTable811[[#This Row],[Servicing Spread]])</f>
        <v>0.91084602973204198</v>
      </c>
      <c r="M604" s="24">
        <f>CurrentMtgRatesDataTable811[[#This Row],[SeriesNumValue]]+CurrentMtgRatesDataTable811[[#This Row],[Servicing Spread Non-Zero]]</f>
        <v>3.2903540976394718</v>
      </c>
    </row>
    <row r="605" spans="2:13" x14ac:dyDescent="0.2">
      <c r="B605" s="27" t="s">
        <v>1286</v>
      </c>
      <c r="C605" s="28">
        <v>2.37447920783596</v>
      </c>
      <c r="D605" s="26">
        <v>3.2749999999999999</v>
      </c>
      <c r="E605" s="24">
        <f t="shared" si="36"/>
        <v>5</v>
      </c>
      <c r="F605" s="24">
        <f>VLOOKUP(E605,Q$5:R$11,2,FALSE)</f>
        <v>0.2</v>
      </c>
      <c r="G605" s="24">
        <f t="shared" si="37"/>
        <v>3</v>
      </c>
      <c r="H605" s="24">
        <f>IF(G605&gt;G604,H604+C605*F605,C605*F605)</f>
        <v>1.4372665207761779</v>
      </c>
      <c r="I605" s="24">
        <f t="shared" si="38"/>
        <v>0.60000000000000009</v>
      </c>
      <c r="J605" s="24">
        <f t="shared" si="39"/>
        <v>0</v>
      </c>
      <c r="K605" s="24">
        <f>IF(CurrentMtgRatesDataTable811[[#This Row],[WA CC]]&lt;&gt;0,D604-CurrentMtgRatesDataTable811[[#This Row],[WA CC]],0)</f>
        <v>0</v>
      </c>
      <c r="L605" s="24">
        <f>IF(CurrentMtgRatesDataTable811[[#This Row],[Servicing Spread]]&lt;=0,L604,CurrentMtgRatesDataTable811[[#This Row],[Servicing Spread]])</f>
        <v>0.91084602973204198</v>
      </c>
      <c r="M605" s="24">
        <f>CurrentMtgRatesDataTable811[[#This Row],[SeriesNumValue]]+CurrentMtgRatesDataTable811[[#This Row],[Servicing Spread Non-Zero]]</f>
        <v>3.285325237568002</v>
      </c>
    </row>
    <row r="606" spans="2:13" x14ac:dyDescent="0.2">
      <c r="B606" s="27" t="s">
        <v>1287</v>
      </c>
      <c r="C606" s="28">
        <v>2.3535373905486399</v>
      </c>
      <c r="D606" s="26">
        <v>3.2749999999999999</v>
      </c>
      <c r="E606" s="24">
        <f t="shared" si="36"/>
        <v>6</v>
      </c>
      <c r="F606" s="24">
        <f>VLOOKUP(E606,Q$5:R$11,2,FALSE)</f>
        <v>0.2</v>
      </c>
      <c r="G606" s="24">
        <f t="shared" si="37"/>
        <v>4</v>
      </c>
      <c r="H606" s="24">
        <f>IF(G606&gt;G605,H605+C606*F606,C606*F606)</f>
        <v>1.9079739988859059</v>
      </c>
      <c r="I606" s="24">
        <f t="shared" si="38"/>
        <v>0.8</v>
      </c>
      <c r="J606" s="24">
        <f t="shared" si="39"/>
        <v>0</v>
      </c>
      <c r="K606" s="24">
        <f>IF(CurrentMtgRatesDataTable811[[#This Row],[WA CC]]&lt;&gt;0,D605-CurrentMtgRatesDataTable811[[#This Row],[WA CC]],0)</f>
        <v>0</v>
      </c>
      <c r="L606" s="24">
        <f>IF(CurrentMtgRatesDataTable811[[#This Row],[Servicing Spread]]&lt;=0,L605,CurrentMtgRatesDataTable811[[#This Row],[Servicing Spread]])</f>
        <v>0.91084602973204198</v>
      </c>
      <c r="M606" s="24">
        <f>CurrentMtgRatesDataTable811[[#This Row],[SeriesNumValue]]+CurrentMtgRatesDataTable811[[#This Row],[Servicing Spread Non-Zero]]</f>
        <v>3.2643834202806818</v>
      </c>
    </row>
    <row r="607" spans="2:13" x14ac:dyDescent="0.2">
      <c r="B607" s="27" t="s">
        <v>1288</v>
      </c>
      <c r="C607" s="28">
        <v>2.31035596660836</v>
      </c>
      <c r="D607" s="26">
        <v>3.2749999999999999</v>
      </c>
      <c r="E607" s="24">
        <f t="shared" si="36"/>
        <v>7</v>
      </c>
      <c r="F607" s="24">
        <f>VLOOKUP(E607,Q$5:R$11,2,FALSE)</f>
        <v>0.2</v>
      </c>
      <c r="G607" s="24">
        <f t="shared" si="37"/>
        <v>5</v>
      </c>
      <c r="H607" s="24">
        <f>IF(G607&gt;G606,H606+C607*F607,C607*F607)</f>
        <v>2.370045192207578</v>
      </c>
      <c r="I607" s="24">
        <f t="shared" si="38"/>
        <v>1</v>
      </c>
      <c r="J607" s="24">
        <f t="shared" si="39"/>
        <v>2.370045192207578</v>
      </c>
      <c r="K607" s="24">
        <f>IF(CurrentMtgRatesDataTable811[[#This Row],[WA CC]]&lt;&gt;0,D606-CurrentMtgRatesDataTable811[[#This Row],[WA CC]],0)</f>
        <v>0.90495480779242188</v>
      </c>
      <c r="L607" s="24">
        <f>IF(CurrentMtgRatesDataTable811[[#This Row],[Servicing Spread]]&lt;=0,L606,CurrentMtgRatesDataTable811[[#This Row],[Servicing Spread]])</f>
        <v>0.90495480779242188</v>
      </c>
      <c r="M607" s="24">
        <f>CurrentMtgRatesDataTable811[[#This Row],[SeriesNumValue]]+CurrentMtgRatesDataTable811[[#This Row],[Servicing Spread Non-Zero]]</f>
        <v>3.2153107744007818</v>
      </c>
    </row>
    <row r="608" spans="2:13" x14ac:dyDescent="0.2">
      <c r="B608" s="27" t="s">
        <v>1289</v>
      </c>
      <c r="C608" s="28">
        <v>2.3421036791460899</v>
      </c>
      <c r="D608" s="26">
        <v>3.3449999999999998</v>
      </c>
      <c r="E608" s="24">
        <f t="shared" si="36"/>
        <v>1</v>
      </c>
      <c r="F608" s="24">
        <f>VLOOKUP(E608,Q$5:R$11,2,FALSE)</f>
        <v>0.2</v>
      </c>
      <c r="G608" s="24">
        <f t="shared" si="37"/>
        <v>1</v>
      </c>
      <c r="H608" s="24">
        <f>IF(G608&gt;G607,H607+C608*F608,C608*F608)</f>
        <v>0.468420735829218</v>
      </c>
      <c r="I608" s="24">
        <f t="shared" si="38"/>
        <v>0.2</v>
      </c>
      <c r="J608" s="24">
        <f t="shared" si="39"/>
        <v>0</v>
      </c>
      <c r="K608" s="24">
        <f>IF(CurrentMtgRatesDataTable811[[#This Row],[WA CC]]&lt;&gt;0,D607-CurrentMtgRatesDataTable811[[#This Row],[WA CC]],0)</f>
        <v>0</v>
      </c>
      <c r="L608" s="24">
        <f>IF(CurrentMtgRatesDataTable811[[#This Row],[Servicing Spread]]&lt;=0,L607,CurrentMtgRatesDataTable811[[#This Row],[Servicing Spread]])</f>
        <v>0.90495480779242188</v>
      </c>
      <c r="M608" s="24">
        <f>CurrentMtgRatesDataTable811[[#This Row],[SeriesNumValue]]+CurrentMtgRatesDataTable811[[#This Row],[Servicing Spread Non-Zero]]</f>
        <v>3.2470584869385117</v>
      </c>
    </row>
    <row r="609" spans="2:13" x14ac:dyDescent="0.2">
      <c r="B609" s="27" t="s">
        <v>1290</v>
      </c>
      <c r="C609" s="28">
        <v>2.4561501214153099</v>
      </c>
      <c r="D609" s="26">
        <v>3.3449999999999998</v>
      </c>
      <c r="E609" s="24">
        <f t="shared" si="36"/>
        <v>2</v>
      </c>
      <c r="F609" s="24">
        <f>VLOOKUP(E609,Q$5:R$11,2,FALSE)</f>
        <v>0.2</v>
      </c>
      <c r="G609" s="24">
        <f t="shared" si="37"/>
        <v>2</v>
      </c>
      <c r="H609" s="24">
        <f>IF(G609&gt;G608,H608+C609*F609,C609*F609)</f>
        <v>0.95965076011228001</v>
      </c>
      <c r="I609" s="24">
        <f t="shared" si="38"/>
        <v>0.4</v>
      </c>
      <c r="J609" s="24">
        <f t="shared" si="39"/>
        <v>0</v>
      </c>
      <c r="K609" s="24">
        <f>IF(CurrentMtgRatesDataTable811[[#This Row],[WA CC]]&lt;&gt;0,D608-CurrentMtgRatesDataTable811[[#This Row],[WA CC]],0)</f>
        <v>0</v>
      </c>
      <c r="L609" s="24">
        <f>IF(CurrentMtgRatesDataTable811[[#This Row],[Servicing Spread]]&lt;=0,L608,CurrentMtgRatesDataTable811[[#This Row],[Servicing Spread]])</f>
        <v>0.90495480779242188</v>
      </c>
      <c r="M609" s="24">
        <f>CurrentMtgRatesDataTable811[[#This Row],[SeriesNumValue]]+CurrentMtgRatesDataTable811[[#This Row],[Servicing Spread Non-Zero]]</f>
        <v>3.3611049292077317</v>
      </c>
    </row>
    <row r="610" spans="2:13" x14ac:dyDescent="0.2">
      <c r="B610" s="27" t="s">
        <v>1291</v>
      </c>
      <c r="C610" s="28">
        <v>2.4724031733010898</v>
      </c>
      <c r="D610" s="26">
        <v>3.3449999999999998</v>
      </c>
      <c r="E610" s="24">
        <f t="shared" si="36"/>
        <v>5</v>
      </c>
      <c r="F610" s="24">
        <f>VLOOKUP(E610,Q$5:R$11,2,FALSE)</f>
        <v>0.2</v>
      </c>
      <c r="G610" s="24">
        <f t="shared" si="37"/>
        <v>3</v>
      </c>
      <c r="H610" s="24">
        <f>IF(G610&gt;G609,H609+C610*F610,C610*F610)</f>
        <v>1.4541313947724981</v>
      </c>
      <c r="I610" s="24">
        <f t="shared" si="38"/>
        <v>0.60000000000000009</v>
      </c>
      <c r="J610" s="24">
        <f t="shared" si="39"/>
        <v>0</v>
      </c>
      <c r="K610" s="24">
        <f>IF(CurrentMtgRatesDataTable811[[#This Row],[WA CC]]&lt;&gt;0,D609-CurrentMtgRatesDataTable811[[#This Row],[WA CC]],0)</f>
        <v>0</v>
      </c>
      <c r="L610" s="24">
        <f>IF(CurrentMtgRatesDataTable811[[#This Row],[Servicing Spread]]&lt;=0,L609,CurrentMtgRatesDataTable811[[#This Row],[Servicing Spread]])</f>
        <v>0.90495480779242188</v>
      </c>
      <c r="M610" s="24">
        <f>CurrentMtgRatesDataTable811[[#This Row],[SeriesNumValue]]+CurrentMtgRatesDataTable811[[#This Row],[Servicing Spread Non-Zero]]</f>
        <v>3.3773579810935117</v>
      </c>
    </row>
    <row r="611" spans="2:13" x14ac:dyDescent="0.2">
      <c r="B611" s="27" t="s">
        <v>1292</v>
      </c>
      <c r="C611" s="28">
        <v>2.48894298716524</v>
      </c>
      <c r="D611" s="26">
        <v>3.3449999999999998</v>
      </c>
      <c r="E611" s="24">
        <f t="shared" si="36"/>
        <v>6</v>
      </c>
      <c r="F611" s="24">
        <f>VLOOKUP(E611,Q$5:R$11,2,FALSE)</f>
        <v>0.2</v>
      </c>
      <c r="G611" s="24">
        <f t="shared" si="37"/>
        <v>4</v>
      </c>
      <c r="H611" s="24">
        <f>IF(G611&gt;G610,H610+C611*F611,C611*F611)</f>
        <v>1.9519199922055461</v>
      </c>
      <c r="I611" s="24">
        <f t="shared" si="38"/>
        <v>0.8</v>
      </c>
      <c r="J611" s="24">
        <f t="shared" si="39"/>
        <v>0</v>
      </c>
      <c r="K611" s="24">
        <f>IF(CurrentMtgRatesDataTable811[[#This Row],[WA CC]]&lt;&gt;0,D610-CurrentMtgRatesDataTable811[[#This Row],[WA CC]],0)</f>
        <v>0</v>
      </c>
      <c r="L611" s="24">
        <f>IF(CurrentMtgRatesDataTable811[[#This Row],[Servicing Spread]]&lt;=0,L610,CurrentMtgRatesDataTable811[[#This Row],[Servicing Spread]])</f>
        <v>0.90495480779242188</v>
      </c>
      <c r="M611" s="24">
        <f>CurrentMtgRatesDataTable811[[#This Row],[SeriesNumValue]]+CurrentMtgRatesDataTable811[[#This Row],[Servicing Spread Non-Zero]]</f>
        <v>3.3938977949576619</v>
      </c>
    </row>
    <row r="612" spans="2:13" x14ac:dyDescent="0.2">
      <c r="B612" s="27" t="s">
        <v>1293</v>
      </c>
      <c r="C612" s="28">
        <v>2.4724453435903899</v>
      </c>
      <c r="D612" s="26">
        <v>3.3449999999999998</v>
      </c>
      <c r="E612" s="24">
        <f t="shared" si="36"/>
        <v>7</v>
      </c>
      <c r="F612" s="24">
        <f>VLOOKUP(E612,Q$5:R$11,2,FALSE)</f>
        <v>0.2</v>
      </c>
      <c r="G612" s="24">
        <f t="shared" si="37"/>
        <v>5</v>
      </c>
      <c r="H612" s="24">
        <f>IF(G612&gt;G611,H611+C612*F612,C612*F612)</f>
        <v>2.446409060923624</v>
      </c>
      <c r="I612" s="24">
        <f t="shared" si="38"/>
        <v>1</v>
      </c>
      <c r="J612" s="24">
        <f t="shared" si="39"/>
        <v>2.446409060923624</v>
      </c>
      <c r="K612" s="24">
        <f>IF(CurrentMtgRatesDataTable811[[#This Row],[WA CC]]&lt;&gt;0,D611-CurrentMtgRatesDataTable811[[#This Row],[WA CC]],0)</f>
        <v>0.89859093907637577</v>
      </c>
      <c r="L612" s="24">
        <f>IF(CurrentMtgRatesDataTable811[[#This Row],[Servicing Spread]]&lt;=0,L611,CurrentMtgRatesDataTable811[[#This Row],[Servicing Spread]])</f>
        <v>0.89859093907637577</v>
      </c>
      <c r="M612" s="24">
        <f>CurrentMtgRatesDataTable811[[#This Row],[SeriesNumValue]]+CurrentMtgRatesDataTable811[[#This Row],[Servicing Spread Non-Zero]]</f>
        <v>3.3710362826667657</v>
      </c>
    </row>
    <row r="613" spans="2:13" x14ac:dyDescent="0.2">
      <c r="B613" s="27" t="s">
        <v>1294</v>
      </c>
      <c r="C613" s="28">
        <v>2.49665490312618</v>
      </c>
      <c r="D613" s="26">
        <v>3.4349999999999996</v>
      </c>
      <c r="E613" s="24">
        <f t="shared" si="36"/>
        <v>1</v>
      </c>
      <c r="F613" s="24">
        <f>VLOOKUP(E613,Q$5:R$11,2,FALSE)</f>
        <v>0.2</v>
      </c>
      <c r="G613" s="24">
        <f t="shared" si="37"/>
        <v>1</v>
      </c>
      <c r="H613" s="24">
        <f>IF(G613&gt;G612,H612+C613*F613,C613*F613)</f>
        <v>0.49933098062523601</v>
      </c>
      <c r="I613" s="24">
        <f t="shared" si="38"/>
        <v>0.2</v>
      </c>
      <c r="J613" s="24">
        <f t="shared" si="39"/>
        <v>0</v>
      </c>
      <c r="K613" s="24">
        <f>IF(CurrentMtgRatesDataTable811[[#This Row],[WA CC]]&lt;&gt;0,D612-CurrentMtgRatesDataTable811[[#This Row],[WA CC]],0)</f>
        <v>0</v>
      </c>
      <c r="L613" s="24">
        <f>IF(CurrentMtgRatesDataTable811[[#This Row],[Servicing Spread]]&lt;=0,L612,CurrentMtgRatesDataTable811[[#This Row],[Servicing Spread]])</f>
        <v>0.89859093907637577</v>
      </c>
      <c r="M613" s="24">
        <f>CurrentMtgRatesDataTable811[[#This Row],[SeriesNumValue]]+CurrentMtgRatesDataTable811[[#This Row],[Servicing Spread Non-Zero]]</f>
        <v>3.3952458422025558</v>
      </c>
    </row>
    <row r="614" spans="2:13" x14ac:dyDescent="0.2">
      <c r="B614" s="27" t="s">
        <v>1295</v>
      </c>
      <c r="C614" s="28">
        <v>2.5868571182044802</v>
      </c>
      <c r="D614" s="26">
        <v>3.4349999999999996</v>
      </c>
      <c r="E614" s="24">
        <f t="shared" si="36"/>
        <v>2</v>
      </c>
      <c r="F614" s="24">
        <f>VLOOKUP(E614,Q$5:R$11,2,FALSE)</f>
        <v>0.2</v>
      </c>
      <c r="G614" s="24">
        <f t="shared" si="37"/>
        <v>2</v>
      </c>
      <c r="H614" s="24">
        <f>IF(G614&gt;G613,H613+C614*F614,C614*F614)</f>
        <v>1.0167024042661321</v>
      </c>
      <c r="I614" s="24">
        <f t="shared" si="38"/>
        <v>0.4</v>
      </c>
      <c r="J614" s="24">
        <f t="shared" si="39"/>
        <v>0</v>
      </c>
      <c r="K614" s="24">
        <f>IF(CurrentMtgRatesDataTable811[[#This Row],[WA CC]]&lt;&gt;0,D613-CurrentMtgRatesDataTable811[[#This Row],[WA CC]],0)</f>
        <v>0</v>
      </c>
      <c r="L614" s="24">
        <f>IF(CurrentMtgRatesDataTable811[[#This Row],[Servicing Spread]]&lt;=0,L613,CurrentMtgRatesDataTable811[[#This Row],[Servicing Spread]])</f>
        <v>0.89859093907637577</v>
      </c>
      <c r="M614" s="24">
        <f>CurrentMtgRatesDataTable811[[#This Row],[SeriesNumValue]]+CurrentMtgRatesDataTable811[[#This Row],[Servicing Spread Non-Zero]]</f>
        <v>3.4854480572808559</v>
      </c>
    </row>
    <row r="615" spans="2:13" x14ac:dyDescent="0.2">
      <c r="B615" s="27" t="s">
        <v>1296</v>
      </c>
      <c r="C615" s="28">
        <v>2.6209995675214</v>
      </c>
      <c r="D615" s="26">
        <v>3.4349999999999996</v>
      </c>
      <c r="E615" s="24">
        <f t="shared" si="36"/>
        <v>5</v>
      </c>
      <c r="F615" s="24">
        <f>VLOOKUP(E615,Q$5:R$11,2,FALSE)</f>
        <v>0.2</v>
      </c>
      <c r="G615" s="24">
        <f t="shared" si="37"/>
        <v>3</v>
      </c>
      <c r="H615" s="24">
        <f>IF(G615&gt;G614,H614+C615*F615,C615*F615)</f>
        <v>1.5409023177704122</v>
      </c>
      <c r="I615" s="24">
        <f t="shared" si="38"/>
        <v>0.60000000000000009</v>
      </c>
      <c r="J615" s="24">
        <f t="shared" si="39"/>
        <v>0</v>
      </c>
      <c r="K615" s="24">
        <f>IF(CurrentMtgRatesDataTable811[[#This Row],[WA CC]]&lt;&gt;0,D614-CurrentMtgRatesDataTable811[[#This Row],[WA CC]],0)</f>
        <v>0</v>
      </c>
      <c r="L615" s="24">
        <f>IF(CurrentMtgRatesDataTable811[[#This Row],[Servicing Spread]]&lt;=0,L614,CurrentMtgRatesDataTable811[[#This Row],[Servicing Spread]])</f>
        <v>0.89859093907637577</v>
      </c>
      <c r="M615" s="24">
        <f>CurrentMtgRatesDataTable811[[#This Row],[SeriesNumValue]]+CurrentMtgRatesDataTable811[[#This Row],[Servicing Spread Non-Zero]]</f>
        <v>3.5195905065977757</v>
      </c>
    </row>
    <row r="616" spans="2:13" x14ac:dyDescent="0.2">
      <c r="B616" s="27" t="s">
        <v>1297</v>
      </c>
      <c r="C616" s="28">
        <v>2.6627244928863401</v>
      </c>
      <c r="D616" s="26">
        <v>3.4349999999999996</v>
      </c>
      <c r="E616" s="24">
        <f t="shared" si="36"/>
        <v>6</v>
      </c>
      <c r="F616" s="24">
        <f>VLOOKUP(E616,Q$5:R$11,2,FALSE)</f>
        <v>0.2</v>
      </c>
      <c r="G616" s="24">
        <f t="shared" si="37"/>
        <v>4</v>
      </c>
      <c r="H616" s="24">
        <f>IF(G616&gt;G615,H615+C616*F616,C616*F616)</f>
        <v>2.07344721634768</v>
      </c>
      <c r="I616" s="24">
        <f t="shared" si="38"/>
        <v>0.8</v>
      </c>
      <c r="J616" s="24">
        <f t="shared" si="39"/>
        <v>0</v>
      </c>
      <c r="K616" s="24">
        <f>IF(CurrentMtgRatesDataTable811[[#This Row],[WA CC]]&lt;&gt;0,D615-CurrentMtgRatesDataTable811[[#This Row],[WA CC]],0)</f>
        <v>0</v>
      </c>
      <c r="L616" s="24">
        <f>IF(CurrentMtgRatesDataTable811[[#This Row],[Servicing Spread]]&lt;=0,L615,CurrentMtgRatesDataTable811[[#This Row],[Servicing Spread]])</f>
        <v>0.89859093907637577</v>
      </c>
      <c r="M616" s="24">
        <f>CurrentMtgRatesDataTable811[[#This Row],[SeriesNumValue]]+CurrentMtgRatesDataTable811[[#This Row],[Servicing Spread Non-Zero]]</f>
        <v>3.5613154319627158</v>
      </c>
    </row>
    <row r="617" spans="2:13" x14ac:dyDescent="0.2">
      <c r="B617" s="27" t="s">
        <v>1298</v>
      </c>
      <c r="C617" s="28">
        <v>2.6618664133932302</v>
      </c>
      <c r="D617" s="26">
        <v>3.4349999999999996</v>
      </c>
      <c r="E617" s="24">
        <f t="shared" si="36"/>
        <v>7</v>
      </c>
      <c r="F617" s="24">
        <f>VLOOKUP(E617,Q$5:R$11,2,FALSE)</f>
        <v>0.2</v>
      </c>
      <c r="G617" s="24">
        <f t="shared" si="37"/>
        <v>5</v>
      </c>
      <c r="H617" s="24">
        <f>IF(G617&gt;G616,H616+C617*F617,C617*F617)</f>
        <v>2.6058204990263261</v>
      </c>
      <c r="I617" s="24">
        <f t="shared" si="38"/>
        <v>1</v>
      </c>
      <c r="J617" s="24">
        <f t="shared" si="39"/>
        <v>2.6058204990263261</v>
      </c>
      <c r="K617" s="24">
        <f>IF(CurrentMtgRatesDataTable811[[#This Row],[WA CC]]&lt;&gt;0,D616-CurrentMtgRatesDataTable811[[#This Row],[WA CC]],0)</f>
        <v>0.82917950097367354</v>
      </c>
      <c r="L617" s="24">
        <f>IF(CurrentMtgRatesDataTable811[[#This Row],[Servicing Spread]]&lt;=0,L616,CurrentMtgRatesDataTable811[[#This Row],[Servicing Spread]])</f>
        <v>0.82917950097367354</v>
      </c>
      <c r="M617" s="24">
        <f>CurrentMtgRatesDataTable811[[#This Row],[SeriesNumValue]]+CurrentMtgRatesDataTable811[[#This Row],[Servicing Spread Non-Zero]]</f>
        <v>3.4910459143669037</v>
      </c>
    </row>
    <row r="618" spans="2:13" x14ac:dyDescent="0.2">
      <c r="B618" s="27" t="s">
        <v>1299</v>
      </c>
      <c r="C618" s="28">
        <v>2.5638774739999999</v>
      </c>
      <c r="D618" s="26">
        <v>3.5149999999999997</v>
      </c>
      <c r="E618" s="24">
        <f t="shared" si="36"/>
        <v>1</v>
      </c>
      <c r="F618" s="24">
        <f>VLOOKUP(E618,Q$5:R$11,2,FALSE)</f>
        <v>0.2</v>
      </c>
      <c r="G618" s="24">
        <f t="shared" si="37"/>
        <v>1</v>
      </c>
      <c r="H618" s="24">
        <f>IF(G618&gt;G617,H617+C618*F618,C618*F618)</f>
        <v>0.51277549479999995</v>
      </c>
      <c r="I618" s="24">
        <f t="shared" si="38"/>
        <v>0.2</v>
      </c>
      <c r="J618" s="24">
        <f t="shared" si="39"/>
        <v>0</v>
      </c>
      <c r="K618" s="24">
        <f>IF(CurrentMtgRatesDataTable811[[#This Row],[WA CC]]&lt;&gt;0,D617-CurrentMtgRatesDataTable811[[#This Row],[WA CC]],0)</f>
        <v>0</v>
      </c>
      <c r="L618" s="24">
        <f>IF(CurrentMtgRatesDataTable811[[#This Row],[Servicing Spread]]&lt;=0,L617,CurrentMtgRatesDataTable811[[#This Row],[Servicing Spread]])</f>
        <v>0.82917950097367354</v>
      </c>
      <c r="M618" s="24">
        <f>CurrentMtgRatesDataTable811[[#This Row],[SeriesNumValue]]+CurrentMtgRatesDataTable811[[#This Row],[Servicing Spread Non-Zero]]</f>
        <v>3.3930569749736734</v>
      </c>
    </row>
    <row r="619" spans="2:13" x14ac:dyDescent="0.2">
      <c r="B619" s="27" t="s">
        <v>1300</v>
      </c>
      <c r="C619" s="28">
        <v>2.6858134280305799</v>
      </c>
      <c r="D619" s="26">
        <v>3.5149999999999997</v>
      </c>
      <c r="E619" s="24">
        <f t="shared" si="36"/>
        <v>2</v>
      </c>
      <c r="F619" s="24">
        <f>VLOOKUP(E619,Q$5:R$11,2,FALSE)</f>
        <v>0.2</v>
      </c>
      <c r="G619" s="24">
        <f t="shared" si="37"/>
        <v>2</v>
      </c>
      <c r="H619" s="24">
        <f>IF(G619&gt;G618,H618+C619*F619,C619*F619)</f>
        <v>1.0499381804061159</v>
      </c>
      <c r="I619" s="24">
        <f t="shared" si="38"/>
        <v>0.4</v>
      </c>
      <c r="J619" s="24">
        <f t="shared" si="39"/>
        <v>0</v>
      </c>
      <c r="K619" s="24">
        <f>IF(CurrentMtgRatesDataTable811[[#This Row],[WA CC]]&lt;&gt;0,D618-CurrentMtgRatesDataTable811[[#This Row],[WA CC]],0)</f>
        <v>0</v>
      </c>
      <c r="L619" s="24">
        <f>IF(CurrentMtgRatesDataTable811[[#This Row],[Servicing Spread]]&lt;=0,L618,CurrentMtgRatesDataTable811[[#This Row],[Servicing Spread]])</f>
        <v>0.82917950097367354</v>
      </c>
      <c r="M619" s="24">
        <f>CurrentMtgRatesDataTable811[[#This Row],[SeriesNumValue]]+CurrentMtgRatesDataTable811[[#This Row],[Servicing Spread Non-Zero]]</f>
        <v>3.5149929290042534</v>
      </c>
    </row>
    <row r="620" spans="2:13" x14ac:dyDescent="0.2">
      <c r="B620" s="27" t="s">
        <v>1301</v>
      </c>
      <c r="C620" s="28">
        <v>2.7128835423314301</v>
      </c>
      <c r="D620" s="26">
        <v>3.5149999999999997</v>
      </c>
      <c r="E620" s="24">
        <f t="shared" si="36"/>
        <v>5</v>
      </c>
      <c r="F620" s="24">
        <f>VLOOKUP(E620,Q$5:R$11,2,FALSE)</f>
        <v>0.2</v>
      </c>
      <c r="G620" s="24">
        <f t="shared" si="37"/>
        <v>3</v>
      </c>
      <c r="H620" s="24">
        <f>IF(G620&gt;G619,H619+C620*F620,C620*F620)</f>
        <v>1.5925148888724019</v>
      </c>
      <c r="I620" s="24">
        <f t="shared" si="38"/>
        <v>0.60000000000000009</v>
      </c>
      <c r="J620" s="24">
        <f t="shared" si="39"/>
        <v>0</v>
      </c>
      <c r="K620" s="24">
        <f>IF(CurrentMtgRatesDataTable811[[#This Row],[WA CC]]&lt;&gt;0,D619-CurrentMtgRatesDataTable811[[#This Row],[WA CC]],0)</f>
        <v>0</v>
      </c>
      <c r="L620" s="24">
        <f>IF(CurrentMtgRatesDataTable811[[#This Row],[Servicing Spread]]&lt;=0,L619,CurrentMtgRatesDataTable811[[#This Row],[Servicing Spread]])</f>
        <v>0.82917950097367354</v>
      </c>
      <c r="M620" s="24">
        <f>CurrentMtgRatesDataTable811[[#This Row],[SeriesNumValue]]+CurrentMtgRatesDataTable811[[#This Row],[Servicing Spread Non-Zero]]</f>
        <v>3.5420630433051037</v>
      </c>
    </row>
    <row r="621" spans="2:13" x14ac:dyDescent="0.2">
      <c r="B621" s="27" t="s">
        <v>1302</v>
      </c>
      <c r="C621" s="28">
        <v>2.6645260639550199</v>
      </c>
      <c r="D621" s="26">
        <v>3.5149999999999997</v>
      </c>
      <c r="E621" s="24">
        <f t="shared" si="36"/>
        <v>6</v>
      </c>
      <c r="F621" s="24">
        <f>VLOOKUP(E621,Q$5:R$11,2,FALSE)</f>
        <v>0.2</v>
      </c>
      <c r="G621" s="24">
        <f t="shared" si="37"/>
        <v>4</v>
      </c>
      <c r="H621" s="24">
        <f>IF(G621&gt;G620,H620+C621*F621,C621*F621)</f>
        <v>2.1254201016634058</v>
      </c>
      <c r="I621" s="24">
        <f t="shared" si="38"/>
        <v>0.8</v>
      </c>
      <c r="J621" s="24">
        <f t="shared" si="39"/>
        <v>0</v>
      </c>
      <c r="K621" s="24">
        <f>IF(CurrentMtgRatesDataTable811[[#This Row],[WA CC]]&lt;&gt;0,D620-CurrentMtgRatesDataTable811[[#This Row],[WA CC]],0)</f>
        <v>0</v>
      </c>
      <c r="L621" s="24">
        <f>IF(CurrentMtgRatesDataTable811[[#This Row],[Servicing Spread]]&lt;=0,L620,CurrentMtgRatesDataTable811[[#This Row],[Servicing Spread]])</f>
        <v>0.82917950097367354</v>
      </c>
      <c r="M621" s="24">
        <f>CurrentMtgRatesDataTable811[[#This Row],[SeriesNumValue]]+CurrentMtgRatesDataTable811[[#This Row],[Servicing Spread Non-Zero]]</f>
        <v>3.4937055649286934</v>
      </c>
    </row>
    <row r="622" spans="2:13" x14ac:dyDescent="0.2">
      <c r="B622" s="27" t="s">
        <v>1303</v>
      </c>
      <c r="C622" s="28">
        <v>2.78843998218461</v>
      </c>
      <c r="D622" s="26">
        <v>3.5149999999999997</v>
      </c>
      <c r="E622" s="24">
        <f t="shared" si="36"/>
        <v>7</v>
      </c>
      <c r="F622" s="24">
        <f>VLOOKUP(E622,Q$5:R$11,2,FALSE)</f>
        <v>0.2</v>
      </c>
      <c r="G622" s="24">
        <f t="shared" si="37"/>
        <v>5</v>
      </c>
      <c r="H622" s="24">
        <f>IF(G622&gt;G621,H621+C622*F622,C622*F622)</f>
        <v>2.6831080981003277</v>
      </c>
      <c r="I622" s="24">
        <f t="shared" si="38"/>
        <v>1</v>
      </c>
      <c r="J622" s="24">
        <f t="shared" si="39"/>
        <v>2.6831080981003277</v>
      </c>
      <c r="K622" s="24">
        <f>IF(CurrentMtgRatesDataTable811[[#This Row],[WA CC]]&lt;&gt;0,D621-CurrentMtgRatesDataTable811[[#This Row],[WA CC]],0)</f>
        <v>0.83189190189967199</v>
      </c>
      <c r="L622" s="24">
        <f>IF(CurrentMtgRatesDataTable811[[#This Row],[Servicing Spread]]&lt;=0,L621,CurrentMtgRatesDataTable811[[#This Row],[Servicing Spread]])</f>
        <v>0.83189190189967199</v>
      </c>
      <c r="M622" s="24">
        <f>CurrentMtgRatesDataTable811[[#This Row],[SeriesNumValue]]+CurrentMtgRatesDataTable811[[#This Row],[Servicing Spread Non-Zero]]</f>
        <v>3.620331884084282</v>
      </c>
    </row>
    <row r="623" spans="2:13" x14ac:dyDescent="0.2">
      <c r="B623" s="27" t="s">
        <v>1304</v>
      </c>
      <c r="C623" s="28">
        <v>2.8219074459123799</v>
      </c>
      <c r="D623" s="26">
        <v>3.7600000000000002</v>
      </c>
      <c r="E623" s="24">
        <f t="shared" si="36"/>
        <v>1</v>
      </c>
      <c r="F623" s="24">
        <f>VLOOKUP(E623,Q$5:R$11,2,FALSE)</f>
        <v>0.2</v>
      </c>
      <c r="G623" s="24">
        <f t="shared" si="37"/>
        <v>1</v>
      </c>
      <c r="H623" s="24">
        <f>IF(G623&gt;G622,H622+C623*F623,C623*F623)</f>
        <v>0.56438148918247599</v>
      </c>
      <c r="I623" s="24">
        <f t="shared" si="38"/>
        <v>0.2</v>
      </c>
      <c r="J623" s="24">
        <f t="shared" si="39"/>
        <v>0</v>
      </c>
      <c r="K623" s="24">
        <f>IF(CurrentMtgRatesDataTable811[[#This Row],[WA CC]]&lt;&gt;0,D622-CurrentMtgRatesDataTable811[[#This Row],[WA CC]],0)</f>
        <v>0</v>
      </c>
      <c r="L623" s="24">
        <f>IF(CurrentMtgRatesDataTable811[[#This Row],[Servicing Spread]]&lt;=0,L622,CurrentMtgRatesDataTable811[[#This Row],[Servicing Spread]])</f>
        <v>0.83189190189967199</v>
      </c>
      <c r="M623" s="24">
        <f>CurrentMtgRatesDataTable811[[#This Row],[SeriesNumValue]]+CurrentMtgRatesDataTable811[[#This Row],[Servicing Spread Non-Zero]]</f>
        <v>3.6537993478120518</v>
      </c>
    </row>
    <row r="624" spans="2:13" x14ac:dyDescent="0.2">
      <c r="B624" s="27" t="s">
        <v>1305</v>
      </c>
      <c r="C624" s="28">
        <v>2.8149731764108399</v>
      </c>
      <c r="D624" s="26">
        <v>3.7600000000000002</v>
      </c>
      <c r="E624" s="24">
        <f t="shared" si="36"/>
        <v>2</v>
      </c>
      <c r="F624" s="24">
        <f>VLOOKUP(E624,Q$5:R$11,2,FALSE)</f>
        <v>0.2</v>
      </c>
      <c r="G624" s="24">
        <f t="shared" si="37"/>
        <v>2</v>
      </c>
      <c r="H624" s="24">
        <f>IF(G624&gt;G623,H623+C624*F624,C624*F624)</f>
        <v>1.1273761244646439</v>
      </c>
      <c r="I624" s="24">
        <f t="shared" si="38"/>
        <v>0.4</v>
      </c>
      <c r="J624" s="24">
        <f t="shared" si="39"/>
        <v>0</v>
      </c>
      <c r="K624" s="24">
        <f>IF(CurrentMtgRatesDataTable811[[#This Row],[WA CC]]&lt;&gt;0,D623-CurrentMtgRatesDataTable811[[#This Row],[WA CC]],0)</f>
        <v>0</v>
      </c>
      <c r="L624" s="24">
        <f>IF(CurrentMtgRatesDataTable811[[#This Row],[Servicing Spread]]&lt;=0,L623,CurrentMtgRatesDataTable811[[#This Row],[Servicing Spread]])</f>
        <v>0.83189190189967199</v>
      </c>
      <c r="M624" s="24">
        <f>CurrentMtgRatesDataTable811[[#This Row],[SeriesNumValue]]+CurrentMtgRatesDataTable811[[#This Row],[Servicing Spread Non-Zero]]</f>
        <v>3.6468650783105119</v>
      </c>
    </row>
    <row r="625" spans="2:13" x14ac:dyDescent="0.2">
      <c r="B625" s="27" t="s">
        <v>1306</v>
      </c>
      <c r="C625" s="28">
        <v>2.9439593784478002</v>
      </c>
      <c r="D625" s="26">
        <v>3.7600000000000002</v>
      </c>
      <c r="E625" s="24">
        <f t="shared" si="36"/>
        <v>6</v>
      </c>
      <c r="F625" s="24">
        <f>VLOOKUP(E625,Q$5:R$11,2,FALSE)</f>
        <v>0.2</v>
      </c>
      <c r="G625" s="24">
        <f t="shared" si="37"/>
        <v>3</v>
      </c>
      <c r="H625" s="24">
        <f>IF(G625&gt;G624,H624+C625*F625,C625*F625)</f>
        <v>1.7161680001542039</v>
      </c>
      <c r="I625" s="24">
        <f t="shared" si="38"/>
        <v>0.60000000000000009</v>
      </c>
      <c r="J625" s="24">
        <f t="shared" si="39"/>
        <v>0</v>
      </c>
      <c r="K625" s="24">
        <f>IF(CurrentMtgRatesDataTable811[[#This Row],[WA CC]]&lt;&gt;0,D624-CurrentMtgRatesDataTable811[[#This Row],[WA CC]],0)</f>
        <v>0</v>
      </c>
      <c r="L625" s="24">
        <f>IF(CurrentMtgRatesDataTable811[[#This Row],[Servicing Spread]]&lt;=0,L624,CurrentMtgRatesDataTable811[[#This Row],[Servicing Spread]])</f>
        <v>0.83189190189967199</v>
      </c>
      <c r="M625" s="24">
        <f>CurrentMtgRatesDataTable811[[#This Row],[SeriesNumValue]]+CurrentMtgRatesDataTable811[[#This Row],[Servicing Spread Non-Zero]]</f>
        <v>3.7758512803474722</v>
      </c>
    </row>
    <row r="626" spans="2:13" x14ac:dyDescent="0.2">
      <c r="B626" s="27" t="s">
        <v>1307</v>
      </c>
      <c r="C626" s="28">
        <v>2.9196928046626902</v>
      </c>
      <c r="D626" s="26">
        <v>3.7600000000000002</v>
      </c>
      <c r="E626" s="24">
        <f t="shared" si="36"/>
        <v>7</v>
      </c>
      <c r="F626" s="24">
        <f>VLOOKUP(E626,Q$5:R$11,2,FALSE)</f>
        <v>0.2</v>
      </c>
      <c r="G626" s="24">
        <f t="shared" si="37"/>
        <v>4</v>
      </c>
      <c r="H626" s="24">
        <f>IF(G626&gt;G625,H625+C626*F626,C626*F626)</f>
        <v>2.3001065610867419</v>
      </c>
      <c r="I626" s="24">
        <f t="shared" si="38"/>
        <v>0.8</v>
      </c>
      <c r="J626" s="24">
        <f t="shared" si="39"/>
        <v>2.8751332013584272</v>
      </c>
      <c r="K626" s="24">
        <f>IF(CurrentMtgRatesDataTable811[[#This Row],[WA CC]]&lt;&gt;0,D625-CurrentMtgRatesDataTable811[[#This Row],[WA CC]],0)</f>
        <v>0.88486679864157303</v>
      </c>
      <c r="L626" s="24">
        <f>IF(CurrentMtgRatesDataTable811[[#This Row],[Servicing Spread]]&lt;=0,L625,CurrentMtgRatesDataTable811[[#This Row],[Servicing Spread]])</f>
        <v>0.88486679864157303</v>
      </c>
      <c r="M626" s="24">
        <f>CurrentMtgRatesDataTable811[[#This Row],[SeriesNumValue]]+CurrentMtgRatesDataTable811[[#This Row],[Servicing Spread Non-Zero]]</f>
        <v>3.8045596033042632</v>
      </c>
    </row>
    <row r="627" spans="2:13" x14ac:dyDescent="0.2">
      <c r="B627" s="27" t="s">
        <v>1308</v>
      </c>
      <c r="C627" s="28">
        <v>2.9046454407398898</v>
      </c>
      <c r="D627" s="26">
        <v>3.835</v>
      </c>
      <c r="E627" s="24">
        <f t="shared" si="36"/>
        <v>1</v>
      </c>
      <c r="F627" s="24">
        <f>VLOOKUP(E627,Q$5:R$11,2,FALSE)</f>
        <v>0.2</v>
      </c>
      <c r="G627" s="24">
        <f t="shared" si="37"/>
        <v>1</v>
      </c>
      <c r="H627" s="24">
        <f>IF(G627&gt;G626,H626+C627*F627,C627*F627)</f>
        <v>0.58092908814797795</v>
      </c>
      <c r="I627" s="24">
        <f t="shared" si="38"/>
        <v>0.2</v>
      </c>
      <c r="J627" s="24">
        <f t="shared" si="39"/>
        <v>0</v>
      </c>
      <c r="K627" s="24">
        <f>IF(CurrentMtgRatesDataTable811[[#This Row],[WA CC]]&lt;&gt;0,D626-CurrentMtgRatesDataTable811[[#This Row],[WA CC]],0)</f>
        <v>0</v>
      </c>
      <c r="L627" s="24">
        <f>IF(CurrentMtgRatesDataTable811[[#This Row],[Servicing Spread]]&lt;=0,L626,CurrentMtgRatesDataTable811[[#This Row],[Servicing Spread]])</f>
        <v>0.88486679864157303</v>
      </c>
      <c r="M627" s="24">
        <f>CurrentMtgRatesDataTable811[[#This Row],[SeriesNumValue]]+CurrentMtgRatesDataTable811[[#This Row],[Servicing Spread Non-Zero]]</f>
        <v>3.7895122393814629</v>
      </c>
    </row>
    <row r="628" spans="2:13" x14ac:dyDescent="0.2">
      <c r="B628" s="27" t="s">
        <v>1309</v>
      </c>
      <c r="C628" s="28">
        <v>2.95731349620652</v>
      </c>
      <c r="D628" s="26">
        <v>3.835</v>
      </c>
      <c r="E628" s="24">
        <f t="shared" si="36"/>
        <v>2</v>
      </c>
      <c r="F628" s="24">
        <f>VLOOKUP(E628,Q$5:R$11,2,FALSE)</f>
        <v>0.2</v>
      </c>
      <c r="G628" s="24">
        <f t="shared" si="37"/>
        <v>2</v>
      </c>
      <c r="H628" s="24">
        <f>IF(G628&gt;G627,H627+C628*F628,C628*F628)</f>
        <v>1.172391787389282</v>
      </c>
      <c r="I628" s="24">
        <f t="shared" si="38"/>
        <v>0.4</v>
      </c>
      <c r="J628" s="24">
        <f t="shared" si="39"/>
        <v>0</v>
      </c>
      <c r="K628" s="24">
        <f>IF(CurrentMtgRatesDataTable811[[#This Row],[WA CC]]&lt;&gt;0,D627-CurrentMtgRatesDataTable811[[#This Row],[WA CC]],0)</f>
        <v>0</v>
      </c>
      <c r="L628" s="24">
        <f>IF(CurrentMtgRatesDataTable811[[#This Row],[Servicing Spread]]&lt;=0,L627,CurrentMtgRatesDataTable811[[#This Row],[Servicing Spread]])</f>
        <v>0.88486679864157303</v>
      </c>
      <c r="M628" s="24">
        <f>CurrentMtgRatesDataTable811[[#This Row],[SeriesNumValue]]+CurrentMtgRatesDataTable811[[#This Row],[Servicing Spread Non-Zero]]</f>
        <v>3.842180294848093</v>
      </c>
    </row>
    <row r="629" spans="2:13" x14ac:dyDescent="0.2">
      <c r="B629" s="27" t="s">
        <v>1310</v>
      </c>
      <c r="C629" s="28">
        <v>2.9603245306419401</v>
      </c>
      <c r="D629" s="26">
        <v>3.835</v>
      </c>
      <c r="E629" s="24">
        <f t="shared" si="36"/>
        <v>5</v>
      </c>
      <c r="F629" s="24">
        <f>VLOOKUP(E629,Q$5:R$11,2,FALSE)</f>
        <v>0.2</v>
      </c>
      <c r="G629" s="24">
        <f t="shared" si="37"/>
        <v>3</v>
      </c>
      <c r="H629" s="24">
        <f>IF(G629&gt;G628,H628+C629*F629,C629*F629)</f>
        <v>1.76445669351767</v>
      </c>
      <c r="I629" s="24">
        <f t="shared" si="38"/>
        <v>0.60000000000000009</v>
      </c>
      <c r="J629" s="24">
        <f t="shared" si="39"/>
        <v>0</v>
      </c>
      <c r="K629" s="24">
        <f>IF(CurrentMtgRatesDataTable811[[#This Row],[WA CC]]&lt;&gt;0,D628-CurrentMtgRatesDataTable811[[#This Row],[WA CC]],0)</f>
        <v>0</v>
      </c>
      <c r="L629" s="24">
        <f>IF(CurrentMtgRatesDataTable811[[#This Row],[Servicing Spread]]&lt;=0,L628,CurrentMtgRatesDataTable811[[#This Row],[Servicing Spread]])</f>
        <v>0.88486679864157303</v>
      </c>
      <c r="M629" s="24">
        <f>CurrentMtgRatesDataTable811[[#This Row],[SeriesNumValue]]+CurrentMtgRatesDataTable811[[#This Row],[Servicing Spread Non-Zero]]</f>
        <v>3.8451913292835131</v>
      </c>
    </row>
    <row r="630" spans="2:13" x14ac:dyDescent="0.2">
      <c r="B630" s="27" t="s">
        <v>1311</v>
      </c>
      <c r="C630" s="28">
        <v>2.9897357672895799</v>
      </c>
      <c r="D630" s="26">
        <v>3.835</v>
      </c>
      <c r="E630" s="24">
        <f t="shared" si="36"/>
        <v>6</v>
      </c>
      <c r="F630" s="24">
        <f>VLOOKUP(E630,Q$5:R$11,2,FALSE)</f>
        <v>0.2</v>
      </c>
      <c r="G630" s="24">
        <f t="shared" si="37"/>
        <v>4</v>
      </c>
      <c r="H630" s="24">
        <f>IF(G630&gt;G629,H629+C630*F630,C630*F630)</f>
        <v>2.3624038469755861</v>
      </c>
      <c r="I630" s="24">
        <f t="shared" si="38"/>
        <v>0.8</v>
      </c>
      <c r="J630" s="24">
        <f t="shared" si="39"/>
        <v>0</v>
      </c>
      <c r="K630" s="24">
        <f>IF(CurrentMtgRatesDataTable811[[#This Row],[WA CC]]&lt;&gt;0,D629-CurrentMtgRatesDataTable811[[#This Row],[WA CC]],0)</f>
        <v>0</v>
      </c>
      <c r="L630" s="24">
        <f>IF(CurrentMtgRatesDataTable811[[#This Row],[Servicing Spread]]&lt;=0,L629,CurrentMtgRatesDataTable811[[#This Row],[Servicing Spread]])</f>
        <v>0.88486679864157303</v>
      </c>
      <c r="M630" s="24">
        <f>CurrentMtgRatesDataTable811[[#This Row],[SeriesNumValue]]+CurrentMtgRatesDataTable811[[#This Row],[Servicing Spread Non-Zero]]</f>
        <v>3.8746025659311529</v>
      </c>
    </row>
    <row r="631" spans="2:13" x14ac:dyDescent="0.2">
      <c r="B631" s="27" t="s">
        <v>1312</v>
      </c>
      <c r="C631" s="28">
        <v>2.9737219853978498</v>
      </c>
      <c r="D631" s="26">
        <v>3.835</v>
      </c>
      <c r="E631" s="24">
        <f t="shared" si="36"/>
        <v>7</v>
      </c>
      <c r="F631" s="24">
        <f>VLOOKUP(E631,Q$5:R$11,2,FALSE)</f>
        <v>0.2</v>
      </c>
      <c r="G631" s="24">
        <f t="shared" si="37"/>
        <v>5</v>
      </c>
      <c r="H631" s="24">
        <f>IF(G631&gt;G630,H630+C631*F631,C631*F631)</f>
        <v>2.9571482440551562</v>
      </c>
      <c r="I631" s="24">
        <f t="shared" si="38"/>
        <v>1</v>
      </c>
      <c r="J631" s="24">
        <f t="shared" si="39"/>
        <v>2.9571482440551562</v>
      </c>
      <c r="K631" s="24">
        <f>IF(CurrentMtgRatesDataTable811[[#This Row],[WA CC]]&lt;&gt;0,D630-CurrentMtgRatesDataTable811[[#This Row],[WA CC]],0)</f>
        <v>0.87785175594484377</v>
      </c>
      <c r="L631" s="24">
        <f>IF(CurrentMtgRatesDataTable811[[#This Row],[Servicing Spread]]&lt;=0,L630,CurrentMtgRatesDataTable811[[#This Row],[Servicing Spread]])</f>
        <v>0.87785175594484377</v>
      </c>
      <c r="M631" s="24">
        <f>CurrentMtgRatesDataTable811[[#This Row],[SeriesNumValue]]+CurrentMtgRatesDataTable811[[#This Row],[Servicing Spread Non-Zero]]</f>
        <v>3.8515737413426936</v>
      </c>
    </row>
    <row r="632" spans="2:13" x14ac:dyDescent="0.2">
      <c r="B632" s="27" t="s">
        <v>1313</v>
      </c>
      <c r="C632" s="28">
        <v>2.9363931746100702</v>
      </c>
      <c r="D632" s="26">
        <v>3.9049999999999998</v>
      </c>
      <c r="E632" s="24">
        <f t="shared" si="36"/>
        <v>1</v>
      </c>
      <c r="F632" s="24">
        <f>VLOOKUP(E632,Q$5:R$11,2,FALSE)</f>
        <v>0.2</v>
      </c>
      <c r="G632" s="24">
        <f t="shared" si="37"/>
        <v>1</v>
      </c>
      <c r="H632" s="24">
        <f>IF(G632&gt;G631,H631+C632*F632,C632*F632)</f>
        <v>0.58727863492201404</v>
      </c>
      <c r="I632" s="24">
        <f t="shared" si="38"/>
        <v>0.2</v>
      </c>
      <c r="J632" s="24">
        <f t="shared" si="39"/>
        <v>0</v>
      </c>
      <c r="K632" s="24">
        <f>IF(CurrentMtgRatesDataTable811[[#This Row],[WA CC]]&lt;&gt;0,D631-CurrentMtgRatesDataTable811[[#This Row],[WA CC]],0)</f>
        <v>0</v>
      </c>
      <c r="L632" s="24">
        <f>IF(CurrentMtgRatesDataTable811[[#This Row],[Servicing Spread]]&lt;=0,L631,CurrentMtgRatesDataTable811[[#This Row],[Servicing Spread]])</f>
        <v>0.87785175594484377</v>
      </c>
      <c r="M632" s="24">
        <f>CurrentMtgRatesDataTable811[[#This Row],[SeriesNumValue]]+CurrentMtgRatesDataTable811[[#This Row],[Servicing Spread Non-Zero]]</f>
        <v>3.814244930554914</v>
      </c>
    </row>
    <row r="633" spans="2:13" x14ac:dyDescent="0.2">
      <c r="B633" s="27" t="s">
        <v>1314</v>
      </c>
      <c r="C633" s="28">
        <v>2.9931159990094902</v>
      </c>
      <c r="D633" s="26">
        <v>3.9049999999999998</v>
      </c>
      <c r="E633" s="24">
        <f t="shared" si="36"/>
        <v>2</v>
      </c>
      <c r="F633" s="24">
        <f>VLOOKUP(E633,Q$5:R$11,2,FALSE)</f>
        <v>0.2</v>
      </c>
      <c r="G633" s="24">
        <f t="shared" si="37"/>
        <v>2</v>
      </c>
      <c r="H633" s="24">
        <f>IF(G633&gt;G632,H632+C633*F633,C633*F633)</f>
        <v>1.1859018347239121</v>
      </c>
      <c r="I633" s="24">
        <f t="shared" si="38"/>
        <v>0.4</v>
      </c>
      <c r="J633" s="24">
        <f t="shared" si="39"/>
        <v>0</v>
      </c>
      <c r="K633" s="24">
        <f>IF(CurrentMtgRatesDataTable811[[#This Row],[WA CC]]&lt;&gt;0,D632-CurrentMtgRatesDataTable811[[#This Row],[WA CC]],0)</f>
        <v>0</v>
      </c>
      <c r="L633" s="24">
        <f>IF(CurrentMtgRatesDataTable811[[#This Row],[Servicing Spread]]&lt;=0,L632,CurrentMtgRatesDataTable811[[#This Row],[Servicing Spread]])</f>
        <v>0.87785175594484377</v>
      </c>
      <c r="M633" s="24">
        <f>CurrentMtgRatesDataTable811[[#This Row],[SeriesNumValue]]+CurrentMtgRatesDataTable811[[#This Row],[Servicing Spread Non-Zero]]</f>
        <v>3.870967754954334</v>
      </c>
    </row>
    <row r="634" spans="2:13" x14ac:dyDescent="0.2">
      <c r="B634" s="27" t="s">
        <v>1315</v>
      </c>
      <c r="C634" s="28">
        <v>3.0187503286824402</v>
      </c>
      <c r="D634" s="26">
        <v>3.9049999999999998</v>
      </c>
      <c r="E634" s="24">
        <f t="shared" si="36"/>
        <v>5</v>
      </c>
      <c r="F634" s="24">
        <f>VLOOKUP(E634,Q$5:R$11,2,FALSE)</f>
        <v>0.2</v>
      </c>
      <c r="G634" s="24">
        <f t="shared" si="37"/>
        <v>3</v>
      </c>
      <c r="H634" s="24">
        <f>IF(G634&gt;G633,H633+C634*F634,C634*F634)</f>
        <v>1.7896519004604001</v>
      </c>
      <c r="I634" s="24">
        <f t="shared" si="38"/>
        <v>0.60000000000000009</v>
      </c>
      <c r="J634" s="24">
        <f t="shared" si="39"/>
        <v>0</v>
      </c>
      <c r="K634" s="24">
        <f>IF(CurrentMtgRatesDataTable811[[#This Row],[WA CC]]&lt;&gt;0,D633-CurrentMtgRatesDataTable811[[#This Row],[WA CC]],0)</f>
        <v>0</v>
      </c>
      <c r="L634" s="24">
        <f>IF(CurrentMtgRatesDataTable811[[#This Row],[Servicing Spread]]&lt;=0,L633,CurrentMtgRatesDataTable811[[#This Row],[Servicing Spread]])</f>
        <v>0.87785175594484377</v>
      </c>
      <c r="M634" s="24">
        <f>CurrentMtgRatesDataTable811[[#This Row],[SeriesNumValue]]+CurrentMtgRatesDataTable811[[#This Row],[Servicing Spread Non-Zero]]</f>
        <v>3.896602084627284</v>
      </c>
    </row>
    <row r="635" spans="2:13" x14ac:dyDescent="0.2">
      <c r="B635" s="27" t="s">
        <v>1316</v>
      </c>
      <c r="C635" s="28">
        <v>2.9886237940572</v>
      </c>
      <c r="D635" s="26">
        <v>3.9049999999999998</v>
      </c>
      <c r="E635" s="24">
        <f t="shared" si="36"/>
        <v>6</v>
      </c>
      <c r="F635" s="24">
        <f>VLOOKUP(E635,Q$5:R$11,2,FALSE)</f>
        <v>0.2</v>
      </c>
      <c r="G635" s="24">
        <f t="shared" si="37"/>
        <v>4</v>
      </c>
      <c r="H635" s="24">
        <f>IF(G635&gt;G634,H634+C635*F635,C635*F635)</f>
        <v>2.3873766592718404</v>
      </c>
      <c r="I635" s="24">
        <f t="shared" si="38"/>
        <v>0.8</v>
      </c>
      <c r="J635" s="24">
        <f t="shared" si="39"/>
        <v>0</v>
      </c>
      <c r="K635" s="24">
        <f>IF(CurrentMtgRatesDataTable811[[#This Row],[WA CC]]&lt;&gt;0,D634-CurrentMtgRatesDataTable811[[#This Row],[WA CC]],0)</f>
        <v>0</v>
      </c>
      <c r="L635" s="24">
        <f>IF(CurrentMtgRatesDataTable811[[#This Row],[Servicing Spread]]&lt;=0,L634,CurrentMtgRatesDataTable811[[#This Row],[Servicing Spread]])</f>
        <v>0.87785175594484377</v>
      </c>
      <c r="M635" s="24">
        <f>CurrentMtgRatesDataTable811[[#This Row],[SeriesNumValue]]+CurrentMtgRatesDataTable811[[#This Row],[Servicing Spread Non-Zero]]</f>
        <v>3.8664755500020438</v>
      </c>
    </row>
    <row r="636" spans="2:13" x14ac:dyDescent="0.2">
      <c r="B636" s="27" t="s">
        <v>1317</v>
      </c>
      <c r="C636" s="28">
        <v>3.0172986003180302</v>
      </c>
      <c r="D636" s="26">
        <v>3.9049999999999998</v>
      </c>
      <c r="E636" s="24">
        <f t="shared" si="36"/>
        <v>7</v>
      </c>
      <c r="F636" s="24">
        <f>VLOOKUP(E636,Q$5:R$11,2,FALSE)</f>
        <v>0.2</v>
      </c>
      <c r="G636" s="24">
        <f t="shared" si="37"/>
        <v>5</v>
      </c>
      <c r="H636" s="24">
        <f>IF(G636&gt;G635,H635+C636*F636,C636*F636)</f>
        <v>2.9908363793354464</v>
      </c>
      <c r="I636" s="24">
        <f t="shared" si="38"/>
        <v>1</v>
      </c>
      <c r="J636" s="24">
        <f t="shared" si="39"/>
        <v>2.9908363793354464</v>
      </c>
      <c r="K636" s="24">
        <f>IF(CurrentMtgRatesDataTable811[[#This Row],[WA CC]]&lt;&gt;0,D635-CurrentMtgRatesDataTable811[[#This Row],[WA CC]],0)</f>
        <v>0.91416362066455337</v>
      </c>
      <c r="L636" s="24">
        <f>IF(CurrentMtgRatesDataTable811[[#This Row],[Servicing Spread]]&lt;=0,L635,CurrentMtgRatesDataTable811[[#This Row],[Servicing Spread]])</f>
        <v>0.91416362066455337</v>
      </c>
      <c r="M636" s="24">
        <f>CurrentMtgRatesDataTable811[[#This Row],[SeriesNumValue]]+CurrentMtgRatesDataTable811[[#This Row],[Servicing Spread Non-Zero]]</f>
        <v>3.9314622209825836</v>
      </c>
    </row>
    <row r="637" spans="2:13" x14ac:dyDescent="0.2">
      <c r="B637" s="27" t="s">
        <v>1318</v>
      </c>
      <c r="C637" s="28">
        <v>2.97051771574304</v>
      </c>
      <c r="D637" s="26">
        <v>3.8800000000000003</v>
      </c>
      <c r="E637" s="24">
        <f t="shared" si="36"/>
        <v>1</v>
      </c>
      <c r="F637" s="24">
        <f>VLOOKUP(E637,Q$5:R$11,2,FALSE)</f>
        <v>0.2</v>
      </c>
      <c r="G637" s="24">
        <f t="shared" si="37"/>
        <v>1</v>
      </c>
      <c r="H637" s="24">
        <f>IF(G637&gt;G636,H636+C637*F637,C637*F637)</f>
        <v>0.59410354314860803</v>
      </c>
      <c r="I637" s="24">
        <f t="shared" si="38"/>
        <v>0.2</v>
      </c>
      <c r="J637" s="24">
        <f t="shared" si="39"/>
        <v>0</v>
      </c>
      <c r="K637" s="24">
        <f>IF(CurrentMtgRatesDataTable811[[#This Row],[WA CC]]&lt;&gt;0,D636-CurrentMtgRatesDataTable811[[#This Row],[WA CC]],0)</f>
        <v>0</v>
      </c>
      <c r="L637" s="24">
        <f>IF(CurrentMtgRatesDataTable811[[#This Row],[Servicing Spread]]&lt;=0,L636,CurrentMtgRatesDataTable811[[#This Row],[Servicing Spread]])</f>
        <v>0.91416362066455337</v>
      </c>
      <c r="M637" s="24">
        <f>CurrentMtgRatesDataTable811[[#This Row],[SeriesNumValue]]+CurrentMtgRatesDataTable811[[#This Row],[Servicing Spread Non-Zero]]</f>
        <v>3.8846813364075934</v>
      </c>
    </row>
    <row r="638" spans="2:13" x14ac:dyDescent="0.2">
      <c r="B638" s="27" t="s">
        <v>1319</v>
      </c>
      <c r="C638" s="28">
        <v>2.93282407442446</v>
      </c>
      <c r="D638" s="26">
        <v>3.8800000000000003</v>
      </c>
      <c r="E638" s="24">
        <f t="shared" si="36"/>
        <v>2</v>
      </c>
      <c r="F638" s="24">
        <f>VLOOKUP(E638,Q$5:R$11,2,FALSE)</f>
        <v>0.2</v>
      </c>
      <c r="G638" s="24">
        <f t="shared" si="37"/>
        <v>2</v>
      </c>
      <c r="H638" s="24">
        <f>IF(G638&gt;G637,H637+C638*F638,C638*F638)</f>
        <v>1.1806683580335</v>
      </c>
      <c r="I638" s="24">
        <f t="shared" si="38"/>
        <v>0.4</v>
      </c>
      <c r="J638" s="24">
        <f t="shared" si="39"/>
        <v>0</v>
      </c>
      <c r="K638" s="24">
        <f>IF(CurrentMtgRatesDataTable811[[#This Row],[WA CC]]&lt;&gt;0,D637-CurrentMtgRatesDataTable811[[#This Row],[WA CC]],0)</f>
        <v>0</v>
      </c>
      <c r="L638" s="24">
        <f>IF(CurrentMtgRatesDataTable811[[#This Row],[Servicing Spread]]&lt;=0,L637,CurrentMtgRatesDataTable811[[#This Row],[Servicing Spread]])</f>
        <v>0.91416362066455337</v>
      </c>
      <c r="M638" s="24">
        <f>CurrentMtgRatesDataTable811[[#This Row],[SeriesNumValue]]+CurrentMtgRatesDataTable811[[#This Row],[Servicing Spread Non-Zero]]</f>
        <v>3.8469876950890134</v>
      </c>
    </row>
    <row r="639" spans="2:13" x14ac:dyDescent="0.2">
      <c r="B639" s="27" t="s">
        <v>1320</v>
      </c>
      <c r="C639" s="28">
        <v>2.9838518305616502</v>
      </c>
      <c r="D639" s="26">
        <v>3.8800000000000003</v>
      </c>
      <c r="E639" s="24">
        <f t="shared" si="36"/>
        <v>5</v>
      </c>
      <c r="F639" s="24">
        <f>VLOOKUP(E639,Q$5:R$11,2,FALSE)</f>
        <v>0.2</v>
      </c>
      <c r="G639" s="24">
        <f t="shared" si="37"/>
        <v>3</v>
      </c>
      <c r="H639" s="24">
        <f>IF(G639&gt;G638,H638+C639*F639,C639*F639)</f>
        <v>1.77743872414583</v>
      </c>
      <c r="I639" s="24">
        <f t="shared" si="38"/>
        <v>0.60000000000000009</v>
      </c>
      <c r="J639" s="24">
        <f t="shared" si="39"/>
        <v>0</v>
      </c>
      <c r="K639" s="24">
        <f>IF(CurrentMtgRatesDataTable811[[#This Row],[WA CC]]&lt;&gt;0,D638-CurrentMtgRatesDataTable811[[#This Row],[WA CC]],0)</f>
        <v>0</v>
      </c>
      <c r="L639" s="24">
        <f>IF(CurrentMtgRatesDataTable811[[#This Row],[Servicing Spread]]&lt;=0,L638,CurrentMtgRatesDataTable811[[#This Row],[Servicing Spread]])</f>
        <v>0.91416362066455337</v>
      </c>
      <c r="M639" s="24">
        <f>CurrentMtgRatesDataTable811[[#This Row],[SeriesNumValue]]+CurrentMtgRatesDataTable811[[#This Row],[Servicing Spread Non-Zero]]</f>
        <v>3.8980154512262035</v>
      </c>
    </row>
    <row r="640" spans="2:13" x14ac:dyDescent="0.2">
      <c r="B640" s="27" t="s">
        <v>1321</v>
      </c>
      <c r="C640" s="28">
        <v>2.9821306488123902</v>
      </c>
      <c r="D640" s="26">
        <v>3.8800000000000003</v>
      </c>
      <c r="E640" s="24">
        <f t="shared" si="36"/>
        <v>6</v>
      </c>
      <c r="F640" s="24">
        <f>VLOOKUP(E640,Q$5:R$11,2,FALSE)</f>
        <v>0.2</v>
      </c>
      <c r="G640" s="24">
        <f t="shared" si="37"/>
        <v>4</v>
      </c>
      <c r="H640" s="24">
        <f>IF(G640&gt;G639,H639+C640*F640,C640*F640)</f>
        <v>2.3738648539083083</v>
      </c>
      <c r="I640" s="24">
        <f t="shared" si="38"/>
        <v>0.8</v>
      </c>
      <c r="J640" s="24">
        <f t="shared" si="39"/>
        <v>0</v>
      </c>
      <c r="K640" s="24">
        <f>IF(CurrentMtgRatesDataTable811[[#This Row],[WA CC]]&lt;&gt;0,D639-CurrentMtgRatesDataTable811[[#This Row],[WA CC]],0)</f>
        <v>0</v>
      </c>
      <c r="L640" s="24">
        <f>IF(CurrentMtgRatesDataTable811[[#This Row],[Servicing Spread]]&lt;=0,L639,CurrentMtgRatesDataTable811[[#This Row],[Servicing Spread]])</f>
        <v>0.91416362066455337</v>
      </c>
      <c r="M640" s="24">
        <f>CurrentMtgRatesDataTable811[[#This Row],[SeriesNumValue]]+CurrentMtgRatesDataTable811[[#This Row],[Servicing Spread Non-Zero]]</f>
        <v>3.8962942694769436</v>
      </c>
    </row>
    <row r="641" spans="2:13" x14ac:dyDescent="0.2">
      <c r="B641" s="27" t="s">
        <v>1322</v>
      </c>
      <c r="C641" s="28">
        <v>3.1273804098375502</v>
      </c>
      <c r="D641" s="26">
        <v>3.8800000000000003</v>
      </c>
      <c r="E641" s="24">
        <f t="shared" si="36"/>
        <v>7</v>
      </c>
      <c r="F641" s="24">
        <f>VLOOKUP(E641,Q$5:R$11,2,FALSE)</f>
        <v>0.2</v>
      </c>
      <c r="G641" s="24">
        <f t="shared" si="37"/>
        <v>5</v>
      </c>
      <c r="H641" s="24">
        <f>IF(G641&gt;G640,H640+C641*F641,C641*F641)</f>
        <v>2.9993409358758183</v>
      </c>
      <c r="I641" s="24">
        <f t="shared" si="38"/>
        <v>1</v>
      </c>
      <c r="J641" s="24">
        <f t="shared" si="39"/>
        <v>2.9993409358758183</v>
      </c>
      <c r="K641" s="24">
        <f>IF(CurrentMtgRatesDataTable811[[#This Row],[WA CC]]&lt;&gt;0,D640-CurrentMtgRatesDataTable811[[#This Row],[WA CC]],0)</f>
        <v>0.88065906412418204</v>
      </c>
      <c r="L641" s="24">
        <f>IF(CurrentMtgRatesDataTable811[[#This Row],[Servicing Spread]]&lt;=0,L640,CurrentMtgRatesDataTable811[[#This Row],[Servicing Spread]])</f>
        <v>0.88065906412418204</v>
      </c>
      <c r="M641" s="24">
        <f>CurrentMtgRatesDataTable811[[#This Row],[SeriesNumValue]]+CurrentMtgRatesDataTable811[[#This Row],[Servicing Spread Non-Zero]]</f>
        <v>4.0080394739617322</v>
      </c>
    </row>
    <row r="642" spans="2:13" x14ac:dyDescent="0.2">
      <c r="B642" s="27" t="s">
        <v>1323</v>
      </c>
      <c r="C642" s="28">
        <v>3.2731873242540099</v>
      </c>
      <c r="D642" s="26">
        <v>4.41</v>
      </c>
      <c r="E642" s="24">
        <f t="shared" si="36"/>
        <v>1</v>
      </c>
      <c r="F642" s="24">
        <f>VLOOKUP(E642,Q$5:R$11,2,FALSE)</f>
        <v>0.2</v>
      </c>
      <c r="G642" s="24">
        <f t="shared" si="37"/>
        <v>1</v>
      </c>
      <c r="H642" s="24">
        <f>IF(G642&gt;G641,H641+C642*F642,C642*F642)</f>
        <v>0.65463746485080199</v>
      </c>
      <c r="I642" s="24">
        <f t="shared" si="38"/>
        <v>0.2</v>
      </c>
      <c r="J642" s="24">
        <f t="shared" si="39"/>
        <v>0</v>
      </c>
      <c r="K642" s="24">
        <f>IF(CurrentMtgRatesDataTable811[[#This Row],[WA CC]]&lt;&gt;0,D641-CurrentMtgRatesDataTable811[[#This Row],[WA CC]],0)</f>
        <v>0</v>
      </c>
      <c r="L642" s="24">
        <f>IF(CurrentMtgRatesDataTable811[[#This Row],[Servicing Spread]]&lt;=0,L641,CurrentMtgRatesDataTable811[[#This Row],[Servicing Spread]])</f>
        <v>0.88065906412418204</v>
      </c>
      <c r="M642" s="24">
        <f>CurrentMtgRatesDataTable811[[#This Row],[SeriesNumValue]]+CurrentMtgRatesDataTable811[[#This Row],[Servicing Spread Non-Zero]]</f>
        <v>4.1538463883781915</v>
      </c>
    </row>
    <row r="643" spans="2:13" x14ac:dyDescent="0.2">
      <c r="B643" s="27" t="s">
        <v>1324</v>
      </c>
      <c r="C643" s="28">
        <v>3.4290560333253501</v>
      </c>
      <c r="D643" s="26">
        <v>4.41</v>
      </c>
      <c r="E643" s="24">
        <f t="shared" ref="E643:E706" si="40">WEEKDAY(B643,14)</f>
        <v>2</v>
      </c>
      <c r="F643" s="24">
        <f>VLOOKUP(E643,Q$5:R$11,2,FALSE)</f>
        <v>0.2</v>
      </c>
      <c r="G643" s="24">
        <f t="shared" ref="G643:G706" si="41">IF(AND(E643&gt;E642,G642&lt;6),G642+1,1)</f>
        <v>2</v>
      </c>
      <c r="H643" s="24">
        <f>IF(G643&gt;G642,H642+C643*F643,C643*F643)</f>
        <v>1.3404486715158721</v>
      </c>
      <c r="I643" s="24">
        <f t="shared" ref="I643:I706" si="42">IF(AND(G643&lt;6,G643&gt;G642),F643+I642,F643)</f>
        <v>0.4</v>
      </c>
      <c r="J643" s="24">
        <f t="shared" ref="J643:J706" si="43">IF(G643&gt;G644,H643/I643,0)</f>
        <v>0</v>
      </c>
      <c r="K643" s="24">
        <f>IF(CurrentMtgRatesDataTable811[[#This Row],[WA CC]]&lt;&gt;0,D642-CurrentMtgRatesDataTable811[[#This Row],[WA CC]],0)</f>
        <v>0</v>
      </c>
      <c r="L643" s="24">
        <f>IF(CurrentMtgRatesDataTable811[[#This Row],[Servicing Spread]]&lt;=0,L642,CurrentMtgRatesDataTable811[[#This Row],[Servicing Spread]])</f>
        <v>0.88065906412418204</v>
      </c>
      <c r="M643" s="24">
        <f>CurrentMtgRatesDataTable811[[#This Row],[SeriesNumValue]]+CurrentMtgRatesDataTable811[[#This Row],[Servicing Spread Non-Zero]]</f>
        <v>4.3097150974495317</v>
      </c>
    </row>
    <row r="644" spans="2:13" x14ac:dyDescent="0.2">
      <c r="B644" s="27" t="s">
        <v>1325</v>
      </c>
      <c r="C644" s="28">
        <v>3.4842821250923999</v>
      </c>
      <c r="D644" s="26">
        <v>4.41</v>
      </c>
      <c r="E644" s="24">
        <f t="shared" si="40"/>
        <v>5</v>
      </c>
      <c r="F644" s="24">
        <f>VLOOKUP(E644,Q$5:R$11,2,FALSE)</f>
        <v>0.2</v>
      </c>
      <c r="G644" s="24">
        <f t="shared" si="41"/>
        <v>3</v>
      </c>
      <c r="H644" s="24">
        <f>IF(G644&gt;G643,H643+C644*F644,C644*F644)</f>
        <v>2.037305096534352</v>
      </c>
      <c r="I644" s="24">
        <f t="shared" si="42"/>
        <v>0.60000000000000009</v>
      </c>
      <c r="J644" s="24">
        <f t="shared" si="43"/>
        <v>0</v>
      </c>
      <c r="K644" s="24">
        <f>IF(CurrentMtgRatesDataTable811[[#This Row],[WA CC]]&lt;&gt;0,D643-CurrentMtgRatesDataTable811[[#This Row],[WA CC]],0)</f>
        <v>0</v>
      </c>
      <c r="L644" s="24">
        <f>IF(CurrentMtgRatesDataTable811[[#This Row],[Servicing Spread]]&lt;=0,L643,CurrentMtgRatesDataTable811[[#This Row],[Servicing Spread]])</f>
        <v>0.88065906412418204</v>
      </c>
      <c r="M644" s="24">
        <f>CurrentMtgRatesDataTable811[[#This Row],[SeriesNumValue]]+CurrentMtgRatesDataTable811[[#This Row],[Servicing Spread Non-Zero]]</f>
        <v>4.3649411892165819</v>
      </c>
    </row>
    <row r="645" spans="2:13" x14ac:dyDescent="0.2">
      <c r="B645" s="27" t="s">
        <v>1326</v>
      </c>
      <c r="C645" s="28">
        <v>3.4979073592115801</v>
      </c>
      <c r="D645" s="26">
        <v>4.41</v>
      </c>
      <c r="E645" s="24">
        <f t="shared" si="40"/>
        <v>6</v>
      </c>
      <c r="F645" s="24">
        <f>VLOOKUP(E645,Q$5:R$11,2,FALSE)</f>
        <v>0.2</v>
      </c>
      <c r="G645" s="24">
        <f t="shared" si="41"/>
        <v>4</v>
      </c>
      <c r="H645" s="24">
        <f>IF(G645&gt;G644,H644+C645*F645,C645*F645)</f>
        <v>2.7368865683766681</v>
      </c>
      <c r="I645" s="24">
        <f t="shared" si="42"/>
        <v>0.8</v>
      </c>
      <c r="J645" s="24">
        <f t="shared" si="43"/>
        <v>0</v>
      </c>
      <c r="K645" s="24">
        <f>IF(CurrentMtgRatesDataTable811[[#This Row],[WA CC]]&lt;&gt;0,D644-CurrentMtgRatesDataTable811[[#This Row],[WA CC]],0)</f>
        <v>0</v>
      </c>
      <c r="L645" s="24">
        <f>IF(CurrentMtgRatesDataTable811[[#This Row],[Servicing Spread]]&lt;=0,L644,CurrentMtgRatesDataTable811[[#This Row],[Servicing Spread]])</f>
        <v>0.88065906412418204</v>
      </c>
      <c r="M645" s="24">
        <f>CurrentMtgRatesDataTable811[[#This Row],[SeriesNumValue]]+CurrentMtgRatesDataTable811[[#This Row],[Servicing Spread Non-Zero]]</f>
        <v>4.3785664233357622</v>
      </c>
    </row>
    <row r="646" spans="2:13" x14ac:dyDescent="0.2">
      <c r="B646" s="27" t="s">
        <v>1327</v>
      </c>
      <c r="C646" s="28">
        <v>3.44274839511578</v>
      </c>
      <c r="D646" s="26">
        <v>4.41</v>
      </c>
      <c r="E646" s="24">
        <f t="shared" si="40"/>
        <v>7</v>
      </c>
      <c r="F646" s="24">
        <f>VLOOKUP(E646,Q$5:R$11,2,FALSE)</f>
        <v>0.2</v>
      </c>
      <c r="G646" s="24">
        <f t="shared" si="41"/>
        <v>5</v>
      </c>
      <c r="H646" s="24">
        <f>IF(G646&gt;G645,H645+C646*F646,C646*F646)</f>
        <v>3.4254362473998241</v>
      </c>
      <c r="I646" s="24">
        <f t="shared" si="42"/>
        <v>1</v>
      </c>
      <c r="J646" s="24">
        <f t="shared" si="43"/>
        <v>3.4254362473998241</v>
      </c>
      <c r="K646" s="24">
        <f>IF(CurrentMtgRatesDataTable811[[#This Row],[WA CC]]&lt;&gt;0,D645-CurrentMtgRatesDataTable811[[#This Row],[WA CC]],0)</f>
        <v>0.98456375260017603</v>
      </c>
      <c r="L646" s="24">
        <f>IF(CurrentMtgRatesDataTable811[[#This Row],[Servicing Spread]]&lt;=0,L645,CurrentMtgRatesDataTable811[[#This Row],[Servicing Spread]])</f>
        <v>0.98456375260017603</v>
      </c>
      <c r="M646" s="24">
        <f>CurrentMtgRatesDataTable811[[#This Row],[SeriesNumValue]]+CurrentMtgRatesDataTable811[[#This Row],[Servicing Spread Non-Zero]]</f>
        <v>4.4273121477159556</v>
      </c>
    </row>
    <row r="647" spans="2:13" x14ac:dyDescent="0.2">
      <c r="B647" s="27" t="s">
        <v>1328</v>
      </c>
      <c r="C647" s="28">
        <v>3.3206581307608101</v>
      </c>
      <c r="D647" s="26">
        <v>4.2149999999999999</v>
      </c>
      <c r="E647" s="24">
        <f t="shared" si="40"/>
        <v>1</v>
      </c>
      <c r="F647" s="24">
        <f>VLOOKUP(E647,Q$5:R$11,2,FALSE)</f>
        <v>0.2</v>
      </c>
      <c r="G647" s="24">
        <f t="shared" si="41"/>
        <v>1</v>
      </c>
      <c r="H647" s="24">
        <f>IF(G647&gt;G646,H646+C647*F647,C647*F647)</f>
        <v>0.66413162615216204</v>
      </c>
      <c r="I647" s="24">
        <f t="shared" si="42"/>
        <v>0.2</v>
      </c>
      <c r="J647" s="24">
        <f t="shared" si="43"/>
        <v>0</v>
      </c>
      <c r="K647" s="24">
        <f>IF(CurrentMtgRatesDataTable811[[#This Row],[WA CC]]&lt;&gt;0,D646-CurrentMtgRatesDataTable811[[#This Row],[WA CC]],0)</f>
        <v>0</v>
      </c>
      <c r="L647" s="24">
        <f>IF(CurrentMtgRatesDataTable811[[#This Row],[Servicing Spread]]&lt;=0,L646,CurrentMtgRatesDataTable811[[#This Row],[Servicing Spread]])</f>
        <v>0.98456375260017603</v>
      </c>
      <c r="M647" s="24">
        <f>CurrentMtgRatesDataTable811[[#This Row],[SeriesNumValue]]+CurrentMtgRatesDataTable811[[#This Row],[Servicing Spread Non-Zero]]</f>
        <v>4.3052218833609857</v>
      </c>
    </row>
    <row r="648" spans="2:13" x14ac:dyDescent="0.2">
      <c r="B648" s="27" t="s">
        <v>1329</v>
      </c>
      <c r="C648" s="28">
        <v>3.3094496735702101</v>
      </c>
      <c r="D648" s="26">
        <v>4.2149999999999999</v>
      </c>
      <c r="E648" s="24">
        <f t="shared" si="40"/>
        <v>2</v>
      </c>
      <c r="F648" s="24">
        <f>VLOOKUP(E648,Q$5:R$11,2,FALSE)</f>
        <v>0.2</v>
      </c>
      <c r="G648" s="24">
        <f t="shared" si="41"/>
        <v>2</v>
      </c>
      <c r="H648" s="24">
        <f>IF(G648&gt;G647,H647+C648*F648,C648*F648)</f>
        <v>1.326021560866204</v>
      </c>
      <c r="I648" s="24">
        <f t="shared" si="42"/>
        <v>0.4</v>
      </c>
      <c r="J648" s="24">
        <f t="shared" si="43"/>
        <v>0</v>
      </c>
      <c r="K648" s="24">
        <f>IF(CurrentMtgRatesDataTable811[[#This Row],[WA CC]]&lt;&gt;0,D647-CurrentMtgRatesDataTable811[[#This Row],[WA CC]],0)</f>
        <v>0</v>
      </c>
      <c r="L648" s="24">
        <f>IF(CurrentMtgRatesDataTable811[[#This Row],[Servicing Spread]]&lt;=0,L647,CurrentMtgRatesDataTable811[[#This Row],[Servicing Spread]])</f>
        <v>0.98456375260017603</v>
      </c>
      <c r="M648" s="24">
        <f>CurrentMtgRatesDataTable811[[#This Row],[SeriesNumValue]]+CurrentMtgRatesDataTable811[[#This Row],[Servicing Spread Non-Zero]]</f>
        <v>4.2940134261703857</v>
      </c>
    </row>
    <row r="649" spans="2:13" x14ac:dyDescent="0.2">
      <c r="B649" s="27" t="s">
        <v>1330</v>
      </c>
      <c r="C649" s="28">
        <v>3.2979461773808199</v>
      </c>
      <c r="D649" s="26">
        <v>4.2149999999999999</v>
      </c>
      <c r="E649" s="24">
        <f t="shared" si="40"/>
        <v>5</v>
      </c>
      <c r="F649" s="24">
        <f>VLOOKUP(E649,Q$5:R$11,2,FALSE)</f>
        <v>0.2</v>
      </c>
      <c r="G649" s="24">
        <f t="shared" si="41"/>
        <v>3</v>
      </c>
      <c r="H649" s="24">
        <f>IF(G649&gt;G648,H648+C649*F649,C649*F649)</f>
        <v>1.9856107963423679</v>
      </c>
      <c r="I649" s="24">
        <f t="shared" si="42"/>
        <v>0.60000000000000009</v>
      </c>
      <c r="J649" s="24">
        <f t="shared" si="43"/>
        <v>0</v>
      </c>
      <c r="K649" s="24">
        <f>IF(CurrentMtgRatesDataTable811[[#This Row],[WA CC]]&lt;&gt;0,D648-CurrentMtgRatesDataTable811[[#This Row],[WA CC]],0)</f>
        <v>0</v>
      </c>
      <c r="L649" s="24">
        <f>IF(CurrentMtgRatesDataTable811[[#This Row],[Servicing Spread]]&lt;=0,L648,CurrentMtgRatesDataTable811[[#This Row],[Servicing Spread]])</f>
        <v>0.98456375260017603</v>
      </c>
      <c r="M649" s="24">
        <f>CurrentMtgRatesDataTable811[[#This Row],[SeriesNumValue]]+CurrentMtgRatesDataTable811[[#This Row],[Servicing Spread Non-Zero]]</f>
        <v>4.2825099299809963</v>
      </c>
    </row>
    <row r="650" spans="2:13" x14ac:dyDescent="0.2">
      <c r="B650" s="27" t="s">
        <v>1331</v>
      </c>
      <c r="C650" s="28">
        <v>3.3118182496923301</v>
      </c>
      <c r="D650" s="26">
        <v>4.2149999999999999</v>
      </c>
      <c r="E650" s="24">
        <f t="shared" si="40"/>
        <v>6</v>
      </c>
      <c r="F650" s="24">
        <f>VLOOKUP(E650,Q$5:R$11,2,FALSE)</f>
        <v>0.2</v>
      </c>
      <c r="G650" s="24">
        <f t="shared" si="41"/>
        <v>4</v>
      </c>
      <c r="H650" s="24">
        <f>IF(G650&gt;G649,H649+C650*F650,C650*F650)</f>
        <v>2.6479744462808341</v>
      </c>
      <c r="I650" s="24">
        <f t="shared" si="42"/>
        <v>0.8</v>
      </c>
      <c r="J650" s="24">
        <f t="shared" si="43"/>
        <v>0</v>
      </c>
      <c r="K650" s="24">
        <f>IF(CurrentMtgRatesDataTable811[[#This Row],[WA CC]]&lt;&gt;0,D649-CurrentMtgRatesDataTable811[[#This Row],[WA CC]],0)</f>
        <v>0</v>
      </c>
      <c r="L650" s="24">
        <f>IF(CurrentMtgRatesDataTable811[[#This Row],[Servicing Spread]]&lt;=0,L649,CurrentMtgRatesDataTable811[[#This Row],[Servicing Spread]])</f>
        <v>0.98456375260017603</v>
      </c>
      <c r="M650" s="24">
        <f>CurrentMtgRatesDataTable811[[#This Row],[SeriesNumValue]]+CurrentMtgRatesDataTable811[[#This Row],[Servicing Spread Non-Zero]]</f>
        <v>4.2963820022925061</v>
      </c>
    </row>
    <row r="651" spans="2:13" x14ac:dyDescent="0.2">
      <c r="B651" s="27" t="s">
        <v>1332</v>
      </c>
      <c r="C651" s="28">
        <v>3.3689245044101299</v>
      </c>
      <c r="D651" s="26">
        <v>4.2149999999999999</v>
      </c>
      <c r="E651" s="24">
        <f t="shared" si="40"/>
        <v>7</v>
      </c>
      <c r="F651" s="24">
        <f>VLOOKUP(E651,Q$5:R$11,2,FALSE)</f>
        <v>0.2</v>
      </c>
      <c r="G651" s="24">
        <f t="shared" si="41"/>
        <v>5</v>
      </c>
      <c r="H651" s="24">
        <f>IF(G651&gt;G650,H650+C651*F651,C651*F651)</f>
        <v>3.3217593471628604</v>
      </c>
      <c r="I651" s="24">
        <f t="shared" si="42"/>
        <v>1</v>
      </c>
      <c r="J651" s="24">
        <f t="shared" si="43"/>
        <v>3.3217593471628604</v>
      </c>
      <c r="K651" s="24">
        <f>IF(CurrentMtgRatesDataTable811[[#This Row],[WA CC]]&lt;&gt;0,D650-CurrentMtgRatesDataTable811[[#This Row],[WA CC]],0)</f>
        <v>0.89324065283713949</v>
      </c>
      <c r="L651" s="24">
        <f>IF(CurrentMtgRatesDataTable811[[#This Row],[Servicing Spread]]&lt;=0,L650,CurrentMtgRatesDataTable811[[#This Row],[Servicing Spread]])</f>
        <v>0.89324065283713949</v>
      </c>
      <c r="M651" s="24">
        <f>CurrentMtgRatesDataTable811[[#This Row],[SeriesNumValue]]+CurrentMtgRatesDataTable811[[#This Row],[Servicing Spread Non-Zero]]</f>
        <v>4.262165157247269</v>
      </c>
    </row>
    <row r="652" spans="2:13" x14ac:dyDescent="0.2">
      <c r="B652" s="27" t="s">
        <v>1333</v>
      </c>
      <c r="C652" s="28">
        <v>3.6732513531495798</v>
      </c>
      <c r="D652" s="26">
        <v>4.46</v>
      </c>
      <c r="E652" s="24">
        <f t="shared" si="40"/>
        <v>2</v>
      </c>
      <c r="F652" s="24">
        <f>VLOOKUP(E652,Q$5:R$11,2,FALSE)</f>
        <v>0.2</v>
      </c>
      <c r="G652" s="24">
        <f t="shared" si="41"/>
        <v>1</v>
      </c>
      <c r="H652" s="24">
        <f>IF(G652&gt;G651,H651+C652*F652,C652*F652)</f>
        <v>0.73465027062991606</v>
      </c>
      <c r="I652" s="24">
        <f t="shared" si="42"/>
        <v>0.2</v>
      </c>
      <c r="J652" s="24">
        <f t="shared" si="43"/>
        <v>0</v>
      </c>
      <c r="K652" s="24">
        <f>IF(CurrentMtgRatesDataTable811[[#This Row],[WA CC]]&lt;&gt;0,D651-CurrentMtgRatesDataTable811[[#This Row],[WA CC]],0)</f>
        <v>0</v>
      </c>
      <c r="L652" s="24">
        <f>IF(CurrentMtgRatesDataTable811[[#This Row],[Servicing Spread]]&lt;=0,L651,CurrentMtgRatesDataTable811[[#This Row],[Servicing Spread]])</f>
        <v>0.89324065283713949</v>
      </c>
      <c r="M652" s="24">
        <f>CurrentMtgRatesDataTable811[[#This Row],[SeriesNumValue]]+CurrentMtgRatesDataTable811[[#This Row],[Servicing Spread Non-Zero]]</f>
        <v>4.5664920059867189</v>
      </c>
    </row>
    <row r="653" spans="2:13" x14ac:dyDescent="0.2">
      <c r="B653" s="27" t="s">
        <v>1334</v>
      </c>
      <c r="C653" s="28">
        <v>3.5446391609564598</v>
      </c>
      <c r="D653" s="26">
        <v>4.46</v>
      </c>
      <c r="E653" s="24">
        <f t="shared" si="40"/>
        <v>5</v>
      </c>
      <c r="F653" s="24">
        <f>VLOOKUP(E653,Q$5:R$11,2,FALSE)</f>
        <v>0.2</v>
      </c>
      <c r="G653" s="24">
        <f t="shared" si="41"/>
        <v>2</v>
      </c>
      <c r="H653" s="24">
        <f>IF(G653&gt;G652,H652+C653*F653,C653*F653)</f>
        <v>1.443578102821208</v>
      </c>
      <c r="I653" s="24">
        <f t="shared" si="42"/>
        <v>0.4</v>
      </c>
      <c r="J653" s="24">
        <f t="shared" si="43"/>
        <v>0</v>
      </c>
      <c r="K653" s="24">
        <f>IF(CurrentMtgRatesDataTable811[[#This Row],[WA CC]]&lt;&gt;0,D652-CurrentMtgRatesDataTable811[[#This Row],[WA CC]],0)</f>
        <v>0</v>
      </c>
      <c r="L653" s="24">
        <f>IF(CurrentMtgRatesDataTable811[[#This Row],[Servicing Spread]]&lt;=0,L652,CurrentMtgRatesDataTable811[[#This Row],[Servicing Spread]])</f>
        <v>0.89324065283713949</v>
      </c>
      <c r="M653" s="24">
        <f>CurrentMtgRatesDataTable811[[#This Row],[SeriesNumValue]]+CurrentMtgRatesDataTable811[[#This Row],[Servicing Spread Non-Zero]]</f>
        <v>4.4378798137935993</v>
      </c>
    </row>
    <row r="654" spans="2:13" x14ac:dyDescent="0.2">
      <c r="B654" s="27" t="s">
        <v>1335</v>
      </c>
      <c r="C654" s="28">
        <v>3.4880159980232399</v>
      </c>
      <c r="D654" s="26">
        <v>4.46</v>
      </c>
      <c r="E654" s="24">
        <f t="shared" si="40"/>
        <v>6</v>
      </c>
      <c r="F654" s="24">
        <f>VLOOKUP(E654,Q$5:R$11,2,FALSE)</f>
        <v>0.2</v>
      </c>
      <c r="G654" s="24">
        <f t="shared" si="41"/>
        <v>3</v>
      </c>
      <c r="H654" s="24">
        <f>IF(G654&gt;G653,H653+C654*F654,C654*F654)</f>
        <v>2.1411813024258559</v>
      </c>
      <c r="I654" s="24">
        <f t="shared" si="42"/>
        <v>0.60000000000000009</v>
      </c>
      <c r="J654" s="24">
        <f t="shared" si="43"/>
        <v>0</v>
      </c>
      <c r="K654" s="24">
        <f>IF(CurrentMtgRatesDataTable811[[#This Row],[WA CC]]&lt;&gt;0,D653-CurrentMtgRatesDataTable811[[#This Row],[WA CC]],0)</f>
        <v>0</v>
      </c>
      <c r="L654" s="24">
        <f>IF(CurrentMtgRatesDataTable811[[#This Row],[Servicing Spread]]&lt;=0,L653,CurrentMtgRatesDataTable811[[#This Row],[Servicing Spread]])</f>
        <v>0.89324065283713949</v>
      </c>
      <c r="M654" s="24">
        <f>CurrentMtgRatesDataTable811[[#This Row],[SeriesNumValue]]+CurrentMtgRatesDataTable811[[#This Row],[Servicing Spread Non-Zero]]</f>
        <v>4.3812566508603794</v>
      </c>
    </row>
    <row r="655" spans="2:13" x14ac:dyDescent="0.2">
      <c r="B655" s="27" t="s">
        <v>1336</v>
      </c>
      <c r="C655" s="28">
        <v>3.58537205832996</v>
      </c>
      <c r="D655" s="26">
        <v>4.46</v>
      </c>
      <c r="E655" s="24">
        <f t="shared" si="40"/>
        <v>7</v>
      </c>
      <c r="F655" s="24">
        <f>VLOOKUP(E655,Q$5:R$11,2,FALSE)</f>
        <v>0.2</v>
      </c>
      <c r="G655" s="24">
        <f t="shared" si="41"/>
        <v>4</v>
      </c>
      <c r="H655" s="24">
        <f>IF(G655&gt;G654,H654+C655*F655,C655*F655)</f>
        <v>2.8582557140918481</v>
      </c>
      <c r="I655" s="24">
        <f t="shared" si="42"/>
        <v>0.8</v>
      </c>
      <c r="J655" s="24">
        <f t="shared" si="43"/>
        <v>3.5728196426148098</v>
      </c>
      <c r="K655" s="24">
        <f>IF(CurrentMtgRatesDataTable811[[#This Row],[WA CC]]&lt;&gt;0,D654-CurrentMtgRatesDataTable811[[#This Row],[WA CC]],0)</f>
        <v>0.88718035738519019</v>
      </c>
      <c r="L655" s="24">
        <f>IF(CurrentMtgRatesDataTable811[[#This Row],[Servicing Spread]]&lt;=0,L654,CurrentMtgRatesDataTable811[[#This Row],[Servicing Spread]])</f>
        <v>0.88718035738519019</v>
      </c>
      <c r="M655" s="24">
        <f>CurrentMtgRatesDataTable811[[#This Row],[SeriesNumValue]]+CurrentMtgRatesDataTable811[[#This Row],[Servicing Spread Non-Zero]]</f>
        <v>4.4725524157151497</v>
      </c>
    </row>
    <row r="656" spans="2:13" x14ac:dyDescent="0.2">
      <c r="B656" s="27" t="s">
        <v>1337</v>
      </c>
      <c r="C656" s="28">
        <v>3.4679725505405199</v>
      </c>
      <c r="D656" s="26">
        <v>4.2949999999999999</v>
      </c>
      <c r="E656" s="24">
        <f t="shared" si="40"/>
        <v>1</v>
      </c>
      <c r="F656" s="24">
        <f>VLOOKUP(E656,Q$5:R$11,2,FALSE)</f>
        <v>0.2</v>
      </c>
      <c r="G656" s="24">
        <f t="shared" si="41"/>
        <v>1</v>
      </c>
      <c r="H656" s="24">
        <f>IF(G656&gt;G655,H655+C656*F656,C656*F656)</f>
        <v>0.69359451010810402</v>
      </c>
      <c r="I656" s="24">
        <f t="shared" si="42"/>
        <v>0.2</v>
      </c>
      <c r="J656" s="24">
        <f t="shared" si="43"/>
        <v>0</v>
      </c>
      <c r="K656" s="24">
        <f>IF(CurrentMtgRatesDataTable811[[#This Row],[WA CC]]&lt;&gt;0,D655-CurrentMtgRatesDataTable811[[#This Row],[WA CC]],0)</f>
        <v>0</v>
      </c>
      <c r="L656" s="24">
        <f>IF(CurrentMtgRatesDataTable811[[#This Row],[Servicing Spread]]&lt;=0,L655,CurrentMtgRatesDataTable811[[#This Row],[Servicing Spread]])</f>
        <v>0.88718035738519019</v>
      </c>
      <c r="M656" s="24">
        <f>CurrentMtgRatesDataTable811[[#This Row],[SeriesNumValue]]+CurrentMtgRatesDataTable811[[#This Row],[Servicing Spread Non-Zero]]</f>
        <v>4.3551529079257101</v>
      </c>
    </row>
    <row r="657" spans="2:13" x14ac:dyDescent="0.2">
      <c r="B657" s="27" t="s">
        <v>1338</v>
      </c>
      <c r="C657" s="28">
        <v>3.4748173662638</v>
      </c>
      <c r="D657" s="26">
        <v>4.2949999999999999</v>
      </c>
      <c r="E657" s="24">
        <f t="shared" si="40"/>
        <v>2</v>
      </c>
      <c r="F657" s="24">
        <f>VLOOKUP(E657,Q$5:R$11,2,FALSE)</f>
        <v>0.2</v>
      </c>
      <c r="G657" s="24">
        <f t="shared" si="41"/>
        <v>2</v>
      </c>
      <c r="H657" s="24">
        <f>IF(G657&gt;G656,H656+C657*F657,C657*F657)</f>
        <v>1.3885579833608641</v>
      </c>
      <c r="I657" s="24">
        <f t="shared" si="42"/>
        <v>0.4</v>
      </c>
      <c r="J657" s="24">
        <f t="shared" si="43"/>
        <v>0</v>
      </c>
      <c r="K657" s="24">
        <f>IF(CurrentMtgRatesDataTable811[[#This Row],[WA CC]]&lt;&gt;0,D656-CurrentMtgRatesDataTable811[[#This Row],[WA CC]],0)</f>
        <v>0</v>
      </c>
      <c r="L657" s="24">
        <f>IF(CurrentMtgRatesDataTable811[[#This Row],[Servicing Spread]]&lt;=0,L656,CurrentMtgRatesDataTable811[[#This Row],[Servicing Spread]])</f>
        <v>0.88718035738519019</v>
      </c>
      <c r="M657" s="24">
        <f>CurrentMtgRatesDataTable811[[#This Row],[SeriesNumValue]]+CurrentMtgRatesDataTable811[[#This Row],[Servicing Spread Non-Zero]]</f>
        <v>4.3619977236489902</v>
      </c>
    </row>
    <row r="658" spans="2:13" x14ac:dyDescent="0.2">
      <c r="B658" s="27" t="s">
        <v>1339</v>
      </c>
      <c r="C658" s="28">
        <v>3.40503285889704</v>
      </c>
      <c r="D658" s="26">
        <v>4.2949999999999999</v>
      </c>
      <c r="E658" s="24">
        <f t="shared" si="40"/>
        <v>5</v>
      </c>
      <c r="F658" s="24">
        <f>VLOOKUP(E658,Q$5:R$11,2,FALSE)</f>
        <v>0.2</v>
      </c>
      <c r="G658" s="24">
        <f t="shared" si="41"/>
        <v>3</v>
      </c>
      <c r="H658" s="24">
        <f>IF(G658&gt;G657,H657+C658*F658,C658*F658)</f>
        <v>2.0695645551402722</v>
      </c>
      <c r="I658" s="24">
        <f t="shared" si="42"/>
        <v>0.60000000000000009</v>
      </c>
      <c r="J658" s="24">
        <f t="shared" si="43"/>
        <v>0</v>
      </c>
      <c r="K658" s="24">
        <f>IF(CurrentMtgRatesDataTable811[[#This Row],[WA CC]]&lt;&gt;0,D657-CurrentMtgRatesDataTable811[[#This Row],[WA CC]],0)</f>
        <v>0</v>
      </c>
      <c r="L658" s="24">
        <f>IF(CurrentMtgRatesDataTable811[[#This Row],[Servicing Spread]]&lt;=0,L657,CurrentMtgRatesDataTable811[[#This Row],[Servicing Spread]])</f>
        <v>0.88718035738519019</v>
      </c>
      <c r="M658" s="24">
        <f>CurrentMtgRatesDataTable811[[#This Row],[SeriesNumValue]]+CurrentMtgRatesDataTable811[[#This Row],[Servicing Spread Non-Zero]]</f>
        <v>4.2922132162822297</v>
      </c>
    </row>
    <row r="659" spans="2:13" x14ac:dyDescent="0.2">
      <c r="B659" s="27" t="s">
        <v>1340</v>
      </c>
      <c r="C659" s="28">
        <v>3.3914708524147601</v>
      </c>
      <c r="D659" s="26">
        <v>4.2949999999999999</v>
      </c>
      <c r="E659" s="24">
        <f t="shared" si="40"/>
        <v>6</v>
      </c>
      <c r="F659" s="24">
        <f>VLOOKUP(E659,Q$5:R$11,2,FALSE)</f>
        <v>0.2</v>
      </c>
      <c r="G659" s="24">
        <f t="shared" si="41"/>
        <v>4</v>
      </c>
      <c r="H659" s="24">
        <f>IF(G659&gt;G658,H658+C659*F659,C659*F659)</f>
        <v>2.7478587256232241</v>
      </c>
      <c r="I659" s="24">
        <f t="shared" si="42"/>
        <v>0.8</v>
      </c>
      <c r="J659" s="24">
        <f t="shared" si="43"/>
        <v>0</v>
      </c>
      <c r="K659" s="24">
        <f>IF(CurrentMtgRatesDataTable811[[#This Row],[WA CC]]&lt;&gt;0,D658-CurrentMtgRatesDataTable811[[#This Row],[WA CC]],0)</f>
        <v>0</v>
      </c>
      <c r="L659" s="24">
        <f>IF(CurrentMtgRatesDataTable811[[#This Row],[Servicing Spread]]&lt;=0,L658,CurrentMtgRatesDataTable811[[#This Row],[Servicing Spread]])</f>
        <v>0.88718035738519019</v>
      </c>
      <c r="M659" s="24">
        <f>CurrentMtgRatesDataTable811[[#This Row],[SeriesNumValue]]+CurrentMtgRatesDataTable811[[#This Row],[Servicing Spread Non-Zero]]</f>
        <v>4.2786512097999498</v>
      </c>
    </row>
    <row r="660" spans="2:13" x14ac:dyDescent="0.2">
      <c r="B660" s="27" t="s">
        <v>1341</v>
      </c>
      <c r="C660" s="28">
        <v>3.34386583598301</v>
      </c>
      <c r="D660" s="26">
        <v>4.2949999999999999</v>
      </c>
      <c r="E660" s="24">
        <f t="shared" si="40"/>
        <v>7</v>
      </c>
      <c r="F660" s="24">
        <f>VLOOKUP(E660,Q$5:R$11,2,FALSE)</f>
        <v>0.2</v>
      </c>
      <c r="G660" s="24">
        <f t="shared" si="41"/>
        <v>5</v>
      </c>
      <c r="H660" s="24">
        <f>IF(G660&gt;G659,H659+C660*F660,C660*F660)</f>
        <v>3.4166318928198263</v>
      </c>
      <c r="I660" s="24">
        <f t="shared" si="42"/>
        <v>1</v>
      </c>
      <c r="J660" s="24">
        <f t="shared" si="43"/>
        <v>3.4166318928198263</v>
      </c>
      <c r="K660" s="24">
        <f>IF(CurrentMtgRatesDataTable811[[#This Row],[WA CC]]&lt;&gt;0,D659-CurrentMtgRatesDataTable811[[#This Row],[WA CC]],0)</f>
        <v>0.87836810718017366</v>
      </c>
      <c r="L660" s="24">
        <f>IF(CurrentMtgRatesDataTable811[[#This Row],[Servicing Spread]]&lt;=0,L659,CurrentMtgRatesDataTable811[[#This Row],[Servicing Spread]])</f>
        <v>0.87836810718017366</v>
      </c>
      <c r="M660" s="24">
        <f>CurrentMtgRatesDataTable811[[#This Row],[SeriesNumValue]]+CurrentMtgRatesDataTable811[[#This Row],[Servicing Spread Non-Zero]]</f>
        <v>4.2222339431631841</v>
      </c>
    </row>
    <row r="661" spans="2:13" x14ac:dyDescent="0.2">
      <c r="B661" s="27" t="s">
        <v>1342</v>
      </c>
      <c r="C661" s="28">
        <v>3.38884755763491</v>
      </c>
      <c r="D661" s="26">
        <v>4.26</v>
      </c>
      <c r="E661" s="24">
        <f t="shared" si="40"/>
        <v>1</v>
      </c>
      <c r="F661" s="24">
        <f>VLOOKUP(E661,Q$5:R$11,2,FALSE)</f>
        <v>0.2</v>
      </c>
      <c r="G661" s="24">
        <f t="shared" si="41"/>
        <v>1</v>
      </c>
      <c r="H661" s="24">
        <f>IF(G661&gt;G660,H660+C661*F661,C661*F661)</f>
        <v>0.67776951152698206</v>
      </c>
      <c r="I661" s="24">
        <f t="shared" si="42"/>
        <v>0.2</v>
      </c>
      <c r="J661" s="24">
        <f t="shared" si="43"/>
        <v>0</v>
      </c>
      <c r="K661" s="24">
        <f>IF(CurrentMtgRatesDataTable811[[#This Row],[WA CC]]&lt;&gt;0,D660-CurrentMtgRatesDataTable811[[#This Row],[WA CC]],0)</f>
        <v>0</v>
      </c>
      <c r="L661" s="24">
        <f>IF(CurrentMtgRatesDataTable811[[#This Row],[Servicing Spread]]&lt;=0,L660,CurrentMtgRatesDataTable811[[#This Row],[Servicing Spread]])</f>
        <v>0.87836810718017366</v>
      </c>
      <c r="M661" s="24">
        <f>CurrentMtgRatesDataTable811[[#This Row],[SeriesNumValue]]+CurrentMtgRatesDataTable811[[#This Row],[Servicing Spread Non-Zero]]</f>
        <v>4.2672156648150832</v>
      </c>
    </row>
    <row r="662" spans="2:13" x14ac:dyDescent="0.2">
      <c r="B662" s="27" t="s">
        <v>1343</v>
      </c>
      <c r="C662" s="28">
        <v>3.3313912756576198</v>
      </c>
      <c r="D662" s="26">
        <v>4.26</v>
      </c>
      <c r="E662" s="24">
        <f t="shared" si="40"/>
        <v>2</v>
      </c>
      <c r="F662" s="24">
        <f>VLOOKUP(E662,Q$5:R$11,2,FALSE)</f>
        <v>0.2</v>
      </c>
      <c r="G662" s="24">
        <f t="shared" si="41"/>
        <v>2</v>
      </c>
      <c r="H662" s="24">
        <f>IF(G662&gt;G661,H661+C662*F662,C662*F662)</f>
        <v>1.3440477666585062</v>
      </c>
      <c r="I662" s="24">
        <f t="shared" si="42"/>
        <v>0.4</v>
      </c>
      <c r="J662" s="24">
        <f t="shared" si="43"/>
        <v>0</v>
      </c>
      <c r="K662" s="24">
        <f>IF(CurrentMtgRatesDataTable811[[#This Row],[WA CC]]&lt;&gt;0,D661-CurrentMtgRatesDataTable811[[#This Row],[WA CC]],0)</f>
        <v>0</v>
      </c>
      <c r="L662" s="24">
        <f>IF(CurrentMtgRatesDataTable811[[#This Row],[Servicing Spread]]&lt;=0,L661,CurrentMtgRatesDataTable811[[#This Row],[Servicing Spread]])</f>
        <v>0.87836810718017366</v>
      </c>
      <c r="M662" s="24">
        <f>CurrentMtgRatesDataTable811[[#This Row],[SeriesNumValue]]+CurrentMtgRatesDataTable811[[#This Row],[Servicing Spread Non-Zero]]</f>
        <v>4.2097593828377935</v>
      </c>
    </row>
    <row r="663" spans="2:13" x14ac:dyDescent="0.2">
      <c r="B663" s="27" t="s">
        <v>1344</v>
      </c>
      <c r="C663" s="28">
        <v>3.3220828709767098</v>
      </c>
      <c r="D663" s="26">
        <v>4.26</v>
      </c>
      <c r="E663" s="24">
        <f t="shared" si="40"/>
        <v>5</v>
      </c>
      <c r="F663" s="24">
        <f>VLOOKUP(E663,Q$5:R$11,2,FALSE)</f>
        <v>0.2</v>
      </c>
      <c r="G663" s="24">
        <f t="shared" si="41"/>
        <v>3</v>
      </c>
      <c r="H663" s="24">
        <f>IF(G663&gt;G662,H662+C663*F663,C663*F663)</f>
        <v>2.0084643408538483</v>
      </c>
      <c r="I663" s="24">
        <f t="shared" si="42"/>
        <v>0.60000000000000009</v>
      </c>
      <c r="J663" s="24">
        <f t="shared" si="43"/>
        <v>0</v>
      </c>
      <c r="K663" s="24">
        <f>IF(CurrentMtgRatesDataTable811[[#This Row],[WA CC]]&lt;&gt;0,D662-CurrentMtgRatesDataTable811[[#This Row],[WA CC]],0)</f>
        <v>0</v>
      </c>
      <c r="L663" s="24">
        <f>IF(CurrentMtgRatesDataTable811[[#This Row],[Servicing Spread]]&lt;=0,L662,CurrentMtgRatesDataTable811[[#This Row],[Servicing Spread]])</f>
        <v>0.87836810718017366</v>
      </c>
      <c r="M663" s="24">
        <f>CurrentMtgRatesDataTable811[[#This Row],[SeriesNumValue]]+CurrentMtgRatesDataTable811[[#This Row],[Servicing Spread Non-Zero]]</f>
        <v>4.2004509781568835</v>
      </c>
    </row>
    <row r="664" spans="2:13" x14ac:dyDescent="0.2">
      <c r="B664" s="27" t="s">
        <v>1345</v>
      </c>
      <c r="C664" s="28">
        <v>3.3639050543487601</v>
      </c>
      <c r="D664" s="26">
        <v>4.26</v>
      </c>
      <c r="E664" s="24">
        <f t="shared" si="40"/>
        <v>6</v>
      </c>
      <c r="F664" s="24">
        <f>VLOOKUP(E664,Q$5:R$11,2,FALSE)</f>
        <v>0.2</v>
      </c>
      <c r="G664" s="24">
        <f t="shared" si="41"/>
        <v>4</v>
      </c>
      <c r="H664" s="24">
        <f>IF(G664&gt;G663,H663+C664*F664,C664*F664)</f>
        <v>2.6812453517236001</v>
      </c>
      <c r="I664" s="24">
        <f t="shared" si="42"/>
        <v>0.8</v>
      </c>
      <c r="J664" s="24">
        <f t="shared" si="43"/>
        <v>0</v>
      </c>
      <c r="K664" s="24">
        <f>IF(CurrentMtgRatesDataTable811[[#This Row],[WA CC]]&lt;&gt;0,D663-CurrentMtgRatesDataTable811[[#This Row],[WA CC]],0)</f>
        <v>0</v>
      </c>
      <c r="L664" s="24">
        <f>IF(CurrentMtgRatesDataTable811[[#This Row],[Servicing Spread]]&lt;=0,L663,CurrentMtgRatesDataTable811[[#This Row],[Servicing Spread]])</f>
        <v>0.87836810718017366</v>
      </c>
      <c r="M664" s="24">
        <f>CurrentMtgRatesDataTable811[[#This Row],[SeriesNumValue]]+CurrentMtgRatesDataTable811[[#This Row],[Servicing Spread Non-Zero]]</f>
        <v>4.2422731615289333</v>
      </c>
    </row>
    <row r="665" spans="2:13" x14ac:dyDescent="0.2">
      <c r="B665" s="27" t="s">
        <v>1346</v>
      </c>
      <c r="C665" s="28">
        <v>3.4296755954575699</v>
      </c>
      <c r="D665" s="26">
        <v>4.26</v>
      </c>
      <c r="E665" s="24">
        <f t="shared" si="40"/>
        <v>7</v>
      </c>
      <c r="F665" s="24">
        <f>VLOOKUP(E665,Q$5:R$11,2,FALSE)</f>
        <v>0.2</v>
      </c>
      <c r="G665" s="24">
        <f t="shared" si="41"/>
        <v>5</v>
      </c>
      <c r="H665" s="24">
        <f>IF(G665&gt;G664,H664+C665*F665,C665*F665)</f>
        <v>3.3671804708151143</v>
      </c>
      <c r="I665" s="24">
        <f t="shared" si="42"/>
        <v>1</v>
      </c>
      <c r="J665" s="24">
        <f t="shared" si="43"/>
        <v>3.3671804708151143</v>
      </c>
      <c r="K665" s="24">
        <f>IF(CurrentMtgRatesDataTable811[[#This Row],[WA CC]]&lt;&gt;0,D664-CurrentMtgRatesDataTable811[[#This Row],[WA CC]],0)</f>
        <v>0.8928195291848855</v>
      </c>
      <c r="L665" s="24">
        <f>IF(CurrentMtgRatesDataTable811[[#This Row],[Servicing Spread]]&lt;=0,L664,CurrentMtgRatesDataTable811[[#This Row],[Servicing Spread]])</f>
        <v>0.8928195291848855</v>
      </c>
      <c r="M665" s="24">
        <f>CurrentMtgRatesDataTable811[[#This Row],[SeriesNumValue]]+CurrentMtgRatesDataTable811[[#This Row],[Servicing Spread Non-Zero]]</f>
        <v>4.3224951246424554</v>
      </c>
    </row>
    <row r="666" spans="2:13" x14ac:dyDescent="0.2">
      <c r="B666" s="27" t="s">
        <v>1347</v>
      </c>
      <c r="C666" s="28">
        <v>3.4407863915877401</v>
      </c>
      <c r="D666" s="26">
        <v>4.3149999999999995</v>
      </c>
      <c r="E666" s="24">
        <f t="shared" si="40"/>
        <v>1</v>
      </c>
      <c r="F666" s="24">
        <f>VLOOKUP(E666,Q$5:R$11,2,FALSE)</f>
        <v>0.2</v>
      </c>
      <c r="G666" s="24">
        <f t="shared" si="41"/>
        <v>1</v>
      </c>
      <c r="H666" s="24">
        <f>IF(G666&gt;G665,H665+C666*F666,C666*F666)</f>
        <v>0.68815727831754803</v>
      </c>
      <c r="I666" s="24">
        <f t="shared" si="42"/>
        <v>0.2</v>
      </c>
      <c r="J666" s="24">
        <f t="shared" si="43"/>
        <v>0</v>
      </c>
      <c r="K666" s="24">
        <f>IF(CurrentMtgRatesDataTable811[[#This Row],[WA CC]]&lt;&gt;0,D665-CurrentMtgRatesDataTable811[[#This Row],[WA CC]],0)</f>
        <v>0</v>
      </c>
      <c r="L666" s="24">
        <f>IF(CurrentMtgRatesDataTable811[[#This Row],[Servicing Spread]]&lt;=0,L665,CurrentMtgRatesDataTable811[[#This Row],[Servicing Spread]])</f>
        <v>0.8928195291848855</v>
      </c>
      <c r="M666" s="24">
        <f>CurrentMtgRatesDataTable811[[#This Row],[SeriesNumValue]]+CurrentMtgRatesDataTable811[[#This Row],[Servicing Spread Non-Zero]]</f>
        <v>4.3336059207726256</v>
      </c>
    </row>
    <row r="667" spans="2:13" x14ac:dyDescent="0.2">
      <c r="B667" s="27" t="s">
        <v>1348</v>
      </c>
      <c r="C667" s="28">
        <v>3.3953206082541598</v>
      </c>
      <c r="D667" s="26">
        <v>4.3149999999999995</v>
      </c>
      <c r="E667" s="24">
        <f t="shared" si="40"/>
        <v>2</v>
      </c>
      <c r="F667" s="24">
        <f>VLOOKUP(E667,Q$5:R$11,2,FALSE)</f>
        <v>0.2</v>
      </c>
      <c r="G667" s="24">
        <f t="shared" si="41"/>
        <v>2</v>
      </c>
      <c r="H667" s="24">
        <f>IF(G667&gt;G666,H666+C667*F667,C667*F667)</f>
        <v>1.36722139996838</v>
      </c>
      <c r="I667" s="24">
        <f t="shared" si="42"/>
        <v>0.4</v>
      </c>
      <c r="J667" s="24">
        <f t="shared" si="43"/>
        <v>0</v>
      </c>
      <c r="K667" s="24">
        <f>IF(CurrentMtgRatesDataTable811[[#This Row],[WA CC]]&lt;&gt;0,D666-CurrentMtgRatesDataTable811[[#This Row],[WA CC]],0)</f>
        <v>0</v>
      </c>
      <c r="L667" s="24">
        <f>IF(CurrentMtgRatesDataTable811[[#This Row],[Servicing Spread]]&lt;=0,L666,CurrentMtgRatesDataTable811[[#This Row],[Servicing Spread]])</f>
        <v>0.8928195291848855</v>
      </c>
      <c r="M667" s="24">
        <f>CurrentMtgRatesDataTable811[[#This Row],[SeriesNumValue]]+CurrentMtgRatesDataTable811[[#This Row],[Servicing Spread Non-Zero]]</f>
        <v>4.2881401374390453</v>
      </c>
    </row>
    <row r="668" spans="2:13" x14ac:dyDescent="0.2">
      <c r="B668" s="27" t="s">
        <v>1349</v>
      </c>
      <c r="C668" s="28">
        <v>3.4061464314062202</v>
      </c>
      <c r="D668" s="26">
        <v>4.3149999999999995</v>
      </c>
      <c r="E668" s="24">
        <f t="shared" si="40"/>
        <v>5</v>
      </c>
      <c r="F668" s="24">
        <f>VLOOKUP(E668,Q$5:R$11,2,FALSE)</f>
        <v>0.2</v>
      </c>
      <c r="G668" s="24">
        <f t="shared" si="41"/>
        <v>3</v>
      </c>
      <c r="H668" s="24">
        <f>IF(G668&gt;G667,H667+C668*F668,C668*F668)</f>
        <v>2.0484506862496241</v>
      </c>
      <c r="I668" s="24">
        <f t="shared" si="42"/>
        <v>0.60000000000000009</v>
      </c>
      <c r="J668" s="24">
        <f t="shared" si="43"/>
        <v>0</v>
      </c>
      <c r="K668" s="24">
        <f>IF(CurrentMtgRatesDataTable811[[#This Row],[WA CC]]&lt;&gt;0,D667-CurrentMtgRatesDataTable811[[#This Row],[WA CC]],0)</f>
        <v>0</v>
      </c>
      <c r="L668" s="24">
        <f>IF(CurrentMtgRatesDataTable811[[#This Row],[Servicing Spread]]&lt;=0,L667,CurrentMtgRatesDataTable811[[#This Row],[Servicing Spread]])</f>
        <v>0.8928195291848855</v>
      </c>
      <c r="M668" s="24">
        <f>CurrentMtgRatesDataTable811[[#This Row],[SeriesNumValue]]+CurrentMtgRatesDataTable811[[#This Row],[Servicing Spread Non-Zero]]</f>
        <v>4.2989659605911061</v>
      </c>
    </row>
    <row r="669" spans="2:13" x14ac:dyDescent="0.2">
      <c r="B669" s="27" t="s">
        <v>1350</v>
      </c>
      <c r="C669" s="28">
        <v>3.4285967572115399</v>
      </c>
      <c r="D669" s="26">
        <v>4.3149999999999995</v>
      </c>
      <c r="E669" s="24">
        <f t="shared" si="40"/>
        <v>6</v>
      </c>
      <c r="F669" s="24">
        <f>VLOOKUP(E669,Q$5:R$11,2,FALSE)</f>
        <v>0.2</v>
      </c>
      <c r="G669" s="24">
        <f t="shared" si="41"/>
        <v>4</v>
      </c>
      <c r="H669" s="24">
        <f>IF(G669&gt;G668,H668+C669*F669,C669*F669)</f>
        <v>2.734170037691932</v>
      </c>
      <c r="I669" s="24">
        <f t="shared" si="42"/>
        <v>0.8</v>
      </c>
      <c r="J669" s="24">
        <f t="shared" si="43"/>
        <v>0</v>
      </c>
      <c r="K669" s="24">
        <f>IF(CurrentMtgRatesDataTable811[[#This Row],[WA CC]]&lt;&gt;0,D668-CurrentMtgRatesDataTable811[[#This Row],[WA CC]],0)</f>
        <v>0</v>
      </c>
      <c r="L669" s="24">
        <f>IF(CurrentMtgRatesDataTable811[[#This Row],[Servicing Spread]]&lt;=0,L668,CurrentMtgRatesDataTable811[[#This Row],[Servicing Spread]])</f>
        <v>0.8928195291848855</v>
      </c>
      <c r="M669" s="24">
        <f>CurrentMtgRatesDataTable811[[#This Row],[SeriesNumValue]]+CurrentMtgRatesDataTable811[[#This Row],[Servicing Spread Non-Zero]]</f>
        <v>4.3214162863964258</v>
      </c>
    </row>
    <row r="670" spans="2:13" x14ac:dyDescent="0.2">
      <c r="B670" s="27" t="s">
        <v>1351</v>
      </c>
      <c r="C670" s="28">
        <v>3.4095392657433901</v>
      </c>
      <c r="D670" s="26">
        <v>4.3149999999999995</v>
      </c>
      <c r="E670" s="24">
        <f t="shared" si="40"/>
        <v>7</v>
      </c>
      <c r="F670" s="24">
        <f>VLOOKUP(E670,Q$5:R$11,2,FALSE)</f>
        <v>0.2</v>
      </c>
      <c r="G670" s="24">
        <f t="shared" si="41"/>
        <v>5</v>
      </c>
      <c r="H670" s="24">
        <f>IF(G670&gt;G669,H669+C670*F670,C670*F670)</f>
        <v>3.4160778908406102</v>
      </c>
      <c r="I670" s="24">
        <f t="shared" si="42"/>
        <v>1</v>
      </c>
      <c r="J670" s="24">
        <f t="shared" si="43"/>
        <v>3.4160778908406102</v>
      </c>
      <c r="K670" s="24">
        <f>IF(CurrentMtgRatesDataTable811[[#This Row],[WA CC]]&lt;&gt;0,D669-CurrentMtgRatesDataTable811[[#This Row],[WA CC]],0)</f>
        <v>0.8989221091593893</v>
      </c>
      <c r="L670" s="24">
        <f>IF(CurrentMtgRatesDataTable811[[#This Row],[Servicing Spread]]&lt;=0,L669,CurrentMtgRatesDataTable811[[#This Row],[Servicing Spread]])</f>
        <v>0.8989221091593893</v>
      </c>
      <c r="M670" s="24">
        <f>CurrentMtgRatesDataTable811[[#This Row],[SeriesNumValue]]+CurrentMtgRatesDataTable811[[#This Row],[Servicing Spread Non-Zero]]</f>
        <v>4.3084613749027794</v>
      </c>
    </row>
    <row r="671" spans="2:13" x14ac:dyDescent="0.2">
      <c r="B671" s="27" t="s">
        <v>1352</v>
      </c>
      <c r="C671" s="28">
        <v>3.5328707550914098</v>
      </c>
      <c r="D671" s="26">
        <v>4.3250000000000002</v>
      </c>
      <c r="E671" s="24">
        <f t="shared" si="40"/>
        <v>1</v>
      </c>
      <c r="F671" s="24">
        <f>VLOOKUP(E671,Q$5:R$11,2,FALSE)</f>
        <v>0.2</v>
      </c>
      <c r="G671" s="24">
        <f t="shared" si="41"/>
        <v>1</v>
      </c>
      <c r="H671" s="24">
        <f>IF(G671&gt;G670,H670+C671*F671,C671*F671)</f>
        <v>0.70657415101828203</v>
      </c>
      <c r="I671" s="24">
        <f t="shared" si="42"/>
        <v>0.2</v>
      </c>
      <c r="J671" s="24">
        <f t="shared" si="43"/>
        <v>0</v>
      </c>
      <c r="K671" s="24">
        <f>IF(CurrentMtgRatesDataTable811[[#This Row],[WA CC]]&lt;&gt;0,D670-CurrentMtgRatesDataTable811[[#This Row],[WA CC]],0)</f>
        <v>0</v>
      </c>
      <c r="L671" s="24">
        <f>IF(CurrentMtgRatesDataTable811[[#This Row],[Servicing Spread]]&lt;=0,L670,CurrentMtgRatesDataTable811[[#This Row],[Servicing Spread]])</f>
        <v>0.8989221091593893</v>
      </c>
      <c r="M671" s="24">
        <f>CurrentMtgRatesDataTable811[[#This Row],[SeriesNumValue]]+CurrentMtgRatesDataTable811[[#This Row],[Servicing Spread Non-Zero]]</f>
        <v>4.4317928642507987</v>
      </c>
    </row>
    <row r="672" spans="2:13" x14ac:dyDescent="0.2">
      <c r="B672" s="27" t="s">
        <v>1353</v>
      </c>
      <c r="C672" s="28">
        <v>3.4035662511479701</v>
      </c>
      <c r="D672" s="26">
        <v>4.3250000000000002</v>
      </c>
      <c r="E672" s="24">
        <f t="shared" si="40"/>
        <v>2</v>
      </c>
      <c r="F672" s="24">
        <f>VLOOKUP(E672,Q$5:R$11,2,FALSE)</f>
        <v>0.2</v>
      </c>
      <c r="G672" s="24">
        <f t="shared" si="41"/>
        <v>2</v>
      </c>
      <c r="H672" s="24">
        <f>IF(G672&gt;G671,H671+C672*F672,C672*F672)</f>
        <v>1.387287401247876</v>
      </c>
      <c r="I672" s="24">
        <f t="shared" si="42"/>
        <v>0.4</v>
      </c>
      <c r="J672" s="24">
        <f t="shared" si="43"/>
        <v>0</v>
      </c>
      <c r="K672" s="24">
        <f>IF(CurrentMtgRatesDataTable811[[#This Row],[WA CC]]&lt;&gt;0,D671-CurrentMtgRatesDataTable811[[#This Row],[WA CC]],0)</f>
        <v>0</v>
      </c>
      <c r="L672" s="24">
        <f>IF(CurrentMtgRatesDataTable811[[#This Row],[Servicing Spread]]&lt;=0,L671,CurrentMtgRatesDataTable811[[#This Row],[Servicing Spread]])</f>
        <v>0.8989221091593893</v>
      </c>
      <c r="M672" s="24">
        <f>CurrentMtgRatesDataTable811[[#This Row],[SeriesNumValue]]+CurrentMtgRatesDataTable811[[#This Row],[Servicing Spread Non-Zero]]</f>
        <v>4.3024883603073594</v>
      </c>
    </row>
    <row r="673" spans="2:13" x14ac:dyDescent="0.2">
      <c r="B673" s="27" t="s">
        <v>1354</v>
      </c>
      <c r="C673" s="28">
        <v>3.4178117990662802</v>
      </c>
      <c r="D673" s="26">
        <v>4.3250000000000002</v>
      </c>
      <c r="E673" s="24">
        <f t="shared" si="40"/>
        <v>5</v>
      </c>
      <c r="F673" s="24">
        <f>VLOOKUP(E673,Q$5:R$11,2,FALSE)</f>
        <v>0.2</v>
      </c>
      <c r="G673" s="24">
        <f t="shared" si="41"/>
        <v>3</v>
      </c>
      <c r="H673" s="24">
        <f>IF(G673&gt;G672,H672+C673*F673,C673*F673)</f>
        <v>2.0708497610611323</v>
      </c>
      <c r="I673" s="24">
        <f t="shared" si="42"/>
        <v>0.60000000000000009</v>
      </c>
      <c r="J673" s="24">
        <f t="shared" si="43"/>
        <v>0</v>
      </c>
      <c r="K673" s="24">
        <f>IF(CurrentMtgRatesDataTable811[[#This Row],[WA CC]]&lt;&gt;0,D672-CurrentMtgRatesDataTable811[[#This Row],[WA CC]],0)</f>
        <v>0</v>
      </c>
      <c r="L673" s="24">
        <f>IF(CurrentMtgRatesDataTable811[[#This Row],[Servicing Spread]]&lt;=0,L672,CurrentMtgRatesDataTable811[[#This Row],[Servicing Spread]])</f>
        <v>0.8989221091593893</v>
      </c>
      <c r="M673" s="24">
        <f>CurrentMtgRatesDataTable811[[#This Row],[SeriesNumValue]]+CurrentMtgRatesDataTable811[[#This Row],[Servicing Spread Non-Zero]]</f>
        <v>4.3167339082256699</v>
      </c>
    </row>
    <row r="674" spans="2:13" x14ac:dyDescent="0.2">
      <c r="B674" s="27" t="s">
        <v>1355</v>
      </c>
      <c r="C674" s="28">
        <v>3.44308693748463</v>
      </c>
      <c r="D674" s="26">
        <v>4.3250000000000002</v>
      </c>
      <c r="E674" s="24">
        <f t="shared" si="40"/>
        <v>6</v>
      </c>
      <c r="F674" s="24">
        <f>VLOOKUP(E674,Q$5:R$11,2,FALSE)</f>
        <v>0.2</v>
      </c>
      <c r="G674" s="24">
        <f t="shared" si="41"/>
        <v>4</v>
      </c>
      <c r="H674" s="24">
        <f>IF(G674&gt;G673,H673+C674*F674,C674*F674)</f>
        <v>2.7594671485580582</v>
      </c>
      <c r="I674" s="24">
        <f t="shared" si="42"/>
        <v>0.8</v>
      </c>
      <c r="J674" s="24">
        <f t="shared" si="43"/>
        <v>0</v>
      </c>
      <c r="K674" s="24">
        <f>IF(CurrentMtgRatesDataTable811[[#This Row],[WA CC]]&lt;&gt;0,D673-CurrentMtgRatesDataTable811[[#This Row],[WA CC]],0)</f>
        <v>0</v>
      </c>
      <c r="L674" s="24">
        <f>IF(CurrentMtgRatesDataTable811[[#This Row],[Servicing Spread]]&lt;=0,L673,CurrentMtgRatesDataTable811[[#This Row],[Servicing Spread]])</f>
        <v>0.8989221091593893</v>
      </c>
      <c r="M674" s="24">
        <f>CurrentMtgRatesDataTable811[[#This Row],[SeriesNumValue]]+CurrentMtgRatesDataTable811[[#This Row],[Servicing Spread Non-Zero]]</f>
        <v>4.3420090466440193</v>
      </c>
    </row>
    <row r="675" spans="2:13" x14ac:dyDescent="0.2">
      <c r="B675" s="27" t="s">
        <v>1356</v>
      </c>
      <c r="C675" s="28">
        <v>3.40952934683791</v>
      </c>
      <c r="D675" s="26">
        <v>4.3250000000000002</v>
      </c>
      <c r="E675" s="24">
        <f t="shared" si="40"/>
        <v>7</v>
      </c>
      <c r="F675" s="24">
        <f>VLOOKUP(E675,Q$5:R$11,2,FALSE)</f>
        <v>0.2</v>
      </c>
      <c r="G675" s="24">
        <f t="shared" si="41"/>
        <v>5</v>
      </c>
      <c r="H675" s="24">
        <f>IF(G675&gt;G674,H674+C675*F675,C675*F675)</f>
        <v>3.4413730179256401</v>
      </c>
      <c r="I675" s="24">
        <f t="shared" si="42"/>
        <v>1</v>
      </c>
      <c r="J675" s="24">
        <f t="shared" si="43"/>
        <v>3.4413730179256401</v>
      </c>
      <c r="K675" s="24">
        <f>IF(CurrentMtgRatesDataTable811[[#This Row],[WA CC]]&lt;&gt;0,D674-CurrentMtgRatesDataTable811[[#This Row],[WA CC]],0)</f>
        <v>0.88362698207436008</v>
      </c>
      <c r="L675" s="24">
        <f>IF(CurrentMtgRatesDataTable811[[#This Row],[Servicing Spread]]&lt;=0,L674,CurrentMtgRatesDataTable811[[#This Row],[Servicing Spread]])</f>
        <v>0.88362698207436008</v>
      </c>
      <c r="M675" s="24">
        <f>CurrentMtgRatesDataTable811[[#This Row],[SeriesNumValue]]+CurrentMtgRatesDataTable811[[#This Row],[Servicing Spread Non-Zero]]</f>
        <v>4.2931563289122696</v>
      </c>
    </row>
    <row r="676" spans="2:13" x14ac:dyDescent="0.2">
      <c r="B676" s="27" t="s">
        <v>1357</v>
      </c>
      <c r="C676" s="28">
        <v>3.3814879030485301</v>
      </c>
      <c r="D676" s="26">
        <v>4.3250000000000002</v>
      </c>
      <c r="E676" s="24">
        <f t="shared" si="40"/>
        <v>1</v>
      </c>
      <c r="F676" s="24">
        <f>VLOOKUP(E676,Q$5:R$11,2,FALSE)</f>
        <v>0.2</v>
      </c>
      <c r="G676" s="24">
        <f t="shared" si="41"/>
        <v>1</v>
      </c>
      <c r="H676" s="24">
        <f>IF(G676&gt;G675,H675+C676*F676,C676*F676)</f>
        <v>0.67629758060970602</v>
      </c>
      <c r="I676" s="24">
        <f t="shared" si="42"/>
        <v>0.2</v>
      </c>
      <c r="J676" s="24">
        <f t="shared" si="43"/>
        <v>0</v>
      </c>
      <c r="K676" s="24">
        <f>IF(CurrentMtgRatesDataTable811[[#This Row],[WA CC]]&lt;&gt;0,D675-CurrentMtgRatesDataTable811[[#This Row],[WA CC]],0)</f>
        <v>0</v>
      </c>
      <c r="L676" s="24">
        <f>IF(CurrentMtgRatesDataTable811[[#This Row],[Servicing Spread]]&lt;=0,L675,CurrentMtgRatesDataTable811[[#This Row],[Servicing Spread]])</f>
        <v>0.88362698207436008</v>
      </c>
      <c r="M676" s="24">
        <f>CurrentMtgRatesDataTable811[[#This Row],[SeriesNumValue]]+CurrentMtgRatesDataTable811[[#This Row],[Servicing Spread Non-Zero]]</f>
        <v>4.2651148851228902</v>
      </c>
    </row>
    <row r="677" spans="2:13" x14ac:dyDescent="0.2">
      <c r="B677" s="27" t="s">
        <v>1358</v>
      </c>
      <c r="C677" s="28">
        <v>3.3639509131930398</v>
      </c>
      <c r="D677" s="26">
        <v>4.3250000000000002</v>
      </c>
      <c r="E677" s="24">
        <f t="shared" si="40"/>
        <v>2</v>
      </c>
      <c r="F677" s="24">
        <f>VLOOKUP(E677,Q$5:R$11,2,FALSE)</f>
        <v>0.2</v>
      </c>
      <c r="G677" s="24">
        <f t="shared" si="41"/>
        <v>2</v>
      </c>
      <c r="H677" s="24">
        <f>IF(G677&gt;G676,H676+C677*F677,C677*F677)</f>
        <v>1.349087763248314</v>
      </c>
      <c r="I677" s="24">
        <f t="shared" si="42"/>
        <v>0.4</v>
      </c>
      <c r="J677" s="24">
        <f t="shared" si="43"/>
        <v>0</v>
      </c>
      <c r="K677" s="24">
        <f>IF(CurrentMtgRatesDataTable811[[#This Row],[WA CC]]&lt;&gt;0,D676-CurrentMtgRatesDataTable811[[#This Row],[WA CC]],0)</f>
        <v>0</v>
      </c>
      <c r="L677" s="24">
        <f>IF(CurrentMtgRatesDataTable811[[#This Row],[Servicing Spread]]&lt;=0,L676,CurrentMtgRatesDataTable811[[#This Row],[Servicing Spread]])</f>
        <v>0.88362698207436008</v>
      </c>
      <c r="M677" s="24">
        <f>CurrentMtgRatesDataTable811[[#This Row],[SeriesNumValue]]+CurrentMtgRatesDataTable811[[#This Row],[Servicing Spread Non-Zero]]</f>
        <v>4.2475778952673995</v>
      </c>
    </row>
    <row r="678" spans="2:13" x14ac:dyDescent="0.2">
      <c r="B678" s="27" t="s">
        <v>1359</v>
      </c>
      <c r="C678" s="28">
        <v>3.38388390000057</v>
      </c>
      <c r="D678" s="26">
        <v>4.3250000000000002</v>
      </c>
      <c r="E678" s="24">
        <f t="shared" si="40"/>
        <v>5</v>
      </c>
      <c r="F678" s="24">
        <f>VLOOKUP(E678,Q$5:R$11,2,FALSE)</f>
        <v>0.2</v>
      </c>
      <c r="G678" s="24">
        <f t="shared" si="41"/>
        <v>3</v>
      </c>
      <c r="H678" s="24">
        <f>IF(G678&gt;G677,H677+C678*F678,C678*F678)</f>
        <v>2.0258645432484279</v>
      </c>
      <c r="I678" s="24">
        <f t="shared" si="42"/>
        <v>0.60000000000000009</v>
      </c>
      <c r="J678" s="24">
        <f t="shared" si="43"/>
        <v>0</v>
      </c>
      <c r="K678" s="24">
        <f>IF(CurrentMtgRatesDataTable811[[#This Row],[WA CC]]&lt;&gt;0,D677-CurrentMtgRatesDataTable811[[#This Row],[WA CC]],0)</f>
        <v>0</v>
      </c>
      <c r="L678" s="24">
        <f>IF(CurrentMtgRatesDataTable811[[#This Row],[Servicing Spread]]&lt;=0,L677,CurrentMtgRatesDataTable811[[#This Row],[Servicing Spread]])</f>
        <v>0.88362698207436008</v>
      </c>
      <c r="M678" s="24">
        <f>CurrentMtgRatesDataTable811[[#This Row],[SeriesNumValue]]+CurrentMtgRatesDataTable811[[#This Row],[Servicing Spread Non-Zero]]</f>
        <v>4.2675108820749301</v>
      </c>
    </row>
    <row r="679" spans="2:13" x14ac:dyDescent="0.2">
      <c r="B679" s="27" t="s">
        <v>1360</v>
      </c>
      <c r="C679" s="28">
        <v>3.48659769885389</v>
      </c>
      <c r="D679" s="26">
        <v>4.3250000000000002</v>
      </c>
      <c r="E679" s="24">
        <f t="shared" si="40"/>
        <v>6</v>
      </c>
      <c r="F679" s="24">
        <f>VLOOKUP(E679,Q$5:R$11,2,FALSE)</f>
        <v>0.2</v>
      </c>
      <c r="G679" s="24">
        <f t="shared" si="41"/>
        <v>4</v>
      </c>
      <c r="H679" s="24">
        <f>IF(G679&gt;G678,H678+C679*F679,C679*F679)</f>
        <v>2.723184083019206</v>
      </c>
      <c r="I679" s="24">
        <f t="shared" si="42"/>
        <v>0.8</v>
      </c>
      <c r="J679" s="24">
        <f t="shared" si="43"/>
        <v>0</v>
      </c>
      <c r="K679" s="24">
        <f>IF(CurrentMtgRatesDataTable811[[#This Row],[WA CC]]&lt;&gt;0,D678-CurrentMtgRatesDataTable811[[#This Row],[WA CC]],0)</f>
        <v>0</v>
      </c>
      <c r="L679" s="24">
        <f>IF(CurrentMtgRatesDataTable811[[#This Row],[Servicing Spread]]&lt;=0,L678,CurrentMtgRatesDataTable811[[#This Row],[Servicing Spread]])</f>
        <v>0.88362698207436008</v>
      </c>
      <c r="M679" s="24">
        <f>CurrentMtgRatesDataTable811[[#This Row],[SeriesNumValue]]+CurrentMtgRatesDataTable811[[#This Row],[Servicing Spread Non-Zero]]</f>
        <v>4.3702246809282501</v>
      </c>
    </row>
    <row r="680" spans="2:13" x14ac:dyDescent="0.2">
      <c r="B680" s="27" t="s">
        <v>1361</v>
      </c>
      <c r="C680" s="28">
        <v>3.48408848788866</v>
      </c>
      <c r="D680" s="26">
        <v>4.3250000000000002</v>
      </c>
      <c r="E680" s="24">
        <f t="shared" si="40"/>
        <v>7</v>
      </c>
      <c r="F680" s="24">
        <f>VLOOKUP(E680,Q$5:R$11,2,FALSE)</f>
        <v>0.2</v>
      </c>
      <c r="G680" s="24">
        <f t="shared" si="41"/>
        <v>5</v>
      </c>
      <c r="H680" s="24">
        <f>IF(G680&gt;G679,H679+C680*F680,C680*F680)</f>
        <v>3.4200017805969383</v>
      </c>
      <c r="I680" s="24">
        <f t="shared" si="42"/>
        <v>1</v>
      </c>
      <c r="J680" s="24">
        <f t="shared" si="43"/>
        <v>3.4200017805969383</v>
      </c>
      <c r="K680" s="24">
        <f>IF(CurrentMtgRatesDataTable811[[#This Row],[WA CC]]&lt;&gt;0,D679-CurrentMtgRatesDataTable811[[#This Row],[WA CC]],0)</f>
        <v>0.90499821940306191</v>
      </c>
      <c r="L680" s="24">
        <f>IF(CurrentMtgRatesDataTable811[[#This Row],[Servicing Spread]]&lt;=0,L679,CurrentMtgRatesDataTable811[[#This Row],[Servicing Spread]])</f>
        <v>0.90499821940306191</v>
      </c>
      <c r="M680" s="24">
        <f>CurrentMtgRatesDataTable811[[#This Row],[SeriesNumValue]]+CurrentMtgRatesDataTable811[[#This Row],[Servicing Spread Non-Zero]]</f>
        <v>4.3890867072917219</v>
      </c>
    </row>
    <row r="681" spans="2:13" x14ac:dyDescent="0.2">
      <c r="B681" s="27" t="s">
        <v>1362</v>
      </c>
      <c r="C681" s="28">
        <v>3.5424603238556802</v>
      </c>
      <c r="D681" s="26">
        <v>4.53</v>
      </c>
      <c r="E681" s="24">
        <f t="shared" si="40"/>
        <v>1</v>
      </c>
      <c r="F681" s="24">
        <f>VLOOKUP(E681,Q$5:R$11,2,FALSE)</f>
        <v>0.2</v>
      </c>
      <c r="G681" s="24">
        <f t="shared" si="41"/>
        <v>1</v>
      </c>
      <c r="H681" s="24">
        <f>IF(G681&gt;G680,H680+C681*F681,C681*F681)</f>
        <v>0.70849206477113613</v>
      </c>
      <c r="I681" s="24">
        <f t="shared" si="42"/>
        <v>0.2</v>
      </c>
      <c r="J681" s="24">
        <f t="shared" si="43"/>
        <v>0</v>
      </c>
      <c r="K681" s="24">
        <f>IF(CurrentMtgRatesDataTable811[[#This Row],[WA CC]]&lt;&gt;0,D680-CurrentMtgRatesDataTable811[[#This Row],[WA CC]],0)</f>
        <v>0</v>
      </c>
      <c r="L681" s="24">
        <f>IF(CurrentMtgRatesDataTable811[[#This Row],[Servicing Spread]]&lt;=0,L680,CurrentMtgRatesDataTable811[[#This Row],[Servicing Spread]])</f>
        <v>0.90499821940306191</v>
      </c>
      <c r="M681" s="24">
        <f>CurrentMtgRatesDataTable811[[#This Row],[SeriesNumValue]]+CurrentMtgRatesDataTable811[[#This Row],[Servicing Spread Non-Zero]]</f>
        <v>4.4474585432587421</v>
      </c>
    </row>
    <row r="682" spans="2:13" x14ac:dyDescent="0.2">
      <c r="B682" s="27" t="s">
        <v>1363</v>
      </c>
      <c r="C682" s="28">
        <v>3.63422852757154</v>
      </c>
      <c r="D682" s="26">
        <v>4.53</v>
      </c>
      <c r="E682" s="24">
        <f t="shared" si="40"/>
        <v>2</v>
      </c>
      <c r="F682" s="24">
        <f>VLOOKUP(E682,Q$5:R$11,2,FALSE)</f>
        <v>0.2</v>
      </c>
      <c r="G682" s="24">
        <f t="shared" si="41"/>
        <v>2</v>
      </c>
      <c r="H682" s="24">
        <f>IF(G682&gt;G681,H681+C682*F682,C682*F682)</f>
        <v>1.4353377702854442</v>
      </c>
      <c r="I682" s="24">
        <f t="shared" si="42"/>
        <v>0.4</v>
      </c>
      <c r="J682" s="24">
        <f t="shared" si="43"/>
        <v>0</v>
      </c>
      <c r="K682" s="24">
        <f>IF(CurrentMtgRatesDataTable811[[#This Row],[WA CC]]&lt;&gt;0,D681-CurrentMtgRatesDataTable811[[#This Row],[WA CC]],0)</f>
        <v>0</v>
      </c>
      <c r="L682" s="24">
        <f>IF(CurrentMtgRatesDataTable811[[#This Row],[Servicing Spread]]&lt;=0,L681,CurrentMtgRatesDataTable811[[#This Row],[Servicing Spread]])</f>
        <v>0.90499821940306191</v>
      </c>
      <c r="M682" s="24">
        <f>CurrentMtgRatesDataTable811[[#This Row],[SeriesNumValue]]+CurrentMtgRatesDataTable811[[#This Row],[Servicing Spread Non-Zero]]</f>
        <v>4.5392267469746024</v>
      </c>
    </row>
    <row r="683" spans="2:13" x14ac:dyDescent="0.2">
      <c r="B683" s="27" t="s">
        <v>1364</v>
      </c>
      <c r="C683" s="28">
        <v>3.71104784086622</v>
      </c>
      <c r="D683" s="26">
        <v>4.53</v>
      </c>
      <c r="E683" s="24">
        <f t="shared" si="40"/>
        <v>5</v>
      </c>
      <c r="F683" s="24">
        <f>VLOOKUP(E683,Q$5:R$11,2,FALSE)</f>
        <v>0.2</v>
      </c>
      <c r="G683" s="24">
        <f t="shared" si="41"/>
        <v>3</v>
      </c>
      <c r="H683" s="24">
        <f>IF(G683&gt;G682,H682+C683*F683,C683*F683)</f>
        <v>2.1775473384586883</v>
      </c>
      <c r="I683" s="24">
        <f t="shared" si="42"/>
        <v>0.60000000000000009</v>
      </c>
      <c r="J683" s="24">
        <f t="shared" si="43"/>
        <v>0</v>
      </c>
      <c r="K683" s="24">
        <f>IF(CurrentMtgRatesDataTable811[[#This Row],[WA CC]]&lt;&gt;0,D682-CurrentMtgRatesDataTable811[[#This Row],[WA CC]],0)</f>
        <v>0</v>
      </c>
      <c r="L683" s="24">
        <f>IF(CurrentMtgRatesDataTable811[[#This Row],[Servicing Spread]]&lt;=0,L682,CurrentMtgRatesDataTable811[[#This Row],[Servicing Spread]])</f>
        <v>0.90499821940306191</v>
      </c>
      <c r="M683" s="24">
        <f>CurrentMtgRatesDataTable811[[#This Row],[SeriesNumValue]]+CurrentMtgRatesDataTable811[[#This Row],[Servicing Spread Non-Zero]]</f>
        <v>4.6160460602692819</v>
      </c>
    </row>
    <row r="684" spans="2:13" x14ac:dyDescent="0.2">
      <c r="B684" s="27" t="s">
        <v>1365</v>
      </c>
      <c r="C684" s="28">
        <v>3.63068303363114</v>
      </c>
      <c r="D684" s="26">
        <v>4.53</v>
      </c>
      <c r="E684" s="24">
        <f t="shared" si="40"/>
        <v>6</v>
      </c>
      <c r="F684" s="24">
        <f>VLOOKUP(E684,Q$5:R$11,2,FALSE)</f>
        <v>0.2</v>
      </c>
      <c r="G684" s="24">
        <f t="shared" si="41"/>
        <v>4</v>
      </c>
      <c r="H684" s="24">
        <f>IF(G684&gt;G683,H683+C684*F684,C684*F684)</f>
        <v>2.9036839451849161</v>
      </c>
      <c r="I684" s="24">
        <f t="shared" si="42"/>
        <v>0.8</v>
      </c>
      <c r="J684" s="24">
        <f t="shared" si="43"/>
        <v>0</v>
      </c>
      <c r="K684" s="24">
        <f>IF(CurrentMtgRatesDataTable811[[#This Row],[WA CC]]&lt;&gt;0,D683-CurrentMtgRatesDataTable811[[#This Row],[WA CC]],0)</f>
        <v>0</v>
      </c>
      <c r="L684" s="24">
        <f>IF(CurrentMtgRatesDataTable811[[#This Row],[Servicing Spread]]&lt;=0,L683,CurrentMtgRatesDataTable811[[#This Row],[Servicing Spread]])</f>
        <v>0.90499821940306191</v>
      </c>
      <c r="M684" s="24">
        <f>CurrentMtgRatesDataTable811[[#This Row],[SeriesNumValue]]+CurrentMtgRatesDataTable811[[#This Row],[Servicing Spread Non-Zero]]</f>
        <v>4.5356812530342019</v>
      </c>
    </row>
    <row r="685" spans="2:13" x14ac:dyDescent="0.2">
      <c r="B685" s="27" t="s">
        <v>1366</v>
      </c>
      <c r="C685" s="28">
        <v>3.6746442970123199</v>
      </c>
      <c r="D685" s="26">
        <v>4.53</v>
      </c>
      <c r="E685" s="24">
        <f t="shared" si="40"/>
        <v>7</v>
      </c>
      <c r="F685" s="24">
        <f>VLOOKUP(E685,Q$5:R$11,2,FALSE)</f>
        <v>0.2</v>
      </c>
      <c r="G685" s="24">
        <f t="shared" si="41"/>
        <v>5</v>
      </c>
      <c r="H685" s="24">
        <f>IF(G685&gt;G684,H684+C685*F685,C685*F685)</f>
        <v>3.63861280458738</v>
      </c>
      <c r="I685" s="24">
        <f t="shared" si="42"/>
        <v>1</v>
      </c>
      <c r="J685" s="24">
        <f t="shared" si="43"/>
        <v>3.63861280458738</v>
      </c>
      <c r="K685" s="24">
        <f>IF(CurrentMtgRatesDataTable811[[#This Row],[WA CC]]&lt;&gt;0,D684-CurrentMtgRatesDataTable811[[#This Row],[WA CC]],0)</f>
        <v>0.89138719541262024</v>
      </c>
      <c r="L685" s="24">
        <f>IF(CurrentMtgRatesDataTable811[[#This Row],[Servicing Spread]]&lt;=0,L684,CurrentMtgRatesDataTable811[[#This Row],[Servicing Spread]])</f>
        <v>0.89138719541262024</v>
      </c>
      <c r="M685" s="24">
        <f>CurrentMtgRatesDataTable811[[#This Row],[SeriesNumValue]]+CurrentMtgRatesDataTable811[[#This Row],[Servicing Spread Non-Zero]]</f>
        <v>4.5660314924249406</v>
      </c>
    </row>
    <row r="686" spans="2:13" x14ac:dyDescent="0.2">
      <c r="B686" s="27" t="s">
        <v>1367</v>
      </c>
      <c r="C686" s="28">
        <v>3.7101937917241501</v>
      </c>
      <c r="D686" s="26">
        <v>4.4349999999999996</v>
      </c>
      <c r="E686" s="24">
        <f t="shared" si="40"/>
        <v>1</v>
      </c>
      <c r="F686" s="24">
        <f>VLOOKUP(E686,Q$5:R$11,2,FALSE)</f>
        <v>0.2</v>
      </c>
      <c r="G686" s="24">
        <f t="shared" si="41"/>
        <v>1</v>
      </c>
      <c r="H686" s="24">
        <f>IF(G686&gt;G685,H685+C686*F686,C686*F686)</f>
        <v>0.74203875834483002</v>
      </c>
      <c r="I686" s="24">
        <f t="shared" si="42"/>
        <v>0.2</v>
      </c>
      <c r="J686" s="24">
        <f t="shared" si="43"/>
        <v>0</v>
      </c>
      <c r="K686" s="24">
        <f>IF(CurrentMtgRatesDataTable811[[#This Row],[WA CC]]&lt;&gt;0,D685-CurrentMtgRatesDataTable811[[#This Row],[WA CC]],0)</f>
        <v>0</v>
      </c>
      <c r="L686" s="24">
        <f>IF(CurrentMtgRatesDataTable811[[#This Row],[Servicing Spread]]&lt;=0,L685,CurrentMtgRatesDataTable811[[#This Row],[Servicing Spread]])</f>
        <v>0.89138719541262024</v>
      </c>
      <c r="M686" s="24">
        <f>CurrentMtgRatesDataTable811[[#This Row],[SeriesNumValue]]+CurrentMtgRatesDataTable811[[#This Row],[Servicing Spread Non-Zero]]</f>
        <v>4.6015809871367708</v>
      </c>
    </row>
    <row r="687" spans="2:13" x14ac:dyDescent="0.2">
      <c r="B687" s="27" t="s">
        <v>1368</v>
      </c>
      <c r="C687" s="28">
        <v>3.6014591745782401</v>
      </c>
      <c r="D687" s="26">
        <v>4.4349999999999996</v>
      </c>
      <c r="E687" s="24">
        <f t="shared" si="40"/>
        <v>2</v>
      </c>
      <c r="F687" s="24">
        <f>VLOOKUP(E687,Q$5:R$11,2,FALSE)</f>
        <v>0.2</v>
      </c>
      <c r="G687" s="24">
        <f t="shared" si="41"/>
        <v>2</v>
      </c>
      <c r="H687" s="24">
        <f>IF(G687&gt;G686,H686+C687*F687,C687*F687)</f>
        <v>1.4623305932604782</v>
      </c>
      <c r="I687" s="24">
        <f t="shared" si="42"/>
        <v>0.4</v>
      </c>
      <c r="J687" s="24">
        <f t="shared" si="43"/>
        <v>0</v>
      </c>
      <c r="K687" s="24">
        <f>IF(CurrentMtgRatesDataTable811[[#This Row],[WA CC]]&lt;&gt;0,D686-CurrentMtgRatesDataTable811[[#This Row],[WA CC]],0)</f>
        <v>0</v>
      </c>
      <c r="L687" s="24">
        <f>IF(CurrentMtgRatesDataTable811[[#This Row],[Servicing Spread]]&lt;=0,L686,CurrentMtgRatesDataTable811[[#This Row],[Servicing Spread]])</f>
        <v>0.89138719541262024</v>
      </c>
      <c r="M687" s="24">
        <f>CurrentMtgRatesDataTable811[[#This Row],[SeriesNumValue]]+CurrentMtgRatesDataTable811[[#This Row],[Servicing Spread Non-Zero]]</f>
        <v>4.4928463699908603</v>
      </c>
    </row>
    <row r="688" spans="2:13" x14ac:dyDescent="0.2">
      <c r="B688" s="27" t="s">
        <v>1369</v>
      </c>
      <c r="C688" s="28">
        <v>3.5649427405180001</v>
      </c>
      <c r="D688" s="26">
        <v>4.4349999999999996</v>
      </c>
      <c r="E688" s="24">
        <f t="shared" si="40"/>
        <v>5</v>
      </c>
      <c r="F688" s="24">
        <f>VLOOKUP(E688,Q$5:R$11,2,FALSE)</f>
        <v>0.2</v>
      </c>
      <c r="G688" s="24">
        <f t="shared" si="41"/>
        <v>3</v>
      </c>
      <c r="H688" s="24">
        <f>IF(G688&gt;G687,H687+C688*F688,C688*F688)</f>
        <v>2.1753191413640782</v>
      </c>
      <c r="I688" s="24">
        <f t="shared" si="42"/>
        <v>0.60000000000000009</v>
      </c>
      <c r="J688" s="24">
        <f t="shared" si="43"/>
        <v>0</v>
      </c>
      <c r="K688" s="24">
        <f>IF(CurrentMtgRatesDataTable811[[#This Row],[WA CC]]&lt;&gt;0,D687-CurrentMtgRatesDataTable811[[#This Row],[WA CC]],0)</f>
        <v>0</v>
      </c>
      <c r="L688" s="24">
        <f>IF(CurrentMtgRatesDataTable811[[#This Row],[Servicing Spread]]&lt;=0,L687,CurrentMtgRatesDataTable811[[#This Row],[Servicing Spread]])</f>
        <v>0.89138719541262024</v>
      </c>
      <c r="M688" s="24">
        <f>CurrentMtgRatesDataTable811[[#This Row],[SeriesNumValue]]+CurrentMtgRatesDataTable811[[#This Row],[Servicing Spread Non-Zero]]</f>
        <v>4.4563299359306203</v>
      </c>
    </row>
    <row r="689" spans="2:13" x14ac:dyDescent="0.2">
      <c r="B689" s="27" t="s">
        <v>1370</v>
      </c>
      <c r="C689" s="28">
        <v>3.4950120682199999</v>
      </c>
      <c r="D689" s="26">
        <v>4.4349999999999996</v>
      </c>
      <c r="E689" s="24">
        <f t="shared" si="40"/>
        <v>6</v>
      </c>
      <c r="F689" s="24">
        <f>VLOOKUP(E689,Q$5:R$11,2,FALSE)</f>
        <v>0.2</v>
      </c>
      <c r="G689" s="24">
        <f t="shared" si="41"/>
        <v>4</v>
      </c>
      <c r="H689" s="24">
        <f>IF(G689&gt;G688,H688+C689*F689,C689*F689)</f>
        <v>2.8743215550080783</v>
      </c>
      <c r="I689" s="24">
        <f t="shared" si="42"/>
        <v>0.8</v>
      </c>
      <c r="J689" s="24">
        <f t="shared" si="43"/>
        <v>0</v>
      </c>
      <c r="K689" s="24">
        <f>IF(CurrentMtgRatesDataTable811[[#This Row],[WA CC]]&lt;&gt;0,D688-CurrentMtgRatesDataTable811[[#This Row],[WA CC]],0)</f>
        <v>0</v>
      </c>
      <c r="L689" s="24">
        <f>IF(CurrentMtgRatesDataTable811[[#This Row],[Servicing Spread]]&lt;=0,L688,CurrentMtgRatesDataTable811[[#This Row],[Servicing Spread]])</f>
        <v>0.89138719541262024</v>
      </c>
      <c r="M689" s="24">
        <f>CurrentMtgRatesDataTable811[[#This Row],[SeriesNumValue]]+CurrentMtgRatesDataTable811[[#This Row],[Servicing Spread Non-Zero]]</f>
        <v>4.3863992636326206</v>
      </c>
    </row>
    <row r="690" spans="2:13" x14ac:dyDescent="0.2">
      <c r="B690" s="27" t="s">
        <v>1371</v>
      </c>
      <c r="C690" s="28">
        <v>3.5645215625566</v>
      </c>
      <c r="D690" s="26">
        <v>4.4349999999999996</v>
      </c>
      <c r="E690" s="24">
        <f t="shared" si="40"/>
        <v>7</v>
      </c>
      <c r="F690" s="24">
        <f>VLOOKUP(E690,Q$5:R$11,2,FALSE)</f>
        <v>0.2</v>
      </c>
      <c r="G690" s="24">
        <f t="shared" si="41"/>
        <v>5</v>
      </c>
      <c r="H690" s="24">
        <f>IF(G690&gt;G689,H689+C690*F690,C690*F690)</f>
        <v>3.5872258675193982</v>
      </c>
      <c r="I690" s="24">
        <f t="shared" si="42"/>
        <v>1</v>
      </c>
      <c r="J690" s="24">
        <f t="shared" si="43"/>
        <v>3.5872258675193982</v>
      </c>
      <c r="K690" s="24">
        <f>IF(CurrentMtgRatesDataTable811[[#This Row],[WA CC]]&lt;&gt;0,D689-CurrentMtgRatesDataTable811[[#This Row],[WA CC]],0)</f>
        <v>0.84777413248060141</v>
      </c>
      <c r="L690" s="24">
        <f>IF(CurrentMtgRatesDataTable811[[#This Row],[Servicing Spread]]&lt;=0,L689,CurrentMtgRatesDataTable811[[#This Row],[Servicing Spread]])</f>
        <v>0.84777413248060141</v>
      </c>
      <c r="M690" s="24">
        <f>CurrentMtgRatesDataTable811[[#This Row],[SeriesNumValue]]+CurrentMtgRatesDataTable811[[#This Row],[Servicing Spread Non-Zero]]</f>
        <v>4.4122956950372014</v>
      </c>
    </row>
    <row r="691" spans="2:13" x14ac:dyDescent="0.2">
      <c r="B691" s="27" t="s">
        <v>1372</v>
      </c>
      <c r="C691" s="28">
        <v>3.5163998212649701</v>
      </c>
      <c r="D691" s="26">
        <v>4.4950000000000001</v>
      </c>
      <c r="E691" s="24">
        <f t="shared" si="40"/>
        <v>1</v>
      </c>
      <c r="F691" s="24">
        <f>VLOOKUP(E691,Q$5:R$11,2,FALSE)</f>
        <v>0.2</v>
      </c>
      <c r="G691" s="24">
        <f t="shared" si="41"/>
        <v>1</v>
      </c>
      <c r="H691" s="24">
        <f>IF(G691&gt;G690,H690+C691*F691,C691*F691)</f>
        <v>0.70327996425299411</v>
      </c>
      <c r="I691" s="24">
        <f t="shared" si="42"/>
        <v>0.2</v>
      </c>
      <c r="J691" s="24">
        <f t="shared" si="43"/>
        <v>0</v>
      </c>
      <c r="K691" s="24">
        <f>IF(CurrentMtgRatesDataTable811[[#This Row],[WA CC]]&lt;&gt;0,D690-CurrentMtgRatesDataTable811[[#This Row],[WA CC]],0)</f>
        <v>0</v>
      </c>
      <c r="L691" s="24">
        <f>IF(CurrentMtgRatesDataTable811[[#This Row],[Servicing Spread]]&lt;=0,L690,CurrentMtgRatesDataTable811[[#This Row],[Servicing Spread]])</f>
        <v>0.84777413248060141</v>
      </c>
      <c r="M691" s="24">
        <f>CurrentMtgRatesDataTable811[[#This Row],[SeriesNumValue]]+CurrentMtgRatesDataTable811[[#This Row],[Servicing Spread Non-Zero]]</f>
        <v>4.3641739537455715</v>
      </c>
    </row>
    <row r="692" spans="2:13" x14ac:dyDescent="0.2">
      <c r="B692" s="27" t="s">
        <v>1373</v>
      </c>
      <c r="C692" s="28">
        <v>3.5181082868119602</v>
      </c>
      <c r="D692" s="26">
        <v>4.4950000000000001</v>
      </c>
      <c r="E692" s="24">
        <f t="shared" si="40"/>
        <v>2</v>
      </c>
      <c r="F692" s="24">
        <f>VLOOKUP(E692,Q$5:R$11,2,FALSE)</f>
        <v>0.2</v>
      </c>
      <c r="G692" s="24">
        <f t="shared" si="41"/>
        <v>2</v>
      </c>
      <c r="H692" s="24">
        <f>IF(G692&gt;G691,H691+C692*F692,C692*F692)</f>
        <v>1.4069016216153862</v>
      </c>
      <c r="I692" s="24">
        <f t="shared" si="42"/>
        <v>0.4</v>
      </c>
      <c r="J692" s="24">
        <f t="shared" si="43"/>
        <v>0</v>
      </c>
      <c r="K692" s="24">
        <f>IF(CurrentMtgRatesDataTable811[[#This Row],[WA CC]]&lt;&gt;0,D691-CurrentMtgRatesDataTable811[[#This Row],[WA CC]],0)</f>
        <v>0</v>
      </c>
      <c r="L692" s="24">
        <f>IF(CurrentMtgRatesDataTable811[[#This Row],[Servicing Spread]]&lt;=0,L691,CurrentMtgRatesDataTable811[[#This Row],[Servicing Spread]])</f>
        <v>0.84777413248060141</v>
      </c>
      <c r="M692" s="24">
        <f>CurrentMtgRatesDataTable811[[#This Row],[SeriesNumValue]]+CurrentMtgRatesDataTable811[[#This Row],[Servicing Spread Non-Zero]]</f>
        <v>4.3658824192925616</v>
      </c>
    </row>
    <row r="693" spans="2:13" x14ac:dyDescent="0.2">
      <c r="B693" s="27" t="s">
        <v>1374</v>
      </c>
      <c r="C693" s="28">
        <v>3.6230343632850399</v>
      </c>
      <c r="D693" s="26">
        <v>4.4950000000000001</v>
      </c>
      <c r="E693" s="24">
        <f t="shared" si="40"/>
        <v>6</v>
      </c>
      <c r="F693" s="24">
        <f>VLOOKUP(E693,Q$5:R$11,2,FALSE)</f>
        <v>0.2</v>
      </c>
      <c r="G693" s="24">
        <f t="shared" si="41"/>
        <v>3</v>
      </c>
      <c r="H693" s="24">
        <f>IF(G693&gt;G692,H692+C693*F693,C693*F693)</f>
        <v>2.1315084942723943</v>
      </c>
      <c r="I693" s="24">
        <f t="shared" si="42"/>
        <v>0.60000000000000009</v>
      </c>
      <c r="J693" s="24">
        <f t="shared" si="43"/>
        <v>0</v>
      </c>
      <c r="K693" s="24">
        <f>IF(CurrentMtgRatesDataTable811[[#This Row],[WA CC]]&lt;&gt;0,D692-CurrentMtgRatesDataTable811[[#This Row],[WA CC]],0)</f>
        <v>0</v>
      </c>
      <c r="L693" s="24">
        <f>IF(CurrentMtgRatesDataTable811[[#This Row],[Servicing Spread]]&lt;=0,L692,CurrentMtgRatesDataTable811[[#This Row],[Servicing Spread]])</f>
        <v>0.84777413248060141</v>
      </c>
      <c r="M693" s="24">
        <f>CurrentMtgRatesDataTable811[[#This Row],[SeriesNumValue]]+CurrentMtgRatesDataTable811[[#This Row],[Servicing Spread Non-Zero]]</f>
        <v>4.4708084957656418</v>
      </c>
    </row>
    <row r="694" spans="2:13" x14ac:dyDescent="0.2">
      <c r="B694" s="27" t="s">
        <v>1375</v>
      </c>
      <c r="C694" s="28">
        <v>3.6795741616596702</v>
      </c>
      <c r="D694" s="26">
        <v>4.4950000000000001</v>
      </c>
      <c r="E694" s="24">
        <f t="shared" si="40"/>
        <v>7</v>
      </c>
      <c r="F694" s="24">
        <f>VLOOKUP(E694,Q$5:R$11,2,FALSE)</f>
        <v>0.2</v>
      </c>
      <c r="G694" s="24">
        <f t="shared" si="41"/>
        <v>4</v>
      </c>
      <c r="H694" s="24">
        <f>IF(G694&gt;G693,H693+C694*F694,C694*F694)</f>
        <v>2.8674233266043285</v>
      </c>
      <c r="I694" s="24">
        <f t="shared" si="42"/>
        <v>0.8</v>
      </c>
      <c r="J694" s="24">
        <f t="shared" si="43"/>
        <v>3.5842791582554105</v>
      </c>
      <c r="K694" s="24">
        <f>IF(CurrentMtgRatesDataTable811[[#This Row],[WA CC]]&lt;&gt;0,D693-CurrentMtgRatesDataTable811[[#This Row],[WA CC]],0)</f>
        <v>0.91072084174458956</v>
      </c>
      <c r="L694" s="24">
        <f>IF(CurrentMtgRatesDataTable811[[#This Row],[Servicing Spread]]&lt;=0,L693,CurrentMtgRatesDataTable811[[#This Row],[Servicing Spread]])</f>
        <v>0.91072084174458956</v>
      </c>
      <c r="M694" s="24">
        <f>CurrentMtgRatesDataTable811[[#This Row],[SeriesNumValue]]+CurrentMtgRatesDataTable811[[#This Row],[Servicing Spread Non-Zero]]</f>
        <v>4.5902950034042593</v>
      </c>
    </row>
    <row r="695" spans="2:13" x14ac:dyDescent="0.2">
      <c r="B695" s="27" t="s">
        <v>1376</v>
      </c>
      <c r="C695" s="28">
        <v>3.7866951063074699</v>
      </c>
      <c r="D695" s="26">
        <v>4.5200000000000005</v>
      </c>
      <c r="E695" s="24">
        <f t="shared" si="40"/>
        <v>1</v>
      </c>
      <c r="F695" s="24">
        <f>VLOOKUP(E695,Q$5:R$11,2,FALSE)</f>
        <v>0.2</v>
      </c>
      <c r="G695" s="24">
        <f t="shared" si="41"/>
        <v>1</v>
      </c>
      <c r="H695" s="24">
        <f>IF(G695&gt;G694,H694+C695*F695,C695*F695)</f>
        <v>0.75733902126149399</v>
      </c>
      <c r="I695" s="24">
        <f t="shared" si="42"/>
        <v>0.2</v>
      </c>
      <c r="J695" s="24">
        <f t="shared" si="43"/>
        <v>0</v>
      </c>
      <c r="K695" s="24">
        <f>IF(CurrentMtgRatesDataTable811[[#This Row],[WA CC]]&lt;&gt;0,D694-CurrentMtgRatesDataTable811[[#This Row],[WA CC]],0)</f>
        <v>0</v>
      </c>
      <c r="L695" s="24">
        <f>IF(CurrentMtgRatesDataTable811[[#This Row],[Servicing Spread]]&lt;=0,L694,CurrentMtgRatesDataTable811[[#This Row],[Servicing Spread]])</f>
        <v>0.91072084174458956</v>
      </c>
      <c r="M695" s="24">
        <f>CurrentMtgRatesDataTable811[[#This Row],[SeriesNumValue]]+CurrentMtgRatesDataTable811[[#This Row],[Servicing Spread Non-Zero]]</f>
        <v>4.6974159480520594</v>
      </c>
    </row>
    <row r="696" spans="2:13" x14ac:dyDescent="0.2">
      <c r="B696" s="27" t="s">
        <v>1377</v>
      </c>
      <c r="C696" s="28">
        <v>3.7212376856688798</v>
      </c>
      <c r="D696" s="26">
        <v>4.5200000000000005</v>
      </c>
      <c r="E696" s="24">
        <f t="shared" si="40"/>
        <v>2</v>
      </c>
      <c r="F696" s="24">
        <f>VLOOKUP(E696,Q$5:R$11,2,FALSE)</f>
        <v>0.2</v>
      </c>
      <c r="G696" s="24">
        <f t="shared" si="41"/>
        <v>2</v>
      </c>
      <c r="H696" s="24">
        <f>IF(G696&gt;G695,H695+C696*F696,C696*F696)</f>
        <v>1.5015865583952701</v>
      </c>
      <c r="I696" s="24">
        <f t="shared" si="42"/>
        <v>0.4</v>
      </c>
      <c r="J696" s="24">
        <f t="shared" si="43"/>
        <v>0</v>
      </c>
      <c r="K696" s="24">
        <f>IF(CurrentMtgRatesDataTable811[[#This Row],[WA CC]]&lt;&gt;0,D695-CurrentMtgRatesDataTable811[[#This Row],[WA CC]],0)</f>
        <v>0</v>
      </c>
      <c r="L696" s="24">
        <f>IF(CurrentMtgRatesDataTable811[[#This Row],[Servicing Spread]]&lt;=0,L695,CurrentMtgRatesDataTable811[[#This Row],[Servicing Spread]])</f>
        <v>0.91072084174458956</v>
      </c>
      <c r="M696" s="24">
        <f>CurrentMtgRatesDataTable811[[#This Row],[SeriesNumValue]]+CurrentMtgRatesDataTable811[[#This Row],[Servicing Spread Non-Zero]]</f>
        <v>4.6319585274134694</v>
      </c>
    </row>
    <row r="697" spans="2:13" x14ac:dyDescent="0.2">
      <c r="B697" s="27" t="s">
        <v>1378</v>
      </c>
      <c r="C697" s="28">
        <v>3.6494917316156599</v>
      </c>
      <c r="D697" s="26">
        <v>4.5200000000000005</v>
      </c>
      <c r="E697" s="24">
        <f t="shared" si="40"/>
        <v>5</v>
      </c>
      <c r="F697" s="24">
        <f>VLOOKUP(E697,Q$5:R$11,2,FALSE)</f>
        <v>0.2</v>
      </c>
      <c r="G697" s="24">
        <f t="shared" si="41"/>
        <v>3</v>
      </c>
      <c r="H697" s="24">
        <f>IF(G697&gt;G696,H696+C697*F697,C697*F697)</f>
        <v>2.231484904718402</v>
      </c>
      <c r="I697" s="24">
        <f t="shared" si="42"/>
        <v>0.60000000000000009</v>
      </c>
      <c r="J697" s="24">
        <f t="shared" si="43"/>
        <v>0</v>
      </c>
      <c r="K697" s="24">
        <f>IF(CurrentMtgRatesDataTable811[[#This Row],[WA CC]]&lt;&gt;0,D696-CurrentMtgRatesDataTable811[[#This Row],[WA CC]],0)</f>
        <v>0</v>
      </c>
      <c r="L697" s="24">
        <f>IF(CurrentMtgRatesDataTable811[[#This Row],[Servicing Spread]]&lt;=0,L696,CurrentMtgRatesDataTable811[[#This Row],[Servicing Spread]])</f>
        <v>0.91072084174458956</v>
      </c>
      <c r="M697" s="24">
        <f>CurrentMtgRatesDataTable811[[#This Row],[SeriesNumValue]]+CurrentMtgRatesDataTable811[[#This Row],[Servicing Spread Non-Zero]]</f>
        <v>4.5602125733602499</v>
      </c>
    </row>
    <row r="698" spans="2:13" x14ac:dyDescent="0.2">
      <c r="B698" s="27" t="s">
        <v>1379</v>
      </c>
      <c r="C698" s="28">
        <v>3.70255706458429</v>
      </c>
      <c r="D698" s="26">
        <v>4.5200000000000005</v>
      </c>
      <c r="E698" s="24">
        <f t="shared" si="40"/>
        <v>6</v>
      </c>
      <c r="F698" s="24">
        <f>VLOOKUP(E698,Q$5:R$11,2,FALSE)</f>
        <v>0.2</v>
      </c>
      <c r="G698" s="24">
        <f t="shared" si="41"/>
        <v>4</v>
      </c>
      <c r="H698" s="24">
        <f>IF(G698&gt;G697,H697+C698*F698,C698*F698)</f>
        <v>2.9719963176352602</v>
      </c>
      <c r="I698" s="24">
        <f t="shared" si="42"/>
        <v>0.8</v>
      </c>
      <c r="J698" s="24">
        <f t="shared" si="43"/>
        <v>0</v>
      </c>
      <c r="K698" s="24">
        <f>IF(CurrentMtgRatesDataTable811[[#This Row],[WA CC]]&lt;&gt;0,D697-CurrentMtgRatesDataTable811[[#This Row],[WA CC]],0)</f>
        <v>0</v>
      </c>
      <c r="L698" s="24">
        <f>IF(CurrentMtgRatesDataTable811[[#This Row],[Servicing Spread]]&lt;=0,L697,CurrentMtgRatesDataTable811[[#This Row],[Servicing Spread]])</f>
        <v>0.91072084174458956</v>
      </c>
      <c r="M698" s="24">
        <f>CurrentMtgRatesDataTable811[[#This Row],[SeriesNumValue]]+CurrentMtgRatesDataTable811[[#This Row],[Servicing Spread Non-Zero]]</f>
        <v>4.6132779063288796</v>
      </c>
    </row>
    <row r="699" spans="2:13" x14ac:dyDescent="0.2">
      <c r="B699" s="27" t="s">
        <v>1380</v>
      </c>
      <c r="C699" s="28">
        <v>3.66717920569566</v>
      </c>
      <c r="D699" s="26">
        <v>4.5200000000000005</v>
      </c>
      <c r="E699" s="24">
        <f t="shared" si="40"/>
        <v>7</v>
      </c>
      <c r="F699" s="24">
        <f>VLOOKUP(E699,Q$5:R$11,2,FALSE)</f>
        <v>0.2</v>
      </c>
      <c r="G699" s="24">
        <f t="shared" si="41"/>
        <v>5</v>
      </c>
      <c r="H699" s="24">
        <f>IF(G699&gt;G698,H698+C699*F699,C699*F699)</f>
        <v>3.7054321587743924</v>
      </c>
      <c r="I699" s="24">
        <f t="shared" si="42"/>
        <v>1</v>
      </c>
      <c r="J699" s="24">
        <f t="shared" si="43"/>
        <v>3.7054321587743924</v>
      </c>
      <c r="K699" s="24">
        <f>IF(CurrentMtgRatesDataTable811[[#This Row],[WA CC]]&lt;&gt;0,D698-CurrentMtgRatesDataTable811[[#This Row],[WA CC]],0)</f>
        <v>0.8145678412256081</v>
      </c>
      <c r="L699" s="24">
        <f>IF(CurrentMtgRatesDataTable811[[#This Row],[Servicing Spread]]&lt;=0,L698,CurrentMtgRatesDataTable811[[#This Row],[Servicing Spread]])</f>
        <v>0.8145678412256081</v>
      </c>
      <c r="M699" s="24">
        <f>CurrentMtgRatesDataTable811[[#This Row],[SeriesNumValue]]+CurrentMtgRatesDataTable811[[#This Row],[Servicing Spread Non-Zero]]</f>
        <v>4.4817470469212681</v>
      </c>
    </row>
    <row r="700" spans="2:13" x14ac:dyDescent="0.2">
      <c r="B700" s="27" t="s">
        <v>1381</v>
      </c>
      <c r="C700" s="28">
        <v>3.6662950351399499</v>
      </c>
      <c r="D700" s="26">
        <v>4.4249999999999998</v>
      </c>
      <c r="E700" s="24">
        <f t="shared" si="40"/>
        <v>1</v>
      </c>
      <c r="F700" s="24">
        <f>VLOOKUP(E700,Q$5:R$11,2,FALSE)</f>
        <v>0.2</v>
      </c>
      <c r="G700" s="24">
        <f t="shared" si="41"/>
        <v>1</v>
      </c>
      <c r="H700" s="24">
        <f>IF(G700&gt;G699,H699+C700*F700,C700*F700)</f>
        <v>0.73325900702799007</v>
      </c>
      <c r="I700" s="24">
        <f t="shared" si="42"/>
        <v>0.2</v>
      </c>
      <c r="J700" s="24">
        <f t="shared" si="43"/>
        <v>0</v>
      </c>
      <c r="K700" s="24">
        <f>IF(CurrentMtgRatesDataTable811[[#This Row],[WA CC]]&lt;&gt;0,D699-CurrentMtgRatesDataTable811[[#This Row],[WA CC]],0)</f>
        <v>0</v>
      </c>
      <c r="L700" s="24">
        <f>IF(CurrentMtgRatesDataTable811[[#This Row],[Servicing Spread]]&lt;=0,L699,CurrentMtgRatesDataTable811[[#This Row],[Servicing Spread]])</f>
        <v>0.8145678412256081</v>
      </c>
      <c r="M700" s="24">
        <f>CurrentMtgRatesDataTable811[[#This Row],[SeriesNumValue]]+CurrentMtgRatesDataTable811[[#This Row],[Servicing Spread Non-Zero]]</f>
        <v>4.480862876365558</v>
      </c>
    </row>
    <row r="701" spans="2:13" x14ac:dyDescent="0.2">
      <c r="B701" s="27" t="s">
        <v>1382</v>
      </c>
      <c r="C701" s="28">
        <v>3.65073359446493</v>
      </c>
      <c r="D701" s="26">
        <v>4.4249999999999998</v>
      </c>
      <c r="E701" s="24">
        <f t="shared" si="40"/>
        <v>2</v>
      </c>
      <c r="F701" s="24">
        <f>VLOOKUP(E701,Q$5:R$11,2,FALSE)</f>
        <v>0.2</v>
      </c>
      <c r="G701" s="24">
        <f t="shared" si="41"/>
        <v>2</v>
      </c>
      <c r="H701" s="24">
        <f>IF(G701&gt;G700,H700+C701*F701,C701*F701)</f>
        <v>1.4634057259209761</v>
      </c>
      <c r="I701" s="24">
        <f t="shared" si="42"/>
        <v>0.4</v>
      </c>
      <c r="J701" s="24">
        <f t="shared" si="43"/>
        <v>0</v>
      </c>
      <c r="K701" s="24">
        <f>IF(CurrentMtgRatesDataTable811[[#This Row],[WA CC]]&lt;&gt;0,D700-CurrentMtgRatesDataTable811[[#This Row],[WA CC]],0)</f>
        <v>0</v>
      </c>
      <c r="L701" s="24">
        <f>IF(CurrentMtgRatesDataTable811[[#This Row],[Servicing Spread]]&lt;=0,L700,CurrentMtgRatesDataTable811[[#This Row],[Servicing Spread]])</f>
        <v>0.8145678412256081</v>
      </c>
      <c r="M701" s="24">
        <f>CurrentMtgRatesDataTable811[[#This Row],[SeriesNumValue]]+CurrentMtgRatesDataTable811[[#This Row],[Servicing Spread Non-Zero]]</f>
        <v>4.4653014356905381</v>
      </c>
    </row>
    <row r="702" spans="2:13" x14ac:dyDescent="0.2">
      <c r="B702" s="27" t="s">
        <v>1383</v>
      </c>
      <c r="C702" s="28">
        <v>3.6050291044242799</v>
      </c>
      <c r="D702" s="26">
        <v>4.4249999999999998</v>
      </c>
      <c r="E702" s="24">
        <f t="shared" si="40"/>
        <v>5</v>
      </c>
      <c r="F702" s="24">
        <f>VLOOKUP(E702,Q$5:R$11,2,FALSE)</f>
        <v>0.2</v>
      </c>
      <c r="G702" s="24">
        <f t="shared" si="41"/>
        <v>3</v>
      </c>
      <c r="H702" s="24">
        <f>IF(G702&gt;G701,H701+C702*F702,C702*F702)</f>
        <v>2.184411546805832</v>
      </c>
      <c r="I702" s="24">
        <f t="shared" si="42"/>
        <v>0.60000000000000009</v>
      </c>
      <c r="J702" s="24">
        <f t="shared" si="43"/>
        <v>0</v>
      </c>
      <c r="K702" s="24">
        <f>IF(CurrentMtgRatesDataTable811[[#This Row],[WA CC]]&lt;&gt;0,D701-CurrentMtgRatesDataTable811[[#This Row],[WA CC]],0)</f>
        <v>0</v>
      </c>
      <c r="L702" s="24">
        <f>IF(CurrentMtgRatesDataTable811[[#This Row],[Servicing Spread]]&lt;=0,L701,CurrentMtgRatesDataTable811[[#This Row],[Servicing Spread]])</f>
        <v>0.8145678412256081</v>
      </c>
      <c r="M702" s="24">
        <f>CurrentMtgRatesDataTable811[[#This Row],[SeriesNumValue]]+CurrentMtgRatesDataTable811[[#This Row],[Servicing Spread Non-Zero]]</f>
        <v>4.4195969456498876</v>
      </c>
    </row>
    <row r="703" spans="2:13" x14ac:dyDescent="0.2">
      <c r="B703" s="27" t="s">
        <v>1384</v>
      </c>
      <c r="C703" s="28">
        <v>3.5862960100393702</v>
      </c>
      <c r="D703" s="26">
        <v>4.4249999999999998</v>
      </c>
      <c r="E703" s="24">
        <f t="shared" si="40"/>
        <v>6</v>
      </c>
      <c r="F703" s="24">
        <f>VLOOKUP(E703,Q$5:R$11,2,FALSE)</f>
        <v>0.2</v>
      </c>
      <c r="G703" s="24">
        <f t="shared" si="41"/>
        <v>4</v>
      </c>
      <c r="H703" s="24">
        <f>IF(G703&gt;G702,H702+C703*F703,C703*F703)</f>
        <v>2.9016707488137063</v>
      </c>
      <c r="I703" s="24">
        <f t="shared" si="42"/>
        <v>0.8</v>
      </c>
      <c r="J703" s="24">
        <f t="shared" si="43"/>
        <v>0</v>
      </c>
      <c r="K703" s="24">
        <f>IF(CurrentMtgRatesDataTable811[[#This Row],[WA CC]]&lt;&gt;0,D702-CurrentMtgRatesDataTable811[[#This Row],[WA CC]],0)</f>
        <v>0</v>
      </c>
      <c r="L703" s="24">
        <f>IF(CurrentMtgRatesDataTable811[[#This Row],[Servicing Spread]]&lt;=0,L702,CurrentMtgRatesDataTable811[[#This Row],[Servicing Spread]])</f>
        <v>0.8145678412256081</v>
      </c>
      <c r="M703" s="24">
        <f>CurrentMtgRatesDataTable811[[#This Row],[SeriesNumValue]]+CurrentMtgRatesDataTable811[[#This Row],[Servicing Spread Non-Zero]]</f>
        <v>4.4008638512649778</v>
      </c>
    </row>
    <row r="704" spans="2:13" x14ac:dyDescent="0.2">
      <c r="B704" s="27" t="s">
        <v>1385</v>
      </c>
      <c r="C704" s="28">
        <v>3.4041075181539902</v>
      </c>
      <c r="D704" s="26">
        <v>4.4249999999999998</v>
      </c>
      <c r="E704" s="24">
        <f t="shared" si="40"/>
        <v>7</v>
      </c>
      <c r="F704" s="24">
        <f>VLOOKUP(E704,Q$5:R$11,2,FALSE)</f>
        <v>0.2</v>
      </c>
      <c r="G704" s="24">
        <f t="shared" si="41"/>
        <v>5</v>
      </c>
      <c r="H704" s="24">
        <f>IF(G704&gt;G703,H703+C704*F704,C704*F704)</f>
        <v>3.5824922524445046</v>
      </c>
      <c r="I704" s="24">
        <f t="shared" si="42"/>
        <v>1</v>
      </c>
      <c r="J704" s="24">
        <f t="shared" si="43"/>
        <v>3.5824922524445046</v>
      </c>
      <c r="K704" s="24">
        <f>IF(CurrentMtgRatesDataTable811[[#This Row],[WA CC]]&lt;&gt;0,D703-CurrentMtgRatesDataTable811[[#This Row],[WA CC]],0)</f>
        <v>0.84250774755549518</v>
      </c>
      <c r="L704" s="24">
        <f>IF(CurrentMtgRatesDataTable811[[#This Row],[Servicing Spread]]&lt;=0,L703,CurrentMtgRatesDataTable811[[#This Row],[Servicing Spread]])</f>
        <v>0.84250774755549518</v>
      </c>
      <c r="M704" s="24">
        <f>CurrentMtgRatesDataTable811[[#This Row],[SeriesNumValue]]+CurrentMtgRatesDataTable811[[#This Row],[Servicing Spread Non-Zero]]</f>
        <v>4.2466152657094849</v>
      </c>
    </row>
    <row r="705" spans="2:13" x14ac:dyDescent="0.2">
      <c r="B705" s="27" t="s">
        <v>1386</v>
      </c>
      <c r="C705" s="28">
        <v>3.4234814698257399</v>
      </c>
      <c r="D705" s="26">
        <v>4.2450000000000001</v>
      </c>
      <c r="E705" s="24">
        <f t="shared" si="40"/>
        <v>1</v>
      </c>
      <c r="F705" s="24">
        <f>VLOOKUP(E705,Q$5:R$11,2,FALSE)</f>
        <v>0.2</v>
      </c>
      <c r="G705" s="24">
        <f t="shared" si="41"/>
        <v>1</v>
      </c>
      <c r="H705" s="24">
        <f>IF(G705&gt;G704,H704+C705*F705,C705*F705)</f>
        <v>0.68469629396514797</v>
      </c>
      <c r="I705" s="24">
        <f t="shared" si="42"/>
        <v>0.2</v>
      </c>
      <c r="J705" s="24">
        <f t="shared" si="43"/>
        <v>0</v>
      </c>
      <c r="K705" s="24">
        <f>IF(CurrentMtgRatesDataTable811[[#This Row],[WA CC]]&lt;&gt;0,D704-CurrentMtgRatesDataTable811[[#This Row],[WA CC]],0)</f>
        <v>0</v>
      </c>
      <c r="L705" s="24">
        <f>IF(CurrentMtgRatesDataTable811[[#This Row],[Servicing Spread]]&lt;=0,L704,CurrentMtgRatesDataTable811[[#This Row],[Servicing Spread]])</f>
        <v>0.84250774755549518</v>
      </c>
      <c r="M705" s="24">
        <f>CurrentMtgRatesDataTable811[[#This Row],[SeriesNumValue]]+CurrentMtgRatesDataTable811[[#This Row],[Servicing Spread Non-Zero]]</f>
        <v>4.265989217381235</v>
      </c>
    </row>
    <row r="706" spans="2:13" x14ac:dyDescent="0.2">
      <c r="B706" s="27" t="s">
        <v>1387</v>
      </c>
      <c r="C706" s="28">
        <v>3.43160773905766</v>
      </c>
      <c r="D706" s="26">
        <v>4.2450000000000001</v>
      </c>
      <c r="E706" s="24">
        <f t="shared" si="40"/>
        <v>2</v>
      </c>
      <c r="F706" s="24">
        <f>VLOOKUP(E706,Q$5:R$11,2,FALSE)</f>
        <v>0.2</v>
      </c>
      <c r="G706" s="24">
        <f t="shared" si="41"/>
        <v>2</v>
      </c>
      <c r="H706" s="24">
        <f>IF(G706&gt;G705,H705+C706*F706,C706*F706)</f>
        <v>1.3710178417766801</v>
      </c>
      <c r="I706" s="24">
        <f t="shared" si="42"/>
        <v>0.4</v>
      </c>
      <c r="J706" s="24">
        <f t="shared" si="43"/>
        <v>0</v>
      </c>
      <c r="K706" s="24">
        <f>IF(CurrentMtgRatesDataTable811[[#This Row],[WA CC]]&lt;&gt;0,D705-CurrentMtgRatesDataTable811[[#This Row],[WA CC]],0)</f>
        <v>0</v>
      </c>
      <c r="L706" s="24">
        <f>IF(CurrentMtgRatesDataTable811[[#This Row],[Servicing Spread]]&lt;=0,L705,CurrentMtgRatesDataTable811[[#This Row],[Servicing Spread]])</f>
        <v>0.84250774755549518</v>
      </c>
      <c r="M706" s="24">
        <f>CurrentMtgRatesDataTable811[[#This Row],[SeriesNumValue]]+CurrentMtgRatesDataTable811[[#This Row],[Servicing Spread Non-Zero]]</f>
        <v>4.2741154866131552</v>
      </c>
    </row>
    <row r="707" spans="2:13" x14ac:dyDescent="0.2">
      <c r="B707" s="27" t="s">
        <v>1388</v>
      </c>
      <c r="C707" s="28">
        <v>3.4029034600998802</v>
      </c>
      <c r="D707" s="26">
        <v>4.2450000000000001</v>
      </c>
      <c r="E707" s="24">
        <f t="shared" ref="E707:E770" si="44">WEEKDAY(B707,14)</f>
        <v>5</v>
      </c>
      <c r="F707" s="24">
        <f>VLOOKUP(E707,Q$5:R$11,2,FALSE)</f>
        <v>0.2</v>
      </c>
      <c r="G707" s="24">
        <f t="shared" ref="G707:G770" si="45">IF(AND(E707&gt;E706,G706&lt;6),G706+1,1)</f>
        <v>3</v>
      </c>
      <c r="H707" s="24">
        <f>IF(G707&gt;G706,H706+C707*F707,C707*F707)</f>
        <v>2.051598533796656</v>
      </c>
      <c r="I707" s="24">
        <f t="shared" ref="I707:I770" si="46">IF(AND(G707&lt;6,G707&gt;G706),F707+I706,F707)</f>
        <v>0.60000000000000009</v>
      </c>
      <c r="J707" s="24">
        <f t="shared" ref="J707:J770" si="47">IF(G707&gt;G708,H707/I707,0)</f>
        <v>0</v>
      </c>
      <c r="K707" s="24">
        <f>IF(CurrentMtgRatesDataTable811[[#This Row],[WA CC]]&lt;&gt;0,D706-CurrentMtgRatesDataTable811[[#This Row],[WA CC]],0)</f>
        <v>0</v>
      </c>
      <c r="L707" s="24">
        <f>IF(CurrentMtgRatesDataTable811[[#This Row],[Servicing Spread]]&lt;=0,L706,CurrentMtgRatesDataTable811[[#This Row],[Servicing Spread]])</f>
        <v>0.84250774755549518</v>
      </c>
      <c r="M707" s="24">
        <f>CurrentMtgRatesDataTable811[[#This Row],[SeriesNumValue]]+CurrentMtgRatesDataTable811[[#This Row],[Servicing Spread Non-Zero]]</f>
        <v>4.2454112076553754</v>
      </c>
    </row>
    <row r="708" spans="2:13" x14ac:dyDescent="0.2">
      <c r="B708" s="27" t="s">
        <v>1389</v>
      </c>
      <c r="C708" s="28">
        <v>3.34069195374131</v>
      </c>
      <c r="D708" s="26">
        <v>4.2450000000000001</v>
      </c>
      <c r="E708" s="24">
        <f t="shared" si="44"/>
        <v>6</v>
      </c>
      <c r="F708" s="24">
        <f>VLOOKUP(E708,Q$5:R$11,2,FALSE)</f>
        <v>0.2</v>
      </c>
      <c r="G708" s="24">
        <f t="shared" si="45"/>
        <v>4</v>
      </c>
      <c r="H708" s="24">
        <f>IF(G708&gt;G707,H707+C708*F708,C708*F708)</f>
        <v>2.7197369245449181</v>
      </c>
      <c r="I708" s="24">
        <f t="shared" si="46"/>
        <v>0.8</v>
      </c>
      <c r="J708" s="24">
        <f t="shared" si="47"/>
        <v>0</v>
      </c>
      <c r="K708" s="24">
        <f>IF(CurrentMtgRatesDataTable811[[#This Row],[WA CC]]&lt;&gt;0,D707-CurrentMtgRatesDataTable811[[#This Row],[WA CC]],0)</f>
        <v>0</v>
      </c>
      <c r="L708" s="24">
        <f>IF(CurrentMtgRatesDataTable811[[#This Row],[Servicing Spread]]&lt;=0,L707,CurrentMtgRatesDataTable811[[#This Row],[Servicing Spread]])</f>
        <v>0.84250774755549518</v>
      </c>
      <c r="M708" s="24">
        <f>CurrentMtgRatesDataTable811[[#This Row],[SeriesNumValue]]+CurrentMtgRatesDataTable811[[#This Row],[Servicing Spread Non-Zero]]</f>
        <v>4.1831997012968056</v>
      </c>
    </row>
    <row r="709" spans="2:13" x14ac:dyDescent="0.2">
      <c r="B709" s="27" t="s">
        <v>1390</v>
      </c>
      <c r="C709" s="28">
        <v>3.2961562018547901</v>
      </c>
      <c r="D709" s="26">
        <v>4.2450000000000001</v>
      </c>
      <c r="E709" s="24">
        <f t="shared" si="44"/>
        <v>7</v>
      </c>
      <c r="F709" s="24">
        <f>VLOOKUP(E709,Q$5:R$11,2,FALSE)</f>
        <v>0.2</v>
      </c>
      <c r="G709" s="24">
        <f t="shared" si="45"/>
        <v>5</v>
      </c>
      <c r="H709" s="24">
        <f>IF(G709&gt;G708,H708+C709*F709,C709*F709)</f>
        <v>3.378968164915876</v>
      </c>
      <c r="I709" s="24">
        <f t="shared" si="46"/>
        <v>1</v>
      </c>
      <c r="J709" s="24">
        <f t="shared" si="47"/>
        <v>3.378968164915876</v>
      </c>
      <c r="K709" s="24">
        <f>IF(CurrentMtgRatesDataTable811[[#This Row],[WA CC]]&lt;&gt;0,D708-CurrentMtgRatesDataTable811[[#This Row],[WA CC]],0)</f>
        <v>0.86603183508412407</v>
      </c>
      <c r="L709" s="24">
        <f>IF(CurrentMtgRatesDataTable811[[#This Row],[Servicing Spread]]&lt;=0,L708,CurrentMtgRatesDataTable811[[#This Row],[Servicing Spread]])</f>
        <v>0.86603183508412407</v>
      </c>
      <c r="M709" s="24">
        <f>CurrentMtgRatesDataTable811[[#This Row],[SeriesNumValue]]+CurrentMtgRatesDataTable811[[#This Row],[Servicing Spread Non-Zero]]</f>
        <v>4.1621880369389146</v>
      </c>
    </row>
    <row r="710" spans="2:13" x14ac:dyDescent="0.2">
      <c r="B710" s="27" t="s">
        <v>1391</v>
      </c>
      <c r="C710" s="28">
        <v>3.3233487722912298</v>
      </c>
      <c r="D710" s="26">
        <v>4.1449999999999996</v>
      </c>
      <c r="E710" s="24">
        <f t="shared" si="44"/>
        <v>1</v>
      </c>
      <c r="F710" s="24">
        <f>VLOOKUP(E710,Q$5:R$11,2,FALSE)</f>
        <v>0.2</v>
      </c>
      <c r="G710" s="24">
        <f t="shared" si="45"/>
        <v>1</v>
      </c>
      <c r="H710" s="24">
        <f>IF(G710&gt;G709,H709+C710*F710,C710*F710)</f>
        <v>0.66466975445824605</v>
      </c>
      <c r="I710" s="24">
        <f t="shared" si="46"/>
        <v>0.2</v>
      </c>
      <c r="J710" s="24">
        <f t="shared" si="47"/>
        <v>0</v>
      </c>
      <c r="K710" s="24">
        <f>IF(CurrentMtgRatesDataTable811[[#This Row],[WA CC]]&lt;&gt;0,D709-CurrentMtgRatesDataTable811[[#This Row],[WA CC]],0)</f>
        <v>0</v>
      </c>
      <c r="L710" s="24">
        <f>IF(CurrentMtgRatesDataTable811[[#This Row],[Servicing Spread]]&lt;=0,L709,CurrentMtgRatesDataTable811[[#This Row],[Servicing Spread]])</f>
        <v>0.86603183508412407</v>
      </c>
      <c r="M710" s="24">
        <f>CurrentMtgRatesDataTable811[[#This Row],[SeriesNumValue]]+CurrentMtgRatesDataTable811[[#This Row],[Servicing Spread Non-Zero]]</f>
        <v>4.1893806073753534</v>
      </c>
    </row>
    <row r="711" spans="2:13" x14ac:dyDescent="0.2">
      <c r="B711" s="27" t="s">
        <v>1392</v>
      </c>
      <c r="C711" s="28">
        <v>3.2948871217977098</v>
      </c>
      <c r="D711" s="26">
        <v>4.1449999999999996</v>
      </c>
      <c r="E711" s="24">
        <f t="shared" si="44"/>
        <v>2</v>
      </c>
      <c r="F711" s="24">
        <f>VLOOKUP(E711,Q$5:R$11,2,FALSE)</f>
        <v>0.2</v>
      </c>
      <c r="G711" s="24">
        <f t="shared" si="45"/>
        <v>2</v>
      </c>
      <c r="H711" s="24">
        <f>IF(G711&gt;G710,H710+C711*F711,C711*F711)</f>
        <v>1.3236471788177879</v>
      </c>
      <c r="I711" s="24">
        <f t="shared" si="46"/>
        <v>0.4</v>
      </c>
      <c r="J711" s="24">
        <f t="shared" si="47"/>
        <v>0</v>
      </c>
      <c r="K711" s="24">
        <f>IF(CurrentMtgRatesDataTable811[[#This Row],[WA CC]]&lt;&gt;0,D710-CurrentMtgRatesDataTable811[[#This Row],[WA CC]],0)</f>
        <v>0</v>
      </c>
      <c r="L711" s="24">
        <f>IF(CurrentMtgRatesDataTable811[[#This Row],[Servicing Spread]]&lt;=0,L710,CurrentMtgRatesDataTable811[[#This Row],[Servicing Spread]])</f>
        <v>0.86603183508412407</v>
      </c>
      <c r="M711" s="24">
        <f>CurrentMtgRatesDataTable811[[#This Row],[SeriesNumValue]]+CurrentMtgRatesDataTable811[[#This Row],[Servicing Spread Non-Zero]]</f>
        <v>4.1609189568818339</v>
      </c>
    </row>
    <row r="712" spans="2:13" x14ac:dyDescent="0.2">
      <c r="B712" s="27" t="s">
        <v>1393</v>
      </c>
      <c r="C712" s="28">
        <v>3.2952489842634298</v>
      </c>
      <c r="D712" s="26">
        <v>4.1449999999999996</v>
      </c>
      <c r="E712" s="24">
        <f t="shared" si="44"/>
        <v>5</v>
      </c>
      <c r="F712" s="24">
        <f>VLOOKUP(E712,Q$5:R$11,2,FALSE)</f>
        <v>0.2</v>
      </c>
      <c r="G712" s="24">
        <f t="shared" si="45"/>
        <v>3</v>
      </c>
      <c r="H712" s="24">
        <f>IF(G712&gt;G711,H711+C712*F712,C712*F712)</f>
        <v>1.982696975670474</v>
      </c>
      <c r="I712" s="24">
        <f t="shared" si="46"/>
        <v>0.60000000000000009</v>
      </c>
      <c r="J712" s="24">
        <f t="shared" si="47"/>
        <v>0</v>
      </c>
      <c r="K712" s="24">
        <f>IF(CurrentMtgRatesDataTable811[[#This Row],[WA CC]]&lt;&gt;0,D711-CurrentMtgRatesDataTable811[[#This Row],[WA CC]],0)</f>
        <v>0</v>
      </c>
      <c r="L712" s="24">
        <f>IF(CurrentMtgRatesDataTable811[[#This Row],[Servicing Spread]]&lt;=0,L711,CurrentMtgRatesDataTable811[[#This Row],[Servicing Spread]])</f>
        <v>0.86603183508412407</v>
      </c>
      <c r="M712" s="24">
        <f>CurrentMtgRatesDataTable811[[#This Row],[SeriesNumValue]]+CurrentMtgRatesDataTable811[[#This Row],[Servicing Spread Non-Zero]]</f>
        <v>4.1612808193475539</v>
      </c>
    </row>
    <row r="713" spans="2:13" x14ac:dyDescent="0.2">
      <c r="B713" s="27" t="s">
        <v>1394</v>
      </c>
      <c r="C713" s="28">
        <v>3.31544213268957</v>
      </c>
      <c r="D713" s="26">
        <v>4.1449999999999996</v>
      </c>
      <c r="E713" s="24">
        <f t="shared" si="44"/>
        <v>6</v>
      </c>
      <c r="F713" s="24">
        <f>VLOOKUP(E713,Q$5:R$11,2,FALSE)</f>
        <v>0.2</v>
      </c>
      <c r="G713" s="24">
        <f t="shared" si="45"/>
        <v>4</v>
      </c>
      <c r="H713" s="24">
        <f>IF(G713&gt;G712,H712+C713*F713,C713*F713)</f>
        <v>2.645785402208388</v>
      </c>
      <c r="I713" s="24">
        <f t="shared" si="46"/>
        <v>0.8</v>
      </c>
      <c r="J713" s="24">
        <f t="shared" si="47"/>
        <v>0</v>
      </c>
      <c r="K713" s="24">
        <f>IF(CurrentMtgRatesDataTable811[[#This Row],[WA CC]]&lt;&gt;0,D712-CurrentMtgRatesDataTable811[[#This Row],[WA CC]],0)</f>
        <v>0</v>
      </c>
      <c r="L713" s="24">
        <f>IF(CurrentMtgRatesDataTable811[[#This Row],[Servicing Spread]]&lt;=0,L712,CurrentMtgRatesDataTable811[[#This Row],[Servicing Spread]])</f>
        <v>0.86603183508412407</v>
      </c>
      <c r="M713" s="24">
        <f>CurrentMtgRatesDataTable811[[#This Row],[SeriesNumValue]]+CurrentMtgRatesDataTable811[[#This Row],[Servicing Spread Non-Zero]]</f>
        <v>4.1814739677736945</v>
      </c>
    </row>
    <row r="714" spans="2:13" x14ac:dyDescent="0.2">
      <c r="B714" s="27" t="s">
        <v>1395</v>
      </c>
      <c r="C714" s="28">
        <v>3.3078730296866699</v>
      </c>
      <c r="D714" s="26">
        <v>4.1449999999999996</v>
      </c>
      <c r="E714" s="24">
        <f t="shared" si="44"/>
        <v>7</v>
      </c>
      <c r="F714" s="24">
        <f>VLOOKUP(E714,Q$5:R$11,2,FALSE)</f>
        <v>0.2</v>
      </c>
      <c r="G714" s="24">
        <f t="shared" si="45"/>
        <v>5</v>
      </c>
      <c r="H714" s="24">
        <f>IF(G714&gt;G713,H713+C714*F714,C714*F714)</f>
        <v>3.307360008145722</v>
      </c>
      <c r="I714" s="24">
        <f t="shared" si="46"/>
        <v>1</v>
      </c>
      <c r="J714" s="24">
        <f t="shared" si="47"/>
        <v>3.307360008145722</v>
      </c>
      <c r="K714" s="24">
        <f>IF(CurrentMtgRatesDataTable811[[#This Row],[WA CC]]&lt;&gt;0,D713-CurrentMtgRatesDataTable811[[#This Row],[WA CC]],0)</f>
        <v>0.83763999185427762</v>
      </c>
      <c r="L714" s="24">
        <f>IF(CurrentMtgRatesDataTable811[[#This Row],[Servicing Spread]]&lt;=0,L713,CurrentMtgRatesDataTable811[[#This Row],[Servicing Spread]])</f>
        <v>0.83763999185427762</v>
      </c>
      <c r="M714" s="24">
        <f>CurrentMtgRatesDataTable811[[#This Row],[SeriesNumValue]]+CurrentMtgRatesDataTable811[[#This Row],[Servicing Spread Non-Zero]]</f>
        <v>4.1455130215409479</v>
      </c>
    </row>
    <row r="715" spans="2:13" x14ac:dyDescent="0.2">
      <c r="B715" s="27" t="s">
        <v>1396</v>
      </c>
      <c r="C715" s="28">
        <v>3.2850779326666601</v>
      </c>
      <c r="D715" s="26">
        <v>4.1550000000000002</v>
      </c>
      <c r="E715" s="24">
        <f t="shared" si="44"/>
        <v>1</v>
      </c>
      <c r="F715" s="24">
        <f>VLOOKUP(E715,Q$5:R$11,2,FALSE)</f>
        <v>0.2</v>
      </c>
      <c r="G715" s="24">
        <f t="shared" si="45"/>
        <v>1</v>
      </c>
      <c r="H715" s="24">
        <f>IF(G715&gt;G714,H714+C715*F715,C715*F715)</f>
        <v>0.65701558653333203</v>
      </c>
      <c r="I715" s="24">
        <f t="shared" si="46"/>
        <v>0.2</v>
      </c>
      <c r="J715" s="24">
        <f t="shared" si="47"/>
        <v>0</v>
      </c>
      <c r="K715" s="24">
        <f>IF(CurrentMtgRatesDataTable811[[#This Row],[WA CC]]&lt;&gt;0,D714-CurrentMtgRatesDataTable811[[#This Row],[WA CC]],0)</f>
        <v>0</v>
      </c>
      <c r="L715" s="24">
        <f>IF(CurrentMtgRatesDataTable811[[#This Row],[Servicing Spread]]&lt;=0,L714,CurrentMtgRatesDataTable811[[#This Row],[Servicing Spread]])</f>
        <v>0.83763999185427762</v>
      </c>
      <c r="M715" s="24">
        <f>CurrentMtgRatesDataTable811[[#This Row],[SeriesNumValue]]+CurrentMtgRatesDataTable811[[#This Row],[Servicing Spread Non-Zero]]</f>
        <v>4.1227179245209378</v>
      </c>
    </row>
    <row r="716" spans="2:13" x14ac:dyDescent="0.2">
      <c r="B716" s="27" t="s">
        <v>1397</v>
      </c>
      <c r="C716" s="28">
        <v>3.3143904621736602</v>
      </c>
      <c r="D716" s="26">
        <v>4.1550000000000002</v>
      </c>
      <c r="E716" s="24">
        <f t="shared" si="44"/>
        <v>2</v>
      </c>
      <c r="F716" s="24">
        <f>VLOOKUP(E716,Q$5:R$11,2,FALSE)</f>
        <v>0.2</v>
      </c>
      <c r="G716" s="24">
        <f t="shared" si="45"/>
        <v>2</v>
      </c>
      <c r="H716" s="24">
        <f>IF(G716&gt;G715,H715+C716*F716,C716*F716)</f>
        <v>1.319893678968064</v>
      </c>
      <c r="I716" s="24">
        <f t="shared" si="46"/>
        <v>0.4</v>
      </c>
      <c r="J716" s="24">
        <f t="shared" si="47"/>
        <v>0</v>
      </c>
      <c r="K716" s="24">
        <f>IF(CurrentMtgRatesDataTable811[[#This Row],[WA CC]]&lt;&gt;0,D715-CurrentMtgRatesDataTable811[[#This Row],[WA CC]],0)</f>
        <v>0</v>
      </c>
      <c r="L716" s="24">
        <f>IF(CurrentMtgRatesDataTable811[[#This Row],[Servicing Spread]]&lt;=0,L715,CurrentMtgRatesDataTable811[[#This Row],[Servicing Spread]])</f>
        <v>0.83763999185427762</v>
      </c>
      <c r="M716" s="24">
        <f>CurrentMtgRatesDataTable811[[#This Row],[SeriesNumValue]]+CurrentMtgRatesDataTable811[[#This Row],[Servicing Spread Non-Zero]]</f>
        <v>4.1520304540279378</v>
      </c>
    </row>
    <row r="717" spans="2:13" x14ac:dyDescent="0.2">
      <c r="B717" s="27" t="s">
        <v>1398</v>
      </c>
      <c r="C717" s="28">
        <v>3.3152163432269299</v>
      </c>
      <c r="D717" s="26">
        <v>4.1550000000000002</v>
      </c>
      <c r="E717" s="24">
        <f t="shared" si="44"/>
        <v>5</v>
      </c>
      <c r="F717" s="24">
        <f>VLOOKUP(E717,Q$5:R$11,2,FALSE)</f>
        <v>0.2</v>
      </c>
      <c r="G717" s="24">
        <f t="shared" si="45"/>
        <v>3</v>
      </c>
      <c r="H717" s="24">
        <f>IF(G717&gt;G716,H716+C717*F717,C717*F717)</f>
        <v>1.98293694761345</v>
      </c>
      <c r="I717" s="24">
        <f t="shared" si="46"/>
        <v>0.60000000000000009</v>
      </c>
      <c r="J717" s="24">
        <f t="shared" si="47"/>
        <v>0</v>
      </c>
      <c r="K717" s="24">
        <f>IF(CurrentMtgRatesDataTable811[[#This Row],[WA CC]]&lt;&gt;0,D716-CurrentMtgRatesDataTable811[[#This Row],[WA CC]],0)</f>
        <v>0</v>
      </c>
      <c r="L717" s="24">
        <f>IF(CurrentMtgRatesDataTable811[[#This Row],[Servicing Spread]]&lt;=0,L716,CurrentMtgRatesDataTable811[[#This Row],[Servicing Spread]])</f>
        <v>0.83763999185427762</v>
      </c>
      <c r="M717" s="24">
        <f>CurrentMtgRatesDataTable811[[#This Row],[SeriesNumValue]]+CurrentMtgRatesDataTable811[[#This Row],[Servicing Spread Non-Zero]]</f>
        <v>4.1528563350812071</v>
      </c>
    </row>
    <row r="718" spans="2:13" x14ac:dyDescent="0.2">
      <c r="B718" s="27" t="s">
        <v>1399</v>
      </c>
      <c r="C718" s="28">
        <v>3.32900541071837</v>
      </c>
      <c r="D718" s="26">
        <v>4.1550000000000002</v>
      </c>
      <c r="E718" s="24">
        <f t="shared" si="44"/>
        <v>6</v>
      </c>
      <c r="F718" s="24">
        <f>VLOOKUP(E718,Q$5:R$11,2,FALSE)</f>
        <v>0.2</v>
      </c>
      <c r="G718" s="24">
        <f t="shared" si="45"/>
        <v>4</v>
      </c>
      <c r="H718" s="24">
        <f>IF(G718&gt;G717,H717+C718*F718,C718*F718)</f>
        <v>2.6487380297571241</v>
      </c>
      <c r="I718" s="24">
        <f t="shared" si="46"/>
        <v>0.8</v>
      </c>
      <c r="J718" s="24">
        <f t="shared" si="47"/>
        <v>0</v>
      </c>
      <c r="K718" s="24">
        <f>IF(CurrentMtgRatesDataTable811[[#This Row],[WA CC]]&lt;&gt;0,D717-CurrentMtgRatesDataTable811[[#This Row],[WA CC]],0)</f>
        <v>0</v>
      </c>
      <c r="L718" s="24">
        <f>IF(CurrentMtgRatesDataTable811[[#This Row],[Servicing Spread]]&lt;=0,L717,CurrentMtgRatesDataTable811[[#This Row],[Servicing Spread]])</f>
        <v>0.83763999185427762</v>
      </c>
      <c r="M718" s="24">
        <f>CurrentMtgRatesDataTable811[[#This Row],[SeriesNumValue]]+CurrentMtgRatesDataTable811[[#This Row],[Servicing Spread Non-Zero]]</f>
        <v>4.166645402572648</v>
      </c>
    </row>
    <row r="719" spans="2:13" x14ac:dyDescent="0.2">
      <c r="B719" s="27" t="s">
        <v>1400</v>
      </c>
      <c r="C719" s="28">
        <v>3.3312145702916398</v>
      </c>
      <c r="D719" s="26">
        <v>4.1550000000000002</v>
      </c>
      <c r="E719" s="24">
        <f t="shared" si="44"/>
        <v>7</v>
      </c>
      <c r="F719" s="24">
        <f>VLOOKUP(E719,Q$5:R$11,2,FALSE)</f>
        <v>0.2</v>
      </c>
      <c r="G719" s="24">
        <f t="shared" si="45"/>
        <v>5</v>
      </c>
      <c r="H719" s="24">
        <f>IF(G719&gt;G718,H718+C719*F719,C719*F719)</f>
        <v>3.3149809438154523</v>
      </c>
      <c r="I719" s="24">
        <f t="shared" si="46"/>
        <v>1</v>
      </c>
      <c r="J719" s="24">
        <f t="shared" si="47"/>
        <v>3.3149809438154523</v>
      </c>
      <c r="K719" s="24">
        <f>IF(CurrentMtgRatesDataTable811[[#This Row],[WA CC]]&lt;&gt;0,D718-CurrentMtgRatesDataTable811[[#This Row],[WA CC]],0)</f>
        <v>0.84001905618454797</v>
      </c>
      <c r="L719" s="24">
        <f>IF(CurrentMtgRatesDataTable811[[#This Row],[Servicing Spread]]&lt;=0,L718,CurrentMtgRatesDataTable811[[#This Row],[Servicing Spread]])</f>
        <v>0.84001905618454797</v>
      </c>
      <c r="M719" s="24">
        <f>CurrentMtgRatesDataTable811[[#This Row],[SeriesNumValue]]+CurrentMtgRatesDataTable811[[#This Row],[Servicing Spread Non-Zero]]</f>
        <v>4.1712336264761873</v>
      </c>
    </row>
    <row r="720" spans="2:13" x14ac:dyDescent="0.2">
      <c r="B720" s="27" t="s">
        <v>1401</v>
      </c>
      <c r="C720" s="28">
        <v>3.3459270723169801</v>
      </c>
      <c r="D720" s="26">
        <v>4.2050000000000001</v>
      </c>
      <c r="E720" s="24">
        <f t="shared" si="44"/>
        <v>1</v>
      </c>
      <c r="F720" s="24">
        <f>VLOOKUP(E720,Q$5:R$11,2,FALSE)</f>
        <v>0.2</v>
      </c>
      <c r="G720" s="24">
        <f t="shared" si="45"/>
        <v>1</v>
      </c>
      <c r="H720" s="24">
        <f>IF(G720&gt;G719,H719+C720*F720,C720*F720)</f>
        <v>0.66918541446339608</v>
      </c>
      <c r="I720" s="24">
        <f t="shared" si="46"/>
        <v>0.2</v>
      </c>
      <c r="J720" s="24">
        <f t="shared" si="47"/>
        <v>0</v>
      </c>
      <c r="K720" s="24">
        <f>IF(CurrentMtgRatesDataTable811[[#This Row],[WA CC]]&lt;&gt;0,D719-CurrentMtgRatesDataTable811[[#This Row],[WA CC]],0)</f>
        <v>0</v>
      </c>
      <c r="L720" s="24">
        <f>IF(CurrentMtgRatesDataTable811[[#This Row],[Servicing Spread]]&lt;=0,L719,CurrentMtgRatesDataTable811[[#This Row],[Servicing Spread]])</f>
        <v>0.84001905618454797</v>
      </c>
      <c r="M720" s="24">
        <f>CurrentMtgRatesDataTable811[[#This Row],[SeriesNumValue]]+CurrentMtgRatesDataTable811[[#This Row],[Servicing Spread Non-Zero]]</f>
        <v>4.185946128501528</v>
      </c>
    </row>
    <row r="721" spans="2:13" x14ac:dyDescent="0.2">
      <c r="B721" s="27" t="s">
        <v>1402</v>
      </c>
      <c r="C721" s="28">
        <v>3.3488826952464001</v>
      </c>
      <c r="D721" s="26">
        <v>4.2050000000000001</v>
      </c>
      <c r="E721" s="24">
        <f t="shared" si="44"/>
        <v>2</v>
      </c>
      <c r="F721" s="24">
        <f>VLOOKUP(E721,Q$5:R$11,2,FALSE)</f>
        <v>0.2</v>
      </c>
      <c r="G721" s="24">
        <f t="shared" si="45"/>
        <v>2</v>
      </c>
      <c r="H721" s="24">
        <f>IF(G721&gt;G720,H720+C721*F721,C721*F721)</f>
        <v>1.3389619535126762</v>
      </c>
      <c r="I721" s="24">
        <f t="shared" si="46"/>
        <v>0.4</v>
      </c>
      <c r="J721" s="24">
        <f t="shared" si="47"/>
        <v>0</v>
      </c>
      <c r="K721" s="24">
        <f>IF(CurrentMtgRatesDataTable811[[#This Row],[WA CC]]&lt;&gt;0,D720-CurrentMtgRatesDataTable811[[#This Row],[WA CC]],0)</f>
        <v>0</v>
      </c>
      <c r="L721" s="24">
        <f>IF(CurrentMtgRatesDataTable811[[#This Row],[Servicing Spread]]&lt;=0,L720,CurrentMtgRatesDataTable811[[#This Row],[Servicing Spread]])</f>
        <v>0.84001905618454797</v>
      </c>
      <c r="M721" s="24">
        <f>CurrentMtgRatesDataTable811[[#This Row],[SeriesNumValue]]+CurrentMtgRatesDataTable811[[#This Row],[Servicing Spread Non-Zero]]</f>
        <v>4.1889017514309481</v>
      </c>
    </row>
    <row r="722" spans="2:13" x14ac:dyDescent="0.2">
      <c r="B722" s="27" t="s">
        <v>1403</v>
      </c>
      <c r="C722" s="28">
        <v>3.3897329963191098</v>
      </c>
      <c r="D722" s="26">
        <v>4.2050000000000001</v>
      </c>
      <c r="E722" s="24">
        <f t="shared" si="44"/>
        <v>6</v>
      </c>
      <c r="F722" s="24">
        <f>VLOOKUP(E722,Q$5:R$11,2,FALSE)</f>
        <v>0.2</v>
      </c>
      <c r="G722" s="24">
        <f t="shared" si="45"/>
        <v>3</v>
      </c>
      <c r="H722" s="24">
        <f>IF(G722&gt;G721,H721+C722*F722,C722*F722)</f>
        <v>2.0169085527764983</v>
      </c>
      <c r="I722" s="24">
        <f t="shared" si="46"/>
        <v>0.60000000000000009</v>
      </c>
      <c r="J722" s="24">
        <f t="shared" si="47"/>
        <v>0</v>
      </c>
      <c r="K722" s="24">
        <f>IF(CurrentMtgRatesDataTable811[[#This Row],[WA CC]]&lt;&gt;0,D721-CurrentMtgRatesDataTable811[[#This Row],[WA CC]],0)</f>
        <v>0</v>
      </c>
      <c r="L722" s="24">
        <f>IF(CurrentMtgRatesDataTable811[[#This Row],[Servicing Spread]]&lt;=0,L721,CurrentMtgRatesDataTable811[[#This Row],[Servicing Spread]])</f>
        <v>0.84001905618454797</v>
      </c>
      <c r="M722" s="24">
        <f>CurrentMtgRatesDataTable811[[#This Row],[SeriesNumValue]]+CurrentMtgRatesDataTable811[[#This Row],[Servicing Spread Non-Zero]]</f>
        <v>4.2297520525036578</v>
      </c>
    </row>
    <row r="723" spans="2:13" x14ac:dyDescent="0.2">
      <c r="B723" s="27" t="s">
        <v>1404</v>
      </c>
      <c r="C723" s="28">
        <v>3.34533036324394</v>
      </c>
      <c r="D723" s="26">
        <v>4.2050000000000001</v>
      </c>
      <c r="E723" s="24">
        <f t="shared" si="44"/>
        <v>7</v>
      </c>
      <c r="F723" s="24">
        <f>VLOOKUP(E723,Q$5:R$11,2,FALSE)</f>
        <v>0.2</v>
      </c>
      <c r="G723" s="24">
        <f t="shared" si="45"/>
        <v>4</v>
      </c>
      <c r="H723" s="24">
        <f>IF(G723&gt;G722,H722+C723*F723,C723*F723)</f>
        <v>2.6859746254252865</v>
      </c>
      <c r="I723" s="24">
        <f t="shared" si="46"/>
        <v>0.8</v>
      </c>
      <c r="J723" s="24">
        <f t="shared" si="47"/>
        <v>3.3574682817816082</v>
      </c>
      <c r="K723" s="24">
        <f>IF(CurrentMtgRatesDataTable811[[#This Row],[WA CC]]&lt;&gt;0,D722-CurrentMtgRatesDataTable811[[#This Row],[WA CC]],0)</f>
        <v>0.84753171821839191</v>
      </c>
      <c r="L723" s="24">
        <f>IF(CurrentMtgRatesDataTable811[[#This Row],[Servicing Spread]]&lt;=0,L722,CurrentMtgRatesDataTable811[[#This Row],[Servicing Spread]])</f>
        <v>0.84753171821839191</v>
      </c>
      <c r="M723" s="24">
        <f>CurrentMtgRatesDataTable811[[#This Row],[SeriesNumValue]]+CurrentMtgRatesDataTable811[[#This Row],[Servicing Spread Non-Zero]]</f>
        <v>4.1928620814623319</v>
      </c>
    </row>
    <row r="724" spans="2:13" x14ac:dyDescent="0.2">
      <c r="B724" s="27" t="s">
        <v>1405</v>
      </c>
      <c r="C724" s="28">
        <v>3.2546149111271299</v>
      </c>
      <c r="D724" s="26">
        <v>4.08</v>
      </c>
      <c r="E724" s="24">
        <f t="shared" si="44"/>
        <v>1</v>
      </c>
      <c r="F724" s="24">
        <f>VLOOKUP(E724,Q$5:R$11,2,FALSE)</f>
        <v>0.2</v>
      </c>
      <c r="G724" s="24">
        <f t="shared" si="45"/>
        <v>1</v>
      </c>
      <c r="H724" s="24">
        <f>IF(G724&gt;G723,H723+C724*F724,C724*F724)</f>
        <v>0.65092298222542599</v>
      </c>
      <c r="I724" s="24">
        <f t="shared" si="46"/>
        <v>0.2</v>
      </c>
      <c r="J724" s="24">
        <f t="shared" si="47"/>
        <v>0</v>
      </c>
      <c r="K724" s="24">
        <f>IF(CurrentMtgRatesDataTable811[[#This Row],[WA CC]]&lt;&gt;0,D723-CurrentMtgRatesDataTable811[[#This Row],[WA CC]],0)</f>
        <v>0</v>
      </c>
      <c r="L724" s="24">
        <f>IF(CurrentMtgRatesDataTable811[[#This Row],[Servicing Spread]]&lt;=0,L723,CurrentMtgRatesDataTable811[[#This Row],[Servicing Spread]])</f>
        <v>0.84753171821839191</v>
      </c>
      <c r="M724" s="24">
        <f>CurrentMtgRatesDataTable811[[#This Row],[SeriesNumValue]]+CurrentMtgRatesDataTable811[[#This Row],[Servicing Spread Non-Zero]]</f>
        <v>4.1021466293455218</v>
      </c>
    </row>
    <row r="725" spans="2:13" x14ac:dyDescent="0.2">
      <c r="B725" s="27" t="s">
        <v>1406</v>
      </c>
      <c r="C725" s="28">
        <v>3.2585675716606302</v>
      </c>
      <c r="D725" s="26">
        <v>4.08</v>
      </c>
      <c r="E725" s="24">
        <f t="shared" si="44"/>
        <v>2</v>
      </c>
      <c r="F725" s="24">
        <f>VLOOKUP(E725,Q$5:R$11,2,FALSE)</f>
        <v>0.2</v>
      </c>
      <c r="G725" s="24">
        <f t="shared" si="45"/>
        <v>2</v>
      </c>
      <c r="H725" s="24">
        <f>IF(G725&gt;G724,H724+C725*F725,C725*F725)</f>
        <v>1.3026364965575521</v>
      </c>
      <c r="I725" s="24">
        <f t="shared" si="46"/>
        <v>0.4</v>
      </c>
      <c r="J725" s="24">
        <f t="shared" si="47"/>
        <v>0</v>
      </c>
      <c r="K725" s="24">
        <f>IF(CurrentMtgRatesDataTable811[[#This Row],[WA CC]]&lt;&gt;0,D724-CurrentMtgRatesDataTable811[[#This Row],[WA CC]],0)</f>
        <v>0</v>
      </c>
      <c r="L725" s="24">
        <f>IF(CurrentMtgRatesDataTable811[[#This Row],[Servicing Spread]]&lt;=0,L724,CurrentMtgRatesDataTable811[[#This Row],[Servicing Spread]])</f>
        <v>0.84753171821839191</v>
      </c>
      <c r="M725" s="24">
        <f>CurrentMtgRatesDataTable811[[#This Row],[SeriesNumValue]]+CurrentMtgRatesDataTable811[[#This Row],[Servicing Spread Non-Zero]]</f>
        <v>4.1060992898790225</v>
      </c>
    </row>
    <row r="726" spans="2:13" x14ac:dyDescent="0.2">
      <c r="B726" s="27" t="s">
        <v>1407</v>
      </c>
      <c r="C726" s="28">
        <v>3.2809533512237801</v>
      </c>
      <c r="D726" s="26">
        <v>4.08</v>
      </c>
      <c r="E726" s="24">
        <f t="shared" si="44"/>
        <v>5</v>
      </c>
      <c r="F726" s="24">
        <f>VLOOKUP(E726,Q$5:R$11,2,FALSE)</f>
        <v>0.2</v>
      </c>
      <c r="G726" s="24">
        <f t="shared" si="45"/>
        <v>3</v>
      </c>
      <c r="H726" s="24">
        <f>IF(G726&gt;G725,H725+C726*F726,C726*F726)</f>
        <v>1.9588271668023083</v>
      </c>
      <c r="I726" s="24">
        <f t="shared" si="46"/>
        <v>0.60000000000000009</v>
      </c>
      <c r="J726" s="24">
        <f t="shared" si="47"/>
        <v>0</v>
      </c>
      <c r="K726" s="24">
        <f>IF(CurrentMtgRatesDataTable811[[#This Row],[WA CC]]&lt;&gt;0,D725-CurrentMtgRatesDataTable811[[#This Row],[WA CC]],0)</f>
        <v>0</v>
      </c>
      <c r="L726" s="24">
        <f>IF(CurrentMtgRatesDataTable811[[#This Row],[Servicing Spread]]&lt;=0,L725,CurrentMtgRatesDataTable811[[#This Row],[Servicing Spread]])</f>
        <v>0.84753171821839191</v>
      </c>
      <c r="M726" s="24">
        <f>CurrentMtgRatesDataTable811[[#This Row],[SeriesNumValue]]+CurrentMtgRatesDataTable811[[#This Row],[Servicing Spread Non-Zero]]</f>
        <v>4.1284850694421724</v>
      </c>
    </row>
    <row r="727" spans="2:13" x14ac:dyDescent="0.2">
      <c r="B727" s="27" t="s">
        <v>1408</v>
      </c>
      <c r="C727" s="28">
        <v>3.18365964576661</v>
      </c>
      <c r="D727" s="26">
        <v>4.08</v>
      </c>
      <c r="E727" s="24">
        <f t="shared" si="44"/>
        <v>6</v>
      </c>
      <c r="F727" s="24">
        <f>VLOOKUP(E727,Q$5:R$11,2,FALSE)</f>
        <v>0.2</v>
      </c>
      <c r="G727" s="24">
        <f t="shared" si="45"/>
        <v>4</v>
      </c>
      <c r="H727" s="24">
        <f>IF(G727&gt;G726,H726+C727*F727,C727*F727)</f>
        <v>2.5955590959556303</v>
      </c>
      <c r="I727" s="24">
        <f t="shared" si="46"/>
        <v>0.8</v>
      </c>
      <c r="J727" s="24">
        <f t="shared" si="47"/>
        <v>0</v>
      </c>
      <c r="K727" s="24">
        <f>IF(CurrentMtgRatesDataTable811[[#This Row],[WA CC]]&lt;&gt;0,D726-CurrentMtgRatesDataTable811[[#This Row],[WA CC]],0)</f>
        <v>0</v>
      </c>
      <c r="L727" s="24">
        <f>IF(CurrentMtgRatesDataTable811[[#This Row],[Servicing Spread]]&lt;=0,L726,CurrentMtgRatesDataTable811[[#This Row],[Servicing Spread]])</f>
        <v>0.84753171821839191</v>
      </c>
      <c r="M727" s="24">
        <f>CurrentMtgRatesDataTable811[[#This Row],[SeriesNumValue]]+CurrentMtgRatesDataTable811[[#This Row],[Servicing Spread Non-Zero]]</f>
        <v>4.0311913639850019</v>
      </c>
    </row>
    <row r="728" spans="2:13" x14ac:dyDescent="0.2">
      <c r="B728" s="27" t="s">
        <v>1409</v>
      </c>
      <c r="C728" s="28">
        <v>3.1541714940092298</v>
      </c>
      <c r="D728" s="26">
        <v>4.08</v>
      </c>
      <c r="E728" s="24">
        <f t="shared" si="44"/>
        <v>7</v>
      </c>
      <c r="F728" s="24">
        <f>VLOOKUP(E728,Q$5:R$11,2,FALSE)</f>
        <v>0.2</v>
      </c>
      <c r="G728" s="24">
        <f t="shared" si="45"/>
        <v>5</v>
      </c>
      <c r="H728" s="24">
        <f>IF(G728&gt;G727,H727+C728*F728,C728*F728)</f>
        <v>3.2263933947574763</v>
      </c>
      <c r="I728" s="24">
        <f t="shared" si="46"/>
        <v>1</v>
      </c>
      <c r="J728" s="24">
        <f t="shared" si="47"/>
        <v>3.2263933947574763</v>
      </c>
      <c r="K728" s="24">
        <f>IF(CurrentMtgRatesDataTable811[[#This Row],[WA CC]]&lt;&gt;0,D727-CurrentMtgRatesDataTable811[[#This Row],[WA CC]],0)</f>
        <v>0.85360660524252374</v>
      </c>
      <c r="L728" s="24">
        <f>IF(CurrentMtgRatesDataTable811[[#This Row],[Servicing Spread]]&lt;=0,L727,CurrentMtgRatesDataTable811[[#This Row],[Servicing Spread]])</f>
        <v>0.85360660524252374</v>
      </c>
      <c r="M728" s="24">
        <f>CurrentMtgRatesDataTable811[[#This Row],[SeriesNumValue]]+CurrentMtgRatesDataTable811[[#This Row],[Servicing Spread Non-Zero]]</f>
        <v>4.0077780992517535</v>
      </c>
    </row>
    <row r="729" spans="2:13" x14ac:dyDescent="0.2">
      <c r="B729" s="27" t="s">
        <v>1410</v>
      </c>
      <c r="C729" s="28">
        <v>3.1772287212477002</v>
      </c>
      <c r="D729" s="26">
        <v>4.0249999999999995</v>
      </c>
      <c r="E729" s="24">
        <f t="shared" si="44"/>
        <v>1</v>
      </c>
      <c r="F729" s="24">
        <f>VLOOKUP(E729,Q$5:R$11,2,FALSE)</f>
        <v>0.2</v>
      </c>
      <c r="G729" s="24">
        <f t="shared" si="45"/>
        <v>1</v>
      </c>
      <c r="H729" s="24">
        <f>IF(G729&gt;G728,H728+C729*F729,C729*F729)</f>
        <v>0.63544574424954003</v>
      </c>
      <c r="I729" s="24">
        <f t="shared" si="46"/>
        <v>0.2</v>
      </c>
      <c r="J729" s="24">
        <f t="shared" si="47"/>
        <v>0</v>
      </c>
      <c r="K729" s="24">
        <f>IF(CurrentMtgRatesDataTable811[[#This Row],[WA CC]]&lt;&gt;0,D728-CurrentMtgRatesDataTable811[[#This Row],[WA CC]],0)</f>
        <v>0</v>
      </c>
      <c r="L729" s="24">
        <f>IF(CurrentMtgRatesDataTable811[[#This Row],[Servicing Spread]]&lt;=0,L728,CurrentMtgRatesDataTable811[[#This Row],[Servicing Spread]])</f>
        <v>0.85360660524252374</v>
      </c>
      <c r="M729" s="24">
        <f>CurrentMtgRatesDataTable811[[#This Row],[SeriesNumValue]]+CurrentMtgRatesDataTable811[[#This Row],[Servicing Spread Non-Zero]]</f>
        <v>4.0308353264902239</v>
      </c>
    </row>
    <row r="730" spans="2:13" x14ac:dyDescent="0.2">
      <c r="B730" s="27" t="s">
        <v>1411</v>
      </c>
      <c r="C730" s="28">
        <v>3.1521212861919801</v>
      </c>
      <c r="D730" s="26">
        <v>4.0249999999999995</v>
      </c>
      <c r="E730" s="24">
        <f t="shared" si="44"/>
        <v>2</v>
      </c>
      <c r="F730" s="24">
        <f>VLOOKUP(E730,Q$5:R$11,2,FALSE)</f>
        <v>0.2</v>
      </c>
      <c r="G730" s="24">
        <f t="shared" si="45"/>
        <v>2</v>
      </c>
      <c r="H730" s="24">
        <f>IF(G730&gt;G729,H729+C730*F730,C730*F730)</f>
        <v>1.265870001487936</v>
      </c>
      <c r="I730" s="24">
        <f t="shared" si="46"/>
        <v>0.4</v>
      </c>
      <c r="J730" s="24">
        <f t="shared" si="47"/>
        <v>0</v>
      </c>
      <c r="K730" s="24">
        <f>IF(CurrentMtgRatesDataTable811[[#This Row],[WA CC]]&lt;&gt;0,D729-CurrentMtgRatesDataTable811[[#This Row],[WA CC]],0)</f>
        <v>0</v>
      </c>
      <c r="L730" s="24">
        <f>IF(CurrentMtgRatesDataTable811[[#This Row],[Servicing Spread]]&lt;=0,L729,CurrentMtgRatesDataTable811[[#This Row],[Servicing Spread]])</f>
        <v>0.85360660524252374</v>
      </c>
      <c r="M730" s="24">
        <f>CurrentMtgRatesDataTable811[[#This Row],[SeriesNumValue]]+CurrentMtgRatesDataTable811[[#This Row],[Servicing Spread Non-Zero]]</f>
        <v>4.0057278914345034</v>
      </c>
    </row>
    <row r="731" spans="2:13" x14ac:dyDescent="0.2">
      <c r="B731" s="27" t="s">
        <v>1412</v>
      </c>
      <c r="C731" s="28">
        <v>3.1593236616906499</v>
      </c>
      <c r="D731" s="26">
        <v>4.0249999999999995</v>
      </c>
      <c r="E731" s="24">
        <f t="shared" si="44"/>
        <v>5</v>
      </c>
      <c r="F731" s="24">
        <f>VLOOKUP(E731,Q$5:R$11,2,FALSE)</f>
        <v>0.2</v>
      </c>
      <c r="G731" s="24">
        <f t="shared" si="45"/>
        <v>3</v>
      </c>
      <c r="H731" s="24">
        <f>IF(G731&gt;G730,H730+C731*F731,C731*F731)</f>
        <v>1.8977347338260659</v>
      </c>
      <c r="I731" s="24">
        <f t="shared" si="46"/>
        <v>0.60000000000000009</v>
      </c>
      <c r="J731" s="24">
        <f t="shared" si="47"/>
        <v>0</v>
      </c>
      <c r="K731" s="24">
        <f>IF(CurrentMtgRatesDataTable811[[#This Row],[WA CC]]&lt;&gt;0,D730-CurrentMtgRatesDataTable811[[#This Row],[WA CC]],0)</f>
        <v>0</v>
      </c>
      <c r="L731" s="24">
        <f>IF(CurrentMtgRatesDataTable811[[#This Row],[Servicing Spread]]&lt;=0,L730,CurrentMtgRatesDataTable811[[#This Row],[Servicing Spread]])</f>
        <v>0.85360660524252374</v>
      </c>
      <c r="M731" s="24">
        <f>CurrentMtgRatesDataTable811[[#This Row],[SeriesNumValue]]+CurrentMtgRatesDataTable811[[#This Row],[Servicing Spread Non-Zero]]</f>
        <v>4.0129302669331732</v>
      </c>
    </row>
    <row r="732" spans="2:13" x14ac:dyDescent="0.2">
      <c r="B732" s="27" t="s">
        <v>1413</v>
      </c>
      <c r="C732" s="28">
        <v>3.1543237441163701</v>
      </c>
      <c r="D732" s="26">
        <v>4.0249999999999995</v>
      </c>
      <c r="E732" s="24">
        <f t="shared" si="44"/>
        <v>6</v>
      </c>
      <c r="F732" s="24">
        <f>VLOOKUP(E732,Q$5:R$11,2,FALSE)</f>
        <v>0.2</v>
      </c>
      <c r="G732" s="24">
        <f t="shared" si="45"/>
        <v>4</v>
      </c>
      <c r="H732" s="24">
        <f>IF(G732&gt;G731,H731+C732*F732,C732*F732)</f>
        <v>2.5285994826493399</v>
      </c>
      <c r="I732" s="24">
        <f t="shared" si="46"/>
        <v>0.8</v>
      </c>
      <c r="J732" s="24">
        <f t="shared" si="47"/>
        <v>0</v>
      </c>
      <c r="K732" s="24">
        <f>IF(CurrentMtgRatesDataTable811[[#This Row],[WA CC]]&lt;&gt;0,D731-CurrentMtgRatesDataTable811[[#This Row],[WA CC]],0)</f>
        <v>0</v>
      </c>
      <c r="L732" s="24">
        <f>IF(CurrentMtgRatesDataTable811[[#This Row],[Servicing Spread]]&lt;=0,L731,CurrentMtgRatesDataTable811[[#This Row],[Servicing Spread]])</f>
        <v>0.85360660524252374</v>
      </c>
      <c r="M732" s="24">
        <f>CurrentMtgRatesDataTable811[[#This Row],[SeriesNumValue]]+CurrentMtgRatesDataTable811[[#This Row],[Servicing Spread Non-Zero]]</f>
        <v>4.0079303493588938</v>
      </c>
    </row>
    <row r="733" spans="2:13" x14ac:dyDescent="0.2">
      <c r="B733" s="27" t="s">
        <v>1414</v>
      </c>
      <c r="C733" s="28">
        <v>3.1611386444386498</v>
      </c>
      <c r="D733" s="26">
        <v>4.0249999999999995</v>
      </c>
      <c r="E733" s="24">
        <f t="shared" si="44"/>
        <v>7</v>
      </c>
      <c r="F733" s="24">
        <f>VLOOKUP(E733,Q$5:R$11,2,FALSE)</f>
        <v>0.2</v>
      </c>
      <c r="G733" s="24">
        <f t="shared" si="45"/>
        <v>5</v>
      </c>
      <c r="H733" s="24">
        <f>IF(G733&gt;G732,H732+C733*F733,C733*F733)</f>
        <v>3.1608272115370699</v>
      </c>
      <c r="I733" s="24">
        <f t="shared" si="46"/>
        <v>1</v>
      </c>
      <c r="J733" s="24">
        <f t="shared" si="47"/>
        <v>3.1608272115370699</v>
      </c>
      <c r="K733" s="24">
        <f>IF(CurrentMtgRatesDataTable811[[#This Row],[WA CC]]&lt;&gt;0,D732-CurrentMtgRatesDataTable811[[#This Row],[WA CC]],0)</f>
        <v>0.86417278846292955</v>
      </c>
      <c r="L733" s="24">
        <f>IF(CurrentMtgRatesDataTable811[[#This Row],[Servicing Spread]]&lt;=0,L732,CurrentMtgRatesDataTable811[[#This Row],[Servicing Spread]])</f>
        <v>0.86417278846292955</v>
      </c>
      <c r="M733" s="24">
        <f>CurrentMtgRatesDataTable811[[#This Row],[SeriesNumValue]]+CurrentMtgRatesDataTable811[[#This Row],[Servicing Spread Non-Zero]]</f>
        <v>4.0253114329015798</v>
      </c>
    </row>
    <row r="734" spans="2:13" x14ac:dyDescent="0.2">
      <c r="B734" s="27" t="s">
        <v>1415</v>
      </c>
      <c r="C734" s="28">
        <v>3.1803565883984102</v>
      </c>
      <c r="D734" s="26">
        <v>4.1100000000000003</v>
      </c>
      <c r="E734" s="24">
        <f t="shared" si="44"/>
        <v>1</v>
      </c>
      <c r="F734" s="24">
        <f>VLOOKUP(E734,Q$5:R$11,2,FALSE)</f>
        <v>0.2</v>
      </c>
      <c r="G734" s="24">
        <f t="shared" si="45"/>
        <v>1</v>
      </c>
      <c r="H734" s="24">
        <f>IF(G734&gt;G733,H733+C734*F734,C734*F734)</f>
        <v>0.63607131767968206</v>
      </c>
      <c r="I734" s="24">
        <f t="shared" si="46"/>
        <v>0.2</v>
      </c>
      <c r="J734" s="24">
        <f t="shared" si="47"/>
        <v>0</v>
      </c>
      <c r="K734" s="24">
        <f>IF(CurrentMtgRatesDataTable811[[#This Row],[WA CC]]&lt;&gt;0,D733-CurrentMtgRatesDataTable811[[#This Row],[WA CC]],0)</f>
        <v>0</v>
      </c>
      <c r="L734" s="24">
        <f>IF(CurrentMtgRatesDataTable811[[#This Row],[Servicing Spread]]&lt;=0,L733,CurrentMtgRatesDataTable811[[#This Row],[Servicing Spread]])</f>
        <v>0.86417278846292955</v>
      </c>
      <c r="M734" s="24">
        <f>CurrentMtgRatesDataTable811[[#This Row],[SeriesNumValue]]+CurrentMtgRatesDataTable811[[#This Row],[Servicing Spread Non-Zero]]</f>
        <v>4.0445293768613393</v>
      </c>
    </row>
    <row r="735" spans="2:13" x14ac:dyDescent="0.2">
      <c r="B735" s="27" t="s">
        <v>1416</v>
      </c>
      <c r="C735" s="28">
        <v>3.25928309164834</v>
      </c>
      <c r="D735" s="26">
        <v>4.1100000000000003</v>
      </c>
      <c r="E735" s="24">
        <f t="shared" si="44"/>
        <v>2</v>
      </c>
      <c r="F735" s="24">
        <f>VLOOKUP(E735,Q$5:R$11,2,FALSE)</f>
        <v>0.2</v>
      </c>
      <c r="G735" s="24">
        <f t="shared" si="45"/>
        <v>2</v>
      </c>
      <c r="H735" s="24">
        <f>IF(G735&gt;G734,H734+C735*F735,C735*F735)</f>
        <v>1.2879279360093501</v>
      </c>
      <c r="I735" s="24">
        <f t="shared" si="46"/>
        <v>0.4</v>
      </c>
      <c r="J735" s="24">
        <f t="shared" si="47"/>
        <v>0</v>
      </c>
      <c r="K735" s="24">
        <f>IF(CurrentMtgRatesDataTable811[[#This Row],[WA CC]]&lt;&gt;0,D734-CurrentMtgRatesDataTable811[[#This Row],[WA CC]],0)</f>
        <v>0</v>
      </c>
      <c r="L735" s="24">
        <f>IF(CurrentMtgRatesDataTable811[[#This Row],[Servicing Spread]]&lt;=0,L734,CurrentMtgRatesDataTable811[[#This Row],[Servicing Spread]])</f>
        <v>0.86417278846292955</v>
      </c>
      <c r="M735" s="24">
        <f>CurrentMtgRatesDataTable811[[#This Row],[SeriesNumValue]]+CurrentMtgRatesDataTable811[[#This Row],[Servicing Spread Non-Zero]]</f>
        <v>4.1234558801112691</v>
      </c>
    </row>
    <row r="736" spans="2:13" x14ac:dyDescent="0.2">
      <c r="B736" s="27" t="s">
        <v>1417</v>
      </c>
      <c r="C736" s="28">
        <v>3.2387584524434998</v>
      </c>
      <c r="D736" s="26">
        <v>4.1100000000000003</v>
      </c>
      <c r="E736" s="24">
        <f t="shared" si="44"/>
        <v>5</v>
      </c>
      <c r="F736" s="24">
        <f>VLOOKUP(E736,Q$5:R$11,2,FALSE)</f>
        <v>0.2</v>
      </c>
      <c r="G736" s="24">
        <f t="shared" si="45"/>
        <v>3</v>
      </c>
      <c r="H736" s="24">
        <f>IF(G736&gt;G735,H735+C736*F736,C736*F736)</f>
        <v>1.93567962649805</v>
      </c>
      <c r="I736" s="24">
        <f t="shared" si="46"/>
        <v>0.60000000000000009</v>
      </c>
      <c r="J736" s="24">
        <f t="shared" si="47"/>
        <v>0</v>
      </c>
      <c r="K736" s="24">
        <f>IF(CurrentMtgRatesDataTable811[[#This Row],[WA CC]]&lt;&gt;0,D735-CurrentMtgRatesDataTable811[[#This Row],[WA CC]],0)</f>
        <v>0</v>
      </c>
      <c r="L736" s="24">
        <f>IF(CurrentMtgRatesDataTable811[[#This Row],[Servicing Spread]]&lt;=0,L735,CurrentMtgRatesDataTable811[[#This Row],[Servicing Spread]])</f>
        <v>0.86417278846292955</v>
      </c>
      <c r="M736" s="24">
        <f>CurrentMtgRatesDataTable811[[#This Row],[SeriesNumValue]]+CurrentMtgRatesDataTable811[[#This Row],[Servicing Spread Non-Zero]]</f>
        <v>4.1029312409064289</v>
      </c>
    </row>
    <row r="737" spans="2:13" x14ac:dyDescent="0.2">
      <c r="B737" s="27" t="s">
        <v>1418</v>
      </c>
      <c r="C737" s="28">
        <v>3.31200880777374</v>
      </c>
      <c r="D737" s="26">
        <v>4.1100000000000003</v>
      </c>
      <c r="E737" s="24">
        <f t="shared" si="44"/>
        <v>6</v>
      </c>
      <c r="F737" s="24">
        <f>VLOOKUP(E737,Q$5:R$11,2,FALSE)</f>
        <v>0.2</v>
      </c>
      <c r="G737" s="24">
        <f t="shared" si="45"/>
        <v>4</v>
      </c>
      <c r="H737" s="24">
        <f>IF(G737&gt;G736,H736+C737*F737,C737*F737)</f>
        <v>2.598081388052798</v>
      </c>
      <c r="I737" s="24">
        <f t="shared" si="46"/>
        <v>0.8</v>
      </c>
      <c r="J737" s="24">
        <f t="shared" si="47"/>
        <v>0</v>
      </c>
      <c r="K737" s="24">
        <f>IF(CurrentMtgRatesDataTable811[[#This Row],[WA CC]]&lt;&gt;0,D736-CurrentMtgRatesDataTable811[[#This Row],[WA CC]],0)</f>
        <v>0</v>
      </c>
      <c r="L737" s="24">
        <f>IF(CurrentMtgRatesDataTable811[[#This Row],[Servicing Spread]]&lt;=0,L736,CurrentMtgRatesDataTable811[[#This Row],[Servicing Spread]])</f>
        <v>0.86417278846292955</v>
      </c>
      <c r="M737" s="24">
        <f>CurrentMtgRatesDataTable811[[#This Row],[SeriesNumValue]]+CurrentMtgRatesDataTable811[[#This Row],[Servicing Spread Non-Zero]]</f>
        <v>4.1761815962366695</v>
      </c>
    </row>
    <row r="738" spans="2:13" x14ac:dyDescent="0.2">
      <c r="B738" s="27" t="s">
        <v>1419</v>
      </c>
      <c r="C738" s="28">
        <v>3.2997347907142101</v>
      </c>
      <c r="D738" s="26">
        <v>4.1100000000000003</v>
      </c>
      <c r="E738" s="24">
        <f t="shared" si="44"/>
        <v>7</v>
      </c>
      <c r="F738" s="24">
        <f>VLOOKUP(E738,Q$5:R$11,2,FALSE)</f>
        <v>0.2</v>
      </c>
      <c r="G738" s="24">
        <f t="shared" si="45"/>
        <v>5</v>
      </c>
      <c r="H738" s="24">
        <f>IF(G738&gt;G737,H737+C738*F738,C738*F738)</f>
        <v>3.2580283461956401</v>
      </c>
      <c r="I738" s="24">
        <f t="shared" si="46"/>
        <v>1</v>
      </c>
      <c r="J738" s="24">
        <f t="shared" si="47"/>
        <v>3.2580283461956401</v>
      </c>
      <c r="K738" s="24">
        <f>IF(CurrentMtgRatesDataTable811[[#This Row],[WA CC]]&lt;&gt;0,D737-CurrentMtgRatesDataTable811[[#This Row],[WA CC]],0)</f>
        <v>0.85197165380436024</v>
      </c>
      <c r="L738" s="24">
        <f>IF(CurrentMtgRatesDataTable811[[#This Row],[Servicing Spread]]&lt;=0,L737,CurrentMtgRatesDataTable811[[#This Row],[Servicing Spread]])</f>
        <v>0.85197165380436024</v>
      </c>
      <c r="M738" s="24">
        <f>CurrentMtgRatesDataTable811[[#This Row],[SeriesNumValue]]+CurrentMtgRatesDataTable811[[#This Row],[Servicing Spread Non-Zero]]</f>
        <v>4.1517064445185703</v>
      </c>
    </row>
    <row r="739" spans="2:13" x14ac:dyDescent="0.2">
      <c r="B739" s="27" t="s">
        <v>1420</v>
      </c>
      <c r="C739" s="28">
        <v>3.2915305734964</v>
      </c>
      <c r="D739" s="26">
        <v>4.2749999999999995</v>
      </c>
      <c r="E739" s="24">
        <f t="shared" si="44"/>
        <v>1</v>
      </c>
      <c r="F739" s="24">
        <f>VLOOKUP(E739,Q$5:R$11,2,FALSE)</f>
        <v>0.2</v>
      </c>
      <c r="G739" s="24">
        <f t="shared" si="45"/>
        <v>1</v>
      </c>
      <c r="H739" s="24">
        <f>IF(G739&gt;G738,H738+C739*F739,C739*F739)</f>
        <v>0.65830611469928002</v>
      </c>
      <c r="I739" s="24">
        <f t="shared" si="46"/>
        <v>0.2</v>
      </c>
      <c r="J739" s="24">
        <f t="shared" si="47"/>
        <v>0</v>
      </c>
      <c r="K739" s="24">
        <f>IF(CurrentMtgRatesDataTable811[[#This Row],[WA CC]]&lt;&gt;0,D738-CurrentMtgRatesDataTable811[[#This Row],[WA CC]],0)</f>
        <v>0</v>
      </c>
      <c r="L739" s="24">
        <f>IF(CurrentMtgRatesDataTable811[[#This Row],[Servicing Spread]]&lt;=0,L738,CurrentMtgRatesDataTable811[[#This Row],[Servicing Spread]])</f>
        <v>0.85197165380436024</v>
      </c>
      <c r="M739" s="24">
        <f>CurrentMtgRatesDataTable811[[#This Row],[SeriesNumValue]]+CurrentMtgRatesDataTable811[[#This Row],[Servicing Spread Non-Zero]]</f>
        <v>4.1435022273007602</v>
      </c>
    </row>
    <row r="740" spans="2:13" x14ac:dyDescent="0.2">
      <c r="B740" s="27" t="s">
        <v>1421</v>
      </c>
      <c r="C740" s="28">
        <v>3.4185329478981301</v>
      </c>
      <c r="D740" s="26">
        <v>4.2749999999999995</v>
      </c>
      <c r="E740" s="24">
        <f t="shared" si="44"/>
        <v>2</v>
      </c>
      <c r="F740" s="24">
        <f>VLOOKUP(E740,Q$5:R$11,2,FALSE)</f>
        <v>0.2</v>
      </c>
      <c r="G740" s="24">
        <f t="shared" si="45"/>
        <v>2</v>
      </c>
      <c r="H740" s="24">
        <f>IF(G740&gt;G739,H739+C740*F740,C740*F740)</f>
        <v>1.3420127042789061</v>
      </c>
      <c r="I740" s="24">
        <f t="shared" si="46"/>
        <v>0.4</v>
      </c>
      <c r="J740" s="24">
        <f t="shared" si="47"/>
        <v>0</v>
      </c>
      <c r="K740" s="24">
        <f>IF(CurrentMtgRatesDataTable811[[#This Row],[WA CC]]&lt;&gt;0,D739-CurrentMtgRatesDataTable811[[#This Row],[WA CC]],0)</f>
        <v>0</v>
      </c>
      <c r="L740" s="24">
        <f>IF(CurrentMtgRatesDataTable811[[#This Row],[Servicing Spread]]&lt;=0,L739,CurrentMtgRatesDataTable811[[#This Row],[Servicing Spread]])</f>
        <v>0.85197165380436024</v>
      </c>
      <c r="M740" s="24">
        <f>CurrentMtgRatesDataTable811[[#This Row],[SeriesNumValue]]+CurrentMtgRatesDataTable811[[#This Row],[Servicing Spread Non-Zero]]</f>
        <v>4.2705046017024904</v>
      </c>
    </row>
    <row r="741" spans="2:13" x14ac:dyDescent="0.2">
      <c r="B741" s="27" t="s">
        <v>1422</v>
      </c>
      <c r="C741" s="28">
        <v>3.42394236396553</v>
      </c>
      <c r="D741" s="26">
        <v>4.2749999999999995</v>
      </c>
      <c r="E741" s="24">
        <f t="shared" si="44"/>
        <v>6</v>
      </c>
      <c r="F741" s="24">
        <f>VLOOKUP(E741,Q$5:R$11,2,FALSE)</f>
        <v>0.2</v>
      </c>
      <c r="G741" s="24">
        <f t="shared" si="45"/>
        <v>3</v>
      </c>
      <c r="H741" s="24">
        <f>IF(G741&gt;G740,H740+C741*F741,C741*F741)</f>
        <v>2.026801177072012</v>
      </c>
      <c r="I741" s="24">
        <f t="shared" si="46"/>
        <v>0.60000000000000009</v>
      </c>
      <c r="J741" s="24">
        <f t="shared" si="47"/>
        <v>0</v>
      </c>
      <c r="K741" s="24">
        <f>IF(CurrentMtgRatesDataTable811[[#This Row],[WA CC]]&lt;&gt;0,D740-CurrentMtgRatesDataTable811[[#This Row],[WA CC]],0)</f>
        <v>0</v>
      </c>
      <c r="L741" s="24">
        <f>IF(CurrentMtgRatesDataTable811[[#This Row],[Servicing Spread]]&lt;=0,L740,CurrentMtgRatesDataTable811[[#This Row],[Servicing Spread]])</f>
        <v>0.85197165380436024</v>
      </c>
      <c r="M741" s="24">
        <f>CurrentMtgRatesDataTable811[[#This Row],[SeriesNumValue]]+CurrentMtgRatesDataTable811[[#This Row],[Servicing Spread Non-Zero]]</f>
        <v>4.2759140177698907</v>
      </c>
    </row>
    <row r="742" spans="2:13" x14ac:dyDescent="0.2">
      <c r="B742" s="27" t="s">
        <v>1423</v>
      </c>
      <c r="C742" s="28">
        <v>3.3863287913399098</v>
      </c>
      <c r="D742" s="26">
        <v>4.2749999999999995</v>
      </c>
      <c r="E742" s="24">
        <f t="shared" si="44"/>
        <v>7</v>
      </c>
      <c r="F742" s="24">
        <f>VLOOKUP(E742,Q$5:R$11,2,FALSE)</f>
        <v>0.2</v>
      </c>
      <c r="G742" s="24">
        <f t="shared" si="45"/>
        <v>4</v>
      </c>
      <c r="H742" s="24">
        <f>IF(G742&gt;G741,H741+C742*F742,C742*F742)</f>
        <v>2.704066935339994</v>
      </c>
      <c r="I742" s="24">
        <f t="shared" si="46"/>
        <v>0.8</v>
      </c>
      <c r="J742" s="24">
        <f t="shared" si="47"/>
        <v>3.3800836691749923</v>
      </c>
      <c r="K742" s="24">
        <f>IF(CurrentMtgRatesDataTable811[[#This Row],[WA CC]]&lt;&gt;0,D741-CurrentMtgRatesDataTable811[[#This Row],[WA CC]],0)</f>
        <v>0.89491633082500721</v>
      </c>
      <c r="L742" s="24">
        <f>IF(CurrentMtgRatesDataTable811[[#This Row],[Servicing Spread]]&lt;=0,L741,CurrentMtgRatesDataTable811[[#This Row],[Servicing Spread]])</f>
        <v>0.89491633082500721</v>
      </c>
      <c r="M742" s="24">
        <f>CurrentMtgRatesDataTable811[[#This Row],[SeriesNumValue]]+CurrentMtgRatesDataTable811[[#This Row],[Servicing Spread Non-Zero]]</f>
        <v>4.2812451221649166</v>
      </c>
    </row>
    <row r="743" spans="2:13" x14ac:dyDescent="0.2">
      <c r="B743" s="27" t="s">
        <v>1424</v>
      </c>
      <c r="C743" s="28">
        <v>3.33440232330382</v>
      </c>
      <c r="D743" s="26">
        <v>4.1449999999999996</v>
      </c>
      <c r="E743" s="24">
        <f t="shared" si="44"/>
        <v>1</v>
      </c>
      <c r="F743" s="24">
        <f>VLOOKUP(E743,Q$5:R$11,2,FALSE)</f>
        <v>0.2</v>
      </c>
      <c r="G743" s="24">
        <f t="shared" si="45"/>
        <v>1</v>
      </c>
      <c r="H743" s="24">
        <f>IF(G743&gt;G742,H742+C743*F743,C743*F743)</f>
        <v>0.66688046466076401</v>
      </c>
      <c r="I743" s="24">
        <f t="shared" si="46"/>
        <v>0.2</v>
      </c>
      <c r="J743" s="24">
        <f t="shared" si="47"/>
        <v>0</v>
      </c>
      <c r="K743" s="24">
        <f>IF(CurrentMtgRatesDataTable811[[#This Row],[WA CC]]&lt;&gt;0,D742-CurrentMtgRatesDataTable811[[#This Row],[WA CC]],0)</f>
        <v>0</v>
      </c>
      <c r="L743" s="24">
        <f>IF(CurrentMtgRatesDataTable811[[#This Row],[Servicing Spread]]&lt;=0,L742,CurrentMtgRatesDataTable811[[#This Row],[Servicing Spread]])</f>
        <v>0.89491633082500721</v>
      </c>
      <c r="M743" s="24">
        <f>CurrentMtgRatesDataTable811[[#This Row],[SeriesNumValue]]+CurrentMtgRatesDataTable811[[#This Row],[Servicing Spread Non-Zero]]</f>
        <v>4.2293186541288268</v>
      </c>
    </row>
    <row r="744" spans="2:13" x14ac:dyDescent="0.2">
      <c r="B744" s="27" t="s">
        <v>1425</v>
      </c>
      <c r="C744" s="28">
        <v>3.3274975263328299</v>
      </c>
      <c r="D744" s="26">
        <v>4.1449999999999996</v>
      </c>
      <c r="E744" s="24">
        <f t="shared" si="44"/>
        <v>2</v>
      </c>
      <c r="F744" s="24">
        <f>VLOOKUP(E744,Q$5:R$11,2,FALSE)</f>
        <v>0.2</v>
      </c>
      <c r="G744" s="24">
        <f t="shared" si="45"/>
        <v>2</v>
      </c>
      <c r="H744" s="24">
        <f>IF(G744&gt;G743,H743+C744*F744,C744*F744)</f>
        <v>1.33237996992733</v>
      </c>
      <c r="I744" s="24">
        <f t="shared" si="46"/>
        <v>0.4</v>
      </c>
      <c r="J744" s="24">
        <f t="shared" si="47"/>
        <v>0</v>
      </c>
      <c r="K744" s="24">
        <f>IF(CurrentMtgRatesDataTable811[[#This Row],[WA CC]]&lt;&gt;0,D743-CurrentMtgRatesDataTable811[[#This Row],[WA CC]],0)</f>
        <v>0</v>
      </c>
      <c r="L744" s="24">
        <f>IF(CurrentMtgRatesDataTable811[[#This Row],[Servicing Spread]]&lt;=0,L743,CurrentMtgRatesDataTable811[[#This Row],[Servicing Spread]])</f>
        <v>0.89491633082500721</v>
      </c>
      <c r="M744" s="24">
        <f>CurrentMtgRatesDataTable811[[#This Row],[SeriesNumValue]]+CurrentMtgRatesDataTable811[[#This Row],[Servicing Spread Non-Zero]]</f>
        <v>4.2224138571578376</v>
      </c>
    </row>
    <row r="745" spans="2:13" x14ac:dyDescent="0.2">
      <c r="B745" s="27" t="s">
        <v>1426</v>
      </c>
      <c r="C745" s="28">
        <v>3.2892170945558501</v>
      </c>
      <c r="D745" s="26">
        <v>4.1449999999999996</v>
      </c>
      <c r="E745" s="24">
        <f t="shared" si="44"/>
        <v>5</v>
      </c>
      <c r="F745" s="24">
        <f>VLOOKUP(E745,Q$5:R$11,2,FALSE)</f>
        <v>0.2</v>
      </c>
      <c r="G745" s="24">
        <f t="shared" si="45"/>
        <v>3</v>
      </c>
      <c r="H745" s="24">
        <f>IF(G745&gt;G744,H744+C745*F745,C745*F745)</f>
        <v>1.9902233888384999</v>
      </c>
      <c r="I745" s="24">
        <f t="shared" si="46"/>
        <v>0.60000000000000009</v>
      </c>
      <c r="J745" s="24">
        <f t="shared" si="47"/>
        <v>0</v>
      </c>
      <c r="K745" s="24">
        <f>IF(CurrentMtgRatesDataTable811[[#This Row],[WA CC]]&lt;&gt;0,D744-CurrentMtgRatesDataTable811[[#This Row],[WA CC]],0)</f>
        <v>0</v>
      </c>
      <c r="L745" s="24">
        <f>IF(CurrentMtgRatesDataTable811[[#This Row],[Servicing Spread]]&lt;=0,L744,CurrentMtgRatesDataTable811[[#This Row],[Servicing Spread]])</f>
        <v>0.89491633082500721</v>
      </c>
      <c r="M745" s="24">
        <f>CurrentMtgRatesDataTable811[[#This Row],[SeriesNumValue]]+CurrentMtgRatesDataTable811[[#This Row],[Servicing Spread Non-Zero]]</f>
        <v>4.1841334253808569</v>
      </c>
    </row>
    <row r="746" spans="2:13" x14ac:dyDescent="0.2">
      <c r="B746" s="27" t="s">
        <v>1427</v>
      </c>
      <c r="C746" s="28">
        <v>3.3249162804545902</v>
      </c>
      <c r="D746" s="26">
        <v>4.1449999999999996</v>
      </c>
      <c r="E746" s="24">
        <f t="shared" si="44"/>
        <v>6</v>
      </c>
      <c r="F746" s="24">
        <f>VLOOKUP(E746,Q$5:R$11,2,FALSE)</f>
        <v>0.2</v>
      </c>
      <c r="G746" s="24">
        <f t="shared" si="45"/>
        <v>4</v>
      </c>
      <c r="H746" s="24">
        <f>IF(G746&gt;G745,H745+C746*F746,C746*F746)</f>
        <v>2.655206644929418</v>
      </c>
      <c r="I746" s="24">
        <f t="shared" si="46"/>
        <v>0.8</v>
      </c>
      <c r="J746" s="24">
        <f t="shared" si="47"/>
        <v>0</v>
      </c>
      <c r="K746" s="24">
        <f>IF(CurrentMtgRatesDataTable811[[#This Row],[WA CC]]&lt;&gt;0,D745-CurrentMtgRatesDataTable811[[#This Row],[WA CC]],0)</f>
        <v>0</v>
      </c>
      <c r="L746" s="24">
        <f>IF(CurrentMtgRatesDataTable811[[#This Row],[Servicing Spread]]&lt;=0,L745,CurrentMtgRatesDataTable811[[#This Row],[Servicing Spread]])</f>
        <v>0.89491633082500721</v>
      </c>
      <c r="M746" s="24">
        <f>CurrentMtgRatesDataTable811[[#This Row],[SeriesNumValue]]+CurrentMtgRatesDataTable811[[#This Row],[Servicing Spread Non-Zero]]</f>
        <v>4.2198326112795979</v>
      </c>
    </row>
    <row r="747" spans="2:13" x14ac:dyDescent="0.2">
      <c r="B747" s="27" t="s">
        <v>1428</v>
      </c>
      <c r="C747" s="28">
        <v>3.3953888640544201</v>
      </c>
      <c r="D747" s="26">
        <v>4.1449999999999996</v>
      </c>
      <c r="E747" s="24">
        <f t="shared" si="44"/>
        <v>7</v>
      </c>
      <c r="F747" s="24">
        <f>VLOOKUP(E747,Q$5:R$11,2,FALSE)</f>
        <v>0.2</v>
      </c>
      <c r="G747" s="24">
        <f t="shared" si="45"/>
        <v>5</v>
      </c>
      <c r="H747" s="24">
        <f>IF(G747&gt;G746,H746+C747*F747,C747*F747)</f>
        <v>3.3342844177403022</v>
      </c>
      <c r="I747" s="24">
        <f t="shared" si="46"/>
        <v>1</v>
      </c>
      <c r="J747" s="24">
        <f t="shared" si="47"/>
        <v>3.3342844177403022</v>
      </c>
      <c r="K747" s="24">
        <f>IF(CurrentMtgRatesDataTable811[[#This Row],[WA CC]]&lt;&gt;0,D746-CurrentMtgRatesDataTable811[[#This Row],[WA CC]],0)</f>
        <v>0.81071558225969742</v>
      </c>
      <c r="L747" s="24">
        <f>IF(CurrentMtgRatesDataTable811[[#This Row],[Servicing Spread]]&lt;=0,L746,CurrentMtgRatesDataTable811[[#This Row],[Servicing Spread]])</f>
        <v>0.81071558225969742</v>
      </c>
      <c r="M747" s="24">
        <f>CurrentMtgRatesDataTable811[[#This Row],[SeriesNumValue]]+CurrentMtgRatesDataTable811[[#This Row],[Servicing Spread Non-Zero]]</f>
        <v>4.206104446314118</v>
      </c>
    </row>
    <row r="748" spans="2:13" x14ac:dyDescent="0.2">
      <c r="B748" s="27" t="s">
        <v>1429</v>
      </c>
      <c r="C748" s="28">
        <v>3.3902241574747198</v>
      </c>
      <c r="D748" s="26">
        <v>4.2149999999999999</v>
      </c>
      <c r="E748" s="24">
        <f t="shared" si="44"/>
        <v>1</v>
      </c>
      <c r="F748" s="24">
        <f>VLOOKUP(E748,Q$5:R$11,2,FALSE)</f>
        <v>0.2</v>
      </c>
      <c r="G748" s="24">
        <f t="shared" si="45"/>
        <v>1</v>
      </c>
      <c r="H748" s="24">
        <f>IF(G748&gt;G747,H747+C748*F748,C748*F748)</f>
        <v>0.67804483149494399</v>
      </c>
      <c r="I748" s="24">
        <f t="shared" si="46"/>
        <v>0.2</v>
      </c>
      <c r="J748" s="24">
        <f t="shared" si="47"/>
        <v>0</v>
      </c>
      <c r="K748" s="24">
        <f>IF(CurrentMtgRatesDataTable811[[#This Row],[WA CC]]&lt;&gt;0,D747-CurrentMtgRatesDataTable811[[#This Row],[WA CC]],0)</f>
        <v>0</v>
      </c>
      <c r="L748" s="24">
        <f>IF(CurrentMtgRatesDataTable811[[#This Row],[Servicing Spread]]&lt;=0,L747,CurrentMtgRatesDataTable811[[#This Row],[Servicing Spread]])</f>
        <v>0.81071558225969742</v>
      </c>
      <c r="M748" s="24">
        <f>CurrentMtgRatesDataTable811[[#This Row],[SeriesNumValue]]+CurrentMtgRatesDataTable811[[#This Row],[Servicing Spread Non-Zero]]</f>
        <v>4.2009397397344177</v>
      </c>
    </row>
    <row r="749" spans="2:13" x14ac:dyDescent="0.2">
      <c r="B749" s="27" t="s">
        <v>1430</v>
      </c>
      <c r="C749" s="28">
        <v>3.3765717476056198</v>
      </c>
      <c r="D749" s="26">
        <v>4.2149999999999999</v>
      </c>
      <c r="E749" s="24">
        <f t="shared" si="44"/>
        <v>2</v>
      </c>
      <c r="F749" s="24">
        <f>VLOOKUP(E749,Q$5:R$11,2,FALSE)</f>
        <v>0.2</v>
      </c>
      <c r="G749" s="24">
        <f t="shared" si="45"/>
        <v>2</v>
      </c>
      <c r="H749" s="24">
        <f>IF(G749&gt;G748,H748+C749*F749,C749*F749)</f>
        <v>1.3533591810160681</v>
      </c>
      <c r="I749" s="24">
        <f t="shared" si="46"/>
        <v>0.4</v>
      </c>
      <c r="J749" s="24">
        <f t="shared" si="47"/>
        <v>0</v>
      </c>
      <c r="K749" s="24">
        <f>IF(CurrentMtgRatesDataTable811[[#This Row],[WA CC]]&lt;&gt;0,D748-CurrentMtgRatesDataTable811[[#This Row],[WA CC]],0)</f>
        <v>0</v>
      </c>
      <c r="L749" s="24">
        <f>IF(CurrentMtgRatesDataTable811[[#This Row],[Servicing Spread]]&lt;=0,L748,CurrentMtgRatesDataTable811[[#This Row],[Servicing Spread]])</f>
        <v>0.81071558225969742</v>
      </c>
      <c r="M749" s="24">
        <f>CurrentMtgRatesDataTable811[[#This Row],[SeriesNumValue]]+CurrentMtgRatesDataTable811[[#This Row],[Servicing Spread Non-Zero]]</f>
        <v>4.1872873298653168</v>
      </c>
    </row>
    <row r="750" spans="2:13" x14ac:dyDescent="0.2">
      <c r="B750" s="27" t="s">
        <v>1431</v>
      </c>
      <c r="C750" s="28">
        <v>3.3786024673164099</v>
      </c>
      <c r="D750" s="26">
        <v>4.2149999999999999</v>
      </c>
      <c r="E750" s="24">
        <f t="shared" si="44"/>
        <v>5</v>
      </c>
      <c r="F750" s="24">
        <f>VLOOKUP(E750,Q$5:R$11,2,FALSE)</f>
        <v>0.2</v>
      </c>
      <c r="G750" s="24">
        <f t="shared" si="45"/>
        <v>3</v>
      </c>
      <c r="H750" s="24">
        <f>IF(G750&gt;G749,H749+C750*F750,C750*F750)</f>
        <v>2.02907967447935</v>
      </c>
      <c r="I750" s="24">
        <f t="shared" si="46"/>
        <v>0.60000000000000009</v>
      </c>
      <c r="J750" s="24">
        <f t="shared" si="47"/>
        <v>0</v>
      </c>
      <c r="K750" s="24">
        <f>IF(CurrentMtgRatesDataTable811[[#This Row],[WA CC]]&lt;&gt;0,D749-CurrentMtgRatesDataTable811[[#This Row],[WA CC]],0)</f>
        <v>0</v>
      </c>
      <c r="L750" s="24">
        <f>IF(CurrentMtgRatesDataTable811[[#This Row],[Servicing Spread]]&lt;=0,L749,CurrentMtgRatesDataTable811[[#This Row],[Servicing Spread]])</f>
        <v>0.81071558225969742</v>
      </c>
      <c r="M750" s="24">
        <f>CurrentMtgRatesDataTable811[[#This Row],[SeriesNumValue]]+CurrentMtgRatesDataTable811[[#This Row],[Servicing Spread Non-Zero]]</f>
        <v>4.1893180495761069</v>
      </c>
    </row>
    <row r="751" spans="2:13" x14ac:dyDescent="0.2">
      <c r="B751" s="27" t="s">
        <v>1432</v>
      </c>
      <c r="C751" s="28">
        <v>3.36567559686896</v>
      </c>
      <c r="D751" s="26">
        <v>4.2149999999999999</v>
      </c>
      <c r="E751" s="24">
        <f t="shared" si="44"/>
        <v>6</v>
      </c>
      <c r="F751" s="24">
        <f>VLOOKUP(E751,Q$5:R$11,2,FALSE)</f>
        <v>0.2</v>
      </c>
      <c r="G751" s="24">
        <f t="shared" si="45"/>
        <v>4</v>
      </c>
      <c r="H751" s="24">
        <f>IF(G751&gt;G750,H750+C751*F751,C751*F751)</f>
        <v>2.702214793853142</v>
      </c>
      <c r="I751" s="24">
        <f t="shared" si="46"/>
        <v>0.8</v>
      </c>
      <c r="J751" s="24">
        <f t="shared" si="47"/>
        <v>0</v>
      </c>
      <c r="K751" s="24">
        <f>IF(CurrentMtgRatesDataTable811[[#This Row],[WA CC]]&lt;&gt;0,D750-CurrentMtgRatesDataTable811[[#This Row],[WA CC]],0)</f>
        <v>0</v>
      </c>
      <c r="L751" s="24">
        <f>IF(CurrentMtgRatesDataTable811[[#This Row],[Servicing Spread]]&lt;=0,L750,CurrentMtgRatesDataTable811[[#This Row],[Servicing Spread]])</f>
        <v>0.81071558225969742</v>
      </c>
      <c r="M751" s="24">
        <f>CurrentMtgRatesDataTable811[[#This Row],[SeriesNumValue]]+CurrentMtgRatesDataTable811[[#This Row],[Servicing Spread Non-Zero]]</f>
        <v>4.1763911791286574</v>
      </c>
    </row>
    <row r="752" spans="2:13" x14ac:dyDescent="0.2">
      <c r="B752" s="27" t="s">
        <v>1433</v>
      </c>
      <c r="C752" s="28">
        <v>3.41186502861204</v>
      </c>
      <c r="D752" s="26">
        <v>4.2149999999999999</v>
      </c>
      <c r="E752" s="24">
        <f t="shared" si="44"/>
        <v>7</v>
      </c>
      <c r="F752" s="24">
        <f>VLOOKUP(E752,Q$5:R$11,2,FALSE)</f>
        <v>0.2</v>
      </c>
      <c r="G752" s="24">
        <f t="shared" si="45"/>
        <v>5</v>
      </c>
      <c r="H752" s="24">
        <f>IF(G752&gt;G751,H751+C752*F752,C752*F752)</f>
        <v>3.38458779957555</v>
      </c>
      <c r="I752" s="24">
        <f t="shared" si="46"/>
        <v>1</v>
      </c>
      <c r="J752" s="24">
        <f t="shared" si="47"/>
        <v>3.38458779957555</v>
      </c>
      <c r="K752" s="24">
        <f>IF(CurrentMtgRatesDataTable811[[#This Row],[WA CC]]&lt;&gt;0,D751-CurrentMtgRatesDataTable811[[#This Row],[WA CC]],0)</f>
        <v>0.83041220042444985</v>
      </c>
      <c r="L752" s="24">
        <f>IF(CurrentMtgRatesDataTable811[[#This Row],[Servicing Spread]]&lt;=0,L751,CurrentMtgRatesDataTable811[[#This Row],[Servicing Spread]])</f>
        <v>0.83041220042444985</v>
      </c>
      <c r="M752" s="24">
        <f>CurrentMtgRatesDataTable811[[#This Row],[SeriesNumValue]]+CurrentMtgRatesDataTable811[[#This Row],[Servicing Spread Non-Zero]]</f>
        <v>4.2422772290364898</v>
      </c>
    </row>
    <row r="753" spans="2:13" x14ac:dyDescent="0.2">
      <c r="B753" s="27" t="s">
        <v>1434</v>
      </c>
      <c r="C753" s="28">
        <v>3.4152065149267101</v>
      </c>
      <c r="D753" s="26">
        <v>4.335</v>
      </c>
      <c r="E753" s="24">
        <f t="shared" si="44"/>
        <v>2</v>
      </c>
      <c r="F753" s="24">
        <f>VLOOKUP(E753,Q$5:R$11,2,FALSE)</f>
        <v>0.2</v>
      </c>
      <c r="G753" s="24">
        <f t="shared" si="45"/>
        <v>1</v>
      </c>
      <c r="H753" s="24">
        <f>IF(G753&gt;G752,H752+C753*F753,C753*F753)</f>
        <v>0.68304130298534205</v>
      </c>
      <c r="I753" s="24">
        <f t="shared" si="46"/>
        <v>0.2</v>
      </c>
      <c r="J753" s="24">
        <f t="shared" si="47"/>
        <v>0</v>
      </c>
      <c r="K753" s="24">
        <f>IF(CurrentMtgRatesDataTable811[[#This Row],[WA CC]]&lt;&gt;0,D752-CurrentMtgRatesDataTable811[[#This Row],[WA CC]],0)</f>
        <v>0</v>
      </c>
      <c r="L753" s="24">
        <f>IF(CurrentMtgRatesDataTable811[[#This Row],[Servicing Spread]]&lt;=0,L752,CurrentMtgRatesDataTable811[[#This Row],[Servicing Spread]])</f>
        <v>0.83041220042444985</v>
      </c>
      <c r="M753" s="24">
        <f>CurrentMtgRatesDataTable811[[#This Row],[SeriesNumValue]]+CurrentMtgRatesDataTable811[[#This Row],[Servicing Spread Non-Zero]]</f>
        <v>4.24561871535116</v>
      </c>
    </row>
    <row r="754" spans="2:13" x14ac:dyDescent="0.2">
      <c r="B754" s="27" t="s">
        <v>1435</v>
      </c>
      <c r="C754" s="28">
        <v>3.48278493540972</v>
      </c>
      <c r="D754" s="26">
        <v>4.335</v>
      </c>
      <c r="E754" s="24">
        <f t="shared" si="44"/>
        <v>5</v>
      </c>
      <c r="F754" s="24">
        <f>VLOOKUP(E754,Q$5:R$11,2,FALSE)</f>
        <v>0.2</v>
      </c>
      <c r="G754" s="24">
        <f t="shared" si="45"/>
        <v>2</v>
      </c>
      <c r="H754" s="24">
        <f>IF(G754&gt;G753,H753+C754*F754,C754*F754)</f>
        <v>1.3795982900672861</v>
      </c>
      <c r="I754" s="24">
        <f t="shared" si="46"/>
        <v>0.4</v>
      </c>
      <c r="J754" s="24">
        <f t="shared" si="47"/>
        <v>0</v>
      </c>
      <c r="K754" s="24">
        <f>IF(CurrentMtgRatesDataTable811[[#This Row],[WA CC]]&lt;&gt;0,D753-CurrentMtgRatesDataTable811[[#This Row],[WA CC]],0)</f>
        <v>0</v>
      </c>
      <c r="L754" s="24">
        <f>IF(CurrentMtgRatesDataTable811[[#This Row],[Servicing Spread]]&lt;=0,L753,CurrentMtgRatesDataTable811[[#This Row],[Servicing Spread]])</f>
        <v>0.83041220042444985</v>
      </c>
      <c r="M754" s="24">
        <f>CurrentMtgRatesDataTable811[[#This Row],[SeriesNumValue]]+CurrentMtgRatesDataTable811[[#This Row],[Servicing Spread Non-Zero]]</f>
        <v>4.3131971358341694</v>
      </c>
    </row>
    <row r="755" spans="2:13" x14ac:dyDescent="0.2">
      <c r="B755" s="27" t="s">
        <v>1436</v>
      </c>
      <c r="C755" s="28">
        <v>3.4820134464127701</v>
      </c>
      <c r="D755" s="26">
        <v>4.335</v>
      </c>
      <c r="E755" s="24">
        <f t="shared" si="44"/>
        <v>6</v>
      </c>
      <c r="F755" s="24">
        <f>VLOOKUP(E755,Q$5:R$11,2,FALSE)</f>
        <v>0.2</v>
      </c>
      <c r="G755" s="24">
        <f t="shared" si="45"/>
        <v>3</v>
      </c>
      <c r="H755" s="24">
        <f>IF(G755&gt;G754,H754+C755*F755,C755*F755)</f>
        <v>2.07600097934984</v>
      </c>
      <c r="I755" s="24">
        <f t="shared" si="46"/>
        <v>0.60000000000000009</v>
      </c>
      <c r="J755" s="24">
        <f t="shared" si="47"/>
        <v>0</v>
      </c>
      <c r="K755" s="24">
        <f>IF(CurrentMtgRatesDataTable811[[#This Row],[WA CC]]&lt;&gt;0,D754-CurrentMtgRatesDataTable811[[#This Row],[WA CC]],0)</f>
        <v>0</v>
      </c>
      <c r="L755" s="24">
        <f>IF(CurrentMtgRatesDataTable811[[#This Row],[Servicing Spread]]&lt;=0,L754,CurrentMtgRatesDataTable811[[#This Row],[Servicing Spread]])</f>
        <v>0.83041220042444985</v>
      </c>
      <c r="M755" s="24">
        <f>CurrentMtgRatesDataTable811[[#This Row],[SeriesNumValue]]+CurrentMtgRatesDataTable811[[#This Row],[Servicing Spread Non-Zero]]</f>
        <v>4.3124256468372195</v>
      </c>
    </row>
    <row r="756" spans="2:13" x14ac:dyDescent="0.2">
      <c r="B756" s="27" t="s">
        <v>1437</v>
      </c>
      <c r="C756" s="28">
        <v>3.53796119815684</v>
      </c>
      <c r="D756" s="26">
        <v>4.335</v>
      </c>
      <c r="E756" s="24">
        <f t="shared" si="44"/>
        <v>7</v>
      </c>
      <c r="F756" s="24">
        <f>VLOOKUP(E756,Q$5:R$11,2,FALSE)</f>
        <v>0.2</v>
      </c>
      <c r="G756" s="24">
        <f t="shared" si="45"/>
        <v>4</v>
      </c>
      <c r="H756" s="24">
        <f>IF(G756&gt;G755,H755+C756*F756,C756*F756)</f>
        <v>2.783593218981208</v>
      </c>
      <c r="I756" s="24">
        <f t="shared" si="46"/>
        <v>0.8</v>
      </c>
      <c r="J756" s="24">
        <f t="shared" si="47"/>
        <v>3.47949152372651</v>
      </c>
      <c r="K756" s="24">
        <f>IF(CurrentMtgRatesDataTable811[[#This Row],[WA CC]]&lt;&gt;0,D755-CurrentMtgRatesDataTable811[[#This Row],[WA CC]],0)</f>
        <v>0.85550847627348992</v>
      </c>
      <c r="L756" s="24">
        <f>IF(CurrentMtgRatesDataTable811[[#This Row],[Servicing Spread]]&lt;=0,L755,CurrentMtgRatesDataTable811[[#This Row],[Servicing Spread]])</f>
        <v>0.85550847627348992</v>
      </c>
      <c r="M756" s="24">
        <f>CurrentMtgRatesDataTable811[[#This Row],[SeriesNumValue]]+CurrentMtgRatesDataTable811[[#This Row],[Servicing Spread Non-Zero]]</f>
        <v>4.3934696744303299</v>
      </c>
    </row>
    <row r="757" spans="2:13" x14ac:dyDescent="0.2">
      <c r="B757" s="27" t="s">
        <v>1438</v>
      </c>
      <c r="C757" s="28">
        <v>3.5521293611692002</v>
      </c>
      <c r="D757" s="26">
        <v>4.3449999999999998</v>
      </c>
      <c r="E757" s="24">
        <f t="shared" si="44"/>
        <v>1</v>
      </c>
      <c r="F757" s="24">
        <f>VLOOKUP(E757,Q$5:R$11,2,FALSE)</f>
        <v>0.2</v>
      </c>
      <c r="G757" s="24">
        <f t="shared" si="45"/>
        <v>1</v>
      </c>
      <c r="H757" s="24">
        <f>IF(G757&gt;G756,H756+C757*F757,C757*F757)</f>
        <v>0.71042587223384013</v>
      </c>
      <c r="I757" s="24">
        <f t="shared" si="46"/>
        <v>0.2</v>
      </c>
      <c r="J757" s="24">
        <f t="shared" si="47"/>
        <v>0</v>
      </c>
      <c r="K757" s="24">
        <f>IF(CurrentMtgRatesDataTable811[[#This Row],[WA CC]]&lt;&gt;0,D756-CurrentMtgRatesDataTable811[[#This Row],[WA CC]],0)</f>
        <v>0</v>
      </c>
      <c r="L757" s="24">
        <f>IF(CurrentMtgRatesDataTable811[[#This Row],[Servicing Spread]]&lt;=0,L756,CurrentMtgRatesDataTable811[[#This Row],[Servicing Spread]])</f>
        <v>0.85550847627348992</v>
      </c>
      <c r="M757" s="24">
        <f>CurrentMtgRatesDataTable811[[#This Row],[SeriesNumValue]]+CurrentMtgRatesDataTable811[[#This Row],[Servicing Spread Non-Zero]]</f>
        <v>4.4076378374426906</v>
      </c>
    </row>
    <row r="758" spans="2:13" x14ac:dyDescent="0.2">
      <c r="B758" s="27" t="s">
        <v>1439</v>
      </c>
      <c r="C758" s="28">
        <v>3.5357721713068302</v>
      </c>
      <c r="D758" s="26">
        <v>4.3449999999999998</v>
      </c>
      <c r="E758" s="24">
        <f t="shared" si="44"/>
        <v>2</v>
      </c>
      <c r="F758" s="24">
        <f>VLOOKUP(E758,Q$5:R$11,2,FALSE)</f>
        <v>0.2</v>
      </c>
      <c r="G758" s="24">
        <f t="shared" si="45"/>
        <v>2</v>
      </c>
      <c r="H758" s="24">
        <f>IF(G758&gt;G757,H757+C758*F758,C758*F758)</f>
        <v>1.4175803064952062</v>
      </c>
      <c r="I758" s="24">
        <f t="shared" si="46"/>
        <v>0.4</v>
      </c>
      <c r="J758" s="24">
        <f t="shared" si="47"/>
        <v>0</v>
      </c>
      <c r="K758" s="24">
        <f>IF(CurrentMtgRatesDataTable811[[#This Row],[WA CC]]&lt;&gt;0,D757-CurrentMtgRatesDataTable811[[#This Row],[WA CC]],0)</f>
        <v>0</v>
      </c>
      <c r="L758" s="24">
        <f>IF(CurrentMtgRatesDataTable811[[#This Row],[Servicing Spread]]&lt;=0,L757,CurrentMtgRatesDataTable811[[#This Row],[Servicing Spread]])</f>
        <v>0.85550847627348992</v>
      </c>
      <c r="M758" s="24">
        <f>CurrentMtgRatesDataTable811[[#This Row],[SeriesNumValue]]+CurrentMtgRatesDataTable811[[#This Row],[Servicing Spread Non-Zero]]</f>
        <v>4.3912806475803201</v>
      </c>
    </row>
    <row r="759" spans="2:13" x14ac:dyDescent="0.2">
      <c r="B759" s="27" t="s">
        <v>1440</v>
      </c>
      <c r="C759" s="28">
        <v>3.5044888951704301</v>
      </c>
      <c r="D759" s="26">
        <v>4.3449999999999998</v>
      </c>
      <c r="E759" s="24">
        <f t="shared" si="44"/>
        <v>5</v>
      </c>
      <c r="F759" s="24">
        <f>VLOOKUP(E759,Q$5:R$11,2,FALSE)</f>
        <v>0.2</v>
      </c>
      <c r="G759" s="24">
        <f t="shared" si="45"/>
        <v>3</v>
      </c>
      <c r="H759" s="24">
        <f>IF(G759&gt;G758,H758+C759*F759,C759*F759)</f>
        <v>2.1184780855292922</v>
      </c>
      <c r="I759" s="24">
        <f t="shared" si="46"/>
        <v>0.60000000000000009</v>
      </c>
      <c r="J759" s="24">
        <f t="shared" si="47"/>
        <v>0</v>
      </c>
      <c r="K759" s="24">
        <f>IF(CurrentMtgRatesDataTable811[[#This Row],[WA CC]]&lt;&gt;0,D758-CurrentMtgRatesDataTable811[[#This Row],[WA CC]],0)</f>
        <v>0</v>
      </c>
      <c r="L759" s="24">
        <f>IF(CurrentMtgRatesDataTable811[[#This Row],[Servicing Spread]]&lt;=0,L758,CurrentMtgRatesDataTable811[[#This Row],[Servicing Spread]])</f>
        <v>0.85550847627348992</v>
      </c>
      <c r="M759" s="24">
        <f>CurrentMtgRatesDataTable811[[#This Row],[SeriesNumValue]]+CurrentMtgRatesDataTable811[[#This Row],[Servicing Spread Non-Zero]]</f>
        <v>4.35999737144392</v>
      </c>
    </row>
    <row r="760" spans="2:13" x14ac:dyDescent="0.2">
      <c r="B760" s="27" t="s">
        <v>1441</v>
      </c>
      <c r="C760" s="28">
        <v>3.46476327795386</v>
      </c>
      <c r="D760" s="26">
        <v>4.3449999999999998</v>
      </c>
      <c r="E760" s="24">
        <f t="shared" si="44"/>
        <v>6</v>
      </c>
      <c r="F760" s="24">
        <f>VLOOKUP(E760,Q$5:R$11,2,FALSE)</f>
        <v>0.2</v>
      </c>
      <c r="G760" s="24">
        <f t="shared" si="45"/>
        <v>4</v>
      </c>
      <c r="H760" s="24">
        <f>IF(G760&gt;G759,H759+C760*F760,C760*F760)</f>
        <v>2.8114307411200641</v>
      </c>
      <c r="I760" s="24">
        <f t="shared" si="46"/>
        <v>0.8</v>
      </c>
      <c r="J760" s="24">
        <f t="shared" si="47"/>
        <v>0</v>
      </c>
      <c r="K760" s="24">
        <f>IF(CurrentMtgRatesDataTable811[[#This Row],[WA CC]]&lt;&gt;0,D759-CurrentMtgRatesDataTable811[[#This Row],[WA CC]],0)</f>
        <v>0</v>
      </c>
      <c r="L760" s="24">
        <f>IF(CurrentMtgRatesDataTable811[[#This Row],[Servicing Spread]]&lt;=0,L759,CurrentMtgRatesDataTable811[[#This Row],[Servicing Spread]])</f>
        <v>0.85550847627348992</v>
      </c>
      <c r="M760" s="24">
        <f>CurrentMtgRatesDataTable811[[#This Row],[SeriesNumValue]]+CurrentMtgRatesDataTable811[[#This Row],[Servicing Spread Non-Zero]]</f>
        <v>4.3202717542273499</v>
      </c>
    </row>
    <row r="761" spans="2:13" x14ac:dyDescent="0.2">
      <c r="B761" s="27" t="s">
        <v>1442</v>
      </c>
      <c r="C761" s="28">
        <v>3.5156873221910101</v>
      </c>
      <c r="D761" s="26">
        <v>4.3449999999999998</v>
      </c>
      <c r="E761" s="24">
        <f t="shared" si="44"/>
        <v>7</v>
      </c>
      <c r="F761" s="24">
        <f>VLOOKUP(E761,Q$5:R$11,2,FALSE)</f>
        <v>0.2</v>
      </c>
      <c r="G761" s="24">
        <f t="shared" si="45"/>
        <v>5</v>
      </c>
      <c r="H761" s="24">
        <f>IF(G761&gt;G760,H760+C761*F761,C761*F761)</f>
        <v>3.5145682055582661</v>
      </c>
      <c r="I761" s="24">
        <f t="shared" si="46"/>
        <v>1</v>
      </c>
      <c r="J761" s="24">
        <f t="shared" si="47"/>
        <v>3.5145682055582661</v>
      </c>
      <c r="K761" s="24">
        <f>IF(CurrentMtgRatesDataTable811[[#This Row],[WA CC]]&lt;&gt;0,D760-CurrentMtgRatesDataTable811[[#This Row],[WA CC]],0)</f>
        <v>0.83043179444173365</v>
      </c>
      <c r="L761" s="24">
        <f>IF(CurrentMtgRatesDataTable811[[#This Row],[Servicing Spread]]&lt;=0,L760,CurrentMtgRatesDataTable811[[#This Row],[Servicing Spread]])</f>
        <v>0.83043179444173365</v>
      </c>
      <c r="M761" s="24">
        <f>CurrentMtgRatesDataTable811[[#This Row],[SeriesNumValue]]+CurrentMtgRatesDataTable811[[#This Row],[Servicing Spread Non-Zero]]</f>
        <v>4.3461191166327442</v>
      </c>
    </row>
    <row r="762" spans="2:13" x14ac:dyDescent="0.2">
      <c r="B762" s="27" t="s">
        <v>1443</v>
      </c>
      <c r="C762" s="28">
        <v>3.5427546786903199</v>
      </c>
      <c r="D762" s="26">
        <v>4.3949999999999996</v>
      </c>
      <c r="E762" s="24">
        <f t="shared" si="44"/>
        <v>1</v>
      </c>
      <c r="F762" s="24">
        <f>VLOOKUP(E762,Q$5:R$11,2,FALSE)</f>
        <v>0.2</v>
      </c>
      <c r="G762" s="24">
        <f t="shared" si="45"/>
        <v>1</v>
      </c>
      <c r="H762" s="24">
        <f>IF(G762&gt;G761,H761+C762*F762,C762*F762)</f>
        <v>0.70855093573806405</v>
      </c>
      <c r="I762" s="24">
        <f t="shared" si="46"/>
        <v>0.2</v>
      </c>
      <c r="J762" s="24">
        <f t="shared" si="47"/>
        <v>0</v>
      </c>
      <c r="K762" s="24">
        <f>IF(CurrentMtgRatesDataTable811[[#This Row],[WA CC]]&lt;&gt;0,D761-CurrentMtgRatesDataTable811[[#This Row],[WA CC]],0)</f>
        <v>0</v>
      </c>
      <c r="L762" s="24">
        <f>IF(CurrentMtgRatesDataTable811[[#This Row],[Servicing Spread]]&lt;=0,L761,CurrentMtgRatesDataTable811[[#This Row],[Servicing Spread]])</f>
        <v>0.83043179444173365</v>
      </c>
      <c r="M762" s="24">
        <f>CurrentMtgRatesDataTable811[[#This Row],[SeriesNumValue]]+CurrentMtgRatesDataTable811[[#This Row],[Servicing Spread Non-Zero]]</f>
        <v>4.3731864731320531</v>
      </c>
    </row>
    <row r="763" spans="2:13" x14ac:dyDescent="0.2">
      <c r="B763" s="27" t="s">
        <v>1444</v>
      </c>
      <c r="C763" s="28">
        <v>3.5290996894050202</v>
      </c>
      <c r="D763" s="26">
        <v>4.3949999999999996</v>
      </c>
      <c r="E763" s="24">
        <f t="shared" si="44"/>
        <v>2</v>
      </c>
      <c r="F763" s="24">
        <f>VLOOKUP(E763,Q$5:R$11,2,FALSE)</f>
        <v>0.2</v>
      </c>
      <c r="G763" s="24">
        <f t="shared" si="45"/>
        <v>2</v>
      </c>
      <c r="H763" s="24">
        <f>IF(G763&gt;G762,H762+C763*F763,C763*F763)</f>
        <v>1.4143708736190681</v>
      </c>
      <c r="I763" s="24">
        <f t="shared" si="46"/>
        <v>0.4</v>
      </c>
      <c r="J763" s="24">
        <f t="shared" si="47"/>
        <v>0</v>
      </c>
      <c r="K763" s="24">
        <f>IF(CurrentMtgRatesDataTable811[[#This Row],[WA CC]]&lt;&gt;0,D762-CurrentMtgRatesDataTable811[[#This Row],[WA CC]],0)</f>
        <v>0</v>
      </c>
      <c r="L763" s="24">
        <f>IF(CurrentMtgRatesDataTable811[[#This Row],[Servicing Spread]]&lt;=0,L762,CurrentMtgRatesDataTable811[[#This Row],[Servicing Spread]])</f>
        <v>0.83043179444173365</v>
      </c>
      <c r="M763" s="24">
        <f>CurrentMtgRatesDataTable811[[#This Row],[SeriesNumValue]]+CurrentMtgRatesDataTable811[[#This Row],[Servicing Spread Non-Zero]]</f>
        <v>4.3595314838467534</v>
      </c>
    </row>
    <row r="764" spans="2:13" x14ac:dyDescent="0.2">
      <c r="B764" s="27" t="s">
        <v>1445</v>
      </c>
      <c r="C764" s="28">
        <v>3.5307245323139602</v>
      </c>
      <c r="D764" s="26">
        <v>4.3949999999999996</v>
      </c>
      <c r="E764" s="24">
        <f t="shared" si="44"/>
        <v>5</v>
      </c>
      <c r="F764" s="24">
        <f>VLOOKUP(E764,Q$5:R$11,2,FALSE)</f>
        <v>0.2</v>
      </c>
      <c r="G764" s="24">
        <f t="shared" si="45"/>
        <v>3</v>
      </c>
      <c r="H764" s="24">
        <f>IF(G764&gt;G763,H763+C764*F764,C764*F764)</f>
        <v>2.1205157800818601</v>
      </c>
      <c r="I764" s="24">
        <f t="shared" si="46"/>
        <v>0.60000000000000009</v>
      </c>
      <c r="J764" s="24">
        <f t="shared" si="47"/>
        <v>0</v>
      </c>
      <c r="K764" s="24">
        <f>IF(CurrentMtgRatesDataTable811[[#This Row],[WA CC]]&lt;&gt;0,D763-CurrentMtgRatesDataTable811[[#This Row],[WA CC]],0)</f>
        <v>0</v>
      </c>
      <c r="L764" s="24">
        <f>IF(CurrentMtgRatesDataTable811[[#This Row],[Servicing Spread]]&lt;=0,L763,CurrentMtgRatesDataTable811[[#This Row],[Servicing Spread]])</f>
        <v>0.83043179444173365</v>
      </c>
      <c r="M764" s="24">
        <f>CurrentMtgRatesDataTable811[[#This Row],[SeriesNumValue]]+CurrentMtgRatesDataTable811[[#This Row],[Servicing Spread Non-Zero]]</f>
        <v>4.3611563267556939</v>
      </c>
    </row>
    <row r="765" spans="2:13" x14ac:dyDescent="0.2">
      <c r="B765" s="27" t="s">
        <v>1446</v>
      </c>
      <c r="C765" s="28">
        <v>3.4998898139893</v>
      </c>
      <c r="D765" s="26">
        <v>4.3949999999999996</v>
      </c>
      <c r="E765" s="24">
        <f t="shared" si="44"/>
        <v>6</v>
      </c>
      <c r="F765" s="24">
        <f>VLOOKUP(E765,Q$5:R$11,2,FALSE)</f>
        <v>0.2</v>
      </c>
      <c r="G765" s="24">
        <f t="shared" si="45"/>
        <v>4</v>
      </c>
      <c r="H765" s="24">
        <f>IF(G765&gt;G764,H764+C765*F765,C765*F765)</f>
        <v>2.8204937428797203</v>
      </c>
      <c r="I765" s="24">
        <f t="shared" si="46"/>
        <v>0.8</v>
      </c>
      <c r="J765" s="24">
        <f t="shared" si="47"/>
        <v>0</v>
      </c>
      <c r="K765" s="24">
        <f>IF(CurrentMtgRatesDataTable811[[#This Row],[WA CC]]&lt;&gt;0,D764-CurrentMtgRatesDataTable811[[#This Row],[WA CC]],0)</f>
        <v>0</v>
      </c>
      <c r="L765" s="24">
        <f>IF(CurrentMtgRatesDataTable811[[#This Row],[Servicing Spread]]&lt;=0,L764,CurrentMtgRatesDataTable811[[#This Row],[Servicing Spread]])</f>
        <v>0.83043179444173365</v>
      </c>
      <c r="M765" s="24">
        <f>CurrentMtgRatesDataTable811[[#This Row],[SeriesNumValue]]+CurrentMtgRatesDataTable811[[#This Row],[Servicing Spread Non-Zero]]</f>
        <v>4.3303216084310332</v>
      </c>
    </row>
    <row r="766" spans="2:13" x14ac:dyDescent="0.2">
      <c r="B766" s="27" t="s">
        <v>1447</v>
      </c>
      <c r="C766" s="28">
        <v>3.5422755368494498</v>
      </c>
      <c r="D766" s="26">
        <v>4.3949999999999996</v>
      </c>
      <c r="E766" s="24">
        <f t="shared" si="44"/>
        <v>7</v>
      </c>
      <c r="F766" s="24">
        <f>VLOOKUP(E766,Q$5:R$11,2,FALSE)</f>
        <v>0.2</v>
      </c>
      <c r="G766" s="24">
        <f t="shared" si="45"/>
        <v>5</v>
      </c>
      <c r="H766" s="24">
        <f>IF(G766&gt;G765,H765+C766*F766,C766*F766)</f>
        <v>3.5289488502496105</v>
      </c>
      <c r="I766" s="24">
        <f t="shared" si="46"/>
        <v>1</v>
      </c>
      <c r="J766" s="24">
        <f t="shared" si="47"/>
        <v>3.5289488502496105</v>
      </c>
      <c r="K766" s="24">
        <f>IF(CurrentMtgRatesDataTable811[[#This Row],[WA CC]]&lt;&gt;0,D765-CurrentMtgRatesDataTable811[[#This Row],[WA CC]],0)</f>
        <v>0.8660511497503891</v>
      </c>
      <c r="L766" s="24">
        <f>IF(CurrentMtgRatesDataTable811[[#This Row],[Servicing Spread]]&lt;=0,L765,CurrentMtgRatesDataTable811[[#This Row],[Servicing Spread]])</f>
        <v>0.8660511497503891</v>
      </c>
      <c r="M766" s="24">
        <f>CurrentMtgRatesDataTable811[[#This Row],[SeriesNumValue]]+CurrentMtgRatesDataTable811[[#This Row],[Servicing Spread Non-Zero]]</f>
        <v>4.408326686599839</v>
      </c>
    </row>
    <row r="767" spans="2:13" x14ac:dyDescent="0.2">
      <c r="B767" s="27" t="s">
        <v>1448</v>
      </c>
      <c r="C767" s="28">
        <v>3.5894558660793101</v>
      </c>
      <c r="D767" s="26">
        <v>4.4050000000000002</v>
      </c>
      <c r="E767" s="24">
        <f t="shared" si="44"/>
        <v>1</v>
      </c>
      <c r="F767" s="24">
        <f>VLOOKUP(E767,Q$5:R$11,2,FALSE)</f>
        <v>0.2</v>
      </c>
      <c r="G767" s="24">
        <f t="shared" si="45"/>
        <v>1</v>
      </c>
      <c r="H767" s="24">
        <f>IF(G767&gt;G766,H766+C767*F767,C767*F767)</f>
        <v>0.71789117321586204</v>
      </c>
      <c r="I767" s="24">
        <f t="shared" si="46"/>
        <v>0.2</v>
      </c>
      <c r="J767" s="24">
        <f t="shared" si="47"/>
        <v>0</v>
      </c>
      <c r="K767" s="24">
        <f>IF(CurrentMtgRatesDataTable811[[#This Row],[WA CC]]&lt;&gt;0,D766-CurrentMtgRatesDataTable811[[#This Row],[WA CC]],0)</f>
        <v>0</v>
      </c>
      <c r="L767" s="24">
        <f>IF(CurrentMtgRatesDataTable811[[#This Row],[Servicing Spread]]&lt;=0,L766,CurrentMtgRatesDataTable811[[#This Row],[Servicing Spread]])</f>
        <v>0.8660511497503891</v>
      </c>
      <c r="M767" s="24">
        <f>CurrentMtgRatesDataTable811[[#This Row],[SeriesNumValue]]+CurrentMtgRatesDataTable811[[#This Row],[Servicing Spread Non-Zero]]</f>
        <v>4.4555070158296992</v>
      </c>
    </row>
    <row r="768" spans="2:13" x14ac:dyDescent="0.2">
      <c r="B768" s="27" t="s">
        <v>1449</v>
      </c>
      <c r="C768" s="28">
        <v>3.5207189291483099</v>
      </c>
      <c r="D768" s="26">
        <v>4.4050000000000002</v>
      </c>
      <c r="E768" s="24">
        <f t="shared" si="44"/>
        <v>2</v>
      </c>
      <c r="F768" s="24">
        <f>VLOOKUP(E768,Q$5:R$11,2,FALSE)</f>
        <v>0.2</v>
      </c>
      <c r="G768" s="24">
        <f t="shared" si="45"/>
        <v>2</v>
      </c>
      <c r="H768" s="24">
        <f>IF(G768&gt;G767,H767+C768*F768,C768*F768)</f>
        <v>1.4220349590455239</v>
      </c>
      <c r="I768" s="24">
        <f t="shared" si="46"/>
        <v>0.4</v>
      </c>
      <c r="J768" s="24">
        <f t="shared" si="47"/>
        <v>0</v>
      </c>
      <c r="K768" s="24">
        <f>IF(CurrentMtgRatesDataTable811[[#This Row],[WA CC]]&lt;&gt;0,D767-CurrentMtgRatesDataTable811[[#This Row],[WA CC]],0)</f>
        <v>0</v>
      </c>
      <c r="L768" s="24">
        <f>IF(CurrentMtgRatesDataTable811[[#This Row],[Servicing Spread]]&lt;=0,L767,CurrentMtgRatesDataTable811[[#This Row],[Servicing Spread]])</f>
        <v>0.8660511497503891</v>
      </c>
      <c r="M768" s="24">
        <f>CurrentMtgRatesDataTable811[[#This Row],[SeriesNumValue]]+CurrentMtgRatesDataTable811[[#This Row],[Servicing Spread Non-Zero]]</f>
        <v>4.3867700788986994</v>
      </c>
    </row>
    <row r="769" spans="2:13" x14ac:dyDescent="0.2">
      <c r="B769" s="27" t="s">
        <v>1450</v>
      </c>
      <c r="C769" s="28">
        <v>3.5422520494722902</v>
      </c>
      <c r="D769" s="26">
        <v>4.4050000000000002</v>
      </c>
      <c r="E769" s="24">
        <f t="shared" si="44"/>
        <v>5</v>
      </c>
      <c r="F769" s="24">
        <f>VLOOKUP(E769,Q$5:R$11,2,FALSE)</f>
        <v>0.2</v>
      </c>
      <c r="G769" s="24">
        <f t="shared" si="45"/>
        <v>3</v>
      </c>
      <c r="H769" s="24">
        <f>IF(G769&gt;G768,H768+C769*F769,C769*F769)</f>
        <v>2.1304853689399819</v>
      </c>
      <c r="I769" s="24">
        <f t="shared" si="46"/>
        <v>0.60000000000000009</v>
      </c>
      <c r="J769" s="24">
        <f t="shared" si="47"/>
        <v>0</v>
      </c>
      <c r="K769" s="24">
        <f>IF(CurrentMtgRatesDataTable811[[#This Row],[WA CC]]&lt;&gt;0,D768-CurrentMtgRatesDataTable811[[#This Row],[WA CC]],0)</f>
        <v>0</v>
      </c>
      <c r="L769" s="24">
        <f>IF(CurrentMtgRatesDataTable811[[#This Row],[Servicing Spread]]&lt;=0,L768,CurrentMtgRatesDataTable811[[#This Row],[Servicing Spread]])</f>
        <v>0.8660511497503891</v>
      </c>
      <c r="M769" s="24">
        <f>CurrentMtgRatesDataTable811[[#This Row],[SeriesNumValue]]+CurrentMtgRatesDataTable811[[#This Row],[Servicing Spread Non-Zero]]</f>
        <v>4.4083031992226793</v>
      </c>
    </row>
    <row r="770" spans="2:13" x14ac:dyDescent="0.2">
      <c r="B770" s="27" t="s">
        <v>1451</v>
      </c>
      <c r="C770" s="28">
        <v>3.6100621369380201</v>
      </c>
      <c r="D770" s="26">
        <v>4.4050000000000002</v>
      </c>
      <c r="E770" s="24">
        <f t="shared" si="44"/>
        <v>6</v>
      </c>
      <c r="F770" s="24">
        <f>VLOOKUP(E770,Q$5:R$11,2,FALSE)</f>
        <v>0.2</v>
      </c>
      <c r="G770" s="24">
        <f t="shared" si="45"/>
        <v>4</v>
      </c>
      <c r="H770" s="24">
        <f>IF(G770&gt;G769,H769+C770*F770,C770*F770)</f>
        <v>2.8524977963275857</v>
      </c>
      <c r="I770" s="24">
        <f t="shared" si="46"/>
        <v>0.8</v>
      </c>
      <c r="J770" s="24">
        <f t="shared" si="47"/>
        <v>3.5656222454094819</v>
      </c>
      <c r="K770" s="24">
        <f>IF(CurrentMtgRatesDataTable811[[#This Row],[WA CC]]&lt;&gt;0,D769-CurrentMtgRatesDataTable811[[#This Row],[WA CC]],0)</f>
        <v>0.83937775459051833</v>
      </c>
      <c r="L770" s="24">
        <f>IF(CurrentMtgRatesDataTable811[[#This Row],[Servicing Spread]]&lt;=0,L769,CurrentMtgRatesDataTable811[[#This Row],[Servicing Spread]])</f>
        <v>0.83937775459051833</v>
      </c>
      <c r="M770" s="24">
        <f>CurrentMtgRatesDataTable811[[#This Row],[SeriesNumValue]]+CurrentMtgRatesDataTable811[[#This Row],[Servicing Spread Non-Zero]]</f>
        <v>4.449439891528538</v>
      </c>
    </row>
    <row r="771" spans="2:13" x14ac:dyDescent="0.2">
      <c r="B771" s="27" t="s">
        <v>1452</v>
      </c>
      <c r="C771" s="28">
        <v>3.6110841836329799</v>
      </c>
      <c r="D771" s="26">
        <v>4.4800000000000004</v>
      </c>
      <c r="E771" s="24">
        <f t="shared" ref="E771:E834" si="48">WEEKDAY(B771,14)</f>
        <v>1</v>
      </c>
      <c r="F771" s="24">
        <f>VLOOKUP(E771,Q$5:R$11,2,FALSE)</f>
        <v>0.2</v>
      </c>
      <c r="G771" s="24">
        <f t="shared" ref="G771:G834" si="49">IF(AND(E771&gt;E770,G770&lt;6),G770+1,1)</f>
        <v>1</v>
      </c>
      <c r="H771" s="24">
        <f>IF(G771&gt;G770,H770+C771*F771,C771*F771)</f>
        <v>0.72221683672659598</v>
      </c>
      <c r="I771" s="24">
        <f t="shared" ref="I771:I834" si="50">IF(AND(G771&lt;6,G771&gt;G770),F771+I770,F771)</f>
        <v>0.2</v>
      </c>
      <c r="J771" s="24">
        <f t="shared" ref="J771:J834" si="51">IF(G771&gt;G772,H771/I771,0)</f>
        <v>0</v>
      </c>
      <c r="K771" s="24">
        <f>IF(CurrentMtgRatesDataTable811[[#This Row],[WA CC]]&lt;&gt;0,D770-CurrentMtgRatesDataTable811[[#This Row],[WA CC]],0)</f>
        <v>0</v>
      </c>
      <c r="L771" s="24">
        <f>IF(CurrentMtgRatesDataTable811[[#This Row],[Servicing Spread]]&lt;=0,L770,CurrentMtgRatesDataTable811[[#This Row],[Servicing Spread]])</f>
        <v>0.83937775459051833</v>
      </c>
      <c r="M771" s="24">
        <f>CurrentMtgRatesDataTable811[[#This Row],[SeriesNumValue]]+CurrentMtgRatesDataTable811[[#This Row],[Servicing Spread Non-Zero]]</f>
        <v>4.4504619382234978</v>
      </c>
    </row>
    <row r="772" spans="2:13" x14ac:dyDescent="0.2">
      <c r="B772" s="27" t="s">
        <v>1453</v>
      </c>
      <c r="C772" s="28">
        <v>3.60938046615082</v>
      </c>
      <c r="D772" s="26">
        <v>4.4800000000000004</v>
      </c>
      <c r="E772" s="24">
        <f t="shared" si="48"/>
        <v>2</v>
      </c>
      <c r="F772" s="24">
        <f>VLOOKUP(E772,Q$5:R$11,2,FALSE)</f>
        <v>0.2</v>
      </c>
      <c r="G772" s="24">
        <f t="shared" si="49"/>
        <v>2</v>
      </c>
      <c r="H772" s="24">
        <f>IF(G772&gt;G771,H771+C772*F772,C772*F772)</f>
        <v>1.44409292995676</v>
      </c>
      <c r="I772" s="24">
        <f t="shared" si="50"/>
        <v>0.4</v>
      </c>
      <c r="J772" s="24">
        <f t="shared" si="51"/>
        <v>0</v>
      </c>
      <c r="K772" s="24">
        <f>IF(CurrentMtgRatesDataTable811[[#This Row],[WA CC]]&lt;&gt;0,D771-CurrentMtgRatesDataTable811[[#This Row],[WA CC]],0)</f>
        <v>0</v>
      </c>
      <c r="L772" s="24">
        <f>IF(CurrentMtgRatesDataTable811[[#This Row],[Servicing Spread]]&lt;=0,L771,CurrentMtgRatesDataTable811[[#This Row],[Servicing Spread]])</f>
        <v>0.83937775459051833</v>
      </c>
      <c r="M772" s="24">
        <f>CurrentMtgRatesDataTable811[[#This Row],[SeriesNumValue]]+CurrentMtgRatesDataTable811[[#This Row],[Servicing Spread Non-Zero]]</f>
        <v>4.4487582207413379</v>
      </c>
    </row>
    <row r="773" spans="2:13" x14ac:dyDescent="0.2">
      <c r="B773" s="27" t="s">
        <v>1454</v>
      </c>
      <c r="C773" s="28">
        <v>3.5746743392906399</v>
      </c>
      <c r="D773" s="26">
        <v>4.4800000000000004</v>
      </c>
      <c r="E773" s="24">
        <f t="shared" si="48"/>
        <v>5</v>
      </c>
      <c r="F773" s="24">
        <f>VLOOKUP(E773,Q$5:R$11,2,FALSE)</f>
        <v>0.2</v>
      </c>
      <c r="G773" s="24">
        <f t="shared" si="49"/>
        <v>3</v>
      </c>
      <c r="H773" s="24">
        <f>IF(G773&gt;G772,H772+C773*F773,C773*F773)</f>
        <v>2.159027797814888</v>
      </c>
      <c r="I773" s="24">
        <f t="shared" si="50"/>
        <v>0.60000000000000009</v>
      </c>
      <c r="J773" s="24">
        <f t="shared" si="51"/>
        <v>0</v>
      </c>
      <c r="K773" s="24">
        <f>IF(CurrentMtgRatesDataTable811[[#This Row],[WA CC]]&lt;&gt;0,D772-CurrentMtgRatesDataTable811[[#This Row],[WA CC]],0)</f>
        <v>0</v>
      </c>
      <c r="L773" s="24">
        <f>IF(CurrentMtgRatesDataTable811[[#This Row],[Servicing Spread]]&lt;=0,L772,CurrentMtgRatesDataTable811[[#This Row],[Servicing Spread]])</f>
        <v>0.83937775459051833</v>
      </c>
      <c r="M773" s="24">
        <f>CurrentMtgRatesDataTable811[[#This Row],[SeriesNumValue]]+CurrentMtgRatesDataTable811[[#This Row],[Servicing Spread Non-Zero]]</f>
        <v>4.4140520938811587</v>
      </c>
    </row>
    <row r="774" spans="2:13" x14ac:dyDescent="0.2">
      <c r="B774" s="27" t="s">
        <v>1455</v>
      </c>
      <c r="C774" s="28">
        <v>3.5930254960618</v>
      </c>
      <c r="D774" s="26">
        <v>4.4800000000000004</v>
      </c>
      <c r="E774" s="24">
        <f t="shared" si="48"/>
        <v>6</v>
      </c>
      <c r="F774" s="24">
        <f>VLOOKUP(E774,Q$5:R$11,2,FALSE)</f>
        <v>0.2</v>
      </c>
      <c r="G774" s="24">
        <f t="shared" si="49"/>
        <v>4</v>
      </c>
      <c r="H774" s="24">
        <f>IF(G774&gt;G773,H773+C774*F774,C774*F774)</f>
        <v>2.8776328970272482</v>
      </c>
      <c r="I774" s="24">
        <f t="shared" si="50"/>
        <v>0.8</v>
      </c>
      <c r="J774" s="24">
        <f t="shared" si="51"/>
        <v>3.5970411212840601</v>
      </c>
      <c r="K774" s="24">
        <f>IF(CurrentMtgRatesDataTable811[[#This Row],[WA CC]]&lt;&gt;0,D773-CurrentMtgRatesDataTable811[[#This Row],[WA CC]],0)</f>
        <v>0.88295887871594037</v>
      </c>
      <c r="L774" s="24">
        <f>IF(CurrentMtgRatesDataTable811[[#This Row],[Servicing Spread]]&lt;=0,L773,CurrentMtgRatesDataTable811[[#This Row],[Servicing Spread]])</f>
        <v>0.88295887871594037</v>
      </c>
      <c r="M774" s="24">
        <f>CurrentMtgRatesDataTable811[[#This Row],[SeriesNumValue]]+CurrentMtgRatesDataTable811[[#This Row],[Servicing Spread Non-Zero]]</f>
        <v>4.4759843747777399</v>
      </c>
    </row>
    <row r="775" spans="2:13" x14ac:dyDescent="0.2">
      <c r="B775" s="27" t="s">
        <v>1456</v>
      </c>
      <c r="C775" s="28">
        <v>3.5996964231875999</v>
      </c>
      <c r="D775" s="26">
        <v>4.4349999999999996</v>
      </c>
      <c r="E775" s="24">
        <f t="shared" si="48"/>
        <v>1</v>
      </c>
      <c r="F775" s="24">
        <f>VLOOKUP(E775,Q$5:R$11,2,FALSE)</f>
        <v>0.2</v>
      </c>
      <c r="G775" s="24">
        <f t="shared" si="49"/>
        <v>1</v>
      </c>
      <c r="H775" s="24">
        <f>IF(G775&gt;G774,H774+C775*F775,C775*F775)</f>
        <v>0.71993928463751999</v>
      </c>
      <c r="I775" s="24">
        <f t="shared" si="50"/>
        <v>0.2</v>
      </c>
      <c r="J775" s="24">
        <f t="shared" si="51"/>
        <v>0</v>
      </c>
      <c r="K775" s="24">
        <f>IF(CurrentMtgRatesDataTable811[[#This Row],[WA CC]]&lt;&gt;0,D774-CurrentMtgRatesDataTable811[[#This Row],[WA CC]],0)</f>
        <v>0</v>
      </c>
      <c r="L775" s="24">
        <f>IF(CurrentMtgRatesDataTable811[[#This Row],[Servicing Spread]]&lt;=0,L774,CurrentMtgRatesDataTable811[[#This Row],[Servicing Spread]])</f>
        <v>0.88295887871594037</v>
      </c>
      <c r="M775" s="24">
        <f>CurrentMtgRatesDataTable811[[#This Row],[SeriesNumValue]]+CurrentMtgRatesDataTable811[[#This Row],[Servicing Spread Non-Zero]]</f>
        <v>4.4826553019035398</v>
      </c>
    </row>
    <row r="776" spans="2:13" x14ac:dyDescent="0.2">
      <c r="B776" s="27" t="s">
        <v>1457</v>
      </c>
      <c r="C776" s="28">
        <v>3.6032550852643102</v>
      </c>
      <c r="D776" s="26">
        <v>4.4349999999999996</v>
      </c>
      <c r="E776" s="24">
        <f t="shared" si="48"/>
        <v>2</v>
      </c>
      <c r="F776" s="24">
        <f>VLOOKUP(E776,Q$5:R$11,2,FALSE)</f>
        <v>0.2</v>
      </c>
      <c r="G776" s="24">
        <f t="shared" si="49"/>
        <v>2</v>
      </c>
      <c r="H776" s="24">
        <f>IF(G776&gt;G775,H775+C776*F776,C776*F776)</f>
        <v>1.440590301690382</v>
      </c>
      <c r="I776" s="24">
        <f t="shared" si="50"/>
        <v>0.4</v>
      </c>
      <c r="J776" s="24">
        <f t="shared" si="51"/>
        <v>0</v>
      </c>
      <c r="K776" s="24">
        <f>IF(CurrentMtgRatesDataTable811[[#This Row],[WA CC]]&lt;&gt;0,D775-CurrentMtgRatesDataTable811[[#This Row],[WA CC]],0)</f>
        <v>0</v>
      </c>
      <c r="L776" s="24">
        <f>IF(CurrentMtgRatesDataTable811[[#This Row],[Servicing Spread]]&lt;=0,L775,CurrentMtgRatesDataTable811[[#This Row],[Servicing Spread]])</f>
        <v>0.88295887871594037</v>
      </c>
      <c r="M776" s="24">
        <f>CurrentMtgRatesDataTable811[[#This Row],[SeriesNumValue]]+CurrentMtgRatesDataTable811[[#This Row],[Servicing Spread Non-Zero]]</f>
        <v>4.4862139639802505</v>
      </c>
    </row>
    <row r="777" spans="2:13" x14ac:dyDescent="0.2">
      <c r="B777" s="27" t="s">
        <v>1458</v>
      </c>
      <c r="C777" s="28">
        <v>3.5763485946615199</v>
      </c>
      <c r="D777" s="26">
        <v>4.4349999999999996</v>
      </c>
      <c r="E777" s="24">
        <f t="shared" si="48"/>
        <v>5</v>
      </c>
      <c r="F777" s="24">
        <f>VLOOKUP(E777,Q$5:R$11,2,FALSE)</f>
        <v>0.2</v>
      </c>
      <c r="G777" s="24">
        <f t="shared" si="49"/>
        <v>3</v>
      </c>
      <c r="H777" s="24">
        <f>IF(G777&gt;G776,H776+C777*F777,C777*F777)</f>
        <v>2.1558600206226863</v>
      </c>
      <c r="I777" s="24">
        <f t="shared" si="50"/>
        <v>0.60000000000000009</v>
      </c>
      <c r="J777" s="24">
        <f t="shared" si="51"/>
        <v>0</v>
      </c>
      <c r="K777" s="24">
        <f>IF(CurrentMtgRatesDataTable811[[#This Row],[WA CC]]&lt;&gt;0,D776-CurrentMtgRatesDataTable811[[#This Row],[WA CC]],0)</f>
        <v>0</v>
      </c>
      <c r="L777" s="24">
        <f>IF(CurrentMtgRatesDataTable811[[#This Row],[Servicing Spread]]&lt;=0,L776,CurrentMtgRatesDataTable811[[#This Row],[Servicing Spread]])</f>
        <v>0.88295887871594037</v>
      </c>
      <c r="M777" s="24">
        <f>CurrentMtgRatesDataTable811[[#This Row],[SeriesNumValue]]+CurrentMtgRatesDataTable811[[#This Row],[Servicing Spread Non-Zero]]</f>
        <v>4.4593074733774607</v>
      </c>
    </row>
    <row r="778" spans="2:13" x14ac:dyDescent="0.2">
      <c r="B778" s="27" t="s">
        <v>1459</v>
      </c>
      <c r="C778" s="28">
        <v>3.5428500405358099</v>
      </c>
      <c r="D778" s="26">
        <v>4.4349999999999996</v>
      </c>
      <c r="E778" s="24">
        <f t="shared" si="48"/>
        <v>6</v>
      </c>
      <c r="F778" s="24">
        <f>VLOOKUP(E778,Q$5:R$11,2,FALSE)</f>
        <v>0.2</v>
      </c>
      <c r="G778" s="24">
        <f t="shared" si="49"/>
        <v>4</v>
      </c>
      <c r="H778" s="24">
        <f>IF(G778&gt;G777,H777+C778*F778,C778*F778)</f>
        <v>2.8644300287298483</v>
      </c>
      <c r="I778" s="24">
        <f t="shared" si="50"/>
        <v>0.8</v>
      </c>
      <c r="J778" s="24">
        <f t="shared" si="51"/>
        <v>0</v>
      </c>
      <c r="K778" s="24">
        <f>IF(CurrentMtgRatesDataTable811[[#This Row],[WA CC]]&lt;&gt;0,D777-CurrentMtgRatesDataTable811[[#This Row],[WA CC]],0)</f>
        <v>0</v>
      </c>
      <c r="L778" s="24">
        <f>IF(CurrentMtgRatesDataTable811[[#This Row],[Servicing Spread]]&lt;=0,L777,CurrentMtgRatesDataTable811[[#This Row],[Servicing Spread]])</f>
        <v>0.88295887871594037</v>
      </c>
      <c r="M778" s="24">
        <f>CurrentMtgRatesDataTable811[[#This Row],[SeriesNumValue]]+CurrentMtgRatesDataTable811[[#This Row],[Servicing Spread Non-Zero]]</f>
        <v>4.4258089192517502</v>
      </c>
    </row>
    <row r="779" spans="2:13" x14ac:dyDescent="0.2">
      <c r="B779" s="27" t="s">
        <v>1460</v>
      </c>
      <c r="C779" s="28">
        <v>3.5963712535882499</v>
      </c>
      <c r="D779" s="26">
        <v>4.4349999999999996</v>
      </c>
      <c r="E779" s="24">
        <f t="shared" si="48"/>
        <v>7</v>
      </c>
      <c r="F779" s="24">
        <f>VLOOKUP(E779,Q$5:R$11,2,FALSE)</f>
        <v>0.2</v>
      </c>
      <c r="G779" s="24">
        <f t="shared" si="49"/>
        <v>5</v>
      </c>
      <c r="H779" s="24">
        <f>IF(G779&gt;G778,H778+C779*F779,C779*F779)</f>
        <v>3.5837042794474985</v>
      </c>
      <c r="I779" s="24">
        <f t="shared" si="50"/>
        <v>1</v>
      </c>
      <c r="J779" s="24">
        <f t="shared" si="51"/>
        <v>3.5837042794474985</v>
      </c>
      <c r="K779" s="24">
        <f>IF(CurrentMtgRatesDataTable811[[#This Row],[WA CC]]&lt;&gt;0,D778-CurrentMtgRatesDataTable811[[#This Row],[WA CC]],0)</f>
        <v>0.85129572055250113</v>
      </c>
      <c r="L779" s="24">
        <f>IF(CurrentMtgRatesDataTable811[[#This Row],[Servicing Spread]]&lt;=0,L778,CurrentMtgRatesDataTable811[[#This Row],[Servicing Spread]])</f>
        <v>0.85129572055250113</v>
      </c>
      <c r="M779" s="24">
        <f>CurrentMtgRatesDataTable811[[#This Row],[SeriesNumValue]]+CurrentMtgRatesDataTable811[[#This Row],[Servicing Spread Non-Zero]]</f>
        <v>4.4476669741407511</v>
      </c>
    </row>
    <row r="780" spans="2:13" x14ac:dyDescent="0.2">
      <c r="B780" s="27" t="s">
        <v>1461</v>
      </c>
      <c r="C780" s="28">
        <v>3.5749416796778899</v>
      </c>
      <c r="D780" s="26">
        <v>4.335</v>
      </c>
      <c r="E780" s="24">
        <f t="shared" si="48"/>
        <v>1</v>
      </c>
      <c r="F780" s="24">
        <f>VLOOKUP(E780,Q$5:R$11,2,FALSE)</f>
        <v>0.2</v>
      </c>
      <c r="G780" s="24">
        <f t="shared" si="49"/>
        <v>1</v>
      </c>
      <c r="H780" s="24">
        <f>IF(G780&gt;G779,H779+C780*F780,C780*F780)</f>
        <v>0.71498833593557798</v>
      </c>
      <c r="I780" s="24">
        <f t="shared" si="50"/>
        <v>0.2</v>
      </c>
      <c r="J780" s="24">
        <f t="shared" si="51"/>
        <v>0</v>
      </c>
      <c r="K780" s="24">
        <f>IF(CurrentMtgRatesDataTable811[[#This Row],[WA CC]]&lt;&gt;0,D779-CurrentMtgRatesDataTable811[[#This Row],[WA CC]],0)</f>
        <v>0</v>
      </c>
      <c r="L780" s="24">
        <f>IF(CurrentMtgRatesDataTable811[[#This Row],[Servicing Spread]]&lt;=0,L779,CurrentMtgRatesDataTable811[[#This Row],[Servicing Spread]])</f>
        <v>0.85129572055250113</v>
      </c>
      <c r="M780" s="24">
        <f>CurrentMtgRatesDataTable811[[#This Row],[SeriesNumValue]]+CurrentMtgRatesDataTable811[[#This Row],[Servicing Spread Non-Zero]]</f>
        <v>4.4262374002303915</v>
      </c>
    </row>
    <row r="781" spans="2:13" x14ac:dyDescent="0.2">
      <c r="B781" s="27" t="s">
        <v>1462</v>
      </c>
      <c r="C781" s="28">
        <v>3.4718387266108799</v>
      </c>
      <c r="D781" s="26">
        <v>4.335</v>
      </c>
      <c r="E781" s="24">
        <f t="shared" si="48"/>
        <v>2</v>
      </c>
      <c r="F781" s="24">
        <f>VLOOKUP(E781,Q$5:R$11,2,FALSE)</f>
        <v>0.2</v>
      </c>
      <c r="G781" s="24">
        <f t="shared" si="49"/>
        <v>2</v>
      </c>
      <c r="H781" s="24">
        <f>IF(G781&gt;G780,H780+C781*F781,C781*F781)</f>
        <v>1.4093560812577541</v>
      </c>
      <c r="I781" s="24">
        <f t="shared" si="50"/>
        <v>0.4</v>
      </c>
      <c r="J781" s="24">
        <f t="shared" si="51"/>
        <v>0</v>
      </c>
      <c r="K781" s="24">
        <f>IF(CurrentMtgRatesDataTable811[[#This Row],[WA CC]]&lt;&gt;0,D780-CurrentMtgRatesDataTable811[[#This Row],[WA CC]],0)</f>
        <v>0</v>
      </c>
      <c r="L781" s="24">
        <f>IF(CurrentMtgRatesDataTable811[[#This Row],[Servicing Spread]]&lt;=0,L780,CurrentMtgRatesDataTable811[[#This Row],[Servicing Spread]])</f>
        <v>0.85129572055250113</v>
      </c>
      <c r="M781" s="24">
        <f>CurrentMtgRatesDataTable811[[#This Row],[SeriesNumValue]]+CurrentMtgRatesDataTable811[[#This Row],[Servicing Spread Non-Zero]]</f>
        <v>4.3231344471633815</v>
      </c>
    </row>
    <row r="782" spans="2:13" x14ac:dyDescent="0.2">
      <c r="B782" s="27" t="s">
        <v>1463</v>
      </c>
      <c r="C782" s="28">
        <v>3.4264575978101499</v>
      </c>
      <c r="D782" s="26">
        <v>4.335</v>
      </c>
      <c r="E782" s="24">
        <f t="shared" si="48"/>
        <v>5</v>
      </c>
      <c r="F782" s="24">
        <f>VLOOKUP(E782,Q$5:R$11,2,FALSE)</f>
        <v>0.2</v>
      </c>
      <c r="G782" s="24">
        <f t="shared" si="49"/>
        <v>3</v>
      </c>
      <c r="H782" s="24">
        <f>IF(G782&gt;G781,H781+C782*F782,C782*F782)</f>
        <v>2.0946476008197843</v>
      </c>
      <c r="I782" s="24">
        <f t="shared" si="50"/>
        <v>0.60000000000000009</v>
      </c>
      <c r="J782" s="24">
        <f t="shared" si="51"/>
        <v>0</v>
      </c>
      <c r="K782" s="24">
        <f>IF(CurrentMtgRatesDataTable811[[#This Row],[WA CC]]&lt;&gt;0,D781-CurrentMtgRatesDataTable811[[#This Row],[WA CC]],0)</f>
        <v>0</v>
      </c>
      <c r="L782" s="24">
        <f>IF(CurrentMtgRatesDataTable811[[#This Row],[Servicing Spread]]&lt;=0,L781,CurrentMtgRatesDataTable811[[#This Row],[Servicing Spread]])</f>
        <v>0.85129572055250113</v>
      </c>
      <c r="M782" s="24">
        <f>CurrentMtgRatesDataTable811[[#This Row],[SeriesNumValue]]+CurrentMtgRatesDataTable811[[#This Row],[Servicing Spread Non-Zero]]</f>
        <v>4.2777533183626506</v>
      </c>
    </row>
    <row r="783" spans="2:13" x14ac:dyDescent="0.2">
      <c r="B783" s="27" t="s">
        <v>1464</v>
      </c>
      <c r="C783" s="28">
        <v>3.4834111891672799</v>
      </c>
      <c r="D783" s="26">
        <v>4.335</v>
      </c>
      <c r="E783" s="24">
        <f t="shared" si="48"/>
        <v>6</v>
      </c>
      <c r="F783" s="24">
        <f>VLOOKUP(E783,Q$5:R$11,2,FALSE)</f>
        <v>0.2</v>
      </c>
      <c r="G783" s="24">
        <f t="shared" si="49"/>
        <v>4</v>
      </c>
      <c r="H783" s="24">
        <f>IF(G783&gt;G782,H782+C783*F783,C783*F783)</f>
        <v>2.7913298386532404</v>
      </c>
      <c r="I783" s="24">
        <f t="shared" si="50"/>
        <v>0.8</v>
      </c>
      <c r="J783" s="24">
        <f t="shared" si="51"/>
        <v>0</v>
      </c>
      <c r="K783" s="24">
        <f>IF(CurrentMtgRatesDataTable811[[#This Row],[WA CC]]&lt;&gt;0,D782-CurrentMtgRatesDataTable811[[#This Row],[WA CC]],0)</f>
        <v>0</v>
      </c>
      <c r="L783" s="24">
        <f>IF(CurrentMtgRatesDataTable811[[#This Row],[Servicing Spread]]&lt;=0,L782,CurrentMtgRatesDataTable811[[#This Row],[Servicing Spread]])</f>
        <v>0.85129572055250113</v>
      </c>
      <c r="M783" s="24">
        <f>CurrentMtgRatesDataTable811[[#This Row],[SeriesNumValue]]+CurrentMtgRatesDataTable811[[#This Row],[Servicing Spread Non-Zero]]</f>
        <v>4.334706909719781</v>
      </c>
    </row>
    <row r="784" spans="2:13" x14ac:dyDescent="0.2">
      <c r="B784" s="27" t="s">
        <v>1465</v>
      </c>
      <c r="C784" s="28">
        <v>3.4947799465752998</v>
      </c>
      <c r="D784" s="26">
        <v>4.335</v>
      </c>
      <c r="E784" s="24">
        <f t="shared" si="48"/>
        <v>7</v>
      </c>
      <c r="F784" s="24">
        <f>VLOOKUP(E784,Q$5:R$11,2,FALSE)</f>
        <v>0.2</v>
      </c>
      <c r="G784" s="24">
        <f t="shared" si="49"/>
        <v>5</v>
      </c>
      <c r="H784" s="24">
        <f>IF(G784&gt;G783,H783+C784*F784,C784*F784)</f>
        <v>3.4902858279683002</v>
      </c>
      <c r="I784" s="24">
        <f t="shared" si="50"/>
        <v>1</v>
      </c>
      <c r="J784" s="24">
        <f t="shared" si="51"/>
        <v>3.4902858279683002</v>
      </c>
      <c r="K784" s="24">
        <f>IF(CurrentMtgRatesDataTable811[[#This Row],[WA CC]]&lt;&gt;0,D783-CurrentMtgRatesDataTable811[[#This Row],[WA CC]],0)</f>
        <v>0.84471417203169974</v>
      </c>
      <c r="L784" s="24">
        <f>IF(CurrentMtgRatesDataTable811[[#This Row],[Servicing Spread]]&lt;=0,L783,CurrentMtgRatesDataTable811[[#This Row],[Servicing Spread]])</f>
        <v>0.84471417203169974</v>
      </c>
      <c r="M784" s="24">
        <f>CurrentMtgRatesDataTable811[[#This Row],[SeriesNumValue]]+CurrentMtgRatesDataTable811[[#This Row],[Servicing Spread Non-Zero]]</f>
        <v>4.339494118607</v>
      </c>
    </row>
    <row r="785" spans="2:13" x14ac:dyDescent="0.2">
      <c r="B785" s="27" t="s">
        <v>1466</v>
      </c>
      <c r="C785" s="28">
        <v>3.4570560243786002</v>
      </c>
      <c r="D785" s="26">
        <v>4.3149999999999995</v>
      </c>
      <c r="E785" s="24">
        <f t="shared" si="48"/>
        <v>1</v>
      </c>
      <c r="F785" s="24">
        <f>VLOOKUP(E785,Q$5:R$11,2,FALSE)</f>
        <v>0.2</v>
      </c>
      <c r="G785" s="24">
        <f t="shared" si="49"/>
        <v>1</v>
      </c>
      <c r="H785" s="24">
        <f>IF(G785&gt;G784,H784+C785*F785,C785*F785)</f>
        <v>0.69141120487572005</v>
      </c>
      <c r="I785" s="24">
        <f t="shared" si="50"/>
        <v>0.2</v>
      </c>
      <c r="J785" s="24">
        <f t="shared" si="51"/>
        <v>0</v>
      </c>
      <c r="K785" s="24">
        <f>IF(CurrentMtgRatesDataTable811[[#This Row],[WA CC]]&lt;&gt;0,D784-CurrentMtgRatesDataTable811[[#This Row],[WA CC]],0)</f>
        <v>0</v>
      </c>
      <c r="L785" s="24">
        <f>IF(CurrentMtgRatesDataTable811[[#This Row],[Servicing Spread]]&lt;=0,L784,CurrentMtgRatesDataTable811[[#This Row],[Servicing Spread]])</f>
        <v>0.84471417203169974</v>
      </c>
      <c r="M785" s="24">
        <f>CurrentMtgRatesDataTable811[[#This Row],[SeriesNumValue]]+CurrentMtgRatesDataTable811[[#This Row],[Servicing Spread Non-Zero]]</f>
        <v>4.3017701964102999</v>
      </c>
    </row>
    <row r="786" spans="2:13" x14ac:dyDescent="0.2">
      <c r="B786" s="27" t="s">
        <v>1467</v>
      </c>
      <c r="C786" s="28">
        <v>3.4370844050238198</v>
      </c>
      <c r="D786" s="26">
        <v>4.3149999999999995</v>
      </c>
      <c r="E786" s="24">
        <f t="shared" si="48"/>
        <v>2</v>
      </c>
      <c r="F786" s="24">
        <f>VLOOKUP(E786,Q$5:R$11,2,FALSE)</f>
        <v>0.2</v>
      </c>
      <c r="G786" s="24">
        <f t="shared" si="49"/>
        <v>2</v>
      </c>
      <c r="H786" s="24">
        <f>IF(G786&gt;G785,H785+C786*F786,C786*F786)</f>
        <v>1.378828085880484</v>
      </c>
      <c r="I786" s="24">
        <f t="shared" si="50"/>
        <v>0.4</v>
      </c>
      <c r="J786" s="24">
        <f t="shared" si="51"/>
        <v>0</v>
      </c>
      <c r="K786" s="24">
        <f>IF(CurrentMtgRatesDataTable811[[#This Row],[WA CC]]&lt;&gt;0,D785-CurrentMtgRatesDataTable811[[#This Row],[WA CC]],0)</f>
        <v>0</v>
      </c>
      <c r="L786" s="24">
        <f>IF(CurrentMtgRatesDataTable811[[#This Row],[Servicing Spread]]&lt;=0,L785,CurrentMtgRatesDataTable811[[#This Row],[Servicing Spread]])</f>
        <v>0.84471417203169974</v>
      </c>
      <c r="M786" s="24">
        <f>CurrentMtgRatesDataTable811[[#This Row],[SeriesNumValue]]+CurrentMtgRatesDataTable811[[#This Row],[Servicing Spread Non-Zero]]</f>
        <v>4.28179857705552</v>
      </c>
    </row>
    <row r="787" spans="2:13" x14ac:dyDescent="0.2">
      <c r="B787" s="27" t="s">
        <v>1468</v>
      </c>
      <c r="C787" s="28">
        <v>3.4306167460721202</v>
      </c>
      <c r="D787" s="26">
        <v>4.3149999999999995</v>
      </c>
      <c r="E787" s="24">
        <f t="shared" si="48"/>
        <v>6</v>
      </c>
      <c r="F787" s="24">
        <f>VLOOKUP(E787,Q$5:R$11,2,FALSE)</f>
        <v>0.2</v>
      </c>
      <c r="G787" s="24">
        <f t="shared" si="49"/>
        <v>3</v>
      </c>
      <c r="H787" s="24">
        <f>IF(G787&gt;G786,H786+C787*F787,C787*F787)</f>
        <v>2.0649514350949083</v>
      </c>
      <c r="I787" s="24">
        <f t="shared" si="50"/>
        <v>0.60000000000000009</v>
      </c>
      <c r="J787" s="24">
        <f t="shared" si="51"/>
        <v>0</v>
      </c>
      <c r="K787" s="24">
        <f>IF(CurrentMtgRatesDataTable811[[#This Row],[WA CC]]&lt;&gt;0,D786-CurrentMtgRatesDataTable811[[#This Row],[WA CC]],0)</f>
        <v>0</v>
      </c>
      <c r="L787" s="24">
        <f>IF(CurrentMtgRatesDataTable811[[#This Row],[Servicing Spread]]&lt;=0,L786,CurrentMtgRatesDataTable811[[#This Row],[Servicing Spread]])</f>
        <v>0.84471417203169974</v>
      </c>
      <c r="M787" s="24">
        <f>CurrentMtgRatesDataTable811[[#This Row],[SeriesNumValue]]+CurrentMtgRatesDataTable811[[#This Row],[Servicing Spread Non-Zero]]</f>
        <v>4.2753309181038199</v>
      </c>
    </row>
    <row r="788" spans="2:13" x14ac:dyDescent="0.2">
      <c r="B788" s="27" t="s">
        <v>1469</v>
      </c>
      <c r="C788" s="28">
        <v>3.4813003413665098</v>
      </c>
      <c r="D788" s="26">
        <v>4.3149999999999995</v>
      </c>
      <c r="E788" s="24">
        <f t="shared" si="48"/>
        <v>7</v>
      </c>
      <c r="F788" s="24">
        <f>VLOOKUP(E788,Q$5:R$11,2,FALSE)</f>
        <v>0.2</v>
      </c>
      <c r="G788" s="24">
        <f t="shared" si="49"/>
        <v>4</v>
      </c>
      <c r="H788" s="24">
        <f>IF(G788&gt;G787,H787+C788*F788,C788*F788)</f>
        <v>2.7612115033682105</v>
      </c>
      <c r="I788" s="24">
        <f t="shared" si="50"/>
        <v>0.8</v>
      </c>
      <c r="J788" s="24">
        <f t="shared" si="51"/>
        <v>3.4515143792102632</v>
      </c>
      <c r="K788" s="24">
        <f>IF(CurrentMtgRatesDataTable811[[#This Row],[WA CC]]&lt;&gt;0,D787-CurrentMtgRatesDataTable811[[#This Row],[WA CC]],0)</f>
        <v>0.86348562078973634</v>
      </c>
      <c r="L788" s="24">
        <f>IF(CurrentMtgRatesDataTable811[[#This Row],[Servicing Spread]]&lt;=0,L787,CurrentMtgRatesDataTable811[[#This Row],[Servicing Spread]])</f>
        <v>0.86348562078973634</v>
      </c>
      <c r="M788" s="24">
        <f>CurrentMtgRatesDataTable811[[#This Row],[SeriesNumValue]]+CurrentMtgRatesDataTable811[[#This Row],[Servicing Spread Non-Zero]]</f>
        <v>4.3447859621562461</v>
      </c>
    </row>
    <row r="789" spans="2:13" x14ac:dyDescent="0.2">
      <c r="B789" s="27" t="s">
        <v>1470</v>
      </c>
      <c r="C789" s="28">
        <v>3.42598487814407</v>
      </c>
      <c r="D789" s="26">
        <v>4.2450000000000001</v>
      </c>
      <c r="E789" s="24">
        <f t="shared" si="48"/>
        <v>1</v>
      </c>
      <c r="F789" s="24">
        <f>VLOOKUP(E789,Q$5:R$11,2,FALSE)</f>
        <v>0.2</v>
      </c>
      <c r="G789" s="24">
        <f t="shared" si="49"/>
        <v>1</v>
      </c>
      <c r="H789" s="24">
        <f>IF(G789&gt;G788,H788+C789*F789,C789*F789)</f>
        <v>0.6851969756288141</v>
      </c>
      <c r="I789" s="24">
        <f t="shared" si="50"/>
        <v>0.2</v>
      </c>
      <c r="J789" s="24">
        <f t="shared" si="51"/>
        <v>0</v>
      </c>
      <c r="K789" s="24">
        <f>IF(CurrentMtgRatesDataTable811[[#This Row],[WA CC]]&lt;&gt;0,D788-CurrentMtgRatesDataTable811[[#This Row],[WA CC]],0)</f>
        <v>0</v>
      </c>
      <c r="L789" s="24">
        <f>IF(CurrentMtgRatesDataTable811[[#This Row],[Servicing Spread]]&lt;=0,L788,CurrentMtgRatesDataTable811[[#This Row],[Servicing Spread]])</f>
        <v>0.86348562078973634</v>
      </c>
      <c r="M789" s="24">
        <f>CurrentMtgRatesDataTable811[[#This Row],[SeriesNumValue]]+CurrentMtgRatesDataTable811[[#This Row],[Servicing Spread Non-Zero]]</f>
        <v>4.2894704989338059</v>
      </c>
    </row>
    <row r="790" spans="2:13" x14ac:dyDescent="0.2">
      <c r="B790" s="27" t="s">
        <v>1471</v>
      </c>
      <c r="C790" s="28">
        <v>3.3821795348389898</v>
      </c>
      <c r="D790" s="26">
        <v>4.2450000000000001</v>
      </c>
      <c r="E790" s="24">
        <f t="shared" si="48"/>
        <v>2</v>
      </c>
      <c r="F790" s="24">
        <f>VLOOKUP(E790,Q$5:R$11,2,FALSE)</f>
        <v>0.2</v>
      </c>
      <c r="G790" s="24">
        <f t="shared" si="49"/>
        <v>2</v>
      </c>
      <c r="H790" s="24">
        <f>IF(G790&gt;G789,H789+C790*F790,C790*F790)</f>
        <v>1.361632882596612</v>
      </c>
      <c r="I790" s="24">
        <f t="shared" si="50"/>
        <v>0.4</v>
      </c>
      <c r="J790" s="24">
        <f t="shared" si="51"/>
        <v>0</v>
      </c>
      <c r="K790" s="24">
        <f>IF(CurrentMtgRatesDataTable811[[#This Row],[WA CC]]&lt;&gt;0,D789-CurrentMtgRatesDataTable811[[#This Row],[WA CC]],0)</f>
        <v>0</v>
      </c>
      <c r="L790" s="24">
        <f>IF(CurrentMtgRatesDataTable811[[#This Row],[Servicing Spread]]&lt;=0,L789,CurrentMtgRatesDataTable811[[#This Row],[Servicing Spread]])</f>
        <v>0.86348562078973634</v>
      </c>
      <c r="M790" s="24">
        <f>CurrentMtgRatesDataTable811[[#This Row],[SeriesNumValue]]+CurrentMtgRatesDataTable811[[#This Row],[Servicing Spread Non-Zero]]</f>
        <v>4.2456651556287266</v>
      </c>
    </row>
    <row r="791" spans="2:13" x14ac:dyDescent="0.2">
      <c r="B791" s="27" t="s">
        <v>1472</v>
      </c>
      <c r="C791" s="28">
        <v>3.4248929817112499</v>
      </c>
      <c r="D791" s="26">
        <v>4.2450000000000001</v>
      </c>
      <c r="E791" s="24">
        <f t="shared" si="48"/>
        <v>5</v>
      </c>
      <c r="F791" s="24">
        <f>VLOOKUP(E791,Q$5:R$11,2,FALSE)</f>
        <v>0.2</v>
      </c>
      <c r="G791" s="24">
        <f t="shared" si="49"/>
        <v>3</v>
      </c>
      <c r="H791" s="24">
        <f>IF(G791&gt;G790,H790+C791*F791,C791*F791)</f>
        <v>2.0466114789388619</v>
      </c>
      <c r="I791" s="24">
        <f t="shared" si="50"/>
        <v>0.60000000000000009</v>
      </c>
      <c r="J791" s="24">
        <f t="shared" si="51"/>
        <v>0</v>
      </c>
      <c r="K791" s="24">
        <f>IF(CurrentMtgRatesDataTable811[[#This Row],[WA CC]]&lt;&gt;0,D790-CurrentMtgRatesDataTable811[[#This Row],[WA CC]],0)</f>
        <v>0</v>
      </c>
      <c r="L791" s="24">
        <f>IF(CurrentMtgRatesDataTable811[[#This Row],[Servicing Spread]]&lt;=0,L790,CurrentMtgRatesDataTable811[[#This Row],[Servicing Spread]])</f>
        <v>0.86348562078973634</v>
      </c>
      <c r="M791" s="24">
        <f>CurrentMtgRatesDataTable811[[#This Row],[SeriesNumValue]]+CurrentMtgRatesDataTable811[[#This Row],[Servicing Spread Non-Zero]]</f>
        <v>4.2883786025009858</v>
      </c>
    </row>
    <row r="792" spans="2:13" x14ac:dyDescent="0.2">
      <c r="B792" s="27" t="s">
        <v>1473</v>
      </c>
      <c r="C792" s="28">
        <v>3.4146699129436402</v>
      </c>
      <c r="D792" s="26">
        <v>4.2450000000000001</v>
      </c>
      <c r="E792" s="24">
        <f t="shared" si="48"/>
        <v>6</v>
      </c>
      <c r="F792" s="24">
        <f>VLOOKUP(E792,Q$5:R$11,2,FALSE)</f>
        <v>0.2</v>
      </c>
      <c r="G792" s="24">
        <f t="shared" si="49"/>
        <v>4</v>
      </c>
      <c r="H792" s="24">
        <f>IF(G792&gt;G791,H791+C792*F792,C792*F792)</f>
        <v>2.7295454615275898</v>
      </c>
      <c r="I792" s="24">
        <f t="shared" si="50"/>
        <v>0.8</v>
      </c>
      <c r="J792" s="24">
        <f t="shared" si="51"/>
        <v>0</v>
      </c>
      <c r="K792" s="24">
        <f>IF(CurrentMtgRatesDataTable811[[#This Row],[WA CC]]&lt;&gt;0,D791-CurrentMtgRatesDataTable811[[#This Row],[WA CC]],0)</f>
        <v>0</v>
      </c>
      <c r="L792" s="24">
        <f>IF(CurrentMtgRatesDataTable811[[#This Row],[Servicing Spread]]&lt;=0,L791,CurrentMtgRatesDataTable811[[#This Row],[Servicing Spread]])</f>
        <v>0.86348562078973634</v>
      </c>
      <c r="M792" s="24">
        <f>CurrentMtgRatesDataTable811[[#This Row],[SeriesNumValue]]+CurrentMtgRatesDataTable811[[#This Row],[Servicing Spread Non-Zero]]</f>
        <v>4.2781555337333765</v>
      </c>
    </row>
    <row r="793" spans="2:13" x14ac:dyDescent="0.2">
      <c r="B793" s="27" t="s">
        <v>1474</v>
      </c>
      <c r="C793" s="28">
        <v>3.3611475085431901</v>
      </c>
      <c r="D793" s="26">
        <v>4.2450000000000001</v>
      </c>
      <c r="E793" s="24">
        <f t="shared" si="48"/>
        <v>7</v>
      </c>
      <c r="F793" s="24">
        <f>VLOOKUP(E793,Q$5:R$11,2,FALSE)</f>
        <v>0.2</v>
      </c>
      <c r="G793" s="24">
        <f t="shared" si="49"/>
        <v>5</v>
      </c>
      <c r="H793" s="24">
        <f>IF(G793&gt;G792,H792+C793*F793,C793*F793)</f>
        <v>3.4017749632362277</v>
      </c>
      <c r="I793" s="24">
        <f t="shared" si="50"/>
        <v>1</v>
      </c>
      <c r="J793" s="24">
        <f t="shared" si="51"/>
        <v>3.4017749632362277</v>
      </c>
      <c r="K793" s="24">
        <f>IF(CurrentMtgRatesDataTable811[[#This Row],[WA CC]]&lt;&gt;0,D792-CurrentMtgRatesDataTable811[[#This Row],[WA CC]],0)</f>
        <v>0.84322503676377236</v>
      </c>
      <c r="L793" s="24">
        <f>IF(CurrentMtgRatesDataTable811[[#This Row],[Servicing Spread]]&lt;=0,L792,CurrentMtgRatesDataTable811[[#This Row],[Servicing Spread]])</f>
        <v>0.84322503676377236</v>
      </c>
      <c r="M793" s="24">
        <f>CurrentMtgRatesDataTable811[[#This Row],[SeriesNumValue]]+CurrentMtgRatesDataTable811[[#This Row],[Servicing Spread Non-Zero]]</f>
        <v>4.2043725453069625</v>
      </c>
    </row>
    <row r="794" spans="2:13" x14ac:dyDescent="0.2">
      <c r="B794" s="27" t="s">
        <v>1475</v>
      </c>
      <c r="C794" s="28">
        <v>3.3710250871978902</v>
      </c>
      <c r="D794" s="26">
        <v>4.1550000000000002</v>
      </c>
      <c r="E794" s="24">
        <f t="shared" si="48"/>
        <v>1</v>
      </c>
      <c r="F794" s="24">
        <f>VLOOKUP(E794,Q$5:R$11,2,FALSE)</f>
        <v>0.2</v>
      </c>
      <c r="G794" s="24">
        <f t="shared" si="49"/>
        <v>1</v>
      </c>
      <c r="H794" s="24">
        <f>IF(G794&gt;G793,H793+C794*F794,C794*F794)</f>
        <v>0.67420501743957806</v>
      </c>
      <c r="I794" s="24">
        <f t="shared" si="50"/>
        <v>0.2</v>
      </c>
      <c r="J794" s="24">
        <f t="shared" si="51"/>
        <v>0</v>
      </c>
      <c r="K794" s="24">
        <f>IF(CurrentMtgRatesDataTable811[[#This Row],[WA CC]]&lt;&gt;0,D793-CurrentMtgRatesDataTable811[[#This Row],[WA CC]],0)</f>
        <v>0</v>
      </c>
      <c r="L794" s="24">
        <f>IF(CurrentMtgRatesDataTable811[[#This Row],[Servicing Spread]]&lt;=0,L793,CurrentMtgRatesDataTable811[[#This Row],[Servicing Spread]])</f>
        <v>0.84322503676377236</v>
      </c>
      <c r="M794" s="24">
        <f>CurrentMtgRatesDataTable811[[#This Row],[SeriesNumValue]]+CurrentMtgRatesDataTable811[[#This Row],[Servicing Spread Non-Zero]]</f>
        <v>4.2142501239616621</v>
      </c>
    </row>
    <row r="795" spans="2:13" x14ac:dyDescent="0.2">
      <c r="B795" s="27" t="s">
        <v>1476</v>
      </c>
      <c r="C795" s="28">
        <v>3.3406752567006799</v>
      </c>
      <c r="D795" s="26">
        <v>4.1550000000000002</v>
      </c>
      <c r="E795" s="24">
        <f t="shared" si="48"/>
        <v>2</v>
      </c>
      <c r="F795" s="24">
        <f>VLOOKUP(E795,Q$5:R$11,2,FALSE)</f>
        <v>0.2</v>
      </c>
      <c r="G795" s="24">
        <f t="shared" si="49"/>
        <v>2</v>
      </c>
      <c r="H795" s="24">
        <f>IF(G795&gt;G794,H794+C795*F795,C795*F795)</f>
        <v>1.342340068779714</v>
      </c>
      <c r="I795" s="24">
        <f t="shared" si="50"/>
        <v>0.4</v>
      </c>
      <c r="J795" s="24">
        <f t="shared" si="51"/>
        <v>0</v>
      </c>
      <c r="K795" s="24">
        <f>IF(CurrentMtgRatesDataTable811[[#This Row],[WA CC]]&lt;&gt;0,D794-CurrentMtgRatesDataTable811[[#This Row],[WA CC]],0)</f>
        <v>0</v>
      </c>
      <c r="L795" s="24">
        <f>IF(CurrentMtgRatesDataTable811[[#This Row],[Servicing Spread]]&lt;=0,L794,CurrentMtgRatesDataTable811[[#This Row],[Servicing Spread]])</f>
        <v>0.84322503676377236</v>
      </c>
      <c r="M795" s="24">
        <f>CurrentMtgRatesDataTable811[[#This Row],[SeriesNumValue]]+CurrentMtgRatesDataTable811[[#This Row],[Servicing Spread Non-Zero]]</f>
        <v>4.1839002934644522</v>
      </c>
    </row>
    <row r="796" spans="2:13" x14ac:dyDescent="0.2">
      <c r="B796" s="27" t="s">
        <v>1477</v>
      </c>
      <c r="C796" s="28">
        <v>3.2710992042590501</v>
      </c>
      <c r="D796" s="26">
        <v>4.1550000000000002</v>
      </c>
      <c r="E796" s="24">
        <f t="shared" si="48"/>
        <v>5</v>
      </c>
      <c r="F796" s="24">
        <f>VLOOKUP(E796,Q$5:R$11,2,FALSE)</f>
        <v>0.2</v>
      </c>
      <c r="G796" s="24">
        <f t="shared" si="49"/>
        <v>3</v>
      </c>
      <c r="H796" s="24">
        <f>IF(G796&gt;G795,H795+C796*F796,C796*F796)</f>
        <v>1.9965599096315241</v>
      </c>
      <c r="I796" s="24">
        <f t="shared" si="50"/>
        <v>0.60000000000000009</v>
      </c>
      <c r="J796" s="24">
        <f t="shared" si="51"/>
        <v>0</v>
      </c>
      <c r="K796" s="24">
        <f>IF(CurrentMtgRatesDataTable811[[#This Row],[WA CC]]&lt;&gt;0,D795-CurrentMtgRatesDataTable811[[#This Row],[WA CC]],0)</f>
        <v>0</v>
      </c>
      <c r="L796" s="24">
        <f>IF(CurrentMtgRatesDataTable811[[#This Row],[Servicing Spread]]&lt;=0,L795,CurrentMtgRatesDataTable811[[#This Row],[Servicing Spread]])</f>
        <v>0.84322503676377236</v>
      </c>
      <c r="M796" s="24">
        <f>CurrentMtgRatesDataTable811[[#This Row],[SeriesNumValue]]+CurrentMtgRatesDataTable811[[#This Row],[Servicing Spread Non-Zero]]</f>
        <v>4.1143242410228229</v>
      </c>
    </row>
    <row r="797" spans="2:13" x14ac:dyDescent="0.2">
      <c r="B797" s="27" t="s">
        <v>1478</v>
      </c>
      <c r="C797" s="28">
        <v>3.3111616483337998</v>
      </c>
      <c r="D797" s="26">
        <v>4.1550000000000002</v>
      </c>
      <c r="E797" s="24">
        <f t="shared" si="48"/>
        <v>6</v>
      </c>
      <c r="F797" s="24">
        <f>VLOOKUP(E797,Q$5:R$11,2,FALSE)</f>
        <v>0.2</v>
      </c>
      <c r="G797" s="24">
        <f t="shared" si="49"/>
        <v>4</v>
      </c>
      <c r="H797" s="24">
        <f>IF(G797&gt;G796,H796+C797*F797,C797*F797)</f>
        <v>2.6587922392982843</v>
      </c>
      <c r="I797" s="24">
        <f t="shared" si="50"/>
        <v>0.8</v>
      </c>
      <c r="J797" s="24">
        <f t="shared" si="51"/>
        <v>0</v>
      </c>
      <c r="K797" s="24">
        <f>IF(CurrentMtgRatesDataTable811[[#This Row],[WA CC]]&lt;&gt;0,D796-CurrentMtgRatesDataTable811[[#This Row],[WA CC]],0)</f>
        <v>0</v>
      </c>
      <c r="L797" s="24">
        <f>IF(CurrentMtgRatesDataTable811[[#This Row],[Servicing Spread]]&lt;=0,L796,CurrentMtgRatesDataTable811[[#This Row],[Servicing Spread]])</f>
        <v>0.84322503676377236</v>
      </c>
      <c r="M797" s="24">
        <f>CurrentMtgRatesDataTable811[[#This Row],[SeriesNumValue]]+CurrentMtgRatesDataTable811[[#This Row],[Servicing Spread Non-Zero]]</f>
        <v>4.1543866850975721</v>
      </c>
    </row>
    <row r="798" spans="2:13" x14ac:dyDescent="0.2">
      <c r="B798" s="27" t="s">
        <v>1479</v>
      </c>
      <c r="C798" s="28">
        <v>3.3584090078904199</v>
      </c>
      <c r="D798" s="26">
        <v>4.1550000000000002</v>
      </c>
      <c r="E798" s="24">
        <f t="shared" si="48"/>
        <v>7</v>
      </c>
      <c r="F798" s="24">
        <f>VLOOKUP(E798,Q$5:R$11,2,FALSE)</f>
        <v>0.2</v>
      </c>
      <c r="G798" s="24">
        <f t="shared" si="49"/>
        <v>5</v>
      </c>
      <c r="H798" s="24">
        <f>IF(G798&gt;G797,H797+C798*F798,C798*F798)</f>
        <v>3.3304740408763682</v>
      </c>
      <c r="I798" s="24">
        <f t="shared" si="50"/>
        <v>1</v>
      </c>
      <c r="J798" s="24">
        <f t="shared" si="51"/>
        <v>3.3304740408763682</v>
      </c>
      <c r="K798" s="24">
        <f>IF(CurrentMtgRatesDataTable811[[#This Row],[WA CC]]&lt;&gt;0,D797-CurrentMtgRatesDataTable811[[#This Row],[WA CC]],0)</f>
        <v>0.82452595912363202</v>
      </c>
      <c r="L798" s="24">
        <f>IF(CurrentMtgRatesDataTable811[[#This Row],[Servicing Spread]]&lt;=0,L797,CurrentMtgRatesDataTable811[[#This Row],[Servicing Spread]])</f>
        <v>0.82452595912363202</v>
      </c>
      <c r="M798" s="24">
        <f>CurrentMtgRatesDataTable811[[#This Row],[SeriesNumValue]]+CurrentMtgRatesDataTable811[[#This Row],[Servicing Spread Non-Zero]]</f>
        <v>4.1829349670140523</v>
      </c>
    </row>
    <row r="799" spans="2:13" x14ac:dyDescent="0.2">
      <c r="B799" s="27" t="s">
        <v>1480</v>
      </c>
      <c r="C799" s="28">
        <v>3.3799296471468399</v>
      </c>
      <c r="D799" s="26">
        <v>4.2050000000000001</v>
      </c>
      <c r="E799" s="24">
        <f t="shared" si="48"/>
        <v>1</v>
      </c>
      <c r="F799" s="24">
        <f>VLOOKUP(E799,Q$5:R$11,2,FALSE)</f>
        <v>0.2</v>
      </c>
      <c r="G799" s="24">
        <f t="shared" si="49"/>
        <v>1</v>
      </c>
      <c r="H799" s="24">
        <f>IF(G799&gt;G798,H798+C799*F799,C799*F799)</f>
        <v>0.67598592942936797</v>
      </c>
      <c r="I799" s="24">
        <f t="shared" si="50"/>
        <v>0.2</v>
      </c>
      <c r="J799" s="24">
        <f t="shared" si="51"/>
        <v>0</v>
      </c>
      <c r="K799" s="24">
        <f>IF(CurrentMtgRatesDataTable811[[#This Row],[WA CC]]&lt;&gt;0,D798-CurrentMtgRatesDataTable811[[#This Row],[WA CC]],0)</f>
        <v>0</v>
      </c>
      <c r="L799" s="24">
        <f>IF(CurrentMtgRatesDataTable811[[#This Row],[Servicing Spread]]&lt;=0,L798,CurrentMtgRatesDataTable811[[#This Row],[Servicing Spread]])</f>
        <v>0.82452595912363202</v>
      </c>
      <c r="M799" s="24">
        <f>CurrentMtgRatesDataTable811[[#This Row],[SeriesNumValue]]+CurrentMtgRatesDataTable811[[#This Row],[Servicing Spread Non-Zero]]</f>
        <v>4.2044556062704714</v>
      </c>
    </row>
    <row r="800" spans="2:13" x14ac:dyDescent="0.2">
      <c r="B800" s="27" t="s">
        <v>1481</v>
      </c>
      <c r="C800" s="28">
        <v>3.34300170180666</v>
      </c>
      <c r="D800" s="26">
        <v>4.2050000000000001</v>
      </c>
      <c r="E800" s="24">
        <f t="shared" si="48"/>
        <v>2</v>
      </c>
      <c r="F800" s="24">
        <f>VLOOKUP(E800,Q$5:R$11,2,FALSE)</f>
        <v>0.2</v>
      </c>
      <c r="G800" s="24">
        <f t="shared" si="49"/>
        <v>2</v>
      </c>
      <c r="H800" s="24">
        <f>IF(G800&gt;G799,H799+C800*F800,C800*F800)</f>
        <v>1.3445862697907001</v>
      </c>
      <c r="I800" s="24">
        <f t="shared" si="50"/>
        <v>0.4</v>
      </c>
      <c r="J800" s="24">
        <f t="shared" si="51"/>
        <v>0</v>
      </c>
      <c r="K800" s="24">
        <f>IF(CurrentMtgRatesDataTable811[[#This Row],[WA CC]]&lt;&gt;0,D799-CurrentMtgRatesDataTable811[[#This Row],[WA CC]],0)</f>
        <v>0</v>
      </c>
      <c r="L800" s="24">
        <f>IF(CurrentMtgRatesDataTable811[[#This Row],[Servicing Spread]]&lt;=0,L799,CurrentMtgRatesDataTable811[[#This Row],[Servicing Spread]])</f>
        <v>0.82452595912363202</v>
      </c>
      <c r="M800" s="24">
        <f>CurrentMtgRatesDataTable811[[#This Row],[SeriesNumValue]]+CurrentMtgRatesDataTable811[[#This Row],[Servicing Spread Non-Zero]]</f>
        <v>4.1675276609302916</v>
      </c>
    </row>
    <row r="801" spans="2:13" x14ac:dyDescent="0.2">
      <c r="B801" s="27" t="s">
        <v>1482</v>
      </c>
      <c r="C801" s="28">
        <v>3.34761054294983</v>
      </c>
      <c r="D801" s="26">
        <v>4.2050000000000001</v>
      </c>
      <c r="E801" s="24">
        <f t="shared" si="48"/>
        <v>5</v>
      </c>
      <c r="F801" s="24">
        <f>VLOOKUP(E801,Q$5:R$11,2,FALSE)</f>
        <v>0.2</v>
      </c>
      <c r="G801" s="24">
        <f t="shared" si="49"/>
        <v>3</v>
      </c>
      <c r="H801" s="24">
        <f>IF(G801&gt;G800,H800+C801*F801,C801*F801)</f>
        <v>2.0141083783806661</v>
      </c>
      <c r="I801" s="24">
        <f t="shared" si="50"/>
        <v>0.60000000000000009</v>
      </c>
      <c r="J801" s="24">
        <f t="shared" si="51"/>
        <v>0</v>
      </c>
      <c r="K801" s="24">
        <f>IF(CurrentMtgRatesDataTable811[[#This Row],[WA CC]]&lt;&gt;0,D800-CurrentMtgRatesDataTable811[[#This Row],[WA CC]],0)</f>
        <v>0</v>
      </c>
      <c r="L801" s="24">
        <f>IF(CurrentMtgRatesDataTable811[[#This Row],[Servicing Spread]]&lt;=0,L800,CurrentMtgRatesDataTable811[[#This Row],[Servicing Spread]])</f>
        <v>0.82452595912363202</v>
      </c>
      <c r="M801" s="24">
        <f>CurrentMtgRatesDataTable811[[#This Row],[SeriesNumValue]]+CurrentMtgRatesDataTable811[[#This Row],[Servicing Spread Non-Zero]]</f>
        <v>4.172136502073462</v>
      </c>
    </row>
    <row r="802" spans="2:13" x14ac:dyDescent="0.2">
      <c r="B802" s="27" t="s">
        <v>1483</v>
      </c>
      <c r="C802" s="28">
        <v>3.3874003692749199</v>
      </c>
      <c r="D802" s="26">
        <v>4.2050000000000001</v>
      </c>
      <c r="E802" s="24">
        <f t="shared" si="48"/>
        <v>6</v>
      </c>
      <c r="F802" s="24">
        <f>VLOOKUP(E802,Q$5:R$11,2,FALSE)</f>
        <v>0.2</v>
      </c>
      <c r="G802" s="24">
        <f t="shared" si="49"/>
        <v>4</v>
      </c>
      <c r="H802" s="24">
        <f>IF(G802&gt;G801,H801+C802*F802,C802*F802)</f>
        <v>2.6915884522356501</v>
      </c>
      <c r="I802" s="24">
        <f t="shared" si="50"/>
        <v>0.8</v>
      </c>
      <c r="J802" s="24">
        <f t="shared" si="51"/>
        <v>0</v>
      </c>
      <c r="K802" s="24">
        <f>IF(CurrentMtgRatesDataTable811[[#This Row],[WA CC]]&lt;&gt;0,D801-CurrentMtgRatesDataTable811[[#This Row],[WA CC]],0)</f>
        <v>0</v>
      </c>
      <c r="L802" s="24">
        <f>IF(CurrentMtgRatesDataTable811[[#This Row],[Servicing Spread]]&lt;=0,L801,CurrentMtgRatesDataTable811[[#This Row],[Servicing Spread]])</f>
        <v>0.82452595912363202</v>
      </c>
      <c r="M802" s="24">
        <f>CurrentMtgRatesDataTable811[[#This Row],[SeriesNumValue]]+CurrentMtgRatesDataTable811[[#This Row],[Servicing Spread Non-Zero]]</f>
        <v>4.211926328398552</v>
      </c>
    </row>
    <row r="803" spans="2:13" x14ac:dyDescent="0.2">
      <c r="B803" s="27" t="s">
        <v>1484</v>
      </c>
      <c r="C803" s="28">
        <v>3.4367814236357002</v>
      </c>
      <c r="D803" s="26">
        <v>4.2050000000000001</v>
      </c>
      <c r="E803" s="24">
        <f t="shared" si="48"/>
        <v>7</v>
      </c>
      <c r="F803" s="24">
        <f>VLOOKUP(E803,Q$5:R$11,2,FALSE)</f>
        <v>0.2</v>
      </c>
      <c r="G803" s="24">
        <f t="shared" si="49"/>
        <v>5</v>
      </c>
      <c r="H803" s="24">
        <f>IF(G803&gt;G802,H802+C803*F803,C803*F803)</f>
        <v>3.3789447369627901</v>
      </c>
      <c r="I803" s="24">
        <f t="shared" si="50"/>
        <v>1</v>
      </c>
      <c r="J803" s="24">
        <f t="shared" si="51"/>
        <v>3.3789447369627901</v>
      </c>
      <c r="K803" s="24">
        <f>IF(CurrentMtgRatesDataTable811[[#This Row],[WA CC]]&lt;&gt;0,D802-CurrentMtgRatesDataTable811[[#This Row],[WA CC]],0)</f>
        <v>0.82605526303721</v>
      </c>
      <c r="L803" s="24">
        <f>IF(CurrentMtgRatesDataTable811[[#This Row],[Servicing Spread]]&lt;=0,L802,CurrentMtgRatesDataTable811[[#This Row],[Servicing Spread]])</f>
        <v>0.82605526303721</v>
      </c>
      <c r="M803" s="24">
        <f>CurrentMtgRatesDataTable811[[#This Row],[SeriesNumValue]]+CurrentMtgRatesDataTable811[[#This Row],[Servicing Spread Non-Zero]]</f>
        <v>4.2628366866729106</v>
      </c>
    </row>
    <row r="804" spans="2:13" x14ac:dyDescent="0.2">
      <c r="B804" s="27" t="s">
        <v>1485</v>
      </c>
      <c r="C804" s="28">
        <v>3.3963820586764299</v>
      </c>
      <c r="D804" s="26">
        <v>4.2549999999999999</v>
      </c>
      <c r="E804" s="24">
        <f t="shared" si="48"/>
        <v>1</v>
      </c>
      <c r="F804" s="24">
        <f>VLOOKUP(E804,Q$5:R$11,2,FALSE)</f>
        <v>0.2</v>
      </c>
      <c r="G804" s="24">
        <f t="shared" si="49"/>
        <v>1</v>
      </c>
      <c r="H804" s="24">
        <f>IF(G804&gt;G803,H803+C804*F804,C804*F804)</f>
        <v>0.67927641173528608</v>
      </c>
      <c r="I804" s="24">
        <f t="shared" si="50"/>
        <v>0.2</v>
      </c>
      <c r="J804" s="24">
        <f t="shared" si="51"/>
        <v>0</v>
      </c>
      <c r="K804" s="24">
        <f>IF(CurrentMtgRatesDataTable811[[#This Row],[WA CC]]&lt;&gt;0,D803-CurrentMtgRatesDataTable811[[#This Row],[WA CC]],0)</f>
        <v>0</v>
      </c>
      <c r="L804" s="24">
        <f>IF(CurrentMtgRatesDataTable811[[#This Row],[Servicing Spread]]&lt;=0,L803,CurrentMtgRatesDataTable811[[#This Row],[Servicing Spread]])</f>
        <v>0.82605526303721</v>
      </c>
      <c r="M804" s="24">
        <f>CurrentMtgRatesDataTable811[[#This Row],[SeriesNumValue]]+CurrentMtgRatesDataTable811[[#This Row],[Servicing Spread Non-Zero]]</f>
        <v>4.2224373217136399</v>
      </c>
    </row>
    <row r="805" spans="2:13" x14ac:dyDescent="0.2">
      <c r="B805" s="27" t="s">
        <v>1486</v>
      </c>
      <c r="C805" s="28">
        <v>3.42404687499962</v>
      </c>
      <c r="D805" s="26">
        <v>4.2549999999999999</v>
      </c>
      <c r="E805" s="24">
        <f t="shared" si="48"/>
        <v>2</v>
      </c>
      <c r="F805" s="24">
        <f>VLOOKUP(E805,Q$5:R$11,2,FALSE)</f>
        <v>0.2</v>
      </c>
      <c r="G805" s="24">
        <f t="shared" si="49"/>
        <v>2</v>
      </c>
      <c r="H805" s="24">
        <f>IF(G805&gt;G804,H804+C805*F805,C805*F805)</f>
        <v>1.3640857867352101</v>
      </c>
      <c r="I805" s="24">
        <f t="shared" si="50"/>
        <v>0.4</v>
      </c>
      <c r="J805" s="24">
        <f t="shared" si="51"/>
        <v>0</v>
      </c>
      <c r="K805" s="24">
        <f>IF(CurrentMtgRatesDataTable811[[#This Row],[WA CC]]&lt;&gt;0,D804-CurrentMtgRatesDataTable811[[#This Row],[WA CC]],0)</f>
        <v>0</v>
      </c>
      <c r="L805" s="24">
        <f>IF(CurrentMtgRatesDataTable811[[#This Row],[Servicing Spread]]&lt;=0,L804,CurrentMtgRatesDataTable811[[#This Row],[Servicing Spread]])</f>
        <v>0.82605526303721</v>
      </c>
      <c r="M805" s="24">
        <f>CurrentMtgRatesDataTable811[[#This Row],[SeriesNumValue]]+CurrentMtgRatesDataTable811[[#This Row],[Servicing Spread Non-Zero]]</f>
        <v>4.25010213803683</v>
      </c>
    </row>
    <row r="806" spans="2:13" x14ac:dyDescent="0.2">
      <c r="B806" s="27" t="s">
        <v>1487</v>
      </c>
      <c r="C806" s="28">
        <v>3.4022510541238402</v>
      </c>
      <c r="D806" s="26">
        <v>4.2549999999999999</v>
      </c>
      <c r="E806" s="24">
        <f t="shared" si="48"/>
        <v>6</v>
      </c>
      <c r="F806" s="24">
        <f>VLOOKUP(E806,Q$5:R$11,2,FALSE)</f>
        <v>0.2</v>
      </c>
      <c r="G806" s="24">
        <f t="shared" si="49"/>
        <v>3</v>
      </c>
      <c r="H806" s="24">
        <f>IF(G806&gt;G805,H805+C806*F806,C806*F806)</f>
        <v>2.0445359975599784</v>
      </c>
      <c r="I806" s="24">
        <f t="shared" si="50"/>
        <v>0.60000000000000009</v>
      </c>
      <c r="J806" s="24">
        <f t="shared" si="51"/>
        <v>0</v>
      </c>
      <c r="K806" s="24">
        <f>IF(CurrentMtgRatesDataTable811[[#This Row],[WA CC]]&lt;&gt;0,D805-CurrentMtgRatesDataTable811[[#This Row],[WA CC]],0)</f>
        <v>0</v>
      </c>
      <c r="L806" s="24">
        <f>IF(CurrentMtgRatesDataTable811[[#This Row],[Servicing Spread]]&lt;=0,L805,CurrentMtgRatesDataTable811[[#This Row],[Servicing Spread]])</f>
        <v>0.82605526303721</v>
      </c>
      <c r="M806" s="24">
        <f>CurrentMtgRatesDataTable811[[#This Row],[SeriesNumValue]]+CurrentMtgRatesDataTable811[[#This Row],[Servicing Spread Non-Zero]]</f>
        <v>4.2283063171610502</v>
      </c>
    </row>
    <row r="807" spans="2:13" x14ac:dyDescent="0.2">
      <c r="B807" s="27" t="s">
        <v>1488</v>
      </c>
      <c r="C807" s="28">
        <v>3.4208462339079002</v>
      </c>
      <c r="D807" s="26">
        <v>4.2549999999999999</v>
      </c>
      <c r="E807" s="24">
        <f t="shared" si="48"/>
        <v>7</v>
      </c>
      <c r="F807" s="24">
        <f>VLOOKUP(E807,Q$5:R$11,2,FALSE)</f>
        <v>0.2</v>
      </c>
      <c r="G807" s="24">
        <f t="shared" si="49"/>
        <v>4</v>
      </c>
      <c r="H807" s="24">
        <f>IF(G807&gt;G806,H806+C807*F807,C807*F807)</f>
        <v>2.7287052443415583</v>
      </c>
      <c r="I807" s="24">
        <f t="shared" si="50"/>
        <v>0.8</v>
      </c>
      <c r="J807" s="24">
        <f t="shared" si="51"/>
        <v>3.4108815554269478</v>
      </c>
      <c r="K807" s="24">
        <f>IF(CurrentMtgRatesDataTable811[[#This Row],[WA CC]]&lt;&gt;0,D806-CurrentMtgRatesDataTable811[[#This Row],[WA CC]],0)</f>
        <v>0.84411844457305207</v>
      </c>
      <c r="L807" s="24">
        <f>IF(CurrentMtgRatesDataTable811[[#This Row],[Servicing Spread]]&lt;=0,L806,CurrentMtgRatesDataTable811[[#This Row],[Servicing Spread]])</f>
        <v>0.84411844457305207</v>
      </c>
      <c r="M807" s="24">
        <f>CurrentMtgRatesDataTable811[[#This Row],[SeriesNumValue]]+CurrentMtgRatesDataTable811[[#This Row],[Servicing Spread Non-Zero]]</f>
        <v>4.2649646784809523</v>
      </c>
    </row>
    <row r="808" spans="2:13" x14ac:dyDescent="0.2">
      <c r="B808" s="27" t="s">
        <v>1489</v>
      </c>
      <c r="C808" s="28">
        <v>3.4409874974018302</v>
      </c>
      <c r="D808" s="26">
        <v>4.2949999999999999</v>
      </c>
      <c r="E808" s="24">
        <f t="shared" si="48"/>
        <v>1</v>
      </c>
      <c r="F808" s="24">
        <f>VLOOKUP(E808,Q$5:R$11,2,FALSE)</f>
        <v>0.2</v>
      </c>
      <c r="G808" s="24">
        <f t="shared" si="49"/>
        <v>1</v>
      </c>
      <c r="H808" s="24">
        <f>IF(G808&gt;G807,H807+C808*F808,C808*F808)</f>
        <v>0.68819749948036613</v>
      </c>
      <c r="I808" s="24">
        <f t="shared" si="50"/>
        <v>0.2</v>
      </c>
      <c r="J808" s="24">
        <f t="shared" si="51"/>
        <v>0</v>
      </c>
      <c r="K808" s="24">
        <f>IF(CurrentMtgRatesDataTable811[[#This Row],[WA CC]]&lt;&gt;0,D807-CurrentMtgRatesDataTable811[[#This Row],[WA CC]],0)</f>
        <v>0</v>
      </c>
      <c r="L808" s="24">
        <f>IF(CurrentMtgRatesDataTable811[[#This Row],[Servicing Spread]]&lt;=0,L807,CurrentMtgRatesDataTable811[[#This Row],[Servicing Spread]])</f>
        <v>0.84411844457305207</v>
      </c>
      <c r="M808" s="24">
        <f>CurrentMtgRatesDataTable811[[#This Row],[SeriesNumValue]]+CurrentMtgRatesDataTable811[[#This Row],[Servicing Spread Non-Zero]]</f>
        <v>4.2851059419748818</v>
      </c>
    </row>
    <row r="809" spans="2:13" x14ac:dyDescent="0.2">
      <c r="B809" s="27" t="s">
        <v>1490</v>
      </c>
      <c r="C809" s="28">
        <v>3.4238152467223899</v>
      </c>
      <c r="D809" s="26">
        <v>4.2949999999999999</v>
      </c>
      <c r="E809" s="24">
        <f t="shared" si="48"/>
        <v>2</v>
      </c>
      <c r="F809" s="24">
        <f>VLOOKUP(E809,Q$5:R$11,2,FALSE)</f>
        <v>0.2</v>
      </c>
      <c r="G809" s="24">
        <f t="shared" si="49"/>
        <v>2</v>
      </c>
      <c r="H809" s="24">
        <f>IF(G809&gt;G808,H808+C809*F809,C809*F809)</f>
        <v>1.3729605488248442</v>
      </c>
      <c r="I809" s="24">
        <f t="shared" si="50"/>
        <v>0.4</v>
      </c>
      <c r="J809" s="24">
        <f t="shared" si="51"/>
        <v>0</v>
      </c>
      <c r="K809" s="24">
        <f>IF(CurrentMtgRatesDataTable811[[#This Row],[WA CC]]&lt;&gt;0,D808-CurrentMtgRatesDataTable811[[#This Row],[WA CC]],0)</f>
        <v>0</v>
      </c>
      <c r="L809" s="24">
        <f>IF(CurrentMtgRatesDataTable811[[#This Row],[Servicing Spread]]&lt;=0,L808,CurrentMtgRatesDataTable811[[#This Row],[Servicing Spread]])</f>
        <v>0.84411844457305207</v>
      </c>
      <c r="M809" s="24">
        <f>CurrentMtgRatesDataTable811[[#This Row],[SeriesNumValue]]+CurrentMtgRatesDataTable811[[#This Row],[Servicing Spread Non-Zero]]</f>
        <v>4.2679336912954415</v>
      </c>
    </row>
    <row r="810" spans="2:13" x14ac:dyDescent="0.2">
      <c r="B810" s="27" t="s">
        <v>1491</v>
      </c>
      <c r="C810" s="28">
        <v>3.4298763218774999</v>
      </c>
      <c r="D810" s="26">
        <v>4.2949999999999999</v>
      </c>
      <c r="E810" s="24">
        <f t="shared" si="48"/>
        <v>5</v>
      </c>
      <c r="F810" s="24">
        <f>VLOOKUP(E810,Q$5:R$11,2,FALSE)</f>
        <v>0.2</v>
      </c>
      <c r="G810" s="24">
        <f t="shared" si="49"/>
        <v>3</v>
      </c>
      <c r="H810" s="24">
        <f>IF(G810&gt;G809,H809+C810*F810,C810*F810)</f>
        <v>2.0589358132003444</v>
      </c>
      <c r="I810" s="24">
        <f t="shared" si="50"/>
        <v>0.60000000000000009</v>
      </c>
      <c r="J810" s="24">
        <f t="shared" si="51"/>
        <v>0</v>
      </c>
      <c r="K810" s="24">
        <f>IF(CurrentMtgRatesDataTable811[[#This Row],[WA CC]]&lt;&gt;0,D809-CurrentMtgRatesDataTable811[[#This Row],[WA CC]],0)</f>
        <v>0</v>
      </c>
      <c r="L810" s="24">
        <f>IF(CurrentMtgRatesDataTable811[[#This Row],[Servicing Spread]]&lt;=0,L809,CurrentMtgRatesDataTable811[[#This Row],[Servicing Spread]])</f>
        <v>0.84411844457305207</v>
      </c>
      <c r="M810" s="24">
        <f>CurrentMtgRatesDataTable811[[#This Row],[SeriesNumValue]]+CurrentMtgRatesDataTable811[[#This Row],[Servicing Spread Non-Zero]]</f>
        <v>4.273994766450552</v>
      </c>
    </row>
    <row r="811" spans="2:13" x14ac:dyDescent="0.2">
      <c r="B811" s="27" t="s">
        <v>1492</v>
      </c>
      <c r="C811" s="28">
        <v>3.3762483730993802</v>
      </c>
      <c r="D811" s="26">
        <v>4.2949999999999999</v>
      </c>
      <c r="E811" s="24">
        <f t="shared" si="48"/>
        <v>6</v>
      </c>
      <c r="F811" s="24">
        <f>VLOOKUP(E811,Q$5:R$11,2,FALSE)</f>
        <v>0.2</v>
      </c>
      <c r="G811" s="24">
        <f t="shared" si="49"/>
        <v>4</v>
      </c>
      <c r="H811" s="24">
        <f>IF(G811&gt;G810,H810+C811*F811,C811*F811)</f>
        <v>2.7341854878202203</v>
      </c>
      <c r="I811" s="24">
        <f t="shared" si="50"/>
        <v>0.8</v>
      </c>
      <c r="J811" s="24">
        <f t="shared" si="51"/>
        <v>0</v>
      </c>
      <c r="K811" s="24">
        <f>IF(CurrentMtgRatesDataTable811[[#This Row],[WA CC]]&lt;&gt;0,D810-CurrentMtgRatesDataTable811[[#This Row],[WA CC]],0)</f>
        <v>0</v>
      </c>
      <c r="L811" s="24">
        <f>IF(CurrentMtgRatesDataTable811[[#This Row],[Servicing Spread]]&lt;=0,L810,CurrentMtgRatesDataTable811[[#This Row],[Servicing Spread]])</f>
        <v>0.84411844457305207</v>
      </c>
      <c r="M811" s="24">
        <f>CurrentMtgRatesDataTable811[[#This Row],[SeriesNumValue]]+CurrentMtgRatesDataTable811[[#This Row],[Servicing Spread Non-Zero]]</f>
        <v>4.2203668176724323</v>
      </c>
    </row>
    <row r="812" spans="2:13" x14ac:dyDescent="0.2">
      <c r="B812" s="27" t="s">
        <v>1493</v>
      </c>
      <c r="C812" s="28">
        <v>3.36185561650391</v>
      </c>
      <c r="D812" s="26">
        <v>4.2949999999999999</v>
      </c>
      <c r="E812" s="24">
        <f t="shared" si="48"/>
        <v>7</v>
      </c>
      <c r="F812" s="24">
        <f>VLOOKUP(E812,Q$5:R$11,2,FALSE)</f>
        <v>0.2</v>
      </c>
      <c r="G812" s="24">
        <f t="shared" si="49"/>
        <v>5</v>
      </c>
      <c r="H812" s="24">
        <f>IF(G812&gt;G811,H811+C812*F812,C812*F812)</f>
        <v>3.4065566111210024</v>
      </c>
      <c r="I812" s="24">
        <f t="shared" si="50"/>
        <v>1</v>
      </c>
      <c r="J812" s="24">
        <f t="shared" si="51"/>
        <v>3.4065566111210024</v>
      </c>
      <c r="K812" s="24">
        <f>IF(CurrentMtgRatesDataTable811[[#This Row],[WA CC]]&lt;&gt;0,D811-CurrentMtgRatesDataTable811[[#This Row],[WA CC]],0)</f>
        <v>0.88844338887899754</v>
      </c>
      <c r="L812" s="24">
        <f>IF(CurrentMtgRatesDataTable811[[#This Row],[Servicing Spread]]&lt;=0,L811,CurrentMtgRatesDataTable811[[#This Row],[Servicing Spread]])</f>
        <v>0.88844338887899754</v>
      </c>
      <c r="M812" s="24">
        <f>CurrentMtgRatesDataTable811[[#This Row],[SeriesNumValue]]+CurrentMtgRatesDataTable811[[#This Row],[Servicing Spread Non-Zero]]</f>
        <v>4.2502990053829075</v>
      </c>
    </row>
    <row r="813" spans="2:13" x14ac:dyDescent="0.2">
      <c r="B813" s="27" t="s">
        <v>1494</v>
      </c>
      <c r="C813" s="28">
        <v>3.3370205659412702</v>
      </c>
      <c r="D813" s="26">
        <v>4.2050000000000001</v>
      </c>
      <c r="E813" s="24">
        <f t="shared" si="48"/>
        <v>1</v>
      </c>
      <c r="F813" s="24">
        <f>VLOOKUP(E813,Q$5:R$11,2,FALSE)</f>
        <v>0.2</v>
      </c>
      <c r="G813" s="24">
        <f t="shared" si="49"/>
        <v>1</v>
      </c>
      <c r="H813" s="24">
        <f>IF(G813&gt;G812,H812+C813*F813,C813*F813)</f>
        <v>0.6674041131882541</v>
      </c>
      <c r="I813" s="24">
        <f t="shared" si="50"/>
        <v>0.2</v>
      </c>
      <c r="J813" s="24">
        <f t="shared" si="51"/>
        <v>0</v>
      </c>
      <c r="K813" s="24">
        <f>IF(CurrentMtgRatesDataTable811[[#This Row],[WA CC]]&lt;&gt;0,D812-CurrentMtgRatesDataTable811[[#This Row],[WA CC]],0)</f>
        <v>0</v>
      </c>
      <c r="L813" s="24">
        <f>IF(CurrentMtgRatesDataTable811[[#This Row],[Servicing Spread]]&lt;=0,L812,CurrentMtgRatesDataTable811[[#This Row],[Servicing Spread]])</f>
        <v>0.88844338887899754</v>
      </c>
      <c r="M813" s="24">
        <f>CurrentMtgRatesDataTable811[[#This Row],[SeriesNumValue]]+CurrentMtgRatesDataTable811[[#This Row],[Servicing Spread Non-Zero]]</f>
        <v>4.2254639548202677</v>
      </c>
    </row>
    <row r="814" spans="2:13" x14ac:dyDescent="0.2">
      <c r="B814" s="27" t="s">
        <v>1495</v>
      </c>
      <c r="C814" s="28">
        <v>3.3514861848067001</v>
      </c>
      <c r="D814" s="26">
        <v>4.2050000000000001</v>
      </c>
      <c r="E814" s="24">
        <f t="shared" si="48"/>
        <v>2</v>
      </c>
      <c r="F814" s="24">
        <f>VLOOKUP(E814,Q$5:R$11,2,FALSE)</f>
        <v>0.2</v>
      </c>
      <c r="G814" s="24">
        <f t="shared" si="49"/>
        <v>2</v>
      </c>
      <c r="H814" s="24">
        <f>IF(G814&gt;G813,H813+C814*F814,C814*F814)</f>
        <v>1.3377013501495942</v>
      </c>
      <c r="I814" s="24">
        <f t="shared" si="50"/>
        <v>0.4</v>
      </c>
      <c r="J814" s="24">
        <f t="shared" si="51"/>
        <v>0</v>
      </c>
      <c r="K814" s="24">
        <f>IF(CurrentMtgRatesDataTable811[[#This Row],[WA CC]]&lt;&gt;0,D813-CurrentMtgRatesDataTable811[[#This Row],[WA CC]],0)</f>
        <v>0</v>
      </c>
      <c r="L814" s="24">
        <f>IF(CurrentMtgRatesDataTable811[[#This Row],[Servicing Spread]]&lt;=0,L813,CurrentMtgRatesDataTable811[[#This Row],[Servicing Spread]])</f>
        <v>0.88844338887899754</v>
      </c>
      <c r="M814" s="24">
        <f>CurrentMtgRatesDataTable811[[#This Row],[SeriesNumValue]]+CurrentMtgRatesDataTable811[[#This Row],[Servicing Spread Non-Zero]]</f>
        <v>4.2399295736856981</v>
      </c>
    </row>
    <row r="815" spans="2:13" x14ac:dyDescent="0.2">
      <c r="B815" s="27" t="s">
        <v>1496</v>
      </c>
      <c r="C815" s="28">
        <v>3.32529881785555</v>
      </c>
      <c r="D815" s="26">
        <v>4.2050000000000001</v>
      </c>
      <c r="E815" s="24">
        <f t="shared" si="48"/>
        <v>5</v>
      </c>
      <c r="F815" s="24">
        <f>VLOOKUP(E815,Q$5:R$11,2,FALSE)</f>
        <v>0.2</v>
      </c>
      <c r="G815" s="24">
        <f t="shared" si="49"/>
        <v>3</v>
      </c>
      <c r="H815" s="24">
        <f>IF(G815&gt;G814,H814+C815*F815,C815*F815)</f>
        <v>2.0027611137207044</v>
      </c>
      <c r="I815" s="24">
        <f t="shared" si="50"/>
        <v>0.60000000000000009</v>
      </c>
      <c r="J815" s="24">
        <f t="shared" si="51"/>
        <v>0</v>
      </c>
      <c r="K815" s="24">
        <f>IF(CurrentMtgRatesDataTable811[[#This Row],[WA CC]]&lt;&gt;0,D814-CurrentMtgRatesDataTable811[[#This Row],[WA CC]],0)</f>
        <v>0</v>
      </c>
      <c r="L815" s="24">
        <f>IF(CurrentMtgRatesDataTable811[[#This Row],[Servicing Spread]]&lt;=0,L814,CurrentMtgRatesDataTable811[[#This Row],[Servicing Spread]])</f>
        <v>0.88844338887899754</v>
      </c>
      <c r="M815" s="24">
        <f>CurrentMtgRatesDataTable811[[#This Row],[SeriesNumValue]]+CurrentMtgRatesDataTable811[[#This Row],[Servicing Spread Non-Zero]]</f>
        <v>4.2137422067345476</v>
      </c>
    </row>
    <row r="816" spans="2:13" x14ac:dyDescent="0.2">
      <c r="B816" s="27" t="s">
        <v>1497</v>
      </c>
      <c r="C816" s="28">
        <v>3.3983132593490502</v>
      </c>
      <c r="D816" s="26">
        <v>4.2050000000000001</v>
      </c>
      <c r="E816" s="24">
        <f t="shared" si="48"/>
        <v>6</v>
      </c>
      <c r="F816" s="24">
        <f>VLOOKUP(E816,Q$5:R$11,2,FALSE)</f>
        <v>0.2</v>
      </c>
      <c r="G816" s="24">
        <f t="shared" si="49"/>
        <v>4</v>
      </c>
      <c r="H816" s="24">
        <f>IF(G816&gt;G815,H815+C816*F816,C816*F816)</f>
        <v>2.6824237655905145</v>
      </c>
      <c r="I816" s="24">
        <f t="shared" si="50"/>
        <v>0.8</v>
      </c>
      <c r="J816" s="24">
        <f t="shared" si="51"/>
        <v>0</v>
      </c>
      <c r="K816" s="24">
        <f>IF(CurrentMtgRatesDataTable811[[#This Row],[WA CC]]&lt;&gt;0,D815-CurrentMtgRatesDataTable811[[#This Row],[WA CC]],0)</f>
        <v>0</v>
      </c>
      <c r="L816" s="24">
        <f>IF(CurrentMtgRatesDataTable811[[#This Row],[Servicing Spread]]&lt;=0,L815,CurrentMtgRatesDataTable811[[#This Row],[Servicing Spread]])</f>
        <v>0.88844338887899754</v>
      </c>
      <c r="M816" s="24">
        <f>CurrentMtgRatesDataTable811[[#This Row],[SeriesNumValue]]+CurrentMtgRatesDataTable811[[#This Row],[Servicing Spread Non-Zero]]</f>
        <v>4.2867566482280477</v>
      </c>
    </row>
    <row r="817" spans="2:13" x14ac:dyDescent="0.2">
      <c r="B817" s="27" t="s">
        <v>1498</v>
      </c>
      <c r="C817" s="28">
        <v>3.40151851180392</v>
      </c>
      <c r="D817" s="26">
        <v>4.2050000000000001</v>
      </c>
      <c r="E817" s="24">
        <f t="shared" si="48"/>
        <v>7</v>
      </c>
      <c r="F817" s="24">
        <f>VLOOKUP(E817,Q$5:R$11,2,FALSE)</f>
        <v>0.2</v>
      </c>
      <c r="G817" s="24">
        <f t="shared" si="49"/>
        <v>5</v>
      </c>
      <c r="H817" s="24">
        <f>IF(G817&gt;G816,H816+C817*F817,C817*F817)</f>
        <v>3.3627274679512986</v>
      </c>
      <c r="I817" s="24">
        <f t="shared" si="50"/>
        <v>1</v>
      </c>
      <c r="J817" s="24">
        <f t="shared" si="51"/>
        <v>3.3627274679512986</v>
      </c>
      <c r="K817" s="24">
        <f>IF(CurrentMtgRatesDataTable811[[#This Row],[WA CC]]&lt;&gt;0,D816-CurrentMtgRatesDataTable811[[#This Row],[WA CC]],0)</f>
        <v>0.84227253204870145</v>
      </c>
      <c r="L817" s="24">
        <f>IF(CurrentMtgRatesDataTable811[[#This Row],[Servicing Spread]]&lt;=0,L816,CurrentMtgRatesDataTable811[[#This Row],[Servicing Spread]])</f>
        <v>0.84227253204870145</v>
      </c>
      <c r="M817" s="24">
        <f>CurrentMtgRatesDataTable811[[#This Row],[SeriesNumValue]]+CurrentMtgRatesDataTable811[[#This Row],[Servicing Spread Non-Zero]]</f>
        <v>4.243791043852621</v>
      </c>
    </row>
    <row r="818" spans="2:13" x14ac:dyDescent="0.2">
      <c r="B818" s="27" t="s">
        <v>1499</v>
      </c>
      <c r="C818" s="28">
        <v>3.4237035729301399</v>
      </c>
      <c r="D818" s="26">
        <v>4.2700000000000005</v>
      </c>
      <c r="E818" s="24">
        <f t="shared" si="48"/>
        <v>1</v>
      </c>
      <c r="F818" s="24">
        <f>VLOOKUP(E818,Q$5:R$11,2,FALSE)</f>
        <v>0.2</v>
      </c>
      <c r="G818" s="24">
        <f t="shared" si="49"/>
        <v>1</v>
      </c>
      <c r="H818" s="24">
        <f>IF(G818&gt;G817,H817+C818*F818,C818*F818)</f>
        <v>0.68474071458602803</v>
      </c>
      <c r="I818" s="24">
        <f t="shared" si="50"/>
        <v>0.2</v>
      </c>
      <c r="J818" s="24">
        <f t="shared" si="51"/>
        <v>0</v>
      </c>
      <c r="K818" s="24">
        <f>IF(CurrentMtgRatesDataTable811[[#This Row],[WA CC]]&lt;&gt;0,D817-CurrentMtgRatesDataTable811[[#This Row],[WA CC]],0)</f>
        <v>0</v>
      </c>
      <c r="L818" s="24">
        <f>IF(CurrentMtgRatesDataTable811[[#This Row],[Servicing Spread]]&lt;=0,L817,CurrentMtgRatesDataTable811[[#This Row],[Servicing Spread]])</f>
        <v>0.84227253204870145</v>
      </c>
      <c r="M818" s="24">
        <f>CurrentMtgRatesDataTable811[[#This Row],[SeriesNumValue]]+CurrentMtgRatesDataTable811[[#This Row],[Servicing Spread Non-Zero]]</f>
        <v>4.2659761049788418</v>
      </c>
    </row>
    <row r="819" spans="2:13" x14ac:dyDescent="0.2">
      <c r="B819" s="27" t="s">
        <v>1500</v>
      </c>
      <c r="C819" s="28">
        <v>3.4613667705973898</v>
      </c>
      <c r="D819" s="26">
        <v>4.2700000000000005</v>
      </c>
      <c r="E819" s="24">
        <f t="shared" si="48"/>
        <v>2</v>
      </c>
      <c r="F819" s="24">
        <f>VLOOKUP(E819,Q$5:R$11,2,FALSE)</f>
        <v>0.2</v>
      </c>
      <c r="G819" s="24">
        <f t="shared" si="49"/>
        <v>2</v>
      </c>
      <c r="H819" s="24">
        <f>IF(G819&gt;G818,H818+C819*F819,C819*F819)</f>
        <v>1.3770140687055061</v>
      </c>
      <c r="I819" s="24">
        <f t="shared" si="50"/>
        <v>0.4</v>
      </c>
      <c r="J819" s="24">
        <f t="shared" si="51"/>
        <v>0</v>
      </c>
      <c r="K819" s="24">
        <f>IF(CurrentMtgRatesDataTable811[[#This Row],[WA CC]]&lt;&gt;0,D818-CurrentMtgRatesDataTable811[[#This Row],[WA CC]],0)</f>
        <v>0</v>
      </c>
      <c r="L819" s="24">
        <f>IF(CurrentMtgRatesDataTable811[[#This Row],[Servicing Spread]]&lt;=0,L818,CurrentMtgRatesDataTable811[[#This Row],[Servicing Spread]])</f>
        <v>0.84227253204870145</v>
      </c>
      <c r="M819" s="24">
        <f>CurrentMtgRatesDataTable811[[#This Row],[SeriesNumValue]]+CurrentMtgRatesDataTable811[[#This Row],[Servicing Spread Non-Zero]]</f>
        <v>4.3036393026460917</v>
      </c>
    </row>
    <row r="820" spans="2:13" x14ac:dyDescent="0.2">
      <c r="B820" s="27" t="s">
        <v>1501</v>
      </c>
      <c r="C820" s="28">
        <v>3.4465671397565498</v>
      </c>
      <c r="D820" s="26">
        <v>4.2700000000000005</v>
      </c>
      <c r="E820" s="24">
        <f t="shared" si="48"/>
        <v>5</v>
      </c>
      <c r="F820" s="24">
        <f>VLOOKUP(E820,Q$5:R$11,2,FALSE)</f>
        <v>0.2</v>
      </c>
      <c r="G820" s="24">
        <f t="shared" si="49"/>
        <v>3</v>
      </c>
      <c r="H820" s="24">
        <f>IF(G820&gt;G819,H819+C820*F820,C820*F820)</f>
        <v>2.0663274966568164</v>
      </c>
      <c r="I820" s="24">
        <f t="shared" si="50"/>
        <v>0.60000000000000009</v>
      </c>
      <c r="J820" s="24">
        <f t="shared" si="51"/>
        <v>0</v>
      </c>
      <c r="K820" s="24">
        <f>IF(CurrentMtgRatesDataTable811[[#This Row],[WA CC]]&lt;&gt;0,D819-CurrentMtgRatesDataTable811[[#This Row],[WA CC]],0)</f>
        <v>0</v>
      </c>
      <c r="L820" s="24">
        <f>IF(CurrentMtgRatesDataTable811[[#This Row],[Servicing Spread]]&lt;=0,L819,CurrentMtgRatesDataTable811[[#This Row],[Servicing Spread]])</f>
        <v>0.84227253204870145</v>
      </c>
      <c r="M820" s="24">
        <f>CurrentMtgRatesDataTable811[[#This Row],[SeriesNumValue]]+CurrentMtgRatesDataTable811[[#This Row],[Servicing Spread Non-Zero]]</f>
        <v>4.2888396718052508</v>
      </c>
    </row>
    <row r="821" spans="2:13" x14ac:dyDescent="0.2">
      <c r="B821" s="27" t="s">
        <v>1502</v>
      </c>
      <c r="C821" s="28">
        <v>3.4438493655509599</v>
      </c>
      <c r="D821" s="26">
        <v>4.2700000000000005</v>
      </c>
      <c r="E821" s="24">
        <f t="shared" si="48"/>
        <v>6</v>
      </c>
      <c r="F821" s="24">
        <f>VLOOKUP(E821,Q$5:R$11,2,FALSE)</f>
        <v>0.2</v>
      </c>
      <c r="G821" s="24">
        <f t="shared" si="49"/>
        <v>4</v>
      </c>
      <c r="H821" s="24">
        <f>IF(G821&gt;G820,H820+C821*F821,C821*F821)</f>
        <v>2.7550973697670083</v>
      </c>
      <c r="I821" s="24">
        <f t="shared" si="50"/>
        <v>0.8</v>
      </c>
      <c r="J821" s="24">
        <f t="shared" si="51"/>
        <v>0</v>
      </c>
      <c r="K821" s="24">
        <f>IF(CurrentMtgRatesDataTable811[[#This Row],[WA CC]]&lt;&gt;0,D820-CurrentMtgRatesDataTable811[[#This Row],[WA CC]],0)</f>
        <v>0</v>
      </c>
      <c r="L821" s="24">
        <f>IF(CurrentMtgRatesDataTable811[[#This Row],[Servicing Spread]]&lt;=0,L820,CurrentMtgRatesDataTable811[[#This Row],[Servicing Spread]])</f>
        <v>0.84227253204870145</v>
      </c>
      <c r="M821" s="24">
        <f>CurrentMtgRatesDataTable811[[#This Row],[SeriesNumValue]]+CurrentMtgRatesDataTable811[[#This Row],[Servicing Spread Non-Zero]]</f>
        <v>4.2861218975996618</v>
      </c>
    </row>
    <row r="822" spans="2:13" x14ac:dyDescent="0.2">
      <c r="B822" s="27" t="s">
        <v>1503</v>
      </c>
      <c r="C822" s="28">
        <v>3.4085893370598099</v>
      </c>
      <c r="D822" s="26">
        <v>4.2700000000000005</v>
      </c>
      <c r="E822" s="24">
        <f t="shared" si="48"/>
        <v>7</v>
      </c>
      <c r="F822" s="24">
        <f>VLOOKUP(E822,Q$5:R$11,2,FALSE)</f>
        <v>0.2</v>
      </c>
      <c r="G822" s="24">
        <f t="shared" si="49"/>
        <v>5</v>
      </c>
      <c r="H822" s="24">
        <f>IF(G822&gt;G821,H821+C822*F822,C822*F822)</f>
        <v>3.4368152371789704</v>
      </c>
      <c r="I822" s="24">
        <f t="shared" si="50"/>
        <v>1</v>
      </c>
      <c r="J822" s="24">
        <f t="shared" si="51"/>
        <v>3.4368152371789704</v>
      </c>
      <c r="K822" s="24">
        <f>IF(CurrentMtgRatesDataTable811[[#This Row],[WA CC]]&lt;&gt;0,D821-CurrentMtgRatesDataTable811[[#This Row],[WA CC]],0)</f>
        <v>0.83318476282103004</v>
      </c>
      <c r="L822" s="24">
        <f>IF(CurrentMtgRatesDataTable811[[#This Row],[Servicing Spread]]&lt;=0,L821,CurrentMtgRatesDataTable811[[#This Row],[Servicing Spread]])</f>
        <v>0.83318476282103004</v>
      </c>
      <c r="M822" s="24">
        <f>CurrentMtgRatesDataTable811[[#This Row],[SeriesNumValue]]+CurrentMtgRatesDataTable811[[#This Row],[Servicing Spread Non-Zero]]</f>
        <v>4.24177409988084</v>
      </c>
    </row>
    <row r="823" spans="2:13" x14ac:dyDescent="0.2">
      <c r="B823" s="27" t="s">
        <v>1504</v>
      </c>
      <c r="C823" s="28">
        <v>3.34843875975199</v>
      </c>
      <c r="D823" s="26">
        <v>4.2200000000000006</v>
      </c>
      <c r="E823" s="24">
        <f t="shared" si="48"/>
        <v>1</v>
      </c>
      <c r="F823" s="24">
        <f>VLOOKUP(E823,Q$5:R$11,2,FALSE)</f>
        <v>0.2</v>
      </c>
      <c r="G823" s="24">
        <f t="shared" si="49"/>
        <v>1</v>
      </c>
      <c r="H823" s="24">
        <f>IF(G823&gt;G822,H822+C823*F823,C823*F823)</f>
        <v>0.66968775195039809</v>
      </c>
      <c r="I823" s="24">
        <f t="shared" si="50"/>
        <v>0.2</v>
      </c>
      <c r="J823" s="24">
        <f t="shared" si="51"/>
        <v>0</v>
      </c>
      <c r="K823" s="24">
        <f>IF(CurrentMtgRatesDataTable811[[#This Row],[WA CC]]&lt;&gt;0,D822-CurrentMtgRatesDataTable811[[#This Row],[WA CC]],0)</f>
        <v>0</v>
      </c>
      <c r="L823" s="24">
        <f>IF(CurrentMtgRatesDataTable811[[#This Row],[Servicing Spread]]&lt;=0,L822,CurrentMtgRatesDataTable811[[#This Row],[Servicing Spread]])</f>
        <v>0.83318476282103004</v>
      </c>
      <c r="M823" s="24">
        <f>CurrentMtgRatesDataTable811[[#This Row],[SeriesNumValue]]+CurrentMtgRatesDataTable811[[#This Row],[Servicing Spread Non-Zero]]</f>
        <v>4.1816235225730196</v>
      </c>
    </row>
    <row r="824" spans="2:13" x14ac:dyDescent="0.2">
      <c r="B824" s="27" t="s">
        <v>1505</v>
      </c>
      <c r="C824" s="28">
        <v>3.3634875299273701</v>
      </c>
      <c r="D824" s="26">
        <v>4.2200000000000006</v>
      </c>
      <c r="E824" s="24">
        <f t="shared" si="48"/>
        <v>2</v>
      </c>
      <c r="F824" s="24">
        <f>VLOOKUP(E824,Q$5:R$11,2,FALSE)</f>
        <v>0.2</v>
      </c>
      <c r="G824" s="24">
        <f t="shared" si="49"/>
        <v>2</v>
      </c>
      <c r="H824" s="24">
        <f>IF(G824&gt;G823,H823+C824*F824,C824*F824)</f>
        <v>1.3423852579358722</v>
      </c>
      <c r="I824" s="24">
        <f t="shared" si="50"/>
        <v>0.4</v>
      </c>
      <c r="J824" s="24">
        <f t="shared" si="51"/>
        <v>0</v>
      </c>
      <c r="K824" s="24">
        <f>IF(CurrentMtgRatesDataTable811[[#This Row],[WA CC]]&lt;&gt;0,D823-CurrentMtgRatesDataTable811[[#This Row],[WA CC]],0)</f>
        <v>0</v>
      </c>
      <c r="L824" s="24">
        <f>IF(CurrentMtgRatesDataTable811[[#This Row],[Servicing Spread]]&lt;=0,L823,CurrentMtgRatesDataTable811[[#This Row],[Servicing Spread]])</f>
        <v>0.83318476282103004</v>
      </c>
      <c r="M824" s="24">
        <f>CurrentMtgRatesDataTable811[[#This Row],[SeriesNumValue]]+CurrentMtgRatesDataTable811[[#This Row],[Servicing Spread Non-Zero]]</f>
        <v>4.1966722927484001</v>
      </c>
    </row>
    <row r="825" spans="2:13" x14ac:dyDescent="0.2">
      <c r="B825" s="27" t="s">
        <v>1506</v>
      </c>
      <c r="C825" s="28">
        <v>3.4174617229589801</v>
      </c>
      <c r="D825" s="26">
        <v>4.2200000000000006</v>
      </c>
      <c r="E825" s="24">
        <f t="shared" si="48"/>
        <v>5</v>
      </c>
      <c r="F825" s="24">
        <f>VLOOKUP(E825,Q$5:R$11,2,FALSE)</f>
        <v>0.2</v>
      </c>
      <c r="G825" s="24">
        <f t="shared" si="49"/>
        <v>3</v>
      </c>
      <c r="H825" s="24">
        <f>IF(G825&gt;G824,H824+C825*F825,C825*F825)</f>
        <v>2.0258776025276681</v>
      </c>
      <c r="I825" s="24">
        <f t="shared" si="50"/>
        <v>0.60000000000000009</v>
      </c>
      <c r="J825" s="24">
        <f t="shared" si="51"/>
        <v>0</v>
      </c>
      <c r="K825" s="24">
        <f>IF(CurrentMtgRatesDataTable811[[#This Row],[WA CC]]&lt;&gt;0,D824-CurrentMtgRatesDataTable811[[#This Row],[WA CC]],0)</f>
        <v>0</v>
      </c>
      <c r="L825" s="24">
        <f>IF(CurrentMtgRatesDataTable811[[#This Row],[Servicing Spread]]&lt;=0,L824,CurrentMtgRatesDataTable811[[#This Row],[Servicing Spread]])</f>
        <v>0.83318476282103004</v>
      </c>
      <c r="M825" s="24">
        <f>CurrentMtgRatesDataTable811[[#This Row],[SeriesNumValue]]+CurrentMtgRatesDataTable811[[#This Row],[Servicing Spread Non-Zero]]</f>
        <v>4.2506464857800097</v>
      </c>
    </row>
    <row r="826" spans="2:13" x14ac:dyDescent="0.2">
      <c r="B826" s="27" t="s">
        <v>1507</v>
      </c>
      <c r="C826" s="28">
        <v>3.3942283451593398</v>
      </c>
      <c r="D826" s="26">
        <v>4.2200000000000006</v>
      </c>
      <c r="E826" s="24">
        <f t="shared" si="48"/>
        <v>6</v>
      </c>
      <c r="F826" s="24">
        <f>VLOOKUP(E826,Q$5:R$11,2,FALSE)</f>
        <v>0.2</v>
      </c>
      <c r="G826" s="24">
        <f t="shared" si="49"/>
        <v>4</v>
      </c>
      <c r="H826" s="24">
        <f>IF(G826&gt;G825,H825+C826*F826,C826*F826)</f>
        <v>2.7047232715595362</v>
      </c>
      <c r="I826" s="24">
        <f t="shared" si="50"/>
        <v>0.8</v>
      </c>
      <c r="J826" s="24">
        <f t="shared" si="51"/>
        <v>0</v>
      </c>
      <c r="K826" s="24">
        <f>IF(CurrentMtgRatesDataTable811[[#This Row],[WA CC]]&lt;&gt;0,D825-CurrentMtgRatesDataTable811[[#This Row],[WA CC]],0)</f>
        <v>0</v>
      </c>
      <c r="L826" s="24">
        <f>IF(CurrentMtgRatesDataTable811[[#This Row],[Servicing Spread]]&lt;=0,L825,CurrentMtgRatesDataTable811[[#This Row],[Servicing Spread]])</f>
        <v>0.83318476282103004</v>
      </c>
      <c r="M826" s="24">
        <f>CurrentMtgRatesDataTable811[[#This Row],[SeriesNumValue]]+CurrentMtgRatesDataTable811[[#This Row],[Servicing Spread Non-Zero]]</f>
        <v>4.2274131079803698</v>
      </c>
    </row>
    <row r="827" spans="2:13" x14ac:dyDescent="0.2">
      <c r="B827" s="27" t="s">
        <v>1508</v>
      </c>
      <c r="C827" s="28">
        <v>3.4724096295378999</v>
      </c>
      <c r="D827" s="26">
        <v>4.2200000000000006</v>
      </c>
      <c r="E827" s="24">
        <f t="shared" si="48"/>
        <v>7</v>
      </c>
      <c r="F827" s="24">
        <f>VLOOKUP(E827,Q$5:R$11,2,FALSE)</f>
        <v>0.2</v>
      </c>
      <c r="G827" s="24">
        <f t="shared" si="49"/>
        <v>5</v>
      </c>
      <c r="H827" s="24">
        <f>IF(G827&gt;G826,H826+C827*F827,C827*F827)</f>
        <v>3.3992051974671162</v>
      </c>
      <c r="I827" s="24">
        <f t="shared" si="50"/>
        <v>1</v>
      </c>
      <c r="J827" s="24">
        <f t="shared" si="51"/>
        <v>3.3992051974671162</v>
      </c>
      <c r="K827" s="24">
        <f>IF(CurrentMtgRatesDataTable811[[#This Row],[WA CC]]&lt;&gt;0,D826-CurrentMtgRatesDataTable811[[#This Row],[WA CC]],0)</f>
        <v>0.82079480253288439</v>
      </c>
      <c r="L827" s="24">
        <f>IF(CurrentMtgRatesDataTable811[[#This Row],[Servicing Spread]]&lt;=0,L826,CurrentMtgRatesDataTable811[[#This Row],[Servicing Spread]])</f>
        <v>0.82079480253288439</v>
      </c>
      <c r="M827" s="24">
        <f>CurrentMtgRatesDataTable811[[#This Row],[SeriesNumValue]]+CurrentMtgRatesDataTable811[[#This Row],[Servicing Spread Non-Zero]]</f>
        <v>4.2932044320707838</v>
      </c>
    </row>
    <row r="828" spans="2:13" x14ac:dyDescent="0.2">
      <c r="B828" s="27" t="s">
        <v>1509</v>
      </c>
      <c r="C828" s="28">
        <v>3.4858096996422701</v>
      </c>
      <c r="D828" s="26">
        <v>4.3000000000000007</v>
      </c>
      <c r="E828" s="24">
        <f t="shared" si="48"/>
        <v>1</v>
      </c>
      <c r="F828" s="24">
        <f>VLOOKUP(E828,Q$5:R$11,2,FALSE)</f>
        <v>0.2</v>
      </c>
      <c r="G828" s="24">
        <f t="shared" si="49"/>
        <v>1</v>
      </c>
      <c r="H828" s="24">
        <f>IF(G828&gt;G827,H827+C828*F828,C828*F828)</f>
        <v>0.6971619399284541</v>
      </c>
      <c r="I828" s="24">
        <f t="shared" si="50"/>
        <v>0.2</v>
      </c>
      <c r="J828" s="24">
        <f t="shared" si="51"/>
        <v>0</v>
      </c>
      <c r="K828" s="24">
        <f>IF(CurrentMtgRatesDataTable811[[#This Row],[WA CC]]&lt;&gt;0,D827-CurrentMtgRatesDataTable811[[#This Row],[WA CC]],0)</f>
        <v>0</v>
      </c>
      <c r="L828" s="24">
        <f>IF(CurrentMtgRatesDataTable811[[#This Row],[Servicing Spread]]&lt;=0,L827,CurrentMtgRatesDataTable811[[#This Row],[Servicing Spread]])</f>
        <v>0.82079480253288439</v>
      </c>
      <c r="M828" s="24">
        <f>CurrentMtgRatesDataTable811[[#This Row],[SeriesNumValue]]+CurrentMtgRatesDataTable811[[#This Row],[Servicing Spread Non-Zero]]</f>
        <v>4.3066045021751549</v>
      </c>
    </row>
    <row r="829" spans="2:13" x14ac:dyDescent="0.2">
      <c r="B829" s="27" t="s">
        <v>1510</v>
      </c>
      <c r="C829" s="28">
        <v>3.4523536219729101</v>
      </c>
      <c r="D829" s="26">
        <v>4.3000000000000007</v>
      </c>
      <c r="E829" s="24">
        <f t="shared" si="48"/>
        <v>2</v>
      </c>
      <c r="F829" s="24">
        <f>VLOOKUP(E829,Q$5:R$11,2,FALSE)</f>
        <v>0.2</v>
      </c>
      <c r="G829" s="24">
        <f t="shared" si="49"/>
        <v>2</v>
      </c>
      <c r="H829" s="24">
        <f>IF(G829&gt;G828,H828+C829*F829,C829*F829)</f>
        <v>1.3876326643230361</v>
      </c>
      <c r="I829" s="24">
        <f t="shared" si="50"/>
        <v>0.4</v>
      </c>
      <c r="J829" s="24">
        <f t="shared" si="51"/>
        <v>0</v>
      </c>
      <c r="K829" s="24">
        <f>IF(CurrentMtgRatesDataTable811[[#This Row],[WA CC]]&lt;&gt;0,D828-CurrentMtgRatesDataTable811[[#This Row],[WA CC]],0)</f>
        <v>0</v>
      </c>
      <c r="L829" s="24">
        <f>IF(CurrentMtgRatesDataTable811[[#This Row],[Servicing Spread]]&lt;=0,L828,CurrentMtgRatesDataTable811[[#This Row],[Servicing Spread]])</f>
        <v>0.82079480253288439</v>
      </c>
      <c r="M829" s="24">
        <f>CurrentMtgRatesDataTable811[[#This Row],[SeriesNumValue]]+CurrentMtgRatesDataTable811[[#This Row],[Servicing Spread Non-Zero]]</f>
        <v>4.2731484245057949</v>
      </c>
    </row>
    <row r="830" spans="2:13" x14ac:dyDescent="0.2">
      <c r="B830" s="27" t="s">
        <v>1511</v>
      </c>
      <c r="C830" s="28">
        <v>3.45266754883475</v>
      </c>
      <c r="D830" s="26">
        <v>4.3000000000000007</v>
      </c>
      <c r="E830" s="24">
        <f t="shared" si="48"/>
        <v>5</v>
      </c>
      <c r="F830" s="24">
        <f>VLOOKUP(E830,Q$5:R$11,2,FALSE)</f>
        <v>0.2</v>
      </c>
      <c r="G830" s="24">
        <f t="shared" si="49"/>
        <v>3</v>
      </c>
      <c r="H830" s="24">
        <f>IF(G830&gt;G829,H829+C830*F830,C830*F830)</f>
        <v>2.0781661740899864</v>
      </c>
      <c r="I830" s="24">
        <f t="shared" si="50"/>
        <v>0.60000000000000009</v>
      </c>
      <c r="J830" s="24">
        <f t="shared" si="51"/>
        <v>0</v>
      </c>
      <c r="K830" s="24">
        <f>IF(CurrentMtgRatesDataTable811[[#This Row],[WA CC]]&lt;&gt;0,D829-CurrentMtgRatesDataTable811[[#This Row],[WA CC]],0)</f>
        <v>0</v>
      </c>
      <c r="L830" s="24">
        <f>IF(CurrentMtgRatesDataTable811[[#This Row],[Servicing Spread]]&lt;=0,L829,CurrentMtgRatesDataTable811[[#This Row],[Servicing Spread]])</f>
        <v>0.82079480253288439</v>
      </c>
      <c r="M830" s="24">
        <f>CurrentMtgRatesDataTable811[[#This Row],[SeriesNumValue]]+CurrentMtgRatesDataTable811[[#This Row],[Servicing Spread Non-Zero]]</f>
        <v>4.273462351367634</v>
      </c>
    </row>
    <row r="831" spans="2:13" x14ac:dyDescent="0.2">
      <c r="B831" s="27" t="s">
        <v>1512</v>
      </c>
      <c r="C831" s="28">
        <v>3.4519694257459901</v>
      </c>
      <c r="D831" s="26">
        <v>4.3000000000000007</v>
      </c>
      <c r="E831" s="24">
        <f t="shared" si="48"/>
        <v>6</v>
      </c>
      <c r="F831" s="24">
        <f>VLOOKUP(E831,Q$5:R$11,2,FALSE)</f>
        <v>0.2</v>
      </c>
      <c r="G831" s="24">
        <f t="shared" si="49"/>
        <v>4</v>
      </c>
      <c r="H831" s="24">
        <f>IF(G831&gt;G830,H830+C831*F831,C831*F831)</f>
        <v>2.7685600592391846</v>
      </c>
      <c r="I831" s="24">
        <f t="shared" si="50"/>
        <v>0.8</v>
      </c>
      <c r="J831" s="24">
        <f t="shared" si="51"/>
        <v>0</v>
      </c>
      <c r="K831" s="24">
        <f>IF(CurrentMtgRatesDataTable811[[#This Row],[WA CC]]&lt;&gt;0,D830-CurrentMtgRatesDataTable811[[#This Row],[WA CC]],0)</f>
        <v>0</v>
      </c>
      <c r="L831" s="24">
        <f>IF(CurrentMtgRatesDataTable811[[#This Row],[Servicing Spread]]&lt;=0,L830,CurrentMtgRatesDataTable811[[#This Row],[Servicing Spread]])</f>
        <v>0.82079480253288439</v>
      </c>
      <c r="M831" s="24">
        <f>CurrentMtgRatesDataTable811[[#This Row],[SeriesNumValue]]+CurrentMtgRatesDataTable811[[#This Row],[Servicing Spread Non-Zero]]</f>
        <v>4.2727642282788745</v>
      </c>
    </row>
    <row r="832" spans="2:13" x14ac:dyDescent="0.2">
      <c r="B832" s="27" t="s">
        <v>1513</v>
      </c>
      <c r="C832" s="28">
        <v>3.4217405544715098</v>
      </c>
      <c r="D832" s="26">
        <v>4.3000000000000007</v>
      </c>
      <c r="E832" s="24">
        <f t="shared" si="48"/>
        <v>7</v>
      </c>
      <c r="F832" s="24">
        <f>VLOOKUP(E832,Q$5:R$11,2,FALSE)</f>
        <v>0.2</v>
      </c>
      <c r="G832" s="24">
        <f t="shared" si="49"/>
        <v>5</v>
      </c>
      <c r="H832" s="24">
        <f>IF(G832&gt;G831,H831+C832*F832,C832*F832)</f>
        <v>3.4529081701334867</v>
      </c>
      <c r="I832" s="24">
        <f t="shared" si="50"/>
        <v>1</v>
      </c>
      <c r="J832" s="24">
        <f t="shared" si="51"/>
        <v>3.4529081701334867</v>
      </c>
      <c r="K832" s="24">
        <f>IF(CurrentMtgRatesDataTable811[[#This Row],[WA CC]]&lt;&gt;0,D831-CurrentMtgRatesDataTable811[[#This Row],[WA CC]],0)</f>
        <v>0.84709182986651399</v>
      </c>
      <c r="L832" s="24">
        <f>IF(CurrentMtgRatesDataTable811[[#This Row],[Servicing Spread]]&lt;=0,L831,CurrentMtgRatesDataTable811[[#This Row],[Servicing Spread]])</f>
        <v>0.84709182986651399</v>
      </c>
      <c r="M832" s="24">
        <f>CurrentMtgRatesDataTable811[[#This Row],[SeriesNumValue]]+CurrentMtgRatesDataTable811[[#This Row],[Servicing Spread Non-Zero]]</f>
        <v>4.2688323843380243</v>
      </c>
    </row>
    <row r="833" spans="2:13" x14ac:dyDescent="0.2">
      <c r="B833" s="27" t="s">
        <v>1514</v>
      </c>
      <c r="C833" s="28">
        <v>3.4052671978447102</v>
      </c>
      <c r="D833" s="26">
        <v>4.335</v>
      </c>
      <c r="E833" s="24">
        <f t="shared" si="48"/>
        <v>1</v>
      </c>
      <c r="F833" s="24">
        <f>VLOOKUP(E833,Q$5:R$11,2,FALSE)</f>
        <v>0.2</v>
      </c>
      <c r="G833" s="24">
        <f t="shared" si="49"/>
        <v>1</v>
      </c>
      <c r="H833" s="24">
        <f>IF(G833&gt;G832,H832+C833*F833,C833*F833)</f>
        <v>0.68105343956894204</v>
      </c>
      <c r="I833" s="24">
        <f t="shared" si="50"/>
        <v>0.2</v>
      </c>
      <c r="J833" s="24">
        <f t="shared" si="51"/>
        <v>0</v>
      </c>
      <c r="K833" s="24">
        <f>IF(CurrentMtgRatesDataTable811[[#This Row],[WA CC]]&lt;&gt;0,D832-CurrentMtgRatesDataTable811[[#This Row],[WA CC]],0)</f>
        <v>0</v>
      </c>
      <c r="L833" s="24">
        <f>IF(CurrentMtgRatesDataTable811[[#This Row],[Servicing Spread]]&lt;=0,L832,CurrentMtgRatesDataTable811[[#This Row],[Servicing Spread]])</f>
        <v>0.84709182986651399</v>
      </c>
      <c r="M833" s="24">
        <f>CurrentMtgRatesDataTable811[[#This Row],[SeriesNumValue]]+CurrentMtgRatesDataTable811[[#This Row],[Servicing Spread Non-Zero]]</f>
        <v>4.2523590277112238</v>
      </c>
    </row>
    <row r="834" spans="2:13" x14ac:dyDescent="0.2">
      <c r="B834" s="27" t="s">
        <v>1515</v>
      </c>
      <c r="C834" s="28">
        <v>3.4306094277170498</v>
      </c>
      <c r="D834" s="26">
        <v>4.335</v>
      </c>
      <c r="E834" s="24">
        <f t="shared" si="48"/>
        <v>2</v>
      </c>
      <c r="F834" s="24">
        <f>VLOOKUP(E834,Q$5:R$11,2,FALSE)</f>
        <v>0.2</v>
      </c>
      <c r="G834" s="24">
        <f t="shared" si="49"/>
        <v>2</v>
      </c>
      <c r="H834" s="24">
        <f>IF(G834&gt;G833,H833+C834*F834,C834*F834)</f>
        <v>1.3671753251123522</v>
      </c>
      <c r="I834" s="24">
        <f t="shared" si="50"/>
        <v>0.4</v>
      </c>
      <c r="J834" s="24">
        <f t="shared" si="51"/>
        <v>0</v>
      </c>
      <c r="K834" s="24">
        <f>IF(CurrentMtgRatesDataTable811[[#This Row],[WA CC]]&lt;&gt;0,D833-CurrentMtgRatesDataTable811[[#This Row],[WA CC]],0)</f>
        <v>0</v>
      </c>
      <c r="L834" s="24">
        <f>IF(CurrentMtgRatesDataTable811[[#This Row],[Servicing Spread]]&lt;=0,L833,CurrentMtgRatesDataTable811[[#This Row],[Servicing Spread]])</f>
        <v>0.84709182986651399</v>
      </c>
      <c r="M834" s="24">
        <f>CurrentMtgRatesDataTable811[[#This Row],[SeriesNumValue]]+CurrentMtgRatesDataTable811[[#This Row],[Servicing Spread Non-Zero]]</f>
        <v>4.2777012575835638</v>
      </c>
    </row>
    <row r="835" spans="2:13" x14ac:dyDescent="0.2">
      <c r="B835" s="27" t="s">
        <v>1516</v>
      </c>
      <c r="C835" s="28">
        <v>3.44685935064701</v>
      </c>
      <c r="D835" s="26">
        <v>4.335</v>
      </c>
      <c r="E835" s="24">
        <f t="shared" ref="E835:E898" si="52">WEEKDAY(B835,14)</f>
        <v>5</v>
      </c>
      <c r="F835" s="24">
        <f>VLOOKUP(E835,Q$5:R$11,2,FALSE)</f>
        <v>0.2</v>
      </c>
      <c r="G835" s="24">
        <f t="shared" ref="G835:G898" si="53">IF(AND(E835&gt;E834,G834&lt;6),G834+1,1)</f>
        <v>3</v>
      </c>
      <c r="H835" s="24">
        <f>IF(G835&gt;G834,H834+C835*F835,C835*F835)</f>
        <v>2.0565471952417544</v>
      </c>
      <c r="I835" s="24">
        <f t="shared" ref="I835:I898" si="54">IF(AND(G835&lt;6,G835&gt;G834),F835+I834,F835)</f>
        <v>0.60000000000000009</v>
      </c>
      <c r="J835" s="24">
        <f t="shared" ref="J835:J898" si="55">IF(G835&gt;G836,H835/I835,0)</f>
        <v>0</v>
      </c>
      <c r="K835" s="24">
        <f>IF(CurrentMtgRatesDataTable811[[#This Row],[WA CC]]&lt;&gt;0,D834-CurrentMtgRatesDataTable811[[#This Row],[WA CC]],0)</f>
        <v>0</v>
      </c>
      <c r="L835" s="24">
        <f>IF(CurrentMtgRatesDataTable811[[#This Row],[Servicing Spread]]&lt;=0,L834,CurrentMtgRatesDataTable811[[#This Row],[Servicing Spread]])</f>
        <v>0.84709182986651399</v>
      </c>
      <c r="M835" s="24">
        <f>CurrentMtgRatesDataTable811[[#This Row],[SeriesNumValue]]+CurrentMtgRatesDataTable811[[#This Row],[Servicing Spread Non-Zero]]</f>
        <v>4.293951180513524</v>
      </c>
    </row>
    <row r="836" spans="2:13" x14ac:dyDescent="0.2">
      <c r="B836" s="27" t="s">
        <v>1517</v>
      </c>
      <c r="C836" s="28">
        <v>3.4727016332033198</v>
      </c>
      <c r="D836" s="26">
        <v>4.335</v>
      </c>
      <c r="E836" s="24">
        <f t="shared" si="52"/>
        <v>6</v>
      </c>
      <c r="F836" s="24">
        <f>VLOOKUP(E836,Q$5:R$11,2,FALSE)</f>
        <v>0.2</v>
      </c>
      <c r="G836" s="24">
        <f t="shared" si="53"/>
        <v>4</v>
      </c>
      <c r="H836" s="24">
        <f>IF(G836&gt;G835,H835+C836*F836,C836*F836)</f>
        <v>2.7510875218824182</v>
      </c>
      <c r="I836" s="24">
        <f t="shared" si="54"/>
        <v>0.8</v>
      </c>
      <c r="J836" s="24">
        <f t="shared" si="55"/>
        <v>0</v>
      </c>
      <c r="K836" s="24">
        <f>IF(CurrentMtgRatesDataTable811[[#This Row],[WA CC]]&lt;&gt;0,D835-CurrentMtgRatesDataTable811[[#This Row],[WA CC]],0)</f>
        <v>0</v>
      </c>
      <c r="L836" s="24">
        <f>IF(CurrentMtgRatesDataTable811[[#This Row],[Servicing Spread]]&lt;=0,L835,CurrentMtgRatesDataTable811[[#This Row],[Servicing Spread]])</f>
        <v>0.84709182986651399</v>
      </c>
      <c r="M836" s="24">
        <f>CurrentMtgRatesDataTable811[[#This Row],[SeriesNumValue]]+CurrentMtgRatesDataTable811[[#This Row],[Servicing Spread Non-Zero]]</f>
        <v>4.3197934630698338</v>
      </c>
    </row>
    <row r="837" spans="2:13" x14ac:dyDescent="0.2">
      <c r="B837" s="27" t="s">
        <v>1518</v>
      </c>
      <c r="C837" s="28">
        <v>3.5066269417846301</v>
      </c>
      <c r="D837" s="26">
        <v>4.335</v>
      </c>
      <c r="E837" s="24">
        <f t="shared" si="52"/>
        <v>7</v>
      </c>
      <c r="F837" s="24">
        <f>VLOOKUP(E837,Q$5:R$11,2,FALSE)</f>
        <v>0.2</v>
      </c>
      <c r="G837" s="24">
        <f t="shared" si="53"/>
        <v>5</v>
      </c>
      <c r="H837" s="24">
        <f>IF(G837&gt;G836,H836+C837*F837,C837*F837)</f>
        <v>3.4524129102393442</v>
      </c>
      <c r="I837" s="24">
        <f t="shared" si="54"/>
        <v>1</v>
      </c>
      <c r="J837" s="24">
        <f t="shared" si="55"/>
        <v>3.4524129102393442</v>
      </c>
      <c r="K837" s="24">
        <f>IF(CurrentMtgRatesDataTable811[[#This Row],[WA CC]]&lt;&gt;0,D836-CurrentMtgRatesDataTable811[[#This Row],[WA CC]],0)</f>
        <v>0.88258708976065581</v>
      </c>
      <c r="L837" s="24">
        <f>IF(CurrentMtgRatesDataTable811[[#This Row],[Servicing Spread]]&lt;=0,L836,CurrentMtgRatesDataTable811[[#This Row],[Servicing Spread]])</f>
        <v>0.88258708976065581</v>
      </c>
      <c r="M837" s="24">
        <f>CurrentMtgRatesDataTable811[[#This Row],[SeriesNumValue]]+CurrentMtgRatesDataTable811[[#This Row],[Servicing Spread Non-Zero]]</f>
        <v>4.3892140315452863</v>
      </c>
    </row>
    <row r="838" spans="2:13" x14ac:dyDescent="0.2">
      <c r="B838" s="27" t="s">
        <v>1519</v>
      </c>
      <c r="C838" s="28">
        <v>3.4840318134841599</v>
      </c>
      <c r="D838" s="26">
        <v>4.2649999999999997</v>
      </c>
      <c r="E838" s="24">
        <f t="shared" si="52"/>
        <v>1</v>
      </c>
      <c r="F838" s="24">
        <f>VLOOKUP(E838,Q$5:R$11,2,FALSE)</f>
        <v>0.2</v>
      </c>
      <c r="G838" s="24">
        <f t="shared" si="53"/>
        <v>1</v>
      </c>
      <c r="H838" s="24">
        <f>IF(G838&gt;G837,H837+C838*F838,C838*F838)</f>
        <v>0.69680636269683205</v>
      </c>
      <c r="I838" s="24">
        <f t="shared" si="54"/>
        <v>0.2</v>
      </c>
      <c r="J838" s="24">
        <f t="shared" si="55"/>
        <v>0</v>
      </c>
      <c r="K838" s="24">
        <f>IF(CurrentMtgRatesDataTable811[[#This Row],[WA CC]]&lt;&gt;0,D837-CurrentMtgRatesDataTable811[[#This Row],[WA CC]],0)</f>
        <v>0</v>
      </c>
      <c r="L838" s="24">
        <f>IF(CurrentMtgRatesDataTable811[[#This Row],[Servicing Spread]]&lt;=0,L837,CurrentMtgRatesDataTable811[[#This Row],[Servicing Spread]])</f>
        <v>0.88258708976065581</v>
      </c>
      <c r="M838" s="24">
        <f>CurrentMtgRatesDataTable811[[#This Row],[SeriesNumValue]]+CurrentMtgRatesDataTable811[[#This Row],[Servicing Spread Non-Zero]]</f>
        <v>4.3666189032448157</v>
      </c>
    </row>
    <row r="839" spans="2:13" x14ac:dyDescent="0.2">
      <c r="B839" s="27" t="s">
        <v>1520</v>
      </c>
      <c r="C839" s="28">
        <v>3.4295560527023699</v>
      </c>
      <c r="D839" s="26">
        <v>4.2649999999999997</v>
      </c>
      <c r="E839" s="24">
        <f t="shared" si="52"/>
        <v>2</v>
      </c>
      <c r="F839" s="24">
        <f>VLOOKUP(E839,Q$5:R$11,2,FALSE)</f>
        <v>0.2</v>
      </c>
      <c r="G839" s="24">
        <f t="shared" si="53"/>
        <v>2</v>
      </c>
      <c r="H839" s="24">
        <f>IF(G839&gt;G838,H838+C839*F839,C839*F839)</f>
        <v>1.382717573237306</v>
      </c>
      <c r="I839" s="24">
        <f t="shared" si="54"/>
        <v>0.4</v>
      </c>
      <c r="J839" s="24">
        <f t="shared" si="55"/>
        <v>0</v>
      </c>
      <c r="K839" s="24">
        <f>IF(CurrentMtgRatesDataTable811[[#This Row],[WA CC]]&lt;&gt;0,D838-CurrentMtgRatesDataTable811[[#This Row],[WA CC]],0)</f>
        <v>0</v>
      </c>
      <c r="L839" s="24">
        <f>IF(CurrentMtgRatesDataTable811[[#This Row],[Servicing Spread]]&lt;=0,L838,CurrentMtgRatesDataTable811[[#This Row],[Servicing Spread]])</f>
        <v>0.88258708976065581</v>
      </c>
      <c r="M839" s="24">
        <f>CurrentMtgRatesDataTable811[[#This Row],[SeriesNumValue]]+CurrentMtgRatesDataTable811[[#This Row],[Servicing Spread Non-Zero]]</f>
        <v>4.3121431424630252</v>
      </c>
    </row>
    <row r="840" spans="2:13" x14ac:dyDescent="0.2">
      <c r="B840" s="27" t="s">
        <v>1521</v>
      </c>
      <c r="C840" s="28">
        <v>3.39509627944707</v>
      </c>
      <c r="D840" s="26">
        <v>4.2649999999999997</v>
      </c>
      <c r="E840" s="24">
        <f t="shared" si="52"/>
        <v>5</v>
      </c>
      <c r="F840" s="24">
        <f>VLOOKUP(E840,Q$5:R$11,2,FALSE)</f>
        <v>0.2</v>
      </c>
      <c r="G840" s="24">
        <f t="shared" si="53"/>
        <v>3</v>
      </c>
      <c r="H840" s="24">
        <f>IF(G840&gt;G839,H839+C840*F840,C840*F840)</f>
        <v>2.06173682912672</v>
      </c>
      <c r="I840" s="24">
        <f t="shared" si="54"/>
        <v>0.60000000000000009</v>
      </c>
      <c r="J840" s="24">
        <f t="shared" si="55"/>
        <v>0</v>
      </c>
      <c r="K840" s="24">
        <f>IF(CurrentMtgRatesDataTable811[[#This Row],[WA CC]]&lt;&gt;0,D839-CurrentMtgRatesDataTable811[[#This Row],[WA CC]],0)</f>
        <v>0</v>
      </c>
      <c r="L840" s="24">
        <f>IF(CurrentMtgRatesDataTable811[[#This Row],[Servicing Spread]]&lt;=0,L839,CurrentMtgRatesDataTable811[[#This Row],[Servicing Spread]])</f>
        <v>0.88258708976065581</v>
      </c>
      <c r="M840" s="24">
        <f>CurrentMtgRatesDataTable811[[#This Row],[SeriesNumValue]]+CurrentMtgRatesDataTable811[[#This Row],[Servicing Spread Non-Zero]]</f>
        <v>4.2776833692077254</v>
      </c>
    </row>
    <row r="841" spans="2:13" x14ac:dyDescent="0.2">
      <c r="B841" s="27" t="s">
        <v>1522</v>
      </c>
      <c r="C841" s="28">
        <v>3.3731827621311399</v>
      </c>
      <c r="D841" s="26">
        <v>4.2649999999999997</v>
      </c>
      <c r="E841" s="24">
        <f t="shared" si="52"/>
        <v>6</v>
      </c>
      <c r="F841" s="24">
        <f>VLOOKUP(E841,Q$5:R$11,2,FALSE)</f>
        <v>0.2</v>
      </c>
      <c r="G841" s="24">
        <f t="shared" si="53"/>
        <v>4</v>
      </c>
      <c r="H841" s="24">
        <f>IF(G841&gt;G840,H840+C841*F841,C841*F841)</f>
        <v>2.7363733815529478</v>
      </c>
      <c r="I841" s="24">
        <f t="shared" si="54"/>
        <v>0.8</v>
      </c>
      <c r="J841" s="24">
        <f t="shared" si="55"/>
        <v>0</v>
      </c>
      <c r="K841" s="24">
        <f>IF(CurrentMtgRatesDataTable811[[#This Row],[WA CC]]&lt;&gt;0,D840-CurrentMtgRatesDataTable811[[#This Row],[WA CC]],0)</f>
        <v>0</v>
      </c>
      <c r="L841" s="24">
        <f>IF(CurrentMtgRatesDataTable811[[#This Row],[Servicing Spread]]&lt;=0,L840,CurrentMtgRatesDataTable811[[#This Row],[Servicing Spread]])</f>
        <v>0.88258708976065581</v>
      </c>
      <c r="M841" s="24">
        <f>CurrentMtgRatesDataTable811[[#This Row],[SeriesNumValue]]+CurrentMtgRatesDataTable811[[#This Row],[Servicing Spread Non-Zero]]</f>
        <v>4.2557698518917952</v>
      </c>
    </row>
    <row r="842" spans="2:13" x14ac:dyDescent="0.2">
      <c r="B842" s="27" t="s">
        <v>1523</v>
      </c>
      <c r="C842" s="28">
        <v>3.3750941774744798</v>
      </c>
      <c r="D842" s="26">
        <v>4.2649999999999997</v>
      </c>
      <c r="E842" s="24">
        <f t="shared" si="52"/>
        <v>7</v>
      </c>
      <c r="F842" s="24">
        <f>VLOOKUP(E842,Q$5:R$11,2,FALSE)</f>
        <v>0.2</v>
      </c>
      <c r="G842" s="24">
        <f t="shared" si="53"/>
        <v>5</v>
      </c>
      <c r="H842" s="24">
        <f>IF(G842&gt;G841,H841+C842*F842,C842*F842)</f>
        <v>3.4113922170478439</v>
      </c>
      <c r="I842" s="24">
        <f t="shared" si="54"/>
        <v>1</v>
      </c>
      <c r="J842" s="24">
        <f t="shared" si="55"/>
        <v>3.4113922170478439</v>
      </c>
      <c r="K842" s="24">
        <f>IF(CurrentMtgRatesDataTable811[[#This Row],[WA CC]]&lt;&gt;0,D841-CurrentMtgRatesDataTable811[[#This Row],[WA CC]],0)</f>
        <v>0.85360778295215578</v>
      </c>
      <c r="L842" s="24">
        <f>IF(CurrentMtgRatesDataTable811[[#This Row],[Servicing Spread]]&lt;=0,L841,CurrentMtgRatesDataTable811[[#This Row],[Servicing Spread]])</f>
        <v>0.85360778295215578</v>
      </c>
      <c r="M842" s="24">
        <f>CurrentMtgRatesDataTable811[[#This Row],[SeriesNumValue]]+CurrentMtgRatesDataTable811[[#This Row],[Servicing Spread Non-Zero]]</f>
        <v>4.2287019604266352</v>
      </c>
    </row>
    <row r="843" spans="2:13" x14ac:dyDescent="0.2">
      <c r="B843" s="27" t="s">
        <v>1524</v>
      </c>
      <c r="C843" s="28">
        <v>3.3155243251593798</v>
      </c>
      <c r="D843" s="26">
        <v>4.1949999999999994</v>
      </c>
      <c r="E843" s="24">
        <f t="shared" si="52"/>
        <v>1</v>
      </c>
      <c r="F843" s="24">
        <f>VLOOKUP(E843,Q$5:R$11,2,FALSE)</f>
        <v>0.2</v>
      </c>
      <c r="G843" s="24">
        <f t="shared" si="53"/>
        <v>1</v>
      </c>
      <c r="H843" s="24">
        <f>IF(G843&gt;G842,H842+C843*F843,C843*F843)</f>
        <v>0.66310486503187605</v>
      </c>
      <c r="I843" s="24">
        <f t="shared" si="54"/>
        <v>0.2</v>
      </c>
      <c r="J843" s="24">
        <f t="shared" si="55"/>
        <v>0</v>
      </c>
      <c r="K843" s="24">
        <f>IF(CurrentMtgRatesDataTable811[[#This Row],[WA CC]]&lt;&gt;0,D842-CurrentMtgRatesDataTable811[[#This Row],[WA CC]],0)</f>
        <v>0</v>
      </c>
      <c r="L843" s="24">
        <f>IF(CurrentMtgRatesDataTable811[[#This Row],[Servicing Spread]]&lt;=0,L842,CurrentMtgRatesDataTable811[[#This Row],[Servicing Spread]])</f>
        <v>0.85360778295215578</v>
      </c>
      <c r="M843" s="24">
        <f>CurrentMtgRatesDataTable811[[#This Row],[SeriesNumValue]]+CurrentMtgRatesDataTable811[[#This Row],[Servicing Spread Non-Zero]]</f>
        <v>4.1691321081115351</v>
      </c>
    </row>
    <row r="844" spans="2:13" x14ac:dyDescent="0.2">
      <c r="B844" s="27" t="s">
        <v>1525</v>
      </c>
      <c r="C844" s="28">
        <v>3.31617276522991</v>
      </c>
      <c r="D844" s="26">
        <v>4.1949999999999994</v>
      </c>
      <c r="E844" s="24">
        <f t="shared" si="52"/>
        <v>2</v>
      </c>
      <c r="F844" s="24">
        <f>VLOOKUP(E844,Q$5:R$11,2,FALSE)</f>
        <v>0.2</v>
      </c>
      <c r="G844" s="24">
        <f t="shared" si="53"/>
        <v>2</v>
      </c>
      <c r="H844" s="24">
        <f>IF(G844&gt;G843,H843+C844*F844,C844*F844)</f>
        <v>1.326339418077858</v>
      </c>
      <c r="I844" s="24">
        <f t="shared" si="54"/>
        <v>0.4</v>
      </c>
      <c r="J844" s="24">
        <f t="shared" si="55"/>
        <v>0</v>
      </c>
      <c r="K844" s="24">
        <f>IF(CurrentMtgRatesDataTable811[[#This Row],[WA CC]]&lt;&gt;0,D843-CurrentMtgRatesDataTable811[[#This Row],[WA CC]],0)</f>
        <v>0</v>
      </c>
      <c r="L844" s="24">
        <f>IF(CurrentMtgRatesDataTable811[[#This Row],[Servicing Spread]]&lt;=0,L843,CurrentMtgRatesDataTable811[[#This Row],[Servicing Spread]])</f>
        <v>0.85360778295215578</v>
      </c>
      <c r="M844" s="24">
        <f>CurrentMtgRatesDataTable811[[#This Row],[SeriesNumValue]]+CurrentMtgRatesDataTable811[[#This Row],[Servicing Spread Non-Zero]]</f>
        <v>4.1697805481820662</v>
      </c>
    </row>
    <row r="845" spans="2:13" x14ac:dyDescent="0.2">
      <c r="B845" s="27" t="s">
        <v>1526</v>
      </c>
      <c r="C845" s="28">
        <v>3.3408272423510099</v>
      </c>
      <c r="D845" s="26">
        <v>4.1949999999999994</v>
      </c>
      <c r="E845" s="24">
        <f t="shared" si="52"/>
        <v>5</v>
      </c>
      <c r="F845" s="24">
        <f>VLOOKUP(E845,Q$5:R$11,2,FALSE)</f>
        <v>0.2</v>
      </c>
      <c r="G845" s="24">
        <f t="shared" si="53"/>
        <v>3</v>
      </c>
      <c r="H845" s="24">
        <f>IF(G845&gt;G844,H844+C845*F845,C845*F845)</f>
        <v>1.99450486654806</v>
      </c>
      <c r="I845" s="24">
        <f t="shared" si="54"/>
        <v>0.60000000000000009</v>
      </c>
      <c r="J845" s="24">
        <f t="shared" si="55"/>
        <v>0</v>
      </c>
      <c r="K845" s="24">
        <f>IF(CurrentMtgRatesDataTable811[[#This Row],[WA CC]]&lt;&gt;0,D844-CurrentMtgRatesDataTable811[[#This Row],[WA CC]],0)</f>
        <v>0</v>
      </c>
      <c r="L845" s="24">
        <f>IF(CurrentMtgRatesDataTable811[[#This Row],[Servicing Spread]]&lt;=0,L844,CurrentMtgRatesDataTable811[[#This Row],[Servicing Spread]])</f>
        <v>0.85360778295215578</v>
      </c>
      <c r="M845" s="24">
        <f>CurrentMtgRatesDataTable811[[#This Row],[SeriesNumValue]]+CurrentMtgRatesDataTable811[[#This Row],[Servicing Spread Non-Zero]]</f>
        <v>4.1944350253031661</v>
      </c>
    </row>
    <row r="846" spans="2:13" x14ac:dyDescent="0.2">
      <c r="B846" s="27" t="s">
        <v>1527</v>
      </c>
      <c r="C846" s="28">
        <v>3.33793129587505</v>
      </c>
      <c r="D846" s="26">
        <v>4.1949999999999994</v>
      </c>
      <c r="E846" s="24">
        <f t="shared" si="52"/>
        <v>6</v>
      </c>
      <c r="F846" s="24">
        <f>VLOOKUP(E846,Q$5:R$11,2,FALSE)</f>
        <v>0.2</v>
      </c>
      <c r="G846" s="24">
        <f t="shared" si="53"/>
        <v>4</v>
      </c>
      <c r="H846" s="24">
        <f>IF(G846&gt;G845,H845+C846*F846,C846*F846)</f>
        <v>2.6620911257230699</v>
      </c>
      <c r="I846" s="24">
        <f t="shared" si="54"/>
        <v>0.8</v>
      </c>
      <c r="J846" s="24">
        <f t="shared" si="55"/>
        <v>0</v>
      </c>
      <c r="K846" s="24">
        <f>IF(CurrentMtgRatesDataTable811[[#This Row],[WA CC]]&lt;&gt;0,D845-CurrentMtgRatesDataTable811[[#This Row],[WA CC]],0)</f>
        <v>0</v>
      </c>
      <c r="L846" s="24">
        <f>IF(CurrentMtgRatesDataTable811[[#This Row],[Servicing Spread]]&lt;=0,L845,CurrentMtgRatesDataTable811[[#This Row],[Servicing Spread]])</f>
        <v>0.85360778295215578</v>
      </c>
      <c r="M846" s="24">
        <f>CurrentMtgRatesDataTable811[[#This Row],[SeriesNumValue]]+CurrentMtgRatesDataTable811[[#This Row],[Servicing Spread Non-Zero]]</f>
        <v>4.1915390788272058</v>
      </c>
    </row>
    <row r="847" spans="2:13" x14ac:dyDescent="0.2">
      <c r="B847" s="27" t="s">
        <v>1528</v>
      </c>
      <c r="C847" s="28">
        <v>3.35080102179215</v>
      </c>
      <c r="D847" s="26">
        <v>4.1949999999999994</v>
      </c>
      <c r="E847" s="24">
        <f t="shared" si="52"/>
        <v>7</v>
      </c>
      <c r="F847" s="24">
        <f>VLOOKUP(E847,Q$5:R$11,2,FALSE)</f>
        <v>0.2</v>
      </c>
      <c r="G847" s="24">
        <f t="shared" si="53"/>
        <v>5</v>
      </c>
      <c r="H847" s="24">
        <f>IF(G847&gt;G846,H846+C847*F847,C847*F847)</f>
        <v>3.3322513300815002</v>
      </c>
      <c r="I847" s="24">
        <f t="shared" si="54"/>
        <v>1</v>
      </c>
      <c r="J847" s="24">
        <f t="shared" si="55"/>
        <v>3.3322513300815002</v>
      </c>
      <c r="K847" s="24">
        <f>IF(CurrentMtgRatesDataTable811[[#This Row],[WA CC]]&lt;&gt;0,D846-CurrentMtgRatesDataTable811[[#This Row],[WA CC]],0)</f>
        <v>0.86274866991849919</v>
      </c>
      <c r="L847" s="24">
        <f>IF(CurrentMtgRatesDataTable811[[#This Row],[Servicing Spread]]&lt;=0,L846,CurrentMtgRatesDataTable811[[#This Row],[Servicing Spread]])</f>
        <v>0.86274866991849919</v>
      </c>
      <c r="M847" s="24">
        <f>CurrentMtgRatesDataTable811[[#This Row],[SeriesNumValue]]+CurrentMtgRatesDataTable811[[#This Row],[Servicing Spread Non-Zero]]</f>
        <v>4.2135496917106492</v>
      </c>
    </row>
    <row r="848" spans="2:13" x14ac:dyDescent="0.2">
      <c r="B848" s="27" t="s">
        <v>1529</v>
      </c>
      <c r="C848" s="28">
        <v>3.40802093158428</v>
      </c>
      <c r="D848" s="26">
        <v>4.2300000000000004</v>
      </c>
      <c r="E848" s="24">
        <f t="shared" si="52"/>
        <v>1</v>
      </c>
      <c r="F848" s="24">
        <f>VLOOKUP(E848,Q$5:R$11,2,FALSE)</f>
        <v>0.2</v>
      </c>
      <c r="G848" s="24">
        <f t="shared" si="53"/>
        <v>1</v>
      </c>
      <c r="H848" s="24">
        <f>IF(G848&gt;G847,H847+C848*F848,C848*F848)</f>
        <v>0.68160418631685604</v>
      </c>
      <c r="I848" s="24">
        <f t="shared" si="54"/>
        <v>0.2</v>
      </c>
      <c r="J848" s="24">
        <f t="shared" si="55"/>
        <v>0</v>
      </c>
      <c r="K848" s="24">
        <f>IF(CurrentMtgRatesDataTable811[[#This Row],[WA CC]]&lt;&gt;0,D847-CurrentMtgRatesDataTable811[[#This Row],[WA CC]],0)</f>
        <v>0</v>
      </c>
      <c r="L848" s="24">
        <f>IF(CurrentMtgRatesDataTable811[[#This Row],[Servicing Spread]]&lt;=0,L847,CurrentMtgRatesDataTable811[[#This Row],[Servicing Spread]])</f>
        <v>0.86274866991849919</v>
      </c>
      <c r="M848" s="24">
        <f>CurrentMtgRatesDataTable811[[#This Row],[SeriesNumValue]]+CurrentMtgRatesDataTable811[[#This Row],[Servicing Spread Non-Zero]]</f>
        <v>4.2707696015027796</v>
      </c>
    </row>
    <row r="849" spans="2:13" x14ac:dyDescent="0.2">
      <c r="B849" s="27" t="s">
        <v>1530</v>
      </c>
      <c r="C849" s="28">
        <v>3.4214944697037502</v>
      </c>
      <c r="D849" s="26">
        <v>4.2300000000000004</v>
      </c>
      <c r="E849" s="24">
        <f t="shared" si="52"/>
        <v>5</v>
      </c>
      <c r="F849" s="24">
        <f>VLOOKUP(E849,Q$5:R$11,2,FALSE)</f>
        <v>0.2</v>
      </c>
      <c r="G849" s="24">
        <f t="shared" si="53"/>
        <v>2</v>
      </c>
      <c r="H849" s="24">
        <f>IF(G849&gt;G848,H848+C849*F849,C849*F849)</f>
        <v>1.3659030802576062</v>
      </c>
      <c r="I849" s="24">
        <f t="shared" si="54"/>
        <v>0.4</v>
      </c>
      <c r="J849" s="24">
        <f t="shared" si="55"/>
        <v>0</v>
      </c>
      <c r="K849" s="24">
        <f>IF(CurrentMtgRatesDataTable811[[#This Row],[WA CC]]&lt;&gt;0,D848-CurrentMtgRatesDataTable811[[#This Row],[WA CC]],0)</f>
        <v>0</v>
      </c>
      <c r="L849" s="24">
        <f>IF(CurrentMtgRatesDataTable811[[#This Row],[Servicing Spread]]&lt;=0,L848,CurrentMtgRatesDataTable811[[#This Row],[Servicing Spread]])</f>
        <v>0.86274866991849919</v>
      </c>
      <c r="M849" s="24">
        <f>CurrentMtgRatesDataTable811[[#This Row],[SeriesNumValue]]+CurrentMtgRatesDataTable811[[#This Row],[Servicing Spread Non-Zero]]</f>
        <v>4.2842431396222498</v>
      </c>
    </row>
    <row r="850" spans="2:13" x14ac:dyDescent="0.2">
      <c r="B850" s="27" t="s">
        <v>1531</v>
      </c>
      <c r="C850" s="28">
        <v>3.41581155049382</v>
      </c>
      <c r="D850" s="26">
        <v>4.2300000000000004</v>
      </c>
      <c r="E850" s="24">
        <f t="shared" si="52"/>
        <v>6</v>
      </c>
      <c r="F850" s="24">
        <f>VLOOKUP(E850,Q$5:R$11,2,FALSE)</f>
        <v>0.2</v>
      </c>
      <c r="G850" s="24">
        <f t="shared" si="53"/>
        <v>3</v>
      </c>
      <c r="H850" s="24">
        <f>IF(G850&gt;G849,H849+C850*F850,C850*F850)</f>
        <v>2.04906539035637</v>
      </c>
      <c r="I850" s="24">
        <f t="shared" si="54"/>
        <v>0.60000000000000009</v>
      </c>
      <c r="J850" s="24">
        <f t="shared" si="55"/>
        <v>0</v>
      </c>
      <c r="K850" s="24">
        <f>IF(CurrentMtgRatesDataTable811[[#This Row],[WA CC]]&lt;&gt;0,D849-CurrentMtgRatesDataTable811[[#This Row],[WA CC]],0)</f>
        <v>0</v>
      </c>
      <c r="L850" s="24">
        <f>IF(CurrentMtgRatesDataTable811[[#This Row],[Servicing Spread]]&lt;=0,L849,CurrentMtgRatesDataTable811[[#This Row],[Servicing Spread]])</f>
        <v>0.86274866991849919</v>
      </c>
      <c r="M850" s="24">
        <f>CurrentMtgRatesDataTable811[[#This Row],[SeriesNumValue]]+CurrentMtgRatesDataTable811[[#This Row],[Servicing Spread Non-Zero]]</f>
        <v>4.2785602204123192</v>
      </c>
    </row>
    <row r="851" spans="2:13" x14ac:dyDescent="0.2">
      <c r="B851" s="27" t="s">
        <v>1532</v>
      </c>
      <c r="C851" s="28">
        <v>3.3712594555921802</v>
      </c>
      <c r="D851" s="26">
        <v>4.2300000000000004</v>
      </c>
      <c r="E851" s="24">
        <f t="shared" si="52"/>
        <v>7</v>
      </c>
      <c r="F851" s="24">
        <f>VLOOKUP(E851,Q$5:R$11,2,FALSE)</f>
        <v>0.2</v>
      </c>
      <c r="G851" s="24">
        <f t="shared" si="53"/>
        <v>4</v>
      </c>
      <c r="H851" s="24">
        <f>IF(G851&gt;G850,H850+C851*F851,C851*F851)</f>
        <v>2.7233172814748059</v>
      </c>
      <c r="I851" s="24">
        <f t="shared" si="54"/>
        <v>0.8</v>
      </c>
      <c r="J851" s="24">
        <f t="shared" si="55"/>
        <v>3.4041466018435074</v>
      </c>
      <c r="K851" s="24">
        <f>IF(CurrentMtgRatesDataTable811[[#This Row],[WA CC]]&lt;&gt;0,D850-CurrentMtgRatesDataTable811[[#This Row],[WA CC]],0)</f>
        <v>0.82585339815649306</v>
      </c>
      <c r="L851" s="24">
        <f>IF(CurrentMtgRatesDataTable811[[#This Row],[Servicing Spread]]&lt;=0,L850,CurrentMtgRatesDataTable811[[#This Row],[Servicing Spread]])</f>
        <v>0.82585339815649306</v>
      </c>
      <c r="M851" s="24">
        <f>CurrentMtgRatesDataTable811[[#This Row],[SeriesNumValue]]+CurrentMtgRatesDataTable811[[#This Row],[Servicing Spread Non-Zero]]</f>
        <v>4.1971128537486733</v>
      </c>
    </row>
    <row r="852" spans="2:13" x14ac:dyDescent="0.2">
      <c r="B852" s="27" t="s">
        <v>1533</v>
      </c>
      <c r="C852" s="28">
        <v>3.3653149178353798</v>
      </c>
      <c r="D852" s="26">
        <v>4.2149999999999999</v>
      </c>
      <c r="E852" s="24">
        <f t="shared" si="52"/>
        <v>1</v>
      </c>
      <c r="F852" s="24">
        <f>VLOOKUP(E852,Q$5:R$11,2,FALSE)</f>
        <v>0.2</v>
      </c>
      <c r="G852" s="24">
        <f t="shared" si="53"/>
        <v>1</v>
      </c>
      <c r="H852" s="24">
        <f>IF(G852&gt;G851,H851+C852*F852,C852*F852)</f>
        <v>0.67306298356707606</v>
      </c>
      <c r="I852" s="24">
        <f t="shared" si="54"/>
        <v>0.2</v>
      </c>
      <c r="J852" s="24">
        <f t="shared" si="55"/>
        <v>0</v>
      </c>
      <c r="K852" s="24">
        <f>IF(CurrentMtgRatesDataTable811[[#This Row],[WA CC]]&lt;&gt;0,D851-CurrentMtgRatesDataTable811[[#This Row],[WA CC]],0)</f>
        <v>0</v>
      </c>
      <c r="L852" s="24">
        <f>IF(CurrentMtgRatesDataTable811[[#This Row],[Servicing Spread]]&lt;=0,L851,CurrentMtgRatesDataTable811[[#This Row],[Servicing Spread]])</f>
        <v>0.82585339815649306</v>
      </c>
      <c r="M852" s="24">
        <f>CurrentMtgRatesDataTable811[[#This Row],[SeriesNumValue]]+CurrentMtgRatesDataTable811[[#This Row],[Servicing Spread Non-Zero]]</f>
        <v>4.1911683159918729</v>
      </c>
    </row>
    <row r="853" spans="2:13" x14ac:dyDescent="0.2">
      <c r="B853" s="27" t="s">
        <v>1534</v>
      </c>
      <c r="C853" s="28">
        <v>3.34407232938596</v>
      </c>
      <c r="D853" s="26">
        <v>4.2149999999999999</v>
      </c>
      <c r="E853" s="24">
        <f t="shared" si="52"/>
        <v>2</v>
      </c>
      <c r="F853" s="24">
        <f>VLOOKUP(E853,Q$5:R$11,2,FALSE)</f>
        <v>0.2</v>
      </c>
      <c r="G853" s="24">
        <f t="shared" si="53"/>
        <v>2</v>
      </c>
      <c r="H853" s="24">
        <f>IF(G853&gt;G852,H852+C853*F853,C853*F853)</f>
        <v>1.3418774494442682</v>
      </c>
      <c r="I853" s="24">
        <f t="shared" si="54"/>
        <v>0.4</v>
      </c>
      <c r="J853" s="24">
        <f t="shared" si="55"/>
        <v>0</v>
      </c>
      <c r="K853" s="24">
        <f>IF(CurrentMtgRatesDataTable811[[#This Row],[WA CC]]&lt;&gt;0,D852-CurrentMtgRatesDataTable811[[#This Row],[WA CC]],0)</f>
        <v>0</v>
      </c>
      <c r="L853" s="24">
        <f>IF(CurrentMtgRatesDataTable811[[#This Row],[Servicing Spread]]&lt;=0,L852,CurrentMtgRatesDataTable811[[#This Row],[Servicing Spread]])</f>
        <v>0.82585339815649306</v>
      </c>
      <c r="M853" s="24">
        <f>CurrentMtgRatesDataTable811[[#This Row],[SeriesNumValue]]+CurrentMtgRatesDataTable811[[#This Row],[Servicing Spread Non-Zero]]</f>
        <v>4.1699257275424531</v>
      </c>
    </row>
    <row r="854" spans="2:13" x14ac:dyDescent="0.2">
      <c r="B854" s="27" t="s">
        <v>1535</v>
      </c>
      <c r="C854" s="28">
        <v>3.3514611406408399</v>
      </c>
      <c r="D854" s="26">
        <v>4.2149999999999999</v>
      </c>
      <c r="E854" s="24">
        <f t="shared" si="52"/>
        <v>5</v>
      </c>
      <c r="F854" s="24">
        <f>VLOOKUP(E854,Q$5:R$11,2,FALSE)</f>
        <v>0.2</v>
      </c>
      <c r="G854" s="24">
        <f t="shared" si="53"/>
        <v>3</v>
      </c>
      <c r="H854" s="24">
        <f>IF(G854&gt;G853,H853+C854*F854,C854*F854)</f>
        <v>2.0121696775724365</v>
      </c>
      <c r="I854" s="24">
        <f t="shared" si="54"/>
        <v>0.60000000000000009</v>
      </c>
      <c r="J854" s="24">
        <f t="shared" si="55"/>
        <v>0</v>
      </c>
      <c r="K854" s="24">
        <f>IF(CurrentMtgRatesDataTable811[[#This Row],[WA CC]]&lt;&gt;0,D853-CurrentMtgRatesDataTable811[[#This Row],[WA CC]],0)</f>
        <v>0</v>
      </c>
      <c r="L854" s="24">
        <f>IF(CurrentMtgRatesDataTable811[[#This Row],[Servicing Spread]]&lt;=0,L853,CurrentMtgRatesDataTable811[[#This Row],[Servicing Spread]])</f>
        <v>0.82585339815649306</v>
      </c>
      <c r="M854" s="24">
        <f>CurrentMtgRatesDataTable811[[#This Row],[SeriesNumValue]]+CurrentMtgRatesDataTable811[[#This Row],[Servicing Spread Non-Zero]]</f>
        <v>4.1773145387973329</v>
      </c>
    </row>
    <row r="855" spans="2:13" x14ac:dyDescent="0.2">
      <c r="B855" s="27" t="s">
        <v>1536</v>
      </c>
      <c r="C855" s="28">
        <v>3.3733743387763999</v>
      </c>
      <c r="D855" s="26">
        <v>4.2149999999999999</v>
      </c>
      <c r="E855" s="24">
        <f t="shared" si="52"/>
        <v>6</v>
      </c>
      <c r="F855" s="24">
        <f>VLOOKUP(E855,Q$5:R$11,2,FALSE)</f>
        <v>0.2</v>
      </c>
      <c r="G855" s="24">
        <f t="shared" si="53"/>
        <v>4</v>
      </c>
      <c r="H855" s="24">
        <f>IF(G855&gt;G854,H854+C855*F855,C855*F855)</f>
        <v>2.6868445453277165</v>
      </c>
      <c r="I855" s="24">
        <f t="shared" si="54"/>
        <v>0.8</v>
      </c>
      <c r="J855" s="24">
        <f t="shared" si="55"/>
        <v>0</v>
      </c>
      <c r="K855" s="24">
        <f>IF(CurrentMtgRatesDataTable811[[#This Row],[WA CC]]&lt;&gt;0,D854-CurrentMtgRatesDataTable811[[#This Row],[WA CC]],0)</f>
        <v>0</v>
      </c>
      <c r="L855" s="24">
        <f>IF(CurrentMtgRatesDataTable811[[#This Row],[Servicing Spread]]&lt;=0,L854,CurrentMtgRatesDataTable811[[#This Row],[Servicing Spread]])</f>
        <v>0.82585339815649306</v>
      </c>
      <c r="M855" s="24">
        <f>CurrentMtgRatesDataTable811[[#This Row],[SeriesNumValue]]+CurrentMtgRatesDataTable811[[#This Row],[Servicing Spread Non-Zero]]</f>
        <v>4.199227736932893</v>
      </c>
    </row>
    <row r="856" spans="2:13" x14ac:dyDescent="0.2">
      <c r="B856" s="27" t="s">
        <v>1537</v>
      </c>
      <c r="C856" s="28">
        <v>3.3274269650204</v>
      </c>
      <c r="D856" s="26">
        <v>4.2149999999999999</v>
      </c>
      <c r="E856" s="24">
        <f t="shared" si="52"/>
        <v>7</v>
      </c>
      <c r="F856" s="24">
        <f>VLOOKUP(E856,Q$5:R$11,2,FALSE)</f>
        <v>0.2</v>
      </c>
      <c r="G856" s="24">
        <f t="shared" si="53"/>
        <v>5</v>
      </c>
      <c r="H856" s="24">
        <f>IF(G856&gt;G855,H855+C856*F856,C856*F856)</f>
        <v>3.3523299383317964</v>
      </c>
      <c r="I856" s="24">
        <f t="shared" si="54"/>
        <v>1</v>
      </c>
      <c r="J856" s="24">
        <f t="shared" si="55"/>
        <v>3.3523299383317964</v>
      </c>
      <c r="K856" s="24">
        <f>IF(CurrentMtgRatesDataTable811[[#This Row],[WA CC]]&lt;&gt;0,D855-CurrentMtgRatesDataTable811[[#This Row],[WA CC]],0)</f>
        <v>0.86267006166820348</v>
      </c>
      <c r="L856" s="24">
        <f>IF(CurrentMtgRatesDataTable811[[#This Row],[Servicing Spread]]&lt;=0,L855,CurrentMtgRatesDataTable811[[#This Row],[Servicing Spread]])</f>
        <v>0.86267006166820348</v>
      </c>
      <c r="M856" s="24">
        <f>CurrentMtgRatesDataTable811[[#This Row],[SeriesNumValue]]+CurrentMtgRatesDataTable811[[#This Row],[Servicing Spread Non-Zero]]</f>
        <v>4.1900970266886031</v>
      </c>
    </row>
    <row r="857" spans="2:13" x14ac:dyDescent="0.2">
      <c r="B857" s="27" t="s">
        <v>1538</v>
      </c>
      <c r="C857" s="28">
        <v>3.2875255326595201</v>
      </c>
      <c r="D857" s="26">
        <v>4.1100000000000003</v>
      </c>
      <c r="E857" s="24">
        <f t="shared" si="52"/>
        <v>1</v>
      </c>
      <c r="F857" s="24">
        <f>VLOOKUP(E857,Q$5:R$11,2,FALSE)</f>
        <v>0.2</v>
      </c>
      <c r="G857" s="24">
        <f t="shared" si="53"/>
        <v>1</v>
      </c>
      <c r="H857" s="24">
        <f>IF(G857&gt;G856,H856+C857*F857,C857*F857)</f>
        <v>0.65750510653190408</v>
      </c>
      <c r="I857" s="24">
        <f t="shared" si="54"/>
        <v>0.2</v>
      </c>
      <c r="J857" s="24">
        <f t="shared" si="55"/>
        <v>0</v>
      </c>
      <c r="K857" s="24">
        <f>IF(CurrentMtgRatesDataTable811[[#This Row],[WA CC]]&lt;&gt;0,D856-CurrentMtgRatesDataTable811[[#This Row],[WA CC]],0)</f>
        <v>0</v>
      </c>
      <c r="L857" s="24">
        <f>IF(CurrentMtgRatesDataTable811[[#This Row],[Servicing Spread]]&lt;=0,L856,CurrentMtgRatesDataTable811[[#This Row],[Servicing Spread]])</f>
        <v>0.86267006166820348</v>
      </c>
      <c r="M857" s="24">
        <f>CurrentMtgRatesDataTable811[[#This Row],[SeriesNumValue]]+CurrentMtgRatesDataTable811[[#This Row],[Servicing Spread Non-Zero]]</f>
        <v>4.1501955943277231</v>
      </c>
    </row>
    <row r="858" spans="2:13" x14ac:dyDescent="0.2">
      <c r="B858" s="27" t="s">
        <v>1539</v>
      </c>
      <c r="C858" s="28">
        <v>3.27582122809376</v>
      </c>
      <c r="D858" s="26">
        <v>4.1100000000000003</v>
      </c>
      <c r="E858" s="24">
        <f t="shared" si="52"/>
        <v>2</v>
      </c>
      <c r="F858" s="24">
        <f>VLOOKUP(E858,Q$5:R$11,2,FALSE)</f>
        <v>0.2</v>
      </c>
      <c r="G858" s="24">
        <f t="shared" si="53"/>
        <v>2</v>
      </c>
      <c r="H858" s="24">
        <f>IF(G858&gt;G857,H857+C858*F858,C858*F858)</f>
        <v>1.3126693521506563</v>
      </c>
      <c r="I858" s="24">
        <f t="shared" si="54"/>
        <v>0.4</v>
      </c>
      <c r="J858" s="24">
        <f t="shared" si="55"/>
        <v>0</v>
      </c>
      <c r="K858" s="24">
        <f>IF(CurrentMtgRatesDataTable811[[#This Row],[WA CC]]&lt;&gt;0,D857-CurrentMtgRatesDataTable811[[#This Row],[WA CC]],0)</f>
        <v>0</v>
      </c>
      <c r="L858" s="24">
        <f>IF(CurrentMtgRatesDataTable811[[#This Row],[Servicing Spread]]&lt;=0,L857,CurrentMtgRatesDataTable811[[#This Row],[Servicing Spread]])</f>
        <v>0.86267006166820348</v>
      </c>
      <c r="M858" s="24">
        <f>CurrentMtgRatesDataTable811[[#This Row],[SeriesNumValue]]+CurrentMtgRatesDataTable811[[#This Row],[Servicing Spread Non-Zero]]</f>
        <v>4.1384912897619639</v>
      </c>
    </row>
    <row r="859" spans="2:13" x14ac:dyDescent="0.2">
      <c r="B859" s="27" t="s">
        <v>1540</v>
      </c>
      <c r="C859" s="28">
        <v>3.28849941945206</v>
      </c>
      <c r="D859" s="26">
        <v>4.1100000000000003</v>
      </c>
      <c r="E859" s="24">
        <f t="shared" si="52"/>
        <v>5</v>
      </c>
      <c r="F859" s="24">
        <f>VLOOKUP(E859,Q$5:R$11,2,FALSE)</f>
        <v>0.2</v>
      </c>
      <c r="G859" s="24">
        <f t="shared" si="53"/>
        <v>3</v>
      </c>
      <c r="H859" s="24">
        <f>IF(G859&gt;G858,H858+C859*F859,C859*F859)</f>
        <v>1.9703692360410683</v>
      </c>
      <c r="I859" s="24">
        <f t="shared" si="54"/>
        <v>0.60000000000000009</v>
      </c>
      <c r="J859" s="24">
        <f t="shared" si="55"/>
        <v>0</v>
      </c>
      <c r="K859" s="24">
        <f>IF(CurrentMtgRatesDataTable811[[#This Row],[WA CC]]&lt;&gt;0,D858-CurrentMtgRatesDataTable811[[#This Row],[WA CC]],0)</f>
        <v>0</v>
      </c>
      <c r="L859" s="24">
        <f>IF(CurrentMtgRatesDataTable811[[#This Row],[Servicing Spread]]&lt;=0,L858,CurrentMtgRatesDataTable811[[#This Row],[Servicing Spread]])</f>
        <v>0.86267006166820348</v>
      </c>
      <c r="M859" s="24">
        <f>CurrentMtgRatesDataTable811[[#This Row],[SeriesNumValue]]+CurrentMtgRatesDataTable811[[#This Row],[Servicing Spread Non-Zero]]</f>
        <v>4.1511694811202631</v>
      </c>
    </row>
    <row r="860" spans="2:13" x14ac:dyDescent="0.2">
      <c r="B860" s="27" t="s">
        <v>1541</v>
      </c>
      <c r="C860" s="28">
        <v>3.2676928756403698</v>
      </c>
      <c r="D860" s="26">
        <v>4.1100000000000003</v>
      </c>
      <c r="E860" s="24">
        <f t="shared" si="52"/>
        <v>6</v>
      </c>
      <c r="F860" s="24">
        <f>VLOOKUP(E860,Q$5:R$11,2,FALSE)</f>
        <v>0.2</v>
      </c>
      <c r="G860" s="24">
        <f t="shared" si="53"/>
        <v>4</v>
      </c>
      <c r="H860" s="24">
        <f>IF(G860&gt;G859,H859+C860*F860,C860*F860)</f>
        <v>2.6239078111691425</v>
      </c>
      <c r="I860" s="24">
        <f t="shared" si="54"/>
        <v>0.8</v>
      </c>
      <c r="J860" s="24">
        <f t="shared" si="55"/>
        <v>0</v>
      </c>
      <c r="K860" s="24">
        <f>IF(CurrentMtgRatesDataTable811[[#This Row],[WA CC]]&lt;&gt;0,D859-CurrentMtgRatesDataTable811[[#This Row],[WA CC]],0)</f>
        <v>0</v>
      </c>
      <c r="L860" s="24">
        <f>IF(CurrentMtgRatesDataTable811[[#This Row],[Servicing Spread]]&lt;=0,L859,CurrentMtgRatesDataTable811[[#This Row],[Servicing Spread]])</f>
        <v>0.86267006166820348</v>
      </c>
      <c r="M860" s="24">
        <f>CurrentMtgRatesDataTable811[[#This Row],[SeriesNumValue]]+CurrentMtgRatesDataTable811[[#This Row],[Servicing Spread Non-Zero]]</f>
        <v>4.1303629373085737</v>
      </c>
    </row>
    <row r="861" spans="2:13" x14ac:dyDescent="0.2">
      <c r="B861" s="27" t="s">
        <v>1542</v>
      </c>
      <c r="C861" s="28">
        <v>3.2365593112173601</v>
      </c>
      <c r="D861" s="26">
        <v>4.1100000000000003</v>
      </c>
      <c r="E861" s="24">
        <f t="shared" si="52"/>
        <v>7</v>
      </c>
      <c r="F861" s="24">
        <f>VLOOKUP(E861,Q$5:R$11,2,FALSE)</f>
        <v>0.2</v>
      </c>
      <c r="G861" s="24">
        <f t="shared" si="53"/>
        <v>5</v>
      </c>
      <c r="H861" s="24">
        <f>IF(G861&gt;G860,H860+C861*F861,C861*F861)</f>
        <v>3.2712196734126144</v>
      </c>
      <c r="I861" s="24">
        <f t="shared" si="54"/>
        <v>1</v>
      </c>
      <c r="J861" s="24">
        <f t="shared" si="55"/>
        <v>3.2712196734126144</v>
      </c>
      <c r="K861" s="24">
        <f>IF(CurrentMtgRatesDataTable811[[#This Row],[WA CC]]&lt;&gt;0,D860-CurrentMtgRatesDataTable811[[#This Row],[WA CC]],0)</f>
        <v>0.83878032658738588</v>
      </c>
      <c r="L861" s="24">
        <f>IF(CurrentMtgRatesDataTable811[[#This Row],[Servicing Spread]]&lt;=0,L860,CurrentMtgRatesDataTable811[[#This Row],[Servicing Spread]])</f>
        <v>0.83878032658738588</v>
      </c>
      <c r="M861" s="24">
        <f>CurrentMtgRatesDataTable811[[#This Row],[SeriesNumValue]]+CurrentMtgRatesDataTable811[[#This Row],[Servicing Spread Non-Zero]]</f>
        <v>4.0753396378047455</v>
      </c>
    </row>
    <row r="862" spans="2:13" x14ac:dyDescent="0.2">
      <c r="B862" s="27" t="s">
        <v>1543</v>
      </c>
      <c r="C862" s="28">
        <v>3.2302009300383201</v>
      </c>
      <c r="D862" s="26">
        <v>4.1000000000000005</v>
      </c>
      <c r="E862" s="24">
        <f t="shared" si="52"/>
        <v>1</v>
      </c>
      <c r="F862" s="24">
        <f>VLOOKUP(E862,Q$5:R$11,2,FALSE)</f>
        <v>0.2</v>
      </c>
      <c r="G862" s="24">
        <f t="shared" si="53"/>
        <v>1</v>
      </c>
      <c r="H862" s="24">
        <f>IF(G862&gt;G861,H861+C862*F862,C862*F862)</f>
        <v>0.64604018600766411</v>
      </c>
      <c r="I862" s="24">
        <f t="shared" si="54"/>
        <v>0.2</v>
      </c>
      <c r="J862" s="24">
        <f t="shared" si="55"/>
        <v>0</v>
      </c>
      <c r="K862" s="24">
        <f>IF(CurrentMtgRatesDataTable811[[#This Row],[WA CC]]&lt;&gt;0,D861-CurrentMtgRatesDataTable811[[#This Row],[WA CC]],0)</f>
        <v>0</v>
      </c>
      <c r="L862" s="24">
        <f>IF(CurrentMtgRatesDataTable811[[#This Row],[Servicing Spread]]&lt;=0,L861,CurrentMtgRatesDataTable811[[#This Row],[Servicing Spread]])</f>
        <v>0.83878032658738588</v>
      </c>
      <c r="M862" s="24">
        <f>CurrentMtgRatesDataTable811[[#This Row],[SeriesNumValue]]+CurrentMtgRatesDataTable811[[#This Row],[Servicing Spread Non-Zero]]</f>
        <v>4.0689812566257064</v>
      </c>
    </row>
    <row r="863" spans="2:13" x14ac:dyDescent="0.2">
      <c r="B863" s="27" t="s">
        <v>1544</v>
      </c>
      <c r="C863" s="28">
        <v>3.26793441628852</v>
      </c>
      <c r="D863" s="26">
        <v>4.1000000000000005</v>
      </c>
      <c r="E863" s="24">
        <f t="shared" si="52"/>
        <v>2</v>
      </c>
      <c r="F863" s="24">
        <f>VLOOKUP(E863,Q$5:R$11,2,FALSE)</f>
        <v>0.2</v>
      </c>
      <c r="G863" s="24">
        <f t="shared" si="53"/>
        <v>2</v>
      </c>
      <c r="H863" s="24">
        <f>IF(G863&gt;G862,H862+C863*F863,C863*F863)</f>
        <v>1.2996270692653682</v>
      </c>
      <c r="I863" s="24">
        <f t="shared" si="54"/>
        <v>0.4</v>
      </c>
      <c r="J863" s="24">
        <f t="shared" si="55"/>
        <v>0</v>
      </c>
      <c r="K863" s="24">
        <f>IF(CurrentMtgRatesDataTable811[[#This Row],[WA CC]]&lt;&gt;0,D862-CurrentMtgRatesDataTable811[[#This Row],[WA CC]],0)</f>
        <v>0</v>
      </c>
      <c r="L863" s="24">
        <f>IF(CurrentMtgRatesDataTable811[[#This Row],[Servicing Spread]]&lt;=0,L862,CurrentMtgRatesDataTable811[[#This Row],[Servicing Spread]])</f>
        <v>0.83878032658738588</v>
      </c>
      <c r="M863" s="24">
        <f>CurrentMtgRatesDataTable811[[#This Row],[SeriesNumValue]]+CurrentMtgRatesDataTable811[[#This Row],[Servicing Spread Non-Zero]]</f>
        <v>4.1067147428759059</v>
      </c>
    </row>
    <row r="864" spans="2:13" x14ac:dyDescent="0.2">
      <c r="B864" s="27" t="s">
        <v>1545</v>
      </c>
      <c r="C864" s="28">
        <v>3.2957313796738501</v>
      </c>
      <c r="D864" s="26">
        <v>4.1000000000000005</v>
      </c>
      <c r="E864" s="24">
        <f t="shared" si="52"/>
        <v>5</v>
      </c>
      <c r="F864" s="24">
        <f>VLOOKUP(E864,Q$5:R$11,2,FALSE)</f>
        <v>0.2</v>
      </c>
      <c r="G864" s="24">
        <f t="shared" si="53"/>
        <v>3</v>
      </c>
      <c r="H864" s="24">
        <f>IF(G864&gt;G863,H863+C864*F864,C864*F864)</f>
        <v>1.9587733452001381</v>
      </c>
      <c r="I864" s="24">
        <f t="shared" si="54"/>
        <v>0.60000000000000009</v>
      </c>
      <c r="J864" s="24">
        <f t="shared" si="55"/>
        <v>0</v>
      </c>
      <c r="K864" s="24">
        <f>IF(CurrentMtgRatesDataTable811[[#This Row],[WA CC]]&lt;&gt;0,D863-CurrentMtgRatesDataTable811[[#This Row],[WA CC]],0)</f>
        <v>0</v>
      </c>
      <c r="L864" s="24">
        <f>IF(CurrentMtgRatesDataTable811[[#This Row],[Servicing Spread]]&lt;=0,L863,CurrentMtgRatesDataTable811[[#This Row],[Servicing Spread]])</f>
        <v>0.83878032658738588</v>
      </c>
      <c r="M864" s="24">
        <f>CurrentMtgRatesDataTable811[[#This Row],[SeriesNumValue]]+CurrentMtgRatesDataTable811[[#This Row],[Servicing Spread Non-Zero]]</f>
        <v>4.134511706261236</v>
      </c>
    </row>
    <row r="865" spans="2:13" x14ac:dyDescent="0.2">
      <c r="B865" s="27" t="s">
        <v>1546</v>
      </c>
      <c r="C865" s="28">
        <v>3.2728026621506001</v>
      </c>
      <c r="D865" s="26">
        <v>4.1000000000000005</v>
      </c>
      <c r="E865" s="24">
        <f t="shared" si="52"/>
        <v>6</v>
      </c>
      <c r="F865" s="24">
        <f>VLOOKUP(E865,Q$5:R$11,2,FALSE)</f>
        <v>0.2</v>
      </c>
      <c r="G865" s="24">
        <f t="shared" si="53"/>
        <v>4</v>
      </c>
      <c r="H865" s="24">
        <f>IF(G865&gt;G864,H864+C865*F865,C865*F865)</f>
        <v>2.6133338776302582</v>
      </c>
      <c r="I865" s="24">
        <f t="shared" si="54"/>
        <v>0.8</v>
      </c>
      <c r="J865" s="24">
        <f t="shared" si="55"/>
        <v>0</v>
      </c>
      <c r="K865" s="24">
        <f>IF(CurrentMtgRatesDataTable811[[#This Row],[WA CC]]&lt;&gt;0,D864-CurrentMtgRatesDataTable811[[#This Row],[WA CC]],0)</f>
        <v>0</v>
      </c>
      <c r="L865" s="24">
        <f>IF(CurrentMtgRatesDataTable811[[#This Row],[Servicing Spread]]&lt;=0,L864,CurrentMtgRatesDataTable811[[#This Row],[Servicing Spread]])</f>
        <v>0.83878032658738588</v>
      </c>
      <c r="M865" s="24">
        <f>CurrentMtgRatesDataTable811[[#This Row],[SeriesNumValue]]+CurrentMtgRatesDataTable811[[#This Row],[Servicing Spread Non-Zero]]</f>
        <v>4.111582988737986</v>
      </c>
    </row>
    <row r="866" spans="2:13" x14ac:dyDescent="0.2">
      <c r="B866" s="27" t="s">
        <v>1547</v>
      </c>
      <c r="C866" s="28">
        <v>3.1970892272743101</v>
      </c>
      <c r="D866" s="26">
        <v>4.1000000000000005</v>
      </c>
      <c r="E866" s="24">
        <f t="shared" si="52"/>
        <v>7</v>
      </c>
      <c r="F866" s="24">
        <f>VLOOKUP(E866,Q$5:R$11,2,FALSE)</f>
        <v>0.2</v>
      </c>
      <c r="G866" s="24">
        <f t="shared" si="53"/>
        <v>5</v>
      </c>
      <c r="H866" s="24">
        <f>IF(G866&gt;G865,H865+C866*F866,C866*F866)</f>
        <v>3.2527517230851202</v>
      </c>
      <c r="I866" s="24">
        <f t="shared" si="54"/>
        <v>1</v>
      </c>
      <c r="J866" s="24">
        <f t="shared" si="55"/>
        <v>3.2527517230851202</v>
      </c>
      <c r="K866" s="24">
        <f>IF(CurrentMtgRatesDataTable811[[#This Row],[WA CC]]&lt;&gt;0,D865-CurrentMtgRatesDataTable811[[#This Row],[WA CC]],0)</f>
        <v>0.84724827691488036</v>
      </c>
      <c r="L866" s="24">
        <f>IF(CurrentMtgRatesDataTable811[[#This Row],[Servicing Spread]]&lt;=0,L865,CurrentMtgRatesDataTable811[[#This Row],[Servicing Spread]])</f>
        <v>0.84724827691488036</v>
      </c>
      <c r="M866" s="24">
        <f>CurrentMtgRatesDataTable811[[#This Row],[SeriesNumValue]]+CurrentMtgRatesDataTable811[[#This Row],[Servicing Spread Non-Zero]]</f>
        <v>4.0443375041891905</v>
      </c>
    </row>
    <row r="867" spans="2:13" x14ac:dyDescent="0.2">
      <c r="B867" s="27" t="s">
        <v>1548</v>
      </c>
      <c r="C867" s="28">
        <v>3.1795097734540301</v>
      </c>
      <c r="D867" s="26">
        <v>4.04</v>
      </c>
      <c r="E867" s="24">
        <f t="shared" si="52"/>
        <v>1</v>
      </c>
      <c r="F867" s="24">
        <f>VLOOKUP(E867,Q$5:R$11,2,FALSE)</f>
        <v>0.2</v>
      </c>
      <c r="G867" s="24">
        <f t="shared" si="53"/>
        <v>1</v>
      </c>
      <c r="H867" s="24">
        <f>IF(G867&gt;G866,H866+C867*F867,C867*F867)</f>
        <v>0.63590195469080601</v>
      </c>
      <c r="I867" s="24">
        <f t="shared" si="54"/>
        <v>0.2</v>
      </c>
      <c r="J867" s="24">
        <f t="shared" si="55"/>
        <v>0</v>
      </c>
      <c r="K867" s="24">
        <f>IF(CurrentMtgRatesDataTable811[[#This Row],[WA CC]]&lt;&gt;0,D866-CurrentMtgRatesDataTable811[[#This Row],[WA CC]],0)</f>
        <v>0</v>
      </c>
      <c r="L867" s="24">
        <f>IF(CurrentMtgRatesDataTable811[[#This Row],[Servicing Spread]]&lt;=0,L866,CurrentMtgRatesDataTable811[[#This Row],[Servicing Spread]])</f>
        <v>0.84724827691488036</v>
      </c>
      <c r="M867" s="24">
        <f>CurrentMtgRatesDataTable811[[#This Row],[SeriesNumValue]]+CurrentMtgRatesDataTable811[[#This Row],[Servicing Spread Non-Zero]]</f>
        <v>4.02675805036891</v>
      </c>
    </row>
    <row r="868" spans="2:13" x14ac:dyDescent="0.2">
      <c r="B868" s="27" t="s">
        <v>1549</v>
      </c>
      <c r="C868" s="28">
        <v>3.2071722937792901</v>
      </c>
      <c r="D868" s="26">
        <v>4.04</v>
      </c>
      <c r="E868" s="24">
        <f t="shared" si="52"/>
        <v>2</v>
      </c>
      <c r="F868" s="24">
        <f>VLOOKUP(E868,Q$5:R$11,2,FALSE)</f>
        <v>0.2</v>
      </c>
      <c r="G868" s="24">
        <f t="shared" si="53"/>
        <v>2</v>
      </c>
      <c r="H868" s="24">
        <f>IF(G868&gt;G867,H867+C868*F868,C868*F868)</f>
        <v>1.277336413446664</v>
      </c>
      <c r="I868" s="24">
        <f t="shared" si="54"/>
        <v>0.4</v>
      </c>
      <c r="J868" s="24">
        <f t="shared" si="55"/>
        <v>0</v>
      </c>
      <c r="K868" s="24">
        <f>IF(CurrentMtgRatesDataTable811[[#This Row],[WA CC]]&lt;&gt;0,D867-CurrentMtgRatesDataTable811[[#This Row],[WA CC]],0)</f>
        <v>0</v>
      </c>
      <c r="L868" s="24">
        <f>IF(CurrentMtgRatesDataTable811[[#This Row],[Servicing Spread]]&lt;=0,L867,CurrentMtgRatesDataTable811[[#This Row],[Servicing Spread]])</f>
        <v>0.84724827691488036</v>
      </c>
      <c r="M868" s="24">
        <f>CurrentMtgRatesDataTable811[[#This Row],[SeriesNumValue]]+CurrentMtgRatesDataTable811[[#This Row],[Servicing Spread Non-Zero]]</f>
        <v>4.0544205706941705</v>
      </c>
    </row>
    <row r="869" spans="2:13" x14ac:dyDescent="0.2">
      <c r="B869" s="27" t="s">
        <v>1550</v>
      </c>
      <c r="C869" s="28">
        <v>3.2249711814966302</v>
      </c>
      <c r="D869" s="26">
        <v>4.04</v>
      </c>
      <c r="E869" s="24">
        <f t="shared" si="52"/>
        <v>5</v>
      </c>
      <c r="F869" s="24">
        <f>VLOOKUP(E869,Q$5:R$11,2,FALSE)</f>
        <v>0.2</v>
      </c>
      <c r="G869" s="24">
        <f t="shared" si="53"/>
        <v>3</v>
      </c>
      <c r="H869" s="24">
        <f>IF(G869&gt;G868,H868+C869*F869,C869*F869)</f>
        <v>1.92233064974599</v>
      </c>
      <c r="I869" s="24">
        <f t="shared" si="54"/>
        <v>0.60000000000000009</v>
      </c>
      <c r="J869" s="24">
        <f t="shared" si="55"/>
        <v>0</v>
      </c>
      <c r="K869" s="24">
        <f>IF(CurrentMtgRatesDataTable811[[#This Row],[WA CC]]&lt;&gt;0,D868-CurrentMtgRatesDataTable811[[#This Row],[WA CC]],0)</f>
        <v>0</v>
      </c>
      <c r="L869" s="24">
        <f>IF(CurrentMtgRatesDataTable811[[#This Row],[Servicing Spread]]&lt;=0,L868,CurrentMtgRatesDataTable811[[#This Row],[Servicing Spread]])</f>
        <v>0.84724827691488036</v>
      </c>
      <c r="M869" s="24">
        <f>CurrentMtgRatesDataTable811[[#This Row],[SeriesNumValue]]+CurrentMtgRatesDataTable811[[#This Row],[Servicing Spread Non-Zero]]</f>
        <v>4.0722194584115101</v>
      </c>
    </row>
    <row r="870" spans="2:13" x14ac:dyDescent="0.2">
      <c r="B870" s="27" t="s">
        <v>1551</v>
      </c>
      <c r="C870" s="28">
        <v>3.1906249352690699</v>
      </c>
      <c r="D870" s="26">
        <v>4.04</v>
      </c>
      <c r="E870" s="24">
        <f t="shared" si="52"/>
        <v>6</v>
      </c>
      <c r="F870" s="24">
        <f>VLOOKUP(E870,Q$5:R$11,2,FALSE)</f>
        <v>0.2</v>
      </c>
      <c r="G870" s="24">
        <f t="shared" si="53"/>
        <v>4</v>
      </c>
      <c r="H870" s="24">
        <f>IF(G870&gt;G869,H869+C870*F870,C870*F870)</f>
        <v>2.5604556367998041</v>
      </c>
      <c r="I870" s="24">
        <f t="shared" si="54"/>
        <v>0.8</v>
      </c>
      <c r="J870" s="24">
        <f t="shared" si="55"/>
        <v>0</v>
      </c>
      <c r="K870" s="24">
        <f>IF(CurrentMtgRatesDataTable811[[#This Row],[WA CC]]&lt;&gt;0,D869-CurrentMtgRatesDataTable811[[#This Row],[WA CC]],0)</f>
        <v>0</v>
      </c>
      <c r="L870" s="24">
        <f>IF(CurrentMtgRatesDataTable811[[#This Row],[Servicing Spread]]&lt;=0,L869,CurrentMtgRatesDataTable811[[#This Row],[Servicing Spread]])</f>
        <v>0.84724827691488036</v>
      </c>
      <c r="M870" s="24">
        <f>CurrentMtgRatesDataTable811[[#This Row],[SeriesNumValue]]+CurrentMtgRatesDataTable811[[#This Row],[Servicing Spread Non-Zero]]</f>
        <v>4.0378732121839498</v>
      </c>
    </row>
    <row r="871" spans="2:13" x14ac:dyDescent="0.2">
      <c r="B871" s="27" t="s">
        <v>1552</v>
      </c>
      <c r="C871" s="28">
        <v>3.2003729321605299</v>
      </c>
      <c r="D871" s="26">
        <v>4.04</v>
      </c>
      <c r="E871" s="24">
        <f t="shared" si="52"/>
        <v>7</v>
      </c>
      <c r="F871" s="24">
        <f>VLOOKUP(E871,Q$5:R$11,2,FALSE)</f>
        <v>0.2</v>
      </c>
      <c r="G871" s="24">
        <f t="shared" si="53"/>
        <v>5</v>
      </c>
      <c r="H871" s="24">
        <f>IF(G871&gt;G870,H870+C871*F871,C871*F871)</f>
        <v>3.2005302232319099</v>
      </c>
      <c r="I871" s="24">
        <f t="shared" si="54"/>
        <v>1</v>
      </c>
      <c r="J871" s="24">
        <f t="shared" si="55"/>
        <v>3.2005302232319099</v>
      </c>
      <c r="K871" s="24">
        <f>IF(CurrentMtgRatesDataTable811[[#This Row],[WA CC]]&lt;&gt;0,D870-CurrentMtgRatesDataTable811[[#This Row],[WA CC]],0)</f>
        <v>0.83946977676809009</v>
      </c>
      <c r="L871" s="24">
        <f>IF(CurrentMtgRatesDataTable811[[#This Row],[Servicing Spread]]&lt;=0,L870,CurrentMtgRatesDataTable811[[#This Row],[Servicing Spread]])</f>
        <v>0.83946977676809009</v>
      </c>
      <c r="M871" s="24">
        <f>CurrentMtgRatesDataTable811[[#This Row],[SeriesNumValue]]+CurrentMtgRatesDataTable811[[#This Row],[Servicing Spread Non-Zero]]</f>
        <v>4.03984270892862</v>
      </c>
    </row>
    <row r="872" spans="2:13" x14ac:dyDescent="0.2">
      <c r="B872" s="27" t="s">
        <v>1553</v>
      </c>
      <c r="C872" s="28">
        <v>3.2144312113226099</v>
      </c>
      <c r="D872" s="26">
        <v>4.0200000000000005</v>
      </c>
      <c r="E872" s="24">
        <f t="shared" si="52"/>
        <v>1</v>
      </c>
      <c r="F872" s="24">
        <f>VLOOKUP(E872,Q$5:R$11,2,FALSE)</f>
        <v>0.2</v>
      </c>
      <c r="G872" s="24">
        <f t="shared" si="53"/>
        <v>1</v>
      </c>
      <c r="H872" s="24">
        <f>IF(G872&gt;G871,H871+C872*F872,C872*F872)</f>
        <v>0.64288624226452207</v>
      </c>
      <c r="I872" s="24">
        <f t="shared" si="54"/>
        <v>0.2</v>
      </c>
      <c r="J872" s="24">
        <f t="shared" si="55"/>
        <v>0</v>
      </c>
      <c r="K872" s="24">
        <f>IF(CurrentMtgRatesDataTable811[[#This Row],[WA CC]]&lt;&gt;0,D871-CurrentMtgRatesDataTable811[[#This Row],[WA CC]],0)</f>
        <v>0</v>
      </c>
      <c r="L872" s="24">
        <f>IF(CurrentMtgRatesDataTable811[[#This Row],[Servicing Spread]]&lt;=0,L871,CurrentMtgRatesDataTable811[[#This Row],[Servicing Spread]])</f>
        <v>0.83946977676809009</v>
      </c>
      <c r="M872" s="24">
        <f>CurrentMtgRatesDataTable811[[#This Row],[SeriesNumValue]]+CurrentMtgRatesDataTable811[[#This Row],[Servicing Spread Non-Zero]]</f>
        <v>4.0539009880906995</v>
      </c>
    </row>
    <row r="873" spans="2:13" x14ac:dyDescent="0.2">
      <c r="B873" s="27" t="s">
        <v>1554</v>
      </c>
      <c r="C873" s="28">
        <v>3.2062850314999101</v>
      </c>
      <c r="D873" s="26">
        <v>4.0200000000000005</v>
      </c>
      <c r="E873" s="24">
        <f t="shared" si="52"/>
        <v>2</v>
      </c>
      <c r="F873" s="24">
        <f>VLOOKUP(E873,Q$5:R$11,2,FALSE)</f>
        <v>0.2</v>
      </c>
      <c r="G873" s="24">
        <f t="shared" si="53"/>
        <v>2</v>
      </c>
      <c r="H873" s="24">
        <f>IF(G873&gt;G872,H872+C873*F873,C873*F873)</f>
        <v>1.2841432485645041</v>
      </c>
      <c r="I873" s="24">
        <f t="shared" si="54"/>
        <v>0.4</v>
      </c>
      <c r="J873" s="24">
        <f t="shared" si="55"/>
        <v>0</v>
      </c>
      <c r="K873" s="24">
        <f>IF(CurrentMtgRatesDataTable811[[#This Row],[WA CC]]&lt;&gt;0,D872-CurrentMtgRatesDataTable811[[#This Row],[WA CC]],0)</f>
        <v>0</v>
      </c>
      <c r="L873" s="24">
        <f>IF(CurrentMtgRatesDataTable811[[#This Row],[Servicing Spread]]&lt;=0,L872,CurrentMtgRatesDataTable811[[#This Row],[Servicing Spread]])</f>
        <v>0.83946977676809009</v>
      </c>
      <c r="M873" s="24">
        <f>CurrentMtgRatesDataTable811[[#This Row],[SeriesNumValue]]+CurrentMtgRatesDataTable811[[#This Row],[Servicing Spread Non-Zero]]</f>
        <v>4.0457548082680006</v>
      </c>
    </row>
    <row r="874" spans="2:13" x14ac:dyDescent="0.2">
      <c r="B874" s="27" t="s">
        <v>1555</v>
      </c>
      <c r="C874" s="28">
        <v>3.1863361498629699</v>
      </c>
      <c r="D874" s="26">
        <v>4.0200000000000005</v>
      </c>
      <c r="E874" s="24">
        <f t="shared" si="52"/>
        <v>6</v>
      </c>
      <c r="F874" s="24">
        <f>VLOOKUP(E874,Q$5:R$11,2,FALSE)</f>
        <v>0.2</v>
      </c>
      <c r="G874" s="24">
        <f t="shared" si="53"/>
        <v>3</v>
      </c>
      <c r="H874" s="24">
        <f>IF(G874&gt;G873,H873+C874*F874,C874*F874)</f>
        <v>1.9214104785370982</v>
      </c>
      <c r="I874" s="24">
        <f t="shared" si="54"/>
        <v>0.60000000000000009</v>
      </c>
      <c r="J874" s="24">
        <f t="shared" si="55"/>
        <v>0</v>
      </c>
      <c r="K874" s="24">
        <f>IF(CurrentMtgRatesDataTable811[[#This Row],[WA CC]]&lt;&gt;0,D873-CurrentMtgRatesDataTable811[[#This Row],[WA CC]],0)</f>
        <v>0</v>
      </c>
      <c r="L874" s="24">
        <f>IF(CurrentMtgRatesDataTable811[[#This Row],[Servicing Spread]]&lt;=0,L873,CurrentMtgRatesDataTable811[[#This Row],[Servicing Spread]])</f>
        <v>0.83946977676809009</v>
      </c>
      <c r="M874" s="24">
        <f>CurrentMtgRatesDataTable811[[#This Row],[SeriesNumValue]]+CurrentMtgRatesDataTable811[[#This Row],[Servicing Spread Non-Zero]]</f>
        <v>4.02580592663106</v>
      </c>
    </row>
    <row r="875" spans="2:13" x14ac:dyDescent="0.2">
      <c r="B875" s="27" t="s">
        <v>1556</v>
      </c>
      <c r="C875" s="28">
        <v>3.0965824543668101</v>
      </c>
      <c r="D875" s="26">
        <v>4.0200000000000005</v>
      </c>
      <c r="E875" s="24">
        <f t="shared" si="52"/>
        <v>7</v>
      </c>
      <c r="F875" s="24">
        <f>VLOOKUP(E875,Q$5:R$11,2,FALSE)</f>
        <v>0.2</v>
      </c>
      <c r="G875" s="24">
        <f t="shared" si="53"/>
        <v>4</v>
      </c>
      <c r="H875" s="24">
        <f>IF(G875&gt;G874,H874+C875*F875,C875*F875)</f>
        <v>2.5407269694104602</v>
      </c>
      <c r="I875" s="24">
        <f t="shared" si="54"/>
        <v>0.8</v>
      </c>
      <c r="J875" s="24">
        <f t="shared" si="55"/>
        <v>3.1759087117630749</v>
      </c>
      <c r="K875" s="24">
        <f>IF(CurrentMtgRatesDataTable811[[#This Row],[WA CC]]&lt;&gt;0,D874-CurrentMtgRatesDataTable811[[#This Row],[WA CC]],0)</f>
        <v>0.84409128823692559</v>
      </c>
      <c r="L875" s="24">
        <f>IF(CurrentMtgRatesDataTable811[[#This Row],[Servicing Spread]]&lt;=0,L874,CurrentMtgRatesDataTable811[[#This Row],[Servicing Spread]])</f>
        <v>0.84409128823692559</v>
      </c>
      <c r="M875" s="24">
        <f>CurrentMtgRatesDataTable811[[#This Row],[SeriesNumValue]]+CurrentMtgRatesDataTable811[[#This Row],[Servicing Spread Non-Zero]]</f>
        <v>3.9406737426037357</v>
      </c>
    </row>
    <row r="876" spans="2:13" x14ac:dyDescent="0.2">
      <c r="B876" s="27" t="s">
        <v>1557</v>
      </c>
      <c r="C876" s="28">
        <v>3.12360003836893</v>
      </c>
      <c r="D876" s="26">
        <v>4.0149999999999997</v>
      </c>
      <c r="E876" s="24">
        <f t="shared" si="52"/>
        <v>1</v>
      </c>
      <c r="F876" s="24">
        <f>VLOOKUP(E876,Q$5:R$11,2,FALSE)</f>
        <v>0.2</v>
      </c>
      <c r="G876" s="24">
        <f t="shared" si="53"/>
        <v>1</v>
      </c>
      <c r="H876" s="24">
        <f>IF(G876&gt;G875,H875+C876*F876,C876*F876)</f>
        <v>0.62472000767378599</v>
      </c>
      <c r="I876" s="24">
        <f t="shared" si="54"/>
        <v>0.2</v>
      </c>
      <c r="J876" s="24">
        <f t="shared" si="55"/>
        <v>0</v>
      </c>
      <c r="K876" s="24">
        <f>IF(CurrentMtgRatesDataTable811[[#This Row],[WA CC]]&lt;&gt;0,D875-CurrentMtgRatesDataTable811[[#This Row],[WA CC]],0)</f>
        <v>0</v>
      </c>
      <c r="L876" s="24">
        <f>IF(CurrentMtgRatesDataTable811[[#This Row],[Servicing Spread]]&lt;=0,L875,CurrentMtgRatesDataTable811[[#This Row],[Servicing Spread]])</f>
        <v>0.84409128823692559</v>
      </c>
      <c r="M876" s="24">
        <f>CurrentMtgRatesDataTable811[[#This Row],[SeriesNumValue]]+CurrentMtgRatesDataTable811[[#This Row],[Servicing Spread Non-Zero]]</f>
        <v>3.9676913266058556</v>
      </c>
    </row>
    <row r="877" spans="2:13" x14ac:dyDescent="0.2">
      <c r="B877" s="27" t="s">
        <v>1558</v>
      </c>
      <c r="C877" s="28">
        <v>3.1327170492887499</v>
      </c>
      <c r="D877" s="26">
        <v>4.0149999999999997</v>
      </c>
      <c r="E877" s="24">
        <f t="shared" si="52"/>
        <v>2</v>
      </c>
      <c r="F877" s="24">
        <f>VLOOKUP(E877,Q$5:R$11,2,FALSE)</f>
        <v>0.2</v>
      </c>
      <c r="G877" s="24">
        <f t="shared" si="53"/>
        <v>2</v>
      </c>
      <c r="H877" s="24">
        <f>IF(G877&gt;G876,H876+C877*F877,C877*F877)</f>
        <v>1.251263417531536</v>
      </c>
      <c r="I877" s="24">
        <f t="shared" si="54"/>
        <v>0.4</v>
      </c>
      <c r="J877" s="24">
        <f t="shared" si="55"/>
        <v>0</v>
      </c>
      <c r="K877" s="24">
        <f>IF(CurrentMtgRatesDataTable811[[#This Row],[WA CC]]&lt;&gt;0,D876-CurrentMtgRatesDataTable811[[#This Row],[WA CC]],0)</f>
        <v>0</v>
      </c>
      <c r="L877" s="24">
        <f>IF(CurrentMtgRatesDataTable811[[#This Row],[Servicing Spread]]&lt;=0,L876,CurrentMtgRatesDataTable811[[#This Row],[Servicing Spread]])</f>
        <v>0.84409128823692559</v>
      </c>
      <c r="M877" s="24">
        <f>CurrentMtgRatesDataTable811[[#This Row],[SeriesNumValue]]+CurrentMtgRatesDataTable811[[#This Row],[Servicing Spread Non-Zero]]</f>
        <v>3.9768083375256755</v>
      </c>
    </row>
    <row r="878" spans="2:13" x14ac:dyDescent="0.2">
      <c r="B878" s="27" t="s">
        <v>1559</v>
      </c>
      <c r="C878" s="28">
        <v>3.2077358231055602</v>
      </c>
      <c r="D878" s="26">
        <v>4.0149999999999997</v>
      </c>
      <c r="E878" s="24">
        <f t="shared" si="52"/>
        <v>5</v>
      </c>
      <c r="F878" s="24">
        <f>VLOOKUP(E878,Q$5:R$11,2,FALSE)</f>
        <v>0.2</v>
      </c>
      <c r="G878" s="24">
        <f t="shared" si="53"/>
        <v>3</v>
      </c>
      <c r="H878" s="24">
        <f>IF(G878&gt;G877,H877+C878*F878,C878*F878)</f>
        <v>1.8928105821526482</v>
      </c>
      <c r="I878" s="24">
        <f t="shared" si="54"/>
        <v>0.60000000000000009</v>
      </c>
      <c r="J878" s="24">
        <f t="shared" si="55"/>
        <v>0</v>
      </c>
      <c r="K878" s="24">
        <f>IF(CurrentMtgRatesDataTable811[[#This Row],[WA CC]]&lt;&gt;0,D877-CurrentMtgRatesDataTable811[[#This Row],[WA CC]],0)</f>
        <v>0</v>
      </c>
      <c r="L878" s="24">
        <f>IF(CurrentMtgRatesDataTable811[[#This Row],[Servicing Spread]]&lt;=0,L877,CurrentMtgRatesDataTable811[[#This Row],[Servicing Spread]])</f>
        <v>0.84409128823692559</v>
      </c>
      <c r="M878" s="24">
        <f>CurrentMtgRatesDataTable811[[#This Row],[SeriesNumValue]]+CurrentMtgRatesDataTable811[[#This Row],[Servicing Spread Non-Zero]]</f>
        <v>4.0518271113424857</v>
      </c>
    </row>
    <row r="879" spans="2:13" x14ac:dyDescent="0.2">
      <c r="B879" s="27" t="s">
        <v>1560</v>
      </c>
      <c r="C879" s="28">
        <v>3.2594551208520199</v>
      </c>
      <c r="D879" s="26">
        <v>4.0149999999999997</v>
      </c>
      <c r="E879" s="24">
        <f t="shared" si="52"/>
        <v>6</v>
      </c>
      <c r="F879" s="24">
        <f>VLOOKUP(E879,Q$5:R$11,2,FALSE)</f>
        <v>0.2</v>
      </c>
      <c r="G879" s="24">
        <f t="shared" si="53"/>
        <v>4</v>
      </c>
      <c r="H879" s="24">
        <f>IF(G879&gt;G878,H878+C879*F879,C879*F879)</f>
        <v>2.5447016063230521</v>
      </c>
      <c r="I879" s="24">
        <f t="shared" si="54"/>
        <v>0.8</v>
      </c>
      <c r="J879" s="24">
        <f t="shared" si="55"/>
        <v>0</v>
      </c>
      <c r="K879" s="24">
        <f>IF(CurrentMtgRatesDataTable811[[#This Row],[WA CC]]&lt;&gt;0,D878-CurrentMtgRatesDataTable811[[#This Row],[WA CC]],0)</f>
        <v>0</v>
      </c>
      <c r="L879" s="24">
        <f>IF(CurrentMtgRatesDataTable811[[#This Row],[Servicing Spread]]&lt;=0,L878,CurrentMtgRatesDataTable811[[#This Row],[Servicing Spread]])</f>
        <v>0.84409128823692559</v>
      </c>
      <c r="M879" s="24">
        <f>CurrentMtgRatesDataTable811[[#This Row],[SeriesNumValue]]+CurrentMtgRatesDataTable811[[#This Row],[Servicing Spread Non-Zero]]</f>
        <v>4.1035464090889455</v>
      </c>
    </row>
    <row r="880" spans="2:13" x14ac:dyDescent="0.2">
      <c r="B880" s="27" t="s">
        <v>1561</v>
      </c>
      <c r="C880" s="28">
        <v>3.2635254657079802</v>
      </c>
      <c r="D880" s="26">
        <v>4.0149999999999997</v>
      </c>
      <c r="E880" s="24">
        <f t="shared" si="52"/>
        <v>7</v>
      </c>
      <c r="F880" s="24">
        <f>VLOOKUP(E880,Q$5:R$11,2,FALSE)</f>
        <v>0.2</v>
      </c>
      <c r="G880" s="24">
        <f t="shared" si="53"/>
        <v>5</v>
      </c>
      <c r="H880" s="24">
        <f>IF(G880&gt;G879,H879+C880*F880,C880*F880)</f>
        <v>3.197406699464648</v>
      </c>
      <c r="I880" s="24">
        <f t="shared" si="54"/>
        <v>1</v>
      </c>
      <c r="J880" s="24">
        <f t="shared" si="55"/>
        <v>3.197406699464648</v>
      </c>
      <c r="K880" s="24">
        <f>IF(CurrentMtgRatesDataTable811[[#This Row],[WA CC]]&lt;&gt;0,D879-CurrentMtgRatesDataTable811[[#This Row],[WA CC]],0)</f>
        <v>0.81759330053535173</v>
      </c>
      <c r="L880" s="24">
        <f>IF(CurrentMtgRatesDataTable811[[#This Row],[Servicing Spread]]&lt;=0,L879,CurrentMtgRatesDataTable811[[#This Row],[Servicing Spread]])</f>
        <v>0.81759330053535173</v>
      </c>
      <c r="M880" s="24">
        <f>CurrentMtgRatesDataTable811[[#This Row],[SeriesNumValue]]+CurrentMtgRatesDataTable811[[#This Row],[Servicing Spread Non-Zero]]</f>
        <v>4.0811187662433319</v>
      </c>
    </row>
    <row r="881" spans="2:13" x14ac:dyDescent="0.2">
      <c r="B881" s="27" t="s">
        <v>1562</v>
      </c>
      <c r="C881" s="28">
        <v>3.2377628105001701</v>
      </c>
      <c r="D881" s="26">
        <v>4.1000000000000005</v>
      </c>
      <c r="E881" s="24">
        <f t="shared" si="52"/>
        <v>1</v>
      </c>
      <c r="F881" s="24">
        <f>VLOOKUP(E881,Q$5:R$11,2,FALSE)</f>
        <v>0.2</v>
      </c>
      <c r="G881" s="24">
        <f t="shared" si="53"/>
        <v>1</v>
      </c>
      <c r="H881" s="24">
        <f>IF(G881&gt;G880,H880+C881*F881,C881*F881)</f>
        <v>0.64755256210003409</v>
      </c>
      <c r="I881" s="24">
        <f t="shared" si="54"/>
        <v>0.2</v>
      </c>
      <c r="J881" s="24">
        <f t="shared" si="55"/>
        <v>0</v>
      </c>
      <c r="K881" s="24">
        <f>IF(CurrentMtgRatesDataTable811[[#This Row],[WA CC]]&lt;&gt;0,D880-CurrentMtgRatesDataTable811[[#This Row],[WA CC]],0)</f>
        <v>0</v>
      </c>
      <c r="L881" s="24">
        <f>IF(CurrentMtgRatesDataTable811[[#This Row],[Servicing Spread]]&lt;=0,L880,CurrentMtgRatesDataTable811[[#This Row],[Servicing Spread]])</f>
        <v>0.81759330053535173</v>
      </c>
      <c r="M881" s="24">
        <f>CurrentMtgRatesDataTable811[[#This Row],[SeriesNumValue]]+CurrentMtgRatesDataTable811[[#This Row],[Servicing Spread Non-Zero]]</f>
        <v>4.0553561110355218</v>
      </c>
    </row>
    <row r="882" spans="2:13" x14ac:dyDescent="0.2">
      <c r="B882" s="27" t="s">
        <v>1563</v>
      </c>
      <c r="C882" s="28">
        <v>3.24953377621733</v>
      </c>
      <c r="D882" s="26">
        <v>4.1000000000000005</v>
      </c>
      <c r="E882" s="24">
        <f t="shared" si="52"/>
        <v>2</v>
      </c>
      <c r="F882" s="24">
        <f>VLOOKUP(E882,Q$5:R$11,2,FALSE)</f>
        <v>0.2</v>
      </c>
      <c r="G882" s="24">
        <f t="shared" si="53"/>
        <v>2</v>
      </c>
      <c r="H882" s="24">
        <f>IF(G882&gt;G881,H881+C882*F882,C882*F882)</f>
        <v>1.2974593173435003</v>
      </c>
      <c r="I882" s="24">
        <f t="shared" si="54"/>
        <v>0.4</v>
      </c>
      <c r="J882" s="24">
        <f t="shared" si="55"/>
        <v>0</v>
      </c>
      <c r="K882" s="24">
        <f>IF(CurrentMtgRatesDataTable811[[#This Row],[WA CC]]&lt;&gt;0,D881-CurrentMtgRatesDataTable811[[#This Row],[WA CC]],0)</f>
        <v>0</v>
      </c>
      <c r="L882" s="24">
        <f>IF(CurrentMtgRatesDataTable811[[#This Row],[Servicing Spread]]&lt;=0,L881,CurrentMtgRatesDataTable811[[#This Row],[Servicing Spread]])</f>
        <v>0.81759330053535173</v>
      </c>
      <c r="M882" s="24">
        <f>CurrentMtgRatesDataTable811[[#This Row],[SeriesNumValue]]+CurrentMtgRatesDataTable811[[#This Row],[Servicing Spread Non-Zero]]</f>
        <v>4.0671270767526817</v>
      </c>
    </row>
    <row r="883" spans="2:13" x14ac:dyDescent="0.2">
      <c r="B883" s="27" t="s">
        <v>1564</v>
      </c>
      <c r="C883" s="28">
        <v>3.2647835350343399</v>
      </c>
      <c r="D883" s="26">
        <v>4.1000000000000005</v>
      </c>
      <c r="E883" s="24">
        <f t="shared" si="52"/>
        <v>5</v>
      </c>
      <c r="F883" s="24">
        <f>VLOOKUP(E883,Q$5:R$11,2,FALSE)</f>
        <v>0.2</v>
      </c>
      <c r="G883" s="24">
        <f t="shared" si="53"/>
        <v>3</v>
      </c>
      <c r="H883" s="24">
        <f>IF(G883&gt;G882,H882+C883*F883,C883*F883)</f>
        <v>1.9504160243503683</v>
      </c>
      <c r="I883" s="24">
        <f t="shared" si="54"/>
        <v>0.60000000000000009</v>
      </c>
      <c r="J883" s="24">
        <f t="shared" si="55"/>
        <v>0</v>
      </c>
      <c r="K883" s="24">
        <f>IF(CurrentMtgRatesDataTable811[[#This Row],[WA CC]]&lt;&gt;0,D882-CurrentMtgRatesDataTable811[[#This Row],[WA CC]],0)</f>
        <v>0</v>
      </c>
      <c r="L883" s="24">
        <f>IF(CurrentMtgRatesDataTable811[[#This Row],[Servicing Spread]]&lt;=0,L882,CurrentMtgRatesDataTable811[[#This Row],[Servicing Spread]])</f>
        <v>0.81759330053535173</v>
      </c>
      <c r="M883" s="24">
        <f>CurrentMtgRatesDataTable811[[#This Row],[SeriesNumValue]]+CurrentMtgRatesDataTable811[[#This Row],[Servicing Spread Non-Zero]]</f>
        <v>4.0823768355696917</v>
      </c>
    </row>
    <row r="884" spans="2:13" x14ac:dyDescent="0.2">
      <c r="B884" s="27" t="s">
        <v>1565</v>
      </c>
      <c r="C884" s="28">
        <v>3.2863723435874199</v>
      </c>
      <c r="D884" s="26">
        <v>4.1000000000000005</v>
      </c>
      <c r="E884" s="24">
        <f t="shared" si="52"/>
        <v>6</v>
      </c>
      <c r="F884" s="24">
        <f>VLOOKUP(E884,Q$5:R$11,2,FALSE)</f>
        <v>0.2</v>
      </c>
      <c r="G884" s="24">
        <f t="shared" si="53"/>
        <v>4</v>
      </c>
      <c r="H884" s="24">
        <f>IF(G884&gt;G883,H883+C884*F884,C884*F884)</f>
        <v>2.6076904930678522</v>
      </c>
      <c r="I884" s="24">
        <f t="shared" si="54"/>
        <v>0.8</v>
      </c>
      <c r="J884" s="24">
        <f t="shared" si="55"/>
        <v>0</v>
      </c>
      <c r="K884" s="24">
        <f>IF(CurrentMtgRatesDataTable811[[#This Row],[WA CC]]&lt;&gt;0,D883-CurrentMtgRatesDataTable811[[#This Row],[WA CC]],0)</f>
        <v>0</v>
      </c>
      <c r="L884" s="24">
        <f>IF(CurrentMtgRatesDataTable811[[#This Row],[Servicing Spread]]&lt;=0,L883,CurrentMtgRatesDataTable811[[#This Row],[Servicing Spread]])</f>
        <v>0.81759330053535173</v>
      </c>
      <c r="M884" s="24">
        <f>CurrentMtgRatesDataTable811[[#This Row],[SeriesNumValue]]+CurrentMtgRatesDataTable811[[#This Row],[Servicing Spread Non-Zero]]</f>
        <v>4.1039656441227716</v>
      </c>
    </row>
    <row r="885" spans="2:13" x14ac:dyDescent="0.2">
      <c r="B885" s="27" t="s">
        <v>1566</v>
      </c>
      <c r="C885" s="28">
        <v>3.2835967922496798</v>
      </c>
      <c r="D885" s="26">
        <v>4.1000000000000005</v>
      </c>
      <c r="E885" s="24">
        <f t="shared" si="52"/>
        <v>7</v>
      </c>
      <c r="F885" s="24">
        <f>VLOOKUP(E885,Q$5:R$11,2,FALSE)</f>
        <v>0.2</v>
      </c>
      <c r="G885" s="24">
        <f t="shared" si="53"/>
        <v>5</v>
      </c>
      <c r="H885" s="24">
        <f>IF(G885&gt;G884,H884+C885*F885,C885*F885)</f>
        <v>3.2644098515177884</v>
      </c>
      <c r="I885" s="24">
        <f t="shared" si="54"/>
        <v>1</v>
      </c>
      <c r="J885" s="24">
        <f t="shared" si="55"/>
        <v>3.2644098515177884</v>
      </c>
      <c r="K885" s="24">
        <f>IF(CurrentMtgRatesDataTable811[[#This Row],[WA CC]]&lt;&gt;0,D884-CurrentMtgRatesDataTable811[[#This Row],[WA CC]],0)</f>
        <v>0.83559014848221214</v>
      </c>
      <c r="L885" s="24">
        <f>IF(CurrentMtgRatesDataTable811[[#This Row],[Servicing Spread]]&lt;=0,L884,CurrentMtgRatesDataTable811[[#This Row],[Servicing Spread]])</f>
        <v>0.83559014848221214</v>
      </c>
      <c r="M885" s="24">
        <f>CurrentMtgRatesDataTable811[[#This Row],[SeriesNumValue]]+CurrentMtgRatesDataTable811[[#This Row],[Servicing Spread Non-Zero]]</f>
        <v>4.1191869407318915</v>
      </c>
    </row>
    <row r="886" spans="2:13" x14ac:dyDescent="0.2">
      <c r="B886" s="27" t="s">
        <v>1567</v>
      </c>
      <c r="C886" s="28">
        <v>3.2368252535266899</v>
      </c>
      <c r="D886" s="26">
        <v>4.07</v>
      </c>
      <c r="E886" s="24">
        <f t="shared" si="52"/>
        <v>1</v>
      </c>
      <c r="F886" s="24">
        <f>VLOOKUP(E886,Q$5:R$11,2,FALSE)</f>
        <v>0.2</v>
      </c>
      <c r="G886" s="24">
        <f t="shared" si="53"/>
        <v>1</v>
      </c>
      <c r="H886" s="24">
        <f>IF(G886&gt;G885,H885+C886*F886,C886*F886)</f>
        <v>0.64736505070533801</v>
      </c>
      <c r="I886" s="24">
        <f t="shared" si="54"/>
        <v>0.2</v>
      </c>
      <c r="J886" s="24">
        <f t="shared" si="55"/>
        <v>0</v>
      </c>
      <c r="K886" s="24">
        <f>IF(CurrentMtgRatesDataTable811[[#This Row],[WA CC]]&lt;&gt;0,D885-CurrentMtgRatesDataTable811[[#This Row],[WA CC]],0)</f>
        <v>0</v>
      </c>
      <c r="L886" s="24">
        <f>IF(CurrentMtgRatesDataTable811[[#This Row],[Servicing Spread]]&lt;=0,L885,CurrentMtgRatesDataTable811[[#This Row],[Servicing Spread]])</f>
        <v>0.83559014848221214</v>
      </c>
      <c r="M886" s="24">
        <f>CurrentMtgRatesDataTable811[[#This Row],[SeriesNumValue]]+CurrentMtgRatesDataTable811[[#This Row],[Servicing Spread Non-Zero]]</f>
        <v>4.0724154020089021</v>
      </c>
    </row>
    <row r="887" spans="2:13" x14ac:dyDescent="0.2">
      <c r="B887" s="27" t="s">
        <v>1568</v>
      </c>
      <c r="C887" s="28">
        <v>3.2532056158969298</v>
      </c>
      <c r="D887" s="26">
        <v>4.07</v>
      </c>
      <c r="E887" s="24">
        <f t="shared" si="52"/>
        <v>2</v>
      </c>
      <c r="F887" s="24">
        <f>VLOOKUP(E887,Q$5:R$11,2,FALSE)</f>
        <v>0.2</v>
      </c>
      <c r="G887" s="24">
        <f t="shared" si="53"/>
        <v>2</v>
      </c>
      <c r="H887" s="24">
        <f>IF(G887&gt;G886,H886+C887*F887,C887*F887)</f>
        <v>1.2980061738847239</v>
      </c>
      <c r="I887" s="24">
        <f t="shared" si="54"/>
        <v>0.4</v>
      </c>
      <c r="J887" s="24">
        <f t="shared" si="55"/>
        <v>0</v>
      </c>
      <c r="K887" s="24">
        <f>IF(CurrentMtgRatesDataTable811[[#This Row],[WA CC]]&lt;&gt;0,D886-CurrentMtgRatesDataTable811[[#This Row],[WA CC]],0)</f>
        <v>0</v>
      </c>
      <c r="L887" s="24">
        <f>IF(CurrentMtgRatesDataTable811[[#This Row],[Servicing Spread]]&lt;=0,L886,CurrentMtgRatesDataTable811[[#This Row],[Servicing Spread]])</f>
        <v>0.83559014848221214</v>
      </c>
      <c r="M887" s="24">
        <f>CurrentMtgRatesDataTable811[[#This Row],[SeriesNumValue]]+CurrentMtgRatesDataTable811[[#This Row],[Servicing Spread Non-Zero]]</f>
        <v>4.0887957643791424</v>
      </c>
    </row>
    <row r="888" spans="2:13" x14ac:dyDescent="0.2">
      <c r="B888" s="27" t="s">
        <v>1569</v>
      </c>
      <c r="C888" s="28">
        <v>3.2401980086341502</v>
      </c>
      <c r="D888" s="26">
        <v>4.07</v>
      </c>
      <c r="E888" s="24">
        <f t="shared" si="52"/>
        <v>5</v>
      </c>
      <c r="F888" s="24">
        <f>VLOOKUP(E888,Q$5:R$11,2,FALSE)</f>
        <v>0.2</v>
      </c>
      <c r="G888" s="24">
        <f t="shared" si="53"/>
        <v>3</v>
      </c>
      <c r="H888" s="24">
        <f>IF(G888&gt;G887,H887+C888*F888,C888*F888)</f>
        <v>1.9460457756115539</v>
      </c>
      <c r="I888" s="24">
        <f t="shared" si="54"/>
        <v>0.60000000000000009</v>
      </c>
      <c r="J888" s="24">
        <f t="shared" si="55"/>
        <v>0</v>
      </c>
      <c r="K888" s="24">
        <f>IF(CurrentMtgRatesDataTable811[[#This Row],[WA CC]]&lt;&gt;0,D887-CurrentMtgRatesDataTable811[[#This Row],[WA CC]],0)</f>
        <v>0</v>
      </c>
      <c r="L888" s="24">
        <f>IF(CurrentMtgRatesDataTable811[[#This Row],[Servicing Spread]]&lt;=0,L887,CurrentMtgRatesDataTable811[[#This Row],[Servicing Spread]])</f>
        <v>0.83559014848221214</v>
      </c>
      <c r="M888" s="24">
        <f>CurrentMtgRatesDataTable811[[#This Row],[SeriesNumValue]]+CurrentMtgRatesDataTable811[[#This Row],[Servicing Spread Non-Zero]]</f>
        <v>4.0757881571163619</v>
      </c>
    </row>
    <row r="889" spans="2:13" x14ac:dyDescent="0.2">
      <c r="B889" s="27" t="s">
        <v>1570</v>
      </c>
      <c r="C889" s="28">
        <v>3.2955237008358602</v>
      </c>
      <c r="D889" s="26">
        <v>4.07</v>
      </c>
      <c r="E889" s="24">
        <f t="shared" si="52"/>
        <v>6</v>
      </c>
      <c r="F889" s="24">
        <f>VLOOKUP(E889,Q$5:R$11,2,FALSE)</f>
        <v>0.2</v>
      </c>
      <c r="G889" s="24">
        <f t="shared" si="53"/>
        <v>4</v>
      </c>
      <c r="H889" s="24">
        <f>IF(G889&gt;G888,H888+C889*F889,C889*F889)</f>
        <v>2.605150515778726</v>
      </c>
      <c r="I889" s="24">
        <f t="shared" si="54"/>
        <v>0.8</v>
      </c>
      <c r="J889" s="24">
        <f t="shared" si="55"/>
        <v>0</v>
      </c>
      <c r="K889" s="24">
        <f>IF(CurrentMtgRatesDataTable811[[#This Row],[WA CC]]&lt;&gt;0,D888-CurrentMtgRatesDataTable811[[#This Row],[WA CC]],0)</f>
        <v>0</v>
      </c>
      <c r="L889" s="24">
        <f>IF(CurrentMtgRatesDataTable811[[#This Row],[Servicing Spread]]&lt;=0,L888,CurrentMtgRatesDataTable811[[#This Row],[Servicing Spread]])</f>
        <v>0.83559014848221214</v>
      </c>
      <c r="M889" s="24">
        <f>CurrentMtgRatesDataTable811[[#This Row],[SeriesNumValue]]+CurrentMtgRatesDataTable811[[#This Row],[Servicing Spread Non-Zero]]</f>
        <v>4.1311138493180728</v>
      </c>
    </row>
    <row r="890" spans="2:13" x14ac:dyDescent="0.2">
      <c r="B890" s="27" t="s">
        <v>1571</v>
      </c>
      <c r="C890" s="28">
        <v>3.2554507349207298</v>
      </c>
      <c r="D890" s="26">
        <v>4.07</v>
      </c>
      <c r="E890" s="24">
        <f t="shared" si="52"/>
        <v>7</v>
      </c>
      <c r="F890" s="24">
        <f>VLOOKUP(E890,Q$5:R$11,2,FALSE)</f>
        <v>0.2</v>
      </c>
      <c r="G890" s="24">
        <f t="shared" si="53"/>
        <v>5</v>
      </c>
      <c r="H890" s="24">
        <f>IF(G890&gt;G889,H889+C890*F890,C890*F890)</f>
        <v>3.2562406627628722</v>
      </c>
      <c r="I890" s="24">
        <f t="shared" si="54"/>
        <v>1</v>
      </c>
      <c r="J890" s="24">
        <f t="shared" si="55"/>
        <v>3.2562406627628722</v>
      </c>
      <c r="K890" s="24">
        <f>IF(CurrentMtgRatesDataTable811[[#This Row],[WA CC]]&lt;&gt;0,D889-CurrentMtgRatesDataTable811[[#This Row],[WA CC]],0)</f>
        <v>0.81375933723712812</v>
      </c>
      <c r="L890" s="24">
        <f>IF(CurrentMtgRatesDataTable811[[#This Row],[Servicing Spread]]&lt;=0,L889,CurrentMtgRatesDataTable811[[#This Row],[Servicing Spread]])</f>
        <v>0.81375933723712812</v>
      </c>
      <c r="M890" s="24">
        <f>CurrentMtgRatesDataTable811[[#This Row],[SeriesNumValue]]+CurrentMtgRatesDataTable811[[#This Row],[Servicing Spread Non-Zero]]</f>
        <v>4.0692100721578583</v>
      </c>
    </row>
    <row r="891" spans="2:13" x14ac:dyDescent="0.2">
      <c r="B891" s="27" t="s">
        <v>1572</v>
      </c>
      <c r="C891" s="28">
        <v>3.2406996477189098</v>
      </c>
      <c r="D891" s="26">
        <v>4.0149999999999997</v>
      </c>
      <c r="E891" s="24">
        <f t="shared" si="52"/>
        <v>1</v>
      </c>
      <c r="F891" s="24">
        <f>VLOOKUP(E891,Q$5:R$11,2,FALSE)</f>
        <v>0.2</v>
      </c>
      <c r="G891" s="24">
        <f t="shared" si="53"/>
        <v>1</v>
      </c>
      <c r="H891" s="24">
        <f>IF(G891&gt;G890,H890+C891*F891,C891*F891)</f>
        <v>0.64813992954378197</v>
      </c>
      <c r="I891" s="24">
        <f t="shared" si="54"/>
        <v>0.2</v>
      </c>
      <c r="J891" s="24">
        <f t="shared" si="55"/>
        <v>0</v>
      </c>
      <c r="K891" s="24">
        <f>IF(CurrentMtgRatesDataTable811[[#This Row],[WA CC]]&lt;&gt;0,D890-CurrentMtgRatesDataTable811[[#This Row],[WA CC]],0)</f>
        <v>0</v>
      </c>
      <c r="L891" s="24">
        <f>IF(CurrentMtgRatesDataTable811[[#This Row],[Servicing Spread]]&lt;=0,L890,CurrentMtgRatesDataTable811[[#This Row],[Servicing Spread]])</f>
        <v>0.81375933723712812</v>
      </c>
      <c r="M891" s="24">
        <f>CurrentMtgRatesDataTable811[[#This Row],[SeriesNumValue]]+CurrentMtgRatesDataTable811[[#This Row],[Servicing Spread Non-Zero]]</f>
        <v>4.054458984956038</v>
      </c>
    </row>
    <row r="892" spans="2:13" x14ac:dyDescent="0.2">
      <c r="B892" s="27" t="s">
        <v>1573</v>
      </c>
      <c r="C892" s="28">
        <v>3.2387092672418598</v>
      </c>
      <c r="D892" s="26">
        <v>4.0149999999999997</v>
      </c>
      <c r="E892" s="24">
        <f t="shared" si="52"/>
        <v>2</v>
      </c>
      <c r="F892" s="24">
        <f>VLOOKUP(E892,Q$5:R$11,2,FALSE)</f>
        <v>0.2</v>
      </c>
      <c r="G892" s="24">
        <f t="shared" si="53"/>
        <v>2</v>
      </c>
      <c r="H892" s="24">
        <f>IF(G892&gt;G891,H891+C892*F892,C892*F892)</f>
        <v>1.2958817829921538</v>
      </c>
      <c r="I892" s="24">
        <f t="shared" si="54"/>
        <v>0.4</v>
      </c>
      <c r="J892" s="24">
        <f t="shared" si="55"/>
        <v>0</v>
      </c>
      <c r="K892" s="24">
        <f>IF(CurrentMtgRatesDataTable811[[#This Row],[WA CC]]&lt;&gt;0,D891-CurrentMtgRatesDataTable811[[#This Row],[WA CC]],0)</f>
        <v>0</v>
      </c>
      <c r="L892" s="24">
        <f>IF(CurrentMtgRatesDataTable811[[#This Row],[Servicing Spread]]&lt;=0,L891,CurrentMtgRatesDataTable811[[#This Row],[Servicing Spread]])</f>
        <v>0.81375933723712812</v>
      </c>
      <c r="M892" s="24">
        <f>CurrentMtgRatesDataTable811[[#This Row],[SeriesNumValue]]+CurrentMtgRatesDataTable811[[#This Row],[Servicing Spread Non-Zero]]</f>
        <v>4.0524686044789879</v>
      </c>
    </row>
    <row r="893" spans="2:13" x14ac:dyDescent="0.2">
      <c r="B893" s="27" t="s">
        <v>1574</v>
      </c>
      <c r="C893" s="28">
        <v>3.2420059350164898</v>
      </c>
      <c r="D893" s="26">
        <v>4.0149999999999997</v>
      </c>
      <c r="E893" s="24">
        <f t="shared" si="52"/>
        <v>5</v>
      </c>
      <c r="F893" s="24">
        <f>VLOOKUP(E893,Q$5:R$11,2,FALSE)</f>
        <v>0.2</v>
      </c>
      <c r="G893" s="24">
        <f t="shared" si="53"/>
        <v>3</v>
      </c>
      <c r="H893" s="24">
        <f>IF(G893&gt;G892,H892+C893*F893,C893*F893)</f>
        <v>1.9442829699954518</v>
      </c>
      <c r="I893" s="24">
        <f t="shared" si="54"/>
        <v>0.60000000000000009</v>
      </c>
      <c r="J893" s="24">
        <f t="shared" si="55"/>
        <v>0</v>
      </c>
      <c r="K893" s="24">
        <f>IF(CurrentMtgRatesDataTable811[[#This Row],[WA CC]]&lt;&gt;0,D892-CurrentMtgRatesDataTable811[[#This Row],[WA CC]],0)</f>
        <v>0</v>
      </c>
      <c r="L893" s="24">
        <f>IF(CurrentMtgRatesDataTable811[[#This Row],[Servicing Spread]]&lt;=0,L892,CurrentMtgRatesDataTable811[[#This Row],[Servicing Spread]])</f>
        <v>0.81375933723712812</v>
      </c>
      <c r="M893" s="24">
        <f>CurrentMtgRatesDataTable811[[#This Row],[SeriesNumValue]]+CurrentMtgRatesDataTable811[[#This Row],[Servicing Spread Non-Zero]]</f>
        <v>4.0557652722536179</v>
      </c>
    </row>
    <row r="894" spans="2:13" x14ac:dyDescent="0.2">
      <c r="B894" s="27" t="s">
        <v>1575</v>
      </c>
      <c r="C894" s="28">
        <v>3.2180523990892298</v>
      </c>
      <c r="D894" s="26">
        <v>4.0149999999999997</v>
      </c>
      <c r="E894" s="24">
        <f t="shared" si="52"/>
        <v>6</v>
      </c>
      <c r="F894" s="24">
        <f>VLOOKUP(E894,Q$5:R$11,2,FALSE)</f>
        <v>0.2</v>
      </c>
      <c r="G894" s="24">
        <f t="shared" si="53"/>
        <v>4</v>
      </c>
      <c r="H894" s="24">
        <f>IF(G894&gt;G893,H893+C894*F894,C894*F894)</f>
        <v>2.5878934498132979</v>
      </c>
      <c r="I894" s="24">
        <f t="shared" si="54"/>
        <v>0.8</v>
      </c>
      <c r="J894" s="24">
        <f t="shared" si="55"/>
        <v>0</v>
      </c>
      <c r="K894" s="24">
        <f>IF(CurrentMtgRatesDataTable811[[#This Row],[WA CC]]&lt;&gt;0,D893-CurrentMtgRatesDataTable811[[#This Row],[WA CC]],0)</f>
        <v>0</v>
      </c>
      <c r="L894" s="24">
        <f>IF(CurrentMtgRatesDataTable811[[#This Row],[Servicing Spread]]&lt;=0,L893,CurrentMtgRatesDataTable811[[#This Row],[Servicing Spread]])</f>
        <v>0.81375933723712812</v>
      </c>
      <c r="M894" s="24">
        <f>CurrentMtgRatesDataTable811[[#This Row],[SeriesNumValue]]+CurrentMtgRatesDataTable811[[#This Row],[Servicing Spread Non-Zero]]</f>
        <v>4.0318117363263575</v>
      </c>
    </row>
    <row r="895" spans="2:13" x14ac:dyDescent="0.2">
      <c r="B895" s="27" t="s">
        <v>1576</v>
      </c>
      <c r="C895" s="28">
        <v>3.1948973800231402</v>
      </c>
      <c r="D895" s="26">
        <v>4.0149999999999997</v>
      </c>
      <c r="E895" s="24">
        <f t="shared" si="52"/>
        <v>7</v>
      </c>
      <c r="F895" s="24">
        <f>VLOOKUP(E895,Q$5:R$11,2,FALSE)</f>
        <v>0.2</v>
      </c>
      <c r="G895" s="24">
        <f t="shared" si="53"/>
        <v>5</v>
      </c>
      <c r="H895" s="24">
        <f>IF(G895&gt;G894,H894+C895*F895,C895*F895)</f>
        <v>3.2268729258179261</v>
      </c>
      <c r="I895" s="24">
        <f t="shared" si="54"/>
        <v>1</v>
      </c>
      <c r="J895" s="24">
        <f t="shared" si="55"/>
        <v>3.2268729258179261</v>
      </c>
      <c r="K895" s="24">
        <f>IF(CurrentMtgRatesDataTable811[[#This Row],[WA CC]]&lt;&gt;0,D894-CurrentMtgRatesDataTable811[[#This Row],[WA CC]],0)</f>
        <v>0.78812707418207362</v>
      </c>
      <c r="L895" s="24">
        <f>IF(CurrentMtgRatesDataTable811[[#This Row],[Servicing Spread]]&lt;=0,L894,CurrentMtgRatesDataTable811[[#This Row],[Servicing Spread]])</f>
        <v>0.78812707418207362</v>
      </c>
      <c r="M895" s="24">
        <f>CurrentMtgRatesDataTable811[[#This Row],[SeriesNumValue]]+CurrentMtgRatesDataTable811[[#This Row],[Servicing Spread Non-Zero]]</f>
        <v>3.9830244542052138</v>
      </c>
    </row>
    <row r="896" spans="2:13" x14ac:dyDescent="0.2">
      <c r="B896" s="27" t="s">
        <v>1577</v>
      </c>
      <c r="C896" s="28">
        <v>3.1705026484021301</v>
      </c>
      <c r="D896" s="26">
        <v>3.9950000000000001</v>
      </c>
      <c r="E896" s="24">
        <f t="shared" si="52"/>
        <v>1</v>
      </c>
      <c r="F896" s="24">
        <f>VLOOKUP(E896,Q$5:R$11,2,FALSE)</f>
        <v>0.2</v>
      </c>
      <c r="G896" s="24">
        <f t="shared" si="53"/>
        <v>1</v>
      </c>
      <c r="H896" s="24">
        <f>IF(G896&gt;G895,H895+C896*F896,C896*F896)</f>
        <v>0.63410052968042607</v>
      </c>
      <c r="I896" s="24">
        <f t="shared" si="54"/>
        <v>0.2</v>
      </c>
      <c r="J896" s="24">
        <f t="shared" si="55"/>
        <v>0</v>
      </c>
      <c r="K896" s="24">
        <f>IF(CurrentMtgRatesDataTable811[[#This Row],[WA CC]]&lt;&gt;0,D895-CurrentMtgRatesDataTable811[[#This Row],[WA CC]],0)</f>
        <v>0</v>
      </c>
      <c r="L896" s="24">
        <f>IF(CurrentMtgRatesDataTable811[[#This Row],[Servicing Spread]]&lt;=0,L895,CurrentMtgRatesDataTable811[[#This Row],[Servicing Spread]])</f>
        <v>0.78812707418207362</v>
      </c>
      <c r="M896" s="24">
        <f>CurrentMtgRatesDataTable811[[#This Row],[SeriesNumValue]]+CurrentMtgRatesDataTable811[[#This Row],[Servicing Spread Non-Zero]]</f>
        <v>3.9586297225842038</v>
      </c>
    </row>
    <row r="897" spans="2:13" x14ac:dyDescent="0.2">
      <c r="B897" s="27" t="s">
        <v>1578</v>
      </c>
      <c r="C897" s="28">
        <v>3.1723768258530498</v>
      </c>
      <c r="D897" s="26">
        <v>3.9950000000000001</v>
      </c>
      <c r="E897" s="24">
        <f t="shared" si="52"/>
        <v>2</v>
      </c>
      <c r="F897" s="24">
        <f>VLOOKUP(E897,Q$5:R$11,2,FALSE)</f>
        <v>0.2</v>
      </c>
      <c r="G897" s="24">
        <f t="shared" si="53"/>
        <v>2</v>
      </c>
      <c r="H897" s="24">
        <f>IF(G897&gt;G896,H896+C897*F897,C897*F897)</f>
        <v>1.2685758948510362</v>
      </c>
      <c r="I897" s="24">
        <f t="shared" si="54"/>
        <v>0.4</v>
      </c>
      <c r="J897" s="24">
        <f t="shared" si="55"/>
        <v>0</v>
      </c>
      <c r="K897" s="24">
        <f>IF(CurrentMtgRatesDataTable811[[#This Row],[WA CC]]&lt;&gt;0,D896-CurrentMtgRatesDataTable811[[#This Row],[WA CC]],0)</f>
        <v>0</v>
      </c>
      <c r="L897" s="24">
        <f>IF(CurrentMtgRatesDataTable811[[#This Row],[Servicing Spread]]&lt;=0,L896,CurrentMtgRatesDataTable811[[#This Row],[Servicing Spread]])</f>
        <v>0.78812707418207362</v>
      </c>
      <c r="M897" s="24">
        <f>CurrentMtgRatesDataTable811[[#This Row],[SeriesNumValue]]+CurrentMtgRatesDataTable811[[#This Row],[Servicing Spread Non-Zero]]</f>
        <v>3.9605039000351234</v>
      </c>
    </row>
    <row r="898" spans="2:13" x14ac:dyDescent="0.2">
      <c r="B898" s="27" t="s">
        <v>1579</v>
      </c>
      <c r="C898" s="28">
        <v>3.16005861973392</v>
      </c>
      <c r="D898" s="26">
        <v>3.9950000000000001</v>
      </c>
      <c r="E898" s="24">
        <f t="shared" si="52"/>
        <v>5</v>
      </c>
      <c r="F898" s="24">
        <f>VLOOKUP(E898,Q$5:R$11,2,FALSE)</f>
        <v>0.2</v>
      </c>
      <c r="G898" s="24">
        <f t="shared" si="53"/>
        <v>3</v>
      </c>
      <c r="H898" s="24">
        <f>IF(G898&gt;G897,H897+C898*F898,C898*F898)</f>
        <v>1.9005876187978203</v>
      </c>
      <c r="I898" s="24">
        <f t="shared" si="54"/>
        <v>0.60000000000000009</v>
      </c>
      <c r="J898" s="24">
        <f t="shared" si="55"/>
        <v>0</v>
      </c>
      <c r="K898" s="24">
        <f>IF(CurrentMtgRatesDataTable811[[#This Row],[WA CC]]&lt;&gt;0,D897-CurrentMtgRatesDataTable811[[#This Row],[WA CC]],0)</f>
        <v>0</v>
      </c>
      <c r="L898" s="24">
        <f>IF(CurrentMtgRatesDataTable811[[#This Row],[Servicing Spread]]&lt;=0,L897,CurrentMtgRatesDataTable811[[#This Row],[Servicing Spread]])</f>
        <v>0.78812707418207362</v>
      </c>
      <c r="M898" s="24">
        <f>CurrentMtgRatesDataTable811[[#This Row],[SeriesNumValue]]+CurrentMtgRatesDataTable811[[#This Row],[Servicing Spread Non-Zero]]</f>
        <v>3.9481856939159936</v>
      </c>
    </row>
    <row r="899" spans="2:13" x14ac:dyDescent="0.2">
      <c r="B899" s="27" t="s">
        <v>1580</v>
      </c>
      <c r="C899" s="28">
        <v>3.2107808202984001</v>
      </c>
      <c r="D899" s="26">
        <v>3.9950000000000001</v>
      </c>
      <c r="E899" s="24">
        <f t="shared" ref="E899:E962" si="56">WEEKDAY(B899,14)</f>
        <v>6</v>
      </c>
      <c r="F899" s="24">
        <f>VLOOKUP(E899,Q$5:R$11,2,FALSE)</f>
        <v>0.2</v>
      </c>
      <c r="G899" s="24">
        <f t="shared" ref="G899:G962" si="57">IF(AND(E899&gt;E898,G898&lt;6),G898+1,1)</f>
        <v>4</v>
      </c>
      <c r="H899" s="24">
        <f>IF(G899&gt;G898,H898+C899*F899,C899*F899)</f>
        <v>2.5427437828575004</v>
      </c>
      <c r="I899" s="24">
        <f t="shared" ref="I899:I962" si="58">IF(AND(G899&lt;6,G899&gt;G898),F899+I898,F899)</f>
        <v>0.8</v>
      </c>
      <c r="J899" s="24">
        <f t="shared" ref="J899:J962" si="59">IF(G899&gt;G900,H899/I899,0)</f>
        <v>0</v>
      </c>
      <c r="K899" s="24">
        <f>IF(CurrentMtgRatesDataTable811[[#This Row],[WA CC]]&lt;&gt;0,D898-CurrentMtgRatesDataTable811[[#This Row],[WA CC]],0)</f>
        <v>0</v>
      </c>
      <c r="L899" s="24">
        <f>IF(CurrentMtgRatesDataTable811[[#This Row],[Servicing Spread]]&lt;=0,L898,CurrentMtgRatesDataTable811[[#This Row],[Servicing Spread]])</f>
        <v>0.78812707418207362</v>
      </c>
      <c r="M899" s="24">
        <f>CurrentMtgRatesDataTable811[[#This Row],[SeriesNumValue]]+CurrentMtgRatesDataTable811[[#This Row],[Servicing Spread Non-Zero]]</f>
        <v>3.9989078944804737</v>
      </c>
    </row>
    <row r="900" spans="2:13" x14ac:dyDescent="0.2">
      <c r="B900" s="27" t="s">
        <v>1581</v>
      </c>
      <c r="C900" s="28">
        <v>3.25804857470149</v>
      </c>
      <c r="D900" s="26">
        <v>3.9950000000000001</v>
      </c>
      <c r="E900" s="24">
        <f t="shared" si="56"/>
        <v>7</v>
      </c>
      <c r="F900" s="24">
        <f>VLOOKUP(E900,Q$5:R$11,2,FALSE)</f>
        <v>0.2</v>
      </c>
      <c r="G900" s="24">
        <f t="shared" si="57"/>
        <v>5</v>
      </c>
      <c r="H900" s="24">
        <f>IF(G900&gt;G899,H899+C900*F900,C900*F900)</f>
        <v>3.1943534977977985</v>
      </c>
      <c r="I900" s="24">
        <f t="shared" si="58"/>
        <v>1</v>
      </c>
      <c r="J900" s="24">
        <f t="shared" si="59"/>
        <v>3.1943534977977985</v>
      </c>
      <c r="K900" s="24">
        <f>IF(CurrentMtgRatesDataTable811[[#This Row],[WA CC]]&lt;&gt;0,D899-CurrentMtgRatesDataTable811[[#This Row],[WA CC]],0)</f>
        <v>0.80064650220220157</v>
      </c>
      <c r="L900" s="24">
        <f>IF(CurrentMtgRatesDataTable811[[#This Row],[Servicing Spread]]&lt;=0,L899,CurrentMtgRatesDataTable811[[#This Row],[Servicing Spread]])</f>
        <v>0.80064650220220157</v>
      </c>
      <c r="M900" s="24">
        <f>CurrentMtgRatesDataTable811[[#This Row],[SeriesNumValue]]+CurrentMtgRatesDataTable811[[#This Row],[Servicing Spread Non-Zero]]</f>
        <v>4.0586950769036916</v>
      </c>
    </row>
    <row r="901" spans="2:13" x14ac:dyDescent="0.2">
      <c r="B901" s="27" t="s">
        <v>1582</v>
      </c>
      <c r="C901" s="28">
        <v>3.2816971853818702</v>
      </c>
      <c r="D901" s="26">
        <v>4.0750000000000002</v>
      </c>
      <c r="E901" s="24">
        <f t="shared" si="56"/>
        <v>1</v>
      </c>
      <c r="F901" s="24">
        <f>VLOOKUP(E901,Q$5:R$11,2,FALSE)</f>
        <v>0.2</v>
      </c>
      <c r="G901" s="24">
        <f t="shared" si="57"/>
        <v>1</v>
      </c>
      <c r="H901" s="24">
        <f>IF(G901&gt;G900,H900+C901*F901,C901*F901)</f>
        <v>0.6563394370763741</v>
      </c>
      <c r="I901" s="24">
        <f t="shared" si="58"/>
        <v>0.2</v>
      </c>
      <c r="J901" s="24">
        <f t="shared" si="59"/>
        <v>0</v>
      </c>
      <c r="K901" s="24">
        <f>IF(CurrentMtgRatesDataTable811[[#This Row],[WA CC]]&lt;&gt;0,D900-CurrentMtgRatesDataTable811[[#This Row],[WA CC]],0)</f>
        <v>0</v>
      </c>
      <c r="L901" s="24">
        <f>IF(CurrentMtgRatesDataTable811[[#This Row],[Servicing Spread]]&lt;=0,L900,CurrentMtgRatesDataTable811[[#This Row],[Servicing Spread]])</f>
        <v>0.80064650220220157</v>
      </c>
      <c r="M901" s="24">
        <f>CurrentMtgRatesDataTable811[[#This Row],[SeriesNumValue]]+CurrentMtgRatesDataTable811[[#This Row],[Servicing Spread Non-Zero]]</f>
        <v>4.0823436875840713</v>
      </c>
    </row>
    <row r="902" spans="2:13" x14ac:dyDescent="0.2">
      <c r="B902" s="27" t="s">
        <v>1583</v>
      </c>
      <c r="C902" s="28">
        <v>3.2664759262762</v>
      </c>
      <c r="D902" s="26">
        <v>4.0750000000000002</v>
      </c>
      <c r="E902" s="24">
        <f t="shared" si="56"/>
        <v>5</v>
      </c>
      <c r="F902" s="24">
        <f>VLOOKUP(E902,Q$5:R$11,2,FALSE)</f>
        <v>0.2</v>
      </c>
      <c r="G902" s="24">
        <f t="shared" si="57"/>
        <v>2</v>
      </c>
      <c r="H902" s="24">
        <f>IF(G902&gt;G901,H901+C902*F902,C902*F902)</f>
        <v>1.3096346223316142</v>
      </c>
      <c r="I902" s="24">
        <f t="shared" si="58"/>
        <v>0.4</v>
      </c>
      <c r="J902" s="24">
        <f t="shared" si="59"/>
        <v>0</v>
      </c>
      <c r="K902" s="24">
        <f>IF(CurrentMtgRatesDataTable811[[#This Row],[WA CC]]&lt;&gt;0,D901-CurrentMtgRatesDataTable811[[#This Row],[WA CC]],0)</f>
        <v>0</v>
      </c>
      <c r="L902" s="24">
        <f>IF(CurrentMtgRatesDataTable811[[#This Row],[Servicing Spread]]&lt;=0,L901,CurrentMtgRatesDataTable811[[#This Row],[Servicing Spread]])</f>
        <v>0.80064650220220157</v>
      </c>
      <c r="M902" s="24">
        <f>CurrentMtgRatesDataTable811[[#This Row],[SeriesNumValue]]+CurrentMtgRatesDataTable811[[#This Row],[Servicing Spread Non-Zero]]</f>
        <v>4.0671224284784016</v>
      </c>
    </row>
    <row r="903" spans="2:13" x14ac:dyDescent="0.2">
      <c r="B903" s="27" t="s">
        <v>1584</v>
      </c>
      <c r="C903" s="28">
        <v>3.2329417252497299</v>
      </c>
      <c r="D903" s="26">
        <v>4.0750000000000002</v>
      </c>
      <c r="E903" s="24">
        <f t="shared" si="56"/>
        <v>6</v>
      </c>
      <c r="F903" s="24">
        <f>VLOOKUP(E903,Q$5:R$11,2,FALSE)</f>
        <v>0.2</v>
      </c>
      <c r="G903" s="24">
        <f t="shared" si="57"/>
        <v>3</v>
      </c>
      <c r="H903" s="24">
        <f>IF(G903&gt;G902,H902+C903*F903,C903*F903)</f>
        <v>1.9562229673815601</v>
      </c>
      <c r="I903" s="24">
        <f t="shared" si="58"/>
        <v>0.60000000000000009</v>
      </c>
      <c r="J903" s="24">
        <f t="shared" si="59"/>
        <v>0</v>
      </c>
      <c r="K903" s="24">
        <f>IF(CurrentMtgRatesDataTable811[[#This Row],[WA CC]]&lt;&gt;0,D902-CurrentMtgRatesDataTable811[[#This Row],[WA CC]],0)</f>
        <v>0</v>
      </c>
      <c r="L903" s="24">
        <f>IF(CurrentMtgRatesDataTable811[[#This Row],[Servicing Spread]]&lt;=0,L902,CurrentMtgRatesDataTable811[[#This Row],[Servicing Spread]])</f>
        <v>0.80064650220220157</v>
      </c>
      <c r="M903" s="24">
        <f>CurrentMtgRatesDataTable811[[#This Row],[SeriesNumValue]]+CurrentMtgRatesDataTable811[[#This Row],[Servicing Spread Non-Zero]]</f>
        <v>4.033588227451931</v>
      </c>
    </row>
    <row r="904" spans="2:13" x14ac:dyDescent="0.2">
      <c r="B904" s="27" t="s">
        <v>1585</v>
      </c>
      <c r="C904" s="28">
        <v>3.2185084565507598</v>
      </c>
      <c r="D904" s="26">
        <v>4.0750000000000002</v>
      </c>
      <c r="E904" s="24">
        <f t="shared" si="56"/>
        <v>7</v>
      </c>
      <c r="F904" s="24">
        <f>VLOOKUP(E904,Q$5:R$11,2,FALSE)</f>
        <v>0.2</v>
      </c>
      <c r="G904" s="24">
        <f t="shared" si="57"/>
        <v>4</v>
      </c>
      <c r="H904" s="24">
        <f>IF(G904&gt;G903,H903+C904*F904,C904*F904)</f>
        <v>2.599924658691712</v>
      </c>
      <c r="I904" s="24">
        <f t="shared" si="58"/>
        <v>0.8</v>
      </c>
      <c r="J904" s="24">
        <f t="shared" si="59"/>
        <v>3.2499058233646396</v>
      </c>
      <c r="K904" s="24">
        <f>IF(CurrentMtgRatesDataTable811[[#This Row],[WA CC]]&lt;&gt;0,D903-CurrentMtgRatesDataTable811[[#This Row],[WA CC]],0)</f>
        <v>0.82509417663536055</v>
      </c>
      <c r="L904" s="24">
        <f>IF(CurrentMtgRatesDataTable811[[#This Row],[Servicing Spread]]&lt;=0,L903,CurrentMtgRatesDataTable811[[#This Row],[Servicing Spread]])</f>
        <v>0.82509417663536055</v>
      </c>
      <c r="M904" s="24">
        <f>CurrentMtgRatesDataTable811[[#This Row],[SeriesNumValue]]+CurrentMtgRatesDataTable811[[#This Row],[Servicing Spread Non-Zero]]</f>
        <v>4.0436026331861203</v>
      </c>
    </row>
    <row r="905" spans="2:13" x14ac:dyDescent="0.2">
      <c r="B905" s="27" t="s">
        <v>1586</v>
      </c>
      <c r="C905" s="28">
        <v>3.20098644724558</v>
      </c>
      <c r="D905" s="26">
        <v>4.03</v>
      </c>
      <c r="E905" s="24">
        <f t="shared" si="56"/>
        <v>1</v>
      </c>
      <c r="F905" s="24">
        <f>VLOOKUP(E905,Q$5:R$11,2,FALSE)</f>
        <v>0.2</v>
      </c>
      <c r="G905" s="24">
        <f t="shared" si="57"/>
        <v>1</v>
      </c>
      <c r="H905" s="24">
        <f>IF(G905&gt;G904,H904+C905*F905,C905*F905)</f>
        <v>0.64019728944911602</v>
      </c>
      <c r="I905" s="24">
        <f t="shared" si="58"/>
        <v>0.2</v>
      </c>
      <c r="J905" s="24">
        <f t="shared" si="59"/>
        <v>0</v>
      </c>
      <c r="K905" s="24">
        <f>IF(CurrentMtgRatesDataTable811[[#This Row],[WA CC]]&lt;&gt;0,D904-CurrentMtgRatesDataTable811[[#This Row],[WA CC]],0)</f>
        <v>0</v>
      </c>
      <c r="L905" s="24">
        <f>IF(CurrentMtgRatesDataTable811[[#This Row],[Servicing Spread]]&lt;=0,L904,CurrentMtgRatesDataTable811[[#This Row],[Servicing Spread]])</f>
        <v>0.82509417663536055</v>
      </c>
      <c r="M905" s="24">
        <f>CurrentMtgRatesDataTable811[[#This Row],[SeriesNumValue]]+CurrentMtgRatesDataTable811[[#This Row],[Servicing Spread Non-Zero]]</f>
        <v>4.0260806238809401</v>
      </c>
    </row>
    <row r="906" spans="2:13" x14ac:dyDescent="0.2">
      <c r="B906" s="27" t="s">
        <v>1587</v>
      </c>
      <c r="C906" s="28">
        <v>3.1874045932907902</v>
      </c>
      <c r="D906" s="26">
        <v>4.03</v>
      </c>
      <c r="E906" s="24">
        <f t="shared" si="56"/>
        <v>2</v>
      </c>
      <c r="F906" s="24">
        <f>VLOOKUP(E906,Q$5:R$11,2,FALSE)</f>
        <v>0.2</v>
      </c>
      <c r="G906" s="24">
        <f t="shared" si="57"/>
        <v>2</v>
      </c>
      <c r="H906" s="24">
        <f>IF(G906&gt;G905,H905+C906*F906,C906*F906)</f>
        <v>1.2776782081072739</v>
      </c>
      <c r="I906" s="24">
        <f t="shared" si="58"/>
        <v>0.4</v>
      </c>
      <c r="J906" s="24">
        <f t="shared" si="59"/>
        <v>0</v>
      </c>
      <c r="K906" s="24">
        <f>IF(CurrentMtgRatesDataTable811[[#This Row],[WA CC]]&lt;&gt;0,D905-CurrentMtgRatesDataTable811[[#This Row],[WA CC]],0)</f>
        <v>0</v>
      </c>
      <c r="L906" s="24">
        <f>IF(CurrentMtgRatesDataTable811[[#This Row],[Servicing Spread]]&lt;=0,L905,CurrentMtgRatesDataTable811[[#This Row],[Servicing Spread]])</f>
        <v>0.82509417663536055</v>
      </c>
      <c r="M906" s="24">
        <f>CurrentMtgRatesDataTable811[[#This Row],[SeriesNumValue]]+CurrentMtgRatesDataTable811[[#This Row],[Servicing Spread Non-Zero]]</f>
        <v>4.0124987699261503</v>
      </c>
    </row>
    <row r="907" spans="2:13" x14ac:dyDescent="0.2">
      <c r="B907" s="27" t="s">
        <v>1588</v>
      </c>
      <c r="C907" s="28">
        <v>3.22381281335216</v>
      </c>
      <c r="D907" s="26">
        <v>4.03</v>
      </c>
      <c r="E907" s="24">
        <f t="shared" si="56"/>
        <v>5</v>
      </c>
      <c r="F907" s="24">
        <f>VLOOKUP(E907,Q$5:R$11,2,FALSE)</f>
        <v>0.2</v>
      </c>
      <c r="G907" s="24">
        <f t="shared" si="57"/>
        <v>3</v>
      </c>
      <c r="H907" s="24">
        <f>IF(G907&gt;G906,H906+C907*F907,C907*F907)</f>
        <v>1.922440770777706</v>
      </c>
      <c r="I907" s="24">
        <f t="shared" si="58"/>
        <v>0.60000000000000009</v>
      </c>
      <c r="J907" s="24">
        <f t="shared" si="59"/>
        <v>0</v>
      </c>
      <c r="K907" s="24">
        <f>IF(CurrentMtgRatesDataTable811[[#This Row],[WA CC]]&lt;&gt;0,D906-CurrentMtgRatesDataTable811[[#This Row],[WA CC]],0)</f>
        <v>0</v>
      </c>
      <c r="L907" s="24">
        <f>IF(CurrentMtgRatesDataTable811[[#This Row],[Servicing Spread]]&lt;=0,L906,CurrentMtgRatesDataTable811[[#This Row],[Servicing Spread]])</f>
        <v>0.82509417663536055</v>
      </c>
      <c r="M907" s="24">
        <f>CurrentMtgRatesDataTable811[[#This Row],[SeriesNumValue]]+CurrentMtgRatesDataTable811[[#This Row],[Servicing Spread Non-Zero]]</f>
        <v>4.0489069899875201</v>
      </c>
    </row>
    <row r="908" spans="2:13" x14ac:dyDescent="0.2">
      <c r="B908" s="27" t="s">
        <v>1589</v>
      </c>
      <c r="C908" s="28">
        <v>3.2327612765480098</v>
      </c>
      <c r="D908" s="26">
        <v>4.03</v>
      </c>
      <c r="E908" s="24">
        <f t="shared" si="56"/>
        <v>6</v>
      </c>
      <c r="F908" s="24">
        <f>VLOOKUP(E908,Q$5:R$11,2,FALSE)</f>
        <v>0.2</v>
      </c>
      <c r="G908" s="24">
        <f t="shared" si="57"/>
        <v>4</v>
      </c>
      <c r="H908" s="24">
        <f>IF(G908&gt;G907,H907+C908*F908,C908*F908)</f>
        <v>2.5689930260873082</v>
      </c>
      <c r="I908" s="24">
        <f t="shared" si="58"/>
        <v>0.8</v>
      </c>
      <c r="J908" s="24">
        <f t="shared" si="59"/>
        <v>0</v>
      </c>
      <c r="K908" s="24">
        <f>IF(CurrentMtgRatesDataTable811[[#This Row],[WA CC]]&lt;&gt;0,D907-CurrentMtgRatesDataTable811[[#This Row],[WA CC]],0)</f>
        <v>0</v>
      </c>
      <c r="L908" s="24">
        <f>IF(CurrentMtgRatesDataTable811[[#This Row],[Servicing Spread]]&lt;=0,L907,CurrentMtgRatesDataTable811[[#This Row],[Servicing Spread]])</f>
        <v>0.82509417663536055</v>
      </c>
      <c r="M908" s="24">
        <f>CurrentMtgRatesDataTable811[[#This Row],[SeriesNumValue]]+CurrentMtgRatesDataTable811[[#This Row],[Servicing Spread Non-Zero]]</f>
        <v>4.0578554531833699</v>
      </c>
    </row>
    <row r="909" spans="2:13" x14ac:dyDescent="0.2">
      <c r="B909" s="27" t="s">
        <v>1590</v>
      </c>
      <c r="C909" s="28">
        <v>3.23587971649664</v>
      </c>
      <c r="D909" s="26">
        <v>4.03</v>
      </c>
      <c r="E909" s="24">
        <f t="shared" si="56"/>
        <v>7</v>
      </c>
      <c r="F909" s="24">
        <f>VLOOKUP(E909,Q$5:R$11,2,FALSE)</f>
        <v>0.2</v>
      </c>
      <c r="G909" s="24">
        <f t="shared" si="57"/>
        <v>5</v>
      </c>
      <c r="H909" s="24">
        <f>IF(G909&gt;G908,H908+C909*F909,C909*F909)</f>
        <v>3.2161689693866364</v>
      </c>
      <c r="I909" s="24">
        <f t="shared" si="58"/>
        <v>1</v>
      </c>
      <c r="J909" s="24">
        <f t="shared" si="59"/>
        <v>3.2161689693866364</v>
      </c>
      <c r="K909" s="24">
        <f>IF(CurrentMtgRatesDataTable811[[#This Row],[WA CC]]&lt;&gt;0,D908-CurrentMtgRatesDataTable811[[#This Row],[WA CC]],0)</f>
        <v>0.81383103061336382</v>
      </c>
      <c r="L909" s="24">
        <f>IF(CurrentMtgRatesDataTable811[[#This Row],[Servicing Spread]]&lt;=0,L908,CurrentMtgRatesDataTable811[[#This Row],[Servicing Spread]])</f>
        <v>0.81383103061336382</v>
      </c>
      <c r="M909" s="24">
        <f>CurrentMtgRatesDataTable811[[#This Row],[SeriesNumValue]]+CurrentMtgRatesDataTable811[[#This Row],[Servicing Spread Non-Zero]]</f>
        <v>4.0497107471100033</v>
      </c>
    </row>
    <row r="910" spans="2:13" x14ac:dyDescent="0.2">
      <c r="B910" s="27" t="s">
        <v>1591</v>
      </c>
      <c r="C910" s="28">
        <v>3.1839990162061</v>
      </c>
      <c r="D910" s="26">
        <v>4.03</v>
      </c>
      <c r="E910" s="24">
        <f t="shared" si="56"/>
        <v>1</v>
      </c>
      <c r="F910" s="24">
        <f>VLOOKUP(E910,Q$5:R$11,2,FALSE)</f>
        <v>0.2</v>
      </c>
      <c r="G910" s="24">
        <f t="shared" si="57"/>
        <v>1</v>
      </c>
      <c r="H910" s="24">
        <f>IF(G910&gt;G909,H909+C910*F910,C910*F910)</f>
        <v>0.6367998032412201</v>
      </c>
      <c r="I910" s="24">
        <f t="shared" si="58"/>
        <v>0.2</v>
      </c>
      <c r="J910" s="24">
        <f t="shared" si="59"/>
        <v>0</v>
      </c>
      <c r="K910" s="24">
        <f>IF(CurrentMtgRatesDataTable811[[#This Row],[WA CC]]&lt;&gt;0,D909-CurrentMtgRatesDataTable811[[#This Row],[WA CC]],0)</f>
        <v>0</v>
      </c>
      <c r="L910" s="24">
        <f>IF(CurrentMtgRatesDataTable811[[#This Row],[Servicing Spread]]&lt;=0,L909,CurrentMtgRatesDataTable811[[#This Row],[Servicing Spread]])</f>
        <v>0.81383103061336382</v>
      </c>
      <c r="M910" s="24">
        <f>CurrentMtgRatesDataTable811[[#This Row],[SeriesNumValue]]+CurrentMtgRatesDataTable811[[#This Row],[Servicing Spread Non-Zero]]</f>
        <v>3.9978300468194639</v>
      </c>
    </row>
    <row r="911" spans="2:13" x14ac:dyDescent="0.2">
      <c r="B911" s="27" t="s">
        <v>1592</v>
      </c>
      <c r="C911" s="28">
        <v>3.1834552504580702</v>
      </c>
      <c r="D911" s="26">
        <v>4.03</v>
      </c>
      <c r="E911" s="24">
        <f t="shared" si="56"/>
        <v>2</v>
      </c>
      <c r="F911" s="24">
        <f>VLOOKUP(E911,Q$5:R$11,2,FALSE)</f>
        <v>0.2</v>
      </c>
      <c r="G911" s="24">
        <f t="shared" si="57"/>
        <v>2</v>
      </c>
      <c r="H911" s="24">
        <f>IF(G911&gt;G910,H910+C911*F911,C911*F911)</f>
        <v>1.2734908533328342</v>
      </c>
      <c r="I911" s="24">
        <f t="shared" si="58"/>
        <v>0.4</v>
      </c>
      <c r="J911" s="24">
        <f t="shared" si="59"/>
        <v>0</v>
      </c>
      <c r="K911" s="24">
        <f>IF(CurrentMtgRatesDataTable811[[#This Row],[WA CC]]&lt;&gt;0,D910-CurrentMtgRatesDataTable811[[#This Row],[WA CC]],0)</f>
        <v>0</v>
      </c>
      <c r="L911" s="24">
        <f>IF(CurrentMtgRatesDataTable811[[#This Row],[Servicing Spread]]&lt;=0,L910,CurrentMtgRatesDataTable811[[#This Row],[Servicing Spread]])</f>
        <v>0.81383103061336382</v>
      </c>
      <c r="M911" s="24">
        <f>CurrentMtgRatesDataTable811[[#This Row],[SeriesNumValue]]+CurrentMtgRatesDataTable811[[#This Row],[Servicing Spread Non-Zero]]</f>
        <v>3.997286281071434</v>
      </c>
    </row>
    <row r="912" spans="2:13" x14ac:dyDescent="0.2">
      <c r="B912" s="27" t="s">
        <v>1593</v>
      </c>
      <c r="C912" s="28">
        <v>3.1797287048205698</v>
      </c>
      <c r="D912" s="26">
        <v>4.03</v>
      </c>
      <c r="E912" s="24">
        <f t="shared" si="56"/>
        <v>5</v>
      </c>
      <c r="F912" s="24">
        <f>VLOOKUP(E912,Q$5:R$11,2,FALSE)</f>
        <v>0.2</v>
      </c>
      <c r="G912" s="24">
        <f t="shared" si="57"/>
        <v>3</v>
      </c>
      <c r="H912" s="24">
        <f>IF(G912&gt;G911,H911+C912*F912,C912*F912)</f>
        <v>1.9094365942969482</v>
      </c>
      <c r="I912" s="24">
        <f t="shared" si="58"/>
        <v>0.60000000000000009</v>
      </c>
      <c r="J912" s="24">
        <f t="shared" si="59"/>
        <v>0</v>
      </c>
      <c r="K912" s="24">
        <f>IF(CurrentMtgRatesDataTable811[[#This Row],[WA CC]]&lt;&gt;0,D911-CurrentMtgRatesDataTable811[[#This Row],[WA CC]],0)</f>
        <v>0</v>
      </c>
      <c r="L912" s="24">
        <f>IF(CurrentMtgRatesDataTable811[[#This Row],[Servicing Spread]]&lt;=0,L911,CurrentMtgRatesDataTable811[[#This Row],[Servicing Spread]])</f>
        <v>0.81383103061336382</v>
      </c>
      <c r="M912" s="24">
        <f>CurrentMtgRatesDataTable811[[#This Row],[SeriesNumValue]]+CurrentMtgRatesDataTable811[[#This Row],[Servicing Spread Non-Zero]]</f>
        <v>3.9935597354339336</v>
      </c>
    </row>
    <row r="913" spans="2:13" x14ac:dyDescent="0.2">
      <c r="B913" s="27" t="s">
        <v>1594</v>
      </c>
      <c r="C913" s="28">
        <v>3.1713427686584299</v>
      </c>
      <c r="D913" s="26">
        <v>4.03</v>
      </c>
      <c r="E913" s="24">
        <f t="shared" si="56"/>
        <v>6</v>
      </c>
      <c r="F913" s="24">
        <f>VLOOKUP(E913,Q$5:R$11,2,FALSE)</f>
        <v>0.2</v>
      </c>
      <c r="G913" s="24">
        <f t="shared" si="57"/>
        <v>4</v>
      </c>
      <c r="H913" s="24">
        <f>IF(G913&gt;G912,H912+C913*F913,C913*F913)</f>
        <v>2.5437051480286343</v>
      </c>
      <c r="I913" s="24">
        <f t="shared" si="58"/>
        <v>0.8</v>
      </c>
      <c r="J913" s="24">
        <f t="shared" si="59"/>
        <v>0</v>
      </c>
      <c r="K913" s="24">
        <f>IF(CurrentMtgRatesDataTable811[[#This Row],[WA CC]]&lt;&gt;0,D912-CurrentMtgRatesDataTable811[[#This Row],[WA CC]],0)</f>
        <v>0</v>
      </c>
      <c r="L913" s="24">
        <f>IF(CurrentMtgRatesDataTable811[[#This Row],[Servicing Spread]]&lt;=0,L912,CurrentMtgRatesDataTable811[[#This Row],[Servicing Spread]])</f>
        <v>0.81383103061336382</v>
      </c>
      <c r="M913" s="24">
        <f>CurrentMtgRatesDataTable811[[#This Row],[SeriesNumValue]]+CurrentMtgRatesDataTable811[[#This Row],[Servicing Spread Non-Zero]]</f>
        <v>3.9851737992717937</v>
      </c>
    </row>
    <row r="914" spans="2:13" x14ac:dyDescent="0.2">
      <c r="B914" s="27" t="s">
        <v>1595</v>
      </c>
      <c r="C914" s="28">
        <v>3.18443166753908</v>
      </c>
      <c r="D914" s="26">
        <v>4.03</v>
      </c>
      <c r="E914" s="24">
        <f t="shared" si="56"/>
        <v>7</v>
      </c>
      <c r="F914" s="24">
        <f>VLOOKUP(E914,Q$5:R$11,2,FALSE)</f>
        <v>0.2</v>
      </c>
      <c r="G914" s="24">
        <f t="shared" si="57"/>
        <v>5</v>
      </c>
      <c r="H914" s="24">
        <f>IF(G914&gt;G913,H913+C914*F914,C914*F914)</f>
        <v>3.1805914815364504</v>
      </c>
      <c r="I914" s="24">
        <f t="shared" si="58"/>
        <v>1</v>
      </c>
      <c r="J914" s="24">
        <f t="shared" si="59"/>
        <v>3.1805914815364504</v>
      </c>
      <c r="K914" s="24">
        <f>IF(CurrentMtgRatesDataTable811[[#This Row],[WA CC]]&lt;&gt;0,D913-CurrentMtgRatesDataTable811[[#This Row],[WA CC]],0)</f>
        <v>0.84940851846354981</v>
      </c>
      <c r="L914" s="24">
        <f>IF(CurrentMtgRatesDataTable811[[#This Row],[Servicing Spread]]&lt;=0,L913,CurrentMtgRatesDataTable811[[#This Row],[Servicing Spread]])</f>
        <v>0.84940851846354981</v>
      </c>
      <c r="M914" s="24">
        <f>CurrentMtgRatesDataTable811[[#This Row],[SeriesNumValue]]+CurrentMtgRatesDataTable811[[#This Row],[Servicing Spread Non-Zero]]</f>
        <v>4.0338401860026298</v>
      </c>
    </row>
    <row r="915" spans="2:13" x14ac:dyDescent="0.2">
      <c r="B915" s="27" t="s">
        <v>1596</v>
      </c>
      <c r="C915" s="28">
        <v>3.2359256063250199</v>
      </c>
      <c r="D915" s="26">
        <v>4.0200000000000005</v>
      </c>
      <c r="E915" s="24">
        <f t="shared" si="56"/>
        <v>1</v>
      </c>
      <c r="F915" s="24">
        <f>VLOOKUP(E915,Q$5:R$11,2,FALSE)</f>
        <v>0.2</v>
      </c>
      <c r="G915" s="24">
        <f t="shared" si="57"/>
        <v>1</v>
      </c>
      <c r="H915" s="24">
        <f>IF(G915&gt;G914,H914+C915*F915,C915*F915)</f>
        <v>0.64718512126500405</v>
      </c>
      <c r="I915" s="24">
        <f t="shared" si="58"/>
        <v>0.2</v>
      </c>
      <c r="J915" s="24">
        <f t="shared" si="59"/>
        <v>0</v>
      </c>
      <c r="K915" s="24">
        <f>IF(CurrentMtgRatesDataTable811[[#This Row],[WA CC]]&lt;&gt;0,D914-CurrentMtgRatesDataTable811[[#This Row],[WA CC]],0)</f>
        <v>0</v>
      </c>
      <c r="L915" s="24">
        <f>IF(CurrentMtgRatesDataTable811[[#This Row],[Servicing Spread]]&lt;=0,L914,CurrentMtgRatesDataTable811[[#This Row],[Servicing Spread]])</f>
        <v>0.84940851846354981</v>
      </c>
      <c r="M915" s="24">
        <f>CurrentMtgRatesDataTable811[[#This Row],[SeriesNumValue]]+CurrentMtgRatesDataTable811[[#This Row],[Servicing Spread Non-Zero]]</f>
        <v>4.0853341247885702</v>
      </c>
    </row>
    <row r="916" spans="2:13" x14ac:dyDescent="0.2">
      <c r="B916" s="27" t="s">
        <v>1597</v>
      </c>
      <c r="C916" s="28">
        <v>3.1915306555493599</v>
      </c>
      <c r="D916" s="26">
        <v>4.0200000000000005</v>
      </c>
      <c r="E916" s="24">
        <f t="shared" si="56"/>
        <v>2</v>
      </c>
      <c r="F916" s="24">
        <f>VLOOKUP(E916,Q$5:R$11,2,FALSE)</f>
        <v>0.2</v>
      </c>
      <c r="G916" s="24">
        <f t="shared" si="57"/>
        <v>2</v>
      </c>
      <c r="H916" s="24">
        <f>IF(G916&gt;G915,H915+C916*F916,C916*F916)</f>
        <v>1.285491252374876</v>
      </c>
      <c r="I916" s="24">
        <f t="shared" si="58"/>
        <v>0.4</v>
      </c>
      <c r="J916" s="24">
        <f t="shared" si="59"/>
        <v>0</v>
      </c>
      <c r="K916" s="24">
        <f>IF(CurrentMtgRatesDataTable811[[#This Row],[WA CC]]&lt;&gt;0,D915-CurrentMtgRatesDataTable811[[#This Row],[WA CC]],0)</f>
        <v>0</v>
      </c>
      <c r="L916" s="24">
        <f>IF(CurrentMtgRatesDataTable811[[#This Row],[Servicing Spread]]&lt;=0,L915,CurrentMtgRatesDataTable811[[#This Row],[Servicing Spread]])</f>
        <v>0.84940851846354981</v>
      </c>
      <c r="M916" s="24">
        <f>CurrentMtgRatesDataTable811[[#This Row],[SeriesNumValue]]+CurrentMtgRatesDataTable811[[#This Row],[Servicing Spread Non-Zero]]</f>
        <v>4.0409391740129097</v>
      </c>
    </row>
    <row r="917" spans="2:13" x14ac:dyDescent="0.2">
      <c r="B917" s="27" t="s">
        <v>1598</v>
      </c>
      <c r="C917" s="28">
        <v>3.2049602013827001</v>
      </c>
      <c r="D917" s="26">
        <v>4.0200000000000005</v>
      </c>
      <c r="E917" s="24">
        <f t="shared" si="56"/>
        <v>5</v>
      </c>
      <c r="F917" s="24">
        <f>VLOOKUP(E917,Q$5:R$11,2,FALSE)</f>
        <v>0.2</v>
      </c>
      <c r="G917" s="24">
        <f t="shared" si="57"/>
        <v>3</v>
      </c>
      <c r="H917" s="24">
        <f>IF(G917&gt;G916,H916+C917*F917,C917*F917)</f>
        <v>1.9264832926514162</v>
      </c>
      <c r="I917" s="24">
        <f t="shared" si="58"/>
        <v>0.60000000000000009</v>
      </c>
      <c r="J917" s="24">
        <f t="shared" si="59"/>
        <v>0</v>
      </c>
      <c r="K917" s="24">
        <f>IF(CurrentMtgRatesDataTable811[[#This Row],[WA CC]]&lt;&gt;0,D916-CurrentMtgRatesDataTable811[[#This Row],[WA CC]],0)</f>
        <v>0</v>
      </c>
      <c r="L917" s="24">
        <f>IF(CurrentMtgRatesDataTable811[[#This Row],[Servicing Spread]]&lt;=0,L916,CurrentMtgRatesDataTable811[[#This Row],[Servicing Spread]])</f>
        <v>0.84940851846354981</v>
      </c>
      <c r="M917" s="24">
        <f>CurrentMtgRatesDataTable811[[#This Row],[SeriesNumValue]]+CurrentMtgRatesDataTable811[[#This Row],[Servicing Spread Non-Zero]]</f>
        <v>4.0543687198462504</v>
      </c>
    </row>
    <row r="918" spans="2:13" x14ac:dyDescent="0.2">
      <c r="B918" s="27" t="s">
        <v>1599</v>
      </c>
      <c r="C918" s="28">
        <v>3.1823757597493798</v>
      </c>
      <c r="D918" s="26">
        <v>4.0200000000000005</v>
      </c>
      <c r="E918" s="24">
        <f t="shared" si="56"/>
        <v>6</v>
      </c>
      <c r="F918" s="24">
        <f>VLOOKUP(E918,Q$5:R$11,2,FALSE)</f>
        <v>0.2</v>
      </c>
      <c r="G918" s="24">
        <f t="shared" si="57"/>
        <v>4</v>
      </c>
      <c r="H918" s="24">
        <f>IF(G918&gt;G917,H917+C918*F918,C918*F918)</f>
        <v>2.5629584446012923</v>
      </c>
      <c r="I918" s="24">
        <f t="shared" si="58"/>
        <v>0.8</v>
      </c>
      <c r="J918" s="24">
        <f t="shared" si="59"/>
        <v>0</v>
      </c>
      <c r="K918" s="24">
        <f>IF(CurrentMtgRatesDataTable811[[#This Row],[WA CC]]&lt;&gt;0,D917-CurrentMtgRatesDataTable811[[#This Row],[WA CC]],0)</f>
        <v>0</v>
      </c>
      <c r="L918" s="24">
        <f>IF(CurrentMtgRatesDataTable811[[#This Row],[Servicing Spread]]&lt;=0,L917,CurrentMtgRatesDataTable811[[#This Row],[Servicing Spread]])</f>
        <v>0.84940851846354981</v>
      </c>
      <c r="M918" s="24">
        <f>CurrentMtgRatesDataTable811[[#This Row],[SeriesNumValue]]+CurrentMtgRatesDataTable811[[#This Row],[Servicing Spread Non-Zero]]</f>
        <v>4.0317842782129301</v>
      </c>
    </row>
    <row r="919" spans="2:13" x14ac:dyDescent="0.2">
      <c r="B919" s="27" t="s">
        <v>1600</v>
      </c>
      <c r="C919" s="28">
        <v>3.2657922043638301</v>
      </c>
      <c r="D919" s="26">
        <v>4.0200000000000005</v>
      </c>
      <c r="E919" s="24">
        <f t="shared" si="56"/>
        <v>7</v>
      </c>
      <c r="F919" s="24">
        <f>VLOOKUP(E919,Q$5:R$11,2,FALSE)</f>
        <v>0.2</v>
      </c>
      <c r="G919" s="24">
        <f t="shared" si="57"/>
        <v>5</v>
      </c>
      <c r="H919" s="24">
        <f>IF(G919&gt;G918,H918+C919*F919,C919*F919)</f>
        <v>3.2161168854740585</v>
      </c>
      <c r="I919" s="24">
        <f t="shared" si="58"/>
        <v>1</v>
      </c>
      <c r="J919" s="24">
        <f t="shared" si="59"/>
        <v>3.2161168854740585</v>
      </c>
      <c r="K919" s="24">
        <f>IF(CurrentMtgRatesDataTable811[[#This Row],[WA CC]]&lt;&gt;0,D918-CurrentMtgRatesDataTable811[[#This Row],[WA CC]],0)</f>
        <v>0.80388311452594197</v>
      </c>
      <c r="L919" s="24">
        <f>IF(CurrentMtgRatesDataTable811[[#This Row],[Servicing Spread]]&lt;=0,L918,CurrentMtgRatesDataTable811[[#This Row],[Servicing Spread]])</f>
        <v>0.80388311452594197</v>
      </c>
      <c r="M919" s="24">
        <f>CurrentMtgRatesDataTable811[[#This Row],[SeriesNumValue]]+CurrentMtgRatesDataTable811[[#This Row],[Servicing Spread Non-Zero]]</f>
        <v>4.0696753188897716</v>
      </c>
    </row>
    <row r="920" spans="2:13" x14ac:dyDescent="0.2">
      <c r="B920" s="27" t="s">
        <v>1601</v>
      </c>
      <c r="C920" s="28">
        <v>3.2761065930147799</v>
      </c>
      <c r="D920" s="26">
        <v>4.0649999999999995</v>
      </c>
      <c r="E920" s="24">
        <f t="shared" si="56"/>
        <v>1</v>
      </c>
      <c r="F920" s="24">
        <f>VLOOKUP(E920,Q$5:R$11,2,FALSE)</f>
        <v>0.2</v>
      </c>
      <c r="G920" s="24">
        <f t="shared" si="57"/>
        <v>1</v>
      </c>
      <c r="H920" s="24">
        <f>IF(G920&gt;G919,H919+C920*F920,C920*F920)</f>
        <v>0.65522131860295607</v>
      </c>
      <c r="I920" s="24">
        <f t="shared" si="58"/>
        <v>0.2</v>
      </c>
      <c r="J920" s="24">
        <f t="shared" si="59"/>
        <v>0</v>
      </c>
      <c r="K920" s="24">
        <f>IF(CurrentMtgRatesDataTable811[[#This Row],[WA CC]]&lt;&gt;0,D919-CurrentMtgRatesDataTable811[[#This Row],[WA CC]],0)</f>
        <v>0</v>
      </c>
      <c r="L920" s="24">
        <f>IF(CurrentMtgRatesDataTable811[[#This Row],[Servicing Spread]]&lt;=0,L919,CurrentMtgRatesDataTable811[[#This Row],[Servicing Spread]])</f>
        <v>0.80388311452594197</v>
      </c>
      <c r="M920" s="24">
        <f>CurrentMtgRatesDataTable811[[#This Row],[SeriesNumValue]]+CurrentMtgRatesDataTable811[[#This Row],[Servicing Spread Non-Zero]]</f>
        <v>4.0799897075407223</v>
      </c>
    </row>
    <row r="921" spans="2:13" x14ac:dyDescent="0.2">
      <c r="B921" s="27" t="s">
        <v>1602</v>
      </c>
      <c r="C921" s="28">
        <v>3.2284236378811801</v>
      </c>
      <c r="D921" s="26">
        <v>4.0649999999999995</v>
      </c>
      <c r="E921" s="24">
        <f t="shared" si="56"/>
        <v>2</v>
      </c>
      <c r="F921" s="24">
        <f>VLOOKUP(E921,Q$5:R$11,2,FALSE)</f>
        <v>0.2</v>
      </c>
      <c r="G921" s="24">
        <f t="shared" si="57"/>
        <v>2</v>
      </c>
      <c r="H921" s="24">
        <f>IF(G921&gt;G920,H920+C921*F921,C921*F921)</f>
        <v>1.3009060461791921</v>
      </c>
      <c r="I921" s="24">
        <f t="shared" si="58"/>
        <v>0.4</v>
      </c>
      <c r="J921" s="24">
        <f t="shared" si="59"/>
        <v>0</v>
      </c>
      <c r="K921" s="24">
        <f>IF(CurrentMtgRatesDataTable811[[#This Row],[WA CC]]&lt;&gt;0,D920-CurrentMtgRatesDataTable811[[#This Row],[WA CC]],0)</f>
        <v>0</v>
      </c>
      <c r="L921" s="24">
        <f>IF(CurrentMtgRatesDataTable811[[#This Row],[Servicing Spread]]&lt;=0,L920,CurrentMtgRatesDataTable811[[#This Row],[Servicing Spread]])</f>
        <v>0.80388311452594197</v>
      </c>
      <c r="M921" s="24">
        <f>CurrentMtgRatesDataTable811[[#This Row],[SeriesNumValue]]+CurrentMtgRatesDataTable811[[#This Row],[Servicing Spread Non-Zero]]</f>
        <v>4.0323067524071217</v>
      </c>
    </row>
    <row r="922" spans="2:13" x14ac:dyDescent="0.2">
      <c r="B922" s="27" t="s">
        <v>1603</v>
      </c>
      <c r="C922" s="28">
        <v>3.2178217897536898</v>
      </c>
      <c r="D922" s="26">
        <v>4.0649999999999995</v>
      </c>
      <c r="E922" s="24">
        <f t="shared" si="56"/>
        <v>5</v>
      </c>
      <c r="F922" s="24">
        <f>VLOOKUP(E922,Q$5:R$11,2,FALSE)</f>
        <v>0.2</v>
      </c>
      <c r="G922" s="24">
        <f t="shared" si="57"/>
        <v>3</v>
      </c>
      <c r="H922" s="24">
        <f>IF(G922&gt;G921,H921+C922*F922,C922*F922)</f>
        <v>1.9444704041299301</v>
      </c>
      <c r="I922" s="24">
        <f t="shared" si="58"/>
        <v>0.60000000000000009</v>
      </c>
      <c r="J922" s="24">
        <f t="shared" si="59"/>
        <v>0</v>
      </c>
      <c r="K922" s="24">
        <f>IF(CurrentMtgRatesDataTable811[[#This Row],[WA CC]]&lt;&gt;0,D921-CurrentMtgRatesDataTable811[[#This Row],[WA CC]],0)</f>
        <v>0</v>
      </c>
      <c r="L922" s="24">
        <f>IF(CurrentMtgRatesDataTable811[[#This Row],[Servicing Spread]]&lt;=0,L921,CurrentMtgRatesDataTable811[[#This Row],[Servicing Spread]])</f>
        <v>0.80388311452594197</v>
      </c>
      <c r="M922" s="24">
        <f>CurrentMtgRatesDataTable811[[#This Row],[SeriesNumValue]]+CurrentMtgRatesDataTable811[[#This Row],[Servicing Spread Non-Zero]]</f>
        <v>4.0217049042796322</v>
      </c>
    </row>
    <row r="923" spans="2:13" x14ac:dyDescent="0.2">
      <c r="B923" s="27" t="s">
        <v>1604</v>
      </c>
      <c r="C923" s="28">
        <v>3.21632428795722</v>
      </c>
      <c r="D923" s="26">
        <v>4.0649999999999995</v>
      </c>
      <c r="E923" s="24">
        <f t="shared" si="56"/>
        <v>6</v>
      </c>
      <c r="F923" s="24">
        <f>VLOOKUP(E923,Q$5:R$11,2,FALSE)</f>
        <v>0.2</v>
      </c>
      <c r="G923" s="24">
        <f t="shared" si="57"/>
        <v>4</v>
      </c>
      <c r="H923" s="24">
        <f>IF(G923&gt;G922,H922+C923*F923,C923*F923)</f>
        <v>2.5877352617213742</v>
      </c>
      <c r="I923" s="24">
        <f t="shared" si="58"/>
        <v>0.8</v>
      </c>
      <c r="J923" s="24">
        <f t="shared" si="59"/>
        <v>0</v>
      </c>
      <c r="K923" s="24">
        <f>IF(CurrentMtgRatesDataTable811[[#This Row],[WA CC]]&lt;&gt;0,D922-CurrentMtgRatesDataTable811[[#This Row],[WA CC]],0)</f>
        <v>0</v>
      </c>
      <c r="L923" s="24">
        <f>IF(CurrentMtgRatesDataTable811[[#This Row],[Servicing Spread]]&lt;=0,L922,CurrentMtgRatesDataTable811[[#This Row],[Servicing Spread]])</f>
        <v>0.80388311452594197</v>
      </c>
      <c r="M923" s="24">
        <f>CurrentMtgRatesDataTable811[[#This Row],[SeriesNumValue]]+CurrentMtgRatesDataTable811[[#This Row],[Servicing Spread Non-Zero]]</f>
        <v>4.0202074024831624</v>
      </c>
    </row>
    <row r="924" spans="2:13" x14ac:dyDescent="0.2">
      <c r="B924" s="27" t="s">
        <v>1605</v>
      </c>
      <c r="C924" s="28">
        <v>3.2168042301856699</v>
      </c>
      <c r="D924" s="26">
        <v>4.0649999999999995</v>
      </c>
      <c r="E924" s="24">
        <f t="shared" si="56"/>
        <v>7</v>
      </c>
      <c r="F924" s="24">
        <f>VLOOKUP(E924,Q$5:R$11,2,FALSE)</f>
        <v>0.2</v>
      </c>
      <c r="G924" s="24">
        <f t="shared" si="57"/>
        <v>5</v>
      </c>
      <c r="H924" s="24">
        <f>IF(G924&gt;G923,H923+C924*F924,C924*F924)</f>
        <v>3.2310961077585083</v>
      </c>
      <c r="I924" s="24">
        <f t="shared" si="58"/>
        <v>1</v>
      </c>
      <c r="J924" s="24">
        <f t="shared" si="59"/>
        <v>3.2310961077585083</v>
      </c>
      <c r="K924" s="24">
        <f>IF(CurrentMtgRatesDataTable811[[#This Row],[WA CC]]&lt;&gt;0,D923-CurrentMtgRatesDataTable811[[#This Row],[WA CC]],0)</f>
        <v>0.8339038922414912</v>
      </c>
      <c r="L924" s="24">
        <f>IF(CurrentMtgRatesDataTable811[[#This Row],[Servicing Spread]]&lt;=0,L923,CurrentMtgRatesDataTable811[[#This Row],[Servicing Spread]])</f>
        <v>0.8339038922414912</v>
      </c>
      <c r="M924" s="24">
        <f>CurrentMtgRatesDataTable811[[#This Row],[SeriesNumValue]]+CurrentMtgRatesDataTable811[[#This Row],[Servicing Spread Non-Zero]]</f>
        <v>4.0507081224271611</v>
      </c>
    </row>
    <row r="925" spans="2:13" x14ac:dyDescent="0.2">
      <c r="B925" s="27" t="s">
        <v>1606</v>
      </c>
      <c r="C925" s="28">
        <v>3.1812952620623198</v>
      </c>
      <c r="D925" s="26">
        <v>4.0200000000000005</v>
      </c>
      <c r="E925" s="24">
        <f t="shared" si="56"/>
        <v>1</v>
      </c>
      <c r="F925" s="24">
        <f>VLOOKUP(E925,Q$5:R$11,2,FALSE)</f>
        <v>0.2</v>
      </c>
      <c r="G925" s="24">
        <f t="shared" si="57"/>
        <v>1</v>
      </c>
      <c r="H925" s="24">
        <f>IF(G925&gt;G924,H924+C925*F925,C925*F925)</f>
        <v>0.63625905241246405</v>
      </c>
      <c r="I925" s="24">
        <f t="shared" si="58"/>
        <v>0.2</v>
      </c>
      <c r="J925" s="24">
        <f t="shared" si="59"/>
        <v>0</v>
      </c>
      <c r="K925" s="24">
        <f>IF(CurrentMtgRatesDataTable811[[#This Row],[WA CC]]&lt;&gt;0,D924-CurrentMtgRatesDataTable811[[#This Row],[WA CC]],0)</f>
        <v>0</v>
      </c>
      <c r="L925" s="24">
        <f>IF(CurrentMtgRatesDataTable811[[#This Row],[Servicing Spread]]&lt;=0,L924,CurrentMtgRatesDataTable811[[#This Row],[Servicing Spread]])</f>
        <v>0.8339038922414912</v>
      </c>
      <c r="M925" s="24">
        <f>CurrentMtgRatesDataTable811[[#This Row],[SeriesNumValue]]+CurrentMtgRatesDataTable811[[#This Row],[Servicing Spread Non-Zero]]</f>
        <v>4.0151991543038115</v>
      </c>
    </row>
    <row r="926" spans="2:13" x14ac:dyDescent="0.2">
      <c r="B926" s="27" t="s">
        <v>1607</v>
      </c>
      <c r="C926" s="28">
        <v>3.1721768972748698</v>
      </c>
      <c r="D926" s="26">
        <v>4.0200000000000005</v>
      </c>
      <c r="E926" s="24">
        <f t="shared" si="56"/>
        <v>2</v>
      </c>
      <c r="F926" s="24">
        <f>VLOOKUP(E926,Q$5:R$11,2,FALSE)</f>
        <v>0.2</v>
      </c>
      <c r="G926" s="24">
        <f t="shared" si="57"/>
        <v>2</v>
      </c>
      <c r="H926" s="24">
        <f>IF(G926&gt;G925,H925+C926*F926,C926*F926)</f>
        <v>1.270694431867438</v>
      </c>
      <c r="I926" s="24">
        <f t="shared" si="58"/>
        <v>0.4</v>
      </c>
      <c r="J926" s="24">
        <f t="shared" si="59"/>
        <v>0</v>
      </c>
      <c r="K926" s="24">
        <f>IF(CurrentMtgRatesDataTable811[[#This Row],[WA CC]]&lt;&gt;0,D925-CurrentMtgRatesDataTable811[[#This Row],[WA CC]],0)</f>
        <v>0</v>
      </c>
      <c r="L926" s="24">
        <f>IF(CurrentMtgRatesDataTable811[[#This Row],[Servicing Spread]]&lt;=0,L925,CurrentMtgRatesDataTable811[[#This Row],[Servicing Spread]])</f>
        <v>0.8339038922414912</v>
      </c>
      <c r="M926" s="24">
        <f>CurrentMtgRatesDataTable811[[#This Row],[SeriesNumValue]]+CurrentMtgRatesDataTable811[[#This Row],[Servicing Spread Non-Zero]]</f>
        <v>4.0060807895163606</v>
      </c>
    </row>
    <row r="927" spans="2:13" x14ac:dyDescent="0.2">
      <c r="B927" s="27" t="s">
        <v>1608</v>
      </c>
      <c r="C927" s="28">
        <v>3.1826449451887</v>
      </c>
      <c r="D927" s="26">
        <v>4.0200000000000005</v>
      </c>
      <c r="E927" s="24">
        <f t="shared" si="56"/>
        <v>5</v>
      </c>
      <c r="F927" s="24">
        <f>VLOOKUP(E927,Q$5:R$11,2,FALSE)</f>
        <v>0.2</v>
      </c>
      <c r="G927" s="24">
        <f t="shared" si="57"/>
        <v>3</v>
      </c>
      <c r="H927" s="24">
        <f>IF(G927&gt;G926,H926+C927*F927,C927*F927)</f>
        <v>1.9072234209051779</v>
      </c>
      <c r="I927" s="24">
        <f t="shared" si="58"/>
        <v>0.60000000000000009</v>
      </c>
      <c r="J927" s="24">
        <f t="shared" si="59"/>
        <v>0</v>
      </c>
      <c r="K927" s="24">
        <f>IF(CurrentMtgRatesDataTable811[[#This Row],[WA CC]]&lt;&gt;0,D926-CurrentMtgRatesDataTable811[[#This Row],[WA CC]],0)</f>
        <v>0</v>
      </c>
      <c r="L927" s="24">
        <f>IF(CurrentMtgRatesDataTable811[[#This Row],[Servicing Spread]]&lt;=0,L926,CurrentMtgRatesDataTable811[[#This Row],[Servicing Spread]])</f>
        <v>0.8339038922414912</v>
      </c>
      <c r="M927" s="24">
        <f>CurrentMtgRatesDataTable811[[#This Row],[SeriesNumValue]]+CurrentMtgRatesDataTable811[[#This Row],[Servicing Spread Non-Zero]]</f>
        <v>4.0165488374301912</v>
      </c>
    </row>
    <row r="928" spans="2:13" x14ac:dyDescent="0.2">
      <c r="B928" s="27" t="s">
        <v>1609</v>
      </c>
      <c r="C928" s="28">
        <v>3.1921232293895798</v>
      </c>
      <c r="D928" s="26">
        <v>4.0200000000000005</v>
      </c>
      <c r="E928" s="24">
        <f t="shared" si="56"/>
        <v>6</v>
      </c>
      <c r="F928" s="24">
        <f>VLOOKUP(E928,Q$5:R$11,2,FALSE)</f>
        <v>0.2</v>
      </c>
      <c r="G928" s="24">
        <f t="shared" si="57"/>
        <v>4</v>
      </c>
      <c r="H928" s="24">
        <f>IF(G928&gt;G927,H927+C928*F928,C928*F928)</f>
        <v>2.5456480667830941</v>
      </c>
      <c r="I928" s="24">
        <f t="shared" si="58"/>
        <v>0.8</v>
      </c>
      <c r="J928" s="24">
        <f t="shared" si="59"/>
        <v>0</v>
      </c>
      <c r="K928" s="24">
        <f>IF(CurrentMtgRatesDataTable811[[#This Row],[WA CC]]&lt;&gt;0,D927-CurrentMtgRatesDataTable811[[#This Row],[WA CC]],0)</f>
        <v>0</v>
      </c>
      <c r="L928" s="24">
        <f>IF(CurrentMtgRatesDataTable811[[#This Row],[Servicing Spread]]&lt;=0,L927,CurrentMtgRatesDataTable811[[#This Row],[Servicing Spread]])</f>
        <v>0.8339038922414912</v>
      </c>
      <c r="M928" s="24">
        <f>CurrentMtgRatesDataTable811[[#This Row],[SeriesNumValue]]+CurrentMtgRatesDataTable811[[#This Row],[Servicing Spread Non-Zero]]</f>
        <v>4.0260271216310706</v>
      </c>
    </row>
    <row r="929" spans="2:13" x14ac:dyDescent="0.2">
      <c r="B929" s="27" t="s">
        <v>1610</v>
      </c>
      <c r="C929" s="28">
        <v>3.1611594965890202</v>
      </c>
      <c r="D929" s="26">
        <v>4.0200000000000005</v>
      </c>
      <c r="E929" s="24">
        <f t="shared" si="56"/>
        <v>7</v>
      </c>
      <c r="F929" s="24">
        <f>VLOOKUP(E929,Q$5:R$11,2,FALSE)</f>
        <v>0.2</v>
      </c>
      <c r="G929" s="24">
        <f t="shared" si="57"/>
        <v>5</v>
      </c>
      <c r="H929" s="24">
        <f>IF(G929&gt;G928,H928+C929*F929,C929*F929)</f>
        <v>3.1778799661008983</v>
      </c>
      <c r="I929" s="24">
        <f t="shared" si="58"/>
        <v>1</v>
      </c>
      <c r="J929" s="24">
        <f t="shared" si="59"/>
        <v>3.1778799661008983</v>
      </c>
      <c r="K929" s="24">
        <f>IF(CurrentMtgRatesDataTable811[[#This Row],[WA CC]]&lt;&gt;0,D928-CurrentMtgRatesDataTable811[[#This Row],[WA CC]],0)</f>
        <v>0.84212003389910217</v>
      </c>
      <c r="L929" s="24">
        <f>IF(CurrentMtgRatesDataTable811[[#This Row],[Servicing Spread]]&lt;=0,L928,CurrentMtgRatesDataTable811[[#This Row],[Servicing Spread]])</f>
        <v>0.84212003389910217</v>
      </c>
      <c r="M929" s="24">
        <f>CurrentMtgRatesDataTable811[[#This Row],[SeriesNumValue]]+CurrentMtgRatesDataTable811[[#This Row],[Servicing Spread Non-Zero]]</f>
        <v>4.0032795304881219</v>
      </c>
    </row>
    <row r="930" spans="2:13" x14ac:dyDescent="0.2">
      <c r="B930" s="27" t="s">
        <v>1611</v>
      </c>
      <c r="C930" s="28">
        <v>3.1399551635126901</v>
      </c>
      <c r="D930" s="26">
        <v>3.9749999999999996</v>
      </c>
      <c r="E930" s="24">
        <f t="shared" si="56"/>
        <v>1</v>
      </c>
      <c r="F930" s="24">
        <f>VLOOKUP(E930,Q$5:R$11,2,FALSE)</f>
        <v>0.2</v>
      </c>
      <c r="G930" s="24">
        <f t="shared" si="57"/>
        <v>1</v>
      </c>
      <c r="H930" s="24">
        <f>IF(G930&gt;G929,H929+C930*F930,C930*F930)</f>
        <v>0.62799103270253809</v>
      </c>
      <c r="I930" s="24">
        <f t="shared" si="58"/>
        <v>0.2</v>
      </c>
      <c r="J930" s="24">
        <f t="shared" si="59"/>
        <v>0</v>
      </c>
      <c r="K930" s="24">
        <f>IF(CurrentMtgRatesDataTable811[[#This Row],[WA CC]]&lt;&gt;0,D929-CurrentMtgRatesDataTable811[[#This Row],[WA CC]],0)</f>
        <v>0</v>
      </c>
      <c r="L930" s="24">
        <f>IF(CurrentMtgRatesDataTable811[[#This Row],[Servicing Spread]]&lt;=0,L929,CurrentMtgRatesDataTable811[[#This Row],[Servicing Spread]])</f>
        <v>0.84212003389910217</v>
      </c>
      <c r="M930" s="24">
        <f>CurrentMtgRatesDataTable811[[#This Row],[SeriesNumValue]]+CurrentMtgRatesDataTable811[[#This Row],[Servicing Spread Non-Zero]]</f>
        <v>3.9820751974117923</v>
      </c>
    </row>
    <row r="931" spans="2:13" x14ac:dyDescent="0.2">
      <c r="B931" s="27" t="s">
        <v>1612</v>
      </c>
      <c r="C931" s="28">
        <v>3.0935764216510502</v>
      </c>
      <c r="D931" s="26">
        <v>3.9749999999999996</v>
      </c>
      <c r="E931" s="24">
        <f t="shared" si="56"/>
        <v>2</v>
      </c>
      <c r="F931" s="24">
        <f>VLOOKUP(E931,Q$5:R$11,2,FALSE)</f>
        <v>0.2</v>
      </c>
      <c r="G931" s="24">
        <f t="shared" si="57"/>
        <v>2</v>
      </c>
      <c r="H931" s="24">
        <f>IF(G931&gt;G930,H930+C931*F931,C931*F931)</f>
        <v>1.2467063170327481</v>
      </c>
      <c r="I931" s="24">
        <f t="shared" si="58"/>
        <v>0.4</v>
      </c>
      <c r="J931" s="24">
        <f t="shared" si="59"/>
        <v>0</v>
      </c>
      <c r="K931" s="24">
        <f>IF(CurrentMtgRatesDataTable811[[#This Row],[WA CC]]&lt;&gt;0,D930-CurrentMtgRatesDataTable811[[#This Row],[WA CC]],0)</f>
        <v>0</v>
      </c>
      <c r="L931" s="24">
        <f>IF(CurrentMtgRatesDataTable811[[#This Row],[Servicing Spread]]&lt;=0,L930,CurrentMtgRatesDataTable811[[#This Row],[Servicing Spread]])</f>
        <v>0.84212003389910217</v>
      </c>
      <c r="M931" s="24">
        <f>CurrentMtgRatesDataTable811[[#This Row],[SeriesNumValue]]+CurrentMtgRatesDataTable811[[#This Row],[Servicing Spread Non-Zero]]</f>
        <v>3.9356964555501524</v>
      </c>
    </row>
    <row r="932" spans="2:13" x14ac:dyDescent="0.2">
      <c r="B932" s="27" t="s">
        <v>1613</v>
      </c>
      <c r="C932" s="28">
        <v>3.1399786597886301</v>
      </c>
      <c r="D932" s="26">
        <v>3.9749999999999996</v>
      </c>
      <c r="E932" s="24">
        <f t="shared" si="56"/>
        <v>5</v>
      </c>
      <c r="F932" s="24">
        <f>VLOOKUP(E932,Q$5:R$11,2,FALSE)</f>
        <v>0.2</v>
      </c>
      <c r="G932" s="24">
        <f t="shared" si="57"/>
        <v>3</v>
      </c>
      <c r="H932" s="24">
        <f>IF(G932&gt;G931,H931+C932*F932,C932*F932)</f>
        <v>1.8747020489904742</v>
      </c>
      <c r="I932" s="24">
        <f t="shared" si="58"/>
        <v>0.60000000000000009</v>
      </c>
      <c r="J932" s="24">
        <f t="shared" si="59"/>
        <v>0</v>
      </c>
      <c r="K932" s="24">
        <f>IF(CurrentMtgRatesDataTable811[[#This Row],[WA CC]]&lt;&gt;0,D931-CurrentMtgRatesDataTable811[[#This Row],[WA CC]],0)</f>
        <v>0</v>
      </c>
      <c r="L932" s="24">
        <f>IF(CurrentMtgRatesDataTable811[[#This Row],[Servicing Spread]]&lt;=0,L931,CurrentMtgRatesDataTable811[[#This Row],[Servicing Spread]])</f>
        <v>0.84212003389910217</v>
      </c>
      <c r="M932" s="24">
        <f>CurrentMtgRatesDataTable811[[#This Row],[SeriesNumValue]]+CurrentMtgRatesDataTable811[[#This Row],[Servicing Spread Non-Zero]]</f>
        <v>3.9820986936877323</v>
      </c>
    </row>
    <row r="933" spans="2:13" x14ac:dyDescent="0.2">
      <c r="B933" s="27" t="s">
        <v>1614</v>
      </c>
      <c r="C933" s="28">
        <v>3.1648384217316798</v>
      </c>
      <c r="D933" s="26">
        <v>3.9749999999999996</v>
      </c>
      <c r="E933" s="24">
        <f t="shared" si="56"/>
        <v>6</v>
      </c>
      <c r="F933" s="24">
        <f>VLOOKUP(E933,Q$5:R$11,2,FALSE)</f>
        <v>0.2</v>
      </c>
      <c r="G933" s="24">
        <f t="shared" si="57"/>
        <v>4</v>
      </c>
      <c r="H933" s="24">
        <f>IF(G933&gt;G932,H932+C933*F933,C933*F933)</f>
        <v>2.5076697333368103</v>
      </c>
      <c r="I933" s="24">
        <f t="shared" si="58"/>
        <v>0.8</v>
      </c>
      <c r="J933" s="24">
        <f t="shared" si="59"/>
        <v>0</v>
      </c>
      <c r="K933" s="24">
        <f>IF(CurrentMtgRatesDataTable811[[#This Row],[WA CC]]&lt;&gt;0,D932-CurrentMtgRatesDataTable811[[#This Row],[WA CC]],0)</f>
        <v>0</v>
      </c>
      <c r="L933" s="24">
        <f>IF(CurrentMtgRatesDataTable811[[#This Row],[Servicing Spread]]&lt;=0,L932,CurrentMtgRatesDataTable811[[#This Row],[Servicing Spread]])</f>
        <v>0.84212003389910217</v>
      </c>
      <c r="M933" s="24">
        <f>CurrentMtgRatesDataTable811[[#This Row],[SeriesNumValue]]+CurrentMtgRatesDataTable811[[#This Row],[Servicing Spread Non-Zero]]</f>
        <v>4.006958455630782</v>
      </c>
    </row>
    <row r="934" spans="2:13" x14ac:dyDescent="0.2">
      <c r="B934" s="27" t="s">
        <v>1615</v>
      </c>
      <c r="C934" s="28">
        <v>3.1828839679523702</v>
      </c>
      <c r="D934" s="26">
        <v>3.9749999999999996</v>
      </c>
      <c r="E934" s="24">
        <f t="shared" si="56"/>
        <v>7</v>
      </c>
      <c r="F934" s="24">
        <f>VLOOKUP(E934,Q$5:R$11,2,FALSE)</f>
        <v>0.2</v>
      </c>
      <c r="G934" s="24">
        <f t="shared" si="57"/>
        <v>5</v>
      </c>
      <c r="H934" s="24">
        <f>IF(G934&gt;G933,H933+C934*F934,C934*F934)</f>
        <v>3.1442465269272843</v>
      </c>
      <c r="I934" s="24">
        <f t="shared" si="58"/>
        <v>1</v>
      </c>
      <c r="J934" s="24">
        <f t="shared" si="59"/>
        <v>3.1442465269272843</v>
      </c>
      <c r="K934" s="24">
        <f>IF(CurrentMtgRatesDataTable811[[#This Row],[WA CC]]&lt;&gt;0,D933-CurrentMtgRatesDataTable811[[#This Row],[WA CC]],0)</f>
        <v>0.8307534730727153</v>
      </c>
      <c r="L934" s="24">
        <f>IF(CurrentMtgRatesDataTable811[[#This Row],[Servicing Spread]]&lt;=0,L933,CurrentMtgRatesDataTable811[[#This Row],[Servicing Spread]])</f>
        <v>0.8307534730727153</v>
      </c>
      <c r="M934" s="24">
        <f>CurrentMtgRatesDataTable811[[#This Row],[SeriesNumValue]]+CurrentMtgRatesDataTable811[[#This Row],[Servicing Spread Non-Zero]]</f>
        <v>4.0136374410250859</v>
      </c>
    </row>
    <row r="935" spans="2:13" x14ac:dyDescent="0.2">
      <c r="B935" s="27" t="s">
        <v>1616</v>
      </c>
      <c r="C935" s="28">
        <v>3.1567795766011701</v>
      </c>
      <c r="D935" s="26">
        <v>3.9749999999999996</v>
      </c>
      <c r="E935" s="24">
        <f t="shared" si="56"/>
        <v>1</v>
      </c>
      <c r="F935" s="24">
        <f>VLOOKUP(E935,Q$5:R$11,2,FALSE)</f>
        <v>0.2</v>
      </c>
      <c r="G935" s="24">
        <f t="shared" si="57"/>
        <v>1</v>
      </c>
      <c r="H935" s="24">
        <f>IF(G935&gt;G934,H934+C935*F935,C935*F935)</f>
        <v>0.63135591532023405</v>
      </c>
      <c r="I935" s="24">
        <f t="shared" si="58"/>
        <v>0.2</v>
      </c>
      <c r="J935" s="24">
        <f t="shared" si="59"/>
        <v>0</v>
      </c>
      <c r="K935" s="24">
        <f>IF(CurrentMtgRatesDataTable811[[#This Row],[WA CC]]&lt;&gt;0,D934-CurrentMtgRatesDataTable811[[#This Row],[WA CC]],0)</f>
        <v>0</v>
      </c>
      <c r="L935" s="24">
        <f>IF(CurrentMtgRatesDataTable811[[#This Row],[Servicing Spread]]&lt;=0,L934,CurrentMtgRatesDataTable811[[#This Row],[Servicing Spread]])</f>
        <v>0.8307534730727153</v>
      </c>
      <c r="M935" s="24">
        <f>CurrentMtgRatesDataTable811[[#This Row],[SeriesNumValue]]+CurrentMtgRatesDataTable811[[#This Row],[Servicing Spread Non-Zero]]</f>
        <v>3.9875330496738854</v>
      </c>
    </row>
    <row r="936" spans="2:13" x14ac:dyDescent="0.2">
      <c r="B936" s="27" t="s">
        <v>1617</v>
      </c>
      <c r="C936" s="28">
        <v>3.1508216358267802</v>
      </c>
      <c r="D936" s="26">
        <v>3.9749999999999996</v>
      </c>
      <c r="E936" s="24">
        <f t="shared" si="56"/>
        <v>2</v>
      </c>
      <c r="F936" s="24">
        <f>VLOOKUP(E936,Q$5:R$11,2,FALSE)</f>
        <v>0.2</v>
      </c>
      <c r="G936" s="24">
        <f t="shared" si="57"/>
        <v>2</v>
      </c>
      <c r="H936" s="24">
        <f>IF(G936&gt;G935,H935+C936*F936,C936*F936)</f>
        <v>1.2615202424855902</v>
      </c>
      <c r="I936" s="24">
        <f t="shared" si="58"/>
        <v>0.4</v>
      </c>
      <c r="J936" s="24">
        <f t="shared" si="59"/>
        <v>0</v>
      </c>
      <c r="K936" s="24">
        <f>IF(CurrentMtgRatesDataTable811[[#This Row],[WA CC]]&lt;&gt;0,D935-CurrentMtgRatesDataTable811[[#This Row],[WA CC]],0)</f>
        <v>0</v>
      </c>
      <c r="L936" s="24">
        <f>IF(CurrentMtgRatesDataTable811[[#This Row],[Servicing Spread]]&lt;=0,L935,CurrentMtgRatesDataTable811[[#This Row],[Servicing Spread]])</f>
        <v>0.8307534730727153</v>
      </c>
      <c r="M936" s="24">
        <f>CurrentMtgRatesDataTable811[[#This Row],[SeriesNumValue]]+CurrentMtgRatesDataTable811[[#This Row],[Servicing Spread Non-Zero]]</f>
        <v>3.9815751088994955</v>
      </c>
    </row>
    <row r="937" spans="2:13" x14ac:dyDescent="0.2">
      <c r="B937" s="27" t="s">
        <v>1618</v>
      </c>
      <c r="C937" s="28">
        <v>3.1385592562937199</v>
      </c>
      <c r="D937" s="26">
        <v>3.9749999999999996</v>
      </c>
      <c r="E937" s="24">
        <f t="shared" si="56"/>
        <v>5</v>
      </c>
      <c r="F937" s="24">
        <f>VLOOKUP(E937,Q$5:R$11,2,FALSE)</f>
        <v>0.2</v>
      </c>
      <c r="G937" s="24">
        <f t="shared" si="57"/>
        <v>3</v>
      </c>
      <c r="H937" s="24">
        <f>IF(G937&gt;G936,H936+C937*F937,C937*F937)</f>
        <v>1.8892320937443343</v>
      </c>
      <c r="I937" s="24">
        <f t="shared" si="58"/>
        <v>0.60000000000000009</v>
      </c>
      <c r="J937" s="24">
        <f t="shared" si="59"/>
        <v>0</v>
      </c>
      <c r="K937" s="24">
        <f>IF(CurrentMtgRatesDataTable811[[#This Row],[WA CC]]&lt;&gt;0,D936-CurrentMtgRatesDataTable811[[#This Row],[WA CC]],0)</f>
        <v>0</v>
      </c>
      <c r="L937" s="24">
        <f>IF(CurrentMtgRatesDataTable811[[#This Row],[Servicing Spread]]&lt;=0,L936,CurrentMtgRatesDataTable811[[#This Row],[Servicing Spread]])</f>
        <v>0.8307534730727153</v>
      </c>
      <c r="M937" s="24">
        <f>CurrentMtgRatesDataTable811[[#This Row],[SeriesNumValue]]+CurrentMtgRatesDataTable811[[#This Row],[Servicing Spread Non-Zero]]</f>
        <v>3.9693127293664352</v>
      </c>
    </row>
    <row r="938" spans="2:13" x14ac:dyDescent="0.2">
      <c r="B938" s="27" t="s">
        <v>1619</v>
      </c>
      <c r="C938" s="28">
        <v>3.12943696082093</v>
      </c>
      <c r="D938" s="26">
        <v>3.9749999999999996</v>
      </c>
      <c r="E938" s="24">
        <f t="shared" si="56"/>
        <v>6</v>
      </c>
      <c r="F938" s="24">
        <f>VLOOKUP(E938,Q$5:R$11,2,FALSE)</f>
        <v>0.2</v>
      </c>
      <c r="G938" s="24">
        <f t="shared" si="57"/>
        <v>4</v>
      </c>
      <c r="H938" s="24">
        <f>IF(G938&gt;G937,H937+C938*F938,C938*F938)</f>
        <v>2.5151194859085204</v>
      </c>
      <c r="I938" s="24">
        <f t="shared" si="58"/>
        <v>0.8</v>
      </c>
      <c r="J938" s="24">
        <f t="shared" si="59"/>
        <v>0</v>
      </c>
      <c r="K938" s="24">
        <f>IF(CurrentMtgRatesDataTable811[[#This Row],[WA CC]]&lt;&gt;0,D937-CurrentMtgRatesDataTable811[[#This Row],[WA CC]],0)</f>
        <v>0</v>
      </c>
      <c r="L938" s="24">
        <f>IF(CurrentMtgRatesDataTable811[[#This Row],[Servicing Spread]]&lt;=0,L937,CurrentMtgRatesDataTable811[[#This Row],[Servicing Spread]])</f>
        <v>0.8307534730727153</v>
      </c>
      <c r="M938" s="24">
        <f>CurrentMtgRatesDataTable811[[#This Row],[SeriesNumValue]]+CurrentMtgRatesDataTable811[[#This Row],[Servicing Spread Non-Zero]]</f>
        <v>3.9601904338936453</v>
      </c>
    </row>
    <row r="939" spans="2:13" x14ac:dyDescent="0.2">
      <c r="B939" s="27" t="s">
        <v>1620</v>
      </c>
      <c r="C939" s="28">
        <v>3.09887022841253</v>
      </c>
      <c r="D939" s="26">
        <v>3.9749999999999996</v>
      </c>
      <c r="E939" s="24">
        <f t="shared" si="56"/>
        <v>7</v>
      </c>
      <c r="F939" s="24">
        <f>VLOOKUP(E939,Q$5:R$11,2,FALSE)</f>
        <v>0.2</v>
      </c>
      <c r="G939" s="24">
        <f t="shared" si="57"/>
        <v>5</v>
      </c>
      <c r="H939" s="24">
        <f>IF(G939&gt;G938,H938+C939*F939,C939*F939)</f>
        <v>3.1348935315910262</v>
      </c>
      <c r="I939" s="24">
        <f t="shared" si="58"/>
        <v>1</v>
      </c>
      <c r="J939" s="24">
        <f t="shared" si="59"/>
        <v>3.1348935315910262</v>
      </c>
      <c r="K939" s="24">
        <f>IF(CurrentMtgRatesDataTable811[[#This Row],[WA CC]]&lt;&gt;0,D938-CurrentMtgRatesDataTable811[[#This Row],[WA CC]],0)</f>
        <v>0.84010646840897341</v>
      </c>
      <c r="L939" s="24">
        <f>IF(CurrentMtgRatesDataTable811[[#This Row],[Servicing Spread]]&lt;=0,L938,CurrentMtgRatesDataTable811[[#This Row],[Servicing Spread]])</f>
        <v>0.84010646840897341</v>
      </c>
      <c r="M939" s="24">
        <f>CurrentMtgRatesDataTable811[[#This Row],[SeriesNumValue]]+CurrentMtgRatesDataTable811[[#This Row],[Servicing Spread Non-Zero]]</f>
        <v>3.9389766968215034</v>
      </c>
    </row>
    <row r="940" spans="2:13" x14ac:dyDescent="0.2">
      <c r="B940" s="27" t="s">
        <v>1621</v>
      </c>
      <c r="C940" s="28">
        <v>3.0781225342059799</v>
      </c>
      <c r="D940" s="26">
        <v>3.9749999999999996</v>
      </c>
      <c r="E940" s="24">
        <f t="shared" si="56"/>
        <v>1</v>
      </c>
      <c r="F940" s="24">
        <f>VLOOKUP(E940,Q$5:R$11,2,FALSE)</f>
        <v>0.2</v>
      </c>
      <c r="G940" s="24">
        <f t="shared" si="57"/>
        <v>1</v>
      </c>
      <c r="H940" s="24">
        <f>IF(G940&gt;G939,H939+C940*F940,C940*F940)</f>
        <v>0.61562450684119607</v>
      </c>
      <c r="I940" s="24">
        <f t="shared" si="58"/>
        <v>0.2</v>
      </c>
      <c r="J940" s="24">
        <f t="shared" si="59"/>
        <v>0</v>
      </c>
      <c r="K940" s="24">
        <f>IF(CurrentMtgRatesDataTable811[[#This Row],[WA CC]]&lt;&gt;0,D939-CurrentMtgRatesDataTable811[[#This Row],[WA CC]],0)</f>
        <v>0</v>
      </c>
      <c r="L940" s="24">
        <f>IF(CurrentMtgRatesDataTable811[[#This Row],[Servicing Spread]]&lt;=0,L939,CurrentMtgRatesDataTable811[[#This Row],[Servicing Spread]])</f>
        <v>0.84010646840897341</v>
      </c>
      <c r="M940" s="24">
        <f>CurrentMtgRatesDataTable811[[#This Row],[SeriesNumValue]]+CurrentMtgRatesDataTable811[[#This Row],[Servicing Spread Non-Zero]]</f>
        <v>3.9182290026149533</v>
      </c>
    </row>
    <row r="941" spans="2:13" x14ac:dyDescent="0.2">
      <c r="B941" s="27" t="s">
        <v>1622</v>
      </c>
      <c r="C941" s="28">
        <v>3.0803371977218901</v>
      </c>
      <c r="D941" s="26">
        <v>3.9749999999999996</v>
      </c>
      <c r="E941" s="24">
        <f t="shared" si="56"/>
        <v>2</v>
      </c>
      <c r="F941" s="24">
        <f>VLOOKUP(E941,Q$5:R$11,2,FALSE)</f>
        <v>0.2</v>
      </c>
      <c r="G941" s="24">
        <f t="shared" si="57"/>
        <v>2</v>
      </c>
      <c r="H941" s="24">
        <f>IF(G941&gt;G940,H940+C941*F941,C941*F941)</f>
        <v>1.231691946385574</v>
      </c>
      <c r="I941" s="24">
        <f t="shared" si="58"/>
        <v>0.4</v>
      </c>
      <c r="J941" s="24">
        <f t="shared" si="59"/>
        <v>0</v>
      </c>
      <c r="K941" s="24">
        <f>IF(CurrentMtgRatesDataTable811[[#This Row],[WA CC]]&lt;&gt;0,D940-CurrentMtgRatesDataTable811[[#This Row],[WA CC]],0)</f>
        <v>0</v>
      </c>
      <c r="L941" s="24">
        <f>IF(CurrentMtgRatesDataTable811[[#This Row],[Servicing Spread]]&lt;=0,L940,CurrentMtgRatesDataTable811[[#This Row],[Servicing Spread]])</f>
        <v>0.84010646840897341</v>
      </c>
      <c r="M941" s="24">
        <f>CurrentMtgRatesDataTable811[[#This Row],[SeriesNumValue]]+CurrentMtgRatesDataTable811[[#This Row],[Servicing Spread Non-Zero]]</f>
        <v>3.9204436661308635</v>
      </c>
    </row>
    <row r="942" spans="2:13" x14ac:dyDescent="0.2">
      <c r="B942" s="27" t="s">
        <v>1623</v>
      </c>
      <c r="C942" s="28">
        <v>3.1334692922129599</v>
      </c>
      <c r="D942" s="26">
        <v>3.9749999999999996</v>
      </c>
      <c r="E942" s="24">
        <f t="shared" si="56"/>
        <v>6</v>
      </c>
      <c r="F942" s="24">
        <f>VLOOKUP(E942,Q$5:R$11,2,FALSE)</f>
        <v>0.2</v>
      </c>
      <c r="G942" s="24">
        <f t="shared" si="57"/>
        <v>3</v>
      </c>
      <c r="H942" s="24">
        <f>IF(G942&gt;G941,H941+C942*F942,C942*F942)</f>
        <v>1.8583858048281661</v>
      </c>
      <c r="I942" s="24">
        <f t="shared" si="58"/>
        <v>0.60000000000000009</v>
      </c>
      <c r="J942" s="24">
        <f t="shared" si="59"/>
        <v>0</v>
      </c>
      <c r="K942" s="24">
        <f>IF(CurrentMtgRatesDataTable811[[#This Row],[WA CC]]&lt;&gt;0,D941-CurrentMtgRatesDataTable811[[#This Row],[WA CC]],0)</f>
        <v>0</v>
      </c>
      <c r="L942" s="24">
        <f>IF(CurrentMtgRatesDataTable811[[#This Row],[Servicing Spread]]&lt;=0,L941,CurrentMtgRatesDataTable811[[#This Row],[Servicing Spread]])</f>
        <v>0.84010646840897341</v>
      </c>
      <c r="M942" s="24">
        <f>CurrentMtgRatesDataTable811[[#This Row],[SeriesNumValue]]+CurrentMtgRatesDataTable811[[#This Row],[Servicing Spread Non-Zero]]</f>
        <v>3.9735757606219333</v>
      </c>
    </row>
    <row r="943" spans="2:13" x14ac:dyDescent="0.2">
      <c r="B943" s="27" t="s">
        <v>1624</v>
      </c>
      <c r="C943" s="28">
        <v>3.1253552915520499</v>
      </c>
      <c r="D943" s="26">
        <v>3.9749999999999996</v>
      </c>
      <c r="E943" s="24">
        <f t="shared" si="56"/>
        <v>7</v>
      </c>
      <c r="F943" s="24">
        <f>VLOOKUP(E943,Q$5:R$11,2,FALSE)</f>
        <v>0.2</v>
      </c>
      <c r="G943" s="24">
        <f t="shared" si="57"/>
        <v>4</v>
      </c>
      <c r="H943" s="24">
        <f>IF(G943&gt;G942,H942+C943*F943,C943*F943)</f>
        <v>2.4834568631385761</v>
      </c>
      <c r="I943" s="24">
        <f t="shared" si="58"/>
        <v>0.8</v>
      </c>
      <c r="J943" s="24">
        <f t="shared" si="59"/>
        <v>3.1043210789232201</v>
      </c>
      <c r="K943" s="24">
        <f>IF(CurrentMtgRatesDataTable811[[#This Row],[WA CC]]&lt;&gt;0,D942-CurrentMtgRatesDataTable811[[#This Row],[WA CC]],0)</f>
        <v>0.87067892107677958</v>
      </c>
      <c r="L943" s="24">
        <f>IF(CurrentMtgRatesDataTable811[[#This Row],[Servicing Spread]]&lt;=0,L942,CurrentMtgRatesDataTable811[[#This Row],[Servicing Spread]])</f>
        <v>0.87067892107677958</v>
      </c>
      <c r="M943" s="24">
        <f>CurrentMtgRatesDataTable811[[#This Row],[SeriesNumValue]]+CurrentMtgRatesDataTable811[[#This Row],[Servicing Spread Non-Zero]]</f>
        <v>3.9960342126288295</v>
      </c>
    </row>
    <row r="944" spans="2:13" x14ac:dyDescent="0.2">
      <c r="B944" s="27" t="s">
        <v>1625</v>
      </c>
      <c r="C944" s="28">
        <v>3.1528316914569898</v>
      </c>
      <c r="D944" s="26">
        <v>3.9950000000000001</v>
      </c>
      <c r="E944" s="24">
        <f t="shared" si="56"/>
        <v>1</v>
      </c>
      <c r="F944" s="24">
        <f>VLOOKUP(E944,Q$5:R$11,2,FALSE)</f>
        <v>0.2</v>
      </c>
      <c r="G944" s="24">
        <f t="shared" si="57"/>
        <v>1</v>
      </c>
      <c r="H944" s="24">
        <f>IF(G944&gt;G943,H943+C944*F944,C944*F944)</f>
        <v>0.63056633829139797</v>
      </c>
      <c r="I944" s="24">
        <f t="shared" si="58"/>
        <v>0.2</v>
      </c>
      <c r="J944" s="24">
        <f t="shared" si="59"/>
        <v>0</v>
      </c>
      <c r="K944" s="24">
        <f>IF(CurrentMtgRatesDataTable811[[#This Row],[WA CC]]&lt;&gt;0,D943-CurrentMtgRatesDataTable811[[#This Row],[WA CC]],0)</f>
        <v>0</v>
      </c>
      <c r="L944" s="24">
        <f>IF(CurrentMtgRatesDataTable811[[#This Row],[Servicing Spread]]&lt;=0,L943,CurrentMtgRatesDataTable811[[#This Row],[Servicing Spread]])</f>
        <v>0.87067892107677958</v>
      </c>
      <c r="M944" s="24">
        <f>CurrentMtgRatesDataTable811[[#This Row],[SeriesNumValue]]+CurrentMtgRatesDataTable811[[#This Row],[Servicing Spread Non-Zero]]</f>
        <v>4.0235106125337694</v>
      </c>
    </row>
    <row r="945" spans="2:13" x14ac:dyDescent="0.2">
      <c r="B945" s="27" t="s">
        <v>1626</v>
      </c>
      <c r="C945" s="28">
        <v>3.1681849384338299</v>
      </c>
      <c r="D945" s="26">
        <v>3.9950000000000001</v>
      </c>
      <c r="E945" s="24">
        <f t="shared" si="56"/>
        <v>2</v>
      </c>
      <c r="F945" s="24">
        <f>VLOOKUP(E945,Q$5:R$11,2,FALSE)</f>
        <v>0.2</v>
      </c>
      <c r="G945" s="24">
        <f t="shared" si="57"/>
        <v>2</v>
      </c>
      <c r="H945" s="24">
        <f>IF(G945&gt;G944,H944+C945*F945,C945*F945)</f>
        <v>1.264203325978164</v>
      </c>
      <c r="I945" s="24">
        <f t="shared" si="58"/>
        <v>0.4</v>
      </c>
      <c r="J945" s="24">
        <f t="shared" si="59"/>
        <v>0</v>
      </c>
      <c r="K945" s="24">
        <f>IF(CurrentMtgRatesDataTable811[[#This Row],[WA CC]]&lt;&gt;0,D944-CurrentMtgRatesDataTable811[[#This Row],[WA CC]],0)</f>
        <v>0</v>
      </c>
      <c r="L945" s="24">
        <f>IF(CurrentMtgRatesDataTable811[[#This Row],[Servicing Spread]]&lt;=0,L944,CurrentMtgRatesDataTable811[[#This Row],[Servicing Spread]])</f>
        <v>0.87067892107677958</v>
      </c>
      <c r="M945" s="24">
        <f>CurrentMtgRatesDataTable811[[#This Row],[SeriesNumValue]]+CurrentMtgRatesDataTable811[[#This Row],[Servicing Spread Non-Zero]]</f>
        <v>4.0388638595106094</v>
      </c>
    </row>
    <row r="946" spans="2:13" x14ac:dyDescent="0.2">
      <c r="B946" s="27" t="s">
        <v>1627</v>
      </c>
      <c r="C946" s="28">
        <v>3.1760802516618698</v>
      </c>
      <c r="D946" s="26">
        <v>3.9950000000000001</v>
      </c>
      <c r="E946" s="24">
        <f t="shared" si="56"/>
        <v>5</v>
      </c>
      <c r="F946" s="24">
        <f>VLOOKUP(E946,Q$5:R$11,2,FALSE)</f>
        <v>0.2</v>
      </c>
      <c r="G946" s="24">
        <f t="shared" si="57"/>
        <v>3</v>
      </c>
      <c r="H946" s="24">
        <f>IF(G946&gt;G945,H945+C946*F946,C946*F946)</f>
        <v>1.899419376310538</v>
      </c>
      <c r="I946" s="24">
        <f t="shared" si="58"/>
        <v>0.60000000000000009</v>
      </c>
      <c r="J946" s="24">
        <f t="shared" si="59"/>
        <v>0</v>
      </c>
      <c r="K946" s="24">
        <f>IF(CurrentMtgRatesDataTable811[[#This Row],[WA CC]]&lt;&gt;0,D945-CurrentMtgRatesDataTable811[[#This Row],[WA CC]],0)</f>
        <v>0</v>
      </c>
      <c r="L946" s="24">
        <f>IF(CurrentMtgRatesDataTable811[[#This Row],[Servicing Spread]]&lt;=0,L945,CurrentMtgRatesDataTable811[[#This Row],[Servicing Spread]])</f>
        <v>0.87067892107677958</v>
      </c>
      <c r="M946" s="24">
        <f>CurrentMtgRatesDataTable811[[#This Row],[SeriesNumValue]]+CurrentMtgRatesDataTable811[[#This Row],[Servicing Spread Non-Zero]]</f>
        <v>4.0467591727386498</v>
      </c>
    </row>
    <row r="947" spans="2:13" x14ac:dyDescent="0.2">
      <c r="B947" s="27" t="s">
        <v>1628</v>
      </c>
      <c r="C947" s="28">
        <v>3.20426354311416</v>
      </c>
      <c r="D947" s="26">
        <v>3.9950000000000001</v>
      </c>
      <c r="E947" s="24">
        <f t="shared" si="56"/>
        <v>6</v>
      </c>
      <c r="F947" s="24">
        <f>VLOOKUP(E947,Q$5:R$11,2,FALSE)</f>
        <v>0.2</v>
      </c>
      <c r="G947" s="24">
        <f t="shared" si="57"/>
        <v>4</v>
      </c>
      <c r="H947" s="24">
        <f>IF(G947&gt;G946,H946+C947*F947,C947*F947)</f>
        <v>2.54027208493337</v>
      </c>
      <c r="I947" s="24">
        <f t="shared" si="58"/>
        <v>0.8</v>
      </c>
      <c r="J947" s="24">
        <f t="shared" si="59"/>
        <v>0</v>
      </c>
      <c r="K947" s="24">
        <f>IF(CurrentMtgRatesDataTable811[[#This Row],[WA CC]]&lt;&gt;0,D946-CurrentMtgRatesDataTable811[[#This Row],[WA CC]],0)</f>
        <v>0</v>
      </c>
      <c r="L947" s="24">
        <f>IF(CurrentMtgRatesDataTable811[[#This Row],[Servicing Spread]]&lt;=0,L946,CurrentMtgRatesDataTable811[[#This Row],[Servicing Spread]])</f>
        <v>0.87067892107677958</v>
      </c>
      <c r="M947" s="24">
        <f>CurrentMtgRatesDataTable811[[#This Row],[SeriesNumValue]]+CurrentMtgRatesDataTable811[[#This Row],[Servicing Spread Non-Zero]]</f>
        <v>4.07494246419094</v>
      </c>
    </row>
    <row r="948" spans="2:13" x14ac:dyDescent="0.2">
      <c r="B948" s="27" t="s">
        <v>1629</v>
      </c>
      <c r="C948" s="28">
        <v>3.23966504008277</v>
      </c>
      <c r="D948" s="26">
        <v>3.9950000000000001</v>
      </c>
      <c r="E948" s="24">
        <f t="shared" si="56"/>
        <v>7</v>
      </c>
      <c r="F948" s="24">
        <f>VLOOKUP(E948,Q$5:R$11,2,FALSE)</f>
        <v>0.2</v>
      </c>
      <c r="G948" s="24">
        <f t="shared" si="57"/>
        <v>5</v>
      </c>
      <c r="H948" s="24">
        <f>IF(G948&gt;G947,H947+C948*F948,C948*F948)</f>
        <v>3.1882050929499242</v>
      </c>
      <c r="I948" s="24">
        <f t="shared" si="58"/>
        <v>1</v>
      </c>
      <c r="J948" s="24">
        <f t="shared" si="59"/>
        <v>3.1882050929499242</v>
      </c>
      <c r="K948" s="24">
        <f>IF(CurrentMtgRatesDataTable811[[#This Row],[WA CC]]&lt;&gt;0,D947-CurrentMtgRatesDataTable811[[#This Row],[WA CC]],0)</f>
        <v>0.80679490705007595</v>
      </c>
      <c r="L948" s="24">
        <f>IF(CurrentMtgRatesDataTable811[[#This Row],[Servicing Spread]]&lt;=0,L947,CurrentMtgRatesDataTable811[[#This Row],[Servicing Spread]])</f>
        <v>0.80679490705007595</v>
      </c>
      <c r="M948" s="24">
        <f>CurrentMtgRatesDataTable811[[#This Row],[SeriesNumValue]]+CurrentMtgRatesDataTable811[[#This Row],[Servicing Spread Non-Zero]]</f>
        <v>4.0464599471328455</v>
      </c>
    </row>
    <row r="949" spans="2:13" x14ac:dyDescent="0.2">
      <c r="B949" s="27" t="s">
        <v>1630</v>
      </c>
      <c r="C949" s="28">
        <v>3.2385398598967701</v>
      </c>
      <c r="D949" s="26">
        <v>4.1050000000000004</v>
      </c>
      <c r="E949" s="24">
        <f t="shared" si="56"/>
        <v>1</v>
      </c>
      <c r="F949" s="24">
        <f>VLOOKUP(E949,Q$5:R$11,2,FALSE)</f>
        <v>0.2</v>
      </c>
      <c r="G949" s="24">
        <f t="shared" si="57"/>
        <v>1</v>
      </c>
      <c r="H949" s="24">
        <f>IF(G949&gt;G948,H948+C949*F949,C949*F949)</f>
        <v>0.64770797197935404</v>
      </c>
      <c r="I949" s="24">
        <f t="shared" si="58"/>
        <v>0.2</v>
      </c>
      <c r="J949" s="24">
        <f t="shared" si="59"/>
        <v>0</v>
      </c>
      <c r="K949" s="24">
        <f>IF(CurrentMtgRatesDataTable811[[#This Row],[WA CC]]&lt;&gt;0,D948-CurrentMtgRatesDataTable811[[#This Row],[WA CC]],0)</f>
        <v>0</v>
      </c>
      <c r="L949" s="24">
        <f>IF(CurrentMtgRatesDataTable811[[#This Row],[Servicing Spread]]&lt;=0,L948,CurrentMtgRatesDataTable811[[#This Row],[Servicing Spread]])</f>
        <v>0.80679490705007595</v>
      </c>
      <c r="M949" s="24">
        <f>CurrentMtgRatesDataTable811[[#This Row],[SeriesNumValue]]+CurrentMtgRatesDataTable811[[#This Row],[Servicing Spread Non-Zero]]</f>
        <v>4.045334766946846</v>
      </c>
    </row>
    <row r="950" spans="2:13" x14ac:dyDescent="0.2">
      <c r="B950" s="27" t="s">
        <v>1631</v>
      </c>
      <c r="C950" s="28">
        <v>3.3013053863626398</v>
      </c>
      <c r="D950" s="26">
        <v>4.1050000000000004</v>
      </c>
      <c r="E950" s="24">
        <f t="shared" si="56"/>
        <v>2</v>
      </c>
      <c r="F950" s="24">
        <f>VLOOKUP(E950,Q$5:R$11,2,FALSE)</f>
        <v>0.2</v>
      </c>
      <c r="G950" s="24">
        <f t="shared" si="57"/>
        <v>2</v>
      </c>
      <c r="H950" s="24">
        <f>IF(G950&gt;G949,H949+C950*F950,C950*F950)</f>
        <v>1.3079690492518821</v>
      </c>
      <c r="I950" s="24">
        <f t="shared" si="58"/>
        <v>0.4</v>
      </c>
      <c r="J950" s="24">
        <f t="shared" si="59"/>
        <v>0</v>
      </c>
      <c r="K950" s="24">
        <f>IF(CurrentMtgRatesDataTable811[[#This Row],[WA CC]]&lt;&gt;0,D949-CurrentMtgRatesDataTable811[[#This Row],[WA CC]],0)</f>
        <v>0</v>
      </c>
      <c r="L950" s="24">
        <f>IF(CurrentMtgRatesDataTable811[[#This Row],[Servicing Spread]]&lt;=0,L949,CurrentMtgRatesDataTable811[[#This Row],[Servicing Spread]])</f>
        <v>0.80679490705007595</v>
      </c>
      <c r="M950" s="24">
        <f>CurrentMtgRatesDataTable811[[#This Row],[SeriesNumValue]]+CurrentMtgRatesDataTable811[[#This Row],[Servicing Spread Non-Zero]]</f>
        <v>4.1081002934127158</v>
      </c>
    </row>
    <row r="951" spans="2:13" x14ac:dyDescent="0.2">
      <c r="B951" s="27" t="s">
        <v>1632</v>
      </c>
      <c r="C951" s="28">
        <v>3.2813411057709199</v>
      </c>
      <c r="D951" s="26">
        <v>4.1050000000000004</v>
      </c>
      <c r="E951" s="24">
        <f t="shared" si="56"/>
        <v>5</v>
      </c>
      <c r="F951" s="24">
        <f>VLOOKUP(E951,Q$5:R$11,2,FALSE)</f>
        <v>0.2</v>
      </c>
      <c r="G951" s="24">
        <f t="shared" si="57"/>
        <v>3</v>
      </c>
      <c r="H951" s="24">
        <f>IF(G951&gt;G950,H950+C951*F951,C951*F951)</f>
        <v>1.9642372704060662</v>
      </c>
      <c r="I951" s="24">
        <f t="shared" si="58"/>
        <v>0.60000000000000009</v>
      </c>
      <c r="J951" s="24">
        <f t="shared" si="59"/>
        <v>0</v>
      </c>
      <c r="K951" s="24">
        <f>IF(CurrentMtgRatesDataTable811[[#This Row],[WA CC]]&lt;&gt;0,D950-CurrentMtgRatesDataTable811[[#This Row],[WA CC]],0)</f>
        <v>0</v>
      </c>
      <c r="L951" s="24">
        <f>IF(CurrentMtgRatesDataTable811[[#This Row],[Servicing Spread]]&lt;=0,L950,CurrentMtgRatesDataTable811[[#This Row],[Servicing Spread]])</f>
        <v>0.80679490705007595</v>
      </c>
      <c r="M951" s="24">
        <f>CurrentMtgRatesDataTable811[[#This Row],[SeriesNumValue]]+CurrentMtgRatesDataTable811[[#This Row],[Servicing Spread Non-Zero]]</f>
        <v>4.0881360128209963</v>
      </c>
    </row>
    <row r="952" spans="2:13" x14ac:dyDescent="0.2">
      <c r="B952" s="27" t="s">
        <v>1633</v>
      </c>
      <c r="C952" s="28">
        <v>3.28408302284724</v>
      </c>
      <c r="D952" s="26">
        <v>4.1050000000000004</v>
      </c>
      <c r="E952" s="24">
        <f t="shared" si="56"/>
        <v>6</v>
      </c>
      <c r="F952" s="24">
        <f>VLOOKUP(E952,Q$5:R$11,2,FALSE)</f>
        <v>0.2</v>
      </c>
      <c r="G952" s="24">
        <f t="shared" si="57"/>
        <v>4</v>
      </c>
      <c r="H952" s="24">
        <f>IF(G952&gt;G951,H951+C952*F952,C952*F952)</f>
        <v>2.6210538749755141</v>
      </c>
      <c r="I952" s="24">
        <f t="shared" si="58"/>
        <v>0.8</v>
      </c>
      <c r="J952" s="24">
        <f t="shared" si="59"/>
        <v>0</v>
      </c>
      <c r="K952" s="24">
        <f>IF(CurrentMtgRatesDataTable811[[#This Row],[WA CC]]&lt;&gt;0,D951-CurrentMtgRatesDataTable811[[#This Row],[WA CC]],0)</f>
        <v>0</v>
      </c>
      <c r="L952" s="24">
        <f>IF(CurrentMtgRatesDataTable811[[#This Row],[Servicing Spread]]&lt;=0,L951,CurrentMtgRatesDataTable811[[#This Row],[Servicing Spread]])</f>
        <v>0.80679490705007595</v>
      </c>
      <c r="M952" s="24">
        <f>CurrentMtgRatesDataTable811[[#This Row],[SeriesNumValue]]+CurrentMtgRatesDataTable811[[#This Row],[Servicing Spread Non-Zero]]</f>
        <v>4.0908779298973155</v>
      </c>
    </row>
    <row r="953" spans="2:13" x14ac:dyDescent="0.2">
      <c r="B953" s="27" t="s">
        <v>1634</v>
      </c>
      <c r="C953" s="28">
        <v>3.2889456294412902</v>
      </c>
      <c r="D953" s="26">
        <v>4.1050000000000004</v>
      </c>
      <c r="E953" s="24">
        <f t="shared" si="56"/>
        <v>7</v>
      </c>
      <c r="F953" s="24">
        <f>VLOOKUP(E953,Q$5:R$11,2,FALSE)</f>
        <v>0.2</v>
      </c>
      <c r="G953" s="24">
        <f t="shared" si="57"/>
        <v>5</v>
      </c>
      <c r="H953" s="24">
        <f>IF(G953&gt;G952,H952+C953*F953,C953*F953)</f>
        <v>3.2788430008637723</v>
      </c>
      <c r="I953" s="24">
        <f t="shared" si="58"/>
        <v>1</v>
      </c>
      <c r="J953" s="24">
        <f t="shared" si="59"/>
        <v>3.2788430008637723</v>
      </c>
      <c r="K953" s="24">
        <f>IF(CurrentMtgRatesDataTable811[[#This Row],[WA CC]]&lt;&gt;0,D952-CurrentMtgRatesDataTable811[[#This Row],[WA CC]],0)</f>
        <v>0.82615699913622809</v>
      </c>
      <c r="L953" s="24">
        <f>IF(CurrentMtgRatesDataTable811[[#This Row],[Servicing Spread]]&lt;=0,L952,CurrentMtgRatesDataTable811[[#This Row],[Servicing Spread]])</f>
        <v>0.82615699913622809</v>
      </c>
      <c r="M953" s="24">
        <f>CurrentMtgRatesDataTable811[[#This Row],[SeriesNumValue]]+CurrentMtgRatesDataTable811[[#This Row],[Servicing Spread Non-Zero]]</f>
        <v>4.1151026285775183</v>
      </c>
    </row>
    <row r="954" spans="2:13" x14ac:dyDescent="0.2">
      <c r="B954" s="27" t="s">
        <v>1635</v>
      </c>
      <c r="C954" s="28">
        <v>3.3001731665241301</v>
      </c>
      <c r="D954" s="26">
        <v>4.0750000000000002</v>
      </c>
      <c r="E954" s="24">
        <f t="shared" si="56"/>
        <v>1</v>
      </c>
      <c r="F954" s="24">
        <f>VLOOKUP(E954,Q$5:R$11,2,FALSE)</f>
        <v>0.2</v>
      </c>
      <c r="G954" s="24">
        <f t="shared" si="57"/>
        <v>1</v>
      </c>
      <c r="H954" s="24">
        <f>IF(G954&gt;G953,H953+C954*F954,C954*F954)</f>
        <v>0.66003463330482603</v>
      </c>
      <c r="I954" s="24">
        <f t="shared" si="58"/>
        <v>0.2</v>
      </c>
      <c r="J954" s="24">
        <f t="shared" si="59"/>
        <v>0</v>
      </c>
      <c r="K954" s="24">
        <f>IF(CurrentMtgRatesDataTable811[[#This Row],[WA CC]]&lt;&gt;0,D953-CurrentMtgRatesDataTable811[[#This Row],[WA CC]],0)</f>
        <v>0</v>
      </c>
      <c r="L954" s="24">
        <f>IF(CurrentMtgRatesDataTable811[[#This Row],[Servicing Spread]]&lt;=0,L953,CurrentMtgRatesDataTable811[[#This Row],[Servicing Spread]])</f>
        <v>0.82615699913622809</v>
      </c>
      <c r="M954" s="24">
        <f>CurrentMtgRatesDataTable811[[#This Row],[SeriesNumValue]]+CurrentMtgRatesDataTable811[[#This Row],[Servicing Spread Non-Zero]]</f>
        <v>4.1263301656603577</v>
      </c>
    </row>
    <row r="955" spans="2:13" x14ac:dyDescent="0.2">
      <c r="B955" s="27" t="s">
        <v>1636</v>
      </c>
      <c r="C955" s="28">
        <v>3.2564979130093699</v>
      </c>
      <c r="D955" s="26">
        <v>4.0750000000000002</v>
      </c>
      <c r="E955" s="24">
        <f t="shared" si="56"/>
        <v>2</v>
      </c>
      <c r="F955" s="24">
        <f>VLOOKUP(E955,Q$5:R$11,2,FALSE)</f>
        <v>0.2</v>
      </c>
      <c r="G955" s="24">
        <f t="shared" si="57"/>
        <v>2</v>
      </c>
      <c r="H955" s="24">
        <f>IF(G955&gt;G954,H954+C955*F955,C955*F955)</f>
        <v>1.3113342159067001</v>
      </c>
      <c r="I955" s="24">
        <f t="shared" si="58"/>
        <v>0.4</v>
      </c>
      <c r="J955" s="24">
        <f t="shared" si="59"/>
        <v>0</v>
      </c>
      <c r="K955" s="24">
        <f>IF(CurrentMtgRatesDataTable811[[#This Row],[WA CC]]&lt;&gt;0,D954-CurrentMtgRatesDataTable811[[#This Row],[WA CC]],0)</f>
        <v>0</v>
      </c>
      <c r="L955" s="24">
        <f>IF(CurrentMtgRatesDataTable811[[#This Row],[Servicing Spread]]&lt;=0,L954,CurrentMtgRatesDataTable811[[#This Row],[Servicing Spread]])</f>
        <v>0.82615699913622809</v>
      </c>
      <c r="M955" s="24">
        <f>CurrentMtgRatesDataTable811[[#This Row],[SeriesNumValue]]+CurrentMtgRatesDataTable811[[#This Row],[Servicing Spread Non-Zero]]</f>
        <v>4.0826549121455979</v>
      </c>
    </row>
    <row r="956" spans="2:13" x14ac:dyDescent="0.2">
      <c r="B956" s="27" t="s">
        <v>1637</v>
      </c>
      <c r="C956" s="28">
        <v>3.2397623305872298</v>
      </c>
      <c r="D956" s="26">
        <v>4.0750000000000002</v>
      </c>
      <c r="E956" s="24">
        <f t="shared" si="56"/>
        <v>5</v>
      </c>
      <c r="F956" s="24">
        <f>VLOOKUP(E956,Q$5:R$11,2,FALSE)</f>
        <v>0.2</v>
      </c>
      <c r="G956" s="24">
        <f t="shared" si="57"/>
        <v>3</v>
      </c>
      <c r="H956" s="24">
        <f>IF(G956&gt;G955,H955+C956*F956,C956*F956)</f>
        <v>1.9592866820241461</v>
      </c>
      <c r="I956" s="24">
        <f t="shared" si="58"/>
        <v>0.60000000000000009</v>
      </c>
      <c r="J956" s="24">
        <f t="shared" si="59"/>
        <v>0</v>
      </c>
      <c r="K956" s="24">
        <f>IF(CurrentMtgRatesDataTable811[[#This Row],[WA CC]]&lt;&gt;0,D955-CurrentMtgRatesDataTable811[[#This Row],[WA CC]],0)</f>
        <v>0</v>
      </c>
      <c r="L956" s="24">
        <f>IF(CurrentMtgRatesDataTable811[[#This Row],[Servicing Spread]]&lt;=0,L955,CurrentMtgRatesDataTable811[[#This Row],[Servicing Spread]])</f>
        <v>0.82615699913622809</v>
      </c>
      <c r="M956" s="24">
        <f>CurrentMtgRatesDataTable811[[#This Row],[SeriesNumValue]]+CurrentMtgRatesDataTable811[[#This Row],[Servicing Spread Non-Zero]]</f>
        <v>4.0659193297234584</v>
      </c>
    </row>
    <row r="957" spans="2:13" x14ac:dyDescent="0.2">
      <c r="B957" s="27" t="s">
        <v>1638</v>
      </c>
      <c r="C957" s="28">
        <v>3.2147148443632201</v>
      </c>
      <c r="D957" s="26">
        <v>4.0750000000000002</v>
      </c>
      <c r="E957" s="24">
        <f t="shared" si="56"/>
        <v>6</v>
      </c>
      <c r="F957" s="24">
        <f>VLOOKUP(E957,Q$5:R$11,2,FALSE)</f>
        <v>0.2</v>
      </c>
      <c r="G957" s="24">
        <f t="shared" si="57"/>
        <v>4</v>
      </c>
      <c r="H957" s="24">
        <f>IF(G957&gt;G956,H956+C957*F957,C957*F957)</f>
        <v>2.6022296508967901</v>
      </c>
      <c r="I957" s="24">
        <f t="shared" si="58"/>
        <v>0.8</v>
      </c>
      <c r="J957" s="24">
        <f t="shared" si="59"/>
        <v>0</v>
      </c>
      <c r="K957" s="24">
        <f>IF(CurrentMtgRatesDataTable811[[#This Row],[WA CC]]&lt;&gt;0,D956-CurrentMtgRatesDataTable811[[#This Row],[WA CC]],0)</f>
        <v>0</v>
      </c>
      <c r="L957" s="24">
        <f>IF(CurrentMtgRatesDataTable811[[#This Row],[Servicing Spread]]&lt;=0,L956,CurrentMtgRatesDataTable811[[#This Row],[Servicing Spread]])</f>
        <v>0.82615699913622809</v>
      </c>
      <c r="M957" s="24">
        <f>CurrentMtgRatesDataTable811[[#This Row],[SeriesNumValue]]+CurrentMtgRatesDataTable811[[#This Row],[Servicing Spread Non-Zero]]</f>
        <v>4.0408718434994482</v>
      </c>
    </row>
    <row r="958" spans="2:13" x14ac:dyDescent="0.2">
      <c r="B958" s="27" t="s">
        <v>1639</v>
      </c>
      <c r="C958" s="28">
        <v>3.24020380359058</v>
      </c>
      <c r="D958" s="26">
        <v>4.0750000000000002</v>
      </c>
      <c r="E958" s="24">
        <f t="shared" si="56"/>
        <v>7</v>
      </c>
      <c r="F958" s="24">
        <f>VLOOKUP(E958,Q$5:R$11,2,FALSE)</f>
        <v>0.2</v>
      </c>
      <c r="G958" s="24">
        <f t="shared" si="57"/>
        <v>5</v>
      </c>
      <c r="H958" s="24">
        <f>IF(G958&gt;G957,H957+C958*F958,C958*F958)</f>
        <v>3.2502704116149062</v>
      </c>
      <c r="I958" s="24">
        <f t="shared" si="58"/>
        <v>1</v>
      </c>
      <c r="J958" s="24">
        <f t="shared" si="59"/>
        <v>3.2502704116149062</v>
      </c>
      <c r="K958" s="24">
        <f>IF(CurrentMtgRatesDataTable811[[#This Row],[WA CC]]&lt;&gt;0,D957-CurrentMtgRatesDataTable811[[#This Row],[WA CC]],0)</f>
        <v>0.82472958838509403</v>
      </c>
      <c r="L958" s="24">
        <f>IF(CurrentMtgRatesDataTable811[[#This Row],[Servicing Spread]]&lt;=0,L957,CurrentMtgRatesDataTable811[[#This Row],[Servicing Spread]])</f>
        <v>0.82472958838509403</v>
      </c>
      <c r="M958" s="24">
        <f>CurrentMtgRatesDataTable811[[#This Row],[SeriesNumValue]]+CurrentMtgRatesDataTable811[[#This Row],[Servicing Spread Non-Zero]]</f>
        <v>4.064933391975674</v>
      </c>
    </row>
    <row r="959" spans="2:13" x14ac:dyDescent="0.2">
      <c r="B959" s="27" t="s">
        <v>1640</v>
      </c>
      <c r="C959" s="28">
        <v>3.19667473354923</v>
      </c>
      <c r="D959" s="26">
        <v>4.04</v>
      </c>
      <c r="E959" s="24">
        <f t="shared" si="56"/>
        <v>1</v>
      </c>
      <c r="F959" s="24">
        <f>VLOOKUP(E959,Q$5:R$11,2,FALSE)</f>
        <v>0.2</v>
      </c>
      <c r="G959" s="24">
        <f t="shared" si="57"/>
        <v>1</v>
      </c>
      <c r="H959" s="24">
        <f>IF(G959&gt;G958,H958+C959*F959,C959*F959)</f>
        <v>0.63933494670984603</v>
      </c>
      <c r="I959" s="24">
        <f t="shared" si="58"/>
        <v>0.2</v>
      </c>
      <c r="J959" s="24">
        <f t="shared" si="59"/>
        <v>0</v>
      </c>
      <c r="K959" s="24">
        <f>IF(CurrentMtgRatesDataTable811[[#This Row],[WA CC]]&lt;&gt;0,D958-CurrentMtgRatesDataTable811[[#This Row],[WA CC]],0)</f>
        <v>0</v>
      </c>
      <c r="L959" s="24">
        <f>IF(CurrentMtgRatesDataTable811[[#This Row],[Servicing Spread]]&lt;=0,L958,CurrentMtgRatesDataTable811[[#This Row],[Servicing Spread]])</f>
        <v>0.82472958838509403</v>
      </c>
      <c r="M959" s="24">
        <f>CurrentMtgRatesDataTable811[[#This Row],[SeriesNumValue]]+CurrentMtgRatesDataTable811[[#This Row],[Servicing Spread Non-Zero]]</f>
        <v>4.0214043219343241</v>
      </c>
    </row>
    <row r="960" spans="2:13" x14ac:dyDescent="0.2">
      <c r="B960" s="27" t="s">
        <v>1641</v>
      </c>
      <c r="C960" s="28">
        <v>3.21516848659176</v>
      </c>
      <c r="D960" s="26">
        <v>4.04</v>
      </c>
      <c r="E960" s="24">
        <f t="shared" si="56"/>
        <v>2</v>
      </c>
      <c r="F960" s="24">
        <f>VLOOKUP(E960,Q$5:R$11,2,FALSE)</f>
        <v>0.2</v>
      </c>
      <c r="G960" s="24">
        <f t="shared" si="57"/>
        <v>2</v>
      </c>
      <c r="H960" s="24">
        <f>IF(G960&gt;G959,H959+C960*F960,C960*F960)</f>
        <v>1.2823686440281981</v>
      </c>
      <c r="I960" s="24">
        <f t="shared" si="58"/>
        <v>0.4</v>
      </c>
      <c r="J960" s="24">
        <f t="shared" si="59"/>
        <v>0</v>
      </c>
      <c r="K960" s="24">
        <f>IF(CurrentMtgRatesDataTable811[[#This Row],[WA CC]]&lt;&gt;0,D959-CurrentMtgRatesDataTable811[[#This Row],[WA CC]],0)</f>
        <v>0</v>
      </c>
      <c r="L960" s="24">
        <f>IF(CurrentMtgRatesDataTable811[[#This Row],[Servicing Spread]]&lt;=0,L959,CurrentMtgRatesDataTable811[[#This Row],[Servicing Spread]])</f>
        <v>0.82472958838509403</v>
      </c>
      <c r="M960" s="24">
        <f>CurrentMtgRatesDataTable811[[#This Row],[SeriesNumValue]]+CurrentMtgRatesDataTable811[[#This Row],[Servicing Spread Non-Zero]]</f>
        <v>4.039898074976854</v>
      </c>
    </row>
    <row r="961" spans="2:13" x14ac:dyDescent="0.2">
      <c r="B961" s="27" t="s">
        <v>1642</v>
      </c>
      <c r="C961" s="28">
        <v>3.1926835363021802</v>
      </c>
      <c r="D961" s="26">
        <v>4.04</v>
      </c>
      <c r="E961" s="24">
        <f t="shared" si="56"/>
        <v>5</v>
      </c>
      <c r="F961" s="24">
        <f>VLOOKUP(E961,Q$5:R$11,2,FALSE)</f>
        <v>0.2</v>
      </c>
      <c r="G961" s="24">
        <f t="shared" si="57"/>
        <v>3</v>
      </c>
      <c r="H961" s="24">
        <f>IF(G961&gt;G960,H960+C961*F961,C961*F961)</f>
        <v>1.920905351288634</v>
      </c>
      <c r="I961" s="24">
        <f t="shared" si="58"/>
        <v>0.60000000000000009</v>
      </c>
      <c r="J961" s="24">
        <f t="shared" si="59"/>
        <v>0</v>
      </c>
      <c r="K961" s="24">
        <f>IF(CurrentMtgRatesDataTable811[[#This Row],[WA CC]]&lt;&gt;0,D960-CurrentMtgRatesDataTable811[[#This Row],[WA CC]],0)</f>
        <v>0</v>
      </c>
      <c r="L961" s="24">
        <f>IF(CurrentMtgRatesDataTable811[[#This Row],[Servicing Spread]]&lt;=0,L960,CurrentMtgRatesDataTable811[[#This Row],[Servicing Spread]])</f>
        <v>0.82472958838509403</v>
      </c>
      <c r="M961" s="24">
        <f>CurrentMtgRatesDataTable811[[#This Row],[SeriesNumValue]]+CurrentMtgRatesDataTable811[[#This Row],[Servicing Spread Non-Zero]]</f>
        <v>4.0174131246872742</v>
      </c>
    </row>
    <row r="962" spans="2:13" x14ac:dyDescent="0.2">
      <c r="B962" s="27" t="s">
        <v>1643</v>
      </c>
      <c r="C962" s="28">
        <v>3.2078957125058598</v>
      </c>
      <c r="D962" s="26">
        <v>4.04</v>
      </c>
      <c r="E962" s="24">
        <f t="shared" si="56"/>
        <v>6</v>
      </c>
      <c r="F962" s="24">
        <f>VLOOKUP(E962,Q$5:R$11,2,FALSE)</f>
        <v>0.2</v>
      </c>
      <c r="G962" s="24">
        <f t="shared" si="57"/>
        <v>4</v>
      </c>
      <c r="H962" s="24">
        <f>IF(G962&gt;G961,H961+C962*F962,C962*F962)</f>
        <v>2.5624844937898059</v>
      </c>
      <c r="I962" s="24">
        <f t="shared" si="58"/>
        <v>0.8</v>
      </c>
      <c r="J962" s="24">
        <f t="shared" si="59"/>
        <v>0</v>
      </c>
      <c r="K962" s="24">
        <f>IF(CurrentMtgRatesDataTable811[[#This Row],[WA CC]]&lt;&gt;0,D961-CurrentMtgRatesDataTable811[[#This Row],[WA CC]],0)</f>
        <v>0</v>
      </c>
      <c r="L962" s="24">
        <f>IF(CurrentMtgRatesDataTable811[[#This Row],[Servicing Spread]]&lt;=0,L961,CurrentMtgRatesDataTable811[[#This Row],[Servicing Spread]])</f>
        <v>0.82472958838509403</v>
      </c>
      <c r="M962" s="24">
        <f>CurrentMtgRatesDataTable811[[#This Row],[SeriesNumValue]]+CurrentMtgRatesDataTable811[[#This Row],[Servicing Spread Non-Zero]]</f>
        <v>4.0326253008909543</v>
      </c>
    </row>
    <row r="963" spans="2:13" x14ac:dyDescent="0.2">
      <c r="B963" s="27" t="s">
        <v>1644</v>
      </c>
      <c r="C963" s="28">
        <v>3.1187867017573798</v>
      </c>
      <c r="D963" s="26">
        <v>4.04</v>
      </c>
      <c r="E963" s="24">
        <f t="shared" ref="E963:E1026" si="60">WEEKDAY(B963,14)</f>
        <v>7</v>
      </c>
      <c r="F963" s="24">
        <f>VLOOKUP(E963,Q$5:R$11,2,FALSE)</f>
        <v>0.2</v>
      </c>
      <c r="G963" s="24">
        <f t="shared" ref="G963:G1026" si="61">IF(AND(E963&gt;E962,G962&lt;6),G962+1,1)</f>
        <v>5</v>
      </c>
      <c r="H963" s="24">
        <f>IF(G963&gt;G962,H962+C963*F963,C963*F963)</f>
        <v>3.1862418341412821</v>
      </c>
      <c r="I963" s="24">
        <f t="shared" ref="I963:I1026" si="62">IF(AND(G963&lt;6,G963&gt;G962),F963+I962,F963)</f>
        <v>1</v>
      </c>
      <c r="J963" s="24">
        <f t="shared" ref="J963:J1026" si="63">IF(G963&gt;G964,H963/I963,0)</f>
        <v>3.1862418341412821</v>
      </c>
      <c r="K963" s="24">
        <f>IF(CurrentMtgRatesDataTable811[[#This Row],[WA CC]]&lt;&gt;0,D962-CurrentMtgRatesDataTable811[[#This Row],[WA CC]],0)</f>
        <v>0.85375816585871789</v>
      </c>
      <c r="L963" s="24">
        <f>IF(CurrentMtgRatesDataTable811[[#This Row],[Servicing Spread]]&lt;=0,L962,CurrentMtgRatesDataTable811[[#This Row],[Servicing Spread]])</f>
        <v>0.85375816585871789</v>
      </c>
      <c r="M963" s="24">
        <f>CurrentMtgRatesDataTable811[[#This Row],[SeriesNumValue]]+CurrentMtgRatesDataTable811[[#This Row],[Servicing Spread Non-Zero]]</f>
        <v>3.9725448676160977</v>
      </c>
    </row>
    <row r="964" spans="2:13" x14ac:dyDescent="0.2">
      <c r="B964" s="27" t="s">
        <v>1645</v>
      </c>
      <c r="C964" s="28">
        <v>3.13610168579967</v>
      </c>
      <c r="D964" s="26">
        <v>3.9950000000000001</v>
      </c>
      <c r="E964" s="24">
        <f t="shared" si="60"/>
        <v>1</v>
      </c>
      <c r="F964" s="24">
        <f>VLOOKUP(E964,Q$5:R$11,2,FALSE)</f>
        <v>0.2</v>
      </c>
      <c r="G964" s="24">
        <f t="shared" si="61"/>
        <v>1</v>
      </c>
      <c r="H964" s="24">
        <f>IF(G964&gt;G963,H963+C964*F964,C964*F964)</f>
        <v>0.62722033715993408</v>
      </c>
      <c r="I964" s="24">
        <f t="shared" si="62"/>
        <v>0.2</v>
      </c>
      <c r="J964" s="24">
        <f t="shared" si="63"/>
        <v>0</v>
      </c>
      <c r="K964" s="24">
        <f>IF(CurrentMtgRatesDataTable811[[#This Row],[WA CC]]&lt;&gt;0,D963-CurrentMtgRatesDataTable811[[#This Row],[WA CC]],0)</f>
        <v>0</v>
      </c>
      <c r="L964" s="24">
        <f>IF(CurrentMtgRatesDataTable811[[#This Row],[Servicing Spread]]&lt;=0,L963,CurrentMtgRatesDataTable811[[#This Row],[Servicing Spread]])</f>
        <v>0.85375816585871789</v>
      </c>
      <c r="M964" s="24">
        <f>CurrentMtgRatesDataTable811[[#This Row],[SeriesNumValue]]+CurrentMtgRatesDataTable811[[#This Row],[Servicing Spread Non-Zero]]</f>
        <v>3.9898598516583879</v>
      </c>
    </row>
    <row r="965" spans="2:13" x14ac:dyDescent="0.2">
      <c r="B965" s="27" t="s">
        <v>1646</v>
      </c>
      <c r="C965" s="28">
        <v>3.14080245533752</v>
      </c>
      <c r="D965" s="26">
        <v>3.9950000000000001</v>
      </c>
      <c r="E965" s="24">
        <f t="shared" si="60"/>
        <v>2</v>
      </c>
      <c r="F965" s="24">
        <f>VLOOKUP(E965,Q$5:R$11,2,FALSE)</f>
        <v>0.2</v>
      </c>
      <c r="G965" s="24">
        <f t="shared" si="61"/>
        <v>2</v>
      </c>
      <c r="H965" s="24">
        <f>IF(G965&gt;G964,H964+C965*F965,C965*F965)</f>
        <v>1.2553808282274381</v>
      </c>
      <c r="I965" s="24">
        <f t="shared" si="62"/>
        <v>0.4</v>
      </c>
      <c r="J965" s="24">
        <f t="shared" si="63"/>
        <v>0</v>
      </c>
      <c r="K965" s="24">
        <f>IF(CurrentMtgRatesDataTable811[[#This Row],[WA CC]]&lt;&gt;0,D964-CurrentMtgRatesDataTable811[[#This Row],[WA CC]],0)</f>
        <v>0</v>
      </c>
      <c r="L965" s="24">
        <f>IF(CurrentMtgRatesDataTable811[[#This Row],[Servicing Spread]]&lt;=0,L964,CurrentMtgRatesDataTable811[[#This Row],[Servicing Spread]])</f>
        <v>0.85375816585871789</v>
      </c>
      <c r="M965" s="24">
        <f>CurrentMtgRatesDataTable811[[#This Row],[SeriesNumValue]]+CurrentMtgRatesDataTable811[[#This Row],[Servicing Spread Non-Zero]]</f>
        <v>3.9945606211962379</v>
      </c>
    </row>
    <row r="966" spans="2:13" x14ac:dyDescent="0.2">
      <c r="B966" s="27" t="s">
        <v>1647</v>
      </c>
      <c r="C966" s="28">
        <v>3.12297819640008</v>
      </c>
      <c r="D966" s="26">
        <v>3.9950000000000001</v>
      </c>
      <c r="E966" s="24">
        <f t="shared" si="60"/>
        <v>5</v>
      </c>
      <c r="F966" s="24">
        <f>VLOOKUP(E966,Q$5:R$11,2,FALSE)</f>
        <v>0.2</v>
      </c>
      <c r="G966" s="24">
        <f t="shared" si="61"/>
        <v>3</v>
      </c>
      <c r="H966" s="24">
        <f>IF(G966&gt;G965,H965+C966*F966,C966*F966)</f>
        <v>1.8799764675074542</v>
      </c>
      <c r="I966" s="24">
        <f t="shared" si="62"/>
        <v>0.60000000000000009</v>
      </c>
      <c r="J966" s="24">
        <f t="shared" si="63"/>
        <v>0</v>
      </c>
      <c r="K966" s="24">
        <f>IF(CurrentMtgRatesDataTable811[[#This Row],[WA CC]]&lt;&gt;0,D965-CurrentMtgRatesDataTable811[[#This Row],[WA CC]],0)</f>
        <v>0</v>
      </c>
      <c r="L966" s="24">
        <f>IF(CurrentMtgRatesDataTable811[[#This Row],[Servicing Spread]]&lt;=0,L965,CurrentMtgRatesDataTable811[[#This Row],[Servicing Spread]])</f>
        <v>0.85375816585871789</v>
      </c>
      <c r="M966" s="24">
        <f>CurrentMtgRatesDataTable811[[#This Row],[SeriesNumValue]]+CurrentMtgRatesDataTable811[[#This Row],[Servicing Spread Non-Zero]]</f>
        <v>3.9767363622587979</v>
      </c>
    </row>
    <row r="967" spans="2:13" x14ac:dyDescent="0.2">
      <c r="B967" s="27" t="s">
        <v>1648</v>
      </c>
      <c r="C967" s="28">
        <v>3.05716566753143</v>
      </c>
      <c r="D967" s="26">
        <v>3.9950000000000001</v>
      </c>
      <c r="E967" s="24">
        <f t="shared" si="60"/>
        <v>6</v>
      </c>
      <c r="F967" s="24">
        <f>VLOOKUP(E967,Q$5:R$11,2,FALSE)</f>
        <v>0.2</v>
      </c>
      <c r="G967" s="24">
        <f t="shared" si="61"/>
        <v>4</v>
      </c>
      <c r="H967" s="24">
        <f>IF(G967&gt;G966,H966+C967*F967,C967*F967)</f>
        <v>2.4914096010137401</v>
      </c>
      <c r="I967" s="24">
        <f t="shared" si="62"/>
        <v>0.8</v>
      </c>
      <c r="J967" s="24">
        <f t="shared" si="63"/>
        <v>0</v>
      </c>
      <c r="K967" s="24">
        <f>IF(CurrentMtgRatesDataTable811[[#This Row],[WA CC]]&lt;&gt;0,D966-CurrentMtgRatesDataTable811[[#This Row],[WA CC]],0)</f>
        <v>0</v>
      </c>
      <c r="L967" s="24">
        <f>IF(CurrentMtgRatesDataTable811[[#This Row],[Servicing Spread]]&lt;=0,L966,CurrentMtgRatesDataTable811[[#This Row],[Servicing Spread]])</f>
        <v>0.85375816585871789</v>
      </c>
      <c r="M967" s="24">
        <f>CurrentMtgRatesDataTable811[[#This Row],[SeriesNumValue]]+CurrentMtgRatesDataTable811[[#This Row],[Servicing Spread Non-Zero]]</f>
        <v>3.9109238333901479</v>
      </c>
    </row>
    <row r="968" spans="2:13" x14ac:dyDescent="0.2">
      <c r="B968" s="27" t="s">
        <v>1649</v>
      </c>
      <c r="C968" s="28">
        <v>3.00695688776984</v>
      </c>
      <c r="D968" s="26">
        <v>3.9950000000000001</v>
      </c>
      <c r="E968" s="24">
        <f t="shared" si="60"/>
        <v>7</v>
      </c>
      <c r="F968" s="24">
        <f>VLOOKUP(E968,Q$5:R$11,2,FALSE)</f>
        <v>0.2</v>
      </c>
      <c r="G968" s="24">
        <f t="shared" si="61"/>
        <v>5</v>
      </c>
      <c r="H968" s="24">
        <f>IF(G968&gt;G967,H967+C968*F968,C968*F968)</f>
        <v>3.0928009785677082</v>
      </c>
      <c r="I968" s="24">
        <f t="shared" si="62"/>
        <v>1</v>
      </c>
      <c r="J968" s="24">
        <f t="shared" si="63"/>
        <v>3.0928009785677082</v>
      </c>
      <c r="K968" s="24">
        <f>IF(CurrentMtgRatesDataTable811[[#This Row],[WA CC]]&lt;&gt;0,D967-CurrentMtgRatesDataTable811[[#This Row],[WA CC]],0)</f>
        <v>0.90219902143229191</v>
      </c>
      <c r="L968" s="24">
        <f>IF(CurrentMtgRatesDataTable811[[#This Row],[Servicing Spread]]&lt;=0,L967,CurrentMtgRatesDataTable811[[#This Row],[Servicing Spread]])</f>
        <v>0.90219902143229191</v>
      </c>
      <c r="M968" s="24">
        <f>CurrentMtgRatesDataTable811[[#This Row],[SeriesNumValue]]+CurrentMtgRatesDataTable811[[#This Row],[Servicing Spread Non-Zero]]</f>
        <v>3.909155909202132</v>
      </c>
    </row>
    <row r="969" spans="2:13" x14ac:dyDescent="0.2">
      <c r="B969" s="27" t="s">
        <v>1650</v>
      </c>
      <c r="C969" s="28">
        <v>3.0093512074845101</v>
      </c>
      <c r="D969" s="26">
        <v>3.8450000000000002</v>
      </c>
      <c r="E969" s="24">
        <f t="shared" si="60"/>
        <v>1</v>
      </c>
      <c r="F969" s="24">
        <f>VLOOKUP(E969,Q$5:R$11,2,FALSE)</f>
        <v>0.2</v>
      </c>
      <c r="G969" s="24">
        <f t="shared" si="61"/>
        <v>1</v>
      </c>
      <c r="H969" s="24">
        <f>IF(G969&gt;G968,H968+C969*F969,C969*F969)</f>
        <v>0.60187024149690205</v>
      </c>
      <c r="I969" s="24">
        <f t="shared" si="62"/>
        <v>0.2</v>
      </c>
      <c r="J969" s="24">
        <f t="shared" si="63"/>
        <v>0</v>
      </c>
      <c r="K969" s="24">
        <f>IF(CurrentMtgRatesDataTable811[[#This Row],[WA CC]]&lt;&gt;0,D968-CurrentMtgRatesDataTable811[[#This Row],[WA CC]],0)</f>
        <v>0</v>
      </c>
      <c r="L969" s="24">
        <f>IF(CurrentMtgRatesDataTable811[[#This Row],[Servicing Spread]]&lt;=0,L968,CurrentMtgRatesDataTable811[[#This Row],[Servicing Spread]])</f>
        <v>0.90219902143229191</v>
      </c>
      <c r="M969" s="24">
        <f>CurrentMtgRatesDataTable811[[#This Row],[SeriesNumValue]]+CurrentMtgRatesDataTable811[[#This Row],[Servicing Spread Non-Zero]]</f>
        <v>3.911550228916802</v>
      </c>
    </row>
    <row r="970" spans="2:13" x14ac:dyDescent="0.2">
      <c r="B970" s="27" t="s">
        <v>1651</v>
      </c>
      <c r="C970" s="28">
        <v>3.0064713691768699</v>
      </c>
      <c r="D970" s="26">
        <v>3.8450000000000002</v>
      </c>
      <c r="E970" s="24">
        <f t="shared" si="60"/>
        <v>2</v>
      </c>
      <c r="F970" s="24">
        <f>VLOOKUP(E970,Q$5:R$11,2,FALSE)</f>
        <v>0.2</v>
      </c>
      <c r="G970" s="24">
        <f t="shared" si="61"/>
        <v>2</v>
      </c>
      <c r="H970" s="24">
        <f>IF(G970&gt;G969,H969+C970*F970,C970*F970)</f>
        <v>1.2031645153322761</v>
      </c>
      <c r="I970" s="24">
        <f t="shared" si="62"/>
        <v>0.4</v>
      </c>
      <c r="J970" s="24">
        <f t="shared" si="63"/>
        <v>0</v>
      </c>
      <c r="K970" s="24">
        <f>IF(CurrentMtgRatesDataTable811[[#This Row],[WA CC]]&lt;&gt;0,D969-CurrentMtgRatesDataTable811[[#This Row],[WA CC]],0)</f>
        <v>0</v>
      </c>
      <c r="L970" s="24">
        <f>IF(CurrentMtgRatesDataTable811[[#This Row],[Servicing Spread]]&lt;=0,L969,CurrentMtgRatesDataTable811[[#This Row],[Servicing Spread]])</f>
        <v>0.90219902143229191</v>
      </c>
      <c r="M970" s="24">
        <f>CurrentMtgRatesDataTable811[[#This Row],[SeriesNumValue]]+CurrentMtgRatesDataTable811[[#This Row],[Servicing Spread Non-Zero]]</f>
        <v>3.9086703906091618</v>
      </c>
    </row>
    <row r="971" spans="2:13" x14ac:dyDescent="0.2">
      <c r="B971" s="27" t="s">
        <v>1652</v>
      </c>
      <c r="C971" s="28">
        <v>2.9156735260487601</v>
      </c>
      <c r="D971" s="26">
        <v>3.8450000000000002</v>
      </c>
      <c r="E971" s="24">
        <f t="shared" si="60"/>
        <v>6</v>
      </c>
      <c r="F971" s="24">
        <f>VLOOKUP(E971,Q$5:R$11,2,FALSE)</f>
        <v>0.2</v>
      </c>
      <c r="G971" s="24">
        <f t="shared" si="61"/>
        <v>3</v>
      </c>
      <c r="H971" s="24">
        <f>IF(G971&gt;G970,H970+C971*F971,C971*F971)</f>
        <v>1.7862992205420283</v>
      </c>
      <c r="I971" s="24">
        <f t="shared" si="62"/>
        <v>0.60000000000000009</v>
      </c>
      <c r="J971" s="24">
        <f t="shared" si="63"/>
        <v>0</v>
      </c>
      <c r="K971" s="24">
        <f>IF(CurrentMtgRatesDataTable811[[#This Row],[WA CC]]&lt;&gt;0,D970-CurrentMtgRatesDataTable811[[#This Row],[WA CC]],0)</f>
        <v>0</v>
      </c>
      <c r="L971" s="24">
        <f>IF(CurrentMtgRatesDataTable811[[#This Row],[Servicing Spread]]&lt;=0,L970,CurrentMtgRatesDataTable811[[#This Row],[Servicing Spread]])</f>
        <v>0.90219902143229191</v>
      </c>
      <c r="M971" s="24">
        <f>CurrentMtgRatesDataTable811[[#This Row],[SeriesNumValue]]+CurrentMtgRatesDataTable811[[#This Row],[Servicing Spread Non-Zero]]</f>
        <v>3.817872547481052</v>
      </c>
    </row>
    <row r="972" spans="2:13" x14ac:dyDescent="0.2">
      <c r="B972" s="27" t="s">
        <v>1653</v>
      </c>
      <c r="C972" s="28">
        <v>2.8012763487796</v>
      </c>
      <c r="D972" s="26">
        <v>3.8450000000000002</v>
      </c>
      <c r="E972" s="24">
        <f t="shared" si="60"/>
        <v>7</v>
      </c>
      <c r="F972" s="24">
        <f>VLOOKUP(E972,Q$5:R$11,2,FALSE)</f>
        <v>0.2</v>
      </c>
      <c r="G972" s="24">
        <f t="shared" si="61"/>
        <v>4</v>
      </c>
      <c r="H972" s="24">
        <f>IF(G972&gt;G971,H971+C972*F972,C972*F972)</f>
        <v>2.3465544902979483</v>
      </c>
      <c r="I972" s="24">
        <f t="shared" si="62"/>
        <v>0.8</v>
      </c>
      <c r="J972" s="24">
        <f t="shared" si="63"/>
        <v>2.9331931128724351</v>
      </c>
      <c r="K972" s="24">
        <f>IF(CurrentMtgRatesDataTable811[[#This Row],[WA CC]]&lt;&gt;0,D971-CurrentMtgRatesDataTable811[[#This Row],[WA CC]],0)</f>
        <v>0.91180688712756508</v>
      </c>
      <c r="L972" s="24">
        <f>IF(CurrentMtgRatesDataTable811[[#This Row],[Servicing Spread]]&lt;=0,L971,CurrentMtgRatesDataTable811[[#This Row],[Servicing Spread]])</f>
        <v>0.91180688712756508</v>
      </c>
      <c r="M972" s="24">
        <f>CurrentMtgRatesDataTable811[[#This Row],[SeriesNumValue]]+CurrentMtgRatesDataTable811[[#This Row],[Servicing Spread Non-Zero]]</f>
        <v>3.713083235907165</v>
      </c>
    </row>
    <row r="973" spans="2:13" x14ac:dyDescent="0.2">
      <c r="B973" s="27" t="s">
        <v>1654</v>
      </c>
      <c r="C973" s="28">
        <v>2.88997696662019</v>
      </c>
      <c r="D973" s="26">
        <v>3.7949999999999999</v>
      </c>
      <c r="E973" s="24">
        <f t="shared" si="60"/>
        <v>1</v>
      </c>
      <c r="F973" s="24">
        <f>VLOOKUP(E973,Q$5:R$11,2,FALSE)</f>
        <v>0.2</v>
      </c>
      <c r="G973" s="24">
        <f t="shared" si="61"/>
        <v>1</v>
      </c>
      <c r="H973" s="24">
        <f>IF(G973&gt;G972,H972+C973*F973,C973*F973)</f>
        <v>0.57799539332403804</v>
      </c>
      <c r="I973" s="24">
        <f t="shared" si="62"/>
        <v>0.2</v>
      </c>
      <c r="J973" s="24">
        <f t="shared" si="63"/>
        <v>0</v>
      </c>
      <c r="K973" s="24">
        <f>IF(CurrentMtgRatesDataTable811[[#This Row],[WA CC]]&lt;&gt;0,D972-CurrentMtgRatesDataTable811[[#This Row],[WA CC]],0)</f>
        <v>0</v>
      </c>
      <c r="L973" s="24">
        <f>IF(CurrentMtgRatesDataTable811[[#This Row],[Servicing Spread]]&lt;=0,L972,CurrentMtgRatesDataTable811[[#This Row],[Servicing Spread]])</f>
        <v>0.91180688712756508</v>
      </c>
      <c r="M973" s="24">
        <f>CurrentMtgRatesDataTable811[[#This Row],[SeriesNumValue]]+CurrentMtgRatesDataTable811[[#This Row],[Servicing Spread Non-Zero]]</f>
        <v>3.8017838537477551</v>
      </c>
    </row>
    <row r="974" spans="2:13" x14ac:dyDescent="0.2">
      <c r="B974" s="27" t="s">
        <v>1655</v>
      </c>
      <c r="C974" s="28">
        <v>2.9089681552965998</v>
      </c>
      <c r="D974" s="26">
        <v>3.7949999999999999</v>
      </c>
      <c r="E974" s="24">
        <f t="shared" si="60"/>
        <v>2</v>
      </c>
      <c r="F974" s="24">
        <f>VLOOKUP(E974,Q$5:R$11,2,FALSE)</f>
        <v>0.2</v>
      </c>
      <c r="G974" s="24">
        <f t="shared" si="61"/>
        <v>2</v>
      </c>
      <c r="H974" s="24">
        <f>IF(G974&gt;G973,H973+C974*F974,C974*F974)</f>
        <v>1.159789024383358</v>
      </c>
      <c r="I974" s="24">
        <f t="shared" si="62"/>
        <v>0.4</v>
      </c>
      <c r="J974" s="24">
        <f t="shared" si="63"/>
        <v>0</v>
      </c>
      <c r="K974" s="24">
        <f>IF(CurrentMtgRatesDataTable811[[#This Row],[WA CC]]&lt;&gt;0,D973-CurrentMtgRatesDataTable811[[#This Row],[WA CC]],0)</f>
        <v>0</v>
      </c>
      <c r="L974" s="24">
        <f>IF(CurrentMtgRatesDataTable811[[#This Row],[Servicing Spread]]&lt;=0,L973,CurrentMtgRatesDataTable811[[#This Row],[Servicing Spread]])</f>
        <v>0.91180688712756508</v>
      </c>
      <c r="M974" s="24">
        <f>CurrentMtgRatesDataTable811[[#This Row],[SeriesNumValue]]+CurrentMtgRatesDataTable811[[#This Row],[Servicing Spread Non-Zero]]</f>
        <v>3.8207750424241649</v>
      </c>
    </row>
    <row r="975" spans="2:13" x14ac:dyDescent="0.2">
      <c r="B975" s="27" t="s">
        <v>1656</v>
      </c>
      <c r="C975" s="28">
        <v>2.88228276625992</v>
      </c>
      <c r="D975" s="26">
        <v>3.7949999999999999</v>
      </c>
      <c r="E975" s="24">
        <f t="shared" si="60"/>
        <v>5</v>
      </c>
      <c r="F975" s="24">
        <f>VLOOKUP(E975,Q$5:R$11,2,FALSE)</f>
        <v>0.2</v>
      </c>
      <c r="G975" s="24">
        <f t="shared" si="61"/>
        <v>3</v>
      </c>
      <c r="H975" s="24">
        <f>IF(G975&gt;G974,H974+C975*F975,C975*F975)</f>
        <v>1.736245577635342</v>
      </c>
      <c r="I975" s="24">
        <f t="shared" si="62"/>
        <v>0.60000000000000009</v>
      </c>
      <c r="J975" s="24">
        <f t="shared" si="63"/>
        <v>0</v>
      </c>
      <c r="K975" s="24">
        <f>IF(CurrentMtgRatesDataTable811[[#This Row],[WA CC]]&lt;&gt;0,D974-CurrentMtgRatesDataTable811[[#This Row],[WA CC]],0)</f>
        <v>0</v>
      </c>
      <c r="L975" s="24">
        <f>IF(CurrentMtgRatesDataTable811[[#This Row],[Servicing Spread]]&lt;=0,L974,CurrentMtgRatesDataTable811[[#This Row],[Servicing Spread]])</f>
        <v>0.91180688712756508</v>
      </c>
      <c r="M975" s="24">
        <f>CurrentMtgRatesDataTable811[[#This Row],[SeriesNumValue]]+CurrentMtgRatesDataTable811[[#This Row],[Servicing Spread Non-Zero]]</f>
        <v>3.7940896533874851</v>
      </c>
    </row>
    <row r="976" spans="2:13" x14ac:dyDescent="0.2">
      <c r="B976" s="27" t="s">
        <v>1657</v>
      </c>
      <c r="C976" s="28">
        <v>2.90260596221672</v>
      </c>
      <c r="D976" s="26">
        <v>3.7949999999999999</v>
      </c>
      <c r="E976" s="24">
        <f t="shared" si="60"/>
        <v>6</v>
      </c>
      <c r="F976" s="24">
        <f>VLOOKUP(E976,Q$5:R$11,2,FALSE)</f>
        <v>0.2</v>
      </c>
      <c r="G976" s="24">
        <f t="shared" si="61"/>
        <v>4</v>
      </c>
      <c r="H976" s="24">
        <f>IF(G976&gt;G975,H975+C976*F976,C976*F976)</f>
        <v>2.316766770078686</v>
      </c>
      <c r="I976" s="24">
        <f t="shared" si="62"/>
        <v>0.8</v>
      </c>
      <c r="J976" s="24">
        <f t="shared" si="63"/>
        <v>0</v>
      </c>
      <c r="K976" s="24">
        <f>IF(CurrentMtgRatesDataTable811[[#This Row],[WA CC]]&lt;&gt;0,D975-CurrentMtgRatesDataTable811[[#This Row],[WA CC]],0)</f>
        <v>0</v>
      </c>
      <c r="L976" s="24">
        <f>IF(CurrentMtgRatesDataTable811[[#This Row],[Servicing Spread]]&lt;=0,L975,CurrentMtgRatesDataTable811[[#This Row],[Servicing Spread]])</f>
        <v>0.91180688712756508</v>
      </c>
      <c r="M976" s="24">
        <f>CurrentMtgRatesDataTable811[[#This Row],[SeriesNumValue]]+CurrentMtgRatesDataTable811[[#This Row],[Servicing Spread Non-Zero]]</f>
        <v>3.814412849344285</v>
      </c>
    </row>
    <row r="977" spans="2:13" x14ac:dyDescent="0.2">
      <c r="B977" s="27" t="s">
        <v>1658</v>
      </c>
      <c r="C977" s="28">
        <v>2.91560839979166</v>
      </c>
      <c r="D977" s="26">
        <v>3.7949999999999999</v>
      </c>
      <c r="E977" s="24">
        <f t="shared" si="60"/>
        <v>7</v>
      </c>
      <c r="F977" s="24">
        <f>VLOOKUP(E977,Q$5:R$11,2,FALSE)</f>
        <v>0.2</v>
      </c>
      <c r="G977" s="24">
        <f t="shared" si="61"/>
        <v>5</v>
      </c>
      <c r="H977" s="24">
        <f>IF(G977&gt;G976,H976+C977*F977,C977*F977)</f>
        <v>2.8998884500370181</v>
      </c>
      <c r="I977" s="24">
        <f t="shared" si="62"/>
        <v>1</v>
      </c>
      <c r="J977" s="24">
        <f t="shared" si="63"/>
        <v>2.8998884500370181</v>
      </c>
      <c r="K977" s="24">
        <f>IF(CurrentMtgRatesDataTable811[[#This Row],[WA CC]]&lt;&gt;0,D976-CurrentMtgRatesDataTable811[[#This Row],[WA CC]],0)</f>
        <v>0.89511154996298181</v>
      </c>
      <c r="L977" s="24">
        <f>IF(CurrentMtgRatesDataTable811[[#This Row],[Servicing Spread]]&lt;=0,L976,CurrentMtgRatesDataTable811[[#This Row],[Servicing Spread]])</f>
        <v>0.89511154996298181</v>
      </c>
      <c r="M977" s="24">
        <f>CurrentMtgRatesDataTable811[[#This Row],[SeriesNumValue]]+CurrentMtgRatesDataTable811[[#This Row],[Servicing Spread Non-Zero]]</f>
        <v>3.8107199497546418</v>
      </c>
    </row>
    <row r="978" spans="2:13" x14ac:dyDescent="0.2">
      <c r="B978" s="27" t="s">
        <v>1659</v>
      </c>
      <c r="C978" s="28">
        <v>2.9569729972046299</v>
      </c>
      <c r="D978" s="26">
        <v>3.855</v>
      </c>
      <c r="E978" s="24">
        <f t="shared" si="60"/>
        <v>1</v>
      </c>
      <c r="F978" s="24">
        <f>VLOOKUP(E978,Q$5:R$11,2,FALSE)</f>
        <v>0.2</v>
      </c>
      <c r="G978" s="24">
        <f t="shared" si="61"/>
        <v>1</v>
      </c>
      <c r="H978" s="24">
        <f>IF(G978&gt;G977,H977+C978*F978,C978*F978)</f>
        <v>0.59139459944092598</v>
      </c>
      <c r="I978" s="24">
        <f t="shared" si="62"/>
        <v>0.2</v>
      </c>
      <c r="J978" s="24">
        <f t="shared" si="63"/>
        <v>0</v>
      </c>
      <c r="K978" s="24">
        <f>IF(CurrentMtgRatesDataTable811[[#This Row],[WA CC]]&lt;&gt;0,D977-CurrentMtgRatesDataTable811[[#This Row],[WA CC]],0)</f>
        <v>0</v>
      </c>
      <c r="L978" s="24">
        <f>IF(CurrentMtgRatesDataTable811[[#This Row],[Servicing Spread]]&lt;=0,L977,CurrentMtgRatesDataTable811[[#This Row],[Servicing Spread]])</f>
        <v>0.89511154996298181</v>
      </c>
      <c r="M978" s="24">
        <f>CurrentMtgRatesDataTable811[[#This Row],[SeriesNumValue]]+CurrentMtgRatesDataTable811[[#This Row],[Servicing Spread Non-Zero]]</f>
        <v>3.8520845471676117</v>
      </c>
    </row>
    <row r="979" spans="2:13" x14ac:dyDescent="0.2">
      <c r="B979" s="27" t="s">
        <v>1660</v>
      </c>
      <c r="C979" s="28">
        <v>2.9670641789919698</v>
      </c>
      <c r="D979" s="26">
        <v>3.855</v>
      </c>
      <c r="E979" s="24">
        <f t="shared" si="60"/>
        <v>2</v>
      </c>
      <c r="F979" s="24">
        <f>VLOOKUP(E979,Q$5:R$11,2,FALSE)</f>
        <v>0.2</v>
      </c>
      <c r="G979" s="24">
        <f t="shared" si="61"/>
        <v>2</v>
      </c>
      <c r="H979" s="24">
        <f>IF(G979&gt;G978,H978+C979*F979,C979*F979)</f>
        <v>1.1848074352393199</v>
      </c>
      <c r="I979" s="24">
        <f t="shared" si="62"/>
        <v>0.4</v>
      </c>
      <c r="J979" s="24">
        <f t="shared" si="63"/>
        <v>0</v>
      </c>
      <c r="K979" s="24">
        <f>IF(CurrentMtgRatesDataTable811[[#This Row],[WA CC]]&lt;&gt;0,D978-CurrentMtgRatesDataTable811[[#This Row],[WA CC]],0)</f>
        <v>0</v>
      </c>
      <c r="L979" s="24">
        <f>IF(CurrentMtgRatesDataTable811[[#This Row],[Servicing Spread]]&lt;=0,L978,CurrentMtgRatesDataTable811[[#This Row],[Servicing Spread]])</f>
        <v>0.89511154996298181</v>
      </c>
      <c r="M979" s="24">
        <f>CurrentMtgRatesDataTable811[[#This Row],[SeriesNumValue]]+CurrentMtgRatesDataTable811[[#This Row],[Servicing Spread Non-Zero]]</f>
        <v>3.8621757289549516</v>
      </c>
    </row>
    <row r="980" spans="2:13" x14ac:dyDescent="0.2">
      <c r="B980" s="27" t="s">
        <v>1661</v>
      </c>
      <c r="C980" s="28">
        <v>2.95063055740501</v>
      </c>
      <c r="D980" s="26">
        <v>3.855</v>
      </c>
      <c r="E980" s="24">
        <f t="shared" si="60"/>
        <v>5</v>
      </c>
      <c r="F980" s="24">
        <f>VLOOKUP(E980,Q$5:R$11,2,FALSE)</f>
        <v>0.2</v>
      </c>
      <c r="G980" s="24">
        <f t="shared" si="61"/>
        <v>3</v>
      </c>
      <c r="H980" s="24">
        <f>IF(G980&gt;G979,H979+C980*F980,C980*F980)</f>
        <v>1.7749335467203218</v>
      </c>
      <c r="I980" s="24">
        <f t="shared" si="62"/>
        <v>0.60000000000000009</v>
      </c>
      <c r="J980" s="24">
        <f t="shared" si="63"/>
        <v>0</v>
      </c>
      <c r="K980" s="24">
        <f>IF(CurrentMtgRatesDataTable811[[#This Row],[WA CC]]&lt;&gt;0,D979-CurrentMtgRatesDataTable811[[#This Row],[WA CC]],0)</f>
        <v>0</v>
      </c>
      <c r="L980" s="24">
        <f>IF(CurrentMtgRatesDataTable811[[#This Row],[Servicing Spread]]&lt;=0,L979,CurrentMtgRatesDataTable811[[#This Row],[Servicing Spread]])</f>
        <v>0.89511154996298181</v>
      </c>
      <c r="M980" s="24">
        <f>CurrentMtgRatesDataTable811[[#This Row],[SeriesNumValue]]+CurrentMtgRatesDataTable811[[#This Row],[Servicing Spread Non-Zero]]</f>
        <v>3.8457421073679918</v>
      </c>
    </row>
    <row r="981" spans="2:13" x14ac:dyDescent="0.2">
      <c r="B981" s="27" t="s">
        <v>1662</v>
      </c>
      <c r="C981" s="28">
        <v>2.9732615646767</v>
      </c>
      <c r="D981" s="26">
        <v>3.855</v>
      </c>
      <c r="E981" s="24">
        <f t="shared" si="60"/>
        <v>6</v>
      </c>
      <c r="F981" s="24">
        <f>VLOOKUP(E981,Q$5:R$11,2,FALSE)</f>
        <v>0.2</v>
      </c>
      <c r="G981" s="24">
        <f t="shared" si="61"/>
        <v>4</v>
      </c>
      <c r="H981" s="24">
        <f>IF(G981&gt;G980,H980+C981*F981,C981*F981)</f>
        <v>2.369585859655662</v>
      </c>
      <c r="I981" s="24">
        <f t="shared" si="62"/>
        <v>0.8</v>
      </c>
      <c r="J981" s="24">
        <f t="shared" si="63"/>
        <v>0</v>
      </c>
      <c r="K981" s="24">
        <f>IF(CurrentMtgRatesDataTable811[[#This Row],[WA CC]]&lt;&gt;0,D980-CurrentMtgRatesDataTable811[[#This Row],[WA CC]],0)</f>
        <v>0</v>
      </c>
      <c r="L981" s="24">
        <f>IF(CurrentMtgRatesDataTable811[[#This Row],[Servicing Spread]]&lt;=0,L980,CurrentMtgRatesDataTable811[[#This Row],[Servicing Spread]])</f>
        <v>0.89511154996298181</v>
      </c>
      <c r="M981" s="24">
        <f>CurrentMtgRatesDataTable811[[#This Row],[SeriesNumValue]]+CurrentMtgRatesDataTable811[[#This Row],[Servicing Spread Non-Zero]]</f>
        <v>3.8683731146396818</v>
      </c>
    </row>
    <row r="982" spans="2:13" x14ac:dyDescent="0.2">
      <c r="B982" s="27" t="s">
        <v>1663</v>
      </c>
      <c r="C982" s="28">
        <v>3.0090985385111702</v>
      </c>
      <c r="D982" s="26">
        <v>3.855</v>
      </c>
      <c r="E982" s="24">
        <f t="shared" si="60"/>
        <v>7</v>
      </c>
      <c r="F982" s="24">
        <f>VLOOKUP(E982,Q$5:R$11,2,FALSE)</f>
        <v>0.2</v>
      </c>
      <c r="G982" s="24">
        <f t="shared" si="61"/>
        <v>5</v>
      </c>
      <c r="H982" s="24">
        <f>IF(G982&gt;G981,H981+C982*F982,C982*F982)</f>
        <v>2.9714055673578961</v>
      </c>
      <c r="I982" s="24">
        <f t="shared" si="62"/>
        <v>1</v>
      </c>
      <c r="J982" s="24">
        <f t="shared" si="63"/>
        <v>2.9714055673578961</v>
      </c>
      <c r="K982" s="24">
        <f>IF(CurrentMtgRatesDataTable811[[#This Row],[WA CC]]&lt;&gt;0,D981-CurrentMtgRatesDataTable811[[#This Row],[WA CC]],0)</f>
        <v>0.88359443264210391</v>
      </c>
      <c r="L982" s="24">
        <f>IF(CurrentMtgRatesDataTable811[[#This Row],[Servicing Spread]]&lt;=0,L981,CurrentMtgRatesDataTable811[[#This Row],[Servicing Spread]])</f>
        <v>0.88359443264210391</v>
      </c>
      <c r="M982" s="24">
        <f>CurrentMtgRatesDataTable811[[#This Row],[SeriesNumValue]]+CurrentMtgRatesDataTable811[[#This Row],[Servicing Spread Non-Zero]]</f>
        <v>3.8926929711532741</v>
      </c>
    </row>
    <row r="983" spans="2:13" x14ac:dyDescent="0.2">
      <c r="B983" s="27" t="s">
        <v>1664</v>
      </c>
      <c r="C983" s="28">
        <v>2.9884141965756501</v>
      </c>
      <c r="D983" s="26">
        <v>3.8949999999999996</v>
      </c>
      <c r="E983" s="24">
        <f t="shared" si="60"/>
        <v>1</v>
      </c>
      <c r="F983" s="24">
        <f>VLOOKUP(E983,Q$5:R$11,2,FALSE)</f>
        <v>0.2</v>
      </c>
      <c r="G983" s="24">
        <f t="shared" si="61"/>
        <v>1</v>
      </c>
      <c r="H983" s="24">
        <f>IF(G983&gt;G982,H982+C983*F983,C983*F983)</f>
        <v>0.59768283931513</v>
      </c>
      <c r="I983" s="24">
        <f t="shared" si="62"/>
        <v>0.2</v>
      </c>
      <c r="J983" s="24">
        <f t="shared" si="63"/>
        <v>0</v>
      </c>
      <c r="K983" s="24">
        <f>IF(CurrentMtgRatesDataTable811[[#This Row],[WA CC]]&lt;&gt;0,D982-CurrentMtgRatesDataTable811[[#This Row],[WA CC]],0)</f>
        <v>0</v>
      </c>
      <c r="L983" s="24">
        <f>IF(CurrentMtgRatesDataTable811[[#This Row],[Servicing Spread]]&lt;=0,L982,CurrentMtgRatesDataTable811[[#This Row],[Servicing Spread]])</f>
        <v>0.88359443264210391</v>
      </c>
      <c r="M983" s="24">
        <f>CurrentMtgRatesDataTable811[[#This Row],[SeriesNumValue]]+CurrentMtgRatesDataTable811[[#This Row],[Servicing Spread Non-Zero]]</f>
        <v>3.872008629217754</v>
      </c>
    </row>
    <row r="984" spans="2:13" x14ac:dyDescent="0.2">
      <c r="B984" s="27" t="s">
        <v>1665</v>
      </c>
      <c r="C984" s="28">
        <v>3.0097405474457601</v>
      </c>
      <c r="D984" s="26">
        <v>3.8949999999999996</v>
      </c>
      <c r="E984" s="24">
        <f t="shared" si="60"/>
        <v>2</v>
      </c>
      <c r="F984" s="24">
        <f>VLOOKUP(E984,Q$5:R$11,2,FALSE)</f>
        <v>0.2</v>
      </c>
      <c r="G984" s="24">
        <f t="shared" si="61"/>
        <v>2</v>
      </c>
      <c r="H984" s="24">
        <f>IF(G984&gt;G983,H983+C984*F984,C984*F984)</f>
        <v>1.1996309488042822</v>
      </c>
      <c r="I984" s="24">
        <f t="shared" si="62"/>
        <v>0.4</v>
      </c>
      <c r="J984" s="24">
        <f t="shared" si="63"/>
        <v>0</v>
      </c>
      <c r="K984" s="24">
        <f>IF(CurrentMtgRatesDataTable811[[#This Row],[WA CC]]&lt;&gt;0,D983-CurrentMtgRatesDataTable811[[#This Row],[WA CC]],0)</f>
        <v>0</v>
      </c>
      <c r="L984" s="24">
        <f>IF(CurrentMtgRatesDataTable811[[#This Row],[Servicing Spread]]&lt;=0,L983,CurrentMtgRatesDataTable811[[#This Row],[Servicing Spread]])</f>
        <v>0.88359443264210391</v>
      </c>
      <c r="M984" s="24">
        <f>CurrentMtgRatesDataTable811[[#This Row],[SeriesNumValue]]+CurrentMtgRatesDataTable811[[#This Row],[Servicing Spread Non-Zero]]</f>
        <v>3.8933349800878641</v>
      </c>
    </row>
    <row r="985" spans="2:13" x14ac:dyDescent="0.2">
      <c r="B985" s="27" t="s">
        <v>1666</v>
      </c>
      <c r="C985" s="28">
        <v>3.04727792085342</v>
      </c>
      <c r="D985" s="26">
        <v>3.8949999999999996</v>
      </c>
      <c r="E985" s="24">
        <f t="shared" si="60"/>
        <v>5</v>
      </c>
      <c r="F985" s="24">
        <f>VLOOKUP(E985,Q$5:R$11,2,FALSE)</f>
        <v>0.2</v>
      </c>
      <c r="G985" s="24">
        <f t="shared" si="61"/>
        <v>3</v>
      </c>
      <c r="H985" s="24">
        <f>IF(G985&gt;G984,H984+C985*F985,C985*F985)</f>
        <v>1.8090865329749661</v>
      </c>
      <c r="I985" s="24">
        <f t="shared" si="62"/>
        <v>0.60000000000000009</v>
      </c>
      <c r="J985" s="24">
        <f t="shared" si="63"/>
        <v>0</v>
      </c>
      <c r="K985" s="24">
        <f>IF(CurrentMtgRatesDataTable811[[#This Row],[WA CC]]&lt;&gt;0,D984-CurrentMtgRatesDataTable811[[#This Row],[WA CC]],0)</f>
        <v>0</v>
      </c>
      <c r="L985" s="24">
        <f>IF(CurrentMtgRatesDataTable811[[#This Row],[Servicing Spread]]&lt;=0,L984,CurrentMtgRatesDataTable811[[#This Row],[Servicing Spread]])</f>
        <v>0.88359443264210391</v>
      </c>
      <c r="M985" s="24">
        <f>CurrentMtgRatesDataTable811[[#This Row],[SeriesNumValue]]+CurrentMtgRatesDataTable811[[#This Row],[Servicing Spread Non-Zero]]</f>
        <v>3.9308723534955239</v>
      </c>
    </row>
    <row r="986" spans="2:13" x14ac:dyDescent="0.2">
      <c r="B986" s="27" t="s">
        <v>1667</v>
      </c>
      <c r="C986" s="28">
        <v>3.0442418004482401</v>
      </c>
      <c r="D986" s="26">
        <v>3.8949999999999996</v>
      </c>
      <c r="E986" s="24">
        <f t="shared" si="60"/>
        <v>6</v>
      </c>
      <c r="F986" s="24">
        <f>VLOOKUP(E986,Q$5:R$11,2,FALSE)</f>
        <v>0.2</v>
      </c>
      <c r="G986" s="24">
        <f t="shared" si="61"/>
        <v>4</v>
      </c>
      <c r="H986" s="24">
        <f>IF(G986&gt;G985,H985+C986*F986,C986*F986)</f>
        <v>2.4179348930646141</v>
      </c>
      <c r="I986" s="24">
        <f t="shared" si="62"/>
        <v>0.8</v>
      </c>
      <c r="J986" s="24">
        <f t="shared" si="63"/>
        <v>0</v>
      </c>
      <c r="K986" s="24">
        <f>IF(CurrentMtgRatesDataTable811[[#This Row],[WA CC]]&lt;&gt;0,D985-CurrentMtgRatesDataTable811[[#This Row],[WA CC]],0)</f>
        <v>0</v>
      </c>
      <c r="L986" s="24">
        <f>IF(CurrentMtgRatesDataTable811[[#This Row],[Servicing Spread]]&lt;=0,L985,CurrentMtgRatesDataTable811[[#This Row],[Servicing Spread]])</f>
        <v>0.88359443264210391</v>
      </c>
      <c r="M986" s="24">
        <f>CurrentMtgRatesDataTable811[[#This Row],[SeriesNumValue]]+CurrentMtgRatesDataTable811[[#This Row],[Servicing Spread Non-Zero]]</f>
        <v>3.927836233090344</v>
      </c>
    </row>
    <row r="987" spans="2:13" x14ac:dyDescent="0.2">
      <c r="B987" s="27" t="s">
        <v>1668</v>
      </c>
      <c r="C987" s="28">
        <v>3.04444949772784</v>
      </c>
      <c r="D987" s="26">
        <v>3.8949999999999996</v>
      </c>
      <c r="E987" s="24">
        <f t="shared" si="60"/>
        <v>7</v>
      </c>
      <c r="F987" s="24">
        <f>VLOOKUP(E987,Q$5:R$11,2,FALSE)</f>
        <v>0.2</v>
      </c>
      <c r="G987" s="24">
        <f t="shared" si="61"/>
        <v>5</v>
      </c>
      <c r="H987" s="24">
        <f>IF(G987&gt;G986,H986+C987*F987,C987*F987)</f>
        <v>3.0268247926101823</v>
      </c>
      <c r="I987" s="24">
        <f t="shared" si="62"/>
        <v>1</v>
      </c>
      <c r="J987" s="24">
        <f t="shared" si="63"/>
        <v>3.0268247926101823</v>
      </c>
      <c r="K987" s="24">
        <f>IF(CurrentMtgRatesDataTable811[[#This Row],[WA CC]]&lt;&gt;0,D986-CurrentMtgRatesDataTable811[[#This Row],[WA CC]],0)</f>
        <v>0.86817520738981724</v>
      </c>
      <c r="L987" s="24">
        <f>IF(CurrentMtgRatesDataTable811[[#This Row],[Servicing Spread]]&lt;=0,L986,CurrentMtgRatesDataTable811[[#This Row],[Servicing Spread]])</f>
        <v>0.86817520738981724</v>
      </c>
      <c r="M987" s="24">
        <f>CurrentMtgRatesDataTable811[[#This Row],[SeriesNumValue]]+CurrentMtgRatesDataTable811[[#This Row],[Servicing Spread Non-Zero]]</f>
        <v>3.9126247051176573</v>
      </c>
    </row>
    <row r="988" spans="2:13" x14ac:dyDescent="0.2">
      <c r="B988" s="27" t="s">
        <v>1669</v>
      </c>
      <c r="C988" s="28">
        <v>3.05201083744713</v>
      </c>
      <c r="D988" s="26">
        <v>3.8849999999999998</v>
      </c>
      <c r="E988" s="24">
        <f t="shared" si="60"/>
        <v>1</v>
      </c>
      <c r="F988" s="24">
        <f>VLOOKUP(E988,Q$5:R$11,2,FALSE)</f>
        <v>0.2</v>
      </c>
      <c r="G988" s="24">
        <f t="shared" si="61"/>
        <v>1</v>
      </c>
      <c r="H988" s="24">
        <f>IF(G988&gt;G987,H987+C988*F988,C988*F988)</f>
        <v>0.610402167489426</v>
      </c>
      <c r="I988" s="24">
        <f t="shared" si="62"/>
        <v>0.2</v>
      </c>
      <c r="J988" s="24">
        <f t="shared" si="63"/>
        <v>0</v>
      </c>
      <c r="K988" s="24">
        <f>IF(CurrentMtgRatesDataTable811[[#This Row],[WA CC]]&lt;&gt;0,D987-CurrentMtgRatesDataTable811[[#This Row],[WA CC]],0)</f>
        <v>0</v>
      </c>
      <c r="L988" s="24">
        <f>IF(CurrentMtgRatesDataTable811[[#This Row],[Servicing Spread]]&lt;=0,L987,CurrentMtgRatesDataTable811[[#This Row],[Servicing Spread]])</f>
        <v>0.86817520738981724</v>
      </c>
      <c r="M988" s="24">
        <f>CurrentMtgRatesDataTable811[[#This Row],[SeriesNumValue]]+CurrentMtgRatesDataTable811[[#This Row],[Servicing Spread Non-Zero]]</f>
        <v>3.9201860448369472</v>
      </c>
    </row>
    <row r="989" spans="2:13" x14ac:dyDescent="0.2">
      <c r="B989" s="27" t="s">
        <v>1670</v>
      </c>
      <c r="C989" s="28">
        <v>3.00136099640791</v>
      </c>
      <c r="D989" s="26">
        <v>3.8849999999999998</v>
      </c>
      <c r="E989" s="24">
        <f t="shared" si="60"/>
        <v>2</v>
      </c>
      <c r="F989" s="24">
        <f>VLOOKUP(E989,Q$5:R$11,2,FALSE)</f>
        <v>0.2</v>
      </c>
      <c r="G989" s="24">
        <f t="shared" si="61"/>
        <v>2</v>
      </c>
      <c r="H989" s="24">
        <f>IF(G989&gt;G988,H988+C989*F989,C989*F989)</f>
        <v>1.210674366771008</v>
      </c>
      <c r="I989" s="24">
        <f t="shared" si="62"/>
        <v>0.4</v>
      </c>
      <c r="J989" s="24">
        <f t="shared" si="63"/>
        <v>0</v>
      </c>
      <c r="K989" s="24">
        <f>IF(CurrentMtgRatesDataTable811[[#This Row],[WA CC]]&lt;&gt;0,D988-CurrentMtgRatesDataTable811[[#This Row],[WA CC]],0)</f>
        <v>0</v>
      </c>
      <c r="L989" s="24">
        <f>IF(CurrentMtgRatesDataTable811[[#This Row],[Servicing Spread]]&lt;=0,L988,CurrentMtgRatesDataTable811[[#This Row],[Servicing Spread]])</f>
        <v>0.86817520738981724</v>
      </c>
      <c r="M989" s="24">
        <f>CurrentMtgRatesDataTable811[[#This Row],[SeriesNumValue]]+CurrentMtgRatesDataTable811[[#This Row],[Servicing Spread Non-Zero]]</f>
        <v>3.8695362037977272</v>
      </c>
    </row>
    <row r="990" spans="2:13" x14ac:dyDescent="0.2">
      <c r="B990" s="27" t="s">
        <v>1671</v>
      </c>
      <c r="C990" s="28">
        <v>3.0363365323845302</v>
      </c>
      <c r="D990" s="26">
        <v>3.8849999999999998</v>
      </c>
      <c r="E990" s="24">
        <f t="shared" si="60"/>
        <v>5</v>
      </c>
      <c r="F990" s="24">
        <f>VLOOKUP(E990,Q$5:R$11,2,FALSE)</f>
        <v>0.2</v>
      </c>
      <c r="G990" s="24">
        <f t="shared" si="61"/>
        <v>3</v>
      </c>
      <c r="H990" s="24">
        <f>IF(G990&gt;G989,H989+C990*F990,C990*F990)</f>
        <v>1.8179416732479141</v>
      </c>
      <c r="I990" s="24">
        <f t="shared" si="62"/>
        <v>0.60000000000000009</v>
      </c>
      <c r="J990" s="24">
        <f t="shared" si="63"/>
        <v>0</v>
      </c>
      <c r="K990" s="24">
        <f>IF(CurrentMtgRatesDataTable811[[#This Row],[WA CC]]&lt;&gt;0,D989-CurrentMtgRatesDataTable811[[#This Row],[WA CC]],0)</f>
        <v>0</v>
      </c>
      <c r="L990" s="24">
        <f>IF(CurrentMtgRatesDataTable811[[#This Row],[Servicing Spread]]&lt;=0,L989,CurrentMtgRatesDataTable811[[#This Row],[Servicing Spread]])</f>
        <v>0.86817520738981724</v>
      </c>
      <c r="M990" s="24">
        <f>CurrentMtgRatesDataTable811[[#This Row],[SeriesNumValue]]+CurrentMtgRatesDataTable811[[#This Row],[Servicing Spread Non-Zero]]</f>
        <v>3.9045117397743474</v>
      </c>
    </row>
    <row r="991" spans="2:13" x14ac:dyDescent="0.2">
      <c r="B991" s="27" t="s">
        <v>1672</v>
      </c>
      <c r="C991" s="28">
        <v>3.03648433223462</v>
      </c>
      <c r="D991" s="26">
        <v>3.8849999999999998</v>
      </c>
      <c r="E991" s="24">
        <f t="shared" si="60"/>
        <v>7</v>
      </c>
      <c r="F991" s="24">
        <f>VLOOKUP(E991,Q$5:R$11,2,FALSE)</f>
        <v>0.2</v>
      </c>
      <c r="G991" s="24">
        <f t="shared" si="61"/>
        <v>4</v>
      </c>
      <c r="H991" s="24">
        <f>IF(G991&gt;G990,H990+C991*F991,C991*F991)</f>
        <v>2.4252385396948384</v>
      </c>
      <c r="I991" s="24">
        <f t="shared" si="62"/>
        <v>0.8</v>
      </c>
      <c r="J991" s="24">
        <f t="shared" si="63"/>
        <v>3.031548174618548</v>
      </c>
      <c r="K991" s="24">
        <f>IF(CurrentMtgRatesDataTable811[[#This Row],[WA CC]]&lt;&gt;0,D990-CurrentMtgRatesDataTable811[[#This Row],[WA CC]],0)</f>
        <v>0.85345182538145181</v>
      </c>
      <c r="L991" s="24">
        <f>IF(CurrentMtgRatesDataTable811[[#This Row],[Servicing Spread]]&lt;=0,L990,CurrentMtgRatesDataTable811[[#This Row],[Servicing Spread]])</f>
        <v>0.85345182538145181</v>
      </c>
      <c r="M991" s="24">
        <f>CurrentMtgRatesDataTable811[[#This Row],[SeriesNumValue]]+CurrentMtgRatesDataTable811[[#This Row],[Servicing Spread Non-Zero]]</f>
        <v>3.8899361576160718</v>
      </c>
    </row>
    <row r="992" spans="2:13" x14ac:dyDescent="0.2">
      <c r="B992" s="27" t="s">
        <v>1673</v>
      </c>
      <c r="C992" s="28">
        <v>3.0240880311784402</v>
      </c>
      <c r="D992" s="26">
        <v>3.8650000000000002</v>
      </c>
      <c r="E992" s="24">
        <f t="shared" si="60"/>
        <v>1</v>
      </c>
      <c r="F992" s="24">
        <f>VLOOKUP(E992,Q$5:R$11,2,FALSE)</f>
        <v>0.2</v>
      </c>
      <c r="G992" s="24">
        <f t="shared" si="61"/>
        <v>1</v>
      </c>
      <c r="H992" s="24">
        <f>IF(G992&gt;G991,H991+C992*F992,C992*F992)</f>
        <v>0.60481760623568803</v>
      </c>
      <c r="I992" s="24">
        <f t="shared" si="62"/>
        <v>0.2</v>
      </c>
      <c r="J992" s="24">
        <f t="shared" si="63"/>
        <v>0</v>
      </c>
      <c r="K992" s="24">
        <f>IF(CurrentMtgRatesDataTable811[[#This Row],[WA CC]]&lt;&gt;0,D991-CurrentMtgRatesDataTable811[[#This Row],[WA CC]],0)</f>
        <v>0</v>
      </c>
      <c r="L992" s="24">
        <f>IF(CurrentMtgRatesDataTable811[[#This Row],[Servicing Spread]]&lt;=0,L991,CurrentMtgRatesDataTable811[[#This Row],[Servicing Spread]])</f>
        <v>0.85345182538145181</v>
      </c>
      <c r="M992" s="24">
        <f>CurrentMtgRatesDataTable811[[#This Row],[SeriesNumValue]]+CurrentMtgRatesDataTable811[[#This Row],[Servicing Spread Non-Zero]]</f>
        <v>3.877539856559892</v>
      </c>
    </row>
    <row r="993" spans="2:13" x14ac:dyDescent="0.2">
      <c r="B993" s="27" t="s">
        <v>1674</v>
      </c>
      <c r="C993" s="28">
        <v>2.9883080633805301</v>
      </c>
      <c r="D993" s="26">
        <v>3.8650000000000002</v>
      </c>
      <c r="E993" s="24">
        <f t="shared" si="60"/>
        <v>2</v>
      </c>
      <c r="F993" s="24">
        <f>VLOOKUP(E993,Q$5:R$11,2,FALSE)</f>
        <v>0.2</v>
      </c>
      <c r="G993" s="24">
        <f t="shared" si="61"/>
        <v>2</v>
      </c>
      <c r="H993" s="24">
        <f>IF(G993&gt;G992,H992+C993*F993,C993*F993)</f>
        <v>1.2024792189117941</v>
      </c>
      <c r="I993" s="24">
        <f t="shared" si="62"/>
        <v>0.4</v>
      </c>
      <c r="J993" s="24">
        <f t="shared" si="63"/>
        <v>0</v>
      </c>
      <c r="K993" s="24">
        <f>IF(CurrentMtgRatesDataTable811[[#This Row],[WA CC]]&lt;&gt;0,D992-CurrentMtgRatesDataTable811[[#This Row],[WA CC]],0)</f>
        <v>0</v>
      </c>
      <c r="L993" s="24">
        <f>IF(CurrentMtgRatesDataTable811[[#This Row],[Servicing Spread]]&lt;=0,L992,CurrentMtgRatesDataTable811[[#This Row],[Servicing Spread]])</f>
        <v>0.85345182538145181</v>
      </c>
      <c r="M993" s="24">
        <f>CurrentMtgRatesDataTable811[[#This Row],[SeriesNumValue]]+CurrentMtgRatesDataTable811[[#This Row],[Servicing Spread Non-Zero]]</f>
        <v>3.8417598887619819</v>
      </c>
    </row>
    <row r="994" spans="2:13" x14ac:dyDescent="0.2">
      <c r="B994" s="27" t="s">
        <v>1675</v>
      </c>
      <c r="C994" s="28">
        <v>2.9940977333827501</v>
      </c>
      <c r="D994" s="26">
        <v>3.8650000000000002</v>
      </c>
      <c r="E994" s="24">
        <f t="shared" si="60"/>
        <v>5</v>
      </c>
      <c r="F994" s="24">
        <f>VLOOKUP(E994,Q$5:R$11,2,FALSE)</f>
        <v>0.2</v>
      </c>
      <c r="G994" s="24">
        <f t="shared" si="61"/>
        <v>3</v>
      </c>
      <c r="H994" s="24">
        <f>IF(G994&gt;G993,H993+C994*F994,C994*F994)</f>
        <v>1.8012987655883441</v>
      </c>
      <c r="I994" s="24">
        <f t="shared" si="62"/>
        <v>0.60000000000000009</v>
      </c>
      <c r="J994" s="24">
        <f t="shared" si="63"/>
        <v>0</v>
      </c>
      <c r="K994" s="24">
        <f>IF(CurrentMtgRatesDataTable811[[#This Row],[WA CC]]&lt;&gt;0,D993-CurrentMtgRatesDataTable811[[#This Row],[WA CC]],0)</f>
        <v>0</v>
      </c>
      <c r="L994" s="24">
        <f>IF(CurrentMtgRatesDataTable811[[#This Row],[Servicing Spread]]&lt;=0,L993,CurrentMtgRatesDataTable811[[#This Row],[Servicing Spread]])</f>
        <v>0.85345182538145181</v>
      </c>
      <c r="M994" s="24">
        <f>CurrentMtgRatesDataTable811[[#This Row],[SeriesNumValue]]+CurrentMtgRatesDataTable811[[#This Row],[Servicing Spread Non-Zero]]</f>
        <v>3.8475495587642019</v>
      </c>
    </row>
    <row r="995" spans="2:13" x14ac:dyDescent="0.2">
      <c r="B995" s="27" t="s">
        <v>1676</v>
      </c>
      <c r="C995" s="28">
        <v>2.98225794262494</v>
      </c>
      <c r="D995" s="26">
        <v>3.8650000000000002</v>
      </c>
      <c r="E995" s="24">
        <f t="shared" si="60"/>
        <v>6</v>
      </c>
      <c r="F995" s="24">
        <f>VLOOKUP(E995,Q$5:R$11,2,FALSE)</f>
        <v>0.2</v>
      </c>
      <c r="G995" s="24">
        <f t="shared" si="61"/>
        <v>4</v>
      </c>
      <c r="H995" s="24">
        <f>IF(G995&gt;G994,H994+C995*F995,C995*F995)</f>
        <v>2.3977503541133323</v>
      </c>
      <c r="I995" s="24">
        <f t="shared" si="62"/>
        <v>0.8</v>
      </c>
      <c r="J995" s="24">
        <f t="shared" si="63"/>
        <v>0</v>
      </c>
      <c r="K995" s="24">
        <f>IF(CurrentMtgRatesDataTable811[[#This Row],[WA CC]]&lt;&gt;0,D994-CurrentMtgRatesDataTable811[[#This Row],[WA CC]],0)</f>
        <v>0</v>
      </c>
      <c r="L995" s="24">
        <f>IF(CurrentMtgRatesDataTable811[[#This Row],[Servicing Spread]]&lt;=0,L994,CurrentMtgRatesDataTable811[[#This Row],[Servicing Spread]])</f>
        <v>0.85345182538145181</v>
      </c>
      <c r="M995" s="24">
        <f>CurrentMtgRatesDataTable811[[#This Row],[SeriesNumValue]]+CurrentMtgRatesDataTable811[[#This Row],[Servicing Spread Non-Zero]]</f>
        <v>3.8357097680063919</v>
      </c>
    </row>
    <row r="996" spans="2:13" x14ac:dyDescent="0.2">
      <c r="B996" s="27" t="s">
        <v>1677</v>
      </c>
      <c r="C996" s="28">
        <v>3.0039537946355401</v>
      </c>
      <c r="D996" s="26">
        <v>3.8650000000000002</v>
      </c>
      <c r="E996" s="24">
        <f t="shared" si="60"/>
        <v>7</v>
      </c>
      <c r="F996" s="24">
        <f>VLOOKUP(E996,Q$5:R$11,2,FALSE)</f>
        <v>0.2</v>
      </c>
      <c r="G996" s="24">
        <f t="shared" si="61"/>
        <v>5</v>
      </c>
      <c r="H996" s="24">
        <f>IF(G996&gt;G995,H995+C996*F996,C996*F996)</f>
        <v>2.9985411130404405</v>
      </c>
      <c r="I996" s="24">
        <f t="shared" si="62"/>
        <v>1</v>
      </c>
      <c r="J996" s="24">
        <f t="shared" si="63"/>
        <v>2.9985411130404405</v>
      </c>
      <c r="K996" s="24">
        <f>IF(CurrentMtgRatesDataTable811[[#This Row],[WA CC]]&lt;&gt;0,D995-CurrentMtgRatesDataTable811[[#This Row],[WA CC]],0)</f>
        <v>0.86645888695955975</v>
      </c>
      <c r="L996" s="24">
        <f>IF(CurrentMtgRatesDataTable811[[#This Row],[Servicing Spread]]&lt;=0,L995,CurrentMtgRatesDataTable811[[#This Row],[Servicing Spread]])</f>
        <v>0.86645888695955975</v>
      </c>
      <c r="M996" s="24">
        <f>CurrentMtgRatesDataTable811[[#This Row],[SeriesNumValue]]+CurrentMtgRatesDataTable811[[#This Row],[Servicing Spread Non-Zero]]</f>
        <v>3.8704126815950999</v>
      </c>
    </row>
    <row r="997" spans="2:13" x14ac:dyDescent="0.2">
      <c r="B997" s="27" t="s">
        <v>1678</v>
      </c>
      <c r="C997" s="28">
        <v>2.9824542230370898</v>
      </c>
      <c r="D997" s="26">
        <v>3.8450000000000002</v>
      </c>
      <c r="E997" s="24">
        <f t="shared" si="60"/>
        <v>1</v>
      </c>
      <c r="F997" s="24">
        <f>VLOOKUP(E997,Q$5:R$11,2,FALSE)</f>
        <v>0.2</v>
      </c>
      <c r="G997" s="24">
        <f t="shared" si="61"/>
        <v>1</v>
      </c>
      <c r="H997" s="24">
        <f>IF(G997&gt;G996,H996+C997*F997,C997*F997)</f>
        <v>0.59649084460741797</v>
      </c>
      <c r="I997" s="24">
        <f t="shared" si="62"/>
        <v>0.2</v>
      </c>
      <c r="J997" s="24">
        <f t="shared" si="63"/>
        <v>0</v>
      </c>
      <c r="K997" s="24">
        <f>IF(CurrentMtgRatesDataTable811[[#This Row],[WA CC]]&lt;&gt;0,D996-CurrentMtgRatesDataTable811[[#This Row],[WA CC]],0)</f>
        <v>0</v>
      </c>
      <c r="L997" s="24">
        <f>IF(CurrentMtgRatesDataTable811[[#This Row],[Servicing Spread]]&lt;=0,L996,CurrentMtgRatesDataTable811[[#This Row],[Servicing Spread]])</f>
        <v>0.86645888695955975</v>
      </c>
      <c r="M997" s="24">
        <f>CurrentMtgRatesDataTable811[[#This Row],[SeriesNumValue]]+CurrentMtgRatesDataTable811[[#This Row],[Servicing Spread Non-Zero]]</f>
        <v>3.8489131099966496</v>
      </c>
    </row>
    <row r="998" spans="2:13" x14ac:dyDescent="0.2">
      <c r="B998" s="27" t="s">
        <v>1679</v>
      </c>
      <c r="C998" s="28">
        <v>2.96503071609644</v>
      </c>
      <c r="D998" s="26">
        <v>3.8450000000000002</v>
      </c>
      <c r="E998" s="24">
        <f t="shared" si="60"/>
        <v>2</v>
      </c>
      <c r="F998" s="24">
        <f>VLOOKUP(E998,Q$5:R$11,2,FALSE)</f>
        <v>0.2</v>
      </c>
      <c r="G998" s="24">
        <f t="shared" si="61"/>
        <v>2</v>
      </c>
      <c r="H998" s="24">
        <f>IF(G998&gt;G997,H997+C998*F998,C998*F998)</f>
        <v>1.1894969878267059</v>
      </c>
      <c r="I998" s="24">
        <f t="shared" si="62"/>
        <v>0.4</v>
      </c>
      <c r="J998" s="24">
        <f t="shared" si="63"/>
        <v>0</v>
      </c>
      <c r="K998" s="24">
        <f>IF(CurrentMtgRatesDataTable811[[#This Row],[WA CC]]&lt;&gt;0,D997-CurrentMtgRatesDataTable811[[#This Row],[WA CC]],0)</f>
        <v>0</v>
      </c>
      <c r="L998" s="24">
        <f>IF(CurrentMtgRatesDataTable811[[#This Row],[Servicing Spread]]&lt;=0,L997,CurrentMtgRatesDataTable811[[#This Row],[Servicing Spread]])</f>
        <v>0.86645888695955975</v>
      </c>
      <c r="M998" s="24">
        <f>CurrentMtgRatesDataTable811[[#This Row],[SeriesNumValue]]+CurrentMtgRatesDataTable811[[#This Row],[Servicing Spread Non-Zero]]</f>
        <v>3.8314896030559997</v>
      </c>
    </row>
    <row r="999" spans="2:13" x14ac:dyDescent="0.2">
      <c r="B999" s="27" t="s">
        <v>1680</v>
      </c>
      <c r="C999" s="28">
        <v>2.9533754292471799</v>
      </c>
      <c r="D999" s="26">
        <v>3.8450000000000002</v>
      </c>
      <c r="E999" s="24">
        <f t="shared" si="60"/>
        <v>5</v>
      </c>
      <c r="F999" s="24">
        <f>VLOOKUP(E999,Q$5:R$11,2,FALSE)</f>
        <v>0.2</v>
      </c>
      <c r="G999" s="24">
        <f t="shared" si="61"/>
        <v>3</v>
      </c>
      <c r="H999" s="24">
        <f>IF(G999&gt;G998,H998+C999*F999,C999*F999)</f>
        <v>1.7801720736761419</v>
      </c>
      <c r="I999" s="24">
        <f t="shared" si="62"/>
        <v>0.60000000000000009</v>
      </c>
      <c r="J999" s="24">
        <f t="shared" si="63"/>
        <v>0</v>
      </c>
      <c r="K999" s="24">
        <f>IF(CurrentMtgRatesDataTable811[[#This Row],[WA CC]]&lt;&gt;0,D998-CurrentMtgRatesDataTable811[[#This Row],[WA CC]],0)</f>
        <v>0</v>
      </c>
      <c r="L999" s="24">
        <f>IF(CurrentMtgRatesDataTable811[[#This Row],[Servicing Spread]]&lt;=0,L998,CurrentMtgRatesDataTable811[[#This Row],[Servicing Spread]])</f>
        <v>0.86645888695955975</v>
      </c>
      <c r="M999" s="24">
        <f>CurrentMtgRatesDataTable811[[#This Row],[SeriesNumValue]]+CurrentMtgRatesDataTable811[[#This Row],[Servicing Spread Non-Zero]]</f>
        <v>3.8198343162067396</v>
      </c>
    </row>
    <row r="1000" spans="2:13" x14ac:dyDescent="0.2">
      <c r="B1000" s="27" t="s">
        <v>1681</v>
      </c>
      <c r="C1000" s="28">
        <v>2.8987235748393099</v>
      </c>
      <c r="D1000" s="26">
        <v>3.8450000000000002</v>
      </c>
      <c r="E1000" s="24">
        <f t="shared" si="60"/>
        <v>6</v>
      </c>
      <c r="F1000" s="24">
        <f>VLOOKUP(E1000,Q$5:R$11,2,FALSE)</f>
        <v>0.2</v>
      </c>
      <c r="G1000" s="24">
        <f t="shared" si="61"/>
        <v>4</v>
      </c>
      <c r="H1000" s="24">
        <f>IF(G1000&gt;G999,H999+C1000*F1000,C1000*F1000)</f>
        <v>2.359916788644004</v>
      </c>
      <c r="I1000" s="24">
        <f t="shared" si="62"/>
        <v>0.8</v>
      </c>
      <c r="J1000" s="24">
        <f t="shared" si="63"/>
        <v>0</v>
      </c>
      <c r="K1000" s="24">
        <f>IF(CurrentMtgRatesDataTable811[[#This Row],[WA CC]]&lt;&gt;0,D999-CurrentMtgRatesDataTable811[[#This Row],[WA CC]],0)</f>
        <v>0</v>
      </c>
      <c r="L1000" s="24">
        <f>IF(CurrentMtgRatesDataTable811[[#This Row],[Servicing Spread]]&lt;=0,L999,CurrentMtgRatesDataTable811[[#This Row],[Servicing Spread]])</f>
        <v>0.86645888695955975</v>
      </c>
      <c r="M1000" s="24">
        <f>CurrentMtgRatesDataTable811[[#This Row],[SeriesNumValue]]+CurrentMtgRatesDataTable811[[#This Row],[Servicing Spread Non-Zero]]</f>
        <v>3.7651824617988696</v>
      </c>
    </row>
    <row r="1001" spans="2:13" x14ac:dyDescent="0.2">
      <c r="B1001" s="27" t="s">
        <v>1682</v>
      </c>
      <c r="C1001" s="28">
        <v>2.8840952878375998</v>
      </c>
      <c r="D1001" s="26">
        <v>3.8450000000000002</v>
      </c>
      <c r="E1001" s="24">
        <f t="shared" si="60"/>
        <v>7</v>
      </c>
      <c r="F1001" s="24">
        <f>VLOOKUP(E1001,Q$5:R$11,2,FALSE)</f>
        <v>0.2</v>
      </c>
      <c r="G1001" s="24">
        <f t="shared" si="61"/>
        <v>5</v>
      </c>
      <c r="H1001" s="24">
        <f>IF(G1001&gt;G1000,H1000+C1001*F1001,C1001*F1001)</f>
        <v>2.9367358462115241</v>
      </c>
      <c r="I1001" s="24">
        <f t="shared" si="62"/>
        <v>1</v>
      </c>
      <c r="J1001" s="24">
        <f t="shared" si="63"/>
        <v>2.9367358462115241</v>
      </c>
      <c r="K1001" s="24">
        <f>IF(CurrentMtgRatesDataTable811[[#This Row],[WA CC]]&lt;&gt;0,D1000-CurrentMtgRatesDataTable811[[#This Row],[WA CC]],0)</f>
        <v>0.90826415378847614</v>
      </c>
      <c r="L1001" s="24">
        <f>IF(CurrentMtgRatesDataTable811[[#This Row],[Servicing Spread]]&lt;=0,L1000,CurrentMtgRatesDataTable811[[#This Row],[Servicing Spread]])</f>
        <v>0.90826415378847614</v>
      </c>
      <c r="M1001" s="24">
        <f>CurrentMtgRatesDataTable811[[#This Row],[SeriesNumValue]]+CurrentMtgRatesDataTable811[[#This Row],[Servicing Spread Non-Zero]]</f>
        <v>3.792359441626076</v>
      </c>
    </row>
    <row r="1002" spans="2:13" x14ac:dyDescent="0.2">
      <c r="B1002" s="27" t="s">
        <v>1683</v>
      </c>
      <c r="C1002" s="28">
        <v>2.84568526355815</v>
      </c>
      <c r="D1002" s="26">
        <v>3.7650000000000001</v>
      </c>
      <c r="E1002" s="24">
        <f t="shared" si="60"/>
        <v>2</v>
      </c>
      <c r="F1002" s="24">
        <f>VLOOKUP(E1002,Q$5:R$11,2,FALSE)</f>
        <v>0.2</v>
      </c>
      <c r="G1002" s="24">
        <f t="shared" si="61"/>
        <v>1</v>
      </c>
      <c r="H1002" s="24">
        <f>IF(G1002&gt;G1001,H1001+C1002*F1002,C1002*F1002)</f>
        <v>0.56913705271163006</v>
      </c>
      <c r="I1002" s="24">
        <f t="shared" si="62"/>
        <v>0.2</v>
      </c>
      <c r="J1002" s="24">
        <f t="shared" si="63"/>
        <v>0</v>
      </c>
      <c r="K1002" s="24">
        <f>IF(CurrentMtgRatesDataTable811[[#This Row],[WA CC]]&lt;&gt;0,D1001-CurrentMtgRatesDataTable811[[#This Row],[WA CC]],0)</f>
        <v>0</v>
      </c>
      <c r="L1002" s="24">
        <f>IF(CurrentMtgRatesDataTable811[[#This Row],[Servicing Spread]]&lt;=0,L1001,CurrentMtgRatesDataTable811[[#This Row],[Servicing Spread]])</f>
        <v>0.90826415378847614</v>
      </c>
      <c r="M1002" s="24">
        <f>CurrentMtgRatesDataTable811[[#This Row],[SeriesNumValue]]+CurrentMtgRatesDataTable811[[#This Row],[Servicing Spread Non-Zero]]</f>
        <v>3.7539494173466261</v>
      </c>
    </row>
    <row r="1003" spans="2:13" x14ac:dyDescent="0.2">
      <c r="B1003" s="27" t="s">
        <v>1684</v>
      </c>
      <c r="C1003" s="28">
        <v>2.8622800897906999</v>
      </c>
      <c r="D1003" s="26">
        <v>3.7650000000000001</v>
      </c>
      <c r="E1003" s="24">
        <f t="shared" si="60"/>
        <v>5</v>
      </c>
      <c r="F1003" s="24">
        <f>VLOOKUP(E1003,Q$5:R$11,2,FALSE)</f>
        <v>0.2</v>
      </c>
      <c r="G1003" s="24">
        <f t="shared" si="61"/>
        <v>2</v>
      </c>
      <c r="H1003" s="24">
        <f>IF(G1003&gt;G1002,H1002+C1003*F1003,C1003*F1003)</f>
        <v>1.1415930706697701</v>
      </c>
      <c r="I1003" s="24">
        <f t="shared" si="62"/>
        <v>0.4</v>
      </c>
      <c r="J1003" s="24">
        <f t="shared" si="63"/>
        <v>0</v>
      </c>
      <c r="K1003" s="24">
        <f>IF(CurrentMtgRatesDataTable811[[#This Row],[WA CC]]&lt;&gt;0,D1002-CurrentMtgRatesDataTable811[[#This Row],[WA CC]],0)</f>
        <v>0</v>
      </c>
      <c r="L1003" s="24">
        <f>IF(CurrentMtgRatesDataTable811[[#This Row],[Servicing Spread]]&lt;=0,L1002,CurrentMtgRatesDataTable811[[#This Row],[Servicing Spread]])</f>
        <v>0.90826415378847614</v>
      </c>
      <c r="M1003" s="24">
        <f>CurrentMtgRatesDataTable811[[#This Row],[SeriesNumValue]]+CurrentMtgRatesDataTable811[[#This Row],[Servicing Spread Non-Zero]]</f>
        <v>3.7705442435791761</v>
      </c>
    </row>
    <row r="1004" spans="2:13" x14ac:dyDescent="0.2">
      <c r="B1004" s="27" t="s">
        <v>1685</v>
      </c>
      <c r="C1004" s="28">
        <v>2.92504129119764</v>
      </c>
      <c r="D1004" s="26">
        <v>3.7650000000000001</v>
      </c>
      <c r="E1004" s="24">
        <f t="shared" si="60"/>
        <v>6</v>
      </c>
      <c r="F1004" s="24">
        <f>VLOOKUP(E1004,Q$5:R$11,2,FALSE)</f>
        <v>0.2</v>
      </c>
      <c r="G1004" s="24">
        <f t="shared" si="61"/>
        <v>3</v>
      </c>
      <c r="H1004" s="24">
        <f>IF(G1004&gt;G1003,H1003+C1004*F1004,C1004*F1004)</f>
        <v>1.7266013289092981</v>
      </c>
      <c r="I1004" s="24">
        <f t="shared" si="62"/>
        <v>0.60000000000000009</v>
      </c>
      <c r="J1004" s="24">
        <f t="shared" si="63"/>
        <v>0</v>
      </c>
      <c r="K1004" s="24">
        <f>IF(CurrentMtgRatesDataTable811[[#This Row],[WA CC]]&lt;&gt;0,D1003-CurrentMtgRatesDataTable811[[#This Row],[WA CC]],0)</f>
        <v>0</v>
      </c>
      <c r="L1004" s="24">
        <f>IF(CurrentMtgRatesDataTable811[[#This Row],[Servicing Spread]]&lt;=0,L1003,CurrentMtgRatesDataTable811[[#This Row],[Servicing Spread]])</f>
        <v>0.90826415378847614</v>
      </c>
      <c r="M1004" s="24">
        <f>CurrentMtgRatesDataTable811[[#This Row],[SeriesNumValue]]+CurrentMtgRatesDataTable811[[#This Row],[Servicing Spread Non-Zero]]</f>
        <v>3.8333054449861161</v>
      </c>
    </row>
    <row r="1005" spans="2:13" x14ac:dyDescent="0.2">
      <c r="B1005" s="27" t="s">
        <v>1686</v>
      </c>
      <c r="C1005" s="28">
        <v>2.9323159668402701</v>
      </c>
      <c r="D1005" s="26">
        <v>3.7650000000000001</v>
      </c>
      <c r="E1005" s="24">
        <f t="shared" si="60"/>
        <v>7</v>
      </c>
      <c r="F1005" s="24">
        <f>VLOOKUP(E1005,Q$5:R$11,2,FALSE)</f>
        <v>0.2</v>
      </c>
      <c r="G1005" s="24">
        <f t="shared" si="61"/>
        <v>4</v>
      </c>
      <c r="H1005" s="24">
        <f>IF(G1005&gt;G1004,H1004+C1005*F1005,C1005*F1005)</f>
        <v>2.3130645222773523</v>
      </c>
      <c r="I1005" s="24">
        <f t="shared" si="62"/>
        <v>0.8</v>
      </c>
      <c r="J1005" s="24">
        <f t="shared" si="63"/>
        <v>2.89133065284669</v>
      </c>
      <c r="K1005" s="24">
        <f>IF(CurrentMtgRatesDataTable811[[#This Row],[WA CC]]&lt;&gt;0,D1004-CurrentMtgRatesDataTable811[[#This Row],[WA CC]],0)</f>
        <v>0.87366934715331013</v>
      </c>
      <c r="L1005" s="24">
        <f>IF(CurrentMtgRatesDataTable811[[#This Row],[Servicing Spread]]&lt;=0,L1004,CurrentMtgRatesDataTable811[[#This Row],[Servicing Spread]])</f>
        <v>0.87366934715331013</v>
      </c>
      <c r="M1005" s="24">
        <f>CurrentMtgRatesDataTable811[[#This Row],[SeriesNumValue]]+CurrentMtgRatesDataTable811[[#This Row],[Servicing Spread Non-Zero]]</f>
        <v>3.8059853139935802</v>
      </c>
    </row>
    <row r="1006" spans="2:13" x14ac:dyDescent="0.2">
      <c r="B1006" s="27" t="s">
        <v>1687</v>
      </c>
      <c r="C1006" s="28">
        <v>2.90250988237801</v>
      </c>
      <c r="D1006" s="26">
        <v>3.8050000000000002</v>
      </c>
      <c r="E1006" s="24">
        <f t="shared" si="60"/>
        <v>1</v>
      </c>
      <c r="F1006" s="24">
        <f>VLOOKUP(E1006,Q$5:R$11,2,FALSE)</f>
        <v>0.2</v>
      </c>
      <c r="G1006" s="24">
        <f t="shared" si="61"/>
        <v>1</v>
      </c>
      <c r="H1006" s="24">
        <f>IF(G1006&gt;G1005,H1005+C1006*F1006,C1006*F1006)</f>
        <v>0.58050197647560198</v>
      </c>
      <c r="I1006" s="24">
        <f t="shared" si="62"/>
        <v>0.2</v>
      </c>
      <c r="J1006" s="24">
        <f t="shared" si="63"/>
        <v>0</v>
      </c>
      <c r="K1006" s="24">
        <f>IF(CurrentMtgRatesDataTable811[[#This Row],[WA CC]]&lt;&gt;0,D1005-CurrentMtgRatesDataTable811[[#This Row],[WA CC]],0)</f>
        <v>0</v>
      </c>
      <c r="L1006" s="24">
        <f>IF(CurrentMtgRatesDataTable811[[#This Row],[Servicing Spread]]&lt;=0,L1005,CurrentMtgRatesDataTable811[[#This Row],[Servicing Spread]])</f>
        <v>0.87366934715331013</v>
      </c>
      <c r="M1006" s="24">
        <f>CurrentMtgRatesDataTable811[[#This Row],[SeriesNumValue]]+CurrentMtgRatesDataTable811[[#This Row],[Servicing Spread Non-Zero]]</f>
        <v>3.7761792295313201</v>
      </c>
    </row>
    <row r="1007" spans="2:13" x14ac:dyDescent="0.2">
      <c r="B1007" s="27" t="s">
        <v>1688</v>
      </c>
      <c r="C1007" s="28">
        <v>2.9546349103912699</v>
      </c>
      <c r="D1007" s="26">
        <v>3.8050000000000002</v>
      </c>
      <c r="E1007" s="24">
        <f t="shared" si="60"/>
        <v>2</v>
      </c>
      <c r="F1007" s="24">
        <f>VLOOKUP(E1007,Q$5:R$11,2,FALSE)</f>
        <v>0.2</v>
      </c>
      <c r="G1007" s="24">
        <f t="shared" si="61"/>
        <v>2</v>
      </c>
      <c r="H1007" s="24">
        <f>IF(G1007&gt;G1006,H1006+C1007*F1007,C1007*F1007)</f>
        <v>1.171428958553856</v>
      </c>
      <c r="I1007" s="24">
        <f t="shared" si="62"/>
        <v>0.4</v>
      </c>
      <c r="J1007" s="24">
        <f t="shared" si="63"/>
        <v>0</v>
      </c>
      <c r="K1007" s="24">
        <f>IF(CurrentMtgRatesDataTable811[[#This Row],[WA CC]]&lt;&gt;0,D1006-CurrentMtgRatesDataTable811[[#This Row],[WA CC]],0)</f>
        <v>0</v>
      </c>
      <c r="L1007" s="24">
        <f>IF(CurrentMtgRatesDataTable811[[#This Row],[Servicing Spread]]&lt;=0,L1006,CurrentMtgRatesDataTable811[[#This Row],[Servicing Spread]])</f>
        <v>0.87366934715331013</v>
      </c>
      <c r="M1007" s="24">
        <f>CurrentMtgRatesDataTable811[[#This Row],[SeriesNumValue]]+CurrentMtgRatesDataTable811[[#This Row],[Servicing Spread Non-Zero]]</f>
        <v>3.82830425754458</v>
      </c>
    </row>
    <row r="1008" spans="2:13" x14ac:dyDescent="0.2">
      <c r="B1008" s="27" t="s">
        <v>1689</v>
      </c>
      <c r="C1008" s="28">
        <v>2.9087586637234901</v>
      </c>
      <c r="D1008" s="26">
        <v>3.8050000000000002</v>
      </c>
      <c r="E1008" s="24">
        <f t="shared" si="60"/>
        <v>5</v>
      </c>
      <c r="F1008" s="24">
        <f>VLOOKUP(E1008,Q$5:R$11,2,FALSE)</f>
        <v>0.2</v>
      </c>
      <c r="G1008" s="24">
        <f t="shared" si="61"/>
        <v>3</v>
      </c>
      <c r="H1008" s="24">
        <f>IF(G1008&gt;G1007,H1007+C1008*F1008,C1008*F1008)</f>
        <v>1.7531806912985539</v>
      </c>
      <c r="I1008" s="24">
        <f t="shared" si="62"/>
        <v>0.60000000000000009</v>
      </c>
      <c r="J1008" s="24">
        <f t="shared" si="63"/>
        <v>0</v>
      </c>
      <c r="K1008" s="24">
        <f>IF(CurrentMtgRatesDataTable811[[#This Row],[WA CC]]&lt;&gt;0,D1007-CurrentMtgRatesDataTable811[[#This Row],[WA CC]],0)</f>
        <v>0</v>
      </c>
      <c r="L1008" s="24">
        <f>IF(CurrentMtgRatesDataTable811[[#This Row],[Servicing Spread]]&lt;=0,L1007,CurrentMtgRatesDataTable811[[#This Row],[Servicing Spread]])</f>
        <v>0.87366934715331013</v>
      </c>
      <c r="M1008" s="24">
        <f>CurrentMtgRatesDataTable811[[#This Row],[SeriesNumValue]]+CurrentMtgRatesDataTable811[[#This Row],[Servicing Spread Non-Zero]]</f>
        <v>3.7824280108768003</v>
      </c>
    </row>
    <row r="1009" spans="2:13" x14ac:dyDescent="0.2">
      <c r="B1009" s="27" t="s">
        <v>1690</v>
      </c>
      <c r="C1009" s="28">
        <v>2.8860238028398202</v>
      </c>
      <c r="D1009" s="26">
        <v>3.8050000000000002</v>
      </c>
      <c r="E1009" s="24">
        <f t="shared" si="60"/>
        <v>6</v>
      </c>
      <c r="F1009" s="24">
        <f>VLOOKUP(E1009,Q$5:R$11,2,FALSE)</f>
        <v>0.2</v>
      </c>
      <c r="G1009" s="24">
        <f t="shared" si="61"/>
        <v>4</v>
      </c>
      <c r="H1009" s="24">
        <f>IF(G1009&gt;G1008,H1008+C1009*F1009,C1009*F1009)</f>
        <v>2.3303854518665181</v>
      </c>
      <c r="I1009" s="24">
        <f t="shared" si="62"/>
        <v>0.8</v>
      </c>
      <c r="J1009" s="24">
        <f t="shared" si="63"/>
        <v>0</v>
      </c>
      <c r="K1009" s="24">
        <f>IF(CurrentMtgRatesDataTable811[[#This Row],[WA CC]]&lt;&gt;0,D1008-CurrentMtgRatesDataTable811[[#This Row],[WA CC]],0)</f>
        <v>0</v>
      </c>
      <c r="L1009" s="24">
        <f>IF(CurrentMtgRatesDataTable811[[#This Row],[Servicing Spread]]&lt;=0,L1008,CurrentMtgRatesDataTable811[[#This Row],[Servicing Spread]])</f>
        <v>0.87366934715331013</v>
      </c>
      <c r="M1009" s="24">
        <f>CurrentMtgRatesDataTable811[[#This Row],[SeriesNumValue]]+CurrentMtgRatesDataTable811[[#This Row],[Servicing Spread Non-Zero]]</f>
        <v>3.7596931499931303</v>
      </c>
    </row>
    <row r="1010" spans="2:13" x14ac:dyDescent="0.2">
      <c r="B1010" s="27" t="s">
        <v>1691</v>
      </c>
      <c r="C1010" s="28">
        <v>2.8515070487427501</v>
      </c>
      <c r="D1010" s="26">
        <v>3.8050000000000002</v>
      </c>
      <c r="E1010" s="24">
        <f t="shared" si="60"/>
        <v>7</v>
      </c>
      <c r="F1010" s="24">
        <f>VLOOKUP(E1010,Q$5:R$11,2,FALSE)</f>
        <v>0.2</v>
      </c>
      <c r="G1010" s="24">
        <f t="shared" si="61"/>
        <v>5</v>
      </c>
      <c r="H1010" s="24">
        <f>IF(G1010&gt;G1009,H1009+C1010*F1010,C1010*F1010)</f>
        <v>2.9006868616150681</v>
      </c>
      <c r="I1010" s="24">
        <f t="shared" si="62"/>
        <v>1</v>
      </c>
      <c r="J1010" s="24">
        <f t="shared" si="63"/>
        <v>2.9006868616150681</v>
      </c>
      <c r="K1010" s="24">
        <f>IF(CurrentMtgRatesDataTable811[[#This Row],[WA CC]]&lt;&gt;0,D1009-CurrentMtgRatesDataTable811[[#This Row],[WA CC]],0)</f>
        <v>0.9043131383849321</v>
      </c>
      <c r="L1010" s="24">
        <f>IF(CurrentMtgRatesDataTable811[[#This Row],[Servicing Spread]]&lt;=0,L1009,CurrentMtgRatesDataTable811[[#This Row],[Servicing Spread]])</f>
        <v>0.9043131383849321</v>
      </c>
      <c r="M1010" s="24">
        <f>CurrentMtgRatesDataTable811[[#This Row],[SeriesNumValue]]+CurrentMtgRatesDataTable811[[#This Row],[Servicing Spread Non-Zero]]</f>
        <v>3.7558201871276822</v>
      </c>
    </row>
    <row r="1011" spans="2:13" x14ac:dyDescent="0.2">
      <c r="B1011" s="27" t="s">
        <v>1692</v>
      </c>
      <c r="C1011" s="28">
        <v>2.8634343397483599</v>
      </c>
      <c r="D1011" s="26">
        <v>3.6999999999999997</v>
      </c>
      <c r="E1011" s="24">
        <f t="shared" si="60"/>
        <v>1</v>
      </c>
      <c r="F1011" s="24">
        <f>VLOOKUP(E1011,Q$5:R$11,2,FALSE)</f>
        <v>0.2</v>
      </c>
      <c r="G1011" s="24">
        <f t="shared" si="61"/>
        <v>1</v>
      </c>
      <c r="H1011" s="24">
        <f>IF(G1011&gt;G1010,H1010+C1011*F1011,C1011*F1011)</f>
        <v>0.57268686794967205</v>
      </c>
      <c r="I1011" s="24">
        <f t="shared" si="62"/>
        <v>0.2</v>
      </c>
      <c r="J1011" s="24">
        <f t="shared" si="63"/>
        <v>0</v>
      </c>
      <c r="K1011" s="24">
        <f>IF(CurrentMtgRatesDataTable811[[#This Row],[WA CC]]&lt;&gt;0,D1010-CurrentMtgRatesDataTable811[[#This Row],[WA CC]],0)</f>
        <v>0</v>
      </c>
      <c r="L1011" s="24">
        <f>IF(CurrentMtgRatesDataTable811[[#This Row],[Servicing Spread]]&lt;=0,L1010,CurrentMtgRatesDataTable811[[#This Row],[Servicing Spread]])</f>
        <v>0.9043131383849321</v>
      </c>
      <c r="M1011" s="24">
        <f>CurrentMtgRatesDataTable811[[#This Row],[SeriesNumValue]]+CurrentMtgRatesDataTable811[[#This Row],[Servicing Spread Non-Zero]]</f>
        <v>3.767747478133292</v>
      </c>
    </row>
    <row r="1012" spans="2:13" x14ac:dyDescent="0.2">
      <c r="B1012" s="27" t="s">
        <v>1693</v>
      </c>
      <c r="C1012" s="28">
        <v>2.80057780204395</v>
      </c>
      <c r="D1012" s="26">
        <v>3.6999999999999997</v>
      </c>
      <c r="E1012" s="24">
        <f t="shared" si="60"/>
        <v>2</v>
      </c>
      <c r="F1012" s="24">
        <f>VLOOKUP(E1012,Q$5:R$11,2,FALSE)</f>
        <v>0.2</v>
      </c>
      <c r="G1012" s="24">
        <f t="shared" si="61"/>
        <v>2</v>
      </c>
      <c r="H1012" s="24">
        <f>IF(G1012&gt;G1011,H1011+C1012*F1012,C1012*F1012)</f>
        <v>1.1328024283584621</v>
      </c>
      <c r="I1012" s="24">
        <f t="shared" si="62"/>
        <v>0.4</v>
      </c>
      <c r="J1012" s="24">
        <f t="shared" si="63"/>
        <v>0</v>
      </c>
      <c r="K1012" s="24">
        <f>IF(CurrentMtgRatesDataTable811[[#This Row],[WA CC]]&lt;&gt;0,D1011-CurrentMtgRatesDataTable811[[#This Row],[WA CC]],0)</f>
        <v>0</v>
      </c>
      <c r="L1012" s="24">
        <f>IF(CurrentMtgRatesDataTable811[[#This Row],[Servicing Spread]]&lt;=0,L1011,CurrentMtgRatesDataTable811[[#This Row],[Servicing Spread]])</f>
        <v>0.9043131383849321</v>
      </c>
      <c r="M1012" s="24">
        <f>CurrentMtgRatesDataTable811[[#This Row],[SeriesNumValue]]+CurrentMtgRatesDataTable811[[#This Row],[Servicing Spread Non-Zero]]</f>
        <v>3.7048909404288821</v>
      </c>
    </row>
    <row r="1013" spans="2:13" x14ac:dyDescent="0.2">
      <c r="B1013" s="27" t="s">
        <v>1694</v>
      </c>
      <c r="C1013" s="28">
        <v>2.8291749929655099</v>
      </c>
      <c r="D1013" s="26">
        <v>3.6999999999999997</v>
      </c>
      <c r="E1013" s="24">
        <f t="shared" si="60"/>
        <v>5</v>
      </c>
      <c r="F1013" s="24">
        <f>VLOOKUP(E1013,Q$5:R$11,2,FALSE)</f>
        <v>0.2</v>
      </c>
      <c r="G1013" s="24">
        <f t="shared" si="61"/>
        <v>3</v>
      </c>
      <c r="H1013" s="24">
        <f>IF(G1013&gt;G1012,H1012+C1013*F1013,C1013*F1013)</f>
        <v>1.6986374269515641</v>
      </c>
      <c r="I1013" s="24">
        <f t="shared" si="62"/>
        <v>0.60000000000000009</v>
      </c>
      <c r="J1013" s="24">
        <f t="shared" si="63"/>
        <v>0</v>
      </c>
      <c r="K1013" s="24">
        <f>IF(CurrentMtgRatesDataTable811[[#This Row],[WA CC]]&lt;&gt;0,D1012-CurrentMtgRatesDataTable811[[#This Row],[WA CC]],0)</f>
        <v>0</v>
      </c>
      <c r="L1013" s="24">
        <f>IF(CurrentMtgRatesDataTable811[[#This Row],[Servicing Spread]]&lt;=0,L1012,CurrentMtgRatesDataTable811[[#This Row],[Servicing Spread]])</f>
        <v>0.9043131383849321</v>
      </c>
      <c r="M1013" s="24">
        <f>CurrentMtgRatesDataTable811[[#This Row],[SeriesNumValue]]+CurrentMtgRatesDataTable811[[#This Row],[Servicing Spread Non-Zero]]</f>
        <v>3.733488131350442</v>
      </c>
    </row>
    <row r="1014" spans="2:13" x14ac:dyDescent="0.2">
      <c r="B1014" s="27" t="s">
        <v>1695</v>
      </c>
      <c r="C1014" s="28">
        <v>2.7872489970640002</v>
      </c>
      <c r="D1014" s="26">
        <v>3.6999999999999997</v>
      </c>
      <c r="E1014" s="24">
        <f t="shared" si="60"/>
        <v>6</v>
      </c>
      <c r="F1014" s="24">
        <f>VLOOKUP(E1014,Q$5:R$11,2,FALSE)</f>
        <v>0.2</v>
      </c>
      <c r="G1014" s="24">
        <f t="shared" si="61"/>
        <v>4</v>
      </c>
      <c r="H1014" s="24">
        <f>IF(G1014&gt;G1013,H1013+C1014*F1014,C1014*F1014)</f>
        <v>2.2560872263643641</v>
      </c>
      <c r="I1014" s="24">
        <f t="shared" si="62"/>
        <v>0.8</v>
      </c>
      <c r="J1014" s="24">
        <f t="shared" si="63"/>
        <v>0</v>
      </c>
      <c r="K1014" s="24">
        <f>IF(CurrentMtgRatesDataTable811[[#This Row],[WA CC]]&lt;&gt;0,D1013-CurrentMtgRatesDataTable811[[#This Row],[WA CC]],0)</f>
        <v>0</v>
      </c>
      <c r="L1014" s="24">
        <f>IF(CurrentMtgRatesDataTable811[[#This Row],[Servicing Spread]]&lt;=0,L1013,CurrentMtgRatesDataTable811[[#This Row],[Servicing Spread]])</f>
        <v>0.9043131383849321</v>
      </c>
      <c r="M1014" s="24">
        <f>CurrentMtgRatesDataTable811[[#This Row],[SeriesNumValue]]+CurrentMtgRatesDataTable811[[#This Row],[Servicing Spread Non-Zero]]</f>
        <v>3.6915621354489323</v>
      </c>
    </row>
    <row r="1015" spans="2:13" x14ac:dyDescent="0.2">
      <c r="B1015" s="27" t="s">
        <v>1696</v>
      </c>
      <c r="C1015" s="28">
        <v>2.8371501312702399</v>
      </c>
      <c r="D1015" s="26">
        <v>3.6999999999999997</v>
      </c>
      <c r="E1015" s="24">
        <f t="shared" si="60"/>
        <v>7</v>
      </c>
      <c r="F1015" s="24">
        <f>VLOOKUP(E1015,Q$5:R$11,2,FALSE)</f>
        <v>0.2</v>
      </c>
      <c r="G1015" s="24">
        <f t="shared" si="61"/>
        <v>5</v>
      </c>
      <c r="H1015" s="24">
        <f>IF(G1015&gt;G1014,H1014+C1015*F1015,C1015*F1015)</f>
        <v>2.8235172526184122</v>
      </c>
      <c r="I1015" s="24">
        <f t="shared" si="62"/>
        <v>1</v>
      </c>
      <c r="J1015" s="24">
        <f t="shared" si="63"/>
        <v>2.8235172526184122</v>
      </c>
      <c r="K1015" s="24">
        <f>IF(CurrentMtgRatesDataTable811[[#This Row],[WA CC]]&lt;&gt;0,D1014-CurrentMtgRatesDataTable811[[#This Row],[WA CC]],0)</f>
        <v>0.87648274738158749</v>
      </c>
      <c r="L1015" s="24">
        <f>IF(CurrentMtgRatesDataTable811[[#This Row],[Servicing Spread]]&lt;=0,L1014,CurrentMtgRatesDataTable811[[#This Row],[Servicing Spread]])</f>
        <v>0.87648274738158749</v>
      </c>
      <c r="M1015" s="24">
        <f>CurrentMtgRatesDataTable811[[#This Row],[SeriesNumValue]]+CurrentMtgRatesDataTable811[[#This Row],[Servicing Spread Non-Zero]]</f>
        <v>3.7136328786518273</v>
      </c>
    </row>
    <row r="1016" spans="2:13" x14ac:dyDescent="0.2">
      <c r="B1016" s="27" t="s">
        <v>1697</v>
      </c>
      <c r="C1016" s="28">
        <v>2.8582300067965201</v>
      </c>
      <c r="D1016" s="26">
        <v>3.73</v>
      </c>
      <c r="E1016" s="24">
        <f t="shared" si="60"/>
        <v>1</v>
      </c>
      <c r="F1016" s="24">
        <f>VLOOKUP(E1016,Q$5:R$11,2,FALSE)</f>
        <v>0.2</v>
      </c>
      <c r="G1016" s="24">
        <f t="shared" si="61"/>
        <v>1</v>
      </c>
      <c r="H1016" s="24">
        <f>IF(G1016&gt;G1015,H1015+C1016*F1016,C1016*F1016)</f>
        <v>0.57164600135930399</v>
      </c>
      <c r="I1016" s="24">
        <f t="shared" si="62"/>
        <v>0.2</v>
      </c>
      <c r="J1016" s="24">
        <f t="shared" si="63"/>
        <v>0</v>
      </c>
      <c r="K1016" s="24">
        <f>IF(CurrentMtgRatesDataTable811[[#This Row],[WA CC]]&lt;&gt;0,D1015-CurrentMtgRatesDataTable811[[#This Row],[WA CC]],0)</f>
        <v>0</v>
      </c>
      <c r="L1016" s="24">
        <f>IF(CurrentMtgRatesDataTable811[[#This Row],[Servicing Spread]]&lt;=0,L1015,CurrentMtgRatesDataTable811[[#This Row],[Servicing Spread]])</f>
        <v>0.87648274738158749</v>
      </c>
      <c r="M1016" s="24">
        <f>CurrentMtgRatesDataTable811[[#This Row],[SeriesNumValue]]+CurrentMtgRatesDataTable811[[#This Row],[Servicing Spread Non-Zero]]</f>
        <v>3.7347127541781076</v>
      </c>
    </row>
    <row r="1017" spans="2:13" x14ac:dyDescent="0.2">
      <c r="B1017" s="27" t="s">
        <v>1698</v>
      </c>
      <c r="C1017" s="28">
        <v>2.8337398573021799</v>
      </c>
      <c r="D1017" s="26">
        <v>3.73</v>
      </c>
      <c r="E1017" s="24">
        <f t="shared" si="60"/>
        <v>2</v>
      </c>
      <c r="F1017" s="24">
        <f>VLOOKUP(E1017,Q$5:R$11,2,FALSE)</f>
        <v>0.2</v>
      </c>
      <c r="G1017" s="24">
        <f t="shared" si="61"/>
        <v>2</v>
      </c>
      <c r="H1017" s="24">
        <f>IF(G1017&gt;G1016,H1016+C1017*F1017,C1017*F1017)</f>
        <v>1.1383939728197401</v>
      </c>
      <c r="I1017" s="24">
        <f t="shared" si="62"/>
        <v>0.4</v>
      </c>
      <c r="J1017" s="24">
        <f t="shared" si="63"/>
        <v>0</v>
      </c>
      <c r="K1017" s="24">
        <f>IF(CurrentMtgRatesDataTable811[[#This Row],[WA CC]]&lt;&gt;0,D1016-CurrentMtgRatesDataTable811[[#This Row],[WA CC]],0)</f>
        <v>0</v>
      </c>
      <c r="L1017" s="24">
        <f>IF(CurrentMtgRatesDataTable811[[#This Row],[Servicing Spread]]&lt;=0,L1016,CurrentMtgRatesDataTable811[[#This Row],[Servicing Spread]])</f>
        <v>0.87648274738158749</v>
      </c>
      <c r="M1017" s="24">
        <f>CurrentMtgRatesDataTable811[[#This Row],[SeriesNumValue]]+CurrentMtgRatesDataTable811[[#This Row],[Servicing Spread Non-Zero]]</f>
        <v>3.7102226046837674</v>
      </c>
    </row>
    <row r="1018" spans="2:13" x14ac:dyDescent="0.2">
      <c r="B1018" s="27" t="s">
        <v>1699</v>
      </c>
      <c r="C1018" s="28">
        <v>2.8256441971088901</v>
      </c>
      <c r="D1018" s="26">
        <v>3.73</v>
      </c>
      <c r="E1018" s="24">
        <f t="shared" si="60"/>
        <v>5</v>
      </c>
      <c r="F1018" s="24">
        <f>VLOOKUP(E1018,Q$5:R$11,2,FALSE)</f>
        <v>0.2</v>
      </c>
      <c r="G1018" s="24">
        <f t="shared" si="61"/>
        <v>3</v>
      </c>
      <c r="H1018" s="24">
        <f>IF(G1018&gt;G1017,H1017+C1018*F1018,C1018*F1018)</f>
        <v>1.703522812241518</v>
      </c>
      <c r="I1018" s="24">
        <f t="shared" si="62"/>
        <v>0.60000000000000009</v>
      </c>
      <c r="J1018" s="24">
        <f t="shared" si="63"/>
        <v>0</v>
      </c>
      <c r="K1018" s="24">
        <f>IF(CurrentMtgRatesDataTable811[[#This Row],[WA CC]]&lt;&gt;0,D1017-CurrentMtgRatesDataTable811[[#This Row],[WA CC]],0)</f>
        <v>0</v>
      </c>
      <c r="L1018" s="24">
        <f>IF(CurrentMtgRatesDataTable811[[#This Row],[Servicing Spread]]&lt;=0,L1017,CurrentMtgRatesDataTable811[[#This Row],[Servicing Spread]])</f>
        <v>0.87648274738158749</v>
      </c>
      <c r="M1018" s="24">
        <f>CurrentMtgRatesDataTable811[[#This Row],[SeriesNumValue]]+CurrentMtgRatesDataTable811[[#This Row],[Servicing Spread Non-Zero]]</f>
        <v>3.7021269444904776</v>
      </c>
    </row>
    <row r="1019" spans="2:13" x14ac:dyDescent="0.2">
      <c r="B1019" s="27" t="s">
        <v>1700</v>
      </c>
      <c r="C1019" s="28">
        <v>2.91032440435752</v>
      </c>
      <c r="D1019" s="26">
        <v>3.73</v>
      </c>
      <c r="E1019" s="24">
        <f t="shared" si="60"/>
        <v>6</v>
      </c>
      <c r="F1019" s="24">
        <f>VLOOKUP(E1019,Q$5:R$11,2,FALSE)</f>
        <v>0.2</v>
      </c>
      <c r="G1019" s="24">
        <f t="shared" si="61"/>
        <v>4</v>
      </c>
      <c r="H1019" s="24">
        <f>IF(G1019&gt;G1018,H1018+C1019*F1019,C1019*F1019)</f>
        <v>2.2855876931130221</v>
      </c>
      <c r="I1019" s="24">
        <f t="shared" si="62"/>
        <v>0.8</v>
      </c>
      <c r="J1019" s="24">
        <f t="shared" si="63"/>
        <v>0</v>
      </c>
      <c r="K1019" s="24">
        <f>IF(CurrentMtgRatesDataTable811[[#This Row],[WA CC]]&lt;&gt;0,D1018-CurrentMtgRatesDataTable811[[#This Row],[WA CC]],0)</f>
        <v>0</v>
      </c>
      <c r="L1019" s="24">
        <f>IF(CurrentMtgRatesDataTable811[[#This Row],[Servicing Spread]]&lt;=0,L1018,CurrentMtgRatesDataTable811[[#This Row],[Servicing Spread]])</f>
        <v>0.87648274738158749</v>
      </c>
      <c r="M1019" s="24">
        <f>CurrentMtgRatesDataTable811[[#This Row],[SeriesNumValue]]+CurrentMtgRatesDataTable811[[#This Row],[Servicing Spread Non-Zero]]</f>
        <v>3.7868071517391075</v>
      </c>
    </row>
    <row r="1020" spans="2:13" x14ac:dyDescent="0.2">
      <c r="B1020" s="27" t="s">
        <v>1701</v>
      </c>
      <c r="C1020" s="28">
        <v>2.90975275027838</v>
      </c>
      <c r="D1020" s="26">
        <v>3.73</v>
      </c>
      <c r="E1020" s="24">
        <f t="shared" si="60"/>
        <v>7</v>
      </c>
      <c r="F1020" s="24">
        <f>VLOOKUP(E1020,Q$5:R$11,2,FALSE)</f>
        <v>0.2</v>
      </c>
      <c r="G1020" s="24">
        <f t="shared" si="61"/>
        <v>5</v>
      </c>
      <c r="H1020" s="24">
        <f>IF(G1020&gt;G1019,H1019+C1020*F1020,C1020*F1020)</f>
        <v>2.8675382431686982</v>
      </c>
      <c r="I1020" s="24">
        <f t="shared" si="62"/>
        <v>1</v>
      </c>
      <c r="J1020" s="24">
        <f t="shared" si="63"/>
        <v>2.8675382431686982</v>
      </c>
      <c r="K1020" s="24">
        <f>IF(CurrentMtgRatesDataTable811[[#This Row],[WA CC]]&lt;&gt;0,D1019-CurrentMtgRatesDataTable811[[#This Row],[WA CC]],0)</f>
        <v>0.86246175683130177</v>
      </c>
      <c r="L1020" s="24">
        <f>IF(CurrentMtgRatesDataTable811[[#This Row],[Servicing Spread]]&lt;=0,L1019,CurrentMtgRatesDataTable811[[#This Row],[Servicing Spread]])</f>
        <v>0.86246175683130177</v>
      </c>
      <c r="M1020" s="24">
        <f>CurrentMtgRatesDataTable811[[#This Row],[SeriesNumValue]]+CurrentMtgRatesDataTable811[[#This Row],[Servicing Spread Non-Zero]]</f>
        <v>3.7722145071096818</v>
      </c>
    </row>
    <row r="1021" spans="2:13" x14ac:dyDescent="0.2">
      <c r="B1021" s="27" t="s">
        <v>1702</v>
      </c>
      <c r="C1021" s="28">
        <v>2.8912427168811901</v>
      </c>
      <c r="D1021" s="26">
        <v>3.77</v>
      </c>
      <c r="E1021" s="24">
        <f t="shared" si="60"/>
        <v>2</v>
      </c>
      <c r="F1021" s="24">
        <f>VLOOKUP(E1021,Q$5:R$11,2,FALSE)</f>
        <v>0.2</v>
      </c>
      <c r="G1021" s="24">
        <f t="shared" si="61"/>
        <v>1</v>
      </c>
      <c r="H1021" s="24">
        <f>IF(G1021&gt;G1020,H1020+C1021*F1021,C1021*F1021)</f>
        <v>0.57824854337623799</v>
      </c>
      <c r="I1021" s="24">
        <f t="shared" si="62"/>
        <v>0.2</v>
      </c>
      <c r="J1021" s="24">
        <f t="shared" si="63"/>
        <v>0</v>
      </c>
      <c r="K1021" s="24">
        <f>IF(CurrentMtgRatesDataTable811[[#This Row],[WA CC]]&lt;&gt;0,D1020-CurrentMtgRatesDataTable811[[#This Row],[WA CC]],0)</f>
        <v>0</v>
      </c>
      <c r="L1021" s="24">
        <f>IF(CurrentMtgRatesDataTable811[[#This Row],[Servicing Spread]]&lt;=0,L1020,CurrentMtgRatesDataTable811[[#This Row],[Servicing Spread]])</f>
        <v>0.86246175683130177</v>
      </c>
      <c r="M1021" s="24">
        <f>CurrentMtgRatesDataTable811[[#This Row],[SeriesNumValue]]+CurrentMtgRatesDataTable811[[#This Row],[Servicing Spread Non-Zero]]</f>
        <v>3.7537044737124918</v>
      </c>
    </row>
    <row r="1022" spans="2:13" x14ac:dyDescent="0.2">
      <c r="B1022" s="27" t="s">
        <v>1703</v>
      </c>
      <c r="C1022" s="28">
        <v>2.8609798255384802</v>
      </c>
      <c r="D1022" s="26">
        <v>3.77</v>
      </c>
      <c r="E1022" s="24">
        <f t="shared" si="60"/>
        <v>5</v>
      </c>
      <c r="F1022" s="24">
        <f>VLOOKUP(E1022,Q$5:R$11,2,FALSE)</f>
        <v>0.2</v>
      </c>
      <c r="G1022" s="24">
        <f t="shared" si="61"/>
        <v>2</v>
      </c>
      <c r="H1022" s="24">
        <f>IF(G1022&gt;G1021,H1021+C1022*F1022,C1022*F1022)</f>
        <v>1.1504445084839341</v>
      </c>
      <c r="I1022" s="24">
        <f t="shared" si="62"/>
        <v>0.4</v>
      </c>
      <c r="J1022" s="24">
        <f t="shared" si="63"/>
        <v>0</v>
      </c>
      <c r="K1022" s="24">
        <f>IF(CurrentMtgRatesDataTable811[[#This Row],[WA CC]]&lt;&gt;0,D1021-CurrentMtgRatesDataTable811[[#This Row],[WA CC]],0)</f>
        <v>0</v>
      </c>
      <c r="L1022" s="24">
        <f>IF(CurrentMtgRatesDataTable811[[#This Row],[Servicing Spread]]&lt;=0,L1021,CurrentMtgRatesDataTable811[[#This Row],[Servicing Spread]])</f>
        <v>0.86246175683130177</v>
      </c>
      <c r="M1022" s="24">
        <f>CurrentMtgRatesDataTable811[[#This Row],[SeriesNumValue]]+CurrentMtgRatesDataTable811[[#This Row],[Servicing Spread Non-Zero]]</f>
        <v>3.723441582369782</v>
      </c>
    </row>
    <row r="1023" spans="2:13" x14ac:dyDescent="0.2">
      <c r="B1023" s="27" t="s">
        <v>1704</v>
      </c>
      <c r="C1023" s="28">
        <v>2.8519980737177399</v>
      </c>
      <c r="D1023" s="26">
        <v>3.77</v>
      </c>
      <c r="E1023" s="24">
        <f t="shared" si="60"/>
        <v>6</v>
      </c>
      <c r="F1023" s="24">
        <f>VLOOKUP(E1023,Q$5:R$11,2,FALSE)</f>
        <v>0.2</v>
      </c>
      <c r="G1023" s="24">
        <f t="shared" si="61"/>
        <v>3</v>
      </c>
      <c r="H1023" s="24">
        <f>IF(G1023&gt;G1022,H1022+C1023*F1023,C1023*F1023)</f>
        <v>1.720844123227482</v>
      </c>
      <c r="I1023" s="24">
        <f t="shared" si="62"/>
        <v>0.60000000000000009</v>
      </c>
      <c r="J1023" s="24">
        <f t="shared" si="63"/>
        <v>0</v>
      </c>
      <c r="K1023" s="24">
        <f>IF(CurrentMtgRatesDataTable811[[#This Row],[WA CC]]&lt;&gt;0,D1022-CurrentMtgRatesDataTable811[[#This Row],[WA CC]],0)</f>
        <v>0</v>
      </c>
      <c r="L1023" s="24">
        <f>IF(CurrentMtgRatesDataTable811[[#This Row],[Servicing Spread]]&lt;=0,L1022,CurrentMtgRatesDataTable811[[#This Row],[Servicing Spread]])</f>
        <v>0.86246175683130177</v>
      </c>
      <c r="M1023" s="24">
        <f>CurrentMtgRatesDataTable811[[#This Row],[SeriesNumValue]]+CurrentMtgRatesDataTable811[[#This Row],[Servicing Spread Non-Zero]]</f>
        <v>3.7144598305490417</v>
      </c>
    </row>
    <row r="1024" spans="2:13" x14ac:dyDescent="0.2">
      <c r="B1024" s="27" t="s">
        <v>1705</v>
      </c>
      <c r="C1024" s="28">
        <v>2.8338661414623698</v>
      </c>
      <c r="D1024" s="26">
        <v>3.77</v>
      </c>
      <c r="E1024" s="24">
        <f t="shared" si="60"/>
        <v>7</v>
      </c>
      <c r="F1024" s="24">
        <f>VLOOKUP(E1024,Q$5:R$11,2,FALSE)</f>
        <v>0.2</v>
      </c>
      <c r="G1024" s="24">
        <f t="shared" si="61"/>
        <v>4</v>
      </c>
      <c r="H1024" s="24">
        <f>IF(G1024&gt;G1023,H1023+C1024*F1024,C1024*F1024)</f>
        <v>2.2876173515199563</v>
      </c>
      <c r="I1024" s="24">
        <f t="shared" si="62"/>
        <v>0.8</v>
      </c>
      <c r="J1024" s="24">
        <f t="shared" si="63"/>
        <v>2.8595216893999451</v>
      </c>
      <c r="K1024" s="24">
        <f>IF(CurrentMtgRatesDataTable811[[#This Row],[WA CC]]&lt;&gt;0,D1023-CurrentMtgRatesDataTable811[[#This Row],[WA CC]],0)</f>
        <v>0.91047831060005491</v>
      </c>
      <c r="L1024" s="24">
        <f>IF(CurrentMtgRatesDataTable811[[#This Row],[Servicing Spread]]&lt;=0,L1023,CurrentMtgRatesDataTable811[[#This Row],[Servicing Spread]])</f>
        <v>0.91047831060005491</v>
      </c>
      <c r="M1024" s="24">
        <f>CurrentMtgRatesDataTable811[[#This Row],[SeriesNumValue]]+CurrentMtgRatesDataTable811[[#This Row],[Servicing Spread Non-Zero]]</f>
        <v>3.7443444520624247</v>
      </c>
    </row>
    <row r="1025" spans="2:13" x14ac:dyDescent="0.2">
      <c r="B1025" s="27" t="s">
        <v>1706</v>
      </c>
      <c r="C1025" s="28">
        <v>2.7854452423976599</v>
      </c>
      <c r="D1025" s="26">
        <v>3.63</v>
      </c>
      <c r="E1025" s="24">
        <f t="shared" si="60"/>
        <v>2</v>
      </c>
      <c r="F1025" s="24">
        <f>VLOOKUP(E1025,Q$5:R$11,2,FALSE)</f>
        <v>0.2</v>
      </c>
      <c r="G1025" s="24">
        <f t="shared" si="61"/>
        <v>1</v>
      </c>
      <c r="H1025" s="24">
        <f>IF(G1025&gt;G1024,H1024+C1025*F1025,C1025*F1025)</f>
        <v>0.557089048479532</v>
      </c>
      <c r="I1025" s="24">
        <f t="shared" si="62"/>
        <v>0.2</v>
      </c>
      <c r="J1025" s="24">
        <f t="shared" si="63"/>
        <v>0</v>
      </c>
      <c r="K1025" s="24">
        <f>IF(CurrentMtgRatesDataTable811[[#This Row],[WA CC]]&lt;&gt;0,D1024-CurrentMtgRatesDataTable811[[#This Row],[WA CC]],0)</f>
        <v>0</v>
      </c>
      <c r="L1025" s="24">
        <f>IF(CurrentMtgRatesDataTable811[[#This Row],[Servicing Spread]]&lt;=0,L1024,CurrentMtgRatesDataTable811[[#This Row],[Servicing Spread]])</f>
        <v>0.91047831060005491</v>
      </c>
      <c r="M1025" s="24">
        <f>CurrentMtgRatesDataTable811[[#This Row],[SeriesNumValue]]+CurrentMtgRatesDataTable811[[#This Row],[Servicing Spread Non-Zero]]</f>
        <v>3.6959235529977148</v>
      </c>
    </row>
    <row r="1026" spans="2:13" x14ac:dyDescent="0.2">
      <c r="B1026" s="27" t="s">
        <v>1707</v>
      </c>
      <c r="C1026" s="28">
        <v>2.6962701266687499</v>
      </c>
      <c r="D1026" s="26">
        <v>3.63</v>
      </c>
      <c r="E1026" s="24">
        <f t="shared" si="60"/>
        <v>5</v>
      </c>
      <c r="F1026" s="24">
        <f>VLOOKUP(E1026,Q$5:R$11,2,FALSE)</f>
        <v>0.2</v>
      </c>
      <c r="G1026" s="24">
        <f t="shared" si="61"/>
        <v>2</v>
      </c>
      <c r="H1026" s="24">
        <f>IF(G1026&gt;G1025,H1025+C1026*F1026,C1026*F1026)</f>
        <v>1.096343073813282</v>
      </c>
      <c r="I1026" s="24">
        <f t="shared" si="62"/>
        <v>0.4</v>
      </c>
      <c r="J1026" s="24">
        <f t="shared" si="63"/>
        <v>0</v>
      </c>
      <c r="K1026" s="24">
        <f>IF(CurrentMtgRatesDataTable811[[#This Row],[WA CC]]&lt;&gt;0,D1025-CurrentMtgRatesDataTable811[[#This Row],[WA CC]],0)</f>
        <v>0</v>
      </c>
      <c r="L1026" s="24">
        <f>IF(CurrentMtgRatesDataTable811[[#This Row],[Servicing Spread]]&lt;=0,L1025,CurrentMtgRatesDataTable811[[#This Row],[Servicing Spread]])</f>
        <v>0.91047831060005491</v>
      </c>
      <c r="M1026" s="24">
        <f>CurrentMtgRatesDataTable811[[#This Row],[SeriesNumValue]]+CurrentMtgRatesDataTable811[[#This Row],[Servicing Spread Non-Zero]]</f>
        <v>3.6067484372688048</v>
      </c>
    </row>
    <row r="1027" spans="2:13" x14ac:dyDescent="0.2">
      <c r="B1027" s="27" t="s">
        <v>1708</v>
      </c>
      <c r="C1027" s="28">
        <v>2.61636453709349</v>
      </c>
      <c r="D1027" s="26">
        <v>3.63</v>
      </c>
      <c r="E1027" s="24">
        <f t="shared" ref="E1027:E1090" si="64">WEEKDAY(B1027,14)</f>
        <v>6</v>
      </c>
      <c r="F1027" s="24">
        <f>VLOOKUP(E1027,Q$5:R$11,2,FALSE)</f>
        <v>0.2</v>
      </c>
      <c r="G1027" s="24">
        <f t="shared" ref="G1027:G1090" si="65">IF(AND(E1027&gt;E1026,G1026&lt;6),G1026+1,1)</f>
        <v>3</v>
      </c>
      <c r="H1027" s="24">
        <f>IF(G1027&gt;G1026,H1026+C1027*F1027,C1027*F1027)</f>
        <v>1.6196159812319801</v>
      </c>
      <c r="I1027" s="24">
        <f t="shared" ref="I1027:I1090" si="66">IF(AND(G1027&lt;6,G1027&gt;G1026),F1027+I1026,F1027)</f>
        <v>0.60000000000000009</v>
      </c>
      <c r="J1027" s="24">
        <f t="shared" ref="J1027:J1090" si="67">IF(G1027&gt;G1028,H1027/I1027,0)</f>
        <v>0</v>
      </c>
      <c r="K1027" s="24">
        <f>IF(CurrentMtgRatesDataTable811[[#This Row],[WA CC]]&lt;&gt;0,D1026-CurrentMtgRatesDataTable811[[#This Row],[WA CC]],0)</f>
        <v>0</v>
      </c>
      <c r="L1027" s="24">
        <f>IF(CurrentMtgRatesDataTable811[[#This Row],[Servicing Spread]]&lt;=0,L1026,CurrentMtgRatesDataTable811[[#This Row],[Servicing Spread]])</f>
        <v>0.91047831060005491</v>
      </c>
      <c r="M1027" s="24">
        <f>CurrentMtgRatesDataTable811[[#This Row],[SeriesNumValue]]+CurrentMtgRatesDataTable811[[#This Row],[Servicing Spread Non-Zero]]</f>
        <v>3.5268428476935449</v>
      </c>
    </row>
    <row r="1028" spans="2:13" x14ac:dyDescent="0.2">
      <c r="B1028" s="27" t="s">
        <v>1709</v>
      </c>
      <c r="C1028" s="28">
        <v>2.6248431051869581</v>
      </c>
      <c r="D1028" s="26">
        <v>3.63</v>
      </c>
      <c r="E1028" s="24">
        <f t="shared" si="64"/>
        <v>7</v>
      </c>
      <c r="F1028" s="24">
        <f>VLOOKUP(E1028,Q$5:R$11,2,FALSE)</f>
        <v>0.2</v>
      </c>
      <c r="G1028" s="24">
        <f t="shared" si="65"/>
        <v>4</v>
      </c>
      <c r="H1028" s="24">
        <f>IF(G1028&gt;G1027,H1027+C1028*F1028,C1028*F1028)</f>
        <v>2.1445846022693718</v>
      </c>
      <c r="I1028" s="24">
        <f t="shared" si="66"/>
        <v>0.8</v>
      </c>
      <c r="J1028" s="24">
        <f t="shared" si="67"/>
        <v>2.6807307528367144</v>
      </c>
      <c r="K1028" s="24">
        <f>IF(CurrentMtgRatesDataTable811[[#This Row],[WA CC]]&lt;&gt;0,D1027-CurrentMtgRatesDataTable811[[#This Row],[WA CC]],0)</f>
        <v>0.94926924716328553</v>
      </c>
      <c r="L1028" s="24">
        <f>IF(CurrentMtgRatesDataTable811[[#This Row],[Servicing Spread]]&lt;=0,L1027,CurrentMtgRatesDataTable811[[#This Row],[Servicing Spread]])</f>
        <v>0.94926924716328553</v>
      </c>
      <c r="M1028" s="24">
        <f>CurrentMtgRatesDataTable811[[#This Row],[SeriesNumValue]]+CurrentMtgRatesDataTable811[[#This Row],[Servicing Spread Non-Zero]]</f>
        <v>3.5741123523502436</v>
      </c>
    </row>
    <row r="1029" spans="2:13" x14ac:dyDescent="0.2">
      <c r="B1029" s="27" t="s">
        <v>1710</v>
      </c>
      <c r="C1029" s="28">
        <v>2.6774292062275329</v>
      </c>
      <c r="D1029" s="26">
        <v>3.56</v>
      </c>
      <c r="E1029" s="24">
        <f t="shared" si="64"/>
        <v>1</v>
      </c>
      <c r="F1029" s="24">
        <f>VLOOKUP(E1029,Q$5:R$11,2,FALSE)</f>
        <v>0.2</v>
      </c>
      <c r="G1029" s="24">
        <f t="shared" si="65"/>
        <v>1</v>
      </c>
      <c r="H1029" s="24">
        <f>IF(G1029&gt;G1028,H1028+C1029*F1029,C1029*F1029)</f>
        <v>0.53548584124550658</v>
      </c>
      <c r="I1029" s="24">
        <f t="shared" si="66"/>
        <v>0.2</v>
      </c>
      <c r="J1029" s="24">
        <f t="shared" si="67"/>
        <v>0</v>
      </c>
      <c r="K1029" s="24">
        <f>IF(CurrentMtgRatesDataTable811[[#This Row],[WA CC]]&lt;&gt;0,D1028-CurrentMtgRatesDataTable811[[#This Row],[WA CC]],0)</f>
        <v>0</v>
      </c>
      <c r="L1029" s="24">
        <f>IF(CurrentMtgRatesDataTable811[[#This Row],[Servicing Spread]]&lt;=0,L1028,CurrentMtgRatesDataTable811[[#This Row],[Servicing Spread]])</f>
        <v>0.94926924716328553</v>
      </c>
      <c r="M1029" s="24">
        <f>CurrentMtgRatesDataTable811[[#This Row],[SeriesNumValue]]+CurrentMtgRatesDataTable811[[#This Row],[Servicing Spread Non-Zero]]</f>
        <v>3.6266984533908184</v>
      </c>
    </row>
    <row r="1030" spans="2:13" x14ac:dyDescent="0.2">
      <c r="B1030" s="27" t="s">
        <v>1711</v>
      </c>
      <c r="C1030" s="28">
        <v>2.6462920309129299</v>
      </c>
      <c r="D1030" s="26">
        <v>3.56</v>
      </c>
      <c r="E1030" s="24">
        <f t="shared" si="64"/>
        <v>2</v>
      </c>
      <c r="F1030" s="24">
        <f>VLOOKUP(E1030,Q$5:R$11,2,FALSE)</f>
        <v>0.2</v>
      </c>
      <c r="G1030" s="24">
        <f t="shared" si="65"/>
        <v>2</v>
      </c>
      <c r="H1030" s="24">
        <f>IF(G1030&gt;G1029,H1029+C1030*F1030,C1030*F1030)</f>
        <v>1.0647442474280926</v>
      </c>
      <c r="I1030" s="24">
        <f t="shared" si="66"/>
        <v>0.4</v>
      </c>
      <c r="J1030" s="24">
        <f t="shared" si="67"/>
        <v>0</v>
      </c>
      <c r="K1030" s="24">
        <f>IF(CurrentMtgRatesDataTable811[[#This Row],[WA CC]]&lt;&gt;0,D1029-CurrentMtgRatesDataTable811[[#This Row],[WA CC]],0)</f>
        <v>0</v>
      </c>
      <c r="L1030" s="24">
        <f>IF(CurrentMtgRatesDataTable811[[#This Row],[Servicing Spread]]&lt;=0,L1029,CurrentMtgRatesDataTable811[[#This Row],[Servicing Spread]])</f>
        <v>0.94926924716328553</v>
      </c>
      <c r="M1030" s="24">
        <f>CurrentMtgRatesDataTable811[[#This Row],[SeriesNumValue]]+CurrentMtgRatesDataTable811[[#This Row],[Servicing Spread Non-Zero]]</f>
        <v>3.5955612780762154</v>
      </c>
    </row>
    <row r="1031" spans="2:13" x14ac:dyDescent="0.2">
      <c r="B1031" s="27" t="s">
        <v>1712</v>
      </c>
      <c r="C1031" s="28">
        <v>2.5936190223084101</v>
      </c>
      <c r="D1031" s="26">
        <v>3.56</v>
      </c>
      <c r="E1031" s="24">
        <f t="shared" si="64"/>
        <v>5</v>
      </c>
      <c r="F1031" s="24">
        <f>VLOOKUP(E1031,Q$5:R$11,2,FALSE)</f>
        <v>0.2</v>
      </c>
      <c r="G1031" s="24">
        <f t="shared" si="65"/>
        <v>3</v>
      </c>
      <c r="H1031" s="24">
        <f>IF(G1031&gt;G1030,H1030+C1031*F1031,C1031*F1031)</f>
        <v>1.5834680518897746</v>
      </c>
      <c r="I1031" s="24">
        <f t="shared" si="66"/>
        <v>0.60000000000000009</v>
      </c>
      <c r="J1031" s="24">
        <f t="shared" si="67"/>
        <v>0</v>
      </c>
      <c r="K1031" s="24">
        <f>IF(CurrentMtgRatesDataTable811[[#This Row],[WA CC]]&lt;&gt;0,D1030-CurrentMtgRatesDataTable811[[#This Row],[WA CC]],0)</f>
        <v>0</v>
      </c>
      <c r="L1031" s="24">
        <f>IF(CurrentMtgRatesDataTable811[[#This Row],[Servicing Spread]]&lt;=0,L1030,CurrentMtgRatesDataTable811[[#This Row],[Servicing Spread]])</f>
        <v>0.94926924716328553</v>
      </c>
      <c r="M1031" s="24">
        <f>CurrentMtgRatesDataTable811[[#This Row],[SeriesNumValue]]+CurrentMtgRatesDataTable811[[#This Row],[Servicing Spread Non-Zero]]</f>
        <v>3.5428882694716957</v>
      </c>
    </row>
    <row r="1032" spans="2:13" x14ac:dyDescent="0.2">
      <c r="B1032" s="27" t="s">
        <v>1713</v>
      </c>
      <c r="C1032" s="28">
        <v>2.57954379421794</v>
      </c>
      <c r="D1032" s="26">
        <v>3.56</v>
      </c>
      <c r="E1032" s="24">
        <f t="shared" si="64"/>
        <v>6</v>
      </c>
      <c r="F1032" s="24">
        <f>VLOOKUP(E1032,Q$5:R$11,2,FALSE)</f>
        <v>0.2</v>
      </c>
      <c r="G1032" s="24">
        <f t="shared" si="65"/>
        <v>4</v>
      </c>
      <c r="H1032" s="24">
        <f>IF(G1032&gt;G1031,H1031+C1032*F1032,C1032*F1032)</f>
        <v>2.0993768107333626</v>
      </c>
      <c r="I1032" s="24">
        <f t="shared" si="66"/>
        <v>0.8</v>
      </c>
      <c r="J1032" s="24">
        <f t="shared" si="67"/>
        <v>0</v>
      </c>
      <c r="K1032" s="24">
        <f>IF(CurrentMtgRatesDataTable811[[#This Row],[WA CC]]&lt;&gt;0,D1031-CurrentMtgRatesDataTable811[[#This Row],[WA CC]],0)</f>
        <v>0</v>
      </c>
      <c r="L1032" s="24">
        <f>IF(CurrentMtgRatesDataTable811[[#This Row],[Servicing Spread]]&lt;=0,L1031,CurrentMtgRatesDataTable811[[#This Row],[Servicing Spread]])</f>
        <v>0.94926924716328553</v>
      </c>
      <c r="M1032" s="24">
        <f>CurrentMtgRatesDataTable811[[#This Row],[SeriesNumValue]]+CurrentMtgRatesDataTable811[[#This Row],[Servicing Spread Non-Zero]]</f>
        <v>3.5288130413812255</v>
      </c>
    </row>
    <row r="1033" spans="2:13" x14ac:dyDescent="0.2">
      <c r="B1033" s="27" t="s">
        <v>1714</v>
      </c>
      <c r="C1033" s="28">
        <v>2.49106608048328</v>
      </c>
      <c r="D1033" s="26">
        <v>3.56</v>
      </c>
      <c r="E1033" s="24">
        <f t="shared" si="64"/>
        <v>7</v>
      </c>
      <c r="F1033" s="24">
        <f>VLOOKUP(E1033,Q$5:R$11,2,FALSE)</f>
        <v>0.2</v>
      </c>
      <c r="G1033" s="24">
        <f t="shared" si="65"/>
        <v>5</v>
      </c>
      <c r="H1033" s="24">
        <f>IF(G1033&gt;G1032,H1032+C1033*F1033,C1033*F1033)</f>
        <v>2.5975900268300185</v>
      </c>
      <c r="I1033" s="24">
        <f t="shared" si="66"/>
        <v>1</v>
      </c>
      <c r="J1033" s="24">
        <f t="shared" si="67"/>
        <v>2.5975900268300185</v>
      </c>
      <c r="K1033" s="24">
        <f>IF(CurrentMtgRatesDataTable811[[#This Row],[WA CC]]&lt;&gt;0,D1032-CurrentMtgRatesDataTable811[[#This Row],[WA CC]],0)</f>
        <v>0.96240997316998156</v>
      </c>
      <c r="L1033" s="24">
        <f>IF(CurrentMtgRatesDataTable811[[#This Row],[Servicing Spread]]&lt;=0,L1032,CurrentMtgRatesDataTable811[[#This Row],[Servicing Spread]])</f>
        <v>0.96240997316998156</v>
      </c>
      <c r="M1033" s="24">
        <f>CurrentMtgRatesDataTable811[[#This Row],[SeriesNumValue]]+CurrentMtgRatesDataTable811[[#This Row],[Servicing Spread Non-Zero]]</f>
        <v>3.4534760536532616</v>
      </c>
    </row>
    <row r="1034" spans="2:13" x14ac:dyDescent="0.2">
      <c r="B1034" s="27" t="s">
        <v>1715</v>
      </c>
      <c r="C1034" s="28">
        <v>2.4553295319883701</v>
      </c>
      <c r="D1034" s="26">
        <v>3.5549999999999997</v>
      </c>
      <c r="E1034" s="24">
        <f t="shared" si="64"/>
        <v>1</v>
      </c>
      <c r="F1034" s="24">
        <f>VLOOKUP(E1034,Q$5:R$11,2,FALSE)</f>
        <v>0.2</v>
      </c>
      <c r="G1034" s="24">
        <f t="shared" si="65"/>
        <v>1</v>
      </c>
      <c r="H1034" s="24">
        <f>IF(G1034&gt;G1033,H1033+C1034*F1034,C1034*F1034)</f>
        <v>0.49106590639767406</v>
      </c>
      <c r="I1034" s="24">
        <f t="shared" si="66"/>
        <v>0.2</v>
      </c>
      <c r="J1034" s="24">
        <f t="shared" si="67"/>
        <v>0</v>
      </c>
      <c r="K1034" s="24">
        <f>IF(CurrentMtgRatesDataTable811[[#This Row],[WA CC]]&lt;&gt;0,D1033-CurrentMtgRatesDataTable811[[#This Row],[WA CC]],0)</f>
        <v>0</v>
      </c>
      <c r="L1034" s="24">
        <f>IF(CurrentMtgRatesDataTable811[[#This Row],[Servicing Spread]]&lt;=0,L1033,CurrentMtgRatesDataTable811[[#This Row],[Servicing Spread]])</f>
        <v>0.96240997316998156</v>
      </c>
      <c r="M1034" s="24">
        <f>CurrentMtgRatesDataTable811[[#This Row],[SeriesNumValue]]+CurrentMtgRatesDataTable811[[#This Row],[Servicing Spread Non-Zero]]</f>
        <v>3.4177395051583517</v>
      </c>
    </row>
    <row r="1035" spans="2:13" x14ac:dyDescent="0.2">
      <c r="B1035" s="27" t="s">
        <v>1716</v>
      </c>
      <c r="C1035" s="28">
        <v>2.5454794820645601</v>
      </c>
      <c r="D1035" s="26">
        <v>3.5549999999999997</v>
      </c>
      <c r="E1035" s="24">
        <f t="shared" si="64"/>
        <v>2</v>
      </c>
      <c r="F1035" s="24">
        <f>VLOOKUP(E1035,Q$5:R$11,2,FALSE)</f>
        <v>0.2</v>
      </c>
      <c r="G1035" s="24">
        <f t="shared" si="65"/>
        <v>2</v>
      </c>
      <c r="H1035" s="24">
        <f>IF(G1035&gt;G1034,H1034+C1035*F1035,C1035*F1035)</f>
        <v>1.0001618028105861</v>
      </c>
      <c r="I1035" s="24">
        <f t="shared" si="66"/>
        <v>0.4</v>
      </c>
      <c r="J1035" s="24">
        <f t="shared" si="67"/>
        <v>0</v>
      </c>
      <c r="K1035" s="24">
        <f>IF(CurrentMtgRatesDataTable811[[#This Row],[WA CC]]&lt;&gt;0,D1034-CurrentMtgRatesDataTable811[[#This Row],[WA CC]],0)</f>
        <v>0</v>
      </c>
      <c r="L1035" s="24">
        <f>IF(CurrentMtgRatesDataTable811[[#This Row],[Servicing Spread]]&lt;=0,L1034,CurrentMtgRatesDataTable811[[#This Row],[Servicing Spread]])</f>
        <v>0.96240997316998156</v>
      </c>
      <c r="M1035" s="24">
        <f>CurrentMtgRatesDataTable811[[#This Row],[SeriesNumValue]]+CurrentMtgRatesDataTable811[[#This Row],[Servicing Spread Non-Zero]]</f>
        <v>3.5078894552345417</v>
      </c>
    </row>
    <row r="1036" spans="2:13" x14ac:dyDescent="0.2">
      <c r="B1036" s="27" t="s">
        <v>1717</v>
      </c>
      <c r="C1036" s="28">
        <v>2.55737179181423</v>
      </c>
      <c r="D1036" s="26">
        <v>3.5549999999999997</v>
      </c>
      <c r="E1036" s="24">
        <f t="shared" si="64"/>
        <v>6</v>
      </c>
      <c r="F1036" s="24">
        <f>VLOOKUP(E1036,Q$5:R$11,2,FALSE)</f>
        <v>0.2</v>
      </c>
      <c r="G1036" s="24">
        <f t="shared" si="65"/>
        <v>3</v>
      </c>
      <c r="H1036" s="24">
        <f>IF(G1036&gt;G1035,H1035+C1036*F1036,C1036*F1036)</f>
        <v>1.5116361611734321</v>
      </c>
      <c r="I1036" s="24">
        <f t="shared" si="66"/>
        <v>0.60000000000000009</v>
      </c>
      <c r="J1036" s="24">
        <f t="shared" si="67"/>
        <v>0</v>
      </c>
      <c r="K1036" s="24">
        <f>IF(CurrentMtgRatesDataTable811[[#This Row],[WA CC]]&lt;&gt;0,D1035-CurrentMtgRatesDataTable811[[#This Row],[WA CC]],0)</f>
        <v>0</v>
      </c>
      <c r="L1036" s="24">
        <f>IF(CurrentMtgRatesDataTable811[[#This Row],[Servicing Spread]]&lt;=0,L1035,CurrentMtgRatesDataTable811[[#This Row],[Servicing Spread]])</f>
        <v>0.96240997316998156</v>
      </c>
      <c r="M1036" s="24">
        <f>CurrentMtgRatesDataTable811[[#This Row],[SeriesNumValue]]+CurrentMtgRatesDataTable811[[#This Row],[Servicing Spread Non-Zero]]</f>
        <v>3.5197817649842116</v>
      </c>
    </row>
    <row r="1037" spans="2:13" x14ac:dyDescent="0.2">
      <c r="B1037" s="27" t="s">
        <v>1718</v>
      </c>
      <c r="C1037" s="28">
        <v>2.6084944348331098</v>
      </c>
      <c r="D1037" s="26">
        <v>3.5549999999999997</v>
      </c>
      <c r="E1037" s="24">
        <f t="shared" si="64"/>
        <v>7</v>
      </c>
      <c r="F1037" s="24">
        <f>VLOOKUP(E1037,Q$5:R$11,2,FALSE)</f>
        <v>0.2</v>
      </c>
      <c r="G1037" s="24">
        <f t="shared" si="65"/>
        <v>4</v>
      </c>
      <c r="H1037" s="24">
        <f>IF(G1037&gt;G1036,H1036+C1037*F1037,C1037*F1037)</f>
        <v>2.0333350481400543</v>
      </c>
      <c r="I1037" s="24">
        <f t="shared" si="66"/>
        <v>0.8</v>
      </c>
      <c r="J1037" s="24">
        <f t="shared" si="67"/>
        <v>2.5416688101750675</v>
      </c>
      <c r="K1037" s="24">
        <f>IF(CurrentMtgRatesDataTable811[[#This Row],[WA CC]]&lt;&gt;0,D1036-CurrentMtgRatesDataTable811[[#This Row],[WA CC]],0)</f>
        <v>1.0133311898249322</v>
      </c>
      <c r="L1037" s="24">
        <f>IF(CurrentMtgRatesDataTable811[[#This Row],[Servicing Spread]]&lt;=0,L1036,CurrentMtgRatesDataTable811[[#This Row],[Servicing Spread]])</f>
        <v>1.0133311898249322</v>
      </c>
      <c r="M1037" s="24">
        <f>CurrentMtgRatesDataTable811[[#This Row],[SeriesNumValue]]+CurrentMtgRatesDataTable811[[#This Row],[Servicing Spread Non-Zero]]</f>
        <v>3.621825624658042</v>
      </c>
    </row>
    <row r="1038" spans="2:13" x14ac:dyDescent="0.2">
      <c r="B1038" s="27" t="s">
        <v>1719</v>
      </c>
      <c r="C1038" s="28">
        <v>2.6170205733531602</v>
      </c>
      <c r="D1038" s="26">
        <v>3.56</v>
      </c>
      <c r="E1038" s="24">
        <f t="shared" si="64"/>
        <v>1</v>
      </c>
      <c r="F1038" s="24">
        <f>VLOOKUP(E1038,Q$5:R$11,2,FALSE)</f>
        <v>0.2</v>
      </c>
      <c r="G1038" s="24">
        <f t="shared" si="65"/>
        <v>1</v>
      </c>
      <c r="H1038" s="24">
        <f>IF(G1038&gt;G1037,H1037+C1038*F1038,C1038*F1038)</f>
        <v>0.52340411467063208</v>
      </c>
      <c r="I1038" s="24">
        <f t="shared" si="66"/>
        <v>0.2</v>
      </c>
      <c r="J1038" s="24">
        <f t="shared" si="67"/>
        <v>0</v>
      </c>
      <c r="K1038" s="24">
        <f>IF(CurrentMtgRatesDataTable811[[#This Row],[WA CC]]&lt;&gt;0,D1037-CurrentMtgRatesDataTable811[[#This Row],[WA CC]],0)</f>
        <v>0</v>
      </c>
      <c r="L1038" s="24">
        <f>IF(CurrentMtgRatesDataTable811[[#This Row],[Servicing Spread]]&lt;=0,L1037,CurrentMtgRatesDataTable811[[#This Row],[Servicing Spread]])</f>
        <v>1.0133311898249322</v>
      </c>
      <c r="M1038" s="24">
        <f>CurrentMtgRatesDataTable811[[#This Row],[SeriesNumValue]]+CurrentMtgRatesDataTable811[[#This Row],[Servicing Spread Non-Zero]]</f>
        <v>3.6303517631780924</v>
      </c>
    </row>
    <row r="1039" spans="2:13" x14ac:dyDescent="0.2">
      <c r="B1039" s="27" t="s">
        <v>1720</v>
      </c>
      <c r="C1039" s="28">
        <v>2.5688065849413189</v>
      </c>
      <c r="D1039" s="26">
        <v>3.56</v>
      </c>
      <c r="E1039" s="24">
        <f t="shared" si="64"/>
        <v>2</v>
      </c>
      <c r="F1039" s="24">
        <f>VLOOKUP(E1039,Q$5:R$11,2,FALSE)</f>
        <v>0.2</v>
      </c>
      <c r="G1039" s="24">
        <f t="shared" si="65"/>
        <v>2</v>
      </c>
      <c r="H1039" s="24">
        <f>IF(G1039&gt;G1038,H1038+C1039*F1039,C1039*F1039)</f>
        <v>1.0371654316588959</v>
      </c>
      <c r="I1039" s="24">
        <f t="shared" si="66"/>
        <v>0.4</v>
      </c>
      <c r="J1039" s="24">
        <f t="shared" si="67"/>
        <v>0</v>
      </c>
      <c r="K1039" s="24">
        <f>IF(CurrentMtgRatesDataTable811[[#This Row],[WA CC]]&lt;&gt;0,D1038-CurrentMtgRatesDataTable811[[#This Row],[WA CC]],0)</f>
        <v>0</v>
      </c>
      <c r="L1039" s="24">
        <f>IF(CurrentMtgRatesDataTable811[[#This Row],[Servicing Spread]]&lt;=0,L1038,CurrentMtgRatesDataTable811[[#This Row],[Servicing Spread]])</f>
        <v>1.0133311898249322</v>
      </c>
      <c r="M1039" s="24">
        <f>CurrentMtgRatesDataTable811[[#This Row],[SeriesNumValue]]+CurrentMtgRatesDataTable811[[#This Row],[Servicing Spread Non-Zero]]</f>
        <v>3.5821377747662511</v>
      </c>
    </row>
    <row r="1040" spans="2:13" x14ac:dyDescent="0.2">
      <c r="B1040" s="27" t="s">
        <v>1721</v>
      </c>
      <c r="C1040" s="28">
        <v>2.5964187919228277</v>
      </c>
      <c r="D1040" s="26">
        <v>3.56</v>
      </c>
      <c r="E1040" s="24">
        <f t="shared" si="64"/>
        <v>5</v>
      </c>
      <c r="F1040" s="24">
        <f>VLOOKUP(E1040,Q$5:R$11,2,FALSE)</f>
        <v>0.2</v>
      </c>
      <c r="G1040" s="24">
        <f t="shared" si="65"/>
        <v>3</v>
      </c>
      <c r="H1040" s="24">
        <f>IF(G1040&gt;G1039,H1039+C1040*F1040,C1040*F1040)</f>
        <v>1.5564491900434614</v>
      </c>
      <c r="I1040" s="24">
        <f t="shared" si="66"/>
        <v>0.60000000000000009</v>
      </c>
      <c r="J1040" s="24">
        <f t="shared" si="67"/>
        <v>0</v>
      </c>
      <c r="K1040" s="24">
        <f>IF(CurrentMtgRatesDataTable811[[#This Row],[WA CC]]&lt;&gt;0,D1039-CurrentMtgRatesDataTable811[[#This Row],[WA CC]],0)</f>
        <v>0</v>
      </c>
      <c r="L1040" s="24">
        <f>IF(CurrentMtgRatesDataTable811[[#This Row],[Servicing Spread]]&lt;=0,L1039,CurrentMtgRatesDataTable811[[#This Row],[Servicing Spread]])</f>
        <v>1.0133311898249322</v>
      </c>
      <c r="M1040" s="24">
        <f>CurrentMtgRatesDataTable811[[#This Row],[SeriesNumValue]]+CurrentMtgRatesDataTable811[[#This Row],[Servicing Spread Non-Zero]]</f>
        <v>3.6097499817477599</v>
      </c>
    </row>
    <row r="1041" spans="2:13" x14ac:dyDescent="0.2">
      <c r="B1041" s="27" t="s">
        <v>1722</v>
      </c>
      <c r="C1041" s="28">
        <v>2.58566791572217</v>
      </c>
      <c r="D1041" s="26">
        <v>3.56</v>
      </c>
      <c r="E1041" s="24">
        <f t="shared" si="64"/>
        <v>6</v>
      </c>
      <c r="F1041" s="24">
        <f>VLOOKUP(E1041,Q$5:R$11,2,FALSE)</f>
        <v>0.2</v>
      </c>
      <c r="G1041" s="24">
        <f t="shared" si="65"/>
        <v>4</v>
      </c>
      <c r="H1041" s="24">
        <f>IF(G1041&gt;G1040,H1040+C1041*F1041,C1041*F1041)</f>
        <v>2.0735827731878955</v>
      </c>
      <c r="I1041" s="24">
        <f t="shared" si="66"/>
        <v>0.8</v>
      </c>
      <c r="J1041" s="24">
        <f t="shared" si="67"/>
        <v>0</v>
      </c>
      <c r="K1041" s="24">
        <f>IF(CurrentMtgRatesDataTable811[[#This Row],[WA CC]]&lt;&gt;0,D1040-CurrentMtgRatesDataTable811[[#This Row],[WA CC]],0)</f>
        <v>0</v>
      </c>
      <c r="L1041" s="24">
        <f>IF(CurrentMtgRatesDataTable811[[#This Row],[Servicing Spread]]&lt;=0,L1040,CurrentMtgRatesDataTable811[[#This Row],[Servicing Spread]])</f>
        <v>1.0133311898249322</v>
      </c>
      <c r="M1041" s="24">
        <f>CurrentMtgRatesDataTable811[[#This Row],[SeriesNumValue]]+CurrentMtgRatesDataTable811[[#This Row],[Servicing Spread Non-Zero]]</f>
        <v>3.5989991055471022</v>
      </c>
    </row>
    <row r="1042" spans="2:13" x14ac:dyDescent="0.2">
      <c r="B1042" s="27" t="s">
        <v>1723</v>
      </c>
      <c r="C1042" s="28">
        <v>2.5075854882079498</v>
      </c>
      <c r="D1042" s="26">
        <v>3.56</v>
      </c>
      <c r="E1042" s="24">
        <f t="shared" si="64"/>
        <v>7</v>
      </c>
      <c r="F1042" s="24">
        <f>VLOOKUP(E1042,Q$5:R$11,2,FALSE)</f>
        <v>0.2</v>
      </c>
      <c r="G1042" s="24">
        <f t="shared" si="65"/>
        <v>5</v>
      </c>
      <c r="H1042" s="24">
        <f>IF(G1042&gt;G1041,H1041+C1042*F1042,C1042*F1042)</f>
        <v>2.5750998708294857</v>
      </c>
      <c r="I1042" s="24">
        <f t="shared" si="66"/>
        <v>1</v>
      </c>
      <c r="J1042" s="24">
        <f t="shared" si="67"/>
        <v>2.5750998708294857</v>
      </c>
      <c r="K1042" s="24">
        <f>IF(CurrentMtgRatesDataTable811[[#This Row],[WA CC]]&lt;&gt;0,D1041-CurrentMtgRatesDataTable811[[#This Row],[WA CC]],0)</f>
        <v>0.98490012917051439</v>
      </c>
      <c r="L1042" s="24">
        <f>IF(CurrentMtgRatesDataTable811[[#This Row],[Servicing Spread]]&lt;=0,L1041,CurrentMtgRatesDataTable811[[#This Row],[Servicing Spread]])</f>
        <v>0.98490012917051439</v>
      </c>
      <c r="M1042" s="24">
        <f>CurrentMtgRatesDataTable811[[#This Row],[SeriesNumValue]]+CurrentMtgRatesDataTable811[[#This Row],[Servicing Spread Non-Zero]]</f>
        <v>3.4924856173784642</v>
      </c>
    </row>
    <row r="1043" spans="2:13" x14ac:dyDescent="0.2">
      <c r="B1043" s="27" t="s">
        <v>1724</v>
      </c>
      <c r="C1043" s="28">
        <v>2.5133603709402799</v>
      </c>
      <c r="D1043" s="26">
        <v>3.5149999999999997</v>
      </c>
      <c r="E1043" s="24">
        <f t="shared" si="64"/>
        <v>1</v>
      </c>
      <c r="F1043" s="24">
        <f>VLOOKUP(E1043,Q$5:R$11,2,FALSE)</f>
        <v>0.2</v>
      </c>
      <c r="G1043" s="24">
        <f t="shared" si="65"/>
        <v>1</v>
      </c>
      <c r="H1043" s="24">
        <f>IF(G1043&gt;G1042,H1042+C1043*F1043,C1043*F1043)</f>
        <v>0.50267207418805604</v>
      </c>
      <c r="I1043" s="24">
        <f t="shared" si="66"/>
        <v>0.2</v>
      </c>
      <c r="J1043" s="24">
        <f t="shared" si="67"/>
        <v>0</v>
      </c>
      <c r="K1043" s="24">
        <f>IF(CurrentMtgRatesDataTable811[[#This Row],[WA CC]]&lt;&gt;0,D1042-CurrentMtgRatesDataTable811[[#This Row],[WA CC]],0)</f>
        <v>0</v>
      </c>
      <c r="L1043" s="24">
        <f>IF(CurrentMtgRatesDataTable811[[#This Row],[Servicing Spread]]&lt;=0,L1042,CurrentMtgRatesDataTable811[[#This Row],[Servicing Spread]])</f>
        <v>0.98490012917051439</v>
      </c>
      <c r="M1043" s="24">
        <f>CurrentMtgRatesDataTable811[[#This Row],[SeriesNumValue]]+CurrentMtgRatesDataTable811[[#This Row],[Servicing Spread Non-Zero]]</f>
        <v>3.4982605001107943</v>
      </c>
    </row>
    <row r="1044" spans="2:13" x14ac:dyDescent="0.2">
      <c r="B1044" s="27" t="s">
        <v>1725</v>
      </c>
      <c r="C1044" s="28">
        <v>2.4526687901347302</v>
      </c>
      <c r="D1044" s="26">
        <v>3.5149999999999997</v>
      </c>
      <c r="E1044" s="24">
        <f t="shared" si="64"/>
        <v>2</v>
      </c>
      <c r="F1044" s="24">
        <f>VLOOKUP(E1044,Q$5:R$11,2,FALSE)</f>
        <v>0.2</v>
      </c>
      <c r="G1044" s="24">
        <f t="shared" si="65"/>
        <v>2</v>
      </c>
      <c r="H1044" s="24">
        <f>IF(G1044&gt;G1043,H1043+C1044*F1044,C1044*F1044)</f>
        <v>0.99320583221500214</v>
      </c>
      <c r="I1044" s="24">
        <f t="shared" si="66"/>
        <v>0.4</v>
      </c>
      <c r="J1044" s="24">
        <f t="shared" si="67"/>
        <v>0</v>
      </c>
      <c r="K1044" s="24">
        <f>IF(CurrentMtgRatesDataTable811[[#This Row],[WA CC]]&lt;&gt;0,D1043-CurrentMtgRatesDataTable811[[#This Row],[WA CC]],0)</f>
        <v>0</v>
      </c>
      <c r="L1044" s="24">
        <f>IF(CurrentMtgRatesDataTable811[[#This Row],[Servicing Spread]]&lt;=0,L1043,CurrentMtgRatesDataTable811[[#This Row],[Servicing Spread]])</f>
        <v>0.98490012917051439</v>
      </c>
      <c r="M1044" s="24">
        <f>CurrentMtgRatesDataTable811[[#This Row],[SeriesNumValue]]+CurrentMtgRatesDataTable811[[#This Row],[Servicing Spread Non-Zero]]</f>
        <v>3.4375689193052446</v>
      </c>
    </row>
    <row r="1045" spans="2:13" x14ac:dyDescent="0.2">
      <c r="B1045" s="27" t="s">
        <v>1726</v>
      </c>
      <c r="C1045" s="28">
        <v>2.4482414321452199</v>
      </c>
      <c r="D1045" s="26">
        <v>3.5149999999999997</v>
      </c>
      <c r="E1045" s="24">
        <f t="shared" si="64"/>
        <v>5</v>
      </c>
      <c r="F1045" s="24">
        <f>VLOOKUP(E1045,Q$5:R$11,2,FALSE)</f>
        <v>0.2</v>
      </c>
      <c r="G1045" s="24">
        <f t="shared" si="65"/>
        <v>3</v>
      </c>
      <c r="H1045" s="24">
        <f>IF(G1045&gt;G1044,H1044+C1045*F1045,C1045*F1045)</f>
        <v>1.4828541186440463</v>
      </c>
      <c r="I1045" s="24">
        <f t="shared" si="66"/>
        <v>0.60000000000000009</v>
      </c>
      <c r="J1045" s="24">
        <f t="shared" si="67"/>
        <v>0</v>
      </c>
      <c r="K1045" s="24">
        <f>IF(CurrentMtgRatesDataTable811[[#This Row],[WA CC]]&lt;&gt;0,D1044-CurrentMtgRatesDataTable811[[#This Row],[WA CC]],0)</f>
        <v>0</v>
      </c>
      <c r="L1045" s="24">
        <f>IF(CurrentMtgRatesDataTable811[[#This Row],[Servicing Spread]]&lt;=0,L1044,CurrentMtgRatesDataTable811[[#This Row],[Servicing Spread]])</f>
        <v>0.98490012917051439</v>
      </c>
      <c r="M1045" s="24">
        <f>CurrentMtgRatesDataTable811[[#This Row],[SeriesNumValue]]+CurrentMtgRatesDataTable811[[#This Row],[Servicing Spread Non-Zero]]</f>
        <v>3.4331415613157343</v>
      </c>
    </row>
    <row r="1046" spans="2:13" x14ac:dyDescent="0.2">
      <c r="B1046" s="27" t="s">
        <v>1727</v>
      </c>
      <c r="C1046" s="28">
        <v>2.5386092043872699</v>
      </c>
      <c r="D1046" s="26">
        <v>3.5149999999999997</v>
      </c>
      <c r="E1046" s="24">
        <f t="shared" si="64"/>
        <v>6</v>
      </c>
      <c r="F1046" s="24">
        <f>VLOOKUP(E1046,Q$5:R$11,2,FALSE)</f>
        <v>0.2</v>
      </c>
      <c r="G1046" s="24">
        <f t="shared" si="65"/>
        <v>4</v>
      </c>
      <c r="H1046" s="24">
        <f>IF(G1046&gt;G1045,H1045+C1046*F1046,C1046*F1046)</f>
        <v>1.9905759595215002</v>
      </c>
      <c r="I1046" s="24">
        <f t="shared" si="66"/>
        <v>0.8</v>
      </c>
      <c r="J1046" s="24">
        <f t="shared" si="67"/>
        <v>0</v>
      </c>
      <c r="K1046" s="24">
        <f>IF(CurrentMtgRatesDataTable811[[#This Row],[WA CC]]&lt;&gt;0,D1045-CurrentMtgRatesDataTable811[[#This Row],[WA CC]],0)</f>
        <v>0</v>
      </c>
      <c r="L1046" s="24">
        <f>IF(CurrentMtgRatesDataTable811[[#This Row],[Servicing Spread]]&lt;=0,L1045,CurrentMtgRatesDataTable811[[#This Row],[Servicing Spread]])</f>
        <v>0.98490012917051439</v>
      </c>
      <c r="M1046" s="24">
        <f>CurrentMtgRatesDataTable811[[#This Row],[SeriesNumValue]]+CurrentMtgRatesDataTable811[[#This Row],[Servicing Spread Non-Zero]]</f>
        <v>3.5235093335577843</v>
      </c>
    </row>
    <row r="1047" spans="2:13" x14ac:dyDescent="0.2">
      <c r="B1047" s="27" t="s">
        <v>1728</v>
      </c>
      <c r="C1047" s="28">
        <v>2.56620444102245</v>
      </c>
      <c r="D1047" s="26">
        <v>3.5149999999999997</v>
      </c>
      <c r="E1047" s="24">
        <f t="shared" si="64"/>
        <v>7</v>
      </c>
      <c r="F1047" s="24">
        <f>VLOOKUP(E1047,Q$5:R$11,2,FALSE)</f>
        <v>0.2</v>
      </c>
      <c r="G1047" s="24">
        <f t="shared" si="65"/>
        <v>5</v>
      </c>
      <c r="H1047" s="24">
        <f>IF(G1047&gt;G1046,H1046+C1047*F1047,C1047*F1047)</f>
        <v>2.5038168477259903</v>
      </c>
      <c r="I1047" s="24">
        <f t="shared" si="66"/>
        <v>1</v>
      </c>
      <c r="J1047" s="24">
        <f t="shared" si="67"/>
        <v>2.5038168477259903</v>
      </c>
      <c r="K1047" s="24">
        <f>IF(CurrentMtgRatesDataTable811[[#This Row],[WA CC]]&lt;&gt;0,D1046-CurrentMtgRatesDataTable811[[#This Row],[WA CC]],0)</f>
        <v>1.0111831522740093</v>
      </c>
      <c r="L1047" s="24">
        <f>IF(CurrentMtgRatesDataTable811[[#This Row],[Servicing Spread]]&lt;=0,L1046,CurrentMtgRatesDataTable811[[#This Row],[Servicing Spread]])</f>
        <v>1.0111831522740093</v>
      </c>
      <c r="M1047" s="24">
        <f>CurrentMtgRatesDataTable811[[#This Row],[SeriesNumValue]]+CurrentMtgRatesDataTable811[[#This Row],[Servicing Spread Non-Zero]]</f>
        <v>3.5773875932964594</v>
      </c>
    </row>
    <row r="1048" spans="2:13" x14ac:dyDescent="0.2">
      <c r="B1048" s="27" t="s">
        <v>1729</v>
      </c>
      <c r="C1048" s="28">
        <v>2.5588939804772202</v>
      </c>
      <c r="D1048" s="26">
        <v>3.59</v>
      </c>
      <c r="E1048" s="24">
        <f t="shared" si="64"/>
        <v>1</v>
      </c>
      <c r="F1048" s="24">
        <f>VLOOKUP(E1048,Q$5:R$11,2,FALSE)</f>
        <v>0.2</v>
      </c>
      <c r="G1048" s="24">
        <f t="shared" si="65"/>
        <v>1</v>
      </c>
      <c r="H1048" s="24">
        <f>IF(G1048&gt;G1047,H1047+C1048*F1048,C1048*F1048)</f>
        <v>0.51177879609544408</v>
      </c>
      <c r="I1048" s="24">
        <f t="shared" si="66"/>
        <v>0.2</v>
      </c>
      <c r="J1048" s="24">
        <f t="shared" si="67"/>
        <v>0</v>
      </c>
      <c r="K1048" s="24">
        <f>IF(CurrentMtgRatesDataTable811[[#This Row],[WA CC]]&lt;&gt;0,D1047-CurrentMtgRatesDataTable811[[#This Row],[WA CC]],0)</f>
        <v>0</v>
      </c>
      <c r="L1048" s="24">
        <f>IF(CurrentMtgRatesDataTable811[[#This Row],[Servicing Spread]]&lt;=0,L1047,CurrentMtgRatesDataTable811[[#This Row],[Servicing Spread]])</f>
        <v>1.0111831522740093</v>
      </c>
      <c r="M1048" s="24">
        <f>CurrentMtgRatesDataTable811[[#This Row],[SeriesNumValue]]+CurrentMtgRatesDataTable811[[#This Row],[Servicing Spread Non-Zero]]</f>
        <v>3.5700771327512295</v>
      </c>
    </row>
    <row r="1049" spans="2:13" x14ac:dyDescent="0.2">
      <c r="B1049" s="27" t="s">
        <v>1730</v>
      </c>
      <c r="C1049" s="28">
        <v>2.6748566998957601</v>
      </c>
      <c r="D1049" s="26">
        <v>3.59</v>
      </c>
      <c r="E1049" s="24">
        <f t="shared" si="64"/>
        <v>2</v>
      </c>
      <c r="F1049" s="24">
        <f>VLOOKUP(E1049,Q$5:R$11,2,FALSE)</f>
        <v>0.2</v>
      </c>
      <c r="G1049" s="24">
        <f t="shared" si="65"/>
        <v>2</v>
      </c>
      <c r="H1049" s="24">
        <f>IF(G1049&gt;G1048,H1048+C1049*F1049,C1049*F1049)</f>
        <v>1.0467501360745961</v>
      </c>
      <c r="I1049" s="24">
        <f t="shared" si="66"/>
        <v>0.4</v>
      </c>
      <c r="J1049" s="24">
        <f t="shared" si="67"/>
        <v>0</v>
      </c>
      <c r="K1049" s="24">
        <f>IF(CurrentMtgRatesDataTable811[[#This Row],[WA CC]]&lt;&gt;0,D1048-CurrentMtgRatesDataTable811[[#This Row],[WA CC]],0)</f>
        <v>0</v>
      </c>
      <c r="L1049" s="24">
        <f>IF(CurrentMtgRatesDataTable811[[#This Row],[Servicing Spread]]&lt;=0,L1048,CurrentMtgRatesDataTable811[[#This Row],[Servicing Spread]])</f>
        <v>1.0111831522740093</v>
      </c>
      <c r="M1049" s="24">
        <f>CurrentMtgRatesDataTable811[[#This Row],[SeriesNumValue]]+CurrentMtgRatesDataTable811[[#This Row],[Servicing Spread Non-Zero]]</f>
        <v>3.6860398521697695</v>
      </c>
    </row>
    <row r="1050" spans="2:13" x14ac:dyDescent="0.2">
      <c r="B1050" s="27" t="s">
        <v>1731</v>
      </c>
      <c r="C1050" s="28">
        <v>2.6856648240007002</v>
      </c>
      <c r="D1050" s="26">
        <v>3.59</v>
      </c>
      <c r="E1050" s="24">
        <f t="shared" si="64"/>
        <v>5</v>
      </c>
      <c r="F1050" s="24">
        <f>VLOOKUP(E1050,Q$5:R$11,2,FALSE)</f>
        <v>0.2</v>
      </c>
      <c r="G1050" s="24">
        <f t="shared" si="65"/>
        <v>3</v>
      </c>
      <c r="H1050" s="24">
        <f>IF(G1050&gt;G1049,H1049+C1050*F1050,C1050*F1050)</f>
        <v>1.5838831008747363</v>
      </c>
      <c r="I1050" s="24">
        <f t="shared" si="66"/>
        <v>0.60000000000000009</v>
      </c>
      <c r="J1050" s="24">
        <f t="shared" si="67"/>
        <v>0</v>
      </c>
      <c r="K1050" s="24">
        <f>IF(CurrentMtgRatesDataTable811[[#This Row],[WA CC]]&lt;&gt;0,D1049-CurrentMtgRatesDataTable811[[#This Row],[WA CC]],0)</f>
        <v>0</v>
      </c>
      <c r="L1050" s="24">
        <f>IF(CurrentMtgRatesDataTable811[[#This Row],[Servicing Spread]]&lt;=0,L1049,CurrentMtgRatesDataTable811[[#This Row],[Servicing Spread]])</f>
        <v>1.0111831522740093</v>
      </c>
      <c r="M1050" s="24">
        <f>CurrentMtgRatesDataTable811[[#This Row],[SeriesNumValue]]+CurrentMtgRatesDataTable811[[#This Row],[Servicing Spread Non-Zero]]</f>
        <v>3.6968479762747095</v>
      </c>
    </row>
    <row r="1051" spans="2:13" x14ac:dyDescent="0.2">
      <c r="B1051" s="27" t="s">
        <v>1732</v>
      </c>
      <c r="C1051" s="28">
        <v>2.7450619013759301</v>
      </c>
      <c r="D1051" s="26">
        <v>3.59</v>
      </c>
      <c r="E1051" s="24">
        <f t="shared" si="64"/>
        <v>6</v>
      </c>
      <c r="F1051" s="24">
        <f>VLOOKUP(E1051,Q$5:R$11,2,FALSE)</f>
        <v>0.2</v>
      </c>
      <c r="G1051" s="24">
        <f t="shared" si="65"/>
        <v>4</v>
      </c>
      <c r="H1051" s="24">
        <f>IF(G1051&gt;G1050,H1050+C1051*F1051,C1051*F1051)</f>
        <v>2.1328954811499221</v>
      </c>
      <c r="I1051" s="24">
        <f t="shared" si="66"/>
        <v>0.8</v>
      </c>
      <c r="J1051" s="24">
        <f t="shared" si="67"/>
        <v>0</v>
      </c>
      <c r="K1051" s="24">
        <f>IF(CurrentMtgRatesDataTable811[[#This Row],[WA CC]]&lt;&gt;0,D1050-CurrentMtgRatesDataTable811[[#This Row],[WA CC]],0)</f>
        <v>0</v>
      </c>
      <c r="L1051" s="24">
        <f>IF(CurrentMtgRatesDataTable811[[#This Row],[Servicing Spread]]&lt;=0,L1050,CurrentMtgRatesDataTable811[[#This Row],[Servicing Spread]])</f>
        <v>1.0111831522740093</v>
      </c>
      <c r="M1051" s="24">
        <f>CurrentMtgRatesDataTable811[[#This Row],[SeriesNumValue]]+CurrentMtgRatesDataTable811[[#This Row],[Servicing Spread Non-Zero]]</f>
        <v>3.7562450536499394</v>
      </c>
    </row>
    <row r="1052" spans="2:13" x14ac:dyDescent="0.2">
      <c r="B1052" s="27" t="s">
        <v>1733</v>
      </c>
      <c r="C1052" s="28">
        <v>2.7390944645368598</v>
      </c>
      <c r="D1052" s="26">
        <v>3.59</v>
      </c>
      <c r="E1052" s="24">
        <f t="shared" si="64"/>
        <v>7</v>
      </c>
      <c r="F1052" s="24">
        <f>VLOOKUP(E1052,Q$5:R$11,2,FALSE)</f>
        <v>0.2</v>
      </c>
      <c r="G1052" s="24">
        <f t="shared" si="65"/>
        <v>5</v>
      </c>
      <c r="H1052" s="24">
        <f>IF(G1052&gt;G1051,H1051+C1052*F1052,C1052*F1052)</f>
        <v>2.6807143740572941</v>
      </c>
      <c r="I1052" s="24">
        <f t="shared" si="66"/>
        <v>1</v>
      </c>
      <c r="J1052" s="24">
        <f t="shared" si="67"/>
        <v>2.6807143740572941</v>
      </c>
      <c r="K1052" s="24">
        <f>IF(CurrentMtgRatesDataTable811[[#This Row],[WA CC]]&lt;&gt;0,D1051-CurrentMtgRatesDataTable811[[#This Row],[WA CC]],0)</f>
        <v>0.90928562594270579</v>
      </c>
      <c r="L1052" s="24">
        <f>IF(CurrentMtgRatesDataTable811[[#This Row],[Servicing Spread]]&lt;=0,L1051,CurrentMtgRatesDataTable811[[#This Row],[Servicing Spread]])</f>
        <v>0.90928562594270579</v>
      </c>
      <c r="M1052" s="24">
        <f>CurrentMtgRatesDataTable811[[#This Row],[SeriesNumValue]]+CurrentMtgRatesDataTable811[[#This Row],[Servicing Spread Non-Zero]]</f>
        <v>3.6483800904795656</v>
      </c>
    </row>
    <row r="1053" spans="2:13" x14ac:dyDescent="0.2">
      <c r="B1053" s="27" t="s">
        <v>1734</v>
      </c>
      <c r="C1053" s="28">
        <v>2.7217472845669599</v>
      </c>
      <c r="D1053" s="26">
        <v>3.6599999999999997</v>
      </c>
      <c r="E1053" s="24">
        <f t="shared" si="64"/>
        <v>1</v>
      </c>
      <c r="F1053" s="24">
        <f>VLOOKUP(E1053,Q$5:R$11,2,FALSE)</f>
        <v>0.2</v>
      </c>
      <c r="G1053" s="24">
        <f t="shared" si="65"/>
        <v>1</v>
      </c>
      <c r="H1053" s="24">
        <f>IF(G1053&gt;G1052,H1052+C1053*F1053,C1053*F1053)</f>
        <v>0.54434945691339198</v>
      </c>
      <c r="I1053" s="24">
        <f t="shared" si="66"/>
        <v>0.2</v>
      </c>
      <c r="J1053" s="24">
        <f t="shared" si="67"/>
        <v>0</v>
      </c>
      <c r="K1053" s="24">
        <f>IF(CurrentMtgRatesDataTable811[[#This Row],[WA CC]]&lt;&gt;0,D1052-CurrentMtgRatesDataTable811[[#This Row],[WA CC]],0)</f>
        <v>0</v>
      </c>
      <c r="L1053" s="24">
        <f>IF(CurrentMtgRatesDataTable811[[#This Row],[Servicing Spread]]&lt;=0,L1052,CurrentMtgRatesDataTable811[[#This Row],[Servicing Spread]])</f>
        <v>0.90928562594270579</v>
      </c>
      <c r="M1053" s="24">
        <f>CurrentMtgRatesDataTable811[[#This Row],[SeriesNumValue]]+CurrentMtgRatesDataTable811[[#This Row],[Servicing Spread Non-Zero]]</f>
        <v>3.6310329105096657</v>
      </c>
    </row>
    <row r="1054" spans="2:13" x14ac:dyDescent="0.2">
      <c r="B1054" s="27" t="s">
        <v>1735</v>
      </c>
      <c r="C1054" s="28">
        <v>2.7439532601441399</v>
      </c>
      <c r="D1054" s="26">
        <v>3.6599999999999997</v>
      </c>
      <c r="E1054" s="24">
        <f t="shared" si="64"/>
        <v>2</v>
      </c>
      <c r="F1054" s="24">
        <f>VLOOKUP(E1054,Q$5:R$11,2,FALSE)</f>
        <v>0.2</v>
      </c>
      <c r="G1054" s="24">
        <f t="shared" si="65"/>
        <v>2</v>
      </c>
      <c r="H1054" s="24">
        <f>IF(G1054&gt;G1053,H1053+C1054*F1054,C1054*F1054)</f>
        <v>1.0931401089422201</v>
      </c>
      <c r="I1054" s="24">
        <f t="shared" si="66"/>
        <v>0.4</v>
      </c>
      <c r="J1054" s="24">
        <f t="shared" si="67"/>
        <v>0</v>
      </c>
      <c r="K1054" s="24">
        <f>IF(CurrentMtgRatesDataTable811[[#This Row],[WA CC]]&lt;&gt;0,D1053-CurrentMtgRatesDataTable811[[#This Row],[WA CC]],0)</f>
        <v>0</v>
      </c>
      <c r="L1054" s="24">
        <f>IF(CurrentMtgRatesDataTable811[[#This Row],[Servicing Spread]]&lt;=0,L1053,CurrentMtgRatesDataTable811[[#This Row],[Servicing Spread]])</f>
        <v>0.90928562594270579</v>
      </c>
      <c r="M1054" s="24">
        <f>CurrentMtgRatesDataTable811[[#This Row],[SeriesNumValue]]+CurrentMtgRatesDataTable811[[#This Row],[Servicing Spread Non-Zero]]</f>
        <v>3.6532388860868457</v>
      </c>
    </row>
    <row r="1055" spans="2:13" x14ac:dyDescent="0.2">
      <c r="B1055" s="27" t="s">
        <v>1736</v>
      </c>
      <c r="C1055" s="28">
        <v>2.8647464299960101</v>
      </c>
      <c r="D1055" s="26">
        <v>3.6599999999999997</v>
      </c>
      <c r="E1055" s="24">
        <f t="shared" si="64"/>
        <v>6</v>
      </c>
      <c r="F1055" s="24">
        <f>VLOOKUP(E1055,Q$5:R$11,2,FALSE)</f>
        <v>0.2</v>
      </c>
      <c r="G1055" s="24">
        <f t="shared" si="65"/>
        <v>3</v>
      </c>
      <c r="H1055" s="24">
        <f>IF(G1055&gt;G1054,H1054+C1055*F1055,C1055*F1055)</f>
        <v>1.6660893949414222</v>
      </c>
      <c r="I1055" s="24">
        <f t="shared" si="66"/>
        <v>0.60000000000000009</v>
      </c>
      <c r="J1055" s="24">
        <f t="shared" si="67"/>
        <v>0</v>
      </c>
      <c r="K1055" s="24">
        <f>IF(CurrentMtgRatesDataTable811[[#This Row],[WA CC]]&lt;&gt;0,D1054-CurrentMtgRatesDataTable811[[#This Row],[WA CC]],0)</f>
        <v>0</v>
      </c>
      <c r="L1055" s="24">
        <f>IF(CurrentMtgRatesDataTable811[[#This Row],[Servicing Spread]]&lt;=0,L1054,CurrentMtgRatesDataTable811[[#This Row],[Servicing Spread]])</f>
        <v>0.90928562594270579</v>
      </c>
      <c r="M1055" s="24">
        <f>CurrentMtgRatesDataTable811[[#This Row],[SeriesNumValue]]+CurrentMtgRatesDataTable811[[#This Row],[Servicing Spread Non-Zero]]</f>
        <v>3.7740320559387159</v>
      </c>
    </row>
    <row r="1056" spans="2:13" x14ac:dyDescent="0.2">
      <c r="B1056" s="27" t="s">
        <v>1737</v>
      </c>
      <c r="C1056" s="28">
        <v>2.80663775198708</v>
      </c>
      <c r="D1056" s="26">
        <v>3.6599999999999997</v>
      </c>
      <c r="E1056" s="24">
        <f t="shared" si="64"/>
        <v>7</v>
      </c>
      <c r="F1056" s="24">
        <f>VLOOKUP(E1056,Q$5:R$11,2,FALSE)</f>
        <v>0.2</v>
      </c>
      <c r="G1056" s="24">
        <f t="shared" si="65"/>
        <v>4</v>
      </c>
      <c r="H1056" s="24">
        <f>IF(G1056&gt;G1055,H1055+C1056*F1056,C1056*F1056)</f>
        <v>2.2274169453388382</v>
      </c>
      <c r="I1056" s="24">
        <f t="shared" si="66"/>
        <v>0.8</v>
      </c>
      <c r="J1056" s="24">
        <f t="shared" si="67"/>
        <v>2.7842711816735477</v>
      </c>
      <c r="K1056" s="24">
        <f>IF(CurrentMtgRatesDataTable811[[#This Row],[WA CC]]&lt;&gt;0,D1055-CurrentMtgRatesDataTable811[[#This Row],[WA CC]],0)</f>
        <v>0.875728818326452</v>
      </c>
      <c r="L1056" s="24">
        <f>IF(CurrentMtgRatesDataTable811[[#This Row],[Servicing Spread]]&lt;=0,L1055,CurrentMtgRatesDataTable811[[#This Row],[Servicing Spread]])</f>
        <v>0.875728818326452</v>
      </c>
      <c r="M1056" s="24">
        <f>CurrentMtgRatesDataTable811[[#This Row],[SeriesNumValue]]+CurrentMtgRatesDataTable811[[#This Row],[Servicing Spread Non-Zero]]</f>
        <v>3.682366570313532</v>
      </c>
    </row>
    <row r="1057" spans="2:13" x14ac:dyDescent="0.2">
      <c r="B1057" s="27" t="s">
        <v>1738</v>
      </c>
      <c r="C1057" s="28">
        <v>2.8310816393070799</v>
      </c>
      <c r="D1057" s="26">
        <v>3.6999999999999997</v>
      </c>
      <c r="E1057" s="24">
        <f t="shared" si="64"/>
        <v>1</v>
      </c>
      <c r="F1057" s="24">
        <f>VLOOKUP(E1057,Q$5:R$11,2,FALSE)</f>
        <v>0.2</v>
      </c>
      <c r="G1057" s="24">
        <f t="shared" si="65"/>
        <v>1</v>
      </c>
      <c r="H1057" s="24">
        <f>IF(G1057&gt;G1056,H1056+C1057*F1057,C1057*F1057)</f>
        <v>0.56621632786141596</v>
      </c>
      <c r="I1057" s="24">
        <f t="shared" si="66"/>
        <v>0.2</v>
      </c>
      <c r="J1057" s="24">
        <f t="shared" si="67"/>
        <v>0</v>
      </c>
      <c r="K1057" s="24">
        <f>IF(CurrentMtgRatesDataTable811[[#This Row],[WA CC]]&lt;&gt;0,D1056-CurrentMtgRatesDataTable811[[#This Row],[WA CC]],0)</f>
        <v>0</v>
      </c>
      <c r="L1057" s="24">
        <f>IF(CurrentMtgRatesDataTable811[[#This Row],[Servicing Spread]]&lt;=0,L1056,CurrentMtgRatesDataTable811[[#This Row],[Servicing Spread]])</f>
        <v>0.875728818326452</v>
      </c>
      <c r="M1057" s="24">
        <f>CurrentMtgRatesDataTable811[[#This Row],[SeriesNumValue]]+CurrentMtgRatesDataTable811[[#This Row],[Servicing Spread Non-Zero]]</f>
        <v>3.7068104576335319</v>
      </c>
    </row>
    <row r="1058" spans="2:13" x14ac:dyDescent="0.2">
      <c r="B1058" s="27" t="s">
        <v>1739</v>
      </c>
      <c r="C1058" s="28">
        <v>2.8495343936509898</v>
      </c>
      <c r="D1058" s="26">
        <v>3.6999999999999997</v>
      </c>
      <c r="E1058" s="24">
        <f t="shared" si="64"/>
        <v>2</v>
      </c>
      <c r="F1058" s="24">
        <f>VLOOKUP(E1058,Q$5:R$11,2,FALSE)</f>
        <v>0.2</v>
      </c>
      <c r="G1058" s="24">
        <f t="shared" si="65"/>
        <v>2</v>
      </c>
      <c r="H1058" s="24">
        <f>IF(G1058&gt;G1057,H1057+C1058*F1058,C1058*F1058)</f>
        <v>1.136123206591614</v>
      </c>
      <c r="I1058" s="24">
        <f t="shared" si="66"/>
        <v>0.4</v>
      </c>
      <c r="J1058" s="24">
        <f t="shared" si="67"/>
        <v>0</v>
      </c>
      <c r="K1058" s="24">
        <f>IF(CurrentMtgRatesDataTable811[[#This Row],[WA CC]]&lt;&gt;0,D1057-CurrentMtgRatesDataTable811[[#This Row],[WA CC]],0)</f>
        <v>0</v>
      </c>
      <c r="L1058" s="24">
        <f>IF(CurrentMtgRatesDataTable811[[#This Row],[Servicing Spread]]&lt;=0,L1057,CurrentMtgRatesDataTable811[[#This Row],[Servicing Spread]])</f>
        <v>0.875728818326452</v>
      </c>
      <c r="M1058" s="24">
        <f>CurrentMtgRatesDataTable811[[#This Row],[SeriesNumValue]]+CurrentMtgRatesDataTable811[[#This Row],[Servicing Spread Non-Zero]]</f>
        <v>3.7252632119774418</v>
      </c>
    </row>
    <row r="1059" spans="2:13" x14ac:dyDescent="0.2">
      <c r="B1059" s="27" t="s">
        <v>1740</v>
      </c>
      <c r="C1059" s="28">
        <v>2.8051692512697501</v>
      </c>
      <c r="D1059" s="26">
        <v>3.6999999999999997</v>
      </c>
      <c r="E1059" s="24">
        <f t="shared" si="64"/>
        <v>5</v>
      </c>
      <c r="F1059" s="24">
        <f>VLOOKUP(E1059,Q$5:R$11,2,FALSE)</f>
        <v>0.2</v>
      </c>
      <c r="G1059" s="24">
        <f t="shared" si="65"/>
        <v>3</v>
      </c>
      <c r="H1059" s="24">
        <f>IF(G1059&gt;G1058,H1058+C1059*F1059,C1059*F1059)</f>
        <v>1.6971570568455641</v>
      </c>
      <c r="I1059" s="24">
        <f t="shared" si="66"/>
        <v>0.60000000000000009</v>
      </c>
      <c r="J1059" s="24">
        <f t="shared" si="67"/>
        <v>0</v>
      </c>
      <c r="K1059" s="24">
        <f>IF(CurrentMtgRatesDataTable811[[#This Row],[WA CC]]&lt;&gt;0,D1058-CurrentMtgRatesDataTable811[[#This Row],[WA CC]],0)</f>
        <v>0</v>
      </c>
      <c r="L1059" s="24">
        <f>IF(CurrentMtgRatesDataTable811[[#This Row],[Servicing Spread]]&lt;=0,L1058,CurrentMtgRatesDataTable811[[#This Row],[Servicing Spread]])</f>
        <v>0.875728818326452</v>
      </c>
      <c r="M1059" s="24">
        <f>CurrentMtgRatesDataTable811[[#This Row],[SeriesNumValue]]+CurrentMtgRatesDataTable811[[#This Row],[Servicing Spread Non-Zero]]</f>
        <v>3.6808980695962021</v>
      </c>
    </row>
    <row r="1060" spans="2:13" x14ac:dyDescent="0.2">
      <c r="B1060" s="27" t="s">
        <v>1741</v>
      </c>
      <c r="C1060" s="28">
        <v>2.7456841844873301</v>
      </c>
      <c r="D1060" s="26">
        <v>3.6999999999999997</v>
      </c>
      <c r="E1060" s="24">
        <f t="shared" si="64"/>
        <v>6</v>
      </c>
      <c r="F1060" s="24">
        <f>VLOOKUP(E1060,Q$5:R$11,2,FALSE)</f>
        <v>0.2</v>
      </c>
      <c r="G1060" s="24">
        <f t="shared" si="65"/>
        <v>4</v>
      </c>
      <c r="H1060" s="24">
        <f>IF(G1060&gt;G1059,H1059+C1060*F1060,C1060*F1060)</f>
        <v>2.2462938937430303</v>
      </c>
      <c r="I1060" s="24">
        <f t="shared" si="66"/>
        <v>0.8</v>
      </c>
      <c r="J1060" s="24">
        <f t="shared" si="67"/>
        <v>0</v>
      </c>
      <c r="K1060" s="24">
        <f>IF(CurrentMtgRatesDataTable811[[#This Row],[WA CC]]&lt;&gt;0,D1059-CurrentMtgRatesDataTable811[[#This Row],[WA CC]],0)</f>
        <v>0</v>
      </c>
      <c r="L1060" s="24">
        <f>IF(CurrentMtgRatesDataTable811[[#This Row],[Servicing Spread]]&lt;=0,L1059,CurrentMtgRatesDataTable811[[#This Row],[Servicing Spread]])</f>
        <v>0.875728818326452</v>
      </c>
      <c r="M1060" s="24">
        <f>CurrentMtgRatesDataTable811[[#This Row],[SeriesNumValue]]+CurrentMtgRatesDataTable811[[#This Row],[Servicing Spread Non-Zero]]</f>
        <v>3.6214130028137821</v>
      </c>
    </row>
    <row r="1061" spans="2:13" x14ac:dyDescent="0.2">
      <c r="B1061" s="27" t="s">
        <v>1742</v>
      </c>
      <c r="C1061" s="28">
        <v>2.7262373083687401</v>
      </c>
      <c r="D1061" s="26">
        <v>3.6999999999999997</v>
      </c>
      <c r="E1061" s="24">
        <f t="shared" si="64"/>
        <v>7</v>
      </c>
      <c r="F1061" s="24">
        <f>VLOOKUP(E1061,Q$5:R$11,2,FALSE)</f>
        <v>0.2</v>
      </c>
      <c r="G1061" s="24">
        <f t="shared" si="65"/>
        <v>5</v>
      </c>
      <c r="H1061" s="24">
        <f>IF(G1061&gt;G1060,H1060+C1061*F1061,C1061*F1061)</f>
        <v>2.7915413554167783</v>
      </c>
      <c r="I1061" s="24">
        <f t="shared" si="66"/>
        <v>1</v>
      </c>
      <c r="J1061" s="24">
        <f t="shared" si="67"/>
        <v>2.7915413554167783</v>
      </c>
      <c r="K1061" s="24">
        <f>IF(CurrentMtgRatesDataTable811[[#This Row],[WA CC]]&lt;&gt;0,D1060-CurrentMtgRatesDataTable811[[#This Row],[WA CC]],0)</f>
        <v>0.90845864458322145</v>
      </c>
      <c r="L1061" s="24">
        <f>IF(CurrentMtgRatesDataTable811[[#This Row],[Servicing Spread]]&lt;=0,L1060,CurrentMtgRatesDataTable811[[#This Row],[Servicing Spread]])</f>
        <v>0.90845864458322145</v>
      </c>
      <c r="M1061" s="24">
        <f>CurrentMtgRatesDataTable811[[#This Row],[SeriesNumValue]]+CurrentMtgRatesDataTable811[[#This Row],[Servicing Spread Non-Zero]]</f>
        <v>3.6346959529519616</v>
      </c>
    </row>
    <row r="1062" spans="2:13" x14ac:dyDescent="0.2">
      <c r="B1062" s="27" t="s">
        <v>1743</v>
      </c>
      <c r="C1062" s="28">
        <v>2.7641939622688101</v>
      </c>
      <c r="D1062" s="26">
        <v>3.65</v>
      </c>
      <c r="E1062" s="24">
        <f t="shared" si="64"/>
        <v>1</v>
      </c>
      <c r="F1062" s="24">
        <f>VLOOKUP(E1062,Q$5:R$11,2,FALSE)</f>
        <v>0.2</v>
      </c>
      <c r="G1062" s="24">
        <f t="shared" si="65"/>
        <v>1</v>
      </c>
      <c r="H1062" s="24">
        <f>IF(G1062&gt;G1061,H1061+C1062*F1062,C1062*F1062)</f>
        <v>0.552838792453762</v>
      </c>
      <c r="I1062" s="24">
        <f t="shared" si="66"/>
        <v>0.2</v>
      </c>
      <c r="J1062" s="24">
        <f t="shared" si="67"/>
        <v>0</v>
      </c>
      <c r="K1062" s="24">
        <f>IF(CurrentMtgRatesDataTable811[[#This Row],[WA CC]]&lt;&gt;0,D1061-CurrentMtgRatesDataTable811[[#This Row],[WA CC]],0)</f>
        <v>0</v>
      </c>
      <c r="L1062" s="24">
        <f>IF(CurrentMtgRatesDataTable811[[#This Row],[Servicing Spread]]&lt;=0,L1061,CurrentMtgRatesDataTable811[[#This Row],[Servicing Spread]])</f>
        <v>0.90845864458322145</v>
      </c>
      <c r="M1062" s="24">
        <f>CurrentMtgRatesDataTable811[[#This Row],[SeriesNumValue]]+CurrentMtgRatesDataTable811[[#This Row],[Servicing Spread Non-Zero]]</f>
        <v>3.6726526068520315</v>
      </c>
    </row>
    <row r="1063" spans="2:13" x14ac:dyDescent="0.2">
      <c r="B1063" s="27" t="s">
        <v>1744</v>
      </c>
      <c r="C1063" s="28">
        <v>2.7365985708724101</v>
      </c>
      <c r="D1063" s="26">
        <v>3.65</v>
      </c>
      <c r="E1063" s="24">
        <f t="shared" si="64"/>
        <v>2</v>
      </c>
      <c r="F1063" s="24">
        <f>VLOOKUP(E1063,Q$5:R$11,2,FALSE)</f>
        <v>0.2</v>
      </c>
      <c r="G1063" s="24">
        <f t="shared" si="65"/>
        <v>2</v>
      </c>
      <c r="H1063" s="24">
        <f>IF(G1063&gt;G1062,H1062+C1063*F1063,C1063*F1063)</f>
        <v>1.100158506628244</v>
      </c>
      <c r="I1063" s="24">
        <f t="shared" si="66"/>
        <v>0.4</v>
      </c>
      <c r="J1063" s="24">
        <f t="shared" si="67"/>
        <v>0</v>
      </c>
      <c r="K1063" s="24">
        <f>IF(CurrentMtgRatesDataTable811[[#This Row],[WA CC]]&lt;&gt;0,D1062-CurrentMtgRatesDataTable811[[#This Row],[WA CC]],0)</f>
        <v>0</v>
      </c>
      <c r="L1063" s="24">
        <f>IF(CurrentMtgRatesDataTable811[[#This Row],[Servicing Spread]]&lt;=0,L1062,CurrentMtgRatesDataTable811[[#This Row],[Servicing Spread]])</f>
        <v>0.90845864458322145</v>
      </c>
      <c r="M1063" s="24">
        <f>CurrentMtgRatesDataTable811[[#This Row],[SeriesNumValue]]+CurrentMtgRatesDataTable811[[#This Row],[Servicing Spread Non-Zero]]</f>
        <v>3.6450572154556315</v>
      </c>
    </row>
    <row r="1064" spans="2:13" x14ac:dyDescent="0.2">
      <c r="B1064" s="27" t="s">
        <v>1745</v>
      </c>
      <c r="C1064" s="28">
        <v>2.7916349569467398</v>
      </c>
      <c r="D1064" s="26">
        <v>3.65</v>
      </c>
      <c r="E1064" s="24">
        <f t="shared" si="64"/>
        <v>5</v>
      </c>
      <c r="F1064" s="24">
        <f>VLOOKUP(E1064,Q$5:R$11,2,FALSE)</f>
        <v>0.2</v>
      </c>
      <c r="G1064" s="24">
        <f t="shared" si="65"/>
        <v>3</v>
      </c>
      <c r="H1064" s="24">
        <f>IF(G1064&gt;G1063,H1063+C1064*F1064,C1064*F1064)</f>
        <v>1.6584854980175918</v>
      </c>
      <c r="I1064" s="24">
        <f t="shared" si="66"/>
        <v>0.60000000000000009</v>
      </c>
      <c r="J1064" s="24">
        <f t="shared" si="67"/>
        <v>0</v>
      </c>
      <c r="K1064" s="24">
        <f>IF(CurrentMtgRatesDataTable811[[#This Row],[WA CC]]&lt;&gt;0,D1063-CurrentMtgRatesDataTable811[[#This Row],[WA CC]],0)</f>
        <v>0</v>
      </c>
      <c r="L1064" s="24">
        <f>IF(CurrentMtgRatesDataTable811[[#This Row],[Servicing Spread]]&lt;=0,L1063,CurrentMtgRatesDataTable811[[#This Row],[Servicing Spread]])</f>
        <v>0.90845864458322145</v>
      </c>
      <c r="M1064" s="24">
        <f>CurrentMtgRatesDataTable811[[#This Row],[SeriesNumValue]]+CurrentMtgRatesDataTable811[[#This Row],[Servicing Spread Non-Zero]]</f>
        <v>3.7000936015299613</v>
      </c>
    </row>
    <row r="1065" spans="2:13" x14ac:dyDescent="0.2">
      <c r="B1065" s="27" t="s">
        <v>1746</v>
      </c>
      <c r="C1065" s="28">
        <v>2.8341999400292899</v>
      </c>
      <c r="D1065" s="26">
        <v>3.65</v>
      </c>
      <c r="E1065" s="24">
        <f t="shared" si="64"/>
        <v>6</v>
      </c>
      <c r="F1065" s="24">
        <f>VLOOKUP(E1065,Q$5:R$11,2,FALSE)</f>
        <v>0.2</v>
      </c>
      <c r="G1065" s="24">
        <f t="shared" si="65"/>
        <v>4</v>
      </c>
      <c r="H1065" s="24">
        <f>IF(G1065&gt;G1064,H1064+C1065*F1065,C1065*F1065)</f>
        <v>2.2253254860234497</v>
      </c>
      <c r="I1065" s="24">
        <f t="shared" si="66"/>
        <v>0.8</v>
      </c>
      <c r="J1065" s="24">
        <f t="shared" si="67"/>
        <v>0</v>
      </c>
      <c r="K1065" s="24">
        <f>IF(CurrentMtgRatesDataTable811[[#This Row],[WA CC]]&lt;&gt;0,D1064-CurrentMtgRatesDataTable811[[#This Row],[WA CC]],0)</f>
        <v>0</v>
      </c>
      <c r="L1065" s="24">
        <f>IF(CurrentMtgRatesDataTable811[[#This Row],[Servicing Spread]]&lt;=0,L1064,CurrentMtgRatesDataTable811[[#This Row],[Servicing Spread]])</f>
        <v>0.90845864458322145</v>
      </c>
      <c r="M1065" s="24">
        <f>CurrentMtgRatesDataTable811[[#This Row],[SeriesNumValue]]+CurrentMtgRatesDataTable811[[#This Row],[Servicing Spread Non-Zero]]</f>
        <v>3.7426585846125113</v>
      </c>
    </row>
    <row r="1066" spans="2:13" x14ac:dyDescent="0.2">
      <c r="B1066" s="27" t="s">
        <v>1747</v>
      </c>
      <c r="C1066" s="28">
        <v>2.8241837227534399</v>
      </c>
      <c r="D1066" s="26">
        <v>3.65</v>
      </c>
      <c r="E1066" s="24">
        <f t="shared" si="64"/>
        <v>7</v>
      </c>
      <c r="F1066" s="24">
        <f>VLOOKUP(E1066,Q$5:R$11,2,FALSE)</f>
        <v>0.2</v>
      </c>
      <c r="G1066" s="24">
        <f t="shared" si="65"/>
        <v>5</v>
      </c>
      <c r="H1066" s="24">
        <f>IF(G1066&gt;G1065,H1065+C1066*F1066,C1066*F1066)</f>
        <v>2.7901622305741376</v>
      </c>
      <c r="I1066" s="24">
        <f t="shared" si="66"/>
        <v>1</v>
      </c>
      <c r="J1066" s="24">
        <f t="shared" si="67"/>
        <v>2.7901622305741376</v>
      </c>
      <c r="K1066" s="24">
        <f>IF(CurrentMtgRatesDataTable811[[#This Row],[WA CC]]&lt;&gt;0,D1065-CurrentMtgRatesDataTable811[[#This Row],[WA CC]],0)</f>
        <v>0.85983776942586232</v>
      </c>
      <c r="L1066" s="24">
        <f>IF(CurrentMtgRatesDataTable811[[#This Row],[Servicing Spread]]&lt;=0,L1065,CurrentMtgRatesDataTable811[[#This Row],[Servicing Spread]])</f>
        <v>0.85983776942586232</v>
      </c>
      <c r="M1066" s="24">
        <f>CurrentMtgRatesDataTable811[[#This Row],[SeriesNumValue]]+CurrentMtgRatesDataTable811[[#This Row],[Servicing Spread Non-Zero]]</f>
        <v>3.6840214921793022</v>
      </c>
    </row>
    <row r="1067" spans="2:13" x14ac:dyDescent="0.2">
      <c r="B1067" s="27" t="s">
        <v>1748</v>
      </c>
      <c r="C1067" s="28">
        <v>2.81556157497667</v>
      </c>
      <c r="D1067" s="26">
        <v>3.76</v>
      </c>
      <c r="E1067" s="24">
        <f t="shared" si="64"/>
        <v>1</v>
      </c>
      <c r="F1067" s="24">
        <f>VLOOKUP(E1067,Q$5:R$11,2,FALSE)</f>
        <v>0.2</v>
      </c>
      <c r="G1067" s="24">
        <f t="shared" si="65"/>
        <v>1</v>
      </c>
      <c r="H1067" s="24">
        <f>IF(G1067&gt;G1066,H1066+C1067*F1067,C1067*F1067)</f>
        <v>0.56311231499533398</v>
      </c>
      <c r="I1067" s="24">
        <f t="shared" si="66"/>
        <v>0.2</v>
      </c>
      <c r="J1067" s="24">
        <f t="shared" si="67"/>
        <v>0</v>
      </c>
      <c r="K1067" s="24">
        <f>IF(CurrentMtgRatesDataTable811[[#This Row],[WA CC]]&lt;&gt;0,D1066-CurrentMtgRatesDataTable811[[#This Row],[WA CC]],0)</f>
        <v>0</v>
      </c>
      <c r="L1067" s="24">
        <f>IF(CurrentMtgRatesDataTable811[[#This Row],[Servicing Spread]]&lt;=0,L1066,CurrentMtgRatesDataTable811[[#This Row],[Servicing Spread]])</f>
        <v>0.85983776942586232</v>
      </c>
      <c r="M1067" s="24">
        <f>CurrentMtgRatesDataTable811[[#This Row],[SeriesNumValue]]+CurrentMtgRatesDataTable811[[#This Row],[Servicing Spread Non-Zero]]</f>
        <v>3.6753993444025324</v>
      </c>
    </row>
    <row r="1068" spans="2:13" x14ac:dyDescent="0.2">
      <c r="B1068" s="27" t="s">
        <v>1749</v>
      </c>
      <c r="C1068" s="28">
        <v>2.9303170109018999</v>
      </c>
      <c r="D1068" s="26">
        <v>3.76</v>
      </c>
      <c r="E1068" s="24">
        <f t="shared" si="64"/>
        <v>2</v>
      </c>
      <c r="F1068" s="24">
        <f>VLOOKUP(E1068,Q$5:R$11,2,FALSE)</f>
        <v>0.2</v>
      </c>
      <c r="G1068" s="24">
        <f t="shared" si="65"/>
        <v>2</v>
      </c>
      <c r="H1068" s="24">
        <f>IF(G1068&gt;G1067,H1067+C1068*F1068,C1068*F1068)</f>
        <v>1.149175717175714</v>
      </c>
      <c r="I1068" s="24">
        <f t="shared" si="66"/>
        <v>0.4</v>
      </c>
      <c r="J1068" s="24">
        <f t="shared" si="67"/>
        <v>0</v>
      </c>
      <c r="K1068" s="24">
        <f>IF(CurrentMtgRatesDataTable811[[#This Row],[WA CC]]&lt;&gt;0,D1067-CurrentMtgRatesDataTable811[[#This Row],[WA CC]],0)</f>
        <v>0</v>
      </c>
      <c r="L1068" s="24">
        <f>IF(CurrentMtgRatesDataTable811[[#This Row],[Servicing Spread]]&lt;=0,L1067,CurrentMtgRatesDataTable811[[#This Row],[Servicing Spread]])</f>
        <v>0.85983776942586232</v>
      </c>
      <c r="M1068" s="24">
        <f>CurrentMtgRatesDataTable811[[#This Row],[SeriesNumValue]]+CurrentMtgRatesDataTable811[[#This Row],[Servicing Spread Non-Zero]]</f>
        <v>3.7901547803277622</v>
      </c>
    </row>
    <row r="1069" spans="2:13" x14ac:dyDescent="0.2">
      <c r="B1069" s="27" t="s">
        <v>1750</v>
      </c>
      <c r="C1069" s="28">
        <v>2.90222752352993</v>
      </c>
      <c r="D1069" s="26">
        <v>3.76</v>
      </c>
      <c r="E1069" s="24">
        <f t="shared" si="64"/>
        <v>5</v>
      </c>
      <c r="F1069" s="24">
        <f>VLOOKUP(E1069,Q$5:R$11,2,FALSE)</f>
        <v>0.2</v>
      </c>
      <c r="G1069" s="24">
        <f t="shared" si="65"/>
        <v>3</v>
      </c>
      <c r="H1069" s="24">
        <f>IF(G1069&gt;G1068,H1068+C1069*F1069,C1069*F1069)</f>
        <v>1.7296212218817</v>
      </c>
      <c r="I1069" s="24">
        <f t="shared" si="66"/>
        <v>0.60000000000000009</v>
      </c>
      <c r="J1069" s="24">
        <f t="shared" si="67"/>
        <v>0</v>
      </c>
      <c r="K1069" s="24">
        <f>IF(CurrentMtgRatesDataTable811[[#This Row],[WA CC]]&lt;&gt;0,D1068-CurrentMtgRatesDataTable811[[#This Row],[WA CC]],0)</f>
        <v>0</v>
      </c>
      <c r="L1069" s="24">
        <f>IF(CurrentMtgRatesDataTable811[[#This Row],[Servicing Spread]]&lt;=0,L1068,CurrentMtgRatesDataTable811[[#This Row],[Servicing Spread]])</f>
        <v>0.85983776942586232</v>
      </c>
      <c r="M1069" s="24">
        <f>CurrentMtgRatesDataTable811[[#This Row],[SeriesNumValue]]+CurrentMtgRatesDataTable811[[#This Row],[Servicing Spread Non-Zero]]</f>
        <v>3.7620652929557923</v>
      </c>
    </row>
    <row r="1070" spans="2:13" x14ac:dyDescent="0.2">
      <c r="B1070" s="27" t="s">
        <v>1751</v>
      </c>
      <c r="C1070" s="28">
        <v>2.84635033680676</v>
      </c>
      <c r="D1070" s="26">
        <v>3.76</v>
      </c>
      <c r="E1070" s="24">
        <f t="shared" si="64"/>
        <v>6</v>
      </c>
      <c r="F1070" s="24">
        <f>VLOOKUP(E1070,Q$5:R$11,2,FALSE)</f>
        <v>0.2</v>
      </c>
      <c r="G1070" s="24">
        <f t="shared" si="65"/>
        <v>4</v>
      </c>
      <c r="H1070" s="24">
        <f>IF(G1070&gt;G1069,H1069+C1070*F1070,C1070*F1070)</f>
        <v>2.298891289243052</v>
      </c>
      <c r="I1070" s="24">
        <f t="shared" si="66"/>
        <v>0.8</v>
      </c>
      <c r="J1070" s="24">
        <f t="shared" si="67"/>
        <v>0</v>
      </c>
      <c r="K1070" s="24">
        <f>IF(CurrentMtgRatesDataTable811[[#This Row],[WA CC]]&lt;&gt;0,D1069-CurrentMtgRatesDataTable811[[#This Row],[WA CC]],0)</f>
        <v>0</v>
      </c>
      <c r="L1070" s="24">
        <f>IF(CurrentMtgRatesDataTable811[[#This Row],[Servicing Spread]]&lt;=0,L1069,CurrentMtgRatesDataTable811[[#This Row],[Servicing Spread]])</f>
        <v>0.85983776942586232</v>
      </c>
      <c r="M1070" s="24">
        <f>CurrentMtgRatesDataTable811[[#This Row],[SeriesNumValue]]+CurrentMtgRatesDataTable811[[#This Row],[Servicing Spread Non-Zero]]</f>
        <v>3.7061881062326223</v>
      </c>
    </row>
    <row r="1071" spans="2:13" x14ac:dyDescent="0.2">
      <c r="B1071" s="27" t="s">
        <v>1752</v>
      </c>
      <c r="C1071" s="28">
        <v>2.8278353033181198</v>
      </c>
      <c r="D1071" s="26">
        <v>3.76</v>
      </c>
      <c r="E1071" s="24">
        <f t="shared" si="64"/>
        <v>7</v>
      </c>
      <c r="F1071" s="24">
        <f>VLOOKUP(E1071,Q$5:R$11,2,FALSE)</f>
        <v>0.2</v>
      </c>
      <c r="G1071" s="24">
        <f t="shared" si="65"/>
        <v>5</v>
      </c>
      <c r="H1071" s="24">
        <f>IF(G1071&gt;G1070,H1070+C1071*F1071,C1071*F1071)</f>
        <v>2.864458349906676</v>
      </c>
      <c r="I1071" s="24">
        <f t="shared" si="66"/>
        <v>1</v>
      </c>
      <c r="J1071" s="24">
        <f t="shared" si="67"/>
        <v>2.864458349906676</v>
      </c>
      <c r="K1071" s="24">
        <f>IF(CurrentMtgRatesDataTable811[[#This Row],[WA CC]]&lt;&gt;0,D1070-CurrentMtgRatesDataTable811[[#This Row],[WA CC]],0)</f>
        <v>0.89554165009332376</v>
      </c>
      <c r="L1071" s="24">
        <f>IF(CurrentMtgRatesDataTable811[[#This Row],[Servicing Spread]]&lt;=0,L1070,CurrentMtgRatesDataTable811[[#This Row],[Servicing Spread]])</f>
        <v>0.89554165009332376</v>
      </c>
      <c r="M1071" s="24">
        <f>CurrentMtgRatesDataTable811[[#This Row],[SeriesNumValue]]+CurrentMtgRatesDataTable811[[#This Row],[Servicing Spread Non-Zero]]</f>
        <v>3.7233769534114436</v>
      </c>
    </row>
    <row r="1072" spans="2:13" x14ac:dyDescent="0.2">
      <c r="B1072" s="27" t="s">
        <v>1753</v>
      </c>
      <c r="C1072" s="28">
        <v>2.8138191102539798</v>
      </c>
      <c r="D1072" s="26">
        <v>3.6799999999999997</v>
      </c>
      <c r="E1072" s="24">
        <f t="shared" si="64"/>
        <v>1</v>
      </c>
      <c r="F1072" s="24">
        <f>VLOOKUP(E1072,Q$5:R$11,2,FALSE)</f>
        <v>0.2</v>
      </c>
      <c r="G1072" s="24">
        <f t="shared" si="65"/>
        <v>1</v>
      </c>
      <c r="H1072" s="24">
        <f>IF(G1072&gt;G1071,H1071+C1072*F1072,C1072*F1072)</f>
        <v>0.562763822050796</v>
      </c>
      <c r="I1072" s="24">
        <f t="shared" si="66"/>
        <v>0.2</v>
      </c>
      <c r="J1072" s="24">
        <f t="shared" si="67"/>
        <v>0</v>
      </c>
      <c r="K1072" s="24">
        <f>IF(CurrentMtgRatesDataTable811[[#This Row],[WA CC]]&lt;&gt;0,D1071-CurrentMtgRatesDataTable811[[#This Row],[WA CC]],0)</f>
        <v>0</v>
      </c>
      <c r="L1072" s="24">
        <f>IF(CurrentMtgRatesDataTable811[[#This Row],[Servicing Spread]]&lt;=0,L1071,CurrentMtgRatesDataTable811[[#This Row],[Servicing Spread]])</f>
        <v>0.89554165009332376</v>
      </c>
      <c r="M1072" s="24">
        <f>CurrentMtgRatesDataTable811[[#This Row],[SeriesNumValue]]+CurrentMtgRatesDataTable811[[#This Row],[Servicing Spread Non-Zero]]</f>
        <v>3.7093607603473036</v>
      </c>
    </row>
    <row r="1073" spans="2:13" x14ac:dyDescent="0.2">
      <c r="B1073" s="27" t="s">
        <v>1754</v>
      </c>
      <c r="C1073" s="28">
        <v>2.8315057491425</v>
      </c>
      <c r="D1073" s="26">
        <v>3.6799999999999997</v>
      </c>
      <c r="E1073" s="24">
        <f t="shared" si="64"/>
        <v>2</v>
      </c>
      <c r="F1073" s="24">
        <f>VLOOKUP(E1073,Q$5:R$11,2,FALSE)</f>
        <v>0.2</v>
      </c>
      <c r="G1073" s="24">
        <f t="shared" si="65"/>
        <v>2</v>
      </c>
      <c r="H1073" s="24">
        <f>IF(G1073&gt;G1072,H1072+C1073*F1073,C1073*F1073)</f>
        <v>1.129064971879296</v>
      </c>
      <c r="I1073" s="24">
        <f t="shared" si="66"/>
        <v>0.4</v>
      </c>
      <c r="J1073" s="24">
        <f t="shared" si="67"/>
        <v>0</v>
      </c>
      <c r="K1073" s="24">
        <f>IF(CurrentMtgRatesDataTable811[[#This Row],[WA CC]]&lt;&gt;0,D1072-CurrentMtgRatesDataTable811[[#This Row],[WA CC]],0)</f>
        <v>0</v>
      </c>
      <c r="L1073" s="24">
        <f>IF(CurrentMtgRatesDataTable811[[#This Row],[Servicing Spread]]&lt;=0,L1072,CurrentMtgRatesDataTable811[[#This Row],[Servicing Spread]])</f>
        <v>0.89554165009332376</v>
      </c>
      <c r="M1073" s="24">
        <f>CurrentMtgRatesDataTable811[[#This Row],[SeriesNumValue]]+CurrentMtgRatesDataTable811[[#This Row],[Servicing Spread Non-Zero]]</f>
        <v>3.7270473992358237</v>
      </c>
    </row>
    <row r="1074" spans="2:13" x14ac:dyDescent="0.2">
      <c r="B1074" s="27" t="s">
        <v>1755</v>
      </c>
      <c r="C1074" s="28">
        <v>2.8241768518279202</v>
      </c>
      <c r="D1074" s="26">
        <v>3.6799999999999997</v>
      </c>
      <c r="E1074" s="24">
        <f t="shared" si="64"/>
        <v>5</v>
      </c>
      <c r="F1074" s="24">
        <f>VLOOKUP(E1074,Q$5:R$11,2,FALSE)</f>
        <v>0.2</v>
      </c>
      <c r="G1074" s="24">
        <f t="shared" si="65"/>
        <v>3</v>
      </c>
      <c r="H1074" s="24">
        <f>IF(G1074&gt;G1073,H1073+C1074*F1074,C1074*F1074)</f>
        <v>1.6939003422448802</v>
      </c>
      <c r="I1074" s="24">
        <f t="shared" si="66"/>
        <v>0.60000000000000009</v>
      </c>
      <c r="J1074" s="24">
        <f t="shared" si="67"/>
        <v>0</v>
      </c>
      <c r="K1074" s="24">
        <f>IF(CurrentMtgRatesDataTable811[[#This Row],[WA CC]]&lt;&gt;0,D1073-CurrentMtgRatesDataTable811[[#This Row],[WA CC]],0)</f>
        <v>0</v>
      </c>
      <c r="L1074" s="24">
        <f>IF(CurrentMtgRatesDataTable811[[#This Row],[Servicing Spread]]&lt;=0,L1073,CurrentMtgRatesDataTable811[[#This Row],[Servicing Spread]])</f>
        <v>0.89554165009332376</v>
      </c>
      <c r="M1074" s="24">
        <f>CurrentMtgRatesDataTable811[[#This Row],[SeriesNumValue]]+CurrentMtgRatesDataTable811[[#This Row],[Servicing Spread Non-Zero]]</f>
        <v>3.719718501921244</v>
      </c>
    </row>
    <row r="1075" spans="2:13" x14ac:dyDescent="0.2">
      <c r="B1075" s="27" t="s">
        <v>1756</v>
      </c>
      <c r="C1075" s="28">
        <v>2.79584100930466</v>
      </c>
      <c r="D1075" s="26">
        <v>3.6799999999999997</v>
      </c>
      <c r="E1075" s="24">
        <f t="shared" si="64"/>
        <v>6</v>
      </c>
      <c r="F1075" s="24">
        <f>VLOOKUP(E1075,Q$5:R$11,2,FALSE)</f>
        <v>0.2</v>
      </c>
      <c r="G1075" s="24">
        <f t="shared" si="65"/>
        <v>4</v>
      </c>
      <c r="H1075" s="24">
        <f>IF(G1075&gt;G1074,H1074+C1075*F1075,C1075*F1075)</f>
        <v>2.2530685441058123</v>
      </c>
      <c r="I1075" s="24">
        <f t="shared" si="66"/>
        <v>0.8</v>
      </c>
      <c r="J1075" s="24">
        <f t="shared" si="67"/>
        <v>0</v>
      </c>
      <c r="K1075" s="24">
        <f>IF(CurrentMtgRatesDataTable811[[#This Row],[WA CC]]&lt;&gt;0,D1074-CurrentMtgRatesDataTable811[[#This Row],[WA CC]],0)</f>
        <v>0</v>
      </c>
      <c r="L1075" s="24">
        <f>IF(CurrentMtgRatesDataTable811[[#This Row],[Servicing Spread]]&lt;=0,L1074,CurrentMtgRatesDataTable811[[#This Row],[Servicing Spread]])</f>
        <v>0.89554165009332376</v>
      </c>
      <c r="M1075" s="24">
        <f>CurrentMtgRatesDataTable811[[#This Row],[SeriesNumValue]]+CurrentMtgRatesDataTable811[[#This Row],[Servicing Spread Non-Zero]]</f>
        <v>3.6913826593979837</v>
      </c>
    </row>
    <row r="1076" spans="2:13" x14ac:dyDescent="0.2">
      <c r="B1076" s="27" t="s">
        <v>1757</v>
      </c>
      <c r="C1076" s="28">
        <v>2.6928489030954199</v>
      </c>
      <c r="D1076" s="26">
        <v>3.6799999999999997</v>
      </c>
      <c r="E1076" s="24">
        <f t="shared" si="64"/>
        <v>7</v>
      </c>
      <c r="F1076" s="24">
        <f>VLOOKUP(E1076,Q$5:R$11,2,FALSE)</f>
        <v>0.2</v>
      </c>
      <c r="G1076" s="24">
        <f t="shared" si="65"/>
        <v>5</v>
      </c>
      <c r="H1076" s="24">
        <f>IF(G1076&gt;G1075,H1075+C1076*F1076,C1076*F1076)</f>
        <v>2.7916383247248961</v>
      </c>
      <c r="I1076" s="24">
        <f t="shared" si="66"/>
        <v>1</v>
      </c>
      <c r="J1076" s="24">
        <f t="shared" si="67"/>
        <v>2.7916383247248961</v>
      </c>
      <c r="K1076" s="24">
        <f>IF(CurrentMtgRatesDataTable811[[#This Row],[WA CC]]&lt;&gt;0,D1075-CurrentMtgRatesDataTable811[[#This Row],[WA CC]],0)</f>
        <v>0.88836167527510357</v>
      </c>
      <c r="L1076" s="24">
        <f>IF(CurrentMtgRatesDataTable811[[#This Row],[Servicing Spread]]&lt;=0,L1075,CurrentMtgRatesDataTable811[[#This Row],[Servicing Spread]])</f>
        <v>0.88836167527510357</v>
      </c>
      <c r="M1076" s="24">
        <f>CurrentMtgRatesDataTable811[[#This Row],[SeriesNumValue]]+CurrentMtgRatesDataTable811[[#This Row],[Servicing Spread Non-Zero]]</f>
        <v>3.5812105783705235</v>
      </c>
    </row>
    <row r="1077" spans="2:13" x14ac:dyDescent="0.2">
      <c r="B1077" s="27" t="s">
        <v>1758</v>
      </c>
      <c r="C1077" s="28">
        <v>2.70955656376128</v>
      </c>
      <c r="D1077" s="26">
        <v>3.59</v>
      </c>
      <c r="E1077" s="24">
        <f t="shared" si="64"/>
        <v>1</v>
      </c>
      <c r="F1077" s="24">
        <f>VLOOKUP(E1077,Q$5:R$11,2,FALSE)</f>
        <v>0.2</v>
      </c>
      <c r="G1077" s="24">
        <f t="shared" si="65"/>
        <v>1</v>
      </c>
      <c r="H1077" s="24">
        <f>IF(G1077&gt;G1076,H1076+C1077*F1077,C1077*F1077)</f>
        <v>0.54191131275225601</v>
      </c>
      <c r="I1077" s="24">
        <f t="shared" si="66"/>
        <v>0.2</v>
      </c>
      <c r="J1077" s="24">
        <f t="shared" si="67"/>
        <v>0</v>
      </c>
      <c r="K1077" s="24">
        <f>IF(CurrentMtgRatesDataTable811[[#This Row],[WA CC]]&lt;&gt;0,D1076-CurrentMtgRatesDataTable811[[#This Row],[WA CC]],0)</f>
        <v>0</v>
      </c>
      <c r="L1077" s="24">
        <f>IF(CurrentMtgRatesDataTable811[[#This Row],[Servicing Spread]]&lt;=0,L1076,CurrentMtgRatesDataTable811[[#This Row],[Servicing Spread]])</f>
        <v>0.88836167527510357</v>
      </c>
      <c r="M1077" s="24">
        <f>CurrentMtgRatesDataTable811[[#This Row],[SeriesNumValue]]+CurrentMtgRatesDataTable811[[#This Row],[Servicing Spread Non-Zero]]</f>
        <v>3.5979182390363835</v>
      </c>
    </row>
    <row r="1078" spans="2:13" x14ac:dyDescent="0.2">
      <c r="B1078" s="27" t="s">
        <v>1759</v>
      </c>
      <c r="C1078" s="28">
        <v>2.6717729385436999</v>
      </c>
      <c r="D1078" s="26">
        <v>3.59</v>
      </c>
      <c r="E1078" s="24">
        <f t="shared" si="64"/>
        <v>2</v>
      </c>
      <c r="F1078" s="24">
        <f>VLOOKUP(E1078,Q$5:R$11,2,FALSE)</f>
        <v>0.2</v>
      </c>
      <c r="G1078" s="24">
        <f t="shared" si="65"/>
        <v>2</v>
      </c>
      <c r="H1078" s="24">
        <f>IF(G1078&gt;G1077,H1077+C1078*F1078,C1078*F1078)</f>
        <v>1.076265900460996</v>
      </c>
      <c r="I1078" s="24">
        <f t="shared" si="66"/>
        <v>0.4</v>
      </c>
      <c r="J1078" s="24">
        <f t="shared" si="67"/>
        <v>0</v>
      </c>
      <c r="K1078" s="24">
        <f>IF(CurrentMtgRatesDataTable811[[#This Row],[WA CC]]&lt;&gt;0,D1077-CurrentMtgRatesDataTable811[[#This Row],[WA CC]],0)</f>
        <v>0</v>
      </c>
      <c r="L1078" s="24">
        <f>IF(CurrentMtgRatesDataTable811[[#This Row],[Servicing Spread]]&lt;=0,L1077,CurrentMtgRatesDataTable811[[#This Row],[Servicing Spread]])</f>
        <v>0.88836167527510357</v>
      </c>
      <c r="M1078" s="24">
        <f>CurrentMtgRatesDataTable811[[#This Row],[SeriesNumValue]]+CurrentMtgRatesDataTable811[[#This Row],[Servicing Spread Non-Zero]]</f>
        <v>3.5601346138188035</v>
      </c>
    </row>
    <row r="1079" spans="2:13" x14ac:dyDescent="0.2">
      <c r="B1079" s="27" t="s">
        <v>1760</v>
      </c>
      <c r="C1079" s="28">
        <v>2.6575094779916602</v>
      </c>
      <c r="D1079" s="26">
        <v>3.59</v>
      </c>
      <c r="E1079" s="24">
        <f t="shared" si="64"/>
        <v>5</v>
      </c>
      <c r="F1079" s="24">
        <f>VLOOKUP(E1079,Q$5:R$11,2,FALSE)</f>
        <v>0.2</v>
      </c>
      <c r="G1079" s="24">
        <f t="shared" si="65"/>
        <v>3</v>
      </c>
      <c r="H1079" s="24">
        <f>IF(G1079&gt;G1078,H1078+C1079*F1079,C1079*F1079)</f>
        <v>1.6077677960593282</v>
      </c>
      <c r="I1079" s="24">
        <f t="shared" si="66"/>
        <v>0.60000000000000009</v>
      </c>
      <c r="J1079" s="24">
        <f t="shared" si="67"/>
        <v>0</v>
      </c>
      <c r="K1079" s="24">
        <f>IF(CurrentMtgRatesDataTable811[[#This Row],[WA CC]]&lt;&gt;0,D1078-CurrentMtgRatesDataTable811[[#This Row],[WA CC]],0)</f>
        <v>0</v>
      </c>
      <c r="L1079" s="24">
        <f>IF(CurrentMtgRatesDataTable811[[#This Row],[Servicing Spread]]&lt;=0,L1078,CurrentMtgRatesDataTable811[[#This Row],[Servicing Spread]])</f>
        <v>0.88836167527510357</v>
      </c>
      <c r="M1079" s="24">
        <f>CurrentMtgRatesDataTable811[[#This Row],[SeriesNumValue]]+CurrentMtgRatesDataTable811[[#This Row],[Servicing Spread Non-Zero]]</f>
        <v>3.5458711532667637</v>
      </c>
    </row>
    <row r="1080" spans="2:13" x14ac:dyDescent="0.2">
      <c r="B1080" s="27" t="s">
        <v>1761</v>
      </c>
      <c r="C1080" s="28">
        <v>2.60984671554638</v>
      </c>
      <c r="D1080" s="26">
        <v>3.59</v>
      </c>
      <c r="E1080" s="24">
        <f t="shared" si="64"/>
        <v>6</v>
      </c>
      <c r="F1080" s="24">
        <f>VLOOKUP(E1080,Q$5:R$11,2,FALSE)</f>
        <v>0.2</v>
      </c>
      <c r="G1080" s="24">
        <f t="shared" si="65"/>
        <v>4</v>
      </c>
      <c r="H1080" s="24">
        <f>IF(G1080&gt;G1079,H1079+C1080*F1080,C1080*F1080)</f>
        <v>2.1297371391686042</v>
      </c>
      <c r="I1080" s="24">
        <f t="shared" si="66"/>
        <v>0.8</v>
      </c>
      <c r="J1080" s="24">
        <f t="shared" si="67"/>
        <v>0</v>
      </c>
      <c r="K1080" s="24">
        <f>IF(CurrentMtgRatesDataTable811[[#This Row],[WA CC]]&lt;&gt;0,D1079-CurrentMtgRatesDataTable811[[#This Row],[WA CC]],0)</f>
        <v>0</v>
      </c>
      <c r="L1080" s="24">
        <f>IF(CurrentMtgRatesDataTable811[[#This Row],[Servicing Spread]]&lt;=0,L1079,CurrentMtgRatesDataTable811[[#This Row],[Servicing Spread]])</f>
        <v>0.88836167527510357</v>
      </c>
      <c r="M1080" s="24">
        <f>CurrentMtgRatesDataTable811[[#This Row],[SeriesNumValue]]+CurrentMtgRatesDataTable811[[#This Row],[Servicing Spread Non-Zero]]</f>
        <v>3.4982083908214836</v>
      </c>
    </row>
    <row r="1081" spans="2:13" x14ac:dyDescent="0.2">
      <c r="B1081" s="27" t="s">
        <v>1762</v>
      </c>
      <c r="C1081" s="28">
        <v>2.6641693960453199</v>
      </c>
      <c r="D1081" s="26">
        <v>3.59</v>
      </c>
      <c r="E1081" s="24">
        <f t="shared" si="64"/>
        <v>7</v>
      </c>
      <c r="F1081" s="24">
        <f>VLOOKUP(E1081,Q$5:R$11,2,FALSE)</f>
        <v>0.2</v>
      </c>
      <c r="G1081" s="24">
        <f t="shared" si="65"/>
        <v>5</v>
      </c>
      <c r="H1081" s="24">
        <f>IF(G1081&gt;G1080,H1080+C1081*F1081,C1081*F1081)</f>
        <v>2.6625710183776681</v>
      </c>
      <c r="I1081" s="24">
        <f t="shared" si="66"/>
        <v>1</v>
      </c>
      <c r="J1081" s="24">
        <f t="shared" si="67"/>
        <v>2.6625710183776681</v>
      </c>
      <c r="K1081" s="24">
        <f>IF(CurrentMtgRatesDataTable811[[#This Row],[WA CC]]&lt;&gt;0,D1080-CurrentMtgRatesDataTable811[[#This Row],[WA CC]],0)</f>
        <v>0.92742898162233178</v>
      </c>
      <c r="L1081" s="24">
        <f>IF(CurrentMtgRatesDataTable811[[#This Row],[Servicing Spread]]&lt;=0,L1080,CurrentMtgRatesDataTable811[[#This Row],[Servicing Spread]])</f>
        <v>0.92742898162233178</v>
      </c>
      <c r="M1081" s="24">
        <f>CurrentMtgRatesDataTable811[[#This Row],[SeriesNumValue]]+CurrentMtgRatesDataTable811[[#This Row],[Servicing Spread Non-Zero]]</f>
        <v>3.5915983776676517</v>
      </c>
    </row>
    <row r="1082" spans="2:13" x14ac:dyDescent="0.2">
      <c r="B1082" s="27" t="s">
        <v>1763</v>
      </c>
      <c r="C1082" s="28">
        <v>2.7519990602785001</v>
      </c>
      <c r="D1082" s="26">
        <v>3.6</v>
      </c>
      <c r="E1082" s="24">
        <f t="shared" si="64"/>
        <v>1</v>
      </c>
      <c r="F1082" s="24">
        <f>VLOOKUP(E1082,Q$5:R$11,2,FALSE)</f>
        <v>0.2</v>
      </c>
      <c r="G1082" s="24">
        <f t="shared" si="65"/>
        <v>1</v>
      </c>
      <c r="H1082" s="24">
        <f>IF(G1082&gt;G1081,H1081+C1082*F1082,C1082*F1082)</f>
        <v>0.55039981205569999</v>
      </c>
      <c r="I1082" s="24">
        <f t="shared" si="66"/>
        <v>0.2</v>
      </c>
      <c r="J1082" s="24">
        <f t="shared" si="67"/>
        <v>0</v>
      </c>
      <c r="K1082" s="24">
        <f>IF(CurrentMtgRatesDataTable811[[#This Row],[WA CC]]&lt;&gt;0,D1081-CurrentMtgRatesDataTable811[[#This Row],[WA CC]],0)</f>
        <v>0</v>
      </c>
      <c r="L1082" s="24">
        <f>IF(CurrentMtgRatesDataTable811[[#This Row],[Servicing Spread]]&lt;=0,L1081,CurrentMtgRatesDataTable811[[#This Row],[Servicing Spread]])</f>
        <v>0.92742898162233178</v>
      </c>
      <c r="M1082" s="24">
        <f>CurrentMtgRatesDataTable811[[#This Row],[SeriesNumValue]]+CurrentMtgRatesDataTable811[[#This Row],[Servicing Spread Non-Zero]]</f>
        <v>3.6794280419008318</v>
      </c>
    </row>
    <row r="1083" spans="2:13" x14ac:dyDescent="0.2">
      <c r="B1083" s="27" t="s">
        <v>1764</v>
      </c>
      <c r="C1083" s="28">
        <v>2.6934832462996599</v>
      </c>
      <c r="D1083" s="26">
        <v>3.6</v>
      </c>
      <c r="E1083" s="24">
        <f t="shared" si="64"/>
        <v>2</v>
      </c>
      <c r="F1083" s="24">
        <f>VLOOKUP(E1083,Q$5:R$11,2,FALSE)</f>
        <v>0.2</v>
      </c>
      <c r="G1083" s="24">
        <f t="shared" si="65"/>
        <v>2</v>
      </c>
      <c r="H1083" s="24">
        <f>IF(G1083&gt;G1082,H1082+C1083*F1083,C1083*F1083)</f>
        <v>1.089096461315632</v>
      </c>
      <c r="I1083" s="24">
        <f t="shared" si="66"/>
        <v>0.4</v>
      </c>
      <c r="J1083" s="24">
        <f t="shared" si="67"/>
        <v>0</v>
      </c>
      <c r="K1083" s="24">
        <f>IF(CurrentMtgRatesDataTable811[[#This Row],[WA CC]]&lt;&gt;0,D1082-CurrentMtgRatesDataTable811[[#This Row],[WA CC]],0)</f>
        <v>0</v>
      </c>
      <c r="L1083" s="24">
        <f>IF(CurrentMtgRatesDataTable811[[#This Row],[Servicing Spread]]&lt;=0,L1082,CurrentMtgRatesDataTable811[[#This Row],[Servicing Spread]])</f>
        <v>0.92742898162233178</v>
      </c>
      <c r="M1083" s="24">
        <f>CurrentMtgRatesDataTable811[[#This Row],[SeriesNumValue]]+CurrentMtgRatesDataTable811[[#This Row],[Servicing Spread Non-Zero]]</f>
        <v>3.6209122279219916</v>
      </c>
    </row>
    <row r="1084" spans="2:13" x14ac:dyDescent="0.2">
      <c r="B1084" s="27" t="s">
        <v>1765</v>
      </c>
      <c r="C1084" s="28">
        <v>2.6906214304432701</v>
      </c>
      <c r="D1084" s="26">
        <v>3.6</v>
      </c>
      <c r="E1084" s="24">
        <f t="shared" si="64"/>
        <v>5</v>
      </c>
      <c r="F1084" s="24">
        <f>VLOOKUP(E1084,Q$5:R$11,2,FALSE)</f>
        <v>0.2</v>
      </c>
      <c r="G1084" s="24">
        <f t="shared" si="65"/>
        <v>3</v>
      </c>
      <c r="H1084" s="24">
        <f>IF(G1084&gt;G1083,H1083+C1084*F1084,C1084*F1084)</f>
        <v>1.6272207474042859</v>
      </c>
      <c r="I1084" s="24">
        <f t="shared" si="66"/>
        <v>0.60000000000000009</v>
      </c>
      <c r="J1084" s="24">
        <f t="shared" si="67"/>
        <v>0</v>
      </c>
      <c r="K1084" s="24">
        <f>IF(CurrentMtgRatesDataTable811[[#This Row],[WA CC]]&lt;&gt;0,D1083-CurrentMtgRatesDataTable811[[#This Row],[WA CC]],0)</f>
        <v>0</v>
      </c>
      <c r="L1084" s="24">
        <f>IF(CurrentMtgRatesDataTable811[[#This Row],[Servicing Spread]]&lt;=0,L1083,CurrentMtgRatesDataTable811[[#This Row],[Servicing Spread]])</f>
        <v>0.92742898162233178</v>
      </c>
      <c r="M1084" s="24">
        <f>CurrentMtgRatesDataTable811[[#This Row],[SeriesNumValue]]+CurrentMtgRatesDataTable811[[#This Row],[Servicing Spread Non-Zero]]</f>
        <v>3.6180504120656019</v>
      </c>
    </row>
    <row r="1085" spans="2:13" x14ac:dyDescent="0.2">
      <c r="B1085" s="27" t="s">
        <v>1766</v>
      </c>
      <c r="C1085" s="28">
        <v>2.66103516127894</v>
      </c>
      <c r="D1085" s="26">
        <v>3.6</v>
      </c>
      <c r="E1085" s="24">
        <f t="shared" si="64"/>
        <v>6</v>
      </c>
      <c r="F1085" s="24">
        <f>VLOOKUP(E1085,Q$5:R$11,2,FALSE)</f>
        <v>0.2</v>
      </c>
      <c r="G1085" s="24">
        <f t="shared" si="65"/>
        <v>4</v>
      </c>
      <c r="H1085" s="24">
        <f>IF(G1085&gt;G1084,H1084+C1085*F1085,C1085*F1085)</f>
        <v>2.1594277796600738</v>
      </c>
      <c r="I1085" s="24">
        <f t="shared" si="66"/>
        <v>0.8</v>
      </c>
      <c r="J1085" s="24">
        <f t="shared" si="67"/>
        <v>0</v>
      </c>
      <c r="K1085" s="24">
        <f>IF(CurrentMtgRatesDataTable811[[#This Row],[WA CC]]&lt;&gt;0,D1084-CurrentMtgRatesDataTable811[[#This Row],[WA CC]],0)</f>
        <v>0</v>
      </c>
      <c r="L1085" s="24">
        <f>IF(CurrentMtgRatesDataTable811[[#This Row],[Servicing Spread]]&lt;=0,L1084,CurrentMtgRatesDataTable811[[#This Row],[Servicing Spread]])</f>
        <v>0.92742898162233178</v>
      </c>
      <c r="M1085" s="24">
        <f>CurrentMtgRatesDataTable811[[#This Row],[SeriesNumValue]]+CurrentMtgRatesDataTable811[[#This Row],[Servicing Spread Non-Zero]]</f>
        <v>3.5884641429012718</v>
      </c>
    </row>
    <row r="1086" spans="2:13" x14ac:dyDescent="0.2">
      <c r="B1086" s="27" t="s">
        <v>1767</v>
      </c>
      <c r="C1086" s="28">
        <v>2.5992657753902901</v>
      </c>
      <c r="D1086" s="26">
        <v>3.6</v>
      </c>
      <c r="E1086" s="24">
        <f t="shared" si="64"/>
        <v>7</v>
      </c>
      <c r="F1086" s="24">
        <f>VLOOKUP(E1086,Q$5:R$11,2,FALSE)</f>
        <v>0.2</v>
      </c>
      <c r="G1086" s="24">
        <f t="shared" si="65"/>
        <v>5</v>
      </c>
      <c r="H1086" s="24">
        <f>IF(G1086&gt;G1085,H1085+C1086*F1086,C1086*F1086)</f>
        <v>2.6792809347381317</v>
      </c>
      <c r="I1086" s="24">
        <f t="shared" si="66"/>
        <v>1</v>
      </c>
      <c r="J1086" s="24">
        <f t="shared" si="67"/>
        <v>2.6792809347381317</v>
      </c>
      <c r="K1086" s="24">
        <f>IF(CurrentMtgRatesDataTable811[[#This Row],[WA CC]]&lt;&gt;0,D1085-CurrentMtgRatesDataTable811[[#This Row],[WA CC]],0)</f>
        <v>0.92071906526186842</v>
      </c>
      <c r="L1086" s="24">
        <f>IF(CurrentMtgRatesDataTable811[[#This Row],[Servicing Spread]]&lt;=0,L1085,CurrentMtgRatesDataTable811[[#This Row],[Servicing Spread]])</f>
        <v>0.92071906526186842</v>
      </c>
      <c r="M1086" s="24">
        <f>CurrentMtgRatesDataTable811[[#This Row],[SeriesNumValue]]+CurrentMtgRatesDataTable811[[#This Row],[Servicing Spread Non-Zero]]</f>
        <v>3.5199848406521586</v>
      </c>
    </row>
    <row r="1087" spans="2:13" x14ac:dyDescent="0.2">
      <c r="B1087" s="27" t="s">
        <v>1768</v>
      </c>
      <c r="C1087" s="28">
        <v>2.6512826680006101</v>
      </c>
      <c r="D1087" s="26">
        <v>3.56</v>
      </c>
      <c r="E1087" s="24">
        <f t="shared" si="64"/>
        <v>1</v>
      </c>
      <c r="F1087" s="24">
        <f>VLOOKUP(E1087,Q$5:R$11,2,FALSE)</f>
        <v>0.2</v>
      </c>
      <c r="G1087" s="24">
        <f t="shared" si="65"/>
        <v>1</v>
      </c>
      <c r="H1087" s="24">
        <f>IF(G1087&gt;G1086,H1086+C1087*F1087,C1087*F1087)</f>
        <v>0.53025653360012204</v>
      </c>
      <c r="I1087" s="24">
        <f t="shared" si="66"/>
        <v>0.2</v>
      </c>
      <c r="J1087" s="24">
        <f t="shared" si="67"/>
        <v>0</v>
      </c>
      <c r="K1087" s="24">
        <f>IF(CurrentMtgRatesDataTable811[[#This Row],[WA CC]]&lt;&gt;0,D1086-CurrentMtgRatesDataTable811[[#This Row],[WA CC]],0)</f>
        <v>0</v>
      </c>
      <c r="L1087" s="24">
        <f>IF(CurrentMtgRatesDataTable811[[#This Row],[Servicing Spread]]&lt;=0,L1086,CurrentMtgRatesDataTable811[[#This Row],[Servicing Spread]])</f>
        <v>0.92071906526186842</v>
      </c>
      <c r="M1087" s="24">
        <f>CurrentMtgRatesDataTable811[[#This Row],[SeriesNumValue]]+CurrentMtgRatesDataTable811[[#This Row],[Servicing Spread Non-Zero]]</f>
        <v>3.5720017332624785</v>
      </c>
    </row>
    <row r="1088" spans="2:13" x14ac:dyDescent="0.2">
      <c r="B1088" s="27" t="s">
        <v>1769</v>
      </c>
      <c r="C1088" s="28">
        <v>2.5908884215358099</v>
      </c>
      <c r="D1088" s="26">
        <v>3.56</v>
      </c>
      <c r="E1088" s="24">
        <f t="shared" si="64"/>
        <v>2</v>
      </c>
      <c r="F1088" s="24">
        <f>VLOOKUP(E1088,Q$5:R$11,2,FALSE)</f>
        <v>0.2</v>
      </c>
      <c r="G1088" s="24">
        <f t="shared" si="65"/>
        <v>2</v>
      </c>
      <c r="H1088" s="24">
        <f>IF(G1088&gt;G1087,H1087+C1088*F1088,C1088*F1088)</f>
        <v>1.0484342179072841</v>
      </c>
      <c r="I1088" s="24">
        <f t="shared" si="66"/>
        <v>0.4</v>
      </c>
      <c r="J1088" s="24">
        <f t="shared" si="67"/>
        <v>0</v>
      </c>
      <c r="K1088" s="24">
        <f>IF(CurrentMtgRatesDataTable811[[#This Row],[WA CC]]&lt;&gt;0,D1087-CurrentMtgRatesDataTable811[[#This Row],[WA CC]],0)</f>
        <v>0</v>
      </c>
      <c r="L1088" s="24">
        <f>IF(CurrentMtgRatesDataTable811[[#This Row],[Servicing Spread]]&lt;=0,L1087,CurrentMtgRatesDataTable811[[#This Row],[Servicing Spread]])</f>
        <v>0.92071906526186842</v>
      </c>
      <c r="M1088" s="24">
        <f>CurrentMtgRatesDataTable811[[#This Row],[SeriesNumValue]]+CurrentMtgRatesDataTable811[[#This Row],[Servicing Spread Non-Zero]]</f>
        <v>3.5116074867976783</v>
      </c>
    </row>
    <row r="1089" spans="2:13" x14ac:dyDescent="0.2">
      <c r="B1089" s="27" t="s">
        <v>1770</v>
      </c>
      <c r="C1089" s="28">
        <v>2.63391710374052</v>
      </c>
      <c r="D1089" s="26">
        <v>3.56</v>
      </c>
      <c r="E1089" s="24">
        <f t="shared" si="64"/>
        <v>5</v>
      </c>
      <c r="F1089" s="24">
        <f>VLOOKUP(E1089,Q$5:R$11,2,FALSE)</f>
        <v>0.2</v>
      </c>
      <c r="G1089" s="24">
        <f t="shared" si="65"/>
        <v>3</v>
      </c>
      <c r="H1089" s="24">
        <f>IF(G1089&gt;G1088,H1088+C1089*F1089,C1089*F1089)</f>
        <v>1.575217638655388</v>
      </c>
      <c r="I1089" s="24">
        <f t="shared" si="66"/>
        <v>0.60000000000000009</v>
      </c>
      <c r="J1089" s="24">
        <f t="shared" si="67"/>
        <v>0</v>
      </c>
      <c r="K1089" s="24">
        <f>IF(CurrentMtgRatesDataTable811[[#This Row],[WA CC]]&lt;&gt;0,D1088-CurrentMtgRatesDataTable811[[#This Row],[WA CC]],0)</f>
        <v>0</v>
      </c>
      <c r="L1089" s="24">
        <f>IF(CurrentMtgRatesDataTable811[[#This Row],[Servicing Spread]]&lt;=0,L1088,CurrentMtgRatesDataTable811[[#This Row],[Servicing Spread]])</f>
        <v>0.92071906526186842</v>
      </c>
      <c r="M1089" s="24">
        <f>CurrentMtgRatesDataTable811[[#This Row],[SeriesNumValue]]+CurrentMtgRatesDataTable811[[#This Row],[Servicing Spread Non-Zero]]</f>
        <v>3.5546361690023884</v>
      </c>
    </row>
    <row r="1090" spans="2:13" x14ac:dyDescent="0.2">
      <c r="B1090" s="27" t="s">
        <v>1771</v>
      </c>
      <c r="C1090" s="28">
        <v>2.6287824588785198</v>
      </c>
      <c r="D1090" s="26">
        <v>3.56</v>
      </c>
      <c r="E1090" s="24">
        <f t="shared" si="64"/>
        <v>6</v>
      </c>
      <c r="F1090" s="24">
        <f>VLOOKUP(E1090,Q$5:R$11,2,FALSE)</f>
        <v>0.2</v>
      </c>
      <c r="G1090" s="24">
        <f t="shared" si="65"/>
        <v>4</v>
      </c>
      <c r="H1090" s="24">
        <f>IF(G1090&gt;G1089,H1089+C1090*F1090,C1090*F1090)</f>
        <v>2.100974130431092</v>
      </c>
      <c r="I1090" s="24">
        <f t="shared" si="66"/>
        <v>0.8</v>
      </c>
      <c r="J1090" s="24">
        <f t="shared" si="67"/>
        <v>0</v>
      </c>
      <c r="K1090" s="24">
        <f>IF(CurrentMtgRatesDataTable811[[#This Row],[WA CC]]&lt;&gt;0,D1089-CurrentMtgRatesDataTable811[[#This Row],[WA CC]],0)</f>
        <v>0</v>
      </c>
      <c r="L1090" s="24">
        <f>IF(CurrentMtgRatesDataTable811[[#This Row],[Servicing Spread]]&lt;=0,L1089,CurrentMtgRatesDataTable811[[#This Row],[Servicing Spread]])</f>
        <v>0.92071906526186842</v>
      </c>
      <c r="M1090" s="24">
        <f>CurrentMtgRatesDataTable811[[#This Row],[SeriesNumValue]]+CurrentMtgRatesDataTable811[[#This Row],[Servicing Spread Non-Zero]]</f>
        <v>3.5495015241403882</v>
      </c>
    </row>
    <row r="1091" spans="2:13" x14ac:dyDescent="0.2">
      <c r="B1091" s="27" t="s">
        <v>1772</v>
      </c>
      <c r="C1091" s="28">
        <v>2.62032151165119</v>
      </c>
      <c r="D1091" s="26">
        <v>3.56</v>
      </c>
      <c r="E1091" s="24">
        <f t="shared" ref="E1091:E1154" si="68">WEEKDAY(B1091,14)</f>
        <v>7</v>
      </c>
      <c r="F1091" s="24">
        <f>VLOOKUP(E1091,Q$5:R$11,2,FALSE)</f>
        <v>0.2</v>
      </c>
      <c r="G1091" s="24">
        <f t="shared" ref="G1091:G1154" si="69">IF(AND(E1091&gt;E1090,G1090&lt;6),G1090+1,1)</f>
        <v>5</v>
      </c>
      <c r="H1091" s="24">
        <f>IF(G1091&gt;G1090,H1090+C1091*F1091,C1091*F1091)</f>
        <v>2.6250384327613299</v>
      </c>
      <c r="I1091" s="24">
        <f t="shared" ref="I1091:I1154" si="70">IF(AND(G1091&lt;6,G1091&gt;G1090),F1091+I1090,F1091)</f>
        <v>1</v>
      </c>
      <c r="J1091" s="24">
        <f t="shared" ref="J1091:J1154" si="71">IF(G1091&gt;G1092,H1091/I1091,0)</f>
        <v>2.6250384327613299</v>
      </c>
      <c r="K1091" s="24">
        <f>IF(CurrentMtgRatesDataTable811[[#This Row],[WA CC]]&lt;&gt;0,D1090-CurrentMtgRatesDataTable811[[#This Row],[WA CC]],0)</f>
        <v>0.93496156723867019</v>
      </c>
      <c r="L1091" s="24">
        <f>IF(CurrentMtgRatesDataTable811[[#This Row],[Servicing Spread]]&lt;=0,L1090,CurrentMtgRatesDataTable811[[#This Row],[Servicing Spread]])</f>
        <v>0.93496156723867019</v>
      </c>
      <c r="M1091" s="24">
        <f>CurrentMtgRatesDataTable811[[#This Row],[SeriesNumValue]]+CurrentMtgRatesDataTable811[[#This Row],[Servicing Spread Non-Zero]]</f>
        <v>3.5552830788898602</v>
      </c>
    </row>
    <row r="1092" spans="2:13" x14ac:dyDescent="0.2">
      <c r="B1092" s="27" t="s">
        <v>1773</v>
      </c>
      <c r="C1092" s="28">
        <v>2.6476582784281</v>
      </c>
      <c r="D1092" s="26">
        <v>3.5949999999999998</v>
      </c>
      <c r="E1092" s="24">
        <f t="shared" si="68"/>
        <v>1</v>
      </c>
      <c r="F1092" s="24">
        <f>VLOOKUP(E1092,Q$5:R$11,2,FALSE)</f>
        <v>0.2</v>
      </c>
      <c r="G1092" s="24">
        <f t="shared" si="69"/>
        <v>1</v>
      </c>
      <c r="H1092" s="24">
        <f>IF(G1092&gt;G1091,H1091+C1092*F1092,C1092*F1092)</f>
        <v>0.52953165568562</v>
      </c>
      <c r="I1092" s="24">
        <f t="shared" si="70"/>
        <v>0.2</v>
      </c>
      <c r="J1092" s="24">
        <f t="shared" si="71"/>
        <v>0</v>
      </c>
      <c r="K1092" s="24">
        <f>IF(CurrentMtgRatesDataTable811[[#This Row],[WA CC]]&lt;&gt;0,D1091-CurrentMtgRatesDataTable811[[#This Row],[WA CC]],0)</f>
        <v>0</v>
      </c>
      <c r="L1092" s="24">
        <f>IF(CurrentMtgRatesDataTable811[[#This Row],[Servicing Spread]]&lt;=0,L1091,CurrentMtgRatesDataTable811[[#This Row],[Servicing Spread]])</f>
        <v>0.93496156723867019</v>
      </c>
      <c r="M1092" s="24">
        <f>CurrentMtgRatesDataTable811[[#This Row],[SeriesNumValue]]+CurrentMtgRatesDataTable811[[#This Row],[Servicing Spread Non-Zero]]</f>
        <v>3.5826198456667702</v>
      </c>
    </row>
    <row r="1093" spans="2:13" x14ac:dyDescent="0.2">
      <c r="B1093" s="27" t="s">
        <v>1774</v>
      </c>
      <c r="C1093" s="28">
        <v>2.6673945625319102</v>
      </c>
      <c r="D1093" s="26">
        <v>3.5949999999999998</v>
      </c>
      <c r="E1093" s="24">
        <f t="shared" si="68"/>
        <v>2</v>
      </c>
      <c r="F1093" s="24">
        <f>VLOOKUP(E1093,Q$5:R$11,2,FALSE)</f>
        <v>0.2</v>
      </c>
      <c r="G1093" s="24">
        <f t="shared" si="69"/>
        <v>2</v>
      </c>
      <c r="H1093" s="24">
        <f>IF(G1093&gt;G1092,H1092+C1093*F1093,C1093*F1093)</f>
        <v>1.0630105681920021</v>
      </c>
      <c r="I1093" s="24">
        <f t="shared" si="70"/>
        <v>0.4</v>
      </c>
      <c r="J1093" s="24">
        <f t="shared" si="71"/>
        <v>0</v>
      </c>
      <c r="K1093" s="24">
        <f>IF(CurrentMtgRatesDataTable811[[#This Row],[WA CC]]&lt;&gt;0,D1092-CurrentMtgRatesDataTable811[[#This Row],[WA CC]],0)</f>
        <v>0</v>
      </c>
      <c r="L1093" s="24">
        <f>IF(CurrentMtgRatesDataTable811[[#This Row],[Servicing Spread]]&lt;=0,L1092,CurrentMtgRatesDataTable811[[#This Row],[Servicing Spread]])</f>
        <v>0.93496156723867019</v>
      </c>
      <c r="M1093" s="24">
        <f>CurrentMtgRatesDataTable811[[#This Row],[SeriesNumValue]]+CurrentMtgRatesDataTable811[[#This Row],[Servicing Spread Non-Zero]]</f>
        <v>3.6023561297705804</v>
      </c>
    </row>
    <row r="1094" spans="2:13" x14ac:dyDescent="0.2">
      <c r="B1094" s="27" t="s">
        <v>1775</v>
      </c>
      <c r="C1094" s="28">
        <v>2.64134045041691</v>
      </c>
      <c r="D1094" s="26">
        <v>3.5949999999999998</v>
      </c>
      <c r="E1094" s="24">
        <f t="shared" si="68"/>
        <v>5</v>
      </c>
      <c r="F1094" s="24">
        <f>VLOOKUP(E1094,Q$5:R$11,2,FALSE)</f>
        <v>0.2</v>
      </c>
      <c r="G1094" s="24">
        <f t="shared" si="69"/>
        <v>3</v>
      </c>
      <c r="H1094" s="24">
        <f>IF(G1094&gt;G1093,H1093+C1094*F1094,C1094*F1094)</f>
        <v>1.5912786582753842</v>
      </c>
      <c r="I1094" s="24">
        <f t="shared" si="70"/>
        <v>0.60000000000000009</v>
      </c>
      <c r="J1094" s="24">
        <f t="shared" si="71"/>
        <v>0</v>
      </c>
      <c r="K1094" s="24">
        <f>IF(CurrentMtgRatesDataTable811[[#This Row],[WA CC]]&lt;&gt;0,D1093-CurrentMtgRatesDataTable811[[#This Row],[WA CC]],0)</f>
        <v>0</v>
      </c>
      <c r="L1094" s="24">
        <f>IF(CurrentMtgRatesDataTable811[[#This Row],[Servicing Spread]]&lt;=0,L1093,CurrentMtgRatesDataTable811[[#This Row],[Servicing Spread]])</f>
        <v>0.93496156723867019</v>
      </c>
      <c r="M1094" s="24">
        <f>CurrentMtgRatesDataTable811[[#This Row],[SeriesNumValue]]+CurrentMtgRatesDataTable811[[#This Row],[Servicing Spread Non-Zero]]</f>
        <v>3.5763020176555802</v>
      </c>
    </row>
    <row r="1095" spans="2:13" x14ac:dyDescent="0.2">
      <c r="B1095" s="27" t="s">
        <v>1776</v>
      </c>
      <c r="C1095" s="28">
        <v>2.5968587672613901</v>
      </c>
      <c r="D1095" s="26">
        <v>3.5949999999999998</v>
      </c>
      <c r="E1095" s="24">
        <f t="shared" si="68"/>
        <v>6</v>
      </c>
      <c r="F1095" s="24">
        <f>VLOOKUP(E1095,Q$5:R$11,2,FALSE)</f>
        <v>0.2</v>
      </c>
      <c r="G1095" s="24">
        <f t="shared" si="69"/>
        <v>4</v>
      </c>
      <c r="H1095" s="24">
        <f>IF(G1095&gt;G1094,H1094+C1095*F1095,C1095*F1095)</f>
        <v>2.1106504117276623</v>
      </c>
      <c r="I1095" s="24">
        <f t="shared" si="70"/>
        <v>0.8</v>
      </c>
      <c r="J1095" s="24">
        <f t="shared" si="71"/>
        <v>0</v>
      </c>
      <c r="K1095" s="24">
        <f>IF(CurrentMtgRatesDataTable811[[#This Row],[WA CC]]&lt;&gt;0,D1094-CurrentMtgRatesDataTable811[[#This Row],[WA CC]],0)</f>
        <v>0</v>
      </c>
      <c r="L1095" s="24">
        <f>IF(CurrentMtgRatesDataTable811[[#This Row],[Servicing Spread]]&lt;=0,L1094,CurrentMtgRatesDataTable811[[#This Row],[Servicing Spread]])</f>
        <v>0.93496156723867019</v>
      </c>
      <c r="M1095" s="24">
        <f>CurrentMtgRatesDataTable811[[#This Row],[SeriesNumValue]]+CurrentMtgRatesDataTable811[[#This Row],[Servicing Spread Non-Zero]]</f>
        <v>3.5318203345000603</v>
      </c>
    </row>
    <row r="1096" spans="2:13" x14ac:dyDescent="0.2">
      <c r="B1096" s="27" t="s">
        <v>1777</v>
      </c>
      <c r="C1096" s="28">
        <v>2.58469358456979</v>
      </c>
      <c r="D1096" s="26">
        <v>3.5949999999999998</v>
      </c>
      <c r="E1096" s="24">
        <f t="shared" si="68"/>
        <v>7</v>
      </c>
      <c r="F1096" s="24">
        <f>VLOOKUP(E1096,Q$5:R$11,2,FALSE)</f>
        <v>0.2</v>
      </c>
      <c r="G1096" s="24">
        <f t="shared" si="69"/>
        <v>5</v>
      </c>
      <c r="H1096" s="24">
        <f>IF(G1096&gt;G1095,H1095+C1096*F1096,C1096*F1096)</f>
        <v>2.6275891286416204</v>
      </c>
      <c r="I1096" s="24">
        <f t="shared" si="70"/>
        <v>1</v>
      </c>
      <c r="J1096" s="24">
        <f t="shared" si="71"/>
        <v>2.6275891286416204</v>
      </c>
      <c r="K1096" s="24">
        <f>IF(CurrentMtgRatesDataTable811[[#This Row],[WA CC]]&lt;&gt;0,D1095-CurrentMtgRatesDataTable811[[#This Row],[WA CC]],0)</f>
        <v>0.96741087135837933</v>
      </c>
      <c r="L1096" s="24">
        <f>IF(CurrentMtgRatesDataTable811[[#This Row],[Servicing Spread]]&lt;=0,L1095,CurrentMtgRatesDataTable811[[#This Row],[Servicing Spread]])</f>
        <v>0.96741087135837933</v>
      </c>
      <c r="M1096" s="24">
        <f>CurrentMtgRatesDataTable811[[#This Row],[SeriesNumValue]]+CurrentMtgRatesDataTable811[[#This Row],[Servicing Spread Non-Zero]]</f>
        <v>3.5521044559281694</v>
      </c>
    </row>
    <row r="1097" spans="2:13" x14ac:dyDescent="0.2">
      <c r="B1097" s="27" t="s">
        <v>1778</v>
      </c>
      <c r="C1097" s="28">
        <v>2.5759029417987498</v>
      </c>
      <c r="D1097" s="26">
        <v>3.55</v>
      </c>
      <c r="E1097" s="24">
        <f t="shared" si="68"/>
        <v>1</v>
      </c>
      <c r="F1097" s="24">
        <f>VLOOKUP(E1097,Q$5:R$11,2,FALSE)</f>
        <v>0.2</v>
      </c>
      <c r="G1097" s="24">
        <f t="shared" si="69"/>
        <v>1</v>
      </c>
      <c r="H1097" s="24">
        <f>IF(G1097&gt;G1096,H1096+C1097*F1097,C1097*F1097)</f>
        <v>0.51518058835975</v>
      </c>
      <c r="I1097" s="24">
        <f t="shared" si="70"/>
        <v>0.2</v>
      </c>
      <c r="J1097" s="24">
        <f t="shared" si="71"/>
        <v>0</v>
      </c>
      <c r="K1097" s="24">
        <f>IF(CurrentMtgRatesDataTable811[[#This Row],[WA CC]]&lt;&gt;0,D1096-CurrentMtgRatesDataTable811[[#This Row],[WA CC]],0)</f>
        <v>0</v>
      </c>
      <c r="L1097" s="24">
        <f>IF(CurrentMtgRatesDataTable811[[#This Row],[Servicing Spread]]&lt;=0,L1096,CurrentMtgRatesDataTable811[[#This Row],[Servicing Spread]])</f>
        <v>0.96741087135837933</v>
      </c>
      <c r="M1097" s="24">
        <f>CurrentMtgRatesDataTable811[[#This Row],[SeriesNumValue]]+CurrentMtgRatesDataTable811[[#This Row],[Servicing Spread Non-Zero]]</f>
        <v>3.5433138131571291</v>
      </c>
    </row>
    <row r="1098" spans="2:13" x14ac:dyDescent="0.2">
      <c r="B1098" s="27" t="s">
        <v>1779</v>
      </c>
      <c r="C1098" s="28">
        <v>2.56712042045777</v>
      </c>
      <c r="D1098" s="26">
        <v>3.55</v>
      </c>
      <c r="E1098" s="24">
        <f t="shared" si="68"/>
        <v>2</v>
      </c>
      <c r="F1098" s="24">
        <f>VLOOKUP(E1098,Q$5:R$11,2,FALSE)</f>
        <v>0.2</v>
      </c>
      <c r="G1098" s="24">
        <f t="shared" si="69"/>
        <v>2</v>
      </c>
      <c r="H1098" s="24">
        <f>IF(G1098&gt;G1097,H1097+C1098*F1098,C1098*F1098)</f>
        <v>1.028604672451304</v>
      </c>
      <c r="I1098" s="24">
        <f t="shared" si="70"/>
        <v>0.4</v>
      </c>
      <c r="J1098" s="24">
        <f t="shared" si="71"/>
        <v>0</v>
      </c>
      <c r="K1098" s="24">
        <f>IF(CurrentMtgRatesDataTable811[[#This Row],[WA CC]]&lt;&gt;0,D1097-CurrentMtgRatesDataTable811[[#This Row],[WA CC]],0)</f>
        <v>0</v>
      </c>
      <c r="L1098" s="24">
        <f>IF(CurrentMtgRatesDataTable811[[#This Row],[Servicing Spread]]&lt;=0,L1097,CurrentMtgRatesDataTable811[[#This Row],[Servicing Spread]])</f>
        <v>0.96741087135837933</v>
      </c>
      <c r="M1098" s="24">
        <f>CurrentMtgRatesDataTable811[[#This Row],[SeriesNumValue]]+CurrentMtgRatesDataTable811[[#This Row],[Servicing Spread Non-Zero]]</f>
        <v>3.5345312918161493</v>
      </c>
    </row>
    <row r="1099" spans="2:13" x14ac:dyDescent="0.2">
      <c r="B1099" s="27" t="s">
        <v>1780</v>
      </c>
      <c r="C1099" s="28">
        <v>2.59858921707026</v>
      </c>
      <c r="D1099" s="26">
        <v>3.55</v>
      </c>
      <c r="E1099" s="24">
        <f t="shared" si="68"/>
        <v>5</v>
      </c>
      <c r="F1099" s="24">
        <f>VLOOKUP(E1099,Q$5:R$11,2,FALSE)</f>
        <v>0.2</v>
      </c>
      <c r="G1099" s="24">
        <f t="shared" si="69"/>
        <v>3</v>
      </c>
      <c r="H1099" s="24">
        <f>IF(G1099&gt;G1098,H1098+C1099*F1099,C1099*F1099)</f>
        <v>1.548322515865356</v>
      </c>
      <c r="I1099" s="24">
        <f t="shared" si="70"/>
        <v>0.60000000000000009</v>
      </c>
      <c r="J1099" s="24">
        <f t="shared" si="71"/>
        <v>0</v>
      </c>
      <c r="K1099" s="24">
        <f>IF(CurrentMtgRatesDataTable811[[#This Row],[WA CC]]&lt;&gt;0,D1098-CurrentMtgRatesDataTable811[[#This Row],[WA CC]],0)</f>
        <v>0</v>
      </c>
      <c r="L1099" s="24">
        <f>IF(CurrentMtgRatesDataTable811[[#This Row],[Servicing Spread]]&lt;=0,L1098,CurrentMtgRatesDataTable811[[#This Row],[Servicing Spread]])</f>
        <v>0.96741087135837933</v>
      </c>
      <c r="M1099" s="24">
        <f>CurrentMtgRatesDataTable811[[#This Row],[SeriesNumValue]]+CurrentMtgRatesDataTable811[[#This Row],[Servicing Spread Non-Zero]]</f>
        <v>3.5660000884286394</v>
      </c>
    </row>
    <row r="1100" spans="2:13" x14ac:dyDescent="0.2">
      <c r="B1100" s="27" t="s">
        <v>1781</v>
      </c>
      <c r="C1100" s="28">
        <v>2.62252108008507</v>
      </c>
      <c r="D1100" s="26">
        <v>3.55</v>
      </c>
      <c r="E1100" s="24">
        <f t="shared" si="68"/>
        <v>6</v>
      </c>
      <c r="F1100" s="24">
        <f>VLOOKUP(E1100,Q$5:R$11,2,FALSE)</f>
        <v>0.2</v>
      </c>
      <c r="G1100" s="24">
        <f t="shared" si="69"/>
        <v>4</v>
      </c>
      <c r="H1100" s="24">
        <f>IF(G1100&gt;G1099,H1099+C1100*F1100,C1100*F1100)</f>
        <v>2.0728267318823699</v>
      </c>
      <c r="I1100" s="24">
        <f t="shared" si="70"/>
        <v>0.8</v>
      </c>
      <c r="J1100" s="24">
        <f t="shared" si="71"/>
        <v>0</v>
      </c>
      <c r="K1100" s="24">
        <f>IF(CurrentMtgRatesDataTable811[[#This Row],[WA CC]]&lt;&gt;0,D1099-CurrentMtgRatesDataTable811[[#This Row],[WA CC]],0)</f>
        <v>0</v>
      </c>
      <c r="L1100" s="24">
        <f>IF(CurrentMtgRatesDataTable811[[#This Row],[Servicing Spread]]&lt;=0,L1099,CurrentMtgRatesDataTable811[[#This Row],[Servicing Spread]])</f>
        <v>0.96741087135837933</v>
      </c>
      <c r="M1100" s="24">
        <f>CurrentMtgRatesDataTable811[[#This Row],[SeriesNumValue]]+CurrentMtgRatesDataTable811[[#This Row],[Servicing Spread Non-Zero]]</f>
        <v>3.5899319514434493</v>
      </c>
    </row>
    <row r="1101" spans="2:13" x14ac:dyDescent="0.2">
      <c r="B1101" s="27" t="s">
        <v>1782</v>
      </c>
      <c r="C1101" s="28">
        <v>2.6753264137467299</v>
      </c>
      <c r="D1101" s="26">
        <v>3.55</v>
      </c>
      <c r="E1101" s="24">
        <f t="shared" si="68"/>
        <v>7</v>
      </c>
      <c r="F1101" s="24">
        <f>VLOOKUP(E1101,Q$5:R$11,2,FALSE)</f>
        <v>0.2</v>
      </c>
      <c r="G1101" s="24">
        <f t="shared" si="69"/>
        <v>5</v>
      </c>
      <c r="H1101" s="24">
        <f>IF(G1101&gt;G1100,H1100+C1101*F1101,C1101*F1101)</f>
        <v>2.6078920146317159</v>
      </c>
      <c r="I1101" s="24">
        <f t="shared" si="70"/>
        <v>1</v>
      </c>
      <c r="J1101" s="24">
        <f t="shared" si="71"/>
        <v>2.6078920146317159</v>
      </c>
      <c r="K1101" s="24">
        <f>IF(CurrentMtgRatesDataTable811[[#This Row],[WA CC]]&lt;&gt;0,D1100-CurrentMtgRatesDataTable811[[#This Row],[WA CC]],0)</f>
        <v>0.94210798536828388</v>
      </c>
      <c r="L1101" s="24">
        <f>IF(CurrentMtgRatesDataTable811[[#This Row],[Servicing Spread]]&lt;=0,L1100,CurrentMtgRatesDataTable811[[#This Row],[Servicing Spread]])</f>
        <v>0.94210798536828388</v>
      </c>
      <c r="M1101" s="24">
        <f>CurrentMtgRatesDataTable811[[#This Row],[SeriesNumValue]]+CurrentMtgRatesDataTable811[[#This Row],[Servicing Spread Non-Zero]]</f>
        <v>3.6174343991150137</v>
      </c>
    </row>
    <row r="1102" spans="2:13" x14ac:dyDescent="0.2">
      <c r="B1102" s="27" t="s">
        <v>1783</v>
      </c>
      <c r="C1102" s="28">
        <v>2.6562875815293401</v>
      </c>
      <c r="D1102" s="26">
        <v>3.58</v>
      </c>
      <c r="E1102" s="24">
        <f t="shared" si="68"/>
        <v>1</v>
      </c>
      <c r="F1102" s="24">
        <f>VLOOKUP(E1102,Q$5:R$11,2,FALSE)</f>
        <v>0.2</v>
      </c>
      <c r="G1102" s="24">
        <f t="shared" si="69"/>
        <v>1</v>
      </c>
      <c r="H1102" s="24">
        <f>IF(G1102&gt;G1101,H1101+C1102*F1102,C1102*F1102)</f>
        <v>0.53125751630586804</v>
      </c>
      <c r="I1102" s="24">
        <f t="shared" si="70"/>
        <v>0.2</v>
      </c>
      <c r="J1102" s="24">
        <f t="shared" si="71"/>
        <v>0</v>
      </c>
      <c r="K1102" s="24">
        <f>IF(CurrentMtgRatesDataTable811[[#This Row],[WA CC]]&lt;&gt;0,D1101-CurrentMtgRatesDataTable811[[#This Row],[WA CC]],0)</f>
        <v>0</v>
      </c>
      <c r="L1102" s="24">
        <f>IF(CurrentMtgRatesDataTable811[[#This Row],[Servicing Spread]]&lt;=0,L1101,CurrentMtgRatesDataTable811[[#This Row],[Servicing Spread]])</f>
        <v>0.94210798536828388</v>
      </c>
      <c r="M1102" s="24">
        <f>CurrentMtgRatesDataTable811[[#This Row],[SeriesNumValue]]+CurrentMtgRatesDataTable811[[#This Row],[Servicing Spread Non-Zero]]</f>
        <v>3.598395566897624</v>
      </c>
    </row>
    <row r="1103" spans="2:13" x14ac:dyDescent="0.2">
      <c r="B1103" s="27" t="s">
        <v>1784</v>
      </c>
      <c r="C1103" s="28">
        <v>2.62955921776924</v>
      </c>
      <c r="D1103" s="26">
        <v>3.58</v>
      </c>
      <c r="E1103" s="24">
        <f t="shared" si="68"/>
        <v>2</v>
      </c>
      <c r="F1103" s="24">
        <f>VLOOKUP(E1103,Q$5:R$11,2,FALSE)</f>
        <v>0.2</v>
      </c>
      <c r="G1103" s="24">
        <f t="shared" si="69"/>
        <v>2</v>
      </c>
      <c r="H1103" s="24">
        <f>IF(G1103&gt;G1102,H1102+C1103*F1103,C1103*F1103)</f>
        <v>1.0571693598597161</v>
      </c>
      <c r="I1103" s="24">
        <f t="shared" si="70"/>
        <v>0.4</v>
      </c>
      <c r="J1103" s="24">
        <f t="shared" si="71"/>
        <v>0</v>
      </c>
      <c r="K1103" s="24">
        <f>IF(CurrentMtgRatesDataTable811[[#This Row],[WA CC]]&lt;&gt;0,D1102-CurrentMtgRatesDataTable811[[#This Row],[WA CC]],0)</f>
        <v>0</v>
      </c>
      <c r="L1103" s="24">
        <f>IF(CurrentMtgRatesDataTable811[[#This Row],[Servicing Spread]]&lt;=0,L1102,CurrentMtgRatesDataTable811[[#This Row],[Servicing Spread]])</f>
        <v>0.94210798536828388</v>
      </c>
      <c r="M1103" s="24">
        <f>CurrentMtgRatesDataTable811[[#This Row],[SeriesNumValue]]+CurrentMtgRatesDataTable811[[#This Row],[Servicing Spread Non-Zero]]</f>
        <v>3.5716672031375238</v>
      </c>
    </row>
    <row r="1104" spans="2:13" x14ac:dyDescent="0.2">
      <c r="B1104" s="27" t="s">
        <v>1785</v>
      </c>
      <c r="C1104" s="28">
        <v>2.6437338504186898</v>
      </c>
      <c r="D1104" s="26">
        <v>3.58</v>
      </c>
      <c r="E1104" s="24">
        <f t="shared" si="68"/>
        <v>5</v>
      </c>
      <c r="F1104" s="24">
        <f>VLOOKUP(E1104,Q$5:R$11,2,FALSE)</f>
        <v>0.2</v>
      </c>
      <c r="G1104" s="24">
        <f t="shared" si="69"/>
        <v>3</v>
      </c>
      <c r="H1104" s="24">
        <f>IF(G1104&gt;G1103,H1103+C1104*F1104,C1104*F1104)</f>
        <v>1.5859161299434539</v>
      </c>
      <c r="I1104" s="24">
        <f t="shared" si="70"/>
        <v>0.60000000000000009</v>
      </c>
      <c r="J1104" s="24">
        <f t="shared" si="71"/>
        <v>0</v>
      </c>
      <c r="K1104" s="24">
        <f>IF(CurrentMtgRatesDataTable811[[#This Row],[WA CC]]&lt;&gt;0,D1103-CurrentMtgRatesDataTable811[[#This Row],[WA CC]],0)</f>
        <v>0</v>
      </c>
      <c r="L1104" s="24">
        <f>IF(CurrentMtgRatesDataTable811[[#This Row],[Servicing Spread]]&lt;=0,L1103,CurrentMtgRatesDataTable811[[#This Row],[Servicing Spread]])</f>
        <v>0.94210798536828388</v>
      </c>
      <c r="M1104" s="24">
        <f>CurrentMtgRatesDataTable811[[#This Row],[SeriesNumValue]]+CurrentMtgRatesDataTable811[[#This Row],[Servicing Spread Non-Zero]]</f>
        <v>3.5858418357869737</v>
      </c>
    </row>
    <row r="1105" spans="2:13" x14ac:dyDescent="0.2">
      <c r="B1105" s="27" t="s">
        <v>1786</v>
      </c>
      <c r="C1105" s="28">
        <v>2.6991414546305501</v>
      </c>
      <c r="D1105" s="26">
        <v>3.58</v>
      </c>
      <c r="E1105" s="24">
        <f t="shared" si="68"/>
        <v>6</v>
      </c>
      <c r="F1105" s="24">
        <f>VLOOKUP(E1105,Q$5:R$11,2,FALSE)</f>
        <v>0.2</v>
      </c>
      <c r="G1105" s="24">
        <f t="shared" si="69"/>
        <v>4</v>
      </c>
      <c r="H1105" s="24">
        <f>IF(G1105&gt;G1104,H1104+C1105*F1105,C1105*F1105)</f>
        <v>2.1257444208695642</v>
      </c>
      <c r="I1105" s="24">
        <f t="shared" si="70"/>
        <v>0.8</v>
      </c>
      <c r="J1105" s="24">
        <f t="shared" si="71"/>
        <v>0</v>
      </c>
      <c r="K1105" s="24">
        <f>IF(CurrentMtgRatesDataTable811[[#This Row],[WA CC]]&lt;&gt;0,D1104-CurrentMtgRatesDataTable811[[#This Row],[WA CC]],0)</f>
        <v>0</v>
      </c>
      <c r="L1105" s="24">
        <f>IF(CurrentMtgRatesDataTable811[[#This Row],[Servicing Spread]]&lt;=0,L1104,CurrentMtgRatesDataTable811[[#This Row],[Servicing Spread]])</f>
        <v>0.94210798536828388</v>
      </c>
      <c r="M1105" s="24">
        <f>CurrentMtgRatesDataTable811[[#This Row],[SeriesNumValue]]+CurrentMtgRatesDataTable811[[#This Row],[Servicing Spread Non-Zero]]</f>
        <v>3.641249439998834</v>
      </c>
    </row>
    <row r="1106" spans="2:13" x14ac:dyDescent="0.2">
      <c r="B1106" s="27" t="s">
        <v>1787</v>
      </c>
      <c r="C1106" s="28">
        <v>2.7467458715573199</v>
      </c>
      <c r="D1106" s="26">
        <v>3.58</v>
      </c>
      <c r="E1106" s="24">
        <f t="shared" si="68"/>
        <v>7</v>
      </c>
      <c r="F1106" s="24">
        <f>VLOOKUP(E1106,Q$5:R$11,2,FALSE)</f>
        <v>0.2</v>
      </c>
      <c r="G1106" s="24">
        <f t="shared" si="69"/>
        <v>5</v>
      </c>
      <c r="H1106" s="24">
        <f>IF(G1106&gt;G1105,H1105+C1106*F1106,C1106*F1106)</f>
        <v>2.6750935951810284</v>
      </c>
      <c r="I1106" s="24">
        <f t="shared" si="70"/>
        <v>1</v>
      </c>
      <c r="J1106" s="24">
        <f t="shared" si="71"/>
        <v>2.6750935951810284</v>
      </c>
      <c r="K1106" s="24">
        <f>IF(CurrentMtgRatesDataTable811[[#This Row],[WA CC]]&lt;&gt;0,D1105-CurrentMtgRatesDataTable811[[#This Row],[WA CC]],0)</f>
        <v>0.90490640481897167</v>
      </c>
      <c r="L1106" s="24">
        <f>IF(CurrentMtgRatesDataTable811[[#This Row],[Servicing Spread]]&lt;=0,L1105,CurrentMtgRatesDataTable811[[#This Row],[Servicing Spread]])</f>
        <v>0.90490640481897167</v>
      </c>
      <c r="M1106" s="24">
        <f>CurrentMtgRatesDataTable811[[#This Row],[SeriesNumValue]]+CurrentMtgRatesDataTable811[[#This Row],[Servicing Spread Non-Zero]]</f>
        <v>3.6516522763762915</v>
      </c>
    </row>
    <row r="1107" spans="2:13" x14ac:dyDescent="0.2">
      <c r="B1107" s="27" t="s">
        <v>1788</v>
      </c>
      <c r="C1107" s="28">
        <v>2.7480147229669498</v>
      </c>
      <c r="D1107" s="26">
        <v>3.6999999999999997</v>
      </c>
      <c r="E1107" s="24">
        <f t="shared" si="68"/>
        <v>1</v>
      </c>
      <c r="F1107" s="24">
        <f>VLOOKUP(E1107,Q$5:R$11,2,FALSE)</f>
        <v>0.2</v>
      </c>
      <c r="G1107" s="24">
        <f t="shared" si="69"/>
        <v>1</v>
      </c>
      <c r="H1107" s="24">
        <f>IF(G1107&gt;G1106,H1106+C1107*F1107,C1107*F1107)</f>
        <v>0.54960294459338999</v>
      </c>
      <c r="I1107" s="24">
        <f t="shared" si="70"/>
        <v>0.2</v>
      </c>
      <c r="J1107" s="24">
        <f t="shared" si="71"/>
        <v>0</v>
      </c>
      <c r="K1107" s="24">
        <f>IF(CurrentMtgRatesDataTable811[[#This Row],[WA CC]]&lt;&gt;0,D1106-CurrentMtgRatesDataTable811[[#This Row],[WA CC]],0)</f>
        <v>0</v>
      </c>
      <c r="L1107" s="24">
        <f>IF(CurrentMtgRatesDataTable811[[#This Row],[Servicing Spread]]&lt;=0,L1106,CurrentMtgRatesDataTable811[[#This Row],[Servicing Spread]])</f>
        <v>0.90490640481897167</v>
      </c>
      <c r="M1107" s="24">
        <f>CurrentMtgRatesDataTable811[[#This Row],[SeriesNumValue]]+CurrentMtgRatesDataTable811[[#This Row],[Servicing Spread Non-Zero]]</f>
        <v>3.6529211277859215</v>
      </c>
    </row>
    <row r="1108" spans="2:13" x14ac:dyDescent="0.2">
      <c r="B1108" s="27" t="s">
        <v>1789</v>
      </c>
      <c r="C1108" s="28">
        <v>2.8064099070641602</v>
      </c>
      <c r="D1108" s="26">
        <v>3.6999999999999997</v>
      </c>
      <c r="E1108" s="24">
        <f t="shared" si="68"/>
        <v>2</v>
      </c>
      <c r="F1108" s="24">
        <f>VLOOKUP(E1108,Q$5:R$11,2,FALSE)</f>
        <v>0.2</v>
      </c>
      <c r="G1108" s="24">
        <f t="shared" si="69"/>
        <v>2</v>
      </c>
      <c r="H1108" s="24">
        <f>IF(G1108&gt;G1107,H1107+C1108*F1108,C1108*F1108)</f>
        <v>1.1108849260062219</v>
      </c>
      <c r="I1108" s="24">
        <f t="shared" si="70"/>
        <v>0.4</v>
      </c>
      <c r="J1108" s="24">
        <f t="shared" si="71"/>
        <v>0</v>
      </c>
      <c r="K1108" s="24">
        <f>IF(CurrentMtgRatesDataTable811[[#This Row],[WA CC]]&lt;&gt;0,D1107-CurrentMtgRatesDataTable811[[#This Row],[WA CC]],0)</f>
        <v>0</v>
      </c>
      <c r="L1108" s="24">
        <f>IF(CurrentMtgRatesDataTable811[[#This Row],[Servicing Spread]]&lt;=0,L1107,CurrentMtgRatesDataTable811[[#This Row],[Servicing Spread]])</f>
        <v>0.90490640481897167</v>
      </c>
      <c r="M1108" s="24">
        <f>CurrentMtgRatesDataTable811[[#This Row],[SeriesNumValue]]+CurrentMtgRatesDataTable811[[#This Row],[Servicing Spread Non-Zero]]</f>
        <v>3.7113163118831318</v>
      </c>
    </row>
    <row r="1109" spans="2:13" x14ac:dyDescent="0.2">
      <c r="B1109" s="27" t="s">
        <v>1790</v>
      </c>
      <c r="C1109" s="28">
        <v>2.8416760056146502</v>
      </c>
      <c r="D1109" s="26">
        <v>3.6999999999999997</v>
      </c>
      <c r="E1109" s="24">
        <f t="shared" si="68"/>
        <v>5</v>
      </c>
      <c r="F1109" s="24">
        <f>VLOOKUP(E1109,Q$5:R$11,2,FALSE)</f>
        <v>0.2</v>
      </c>
      <c r="G1109" s="24">
        <f t="shared" si="69"/>
        <v>3</v>
      </c>
      <c r="H1109" s="24">
        <f>IF(G1109&gt;G1108,H1108+C1109*F1109,C1109*F1109)</f>
        <v>1.679220127129152</v>
      </c>
      <c r="I1109" s="24">
        <f t="shared" si="70"/>
        <v>0.60000000000000009</v>
      </c>
      <c r="J1109" s="24">
        <f t="shared" si="71"/>
        <v>0</v>
      </c>
      <c r="K1109" s="24">
        <f>IF(CurrentMtgRatesDataTable811[[#This Row],[WA CC]]&lt;&gt;0,D1108-CurrentMtgRatesDataTable811[[#This Row],[WA CC]],0)</f>
        <v>0</v>
      </c>
      <c r="L1109" s="24">
        <f>IF(CurrentMtgRatesDataTable811[[#This Row],[Servicing Spread]]&lt;=0,L1108,CurrentMtgRatesDataTable811[[#This Row],[Servicing Spread]])</f>
        <v>0.90490640481897167</v>
      </c>
      <c r="M1109" s="24">
        <f>CurrentMtgRatesDataTable811[[#This Row],[SeriesNumValue]]+CurrentMtgRatesDataTable811[[#This Row],[Servicing Spread Non-Zero]]</f>
        <v>3.7465824104336218</v>
      </c>
    </row>
    <row r="1110" spans="2:13" x14ac:dyDescent="0.2">
      <c r="B1110" s="27" t="s">
        <v>1791</v>
      </c>
      <c r="C1110" s="28">
        <v>2.8756484754346898</v>
      </c>
      <c r="D1110" s="26">
        <v>3.6999999999999997</v>
      </c>
      <c r="E1110" s="24">
        <f t="shared" si="68"/>
        <v>6</v>
      </c>
      <c r="F1110" s="24">
        <f>VLOOKUP(E1110,Q$5:R$11,2,FALSE)</f>
        <v>0.2</v>
      </c>
      <c r="G1110" s="24">
        <f t="shared" si="69"/>
        <v>4</v>
      </c>
      <c r="H1110" s="24">
        <f>IF(G1110&gt;G1109,H1109+C1110*F1110,C1110*F1110)</f>
        <v>2.2543498222160903</v>
      </c>
      <c r="I1110" s="24">
        <f t="shared" si="70"/>
        <v>0.8</v>
      </c>
      <c r="J1110" s="24">
        <f t="shared" si="71"/>
        <v>0</v>
      </c>
      <c r="K1110" s="24">
        <f>IF(CurrentMtgRatesDataTable811[[#This Row],[WA CC]]&lt;&gt;0,D1109-CurrentMtgRatesDataTable811[[#This Row],[WA CC]],0)</f>
        <v>0</v>
      </c>
      <c r="L1110" s="24">
        <f>IF(CurrentMtgRatesDataTable811[[#This Row],[Servicing Spread]]&lt;=0,L1109,CurrentMtgRatesDataTable811[[#This Row],[Servicing Spread]])</f>
        <v>0.90490640481897167</v>
      </c>
      <c r="M1110" s="24">
        <f>CurrentMtgRatesDataTable811[[#This Row],[SeriesNumValue]]+CurrentMtgRatesDataTable811[[#This Row],[Servicing Spread Non-Zero]]</f>
        <v>3.7805548802536615</v>
      </c>
    </row>
    <row r="1111" spans="2:13" x14ac:dyDescent="0.2">
      <c r="B1111" s="27" t="s">
        <v>1792</v>
      </c>
      <c r="C1111" s="28">
        <v>2.91930519695658</v>
      </c>
      <c r="D1111" s="26">
        <v>3.6999999999999997</v>
      </c>
      <c r="E1111" s="24">
        <f t="shared" si="68"/>
        <v>7</v>
      </c>
      <c r="F1111" s="24">
        <f>VLOOKUP(E1111,Q$5:R$11,2,FALSE)</f>
        <v>0.2</v>
      </c>
      <c r="G1111" s="24">
        <f t="shared" si="69"/>
        <v>5</v>
      </c>
      <c r="H1111" s="24">
        <f>IF(G1111&gt;G1110,H1110+C1111*F1111,C1111*F1111)</f>
        <v>2.8382108616074064</v>
      </c>
      <c r="I1111" s="24">
        <f t="shared" si="70"/>
        <v>1</v>
      </c>
      <c r="J1111" s="24">
        <f t="shared" si="71"/>
        <v>2.8382108616074064</v>
      </c>
      <c r="K1111" s="24">
        <f>IF(CurrentMtgRatesDataTable811[[#This Row],[WA CC]]&lt;&gt;0,D1110-CurrentMtgRatesDataTable811[[#This Row],[WA CC]],0)</f>
        <v>0.8617891383925933</v>
      </c>
      <c r="L1111" s="24">
        <f>IF(CurrentMtgRatesDataTable811[[#This Row],[Servicing Spread]]&lt;=0,L1110,CurrentMtgRatesDataTable811[[#This Row],[Servicing Spread]])</f>
        <v>0.8617891383925933</v>
      </c>
      <c r="M1111" s="24">
        <f>CurrentMtgRatesDataTable811[[#This Row],[SeriesNumValue]]+CurrentMtgRatesDataTable811[[#This Row],[Servicing Spread Non-Zero]]</f>
        <v>3.7810943353491733</v>
      </c>
    </row>
    <row r="1112" spans="2:13" x14ac:dyDescent="0.2">
      <c r="B1112" s="27" t="s">
        <v>1793</v>
      </c>
      <c r="C1112" s="28">
        <v>2.86177796804412</v>
      </c>
      <c r="D1112" s="26">
        <v>3.75</v>
      </c>
      <c r="E1112" s="24">
        <f t="shared" si="68"/>
        <v>1</v>
      </c>
      <c r="F1112" s="24">
        <f>VLOOKUP(E1112,Q$5:R$11,2,FALSE)</f>
        <v>0.2</v>
      </c>
      <c r="G1112" s="24">
        <f t="shared" si="69"/>
        <v>1</v>
      </c>
      <c r="H1112" s="24">
        <f>IF(G1112&gt;G1111,H1111+C1112*F1112,C1112*F1112)</f>
        <v>0.57235559360882404</v>
      </c>
      <c r="I1112" s="24">
        <f t="shared" si="70"/>
        <v>0.2</v>
      </c>
      <c r="J1112" s="24">
        <f t="shared" si="71"/>
        <v>0</v>
      </c>
      <c r="K1112" s="24">
        <f>IF(CurrentMtgRatesDataTable811[[#This Row],[WA CC]]&lt;&gt;0,D1111-CurrentMtgRatesDataTable811[[#This Row],[WA CC]],0)</f>
        <v>0</v>
      </c>
      <c r="L1112" s="24">
        <f>IF(CurrentMtgRatesDataTable811[[#This Row],[Servicing Spread]]&lt;=0,L1111,CurrentMtgRatesDataTable811[[#This Row],[Servicing Spread]])</f>
        <v>0.8617891383925933</v>
      </c>
      <c r="M1112" s="24">
        <f>CurrentMtgRatesDataTable811[[#This Row],[SeriesNumValue]]+CurrentMtgRatesDataTable811[[#This Row],[Servicing Spread Non-Zero]]</f>
        <v>3.7235671064367133</v>
      </c>
    </row>
    <row r="1113" spans="2:13" x14ac:dyDescent="0.2">
      <c r="B1113" s="27" t="s">
        <v>1794</v>
      </c>
      <c r="C1113" s="28">
        <v>2.8101076932532698</v>
      </c>
      <c r="D1113" s="26">
        <v>3.75</v>
      </c>
      <c r="E1113" s="24">
        <f t="shared" si="68"/>
        <v>2</v>
      </c>
      <c r="F1113" s="24">
        <f>VLOOKUP(E1113,Q$5:R$11,2,FALSE)</f>
        <v>0.2</v>
      </c>
      <c r="G1113" s="24">
        <f t="shared" si="69"/>
        <v>2</v>
      </c>
      <c r="H1113" s="24">
        <f>IF(G1113&gt;G1112,H1112+C1113*F1113,C1113*F1113)</f>
        <v>1.134377132259478</v>
      </c>
      <c r="I1113" s="24">
        <f t="shared" si="70"/>
        <v>0.4</v>
      </c>
      <c r="J1113" s="24">
        <f t="shared" si="71"/>
        <v>0</v>
      </c>
      <c r="K1113" s="24">
        <f>IF(CurrentMtgRatesDataTable811[[#This Row],[WA CC]]&lt;&gt;0,D1112-CurrentMtgRatesDataTable811[[#This Row],[WA CC]],0)</f>
        <v>0</v>
      </c>
      <c r="L1113" s="24">
        <f>IF(CurrentMtgRatesDataTable811[[#This Row],[Servicing Spread]]&lt;=0,L1112,CurrentMtgRatesDataTable811[[#This Row],[Servicing Spread]])</f>
        <v>0.8617891383925933</v>
      </c>
      <c r="M1113" s="24">
        <f>CurrentMtgRatesDataTable811[[#This Row],[SeriesNumValue]]+CurrentMtgRatesDataTable811[[#This Row],[Servicing Spread Non-Zero]]</f>
        <v>3.6718968316458631</v>
      </c>
    </row>
    <row r="1114" spans="2:13" x14ac:dyDescent="0.2">
      <c r="B1114" s="27" t="s">
        <v>1795</v>
      </c>
      <c r="C1114" s="28">
        <v>2.9199815904284798</v>
      </c>
      <c r="D1114" s="26">
        <v>3.75</v>
      </c>
      <c r="E1114" s="24">
        <f t="shared" si="68"/>
        <v>5</v>
      </c>
      <c r="F1114" s="24">
        <f>VLOOKUP(E1114,Q$5:R$11,2,FALSE)</f>
        <v>0.2</v>
      </c>
      <c r="G1114" s="24">
        <f t="shared" si="69"/>
        <v>3</v>
      </c>
      <c r="H1114" s="24">
        <f>IF(G1114&gt;G1113,H1113+C1114*F1114,C1114*F1114)</f>
        <v>1.718373450345174</v>
      </c>
      <c r="I1114" s="24">
        <f t="shared" si="70"/>
        <v>0.60000000000000009</v>
      </c>
      <c r="J1114" s="24">
        <f t="shared" si="71"/>
        <v>0</v>
      </c>
      <c r="K1114" s="24">
        <f>IF(CurrentMtgRatesDataTable811[[#This Row],[WA CC]]&lt;&gt;0,D1113-CurrentMtgRatesDataTable811[[#This Row],[WA CC]],0)</f>
        <v>0</v>
      </c>
      <c r="L1114" s="24">
        <f>IF(CurrentMtgRatesDataTable811[[#This Row],[Servicing Spread]]&lt;=0,L1113,CurrentMtgRatesDataTable811[[#This Row],[Servicing Spread]])</f>
        <v>0.8617891383925933</v>
      </c>
      <c r="M1114" s="24">
        <f>CurrentMtgRatesDataTable811[[#This Row],[SeriesNumValue]]+CurrentMtgRatesDataTable811[[#This Row],[Servicing Spread Non-Zero]]</f>
        <v>3.7817707288210731</v>
      </c>
    </row>
    <row r="1115" spans="2:13" x14ac:dyDescent="0.2">
      <c r="B1115" s="27" t="s">
        <v>1796</v>
      </c>
      <c r="C1115" s="28">
        <v>2.9362897451124002</v>
      </c>
      <c r="D1115" s="26">
        <v>3.75</v>
      </c>
      <c r="E1115" s="24">
        <f t="shared" si="68"/>
        <v>6</v>
      </c>
      <c r="F1115" s="24">
        <f>VLOOKUP(E1115,Q$5:R$11,2,FALSE)</f>
        <v>0.2</v>
      </c>
      <c r="G1115" s="24">
        <f t="shared" si="69"/>
        <v>4</v>
      </c>
      <c r="H1115" s="24">
        <f>IF(G1115&gt;G1114,H1114+C1115*F1115,C1115*F1115)</f>
        <v>2.305631399367654</v>
      </c>
      <c r="I1115" s="24">
        <f t="shared" si="70"/>
        <v>0.8</v>
      </c>
      <c r="J1115" s="24">
        <f t="shared" si="71"/>
        <v>0</v>
      </c>
      <c r="K1115" s="24">
        <f>IF(CurrentMtgRatesDataTable811[[#This Row],[WA CC]]&lt;&gt;0,D1114-CurrentMtgRatesDataTable811[[#This Row],[WA CC]],0)</f>
        <v>0</v>
      </c>
      <c r="L1115" s="24">
        <f>IF(CurrentMtgRatesDataTable811[[#This Row],[Servicing Spread]]&lt;=0,L1114,CurrentMtgRatesDataTable811[[#This Row],[Servicing Spread]])</f>
        <v>0.8617891383925933</v>
      </c>
      <c r="M1115" s="24">
        <f>CurrentMtgRatesDataTable811[[#This Row],[SeriesNumValue]]+CurrentMtgRatesDataTable811[[#This Row],[Servicing Spread Non-Zero]]</f>
        <v>3.7980788835049935</v>
      </c>
    </row>
    <row r="1116" spans="2:13" x14ac:dyDescent="0.2">
      <c r="B1116" s="27" t="s">
        <v>1797</v>
      </c>
      <c r="C1116" s="28">
        <v>2.9586092652733198</v>
      </c>
      <c r="D1116" s="26">
        <v>3.75</v>
      </c>
      <c r="E1116" s="24">
        <f t="shared" si="68"/>
        <v>7</v>
      </c>
      <c r="F1116" s="24">
        <f>VLOOKUP(E1116,Q$5:R$11,2,FALSE)</f>
        <v>0.2</v>
      </c>
      <c r="G1116" s="24">
        <f t="shared" si="69"/>
        <v>5</v>
      </c>
      <c r="H1116" s="24">
        <f>IF(G1116&gt;G1115,H1115+C1116*F1116,C1116*F1116)</f>
        <v>2.897353252422318</v>
      </c>
      <c r="I1116" s="24">
        <f t="shared" si="70"/>
        <v>1</v>
      </c>
      <c r="J1116" s="24">
        <f t="shared" si="71"/>
        <v>2.897353252422318</v>
      </c>
      <c r="K1116" s="24">
        <f>IF(CurrentMtgRatesDataTable811[[#This Row],[WA CC]]&lt;&gt;0,D1115-CurrentMtgRatesDataTable811[[#This Row],[WA CC]],0)</f>
        <v>0.852646747577682</v>
      </c>
      <c r="L1116" s="24">
        <f>IF(CurrentMtgRatesDataTable811[[#This Row],[Servicing Spread]]&lt;=0,L1115,CurrentMtgRatesDataTable811[[#This Row],[Servicing Spread]])</f>
        <v>0.852646747577682</v>
      </c>
      <c r="M1116" s="24">
        <f>CurrentMtgRatesDataTable811[[#This Row],[SeriesNumValue]]+CurrentMtgRatesDataTable811[[#This Row],[Servicing Spread Non-Zero]]</f>
        <v>3.8112560128510018</v>
      </c>
    </row>
    <row r="1117" spans="2:13" x14ac:dyDescent="0.2">
      <c r="B1117" s="27" t="s">
        <v>1798</v>
      </c>
      <c r="C1117" s="28">
        <v>2.9068905487933598</v>
      </c>
      <c r="D1117" s="26">
        <v>3.7649999999999997</v>
      </c>
      <c r="E1117" s="24">
        <f t="shared" si="68"/>
        <v>1</v>
      </c>
      <c r="F1117" s="24">
        <f>VLOOKUP(E1117,Q$5:R$11,2,FALSE)</f>
        <v>0.2</v>
      </c>
      <c r="G1117" s="24">
        <f t="shared" si="69"/>
        <v>1</v>
      </c>
      <c r="H1117" s="24">
        <f>IF(G1117&gt;G1116,H1116+C1117*F1117,C1117*F1117)</f>
        <v>0.58137810975867199</v>
      </c>
      <c r="I1117" s="24">
        <f t="shared" si="70"/>
        <v>0.2</v>
      </c>
      <c r="J1117" s="24">
        <f t="shared" si="71"/>
        <v>0</v>
      </c>
      <c r="K1117" s="24">
        <f>IF(CurrentMtgRatesDataTable811[[#This Row],[WA CC]]&lt;&gt;0,D1116-CurrentMtgRatesDataTable811[[#This Row],[WA CC]],0)</f>
        <v>0</v>
      </c>
      <c r="L1117" s="24">
        <f>IF(CurrentMtgRatesDataTable811[[#This Row],[Servicing Spread]]&lt;=0,L1116,CurrentMtgRatesDataTable811[[#This Row],[Servicing Spread]])</f>
        <v>0.852646747577682</v>
      </c>
      <c r="M1117" s="24">
        <f>CurrentMtgRatesDataTable811[[#This Row],[SeriesNumValue]]+CurrentMtgRatesDataTable811[[#This Row],[Servicing Spread Non-Zero]]</f>
        <v>3.7595372963710418</v>
      </c>
    </row>
    <row r="1118" spans="2:13" x14ac:dyDescent="0.2">
      <c r="B1118" s="27" t="s">
        <v>1799</v>
      </c>
      <c r="C1118" s="28">
        <v>2.82631669904023</v>
      </c>
      <c r="D1118" s="26">
        <v>3.7649999999999997</v>
      </c>
      <c r="E1118" s="24">
        <f t="shared" si="68"/>
        <v>2</v>
      </c>
      <c r="F1118" s="24">
        <f>VLOOKUP(E1118,Q$5:R$11,2,FALSE)</f>
        <v>0.2</v>
      </c>
      <c r="G1118" s="24">
        <f t="shared" si="69"/>
        <v>2</v>
      </c>
      <c r="H1118" s="24">
        <f>IF(G1118&gt;G1117,H1117+C1118*F1118,C1118*F1118)</f>
        <v>1.1466414495667179</v>
      </c>
      <c r="I1118" s="24">
        <f t="shared" si="70"/>
        <v>0.4</v>
      </c>
      <c r="J1118" s="24">
        <f t="shared" si="71"/>
        <v>0</v>
      </c>
      <c r="K1118" s="24">
        <f>IF(CurrentMtgRatesDataTable811[[#This Row],[WA CC]]&lt;&gt;0,D1117-CurrentMtgRatesDataTable811[[#This Row],[WA CC]],0)</f>
        <v>0</v>
      </c>
      <c r="L1118" s="24">
        <f>IF(CurrentMtgRatesDataTable811[[#This Row],[Servicing Spread]]&lt;=0,L1117,CurrentMtgRatesDataTable811[[#This Row],[Servicing Spread]])</f>
        <v>0.852646747577682</v>
      </c>
      <c r="M1118" s="24">
        <f>CurrentMtgRatesDataTable811[[#This Row],[SeriesNumValue]]+CurrentMtgRatesDataTable811[[#This Row],[Servicing Spread Non-Zero]]</f>
        <v>3.678963446617912</v>
      </c>
    </row>
    <row r="1119" spans="2:13" x14ac:dyDescent="0.2">
      <c r="B1119" s="27" t="s">
        <v>1800</v>
      </c>
      <c r="C1119" s="28">
        <v>2.8896799307946499</v>
      </c>
      <c r="D1119" s="26">
        <v>3.7649999999999997</v>
      </c>
      <c r="E1119" s="24">
        <f t="shared" si="68"/>
        <v>5</v>
      </c>
      <c r="F1119" s="24">
        <f>VLOOKUP(E1119,Q$5:R$11,2,FALSE)</f>
        <v>0.2</v>
      </c>
      <c r="G1119" s="24">
        <f t="shared" si="69"/>
        <v>3</v>
      </c>
      <c r="H1119" s="24">
        <f>IF(G1119&gt;G1118,H1118+C1119*F1119,C1119*F1119)</f>
        <v>1.724577435725648</v>
      </c>
      <c r="I1119" s="24">
        <f t="shared" si="70"/>
        <v>0.60000000000000009</v>
      </c>
      <c r="J1119" s="24">
        <f t="shared" si="71"/>
        <v>0</v>
      </c>
      <c r="K1119" s="24">
        <f>IF(CurrentMtgRatesDataTable811[[#This Row],[WA CC]]&lt;&gt;0,D1118-CurrentMtgRatesDataTable811[[#This Row],[WA CC]],0)</f>
        <v>0</v>
      </c>
      <c r="L1119" s="24">
        <f>IF(CurrentMtgRatesDataTable811[[#This Row],[Servicing Spread]]&lt;=0,L1118,CurrentMtgRatesDataTable811[[#This Row],[Servicing Spread]])</f>
        <v>0.852646747577682</v>
      </c>
      <c r="M1119" s="24">
        <f>CurrentMtgRatesDataTable811[[#This Row],[SeriesNumValue]]+CurrentMtgRatesDataTable811[[#This Row],[Servicing Spread Non-Zero]]</f>
        <v>3.7423266783723319</v>
      </c>
    </row>
    <row r="1120" spans="2:13" x14ac:dyDescent="0.2">
      <c r="B1120" s="27" t="s">
        <v>1801</v>
      </c>
      <c r="C1120" s="28">
        <v>2.9214483553786899</v>
      </c>
      <c r="D1120" s="26">
        <v>3.7649999999999997</v>
      </c>
      <c r="E1120" s="24">
        <f t="shared" si="68"/>
        <v>6</v>
      </c>
      <c r="F1120" s="24">
        <f>VLOOKUP(E1120,Q$5:R$11,2,FALSE)</f>
        <v>0.2</v>
      </c>
      <c r="G1120" s="24">
        <f t="shared" si="69"/>
        <v>4</v>
      </c>
      <c r="H1120" s="24">
        <f>IF(G1120&gt;G1119,H1119+C1120*F1120,C1120*F1120)</f>
        <v>2.3088671068013862</v>
      </c>
      <c r="I1120" s="24">
        <f t="shared" si="70"/>
        <v>0.8</v>
      </c>
      <c r="J1120" s="24">
        <f t="shared" si="71"/>
        <v>0</v>
      </c>
      <c r="K1120" s="24">
        <f>IF(CurrentMtgRatesDataTable811[[#This Row],[WA CC]]&lt;&gt;0,D1119-CurrentMtgRatesDataTable811[[#This Row],[WA CC]],0)</f>
        <v>0</v>
      </c>
      <c r="L1120" s="24">
        <f>IF(CurrentMtgRatesDataTable811[[#This Row],[Servicing Spread]]&lt;=0,L1119,CurrentMtgRatesDataTable811[[#This Row],[Servicing Spread]])</f>
        <v>0.852646747577682</v>
      </c>
      <c r="M1120" s="24">
        <f>CurrentMtgRatesDataTable811[[#This Row],[SeriesNumValue]]+CurrentMtgRatesDataTable811[[#This Row],[Servicing Spread Non-Zero]]</f>
        <v>3.7740951029563718</v>
      </c>
    </row>
    <row r="1121" spans="2:13" x14ac:dyDescent="0.2">
      <c r="B1121" s="27" t="s">
        <v>1802</v>
      </c>
      <c r="C1121" s="28">
        <v>2.9102623265110599</v>
      </c>
      <c r="D1121" s="26">
        <v>3.7649999999999997</v>
      </c>
      <c r="E1121" s="24">
        <f t="shared" si="68"/>
        <v>7</v>
      </c>
      <c r="F1121" s="24">
        <f>VLOOKUP(E1121,Q$5:R$11,2,FALSE)</f>
        <v>0.2</v>
      </c>
      <c r="G1121" s="24">
        <f t="shared" si="69"/>
        <v>5</v>
      </c>
      <c r="H1121" s="24">
        <f>IF(G1121&gt;G1120,H1120+C1121*F1121,C1121*F1121)</f>
        <v>2.8909195721035981</v>
      </c>
      <c r="I1121" s="24">
        <f t="shared" si="70"/>
        <v>1</v>
      </c>
      <c r="J1121" s="24">
        <f t="shared" si="71"/>
        <v>2.8909195721035981</v>
      </c>
      <c r="K1121" s="24">
        <f>IF(CurrentMtgRatesDataTable811[[#This Row],[WA CC]]&lt;&gt;0,D1120-CurrentMtgRatesDataTable811[[#This Row],[WA CC]],0)</f>
        <v>0.87408042789640161</v>
      </c>
      <c r="L1121" s="24">
        <f>IF(CurrentMtgRatesDataTable811[[#This Row],[Servicing Spread]]&lt;=0,L1120,CurrentMtgRatesDataTable811[[#This Row],[Servicing Spread]])</f>
        <v>0.87408042789640161</v>
      </c>
      <c r="M1121" s="24">
        <f>CurrentMtgRatesDataTable811[[#This Row],[SeriesNumValue]]+CurrentMtgRatesDataTable811[[#This Row],[Servicing Spread Non-Zero]]</f>
        <v>3.7843427544074615</v>
      </c>
    </row>
    <row r="1122" spans="2:13" x14ac:dyDescent="0.2">
      <c r="B1122" s="27" t="s">
        <v>1803</v>
      </c>
      <c r="C1122" s="28">
        <v>2.8599760435846102</v>
      </c>
      <c r="D1122" s="26">
        <v>3.77</v>
      </c>
      <c r="E1122" s="24">
        <f t="shared" si="68"/>
        <v>1</v>
      </c>
      <c r="F1122" s="24">
        <f>VLOOKUP(E1122,Q$5:R$11,2,FALSE)</f>
        <v>0.2</v>
      </c>
      <c r="G1122" s="24">
        <f t="shared" si="69"/>
        <v>1</v>
      </c>
      <c r="H1122" s="24">
        <f>IF(G1122&gt;G1121,H1121+C1122*F1122,C1122*F1122)</f>
        <v>0.57199520871692211</v>
      </c>
      <c r="I1122" s="24">
        <f t="shared" si="70"/>
        <v>0.2</v>
      </c>
      <c r="J1122" s="24">
        <f t="shared" si="71"/>
        <v>0</v>
      </c>
      <c r="K1122" s="24">
        <f>IF(CurrentMtgRatesDataTable811[[#This Row],[WA CC]]&lt;&gt;0,D1121-CurrentMtgRatesDataTable811[[#This Row],[WA CC]],0)</f>
        <v>0</v>
      </c>
      <c r="L1122" s="24">
        <f>IF(CurrentMtgRatesDataTable811[[#This Row],[Servicing Spread]]&lt;=0,L1121,CurrentMtgRatesDataTable811[[#This Row],[Servicing Spread]])</f>
        <v>0.87408042789640161</v>
      </c>
      <c r="M1122" s="24">
        <f>CurrentMtgRatesDataTable811[[#This Row],[SeriesNumValue]]+CurrentMtgRatesDataTable811[[#This Row],[Servicing Spread Non-Zero]]</f>
        <v>3.7340564714810118</v>
      </c>
    </row>
    <row r="1123" spans="2:13" x14ac:dyDescent="0.2">
      <c r="B1123" s="27" t="s">
        <v>1804</v>
      </c>
      <c r="C1123" s="28">
        <v>2.8915210158303699</v>
      </c>
      <c r="D1123" s="26">
        <v>3.77</v>
      </c>
      <c r="E1123" s="24">
        <f t="shared" si="68"/>
        <v>2</v>
      </c>
      <c r="F1123" s="24">
        <f>VLOOKUP(E1123,Q$5:R$11,2,FALSE)</f>
        <v>0.2</v>
      </c>
      <c r="G1123" s="24">
        <f t="shared" si="69"/>
        <v>2</v>
      </c>
      <c r="H1123" s="24">
        <f>IF(G1123&gt;G1122,H1122+C1123*F1123,C1123*F1123)</f>
        <v>1.1502994118829961</v>
      </c>
      <c r="I1123" s="24">
        <f t="shared" si="70"/>
        <v>0.4</v>
      </c>
      <c r="J1123" s="24">
        <f t="shared" si="71"/>
        <v>0</v>
      </c>
      <c r="K1123" s="24">
        <f>IF(CurrentMtgRatesDataTable811[[#This Row],[WA CC]]&lt;&gt;0,D1122-CurrentMtgRatesDataTable811[[#This Row],[WA CC]],0)</f>
        <v>0</v>
      </c>
      <c r="L1123" s="24">
        <f>IF(CurrentMtgRatesDataTable811[[#This Row],[Servicing Spread]]&lt;=0,L1122,CurrentMtgRatesDataTable811[[#This Row],[Servicing Spread]])</f>
        <v>0.87408042789640161</v>
      </c>
      <c r="M1123" s="24">
        <f>CurrentMtgRatesDataTable811[[#This Row],[SeriesNumValue]]+CurrentMtgRatesDataTable811[[#This Row],[Servicing Spread Non-Zero]]</f>
        <v>3.7656014437267715</v>
      </c>
    </row>
    <row r="1124" spans="2:13" x14ac:dyDescent="0.2">
      <c r="B1124" s="27" t="s">
        <v>1805</v>
      </c>
      <c r="C1124" s="28">
        <v>2.8500704386135798</v>
      </c>
      <c r="D1124" s="26">
        <v>3.77</v>
      </c>
      <c r="E1124" s="24">
        <f t="shared" si="68"/>
        <v>6</v>
      </c>
      <c r="F1124" s="24">
        <f>VLOOKUP(E1124,Q$5:R$11,2,FALSE)</f>
        <v>0.2</v>
      </c>
      <c r="G1124" s="24">
        <f t="shared" si="69"/>
        <v>3</v>
      </c>
      <c r="H1124" s="24">
        <f>IF(G1124&gt;G1123,H1123+C1124*F1124,C1124*F1124)</f>
        <v>1.7203134996057121</v>
      </c>
      <c r="I1124" s="24">
        <f t="shared" si="70"/>
        <v>0.60000000000000009</v>
      </c>
      <c r="J1124" s="24">
        <f t="shared" si="71"/>
        <v>0</v>
      </c>
      <c r="K1124" s="24">
        <f>IF(CurrentMtgRatesDataTable811[[#This Row],[WA CC]]&lt;&gt;0,D1123-CurrentMtgRatesDataTable811[[#This Row],[WA CC]],0)</f>
        <v>0</v>
      </c>
      <c r="L1124" s="24">
        <f>IF(CurrentMtgRatesDataTable811[[#This Row],[Servicing Spread]]&lt;=0,L1123,CurrentMtgRatesDataTable811[[#This Row],[Servicing Spread]])</f>
        <v>0.87408042789640161</v>
      </c>
      <c r="M1124" s="24">
        <f>CurrentMtgRatesDataTable811[[#This Row],[SeriesNumValue]]+CurrentMtgRatesDataTable811[[#This Row],[Servicing Spread Non-Zero]]</f>
        <v>3.7241508665099814</v>
      </c>
    </row>
    <row r="1125" spans="2:13" x14ac:dyDescent="0.2">
      <c r="B1125" s="27" t="s">
        <v>1806</v>
      </c>
      <c r="C1125" s="28">
        <v>2.8460665334928898</v>
      </c>
      <c r="D1125" s="26">
        <v>3.77</v>
      </c>
      <c r="E1125" s="24">
        <f t="shared" si="68"/>
        <v>7</v>
      </c>
      <c r="F1125" s="24">
        <f>VLOOKUP(E1125,Q$5:R$11,2,FALSE)</f>
        <v>0.2</v>
      </c>
      <c r="G1125" s="24">
        <f t="shared" si="69"/>
        <v>4</v>
      </c>
      <c r="H1125" s="24">
        <f>IF(G1125&gt;G1124,H1124+C1125*F1125,C1125*F1125)</f>
        <v>2.28952680630429</v>
      </c>
      <c r="I1125" s="24">
        <f t="shared" si="70"/>
        <v>0.8</v>
      </c>
      <c r="J1125" s="24">
        <f t="shared" si="71"/>
        <v>2.8619085078803623</v>
      </c>
      <c r="K1125" s="24">
        <f>IF(CurrentMtgRatesDataTable811[[#This Row],[WA CC]]&lt;&gt;0,D1124-CurrentMtgRatesDataTable811[[#This Row],[WA CC]],0)</f>
        <v>0.90809149211963769</v>
      </c>
      <c r="L1125" s="24">
        <f>IF(CurrentMtgRatesDataTable811[[#This Row],[Servicing Spread]]&lt;=0,L1124,CurrentMtgRatesDataTable811[[#This Row],[Servicing Spread]])</f>
        <v>0.90809149211963769</v>
      </c>
      <c r="M1125" s="24">
        <f>CurrentMtgRatesDataTable811[[#This Row],[SeriesNumValue]]+CurrentMtgRatesDataTable811[[#This Row],[Servicing Spread Non-Zero]]</f>
        <v>3.7541580256125275</v>
      </c>
    </row>
    <row r="1126" spans="2:13" x14ac:dyDescent="0.2">
      <c r="B1126" s="27" t="s">
        <v>1807</v>
      </c>
      <c r="C1126" s="28">
        <v>2.8413672152174398</v>
      </c>
      <c r="D1126" s="26">
        <v>3.77</v>
      </c>
      <c r="E1126" s="24">
        <f t="shared" si="68"/>
        <v>1</v>
      </c>
      <c r="F1126" s="24">
        <f>VLOOKUP(E1126,Q$5:R$11,2,FALSE)</f>
        <v>0.2</v>
      </c>
      <c r="G1126" s="24">
        <f t="shared" si="69"/>
        <v>1</v>
      </c>
      <c r="H1126" s="24">
        <f>IF(G1126&gt;G1125,H1125+C1126*F1126,C1126*F1126)</f>
        <v>0.56827344304348804</v>
      </c>
      <c r="I1126" s="24">
        <f t="shared" si="70"/>
        <v>0.2</v>
      </c>
      <c r="J1126" s="24">
        <f t="shared" si="71"/>
        <v>0</v>
      </c>
      <c r="K1126" s="24">
        <f>IF(CurrentMtgRatesDataTable811[[#This Row],[WA CC]]&lt;&gt;0,D1125-CurrentMtgRatesDataTable811[[#This Row],[WA CC]],0)</f>
        <v>0</v>
      </c>
      <c r="L1126" s="24">
        <f>IF(CurrentMtgRatesDataTable811[[#This Row],[Servicing Spread]]&lt;=0,L1125,CurrentMtgRatesDataTable811[[#This Row],[Servicing Spread]])</f>
        <v>0.90809149211963769</v>
      </c>
      <c r="M1126" s="24">
        <f>CurrentMtgRatesDataTable811[[#This Row],[SeriesNumValue]]+CurrentMtgRatesDataTable811[[#This Row],[Servicing Spread Non-Zero]]</f>
        <v>3.7494587073370775</v>
      </c>
    </row>
    <row r="1127" spans="2:13" x14ac:dyDescent="0.2">
      <c r="B1127" s="27" t="s">
        <v>1808</v>
      </c>
      <c r="C1127" s="28">
        <v>2.8125589424365498</v>
      </c>
      <c r="D1127" s="26">
        <v>3.77</v>
      </c>
      <c r="E1127" s="24">
        <f t="shared" si="68"/>
        <v>2</v>
      </c>
      <c r="F1127" s="24">
        <f>VLOOKUP(E1127,Q$5:R$11,2,FALSE)</f>
        <v>0.2</v>
      </c>
      <c r="G1127" s="24">
        <f t="shared" si="69"/>
        <v>2</v>
      </c>
      <c r="H1127" s="24">
        <f>IF(G1127&gt;G1126,H1126+C1127*F1127,C1127*F1127)</f>
        <v>1.130785231530798</v>
      </c>
      <c r="I1127" s="24">
        <f t="shared" si="70"/>
        <v>0.4</v>
      </c>
      <c r="J1127" s="24">
        <f t="shared" si="71"/>
        <v>0</v>
      </c>
      <c r="K1127" s="24">
        <f>IF(CurrentMtgRatesDataTable811[[#This Row],[WA CC]]&lt;&gt;0,D1126-CurrentMtgRatesDataTable811[[#This Row],[WA CC]],0)</f>
        <v>0</v>
      </c>
      <c r="L1127" s="24">
        <f>IF(CurrentMtgRatesDataTable811[[#This Row],[Servicing Spread]]&lt;=0,L1126,CurrentMtgRatesDataTable811[[#This Row],[Servicing Spread]])</f>
        <v>0.90809149211963769</v>
      </c>
      <c r="M1127" s="24">
        <f>CurrentMtgRatesDataTable811[[#This Row],[SeriesNumValue]]+CurrentMtgRatesDataTable811[[#This Row],[Servicing Spread Non-Zero]]</f>
        <v>3.7206504345561875</v>
      </c>
    </row>
    <row r="1128" spans="2:13" x14ac:dyDescent="0.2">
      <c r="B1128" s="27" t="s">
        <v>1809</v>
      </c>
      <c r="C1128" s="28">
        <v>2.8873082715202201</v>
      </c>
      <c r="D1128" s="26">
        <v>3.77</v>
      </c>
      <c r="E1128" s="24">
        <f t="shared" si="68"/>
        <v>5</v>
      </c>
      <c r="F1128" s="24">
        <f>VLOOKUP(E1128,Q$5:R$11,2,FALSE)</f>
        <v>0.2</v>
      </c>
      <c r="G1128" s="24">
        <f t="shared" si="69"/>
        <v>3</v>
      </c>
      <c r="H1128" s="24">
        <f>IF(G1128&gt;G1127,H1127+C1128*F1128,C1128*F1128)</f>
        <v>1.7082468858348421</v>
      </c>
      <c r="I1128" s="24">
        <f t="shared" si="70"/>
        <v>0.60000000000000009</v>
      </c>
      <c r="J1128" s="24">
        <f t="shared" si="71"/>
        <v>0</v>
      </c>
      <c r="K1128" s="24">
        <f>IF(CurrentMtgRatesDataTable811[[#This Row],[WA CC]]&lt;&gt;0,D1127-CurrentMtgRatesDataTable811[[#This Row],[WA CC]],0)</f>
        <v>0</v>
      </c>
      <c r="L1128" s="24">
        <f>IF(CurrentMtgRatesDataTable811[[#This Row],[Servicing Spread]]&lt;=0,L1127,CurrentMtgRatesDataTable811[[#This Row],[Servicing Spread]])</f>
        <v>0.90809149211963769</v>
      </c>
      <c r="M1128" s="24">
        <f>CurrentMtgRatesDataTable811[[#This Row],[SeriesNumValue]]+CurrentMtgRatesDataTable811[[#This Row],[Servicing Spread Non-Zero]]</f>
        <v>3.7953997636398578</v>
      </c>
    </row>
    <row r="1129" spans="2:13" x14ac:dyDescent="0.2">
      <c r="B1129" s="27" t="s">
        <v>1810</v>
      </c>
      <c r="C1129" s="28">
        <v>2.96123512742628</v>
      </c>
      <c r="D1129" s="26">
        <v>3.77</v>
      </c>
      <c r="E1129" s="24">
        <f t="shared" si="68"/>
        <v>6</v>
      </c>
      <c r="F1129" s="24">
        <f>VLOOKUP(E1129,Q$5:R$11,2,FALSE)</f>
        <v>0.2</v>
      </c>
      <c r="G1129" s="24">
        <f t="shared" si="69"/>
        <v>4</v>
      </c>
      <c r="H1129" s="24">
        <f>IF(G1129&gt;G1128,H1128+C1129*F1129,C1129*F1129)</f>
        <v>2.300493911320098</v>
      </c>
      <c r="I1129" s="24">
        <f t="shared" si="70"/>
        <v>0.8</v>
      </c>
      <c r="J1129" s="24">
        <f t="shared" si="71"/>
        <v>0</v>
      </c>
      <c r="K1129" s="24">
        <f>IF(CurrentMtgRatesDataTable811[[#This Row],[WA CC]]&lt;&gt;0,D1128-CurrentMtgRatesDataTable811[[#This Row],[WA CC]],0)</f>
        <v>0</v>
      </c>
      <c r="L1129" s="24">
        <f>IF(CurrentMtgRatesDataTable811[[#This Row],[Servicing Spread]]&lt;=0,L1128,CurrentMtgRatesDataTable811[[#This Row],[Servicing Spread]])</f>
        <v>0.90809149211963769</v>
      </c>
      <c r="M1129" s="24">
        <f>CurrentMtgRatesDataTable811[[#This Row],[SeriesNumValue]]+CurrentMtgRatesDataTable811[[#This Row],[Servicing Spread Non-Zero]]</f>
        <v>3.8693266195459177</v>
      </c>
    </row>
    <row r="1130" spans="2:13" x14ac:dyDescent="0.2">
      <c r="B1130" s="27" t="s">
        <v>1811</v>
      </c>
      <c r="C1130" s="28">
        <v>3.0744144315737501</v>
      </c>
      <c r="D1130" s="26">
        <v>3.77</v>
      </c>
      <c r="E1130" s="24">
        <f t="shared" si="68"/>
        <v>7</v>
      </c>
      <c r="F1130" s="24">
        <f>VLOOKUP(E1130,Q$5:R$11,2,FALSE)</f>
        <v>0.2</v>
      </c>
      <c r="G1130" s="24">
        <f t="shared" si="69"/>
        <v>5</v>
      </c>
      <c r="H1130" s="24">
        <f>IF(G1130&gt;G1129,H1129+C1130*F1130,C1130*F1130)</f>
        <v>2.9153767976348481</v>
      </c>
      <c r="I1130" s="24">
        <f t="shared" si="70"/>
        <v>1</v>
      </c>
      <c r="J1130" s="24">
        <f t="shared" si="71"/>
        <v>2.9153767976348481</v>
      </c>
      <c r="K1130" s="24">
        <f>IF(CurrentMtgRatesDataTable811[[#This Row],[WA CC]]&lt;&gt;0,D1129-CurrentMtgRatesDataTable811[[#This Row],[WA CC]],0)</f>
        <v>0.85462320236515188</v>
      </c>
      <c r="L1130" s="24">
        <f>IF(CurrentMtgRatesDataTable811[[#This Row],[Servicing Spread]]&lt;=0,L1129,CurrentMtgRatesDataTable811[[#This Row],[Servicing Spread]])</f>
        <v>0.85462320236515188</v>
      </c>
      <c r="M1130" s="24">
        <f>CurrentMtgRatesDataTable811[[#This Row],[SeriesNumValue]]+CurrentMtgRatesDataTable811[[#This Row],[Servicing Spread Non-Zero]]</f>
        <v>3.9290376339389019</v>
      </c>
    </row>
    <row r="1131" spans="2:13" x14ac:dyDescent="0.2">
      <c r="B1131" s="27" t="s">
        <v>1812</v>
      </c>
      <c r="C1131" s="28">
        <v>3.0256748636149999</v>
      </c>
      <c r="D1131" s="26">
        <v>3.94</v>
      </c>
      <c r="E1131" s="24">
        <f t="shared" si="68"/>
        <v>1</v>
      </c>
      <c r="F1131" s="24">
        <f>VLOOKUP(E1131,Q$5:R$11,2,FALSE)</f>
        <v>0.2</v>
      </c>
      <c r="G1131" s="24">
        <f t="shared" si="69"/>
        <v>1</v>
      </c>
      <c r="H1131" s="24">
        <f>IF(G1131&gt;G1130,H1130+C1131*F1131,C1131*F1131)</f>
        <v>0.60513497272299999</v>
      </c>
      <c r="I1131" s="24">
        <f t="shared" si="70"/>
        <v>0.2</v>
      </c>
      <c r="J1131" s="24">
        <f t="shared" si="71"/>
        <v>0</v>
      </c>
      <c r="K1131" s="24">
        <f>IF(CurrentMtgRatesDataTable811[[#This Row],[WA CC]]&lt;&gt;0,D1130-CurrentMtgRatesDataTable811[[#This Row],[WA CC]],0)</f>
        <v>0</v>
      </c>
      <c r="L1131" s="24">
        <f>IF(CurrentMtgRatesDataTable811[[#This Row],[Servicing Spread]]&lt;=0,L1130,CurrentMtgRatesDataTable811[[#This Row],[Servicing Spread]])</f>
        <v>0.85462320236515188</v>
      </c>
      <c r="M1131" s="24">
        <f>CurrentMtgRatesDataTable811[[#This Row],[SeriesNumValue]]+CurrentMtgRatesDataTable811[[#This Row],[Servicing Spread Non-Zero]]</f>
        <v>3.8802980659801518</v>
      </c>
    </row>
    <row r="1132" spans="2:13" x14ac:dyDescent="0.2">
      <c r="B1132" s="27" t="s">
        <v>1813</v>
      </c>
      <c r="C1132" s="28">
        <v>3.1185389251118698</v>
      </c>
      <c r="D1132" s="26">
        <v>3.94</v>
      </c>
      <c r="E1132" s="24">
        <f t="shared" si="68"/>
        <v>2</v>
      </c>
      <c r="F1132" s="24">
        <f>VLOOKUP(E1132,Q$5:R$11,2,FALSE)</f>
        <v>0.2</v>
      </c>
      <c r="G1132" s="24">
        <f t="shared" si="69"/>
        <v>2</v>
      </c>
      <c r="H1132" s="24">
        <f>IF(G1132&gt;G1131,H1131+C1132*F1132,C1132*F1132)</f>
        <v>1.228842757745374</v>
      </c>
      <c r="I1132" s="24">
        <f t="shared" si="70"/>
        <v>0.4</v>
      </c>
      <c r="J1132" s="24">
        <f t="shared" si="71"/>
        <v>0</v>
      </c>
      <c r="K1132" s="24">
        <f>IF(CurrentMtgRatesDataTable811[[#This Row],[WA CC]]&lt;&gt;0,D1131-CurrentMtgRatesDataTable811[[#This Row],[WA CC]],0)</f>
        <v>0</v>
      </c>
      <c r="L1132" s="24">
        <f>IF(CurrentMtgRatesDataTable811[[#This Row],[Servicing Spread]]&lt;=0,L1131,CurrentMtgRatesDataTable811[[#This Row],[Servicing Spread]])</f>
        <v>0.85462320236515188</v>
      </c>
      <c r="M1132" s="24">
        <f>CurrentMtgRatesDataTable811[[#This Row],[SeriesNumValue]]+CurrentMtgRatesDataTable811[[#This Row],[Servicing Spread Non-Zero]]</f>
        <v>3.9731621274770217</v>
      </c>
    </row>
    <row r="1133" spans="2:13" x14ac:dyDescent="0.2">
      <c r="B1133" s="27" t="s">
        <v>1814</v>
      </c>
      <c r="C1133" s="28">
        <v>3.0852280715370801</v>
      </c>
      <c r="D1133" s="26">
        <v>3.94</v>
      </c>
      <c r="E1133" s="24">
        <f t="shared" si="68"/>
        <v>5</v>
      </c>
      <c r="F1133" s="24">
        <f>VLOOKUP(E1133,Q$5:R$11,2,FALSE)</f>
        <v>0.2</v>
      </c>
      <c r="G1133" s="24">
        <f t="shared" si="69"/>
        <v>3</v>
      </c>
      <c r="H1133" s="24">
        <f>IF(G1133&gt;G1132,H1132+C1133*F1133,C1133*F1133)</f>
        <v>1.8458883720527901</v>
      </c>
      <c r="I1133" s="24">
        <f t="shared" si="70"/>
        <v>0.60000000000000009</v>
      </c>
      <c r="J1133" s="24">
        <f t="shared" si="71"/>
        <v>0</v>
      </c>
      <c r="K1133" s="24">
        <f>IF(CurrentMtgRatesDataTable811[[#This Row],[WA CC]]&lt;&gt;0,D1132-CurrentMtgRatesDataTable811[[#This Row],[WA CC]],0)</f>
        <v>0</v>
      </c>
      <c r="L1133" s="24">
        <f>IF(CurrentMtgRatesDataTable811[[#This Row],[Servicing Spread]]&lt;=0,L1132,CurrentMtgRatesDataTable811[[#This Row],[Servicing Spread]])</f>
        <v>0.85462320236515188</v>
      </c>
      <c r="M1133" s="24">
        <f>CurrentMtgRatesDataTable811[[#This Row],[SeriesNumValue]]+CurrentMtgRatesDataTable811[[#This Row],[Servicing Spread Non-Zero]]</f>
        <v>3.939851273902232</v>
      </c>
    </row>
    <row r="1134" spans="2:13" x14ac:dyDescent="0.2">
      <c r="B1134" s="27" t="s">
        <v>1815</v>
      </c>
      <c r="C1134" s="28">
        <v>3.1292995796246399</v>
      </c>
      <c r="D1134" s="26">
        <v>3.94</v>
      </c>
      <c r="E1134" s="24">
        <f t="shared" si="68"/>
        <v>6</v>
      </c>
      <c r="F1134" s="24">
        <f>VLOOKUP(E1134,Q$5:R$11,2,FALSE)</f>
        <v>0.2</v>
      </c>
      <c r="G1134" s="24">
        <f t="shared" si="69"/>
        <v>4</v>
      </c>
      <c r="H1134" s="24">
        <f>IF(G1134&gt;G1133,H1133+C1134*F1134,C1134*F1134)</f>
        <v>2.471748287977718</v>
      </c>
      <c r="I1134" s="24">
        <f t="shared" si="70"/>
        <v>0.8</v>
      </c>
      <c r="J1134" s="24">
        <f t="shared" si="71"/>
        <v>0</v>
      </c>
      <c r="K1134" s="24">
        <f>IF(CurrentMtgRatesDataTable811[[#This Row],[WA CC]]&lt;&gt;0,D1133-CurrentMtgRatesDataTable811[[#This Row],[WA CC]],0)</f>
        <v>0</v>
      </c>
      <c r="L1134" s="24">
        <f>IF(CurrentMtgRatesDataTable811[[#This Row],[Servicing Spread]]&lt;=0,L1133,CurrentMtgRatesDataTable811[[#This Row],[Servicing Spread]])</f>
        <v>0.85462320236515188</v>
      </c>
      <c r="M1134" s="24">
        <f>CurrentMtgRatesDataTable811[[#This Row],[SeriesNumValue]]+CurrentMtgRatesDataTable811[[#This Row],[Servicing Spread Non-Zero]]</f>
        <v>3.9839227819897918</v>
      </c>
    </row>
    <row r="1135" spans="2:13" x14ac:dyDescent="0.2">
      <c r="B1135" s="27" t="s">
        <v>1816</v>
      </c>
      <c r="C1135" s="28">
        <v>3.1773446759928401</v>
      </c>
      <c r="D1135" s="26">
        <v>3.94</v>
      </c>
      <c r="E1135" s="24">
        <f t="shared" si="68"/>
        <v>7</v>
      </c>
      <c r="F1135" s="24">
        <f>VLOOKUP(E1135,Q$5:R$11,2,FALSE)</f>
        <v>0.2</v>
      </c>
      <c r="G1135" s="24">
        <f t="shared" si="69"/>
        <v>5</v>
      </c>
      <c r="H1135" s="24">
        <f>IF(G1135&gt;G1134,H1134+C1135*F1135,C1135*F1135)</f>
        <v>3.1072172231762858</v>
      </c>
      <c r="I1135" s="24">
        <f t="shared" si="70"/>
        <v>1</v>
      </c>
      <c r="J1135" s="24">
        <f t="shared" si="71"/>
        <v>3.1072172231762858</v>
      </c>
      <c r="K1135" s="24">
        <f>IF(CurrentMtgRatesDataTable811[[#This Row],[WA CC]]&lt;&gt;0,D1134-CurrentMtgRatesDataTable811[[#This Row],[WA CC]],0)</f>
        <v>0.83278277682371415</v>
      </c>
      <c r="L1135" s="24">
        <f>IF(CurrentMtgRatesDataTable811[[#This Row],[Servicing Spread]]&lt;=0,L1134,CurrentMtgRatesDataTable811[[#This Row],[Servicing Spread]])</f>
        <v>0.83278277682371415</v>
      </c>
      <c r="M1135" s="24">
        <f>CurrentMtgRatesDataTable811[[#This Row],[SeriesNumValue]]+CurrentMtgRatesDataTable811[[#This Row],[Servicing Spread Non-Zero]]</f>
        <v>4.0101274528165547</v>
      </c>
    </row>
    <row r="1136" spans="2:13" x14ac:dyDescent="0.2">
      <c r="B1136" s="27" t="s">
        <v>1817</v>
      </c>
      <c r="C1136" s="28">
        <v>3.0761153132050598</v>
      </c>
      <c r="D1136" s="26">
        <v>3.9249999999999998</v>
      </c>
      <c r="E1136" s="24">
        <f t="shared" si="68"/>
        <v>1</v>
      </c>
      <c r="F1136" s="24">
        <f>VLOOKUP(E1136,Q$5:R$11,2,FALSE)</f>
        <v>0.2</v>
      </c>
      <c r="G1136" s="24">
        <f t="shared" si="69"/>
        <v>1</v>
      </c>
      <c r="H1136" s="24">
        <f>IF(G1136&gt;G1135,H1135+C1136*F1136,C1136*F1136)</f>
        <v>0.61522306264101201</v>
      </c>
      <c r="I1136" s="24">
        <f t="shared" si="70"/>
        <v>0.2</v>
      </c>
      <c r="J1136" s="24">
        <f t="shared" si="71"/>
        <v>0</v>
      </c>
      <c r="K1136" s="24">
        <f>IF(CurrentMtgRatesDataTable811[[#This Row],[WA CC]]&lt;&gt;0,D1135-CurrentMtgRatesDataTable811[[#This Row],[WA CC]],0)</f>
        <v>0</v>
      </c>
      <c r="L1136" s="24">
        <f>IF(CurrentMtgRatesDataTable811[[#This Row],[Servicing Spread]]&lt;=0,L1135,CurrentMtgRatesDataTable811[[#This Row],[Servicing Spread]])</f>
        <v>0.83278277682371415</v>
      </c>
      <c r="M1136" s="24">
        <f>CurrentMtgRatesDataTable811[[#This Row],[SeriesNumValue]]+CurrentMtgRatesDataTable811[[#This Row],[Servicing Spread Non-Zero]]</f>
        <v>3.908898090028774</v>
      </c>
    </row>
    <row r="1137" spans="2:13" x14ac:dyDescent="0.2">
      <c r="B1137" s="27" t="s">
        <v>1818</v>
      </c>
      <c r="C1137" s="28">
        <v>3.0919401279735599</v>
      </c>
      <c r="D1137" s="26">
        <v>3.9249999999999998</v>
      </c>
      <c r="E1137" s="24">
        <f t="shared" si="68"/>
        <v>2</v>
      </c>
      <c r="F1137" s="24">
        <f>VLOOKUP(E1137,Q$5:R$11,2,FALSE)</f>
        <v>0.2</v>
      </c>
      <c r="G1137" s="24">
        <f t="shared" si="69"/>
        <v>2</v>
      </c>
      <c r="H1137" s="24">
        <f>IF(G1137&gt;G1136,H1136+C1137*F1137,C1137*F1137)</f>
        <v>1.2336110882357241</v>
      </c>
      <c r="I1137" s="24">
        <f t="shared" si="70"/>
        <v>0.4</v>
      </c>
      <c r="J1137" s="24">
        <f t="shared" si="71"/>
        <v>0</v>
      </c>
      <c r="K1137" s="24">
        <f>IF(CurrentMtgRatesDataTable811[[#This Row],[WA CC]]&lt;&gt;0,D1136-CurrentMtgRatesDataTable811[[#This Row],[WA CC]],0)</f>
        <v>0</v>
      </c>
      <c r="L1137" s="24">
        <f>IF(CurrentMtgRatesDataTable811[[#This Row],[Servicing Spread]]&lt;=0,L1136,CurrentMtgRatesDataTable811[[#This Row],[Servicing Spread]])</f>
        <v>0.83278277682371415</v>
      </c>
      <c r="M1137" s="24">
        <f>CurrentMtgRatesDataTable811[[#This Row],[SeriesNumValue]]+CurrentMtgRatesDataTable811[[#This Row],[Servicing Spread Non-Zero]]</f>
        <v>3.924722904797274</v>
      </c>
    </row>
    <row r="1138" spans="2:13" x14ac:dyDescent="0.2">
      <c r="B1138" s="27" t="s">
        <v>1819</v>
      </c>
      <c r="C1138" s="28">
        <v>3.0848485059502999</v>
      </c>
      <c r="D1138" s="26">
        <v>3.9249999999999998</v>
      </c>
      <c r="E1138" s="24">
        <f t="shared" si="68"/>
        <v>5</v>
      </c>
      <c r="F1138" s="24">
        <f>VLOOKUP(E1138,Q$5:R$11,2,FALSE)</f>
        <v>0.2</v>
      </c>
      <c r="G1138" s="24">
        <f t="shared" si="69"/>
        <v>3</v>
      </c>
      <c r="H1138" s="24">
        <f>IF(G1138&gt;G1137,H1137+C1138*F1138,C1138*F1138)</f>
        <v>1.8505807894257842</v>
      </c>
      <c r="I1138" s="24">
        <f t="shared" si="70"/>
        <v>0.60000000000000009</v>
      </c>
      <c r="J1138" s="24">
        <f t="shared" si="71"/>
        <v>0</v>
      </c>
      <c r="K1138" s="24">
        <f>IF(CurrentMtgRatesDataTable811[[#This Row],[WA CC]]&lt;&gt;0,D1137-CurrentMtgRatesDataTable811[[#This Row],[WA CC]],0)</f>
        <v>0</v>
      </c>
      <c r="L1138" s="24">
        <f>IF(CurrentMtgRatesDataTable811[[#This Row],[Servicing Spread]]&lt;=0,L1137,CurrentMtgRatesDataTable811[[#This Row],[Servicing Spread]])</f>
        <v>0.83278277682371415</v>
      </c>
      <c r="M1138" s="24">
        <f>CurrentMtgRatesDataTable811[[#This Row],[SeriesNumValue]]+CurrentMtgRatesDataTable811[[#This Row],[Servicing Spread Non-Zero]]</f>
        <v>3.9176312827740141</v>
      </c>
    </row>
    <row r="1139" spans="2:13" x14ac:dyDescent="0.2">
      <c r="B1139" s="27" t="s">
        <v>1820</v>
      </c>
      <c r="C1139" s="28">
        <v>3.0537402902567599</v>
      </c>
      <c r="D1139" s="26">
        <v>3.9249999999999998</v>
      </c>
      <c r="E1139" s="24">
        <f t="shared" si="68"/>
        <v>6</v>
      </c>
      <c r="F1139" s="24">
        <f>VLOOKUP(E1139,Q$5:R$11,2,FALSE)</f>
        <v>0.2</v>
      </c>
      <c r="G1139" s="24">
        <f t="shared" si="69"/>
        <v>4</v>
      </c>
      <c r="H1139" s="24">
        <f>IF(G1139&gt;G1138,H1138+C1139*F1139,C1139*F1139)</f>
        <v>2.4613288474771364</v>
      </c>
      <c r="I1139" s="24">
        <f t="shared" si="70"/>
        <v>0.8</v>
      </c>
      <c r="J1139" s="24">
        <f t="shared" si="71"/>
        <v>0</v>
      </c>
      <c r="K1139" s="24">
        <f>IF(CurrentMtgRatesDataTable811[[#This Row],[WA CC]]&lt;&gt;0,D1138-CurrentMtgRatesDataTable811[[#This Row],[WA CC]],0)</f>
        <v>0</v>
      </c>
      <c r="L1139" s="24">
        <f>IF(CurrentMtgRatesDataTable811[[#This Row],[Servicing Spread]]&lt;=0,L1138,CurrentMtgRatesDataTable811[[#This Row],[Servicing Spread]])</f>
        <v>0.83278277682371415</v>
      </c>
      <c r="M1139" s="24">
        <f>CurrentMtgRatesDataTable811[[#This Row],[SeriesNumValue]]+CurrentMtgRatesDataTable811[[#This Row],[Servicing Spread Non-Zero]]</f>
        <v>3.886523067080474</v>
      </c>
    </row>
    <row r="1140" spans="2:13" x14ac:dyDescent="0.2">
      <c r="B1140" s="27" t="s">
        <v>1821</v>
      </c>
      <c r="C1140" s="28">
        <v>3.03216152423493</v>
      </c>
      <c r="D1140" s="26">
        <v>3.9249999999999998</v>
      </c>
      <c r="E1140" s="24">
        <f t="shared" si="68"/>
        <v>7</v>
      </c>
      <c r="F1140" s="24">
        <f>VLOOKUP(E1140,Q$5:R$11,2,FALSE)</f>
        <v>0.2</v>
      </c>
      <c r="G1140" s="24">
        <f t="shared" si="69"/>
        <v>5</v>
      </c>
      <c r="H1140" s="24">
        <f>IF(G1140&gt;G1139,H1139+C1140*F1140,C1140*F1140)</f>
        <v>3.0677611523241226</v>
      </c>
      <c r="I1140" s="24">
        <f t="shared" si="70"/>
        <v>1</v>
      </c>
      <c r="J1140" s="24">
        <f t="shared" si="71"/>
        <v>3.0677611523241226</v>
      </c>
      <c r="K1140" s="24">
        <f>IF(CurrentMtgRatesDataTable811[[#This Row],[WA CC]]&lt;&gt;0,D1139-CurrentMtgRatesDataTable811[[#This Row],[WA CC]],0)</f>
        <v>0.85723884767587721</v>
      </c>
      <c r="L1140" s="24">
        <f>IF(CurrentMtgRatesDataTable811[[#This Row],[Servicing Spread]]&lt;=0,L1139,CurrentMtgRatesDataTable811[[#This Row],[Servicing Spread]])</f>
        <v>0.85723884767587721</v>
      </c>
      <c r="M1140" s="24">
        <f>CurrentMtgRatesDataTable811[[#This Row],[SeriesNumValue]]+CurrentMtgRatesDataTable811[[#This Row],[Servicing Spread Non-Zero]]</f>
        <v>3.8894003719108072</v>
      </c>
    </row>
    <row r="1141" spans="2:13" x14ac:dyDescent="0.2">
      <c r="B1141" s="27" t="s">
        <v>1822</v>
      </c>
      <c r="C1141" s="28">
        <v>3.0468019127231698</v>
      </c>
      <c r="D1141" s="26">
        <v>3.9449999999999994</v>
      </c>
      <c r="E1141" s="24">
        <f t="shared" si="68"/>
        <v>1</v>
      </c>
      <c r="F1141" s="24">
        <f>VLOOKUP(E1141,Q$5:R$11,2,FALSE)</f>
        <v>0.2</v>
      </c>
      <c r="G1141" s="24">
        <f t="shared" si="69"/>
        <v>1</v>
      </c>
      <c r="H1141" s="24">
        <f>IF(G1141&gt;G1140,H1140+C1141*F1141,C1141*F1141)</f>
        <v>0.60936038254463398</v>
      </c>
      <c r="I1141" s="24">
        <f t="shared" si="70"/>
        <v>0.2</v>
      </c>
      <c r="J1141" s="24">
        <f t="shared" si="71"/>
        <v>0</v>
      </c>
      <c r="K1141" s="24">
        <f>IF(CurrentMtgRatesDataTable811[[#This Row],[WA CC]]&lt;&gt;0,D1140-CurrentMtgRatesDataTable811[[#This Row],[WA CC]],0)</f>
        <v>0</v>
      </c>
      <c r="L1141" s="24">
        <f>IF(CurrentMtgRatesDataTable811[[#This Row],[Servicing Spread]]&lt;=0,L1140,CurrentMtgRatesDataTable811[[#This Row],[Servicing Spread]])</f>
        <v>0.85723884767587721</v>
      </c>
      <c r="M1141" s="24">
        <f>CurrentMtgRatesDataTable811[[#This Row],[SeriesNumValue]]+CurrentMtgRatesDataTable811[[#This Row],[Servicing Spread Non-Zero]]</f>
        <v>3.904040760399047</v>
      </c>
    </row>
    <row r="1142" spans="2:13" x14ac:dyDescent="0.2">
      <c r="B1142" s="27" t="s">
        <v>1823</v>
      </c>
      <c r="C1142" s="28">
        <v>2.9822174038917302</v>
      </c>
      <c r="D1142" s="26">
        <v>3.9449999999999994</v>
      </c>
      <c r="E1142" s="24">
        <f t="shared" si="68"/>
        <v>2</v>
      </c>
      <c r="F1142" s="24">
        <f>VLOOKUP(E1142,Q$5:R$11,2,FALSE)</f>
        <v>0.2</v>
      </c>
      <c r="G1142" s="24">
        <f t="shared" si="69"/>
        <v>2</v>
      </c>
      <c r="H1142" s="24">
        <f>IF(G1142&gt;G1141,H1141+C1142*F1142,C1142*F1142)</f>
        <v>1.2058038633229802</v>
      </c>
      <c r="I1142" s="24">
        <f t="shared" si="70"/>
        <v>0.4</v>
      </c>
      <c r="J1142" s="24">
        <f t="shared" si="71"/>
        <v>0</v>
      </c>
      <c r="K1142" s="24">
        <f>IF(CurrentMtgRatesDataTable811[[#This Row],[WA CC]]&lt;&gt;0,D1141-CurrentMtgRatesDataTable811[[#This Row],[WA CC]],0)</f>
        <v>0</v>
      </c>
      <c r="L1142" s="24">
        <f>IF(CurrentMtgRatesDataTable811[[#This Row],[Servicing Spread]]&lt;=0,L1141,CurrentMtgRatesDataTable811[[#This Row],[Servicing Spread]])</f>
        <v>0.85723884767587721</v>
      </c>
      <c r="M1142" s="24">
        <f>CurrentMtgRatesDataTable811[[#This Row],[SeriesNumValue]]+CurrentMtgRatesDataTable811[[#This Row],[Servicing Spread Non-Zero]]</f>
        <v>3.8394562515676074</v>
      </c>
    </row>
    <row r="1143" spans="2:13" x14ac:dyDescent="0.2">
      <c r="B1143" s="27" t="s">
        <v>1824</v>
      </c>
      <c r="C1143" s="28">
        <v>3.0761568887156101</v>
      </c>
      <c r="D1143" s="26">
        <v>3.9449999999999994</v>
      </c>
      <c r="E1143" s="24">
        <f t="shared" si="68"/>
        <v>5</v>
      </c>
      <c r="F1143" s="24">
        <f>VLOOKUP(E1143,Q$5:R$11,2,FALSE)</f>
        <v>0.2</v>
      </c>
      <c r="G1143" s="24">
        <f t="shared" si="69"/>
        <v>3</v>
      </c>
      <c r="H1143" s="24">
        <f>IF(G1143&gt;G1142,H1142+C1143*F1143,C1143*F1143)</f>
        <v>1.8210352410661024</v>
      </c>
      <c r="I1143" s="24">
        <f t="shared" si="70"/>
        <v>0.60000000000000009</v>
      </c>
      <c r="J1143" s="24">
        <f t="shared" si="71"/>
        <v>0</v>
      </c>
      <c r="K1143" s="24">
        <f>IF(CurrentMtgRatesDataTable811[[#This Row],[WA CC]]&lt;&gt;0,D1142-CurrentMtgRatesDataTable811[[#This Row],[WA CC]],0)</f>
        <v>0</v>
      </c>
      <c r="L1143" s="24">
        <f>IF(CurrentMtgRatesDataTable811[[#This Row],[Servicing Spread]]&lt;=0,L1142,CurrentMtgRatesDataTable811[[#This Row],[Servicing Spread]])</f>
        <v>0.85723884767587721</v>
      </c>
      <c r="M1143" s="24">
        <f>CurrentMtgRatesDataTable811[[#This Row],[SeriesNumValue]]+CurrentMtgRatesDataTable811[[#This Row],[Servicing Spread Non-Zero]]</f>
        <v>3.9333957363914873</v>
      </c>
    </row>
    <row r="1144" spans="2:13" x14ac:dyDescent="0.2">
      <c r="B1144" s="27" t="s">
        <v>1825</v>
      </c>
      <c r="C1144" s="28">
        <v>3.1219045210798799</v>
      </c>
      <c r="D1144" s="26">
        <v>3.9449999999999994</v>
      </c>
      <c r="E1144" s="24">
        <f t="shared" si="68"/>
        <v>6</v>
      </c>
      <c r="F1144" s="24">
        <f>VLOOKUP(E1144,Q$5:R$11,2,FALSE)</f>
        <v>0.2</v>
      </c>
      <c r="G1144" s="24">
        <f t="shared" si="69"/>
        <v>4</v>
      </c>
      <c r="H1144" s="24">
        <f>IF(G1144&gt;G1143,H1143+C1144*F1144,C1144*F1144)</f>
        <v>2.4454161452820786</v>
      </c>
      <c r="I1144" s="24">
        <f t="shared" si="70"/>
        <v>0.8</v>
      </c>
      <c r="J1144" s="24">
        <f t="shared" si="71"/>
        <v>0</v>
      </c>
      <c r="K1144" s="24">
        <f>IF(CurrentMtgRatesDataTable811[[#This Row],[WA CC]]&lt;&gt;0,D1143-CurrentMtgRatesDataTable811[[#This Row],[WA CC]],0)</f>
        <v>0</v>
      </c>
      <c r="L1144" s="24">
        <f>IF(CurrentMtgRatesDataTable811[[#This Row],[Servicing Spread]]&lt;=0,L1143,CurrentMtgRatesDataTable811[[#This Row],[Servicing Spread]])</f>
        <v>0.85723884767587721</v>
      </c>
      <c r="M1144" s="24">
        <f>CurrentMtgRatesDataTable811[[#This Row],[SeriesNumValue]]+CurrentMtgRatesDataTable811[[#This Row],[Servicing Spread Non-Zero]]</f>
        <v>3.9791433687557571</v>
      </c>
    </row>
    <row r="1145" spans="2:13" x14ac:dyDescent="0.2">
      <c r="B1145" s="27" t="s">
        <v>1826</v>
      </c>
      <c r="C1145" s="28">
        <v>3.0912606104251101</v>
      </c>
      <c r="D1145" s="26">
        <v>3.9449999999999994</v>
      </c>
      <c r="E1145" s="24">
        <f t="shared" si="68"/>
        <v>7</v>
      </c>
      <c r="F1145" s="24">
        <f>VLOOKUP(E1145,Q$5:R$11,2,FALSE)</f>
        <v>0.2</v>
      </c>
      <c r="G1145" s="24">
        <f t="shared" si="69"/>
        <v>5</v>
      </c>
      <c r="H1145" s="24">
        <f>IF(G1145&gt;G1144,H1144+C1145*F1145,C1145*F1145)</f>
        <v>3.0636682673671007</v>
      </c>
      <c r="I1145" s="24">
        <f t="shared" si="70"/>
        <v>1</v>
      </c>
      <c r="J1145" s="24">
        <f t="shared" si="71"/>
        <v>3.0636682673671007</v>
      </c>
      <c r="K1145" s="24">
        <f>IF(CurrentMtgRatesDataTable811[[#This Row],[WA CC]]&lt;&gt;0,D1144-CurrentMtgRatesDataTable811[[#This Row],[WA CC]],0)</f>
        <v>0.88133173263289866</v>
      </c>
      <c r="L1145" s="24">
        <f>IF(CurrentMtgRatesDataTable811[[#This Row],[Servicing Spread]]&lt;=0,L1144,CurrentMtgRatesDataTable811[[#This Row],[Servicing Spread]])</f>
        <v>0.88133173263289866</v>
      </c>
      <c r="M1145" s="24">
        <f>CurrentMtgRatesDataTable811[[#This Row],[SeriesNumValue]]+CurrentMtgRatesDataTable811[[#This Row],[Servicing Spread Non-Zero]]</f>
        <v>3.9725923430580088</v>
      </c>
    </row>
    <row r="1146" spans="2:13" x14ac:dyDescent="0.2">
      <c r="B1146" s="27" t="s">
        <v>1827</v>
      </c>
      <c r="C1146" s="28">
        <v>3.1158923075545402</v>
      </c>
      <c r="D1146" s="26">
        <v>3.98</v>
      </c>
      <c r="E1146" s="24">
        <f t="shared" si="68"/>
        <v>1</v>
      </c>
      <c r="F1146" s="24">
        <f>VLOOKUP(E1146,Q$5:R$11,2,FALSE)</f>
        <v>0.2</v>
      </c>
      <c r="G1146" s="24">
        <f t="shared" si="69"/>
        <v>1</v>
      </c>
      <c r="H1146" s="24">
        <f>IF(G1146&gt;G1145,H1145+C1146*F1146,C1146*F1146)</f>
        <v>0.62317846151090805</v>
      </c>
      <c r="I1146" s="24">
        <f t="shared" si="70"/>
        <v>0.2</v>
      </c>
      <c r="J1146" s="24">
        <f t="shared" si="71"/>
        <v>0</v>
      </c>
      <c r="K1146" s="24">
        <f>IF(CurrentMtgRatesDataTable811[[#This Row],[WA CC]]&lt;&gt;0,D1145-CurrentMtgRatesDataTable811[[#This Row],[WA CC]],0)</f>
        <v>0</v>
      </c>
      <c r="L1146" s="24">
        <f>IF(CurrentMtgRatesDataTable811[[#This Row],[Servicing Spread]]&lt;=0,L1145,CurrentMtgRatesDataTable811[[#This Row],[Servicing Spread]])</f>
        <v>0.88133173263289866</v>
      </c>
      <c r="M1146" s="24">
        <f>CurrentMtgRatesDataTable811[[#This Row],[SeriesNumValue]]+CurrentMtgRatesDataTable811[[#This Row],[Servicing Spread Non-Zero]]</f>
        <v>3.9972240401874388</v>
      </c>
    </row>
    <row r="1147" spans="2:13" x14ac:dyDescent="0.2">
      <c r="B1147" s="27" t="s">
        <v>1828</v>
      </c>
      <c r="C1147" s="28">
        <v>3.2022687944333499</v>
      </c>
      <c r="D1147" s="26">
        <v>3.98</v>
      </c>
      <c r="E1147" s="24">
        <f t="shared" si="68"/>
        <v>2</v>
      </c>
      <c r="F1147" s="24">
        <f>VLOOKUP(E1147,Q$5:R$11,2,FALSE)</f>
        <v>0.2</v>
      </c>
      <c r="G1147" s="24">
        <f t="shared" si="69"/>
        <v>2</v>
      </c>
      <c r="H1147" s="24">
        <f>IF(G1147&gt;G1146,H1146+C1147*F1147,C1147*F1147)</f>
        <v>1.2636322203975781</v>
      </c>
      <c r="I1147" s="24">
        <f t="shared" si="70"/>
        <v>0.4</v>
      </c>
      <c r="J1147" s="24">
        <f t="shared" si="71"/>
        <v>0</v>
      </c>
      <c r="K1147" s="24">
        <f>IF(CurrentMtgRatesDataTable811[[#This Row],[WA CC]]&lt;&gt;0,D1146-CurrentMtgRatesDataTable811[[#This Row],[WA CC]],0)</f>
        <v>0</v>
      </c>
      <c r="L1147" s="24">
        <f>IF(CurrentMtgRatesDataTable811[[#This Row],[Servicing Spread]]&lt;=0,L1146,CurrentMtgRatesDataTable811[[#This Row],[Servicing Spread]])</f>
        <v>0.88133173263289866</v>
      </c>
      <c r="M1147" s="24">
        <f>CurrentMtgRatesDataTable811[[#This Row],[SeriesNumValue]]+CurrentMtgRatesDataTable811[[#This Row],[Servicing Spread Non-Zero]]</f>
        <v>4.083600527066249</v>
      </c>
    </row>
    <row r="1148" spans="2:13" x14ac:dyDescent="0.2">
      <c r="B1148" s="27" t="s">
        <v>1829</v>
      </c>
      <c r="C1148" s="28">
        <v>3.0851869199683102</v>
      </c>
      <c r="D1148" s="26">
        <v>3.98</v>
      </c>
      <c r="E1148" s="24">
        <f t="shared" si="68"/>
        <v>5</v>
      </c>
      <c r="F1148" s="24">
        <f>VLOOKUP(E1148,Q$5:R$11,2,FALSE)</f>
        <v>0.2</v>
      </c>
      <c r="G1148" s="24">
        <f t="shared" si="69"/>
        <v>3</v>
      </c>
      <c r="H1148" s="24">
        <f>IF(G1148&gt;G1147,H1147+C1148*F1148,C1148*F1148)</f>
        <v>1.8806696043912401</v>
      </c>
      <c r="I1148" s="24">
        <f t="shared" si="70"/>
        <v>0.60000000000000009</v>
      </c>
      <c r="J1148" s="24">
        <f t="shared" si="71"/>
        <v>0</v>
      </c>
      <c r="K1148" s="24">
        <f>IF(CurrentMtgRatesDataTable811[[#This Row],[WA CC]]&lt;&gt;0,D1147-CurrentMtgRatesDataTable811[[#This Row],[WA CC]],0)</f>
        <v>0</v>
      </c>
      <c r="L1148" s="24">
        <f>IF(CurrentMtgRatesDataTable811[[#This Row],[Servicing Spread]]&lt;=0,L1147,CurrentMtgRatesDataTable811[[#This Row],[Servicing Spread]])</f>
        <v>0.88133173263289866</v>
      </c>
      <c r="M1148" s="24">
        <f>CurrentMtgRatesDataTable811[[#This Row],[SeriesNumValue]]+CurrentMtgRatesDataTable811[[#This Row],[Servicing Spread Non-Zero]]</f>
        <v>3.9665186526012088</v>
      </c>
    </row>
    <row r="1149" spans="2:13" x14ac:dyDescent="0.2">
      <c r="B1149" s="27" t="s">
        <v>1830</v>
      </c>
      <c r="C1149" s="28">
        <v>3.0732804432921599</v>
      </c>
      <c r="D1149" s="26">
        <v>3.98</v>
      </c>
      <c r="E1149" s="24">
        <f t="shared" si="68"/>
        <v>6</v>
      </c>
      <c r="F1149" s="24">
        <f>VLOOKUP(E1149,Q$5:R$11,2,FALSE)</f>
        <v>0.2</v>
      </c>
      <c r="G1149" s="24">
        <f t="shared" si="69"/>
        <v>4</v>
      </c>
      <c r="H1149" s="24">
        <f>IF(G1149&gt;G1148,H1148+C1149*F1149,C1149*F1149)</f>
        <v>2.4953256930496721</v>
      </c>
      <c r="I1149" s="24">
        <f t="shared" si="70"/>
        <v>0.8</v>
      </c>
      <c r="J1149" s="24">
        <f t="shared" si="71"/>
        <v>0</v>
      </c>
      <c r="K1149" s="24">
        <f>IF(CurrentMtgRatesDataTable811[[#This Row],[WA CC]]&lt;&gt;0,D1148-CurrentMtgRatesDataTable811[[#This Row],[WA CC]],0)</f>
        <v>0</v>
      </c>
      <c r="L1149" s="24">
        <f>IF(CurrentMtgRatesDataTable811[[#This Row],[Servicing Spread]]&lt;=0,L1148,CurrentMtgRatesDataTable811[[#This Row],[Servicing Spread]])</f>
        <v>0.88133173263289866</v>
      </c>
      <c r="M1149" s="24">
        <f>CurrentMtgRatesDataTable811[[#This Row],[SeriesNumValue]]+CurrentMtgRatesDataTable811[[#This Row],[Servicing Spread Non-Zero]]</f>
        <v>3.9546121759250585</v>
      </c>
    </row>
    <row r="1150" spans="2:13" x14ac:dyDescent="0.2">
      <c r="B1150" s="27" t="s">
        <v>1831</v>
      </c>
      <c r="C1150" s="28">
        <v>3.16276525236256</v>
      </c>
      <c r="D1150" s="26">
        <v>3.98</v>
      </c>
      <c r="E1150" s="24">
        <f t="shared" si="68"/>
        <v>7</v>
      </c>
      <c r="F1150" s="24">
        <f>VLOOKUP(E1150,Q$5:R$11,2,FALSE)</f>
        <v>0.2</v>
      </c>
      <c r="G1150" s="24">
        <f t="shared" si="69"/>
        <v>5</v>
      </c>
      <c r="H1150" s="24">
        <f>IF(G1150&gt;G1149,H1149+C1150*F1150,C1150*F1150)</f>
        <v>3.1278787435221842</v>
      </c>
      <c r="I1150" s="24">
        <f t="shared" si="70"/>
        <v>1</v>
      </c>
      <c r="J1150" s="24">
        <f t="shared" si="71"/>
        <v>3.1278787435221842</v>
      </c>
      <c r="K1150" s="24">
        <f>IF(CurrentMtgRatesDataTable811[[#This Row],[WA CC]]&lt;&gt;0,D1149-CurrentMtgRatesDataTable811[[#This Row],[WA CC]],0)</f>
        <v>0.85212125647781578</v>
      </c>
      <c r="L1150" s="24">
        <f>IF(CurrentMtgRatesDataTable811[[#This Row],[Servicing Spread]]&lt;=0,L1149,CurrentMtgRatesDataTable811[[#This Row],[Servicing Spread]])</f>
        <v>0.85212125647781578</v>
      </c>
      <c r="M1150" s="24">
        <f>CurrentMtgRatesDataTable811[[#This Row],[SeriesNumValue]]+CurrentMtgRatesDataTable811[[#This Row],[Servicing Spread Non-Zero]]</f>
        <v>4.0148865088403758</v>
      </c>
    </row>
    <row r="1151" spans="2:13" x14ac:dyDescent="0.2">
      <c r="B1151" s="27" t="s">
        <v>1832</v>
      </c>
      <c r="C1151" s="28">
        <v>3.1329453977786899</v>
      </c>
      <c r="D1151" s="26">
        <v>3.94</v>
      </c>
      <c r="E1151" s="24">
        <f t="shared" si="68"/>
        <v>1</v>
      </c>
      <c r="F1151" s="24">
        <f>VLOOKUP(E1151,Q$5:R$11,2,FALSE)</f>
        <v>0.2</v>
      </c>
      <c r="G1151" s="24">
        <f t="shared" si="69"/>
        <v>1</v>
      </c>
      <c r="H1151" s="24">
        <f>IF(G1151&gt;G1150,H1150+C1151*F1151,C1151*F1151)</f>
        <v>0.62658907955573806</v>
      </c>
      <c r="I1151" s="24">
        <f t="shared" si="70"/>
        <v>0.2</v>
      </c>
      <c r="J1151" s="24">
        <f t="shared" si="71"/>
        <v>0</v>
      </c>
      <c r="K1151" s="24">
        <f>IF(CurrentMtgRatesDataTable811[[#This Row],[WA CC]]&lt;&gt;0,D1150-CurrentMtgRatesDataTable811[[#This Row],[WA CC]],0)</f>
        <v>0</v>
      </c>
      <c r="L1151" s="24">
        <f>IF(CurrentMtgRatesDataTable811[[#This Row],[Servicing Spread]]&lt;=0,L1150,CurrentMtgRatesDataTable811[[#This Row],[Servicing Spread]])</f>
        <v>0.85212125647781578</v>
      </c>
      <c r="M1151" s="24">
        <f>CurrentMtgRatesDataTable811[[#This Row],[SeriesNumValue]]+CurrentMtgRatesDataTable811[[#This Row],[Servicing Spread Non-Zero]]</f>
        <v>3.9850666542565056</v>
      </c>
    </row>
    <row r="1152" spans="2:13" x14ac:dyDescent="0.2">
      <c r="B1152" s="27" t="s">
        <v>1833</v>
      </c>
      <c r="C1152" s="28">
        <v>3.0409627195865201</v>
      </c>
      <c r="D1152" s="26">
        <v>3.94</v>
      </c>
      <c r="E1152" s="24">
        <f t="shared" si="68"/>
        <v>5</v>
      </c>
      <c r="F1152" s="24">
        <f>VLOOKUP(E1152,Q$5:R$11,2,FALSE)</f>
        <v>0.2</v>
      </c>
      <c r="G1152" s="24">
        <f t="shared" si="69"/>
        <v>2</v>
      </c>
      <c r="H1152" s="24">
        <f>IF(G1152&gt;G1151,H1151+C1152*F1152,C1152*F1152)</f>
        <v>1.234781623473042</v>
      </c>
      <c r="I1152" s="24">
        <f t="shared" si="70"/>
        <v>0.4</v>
      </c>
      <c r="J1152" s="24">
        <f t="shared" si="71"/>
        <v>0</v>
      </c>
      <c r="K1152" s="24">
        <f>IF(CurrentMtgRatesDataTable811[[#This Row],[WA CC]]&lt;&gt;0,D1151-CurrentMtgRatesDataTable811[[#This Row],[WA CC]],0)</f>
        <v>0</v>
      </c>
      <c r="L1152" s="24">
        <f>IF(CurrentMtgRatesDataTable811[[#This Row],[Servicing Spread]]&lt;=0,L1151,CurrentMtgRatesDataTable811[[#This Row],[Servicing Spread]])</f>
        <v>0.85212125647781578</v>
      </c>
      <c r="M1152" s="24">
        <f>CurrentMtgRatesDataTable811[[#This Row],[SeriesNumValue]]+CurrentMtgRatesDataTable811[[#This Row],[Servicing Spread Non-Zero]]</f>
        <v>3.8930839760643359</v>
      </c>
    </row>
    <row r="1153" spans="2:13" x14ac:dyDescent="0.2">
      <c r="B1153" s="27" t="s">
        <v>1834</v>
      </c>
      <c r="C1153" s="28">
        <v>3.00985191194196</v>
      </c>
      <c r="D1153" s="26">
        <v>3.94</v>
      </c>
      <c r="E1153" s="24">
        <f t="shared" si="68"/>
        <v>6</v>
      </c>
      <c r="F1153" s="24">
        <f>VLOOKUP(E1153,Q$5:R$11,2,FALSE)</f>
        <v>0.2</v>
      </c>
      <c r="G1153" s="24">
        <f t="shared" si="69"/>
        <v>3</v>
      </c>
      <c r="H1153" s="24">
        <f>IF(G1153&gt;G1152,H1152+C1153*F1153,C1153*F1153)</f>
        <v>1.8367520058614342</v>
      </c>
      <c r="I1153" s="24">
        <f t="shared" si="70"/>
        <v>0.60000000000000009</v>
      </c>
      <c r="J1153" s="24">
        <f t="shared" si="71"/>
        <v>0</v>
      </c>
      <c r="K1153" s="24">
        <f>IF(CurrentMtgRatesDataTable811[[#This Row],[WA CC]]&lt;&gt;0,D1152-CurrentMtgRatesDataTable811[[#This Row],[WA CC]],0)</f>
        <v>0</v>
      </c>
      <c r="L1153" s="24">
        <f>IF(CurrentMtgRatesDataTable811[[#This Row],[Servicing Spread]]&lt;=0,L1152,CurrentMtgRatesDataTable811[[#This Row],[Servicing Spread]])</f>
        <v>0.85212125647781578</v>
      </c>
      <c r="M1153" s="24">
        <f>CurrentMtgRatesDataTable811[[#This Row],[SeriesNumValue]]+CurrentMtgRatesDataTable811[[#This Row],[Servicing Spread Non-Zero]]</f>
        <v>3.8619731684197758</v>
      </c>
    </row>
    <row r="1154" spans="2:13" x14ac:dyDescent="0.2">
      <c r="B1154" s="27" t="s">
        <v>1835</v>
      </c>
      <c r="C1154" s="28">
        <v>2.9791453962399599</v>
      </c>
      <c r="D1154" s="26">
        <v>3.94</v>
      </c>
      <c r="E1154" s="24">
        <f t="shared" si="68"/>
        <v>7</v>
      </c>
      <c r="F1154" s="24">
        <f>VLOOKUP(E1154,Q$5:R$11,2,FALSE)</f>
        <v>0.2</v>
      </c>
      <c r="G1154" s="24">
        <f t="shared" si="69"/>
        <v>4</v>
      </c>
      <c r="H1154" s="24">
        <f>IF(G1154&gt;G1153,H1153+C1154*F1154,C1154*F1154)</f>
        <v>2.4325810851094261</v>
      </c>
      <c r="I1154" s="24">
        <f t="shared" si="70"/>
        <v>0.8</v>
      </c>
      <c r="J1154" s="24">
        <f t="shared" si="71"/>
        <v>3.0407263563867826</v>
      </c>
      <c r="K1154" s="24">
        <f>IF(CurrentMtgRatesDataTable811[[#This Row],[WA CC]]&lt;&gt;0,D1153-CurrentMtgRatesDataTable811[[#This Row],[WA CC]],0)</f>
        <v>0.89927364361321738</v>
      </c>
      <c r="L1154" s="24">
        <f>IF(CurrentMtgRatesDataTable811[[#This Row],[Servicing Spread]]&lt;=0,L1153,CurrentMtgRatesDataTable811[[#This Row],[Servicing Spread]])</f>
        <v>0.89927364361321738</v>
      </c>
      <c r="M1154" s="24">
        <f>CurrentMtgRatesDataTable811[[#This Row],[SeriesNumValue]]+CurrentMtgRatesDataTable811[[#This Row],[Servicing Spread Non-Zero]]</f>
        <v>3.8784190398531773</v>
      </c>
    </row>
    <row r="1155" spans="2:13" x14ac:dyDescent="0.2">
      <c r="B1155" s="27" t="s">
        <v>1836</v>
      </c>
      <c r="C1155" s="28">
        <v>3.0519928057207899</v>
      </c>
      <c r="D1155" s="26">
        <v>3.9899999999999998</v>
      </c>
      <c r="E1155" s="24">
        <f t="shared" ref="E1155:E1218" si="72">WEEKDAY(B1155,14)</f>
        <v>1</v>
      </c>
      <c r="F1155" s="24">
        <f>VLOOKUP(E1155,Q$5:R$11,2,FALSE)</f>
        <v>0.2</v>
      </c>
      <c r="G1155" s="24">
        <f t="shared" ref="G1155:G1218" si="73">IF(AND(E1155&gt;E1154,G1154&lt;6),G1154+1,1)</f>
        <v>1</v>
      </c>
      <c r="H1155" s="24">
        <f>IF(G1155&gt;G1154,H1154+C1155*F1155,C1155*F1155)</f>
        <v>0.61039856114415803</v>
      </c>
      <c r="I1155" s="24">
        <f t="shared" ref="I1155:I1218" si="74">IF(AND(G1155&lt;6,G1155&gt;G1154),F1155+I1154,F1155)</f>
        <v>0.2</v>
      </c>
      <c r="J1155" s="24">
        <f t="shared" ref="J1155:J1218" si="75">IF(G1155&gt;G1156,H1155/I1155,0)</f>
        <v>0</v>
      </c>
      <c r="K1155" s="24">
        <f>IF(CurrentMtgRatesDataTable811[[#This Row],[WA CC]]&lt;&gt;0,D1154-CurrentMtgRatesDataTable811[[#This Row],[WA CC]],0)</f>
        <v>0</v>
      </c>
      <c r="L1155" s="24">
        <f>IF(CurrentMtgRatesDataTable811[[#This Row],[Servicing Spread]]&lt;=0,L1154,CurrentMtgRatesDataTable811[[#This Row],[Servicing Spread]])</f>
        <v>0.89927364361321738</v>
      </c>
      <c r="M1155" s="24">
        <f>CurrentMtgRatesDataTable811[[#This Row],[SeriesNumValue]]+CurrentMtgRatesDataTable811[[#This Row],[Servicing Spread Non-Zero]]</f>
        <v>3.9512664493340073</v>
      </c>
    </row>
    <row r="1156" spans="2:13" x14ac:dyDescent="0.2">
      <c r="B1156" s="27" t="s">
        <v>1837</v>
      </c>
      <c r="C1156" s="28">
        <v>3.1469144966257199</v>
      </c>
      <c r="D1156" s="26">
        <v>3.9899999999999998</v>
      </c>
      <c r="E1156" s="24">
        <f t="shared" si="72"/>
        <v>2</v>
      </c>
      <c r="F1156" s="24">
        <f>VLOOKUP(E1156,Q$5:R$11,2,FALSE)</f>
        <v>0.2</v>
      </c>
      <c r="G1156" s="24">
        <f t="shared" si="73"/>
        <v>2</v>
      </c>
      <c r="H1156" s="24">
        <f>IF(G1156&gt;G1155,H1155+C1156*F1156,C1156*F1156)</f>
        <v>1.239781460469302</v>
      </c>
      <c r="I1156" s="24">
        <f t="shared" si="74"/>
        <v>0.4</v>
      </c>
      <c r="J1156" s="24">
        <f t="shared" si="75"/>
        <v>0</v>
      </c>
      <c r="K1156" s="24">
        <f>IF(CurrentMtgRatesDataTable811[[#This Row],[WA CC]]&lt;&gt;0,D1155-CurrentMtgRatesDataTable811[[#This Row],[WA CC]],0)</f>
        <v>0</v>
      </c>
      <c r="L1156" s="24">
        <f>IF(CurrentMtgRatesDataTable811[[#This Row],[Servicing Spread]]&lt;=0,L1155,CurrentMtgRatesDataTable811[[#This Row],[Servicing Spread]])</f>
        <v>0.89927364361321738</v>
      </c>
      <c r="M1156" s="24">
        <f>CurrentMtgRatesDataTable811[[#This Row],[SeriesNumValue]]+CurrentMtgRatesDataTable811[[#This Row],[Servicing Spread Non-Zero]]</f>
        <v>4.0461881402389377</v>
      </c>
    </row>
    <row r="1157" spans="2:13" x14ac:dyDescent="0.2">
      <c r="B1157" s="27" t="s">
        <v>1838</v>
      </c>
      <c r="C1157" s="28">
        <v>3.1440801611331</v>
      </c>
      <c r="D1157" s="26">
        <v>3.9899999999999998</v>
      </c>
      <c r="E1157" s="24">
        <f t="shared" si="72"/>
        <v>5</v>
      </c>
      <c r="F1157" s="24">
        <f>VLOOKUP(E1157,Q$5:R$11,2,FALSE)</f>
        <v>0.2</v>
      </c>
      <c r="G1157" s="24">
        <f t="shared" si="73"/>
        <v>3</v>
      </c>
      <c r="H1157" s="24">
        <f>IF(G1157&gt;G1156,H1156+C1157*F1157,C1157*F1157)</f>
        <v>1.8685974926959221</v>
      </c>
      <c r="I1157" s="24">
        <f t="shared" si="74"/>
        <v>0.60000000000000009</v>
      </c>
      <c r="J1157" s="24">
        <f t="shared" si="75"/>
        <v>0</v>
      </c>
      <c r="K1157" s="24">
        <f>IF(CurrentMtgRatesDataTable811[[#This Row],[WA CC]]&lt;&gt;0,D1156-CurrentMtgRatesDataTable811[[#This Row],[WA CC]],0)</f>
        <v>0</v>
      </c>
      <c r="L1157" s="24">
        <f>IF(CurrentMtgRatesDataTable811[[#This Row],[Servicing Spread]]&lt;=0,L1156,CurrentMtgRatesDataTable811[[#This Row],[Servicing Spread]])</f>
        <v>0.89927364361321738</v>
      </c>
      <c r="M1157" s="24">
        <f>CurrentMtgRatesDataTable811[[#This Row],[SeriesNumValue]]+CurrentMtgRatesDataTable811[[#This Row],[Servicing Spread Non-Zero]]</f>
        <v>4.0433538047463173</v>
      </c>
    </row>
    <row r="1158" spans="2:13" x14ac:dyDescent="0.2">
      <c r="B1158" s="27" t="s">
        <v>1839</v>
      </c>
      <c r="C1158" s="28">
        <v>3.1081065530197201</v>
      </c>
      <c r="D1158" s="26">
        <v>3.9899999999999998</v>
      </c>
      <c r="E1158" s="24">
        <f t="shared" si="72"/>
        <v>6</v>
      </c>
      <c r="F1158" s="24">
        <f>VLOOKUP(E1158,Q$5:R$11,2,FALSE)</f>
        <v>0.2</v>
      </c>
      <c r="G1158" s="24">
        <f t="shared" si="73"/>
        <v>4</v>
      </c>
      <c r="H1158" s="24">
        <f>IF(G1158&gt;G1157,H1157+C1158*F1158,C1158*F1158)</f>
        <v>2.4902188032998662</v>
      </c>
      <c r="I1158" s="24">
        <f t="shared" si="74"/>
        <v>0.8</v>
      </c>
      <c r="J1158" s="24">
        <f t="shared" si="75"/>
        <v>0</v>
      </c>
      <c r="K1158" s="24">
        <f>IF(CurrentMtgRatesDataTable811[[#This Row],[WA CC]]&lt;&gt;0,D1157-CurrentMtgRatesDataTable811[[#This Row],[WA CC]],0)</f>
        <v>0</v>
      </c>
      <c r="L1158" s="24">
        <f>IF(CurrentMtgRatesDataTable811[[#This Row],[Servicing Spread]]&lt;=0,L1157,CurrentMtgRatesDataTable811[[#This Row],[Servicing Spread]])</f>
        <v>0.89927364361321738</v>
      </c>
      <c r="M1158" s="24">
        <f>CurrentMtgRatesDataTable811[[#This Row],[SeriesNumValue]]+CurrentMtgRatesDataTable811[[#This Row],[Servicing Spread Non-Zero]]</f>
        <v>4.007380196632937</v>
      </c>
    </row>
    <row r="1159" spans="2:13" x14ac:dyDescent="0.2">
      <c r="B1159" s="27" t="s">
        <v>1840</v>
      </c>
      <c r="C1159" s="28">
        <v>3.0651881254767099</v>
      </c>
      <c r="D1159" s="26">
        <v>3.9899999999999998</v>
      </c>
      <c r="E1159" s="24">
        <f t="shared" si="72"/>
        <v>7</v>
      </c>
      <c r="F1159" s="24">
        <f>VLOOKUP(E1159,Q$5:R$11,2,FALSE)</f>
        <v>0.2</v>
      </c>
      <c r="G1159" s="24">
        <f t="shared" si="73"/>
        <v>5</v>
      </c>
      <c r="H1159" s="24">
        <f>IF(G1159&gt;G1158,H1158+C1159*F1159,C1159*F1159)</f>
        <v>3.1032564283952082</v>
      </c>
      <c r="I1159" s="24">
        <f t="shared" si="74"/>
        <v>1</v>
      </c>
      <c r="J1159" s="24">
        <f t="shared" si="75"/>
        <v>3.1032564283952082</v>
      </c>
      <c r="K1159" s="24">
        <f>IF(CurrentMtgRatesDataTable811[[#This Row],[WA CC]]&lt;&gt;0,D1158-CurrentMtgRatesDataTable811[[#This Row],[WA CC]],0)</f>
        <v>0.88674357160479156</v>
      </c>
      <c r="L1159" s="24">
        <f>IF(CurrentMtgRatesDataTable811[[#This Row],[Servicing Spread]]&lt;=0,L1158,CurrentMtgRatesDataTable811[[#This Row],[Servicing Spread]])</f>
        <v>0.88674357160479156</v>
      </c>
      <c r="M1159" s="24">
        <f>CurrentMtgRatesDataTable811[[#This Row],[SeriesNumValue]]+CurrentMtgRatesDataTable811[[#This Row],[Servicing Spread Non-Zero]]</f>
        <v>3.9519316970815015</v>
      </c>
    </row>
    <row r="1160" spans="2:13" x14ac:dyDescent="0.2">
      <c r="B1160" s="27" t="s">
        <v>1841</v>
      </c>
      <c r="C1160" s="28">
        <v>3.0642370952529001</v>
      </c>
      <c r="D1160" s="26">
        <v>3.94</v>
      </c>
      <c r="E1160" s="24">
        <f t="shared" si="72"/>
        <v>1</v>
      </c>
      <c r="F1160" s="24">
        <f>VLOOKUP(E1160,Q$5:R$11,2,FALSE)</f>
        <v>0.2</v>
      </c>
      <c r="G1160" s="24">
        <f t="shared" si="73"/>
        <v>1</v>
      </c>
      <c r="H1160" s="24">
        <f>IF(G1160&gt;G1159,H1159+C1160*F1160,C1160*F1160)</f>
        <v>0.61284741905058004</v>
      </c>
      <c r="I1160" s="24">
        <f t="shared" si="74"/>
        <v>0.2</v>
      </c>
      <c r="J1160" s="24">
        <f t="shared" si="75"/>
        <v>0</v>
      </c>
      <c r="K1160" s="24">
        <f>IF(CurrentMtgRatesDataTable811[[#This Row],[WA CC]]&lt;&gt;0,D1159-CurrentMtgRatesDataTable811[[#This Row],[WA CC]],0)</f>
        <v>0</v>
      </c>
      <c r="L1160" s="24">
        <f>IF(CurrentMtgRatesDataTable811[[#This Row],[Servicing Spread]]&lt;=0,L1159,CurrentMtgRatesDataTable811[[#This Row],[Servicing Spread]])</f>
        <v>0.88674357160479156</v>
      </c>
      <c r="M1160" s="24">
        <f>CurrentMtgRatesDataTable811[[#This Row],[SeriesNumValue]]+CurrentMtgRatesDataTable811[[#This Row],[Servicing Spread Non-Zero]]</f>
        <v>3.9509806668576917</v>
      </c>
    </row>
    <row r="1161" spans="2:13" x14ac:dyDescent="0.2">
      <c r="B1161" s="27" t="s">
        <v>1842</v>
      </c>
      <c r="C1161" s="28">
        <v>3.0508649511892498</v>
      </c>
      <c r="D1161" s="26">
        <v>3.94</v>
      </c>
      <c r="E1161" s="24">
        <f t="shared" si="72"/>
        <v>2</v>
      </c>
      <c r="F1161" s="24">
        <f>VLOOKUP(E1161,Q$5:R$11,2,FALSE)</f>
        <v>0.2</v>
      </c>
      <c r="G1161" s="24">
        <f t="shared" si="73"/>
        <v>2</v>
      </c>
      <c r="H1161" s="24">
        <f>IF(G1161&gt;G1160,H1160+C1161*F1161,C1161*F1161)</f>
        <v>1.22302040928843</v>
      </c>
      <c r="I1161" s="24">
        <f t="shared" si="74"/>
        <v>0.4</v>
      </c>
      <c r="J1161" s="24">
        <f t="shared" si="75"/>
        <v>0</v>
      </c>
      <c r="K1161" s="24">
        <f>IF(CurrentMtgRatesDataTable811[[#This Row],[WA CC]]&lt;&gt;0,D1160-CurrentMtgRatesDataTable811[[#This Row],[WA CC]],0)</f>
        <v>0</v>
      </c>
      <c r="L1161" s="24">
        <f>IF(CurrentMtgRatesDataTable811[[#This Row],[Servicing Spread]]&lt;=0,L1160,CurrentMtgRatesDataTable811[[#This Row],[Servicing Spread]])</f>
        <v>0.88674357160479156</v>
      </c>
      <c r="M1161" s="24">
        <f>CurrentMtgRatesDataTable811[[#This Row],[SeriesNumValue]]+CurrentMtgRatesDataTable811[[#This Row],[Servicing Spread Non-Zero]]</f>
        <v>3.9376085227940414</v>
      </c>
    </row>
    <row r="1162" spans="2:13" x14ac:dyDescent="0.2">
      <c r="B1162" s="27" t="s">
        <v>1843</v>
      </c>
      <c r="C1162" s="28">
        <v>3.07026860246684</v>
      </c>
      <c r="D1162" s="26">
        <v>3.94</v>
      </c>
      <c r="E1162" s="24">
        <f t="shared" si="72"/>
        <v>5</v>
      </c>
      <c r="F1162" s="24">
        <f>VLOOKUP(E1162,Q$5:R$11,2,FALSE)</f>
        <v>0.2</v>
      </c>
      <c r="G1162" s="24">
        <f t="shared" si="73"/>
        <v>3</v>
      </c>
      <c r="H1162" s="24">
        <f>IF(G1162&gt;G1161,H1161+C1162*F1162,C1162*F1162)</f>
        <v>1.8370741297817981</v>
      </c>
      <c r="I1162" s="24">
        <f t="shared" si="74"/>
        <v>0.60000000000000009</v>
      </c>
      <c r="J1162" s="24">
        <f t="shared" si="75"/>
        <v>0</v>
      </c>
      <c r="K1162" s="24">
        <f>IF(CurrentMtgRatesDataTable811[[#This Row],[WA CC]]&lt;&gt;0,D1161-CurrentMtgRatesDataTable811[[#This Row],[WA CC]],0)</f>
        <v>0</v>
      </c>
      <c r="L1162" s="24">
        <f>IF(CurrentMtgRatesDataTable811[[#This Row],[Servicing Spread]]&lt;=0,L1161,CurrentMtgRatesDataTable811[[#This Row],[Servicing Spread]])</f>
        <v>0.88674357160479156</v>
      </c>
      <c r="M1162" s="24">
        <f>CurrentMtgRatesDataTable811[[#This Row],[SeriesNumValue]]+CurrentMtgRatesDataTable811[[#This Row],[Servicing Spread Non-Zero]]</f>
        <v>3.9570121740716315</v>
      </c>
    </row>
    <row r="1163" spans="2:13" x14ac:dyDescent="0.2">
      <c r="B1163" s="27" t="s">
        <v>1844</v>
      </c>
      <c r="C1163" s="28">
        <v>3.04099858929172</v>
      </c>
      <c r="D1163" s="26">
        <v>3.94</v>
      </c>
      <c r="E1163" s="24">
        <f t="shared" si="72"/>
        <v>6</v>
      </c>
      <c r="F1163" s="24">
        <f>VLOOKUP(E1163,Q$5:R$11,2,FALSE)</f>
        <v>0.2</v>
      </c>
      <c r="G1163" s="24">
        <f t="shared" si="73"/>
        <v>4</v>
      </c>
      <c r="H1163" s="24">
        <f>IF(G1163&gt;G1162,H1162+C1163*F1163,C1163*F1163)</f>
        <v>2.4452738476401423</v>
      </c>
      <c r="I1163" s="24">
        <f t="shared" si="74"/>
        <v>0.8</v>
      </c>
      <c r="J1163" s="24">
        <f t="shared" si="75"/>
        <v>0</v>
      </c>
      <c r="K1163" s="24">
        <f>IF(CurrentMtgRatesDataTable811[[#This Row],[WA CC]]&lt;&gt;0,D1162-CurrentMtgRatesDataTable811[[#This Row],[WA CC]],0)</f>
        <v>0</v>
      </c>
      <c r="L1163" s="24">
        <f>IF(CurrentMtgRatesDataTable811[[#This Row],[Servicing Spread]]&lt;=0,L1162,CurrentMtgRatesDataTable811[[#This Row],[Servicing Spread]])</f>
        <v>0.88674357160479156</v>
      </c>
      <c r="M1163" s="24">
        <f>CurrentMtgRatesDataTable811[[#This Row],[SeriesNumValue]]+CurrentMtgRatesDataTable811[[#This Row],[Servicing Spread Non-Zero]]</f>
        <v>3.9277421608965115</v>
      </c>
    </row>
    <row r="1164" spans="2:13" x14ac:dyDescent="0.2">
      <c r="B1164" s="27" t="s">
        <v>1845</v>
      </c>
      <c r="C1164" s="28">
        <v>3.0272722743659699</v>
      </c>
      <c r="D1164" s="26">
        <v>3.94</v>
      </c>
      <c r="E1164" s="24">
        <f t="shared" si="72"/>
        <v>7</v>
      </c>
      <c r="F1164" s="24">
        <f>VLOOKUP(E1164,Q$5:R$11,2,FALSE)</f>
        <v>0.2</v>
      </c>
      <c r="G1164" s="24">
        <f t="shared" si="73"/>
        <v>5</v>
      </c>
      <c r="H1164" s="24">
        <f>IF(G1164&gt;G1163,H1163+C1164*F1164,C1164*F1164)</f>
        <v>3.0507283025133365</v>
      </c>
      <c r="I1164" s="24">
        <f t="shared" si="74"/>
        <v>1</v>
      </c>
      <c r="J1164" s="24">
        <f t="shared" si="75"/>
        <v>3.0507283025133365</v>
      </c>
      <c r="K1164" s="24">
        <f>IF(CurrentMtgRatesDataTable811[[#This Row],[WA CC]]&lt;&gt;0,D1163-CurrentMtgRatesDataTable811[[#This Row],[WA CC]],0)</f>
        <v>0.88927169748666346</v>
      </c>
      <c r="L1164" s="24">
        <f>IF(CurrentMtgRatesDataTable811[[#This Row],[Servicing Spread]]&lt;=0,L1163,CurrentMtgRatesDataTable811[[#This Row],[Servicing Spread]])</f>
        <v>0.88927169748666346</v>
      </c>
      <c r="M1164" s="24">
        <f>CurrentMtgRatesDataTable811[[#This Row],[SeriesNumValue]]+CurrentMtgRatesDataTable811[[#This Row],[Servicing Spread Non-Zero]]</f>
        <v>3.9165439718526334</v>
      </c>
    </row>
    <row r="1165" spans="2:13" x14ac:dyDescent="0.2">
      <c r="B1165" s="27" t="s">
        <v>1846</v>
      </c>
      <c r="C1165" s="28">
        <v>3.00152435884748</v>
      </c>
      <c r="D1165" s="26">
        <v>3.88</v>
      </c>
      <c r="E1165" s="24">
        <f t="shared" si="72"/>
        <v>1</v>
      </c>
      <c r="F1165" s="24">
        <f>VLOOKUP(E1165,Q$5:R$11,2,FALSE)</f>
        <v>0.2</v>
      </c>
      <c r="G1165" s="24">
        <f t="shared" si="73"/>
        <v>1</v>
      </c>
      <c r="H1165" s="24">
        <f>IF(G1165&gt;G1164,H1164+C1165*F1165,C1165*F1165)</f>
        <v>0.6003048717694961</v>
      </c>
      <c r="I1165" s="24">
        <f t="shared" si="74"/>
        <v>0.2</v>
      </c>
      <c r="J1165" s="24">
        <f t="shared" si="75"/>
        <v>0</v>
      </c>
      <c r="K1165" s="24">
        <f>IF(CurrentMtgRatesDataTable811[[#This Row],[WA CC]]&lt;&gt;0,D1164-CurrentMtgRatesDataTable811[[#This Row],[WA CC]],0)</f>
        <v>0</v>
      </c>
      <c r="L1165" s="24">
        <f>IF(CurrentMtgRatesDataTable811[[#This Row],[Servicing Spread]]&lt;=0,L1164,CurrentMtgRatesDataTable811[[#This Row],[Servicing Spread]])</f>
        <v>0.88927169748666346</v>
      </c>
      <c r="M1165" s="24">
        <f>CurrentMtgRatesDataTable811[[#This Row],[SeriesNumValue]]+CurrentMtgRatesDataTable811[[#This Row],[Servicing Spread Non-Zero]]</f>
        <v>3.8907960563341435</v>
      </c>
    </row>
    <row r="1166" spans="2:13" x14ac:dyDescent="0.2">
      <c r="B1166" s="27" t="s">
        <v>1847</v>
      </c>
      <c r="C1166" s="28">
        <v>3.00880742941581</v>
      </c>
      <c r="D1166" s="26">
        <v>3.88</v>
      </c>
      <c r="E1166" s="24">
        <f t="shared" si="72"/>
        <v>2</v>
      </c>
      <c r="F1166" s="24">
        <f>VLOOKUP(E1166,Q$5:R$11,2,FALSE)</f>
        <v>0.2</v>
      </c>
      <c r="G1166" s="24">
        <f t="shared" si="73"/>
        <v>2</v>
      </c>
      <c r="H1166" s="24">
        <f>IF(G1166&gt;G1165,H1165+C1166*F1166,C1166*F1166)</f>
        <v>1.202066357652658</v>
      </c>
      <c r="I1166" s="24">
        <f t="shared" si="74"/>
        <v>0.4</v>
      </c>
      <c r="J1166" s="24">
        <f t="shared" si="75"/>
        <v>0</v>
      </c>
      <c r="K1166" s="24">
        <f>IF(CurrentMtgRatesDataTable811[[#This Row],[WA CC]]&lt;&gt;0,D1165-CurrentMtgRatesDataTable811[[#This Row],[WA CC]],0)</f>
        <v>0</v>
      </c>
      <c r="L1166" s="24">
        <f>IF(CurrentMtgRatesDataTable811[[#This Row],[Servicing Spread]]&lt;=0,L1165,CurrentMtgRatesDataTable811[[#This Row],[Servicing Spread]])</f>
        <v>0.88927169748666346</v>
      </c>
      <c r="M1166" s="24">
        <f>CurrentMtgRatesDataTable811[[#This Row],[SeriesNumValue]]+CurrentMtgRatesDataTable811[[#This Row],[Servicing Spread Non-Zero]]</f>
        <v>3.8980791269024735</v>
      </c>
    </row>
    <row r="1167" spans="2:13" x14ac:dyDescent="0.2">
      <c r="B1167" s="27" t="s">
        <v>1848</v>
      </c>
      <c r="C1167" s="28">
        <v>2.9768819813504899</v>
      </c>
      <c r="D1167" s="26">
        <v>3.88</v>
      </c>
      <c r="E1167" s="24">
        <f t="shared" si="72"/>
        <v>5</v>
      </c>
      <c r="F1167" s="24">
        <f>VLOOKUP(E1167,Q$5:R$11,2,FALSE)</f>
        <v>0.2</v>
      </c>
      <c r="G1167" s="24">
        <f t="shared" si="73"/>
        <v>3</v>
      </c>
      <c r="H1167" s="24">
        <f>IF(G1167&gt;G1166,H1166+C1167*F1167,C1167*F1167)</f>
        <v>1.797442753922756</v>
      </c>
      <c r="I1167" s="24">
        <f t="shared" si="74"/>
        <v>0.60000000000000009</v>
      </c>
      <c r="J1167" s="24">
        <f t="shared" si="75"/>
        <v>0</v>
      </c>
      <c r="K1167" s="24">
        <f>IF(CurrentMtgRatesDataTable811[[#This Row],[WA CC]]&lt;&gt;0,D1166-CurrentMtgRatesDataTable811[[#This Row],[WA CC]],0)</f>
        <v>0</v>
      </c>
      <c r="L1167" s="24">
        <f>IF(CurrentMtgRatesDataTable811[[#This Row],[Servicing Spread]]&lt;=0,L1166,CurrentMtgRatesDataTable811[[#This Row],[Servicing Spread]])</f>
        <v>0.88927169748666346</v>
      </c>
      <c r="M1167" s="24">
        <f>CurrentMtgRatesDataTable811[[#This Row],[SeriesNumValue]]+CurrentMtgRatesDataTable811[[#This Row],[Servicing Spread Non-Zero]]</f>
        <v>3.8661536788371533</v>
      </c>
    </row>
    <row r="1168" spans="2:13" x14ac:dyDescent="0.2">
      <c r="B1168" s="27" t="s">
        <v>1849</v>
      </c>
      <c r="C1168" s="28">
        <v>2.9700273705701301</v>
      </c>
      <c r="D1168" s="26">
        <v>3.88</v>
      </c>
      <c r="E1168" s="24">
        <f t="shared" si="72"/>
        <v>6</v>
      </c>
      <c r="F1168" s="24">
        <f>VLOOKUP(E1168,Q$5:R$11,2,FALSE)</f>
        <v>0.2</v>
      </c>
      <c r="G1168" s="24">
        <f t="shared" si="73"/>
        <v>4</v>
      </c>
      <c r="H1168" s="24">
        <f>IF(G1168&gt;G1167,H1167+C1168*F1168,C1168*F1168)</f>
        <v>2.3914482280367819</v>
      </c>
      <c r="I1168" s="24">
        <f t="shared" si="74"/>
        <v>0.8</v>
      </c>
      <c r="J1168" s="24">
        <f t="shared" si="75"/>
        <v>0</v>
      </c>
      <c r="K1168" s="24">
        <f>IF(CurrentMtgRatesDataTable811[[#This Row],[WA CC]]&lt;&gt;0,D1167-CurrentMtgRatesDataTable811[[#This Row],[WA CC]],0)</f>
        <v>0</v>
      </c>
      <c r="L1168" s="24">
        <f>IF(CurrentMtgRatesDataTable811[[#This Row],[Servicing Spread]]&lt;=0,L1167,CurrentMtgRatesDataTable811[[#This Row],[Servicing Spread]])</f>
        <v>0.88927169748666346</v>
      </c>
      <c r="M1168" s="24">
        <f>CurrentMtgRatesDataTable811[[#This Row],[SeriesNumValue]]+CurrentMtgRatesDataTable811[[#This Row],[Servicing Spread Non-Zero]]</f>
        <v>3.8592990680567936</v>
      </c>
    </row>
    <row r="1169" spans="2:13" x14ac:dyDescent="0.2">
      <c r="B1169" s="27" t="s">
        <v>1850</v>
      </c>
      <c r="C1169" s="28">
        <v>2.9952166878972601</v>
      </c>
      <c r="D1169" s="26">
        <v>3.88</v>
      </c>
      <c r="E1169" s="24">
        <f t="shared" si="72"/>
        <v>7</v>
      </c>
      <c r="F1169" s="24">
        <f>VLOOKUP(E1169,Q$5:R$11,2,FALSE)</f>
        <v>0.2</v>
      </c>
      <c r="G1169" s="24">
        <f t="shared" si="73"/>
        <v>5</v>
      </c>
      <c r="H1169" s="24">
        <f>IF(G1169&gt;G1168,H1168+C1169*F1169,C1169*F1169)</f>
        <v>2.9904915656162339</v>
      </c>
      <c r="I1169" s="24">
        <f t="shared" si="74"/>
        <v>1</v>
      </c>
      <c r="J1169" s="24">
        <f t="shared" si="75"/>
        <v>2.9904915656162339</v>
      </c>
      <c r="K1169" s="24">
        <f>IF(CurrentMtgRatesDataTable811[[#This Row],[WA CC]]&lt;&gt;0,D1168-CurrentMtgRatesDataTable811[[#This Row],[WA CC]],0)</f>
        <v>0.88950843438376603</v>
      </c>
      <c r="L1169" s="24">
        <f>IF(CurrentMtgRatesDataTable811[[#This Row],[Servicing Spread]]&lt;=0,L1168,CurrentMtgRatesDataTable811[[#This Row],[Servicing Spread]])</f>
        <v>0.88950843438376603</v>
      </c>
      <c r="M1169" s="24">
        <f>CurrentMtgRatesDataTable811[[#This Row],[SeriesNumValue]]+CurrentMtgRatesDataTable811[[#This Row],[Servicing Spread Non-Zero]]</f>
        <v>3.8847251222810262</v>
      </c>
    </row>
    <row r="1170" spans="2:13" x14ac:dyDescent="0.2">
      <c r="B1170" s="27" t="s">
        <v>1851</v>
      </c>
      <c r="C1170" s="28">
        <v>2.9944455468035298</v>
      </c>
      <c r="D1170" s="26">
        <v>3.81</v>
      </c>
      <c r="E1170" s="24">
        <f t="shared" si="72"/>
        <v>1</v>
      </c>
      <c r="F1170" s="24">
        <f>VLOOKUP(E1170,Q$5:R$11,2,FALSE)</f>
        <v>0.2</v>
      </c>
      <c r="G1170" s="24">
        <f t="shared" si="73"/>
        <v>1</v>
      </c>
      <c r="H1170" s="24">
        <f>IF(G1170&gt;G1169,H1169+C1170*F1170,C1170*F1170)</f>
        <v>0.59888910936070594</v>
      </c>
      <c r="I1170" s="24">
        <f t="shared" si="74"/>
        <v>0.2</v>
      </c>
      <c r="J1170" s="24">
        <f t="shared" si="75"/>
        <v>0</v>
      </c>
      <c r="K1170" s="24">
        <f>IF(CurrentMtgRatesDataTable811[[#This Row],[WA CC]]&lt;&gt;0,D1169-CurrentMtgRatesDataTable811[[#This Row],[WA CC]],0)</f>
        <v>0</v>
      </c>
      <c r="L1170" s="24">
        <f>IF(CurrentMtgRatesDataTable811[[#This Row],[Servicing Spread]]&lt;=0,L1169,CurrentMtgRatesDataTable811[[#This Row],[Servicing Spread]])</f>
        <v>0.88950843438376603</v>
      </c>
      <c r="M1170" s="24">
        <f>CurrentMtgRatesDataTable811[[#This Row],[SeriesNumValue]]+CurrentMtgRatesDataTable811[[#This Row],[Servicing Spread Non-Zero]]</f>
        <v>3.8839539811872958</v>
      </c>
    </row>
    <row r="1171" spans="2:13" x14ac:dyDescent="0.2">
      <c r="B1171" s="27" t="s">
        <v>1852</v>
      </c>
      <c r="C1171" s="28">
        <v>2.9155081259623699</v>
      </c>
      <c r="D1171" s="26">
        <v>3.81</v>
      </c>
      <c r="E1171" s="24">
        <f t="shared" si="72"/>
        <v>2</v>
      </c>
      <c r="F1171" s="24">
        <f>VLOOKUP(E1171,Q$5:R$11,2,FALSE)</f>
        <v>0.2</v>
      </c>
      <c r="G1171" s="24">
        <f t="shared" si="73"/>
        <v>2</v>
      </c>
      <c r="H1171" s="24">
        <f>IF(G1171&gt;G1170,H1170+C1171*F1171,C1171*F1171)</f>
        <v>1.1819907345531799</v>
      </c>
      <c r="I1171" s="24">
        <f t="shared" si="74"/>
        <v>0.4</v>
      </c>
      <c r="J1171" s="24">
        <f t="shared" si="75"/>
        <v>0</v>
      </c>
      <c r="K1171" s="24">
        <f>IF(CurrentMtgRatesDataTable811[[#This Row],[WA CC]]&lt;&gt;0,D1170-CurrentMtgRatesDataTable811[[#This Row],[WA CC]],0)</f>
        <v>0</v>
      </c>
      <c r="L1171" s="24">
        <f>IF(CurrentMtgRatesDataTable811[[#This Row],[Servicing Spread]]&lt;=0,L1170,CurrentMtgRatesDataTable811[[#This Row],[Servicing Spread]])</f>
        <v>0.88950843438376603</v>
      </c>
      <c r="M1171" s="24">
        <f>CurrentMtgRatesDataTable811[[#This Row],[SeriesNumValue]]+CurrentMtgRatesDataTable811[[#This Row],[Servicing Spread Non-Zero]]</f>
        <v>3.8050165603461359</v>
      </c>
    </row>
    <row r="1172" spans="2:13" x14ac:dyDescent="0.2">
      <c r="B1172" s="27" t="s">
        <v>1853</v>
      </c>
      <c r="C1172" s="28">
        <v>2.8859588833612699</v>
      </c>
      <c r="D1172" s="26">
        <v>3.81</v>
      </c>
      <c r="E1172" s="24">
        <f t="shared" si="72"/>
        <v>5</v>
      </c>
      <c r="F1172" s="24">
        <f>VLOOKUP(E1172,Q$5:R$11,2,FALSE)</f>
        <v>0.2</v>
      </c>
      <c r="G1172" s="24">
        <f t="shared" si="73"/>
        <v>3</v>
      </c>
      <c r="H1172" s="24">
        <f>IF(G1172&gt;G1171,H1171+C1172*F1172,C1172*F1172)</f>
        <v>1.759182511225434</v>
      </c>
      <c r="I1172" s="24">
        <f t="shared" si="74"/>
        <v>0.60000000000000009</v>
      </c>
      <c r="J1172" s="24">
        <f t="shared" si="75"/>
        <v>0</v>
      </c>
      <c r="K1172" s="24">
        <f>IF(CurrentMtgRatesDataTable811[[#This Row],[WA CC]]&lt;&gt;0,D1171-CurrentMtgRatesDataTable811[[#This Row],[WA CC]],0)</f>
        <v>0</v>
      </c>
      <c r="L1172" s="24">
        <f>IF(CurrentMtgRatesDataTable811[[#This Row],[Servicing Spread]]&lt;=0,L1171,CurrentMtgRatesDataTable811[[#This Row],[Servicing Spread]])</f>
        <v>0.88950843438376603</v>
      </c>
      <c r="M1172" s="24">
        <f>CurrentMtgRatesDataTable811[[#This Row],[SeriesNumValue]]+CurrentMtgRatesDataTable811[[#This Row],[Servicing Spread Non-Zero]]</f>
        <v>3.775467317745036</v>
      </c>
    </row>
    <row r="1173" spans="2:13" x14ac:dyDescent="0.2">
      <c r="B1173" s="27" t="s">
        <v>1854</v>
      </c>
      <c r="C1173" s="28">
        <v>2.9592567116727899</v>
      </c>
      <c r="D1173" s="26">
        <v>3.81</v>
      </c>
      <c r="E1173" s="24">
        <f t="shared" si="72"/>
        <v>6</v>
      </c>
      <c r="F1173" s="24">
        <f>VLOOKUP(E1173,Q$5:R$11,2,FALSE)</f>
        <v>0.2</v>
      </c>
      <c r="G1173" s="24">
        <f t="shared" si="73"/>
        <v>4</v>
      </c>
      <c r="H1173" s="24">
        <f>IF(G1173&gt;G1172,H1172+C1173*F1173,C1173*F1173)</f>
        <v>2.3510338535599922</v>
      </c>
      <c r="I1173" s="24">
        <f t="shared" si="74"/>
        <v>0.8</v>
      </c>
      <c r="J1173" s="24">
        <f t="shared" si="75"/>
        <v>0</v>
      </c>
      <c r="K1173" s="24">
        <f>IF(CurrentMtgRatesDataTable811[[#This Row],[WA CC]]&lt;&gt;0,D1172-CurrentMtgRatesDataTable811[[#This Row],[WA CC]],0)</f>
        <v>0</v>
      </c>
      <c r="L1173" s="24">
        <f>IF(CurrentMtgRatesDataTable811[[#This Row],[Servicing Spread]]&lt;=0,L1172,CurrentMtgRatesDataTable811[[#This Row],[Servicing Spread]])</f>
        <v>0.88950843438376603</v>
      </c>
      <c r="M1173" s="24">
        <f>CurrentMtgRatesDataTable811[[#This Row],[SeriesNumValue]]+CurrentMtgRatesDataTable811[[#This Row],[Servicing Spread Non-Zero]]</f>
        <v>3.848765146056556</v>
      </c>
    </row>
    <row r="1174" spans="2:13" x14ac:dyDescent="0.2">
      <c r="B1174" s="27" t="s">
        <v>1855</v>
      </c>
      <c r="C1174" s="28">
        <v>3.0089114844805001</v>
      </c>
      <c r="D1174" s="26">
        <v>3.81</v>
      </c>
      <c r="E1174" s="24">
        <f t="shared" si="72"/>
        <v>7</v>
      </c>
      <c r="F1174" s="24">
        <f>VLOOKUP(E1174,Q$5:R$11,2,FALSE)</f>
        <v>0.2</v>
      </c>
      <c r="G1174" s="24">
        <f t="shared" si="73"/>
        <v>5</v>
      </c>
      <c r="H1174" s="24">
        <f>IF(G1174&gt;G1173,H1173+C1174*F1174,C1174*F1174)</f>
        <v>2.9528161504560924</v>
      </c>
      <c r="I1174" s="24">
        <f t="shared" si="74"/>
        <v>1</v>
      </c>
      <c r="J1174" s="24">
        <f t="shared" si="75"/>
        <v>2.9528161504560924</v>
      </c>
      <c r="K1174" s="24">
        <f>IF(CurrentMtgRatesDataTable811[[#This Row],[WA CC]]&lt;&gt;0,D1173-CurrentMtgRatesDataTable811[[#This Row],[WA CC]],0)</f>
        <v>0.85718384954390769</v>
      </c>
      <c r="L1174" s="24">
        <f>IF(CurrentMtgRatesDataTable811[[#This Row],[Servicing Spread]]&lt;=0,L1173,CurrentMtgRatesDataTable811[[#This Row],[Servicing Spread]])</f>
        <v>0.85718384954390769</v>
      </c>
      <c r="M1174" s="24">
        <f>CurrentMtgRatesDataTable811[[#This Row],[SeriesNumValue]]+CurrentMtgRatesDataTable811[[#This Row],[Servicing Spread Non-Zero]]</f>
        <v>3.8660953340244077</v>
      </c>
    </row>
    <row r="1175" spans="2:13" x14ac:dyDescent="0.2">
      <c r="B1175" s="27" t="s">
        <v>1856</v>
      </c>
      <c r="C1175" s="28">
        <v>2.9719648499802398</v>
      </c>
      <c r="D1175" s="26">
        <v>3.84</v>
      </c>
      <c r="E1175" s="24">
        <f t="shared" si="72"/>
        <v>1</v>
      </c>
      <c r="F1175" s="24">
        <f>VLOOKUP(E1175,Q$5:R$11,2,FALSE)</f>
        <v>0.2</v>
      </c>
      <c r="G1175" s="24">
        <f t="shared" si="73"/>
        <v>1</v>
      </c>
      <c r="H1175" s="24">
        <f>IF(G1175&gt;G1174,H1174+C1175*F1175,C1175*F1175)</f>
        <v>0.59439296999604796</v>
      </c>
      <c r="I1175" s="24">
        <f t="shared" si="74"/>
        <v>0.2</v>
      </c>
      <c r="J1175" s="24">
        <f t="shared" si="75"/>
        <v>0</v>
      </c>
      <c r="K1175" s="24">
        <f>IF(CurrentMtgRatesDataTable811[[#This Row],[WA CC]]&lt;&gt;0,D1174-CurrentMtgRatesDataTable811[[#This Row],[WA CC]],0)</f>
        <v>0</v>
      </c>
      <c r="L1175" s="24">
        <f>IF(CurrentMtgRatesDataTable811[[#This Row],[Servicing Spread]]&lt;=0,L1174,CurrentMtgRatesDataTable811[[#This Row],[Servicing Spread]])</f>
        <v>0.85718384954390769</v>
      </c>
      <c r="M1175" s="24">
        <f>CurrentMtgRatesDataTable811[[#This Row],[SeriesNumValue]]+CurrentMtgRatesDataTable811[[#This Row],[Servicing Spread Non-Zero]]</f>
        <v>3.8291486995241475</v>
      </c>
    </row>
    <row r="1176" spans="2:13" x14ac:dyDescent="0.2">
      <c r="B1176" s="27" t="s">
        <v>1857</v>
      </c>
      <c r="C1176" s="28">
        <v>2.92350190324946</v>
      </c>
      <c r="D1176" s="26">
        <v>3.84</v>
      </c>
      <c r="E1176" s="24">
        <f t="shared" si="72"/>
        <v>2</v>
      </c>
      <c r="F1176" s="24">
        <f>VLOOKUP(E1176,Q$5:R$11,2,FALSE)</f>
        <v>0.2</v>
      </c>
      <c r="G1176" s="24">
        <f t="shared" si="73"/>
        <v>2</v>
      </c>
      <c r="H1176" s="24">
        <f>IF(G1176&gt;G1175,H1175+C1176*F1176,C1176*F1176)</f>
        <v>1.17909335064594</v>
      </c>
      <c r="I1176" s="24">
        <f t="shared" si="74"/>
        <v>0.4</v>
      </c>
      <c r="J1176" s="24">
        <f t="shared" si="75"/>
        <v>0</v>
      </c>
      <c r="K1176" s="24">
        <f>IF(CurrentMtgRatesDataTable811[[#This Row],[WA CC]]&lt;&gt;0,D1175-CurrentMtgRatesDataTable811[[#This Row],[WA CC]],0)</f>
        <v>0</v>
      </c>
      <c r="L1176" s="24">
        <f>IF(CurrentMtgRatesDataTable811[[#This Row],[Servicing Spread]]&lt;=0,L1175,CurrentMtgRatesDataTable811[[#This Row],[Servicing Spread]])</f>
        <v>0.85718384954390769</v>
      </c>
      <c r="M1176" s="24">
        <f>CurrentMtgRatesDataTable811[[#This Row],[SeriesNumValue]]+CurrentMtgRatesDataTable811[[#This Row],[Servicing Spread Non-Zero]]</f>
        <v>3.7806857527933677</v>
      </c>
    </row>
    <row r="1177" spans="2:13" x14ac:dyDescent="0.2">
      <c r="B1177" s="27" t="s">
        <v>1858</v>
      </c>
      <c r="C1177" s="28">
        <v>2.9753003706109098</v>
      </c>
      <c r="D1177" s="26">
        <v>3.84</v>
      </c>
      <c r="E1177" s="24">
        <f t="shared" si="72"/>
        <v>5</v>
      </c>
      <c r="F1177" s="24">
        <f>VLOOKUP(E1177,Q$5:R$11,2,FALSE)</f>
        <v>0.2</v>
      </c>
      <c r="G1177" s="24">
        <f t="shared" si="73"/>
        <v>3</v>
      </c>
      <c r="H1177" s="24">
        <f>IF(G1177&gt;G1176,H1176+C1177*F1177,C1177*F1177)</f>
        <v>1.7741534247681221</v>
      </c>
      <c r="I1177" s="24">
        <f t="shared" si="74"/>
        <v>0.60000000000000009</v>
      </c>
      <c r="J1177" s="24">
        <f t="shared" si="75"/>
        <v>0</v>
      </c>
      <c r="K1177" s="24">
        <f>IF(CurrentMtgRatesDataTable811[[#This Row],[WA CC]]&lt;&gt;0,D1176-CurrentMtgRatesDataTable811[[#This Row],[WA CC]],0)</f>
        <v>0</v>
      </c>
      <c r="L1177" s="24">
        <f>IF(CurrentMtgRatesDataTable811[[#This Row],[Servicing Spread]]&lt;=0,L1176,CurrentMtgRatesDataTable811[[#This Row],[Servicing Spread]])</f>
        <v>0.85718384954390769</v>
      </c>
      <c r="M1177" s="24">
        <f>CurrentMtgRatesDataTable811[[#This Row],[SeriesNumValue]]+CurrentMtgRatesDataTable811[[#This Row],[Servicing Spread Non-Zero]]</f>
        <v>3.8324842201548175</v>
      </c>
    </row>
    <row r="1178" spans="2:13" x14ac:dyDescent="0.2">
      <c r="B1178" s="27" t="s">
        <v>1859</v>
      </c>
      <c r="C1178" s="28">
        <v>2.8894517792115599</v>
      </c>
      <c r="D1178" s="26">
        <v>3.84</v>
      </c>
      <c r="E1178" s="24">
        <f t="shared" si="72"/>
        <v>6</v>
      </c>
      <c r="F1178" s="24">
        <f>VLOOKUP(E1178,Q$5:R$11,2,FALSE)</f>
        <v>0.2</v>
      </c>
      <c r="G1178" s="24">
        <f t="shared" si="73"/>
        <v>4</v>
      </c>
      <c r="H1178" s="24">
        <f>IF(G1178&gt;G1177,H1177+C1178*F1178,C1178*F1178)</f>
        <v>2.3520437806104342</v>
      </c>
      <c r="I1178" s="24">
        <f t="shared" si="74"/>
        <v>0.8</v>
      </c>
      <c r="J1178" s="24">
        <f t="shared" si="75"/>
        <v>0</v>
      </c>
      <c r="K1178" s="24">
        <f>IF(CurrentMtgRatesDataTable811[[#This Row],[WA CC]]&lt;&gt;0,D1177-CurrentMtgRatesDataTable811[[#This Row],[WA CC]],0)</f>
        <v>0</v>
      </c>
      <c r="L1178" s="24">
        <f>IF(CurrentMtgRatesDataTable811[[#This Row],[Servicing Spread]]&lt;=0,L1177,CurrentMtgRatesDataTable811[[#This Row],[Servicing Spread]])</f>
        <v>0.85718384954390769</v>
      </c>
      <c r="M1178" s="24">
        <f>CurrentMtgRatesDataTable811[[#This Row],[SeriesNumValue]]+CurrentMtgRatesDataTable811[[#This Row],[Servicing Spread Non-Zero]]</f>
        <v>3.7466356287554676</v>
      </c>
    </row>
    <row r="1179" spans="2:13" x14ac:dyDescent="0.2">
      <c r="B1179" s="27" t="s">
        <v>1860</v>
      </c>
      <c r="C1179" s="28">
        <v>2.8863432484098199</v>
      </c>
      <c r="D1179" s="26">
        <v>3.84</v>
      </c>
      <c r="E1179" s="24">
        <f t="shared" si="72"/>
        <v>7</v>
      </c>
      <c r="F1179" s="24">
        <f>VLOOKUP(E1179,Q$5:R$11,2,FALSE)</f>
        <v>0.2</v>
      </c>
      <c r="G1179" s="24">
        <f t="shared" si="73"/>
        <v>5</v>
      </c>
      <c r="H1179" s="24">
        <f>IF(G1179&gt;G1178,H1178+C1179*F1179,C1179*F1179)</f>
        <v>2.9293124302923981</v>
      </c>
      <c r="I1179" s="24">
        <f t="shared" si="74"/>
        <v>1</v>
      </c>
      <c r="J1179" s="24">
        <f t="shared" si="75"/>
        <v>2.9293124302923981</v>
      </c>
      <c r="K1179" s="24">
        <f>IF(CurrentMtgRatesDataTable811[[#This Row],[WA CC]]&lt;&gt;0,D1178-CurrentMtgRatesDataTable811[[#This Row],[WA CC]],0)</f>
        <v>0.91068756970760179</v>
      </c>
      <c r="L1179" s="24">
        <f>IF(CurrentMtgRatesDataTable811[[#This Row],[Servicing Spread]]&lt;=0,L1178,CurrentMtgRatesDataTable811[[#This Row],[Servicing Spread]])</f>
        <v>0.91068756970760179</v>
      </c>
      <c r="M1179" s="24">
        <f>CurrentMtgRatesDataTable811[[#This Row],[SeriesNumValue]]+CurrentMtgRatesDataTable811[[#This Row],[Servicing Spread Non-Zero]]</f>
        <v>3.7970308181174217</v>
      </c>
    </row>
    <row r="1180" spans="2:13" x14ac:dyDescent="0.2">
      <c r="B1180" s="27" t="s">
        <v>1861</v>
      </c>
      <c r="C1180" s="28">
        <v>2.94154866689746</v>
      </c>
      <c r="D1180" s="26">
        <v>3.83</v>
      </c>
      <c r="E1180" s="24">
        <f t="shared" si="72"/>
        <v>1</v>
      </c>
      <c r="F1180" s="24">
        <f>VLOOKUP(E1180,Q$5:R$11,2,FALSE)</f>
        <v>0.2</v>
      </c>
      <c r="G1180" s="24">
        <f t="shared" si="73"/>
        <v>1</v>
      </c>
      <c r="H1180" s="24">
        <f>IF(G1180&gt;G1179,H1179+C1180*F1180,C1180*F1180)</f>
        <v>0.58830973337949199</v>
      </c>
      <c r="I1180" s="24">
        <f t="shared" si="74"/>
        <v>0.2</v>
      </c>
      <c r="J1180" s="24">
        <f t="shared" si="75"/>
        <v>0</v>
      </c>
      <c r="K1180" s="24">
        <f>IF(CurrentMtgRatesDataTable811[[#This Row],[WA CC]]&lt;&gt;0,D1179-CurrentMtgRatesDataTable811[[#This Row],[WA CC]],0)</f>
        <v>0</v>
      </c>
      <c r="L1180" s="24">
        <f>IF(CurrentMtgRatesDataTable811[[#This Row],[Servicing Spread]]&lt;=0,L1179,CurrentMtgRatesDataTable811[[#This Row],[Servicing Spread]])</f>
        <v>0.91068756970760179</v>
      </c>
      <c r="M1180" s="24">
        <f>CurrentMtgRatesDataTable811[[#This Row],[SeriesNumValue]]+CurrentMtgRatesDataTable811[[#This Row],[Servicing Spread Non-Zero]]</f>
        <v>3.8522362366050618</v>
      </c>
    </row>
    <row r="1181" spans="2:13" x14ac:dyDescent="0.2">
      <c r="B1181" s="27" t="s">
        <v>1862</v>
      </c>
      <c r="C1181" s="28">
        <v>2.9622833477952701</v>
      </c>
      <c r="D1181" s="26">
        <v>3.83</v>
      </c>
      <c r="E1181" s="24">
        <f t="shared" si="72"/>
        <v>2</v>
      </c>
      <c r="F1181" s="24">
        <f>VLOOKUP(E1181,Q$5:R$11,2,FALSE)</f>
        <v>0.2</v>
      </c>
      <c r="G1181" s="24">
        <f t="shared" si="73"/>
        <v>2</v>
      </c>
      <c r="H1181" s="24">
        <f>IF(G1181&gt;G1180,H1180+C1181*F1181,C1181*F1181)</f>
        <v>1.1807664029385461</v>
      </c>
      <c r="I1181" s="24">
        <f t="shared" si="74"/>
        <v>0.4</v>
      </c>
      <c r="J1181" s="24">
        <f t="shared" si="75"/>
        <v>0</v>
      </c>
      <c r="K1181" s="24">
        <f>IF(CurrentMtgRatesDataTable811[[#This Row],[WA CC]]&lt;&gt;0,D1180-CurrentMtgRatesDataTable811[[#This Row],[WA CC]],0)</f>
        <v>0</v>
      </c>
      <c r="L1181" s="24">
        <f>IF(CurrentMtgRatesDataTable811[[#This Row],[Servicing Spread]]&lt;=0,L1180,CurrentMtgRatesDataTable811[[#This Row],[Servicing Spread]])</f>
        <v>0.91068756970760179</v>
      </c>
      <c r="M1181" s="24">
        <f>CurrentMtgRatesDataTable811[[#This Row],[SeriesNumValue]]+CurrentMtgRatesDataTable811[[#This Row],[Servicing Spread Non-Zero]]</f>
        <v>3.8729709175028719</v>
      </c>
    </row>
    <row r="1182" spans="2:13" x14ac:dyDescent="0.2">
      <c r="B1182" s="27" t="s">
        <v>1863</v>
      </c>
      <c r="C1182" s="28">
        <v>2.9357435322539001</v>
      </c>
      <c r="D1182" s="26">
        <v>3.83</v>
      </c>
      <c r="E1182" s="24">
        <f t="shared" si="72"/>
        <v>5</v>
      </c>
      <c r="F1182" s="24">
        <f>VLOOKUP(E1182,Q$5:R$11,2,FALSE)</f>
        <v>0.2</v>
      </c>
      <c r="G1182" s="24">
        <f t="shared" si="73"/>
        <v>3</v>
      </c>
      <c r="H1182" s="24">
        <f>IF(G1182&gt;G1181,H1181+C1182*F1182,C1182*F1182)</f>
        <v>1.7679151093893259</v>
      </c>
      <c r="I1182" s="24">
        <f t="shared" si="74"/>
        <v>0.60000000000000009</v>
      </c>
      <c r="J1182" s="24">
        <f t="shared" si="75"/>
        <v>0</v>
      </c>
      <c r="K1182" s="24">
        <f>IF(CurrentMtgRatesDataTable811[[#This Row],[WA CC]]&lt;&gt;0,D1181-CurrentMtgRatesDataTable811[[#This Row],[WA CC]],0)</f>
        <v>0</v>
      </c>
      <c r="L1182" s="24">
        <f>IF(CurrentMtgRatesDataTable811[[#This Row],[Servicing Spread]]&lt;=0,L1181,CurrentMtgRatesDataTable811[[#This Row],[Servicing Spread]])</f>
        <v>0.91068756970760179</v>
      </c>
      <c r="M1182" s="24">
        <f>CurrentMtgRatesDataTable811[[#This Row],[SeriesNumValue]]+CurrentMtgRatesDataTable811[[#This Row],[Servicing Spread Non-Zero]]</f>
        <v>3.8464311019615018</v>
      </c>
    </row>
    <row r="1183" spans="2:13" x14ac:dyDescent="0.2">
      <c r="B1183" s="27" t="s">
        <v>1864</v>
      </c>
      <c r="C1183" s="28">
        <v>2.9596582925735899</v>
      </c>
      <c r="D1183" s="26">
        <v>3.83</v>
      </c>
      <c r="E1183" s="24">
        <f t="shared" si="72"/>
        <v>6</v>
      </c>
      <c r="F1183" s="24">
        <f>VLOOKUP(E1183,Q$5:R$11,2,FALSE)</f>
        <v>0.2</v>
      </c>
      <c r="G1183" s="24">
        <f t="shared" si="73"/>
        <v>4</v>
      </c>
      <c r="H1183" s="24">
        <f>IF(G1183&gt;G1182,H1182+C1183*F1183,C1183*F1183)</f>
        <v>2.359846767904044</v>
      </c>
      <c r="I1183" s="24">
        <f t="shared" si="74"/>
        <v>0.8</v>
      </c>
      <c r="J1183" s="24">
        <f t="shared" si="75"/>
        <v>0</v>
      </c>
      <c r="K1183" s="24">
        <f>IF(CurrentMtgRatesDataTable811[[#This Row],[WA CC]]&lt;&gt;0,D1182-CurrentMtgRatesDataTable811[[#This Row],[WA CC]],0)</f>
        <v>0</v>
      </c>
      <c r="L1183" s="24">
        <f>IF(CurrentMtgRatesDataTable811[[#This Row],[Servicing Spread]]&lt;=0,L1182,CurrentMtgRatesDataTable811[[#This Row],[Servicing Spread]])</f>
        <v>0.91068756970760179</v>
      </c>
      <c r="M1183" s="24">
        <f>CurrentMtgRatesDataTable811[[#This Row],[SeriesNumValue]]+CurrentMtgRatesDataTable811[[#This Row],[Servicing Spread Non-Zero]]</f>
        <v>3.8703458622811917</v>
      </c>
    </row>
    <row r="1184" spans="2:13" x14ac:dyDescent="0.2">
      <c r="B1184" s="27" t="s">
        <v>1865</v>
      </c>
      <c r="C1184" s="28">
        <v>2.8898853758214198</v>
      </c>
      <c r="D1184" s="26">
        <v>3.83</v>
      </c>
      <c r="E1184" s="24">
        <f t="shared" si="72"/>
        <v>7</v>
      </c>
      <c r="F1184" s="24">
        <f>VLOOKUP(E1184,Q$5:R$11,2,FALSE)</f>
        <v>0.2</v>
      </c>
      <c r="G1184" s="24">
        <f t="shared" si="73"/>
        <v>5</v>
      </c>
      <c r="H1184" s="24">
        <f>IF(G1184&gt;G1183,H1183+C1184*F1184,C1184*F1184)</f>
        <v>2.9378238430683279</v>
      </c>
      <c r="I1184" s="24">
        <f t="shared" si="74"/>
        <v>1</v>
      </c>
      <c r="J1184" s="24">
        <f t="shared" si="75"/>
        <v>2.9378238430683279</v>
      </c>
      <c r="K1184" s="24">
        <f>IF(CurrentMtgRatesDataTable811[[#This Row],[WA CC]]&lt;&gt;0,D1183-CurrentMtgRatesDataTable811[[#This Row],[WA CC]],0)</f>
        <v>0.89217615693167218</v>
      </c>
      <c r="L1184" s="24">
        <f>IF(CurrentMtgRatesDataTable811[[#This Row],[Servicing Spread]]&lt;=0,L1183,CurrentMtgRatesDataTable811[[#This Row],[Servicing Spread]])</f>
        <v>0.89217615693167218</v>
      </c>
      <c r="M1184" s="24">
        <f>CurrentMtgRatesDataTable811[[#This Row],[SeriesNumValue]]+CurrentMtgRatesDataTable811[[#This Row],[Servicing Spread Non-Zero]]</f>
        <v>3.782061532753092</v>
      </c>
    </row>
    <row r="1185" spans="2:13" x14ac:dyDescent="0.2">
      <c r="B1185" s="27" t="s">
        <v>1866</v>
      </c>
      <c r="C1185" s="28">
        <v>2.85986737962509</v>
      </c>
      <c r="D1185" s="26">
        <v>3.7399999999999998</v>
      </c>
      <c r="E1185" s="24">
        <f t="shared" si="72"/>
        <v>1</v>
      </c>
      <c r="F1185" s="24">
        <f>VLOOKUP(E1185,Q$5:R$11,2,FALSE)</f>
        <v>0.2</v>
      </c>
      <c r="G1185" s="24">
        <f t="shared" si="73"/>
        <v>1</v>
      </c>
      <c r="H1185" s="24">
        <f>IF(G1185&gt;G1184,H1184+C1185*F1185,C1185*F1185)</f>
        <v>0.57197347592501802</v>
      </c>
      <c r="I1185" s="24">
        <f t="shared" si="74"/>
        <v>0.2</v>
      </c>
      <c r="J1185" s="24">
        <f t="shared" si="75"/>
        <v>0</v>
      </c>
      <c r="K1185" s="24">
        <f>IF(CurrentMtgRatesDataTable811[[#This Row],[WA CC]]&lt;&gt;0,D1184-CurrentMtgRatesDataTable811[[#This Row],[WA CC]],0)</f>
        <v>0</v>
      </c>
      <c r="L1185" s="24">
        <f>IF(CurrentMtgRatesDataTable811[[#This Row],[Servicing Spread]]&lt;=0,L1184,CurrentMtgRatesDataTable811[[#This Row],[Servicing Spread]])</f>
        <v>0.89217615693167218</v>
      </c>
      <c r="M1185" s="24">
        <f>CurrentMtgRatesDataTable811[[#This Row],[SeriesNumValue]]+CurrentMtgRatesDataTable811[[#This Row],[Servicing Spread Non-Zero]]</f>
        <v>3.7520435365567621</v>
      </c>
    </row>
    <row r="1186" spans="2:13" x14ac:dyDescent="0.2">
      <c r="B1186" s="27" t="s">
        <v>1867</v>
      </c>
      <c r="C1186" s="28">
        <v>2.8344803887664098</v>
      </c>
      <c r="D1186" s="26">
        <v>3.7399999999999998</v>
      </c>
      <c r="E1186" s="24">
        <f t="shared" si="72"/>
        <v>2</v>
      </c>
      <c r="F1186" s="24">
        <f>VLOOKUP(E1186,Q$5:R$11,2,FALSE)</f>
        <v>0.2</v>
      </c>
      <c r="G1186" s="24">
        <f t="shared" si="73"/>
        <v>2</v>
      </c>
      <c r="H1186" s="24">
        <f>IF(G1186&gt;G1185,H1185+C1186*F1186,C1186*F1186)</f>
        <v>1.1388695536783</v>
      </c>
      <c r="I1186" s="24">
        <f t="shared" si="74"/>
        <v>0.4</v>
      </c>
      <c r="J1186" s="24">
        <f t="shared" si="75"/>
        <v>0</v>
      </c>
      <c r="K1186" s="24">
        <f>IF(CurrentMtgRatesDataTable811[[#This Row],[WA CC]]&lt;&gt;0,D1185-CurrentMtgRatesDataTable811[[#This Row],[WA CC]],0)</f>
        <v>0</v>
      </c>
      <c r="L1186" s="24">
        <f>IF(CurrentMtgRatesDataTable811[[#This Row],[Servicing Spread]]&lt;=0,L1185,CurrentMtgRatesDataTable811[[#This Row],[Servicing Spread]])</f>
        <v>0.89217615693167218</v>
      </c>
      <c r="M1186" s="24">
        <f>CurrentMtgRatesDataTable811[[#This Row],[SeriesNumValue]]+CurrentMtgRatesDataTable811[[#This Row],[Servicing Spread Non-Zero]]</f>
        <v>3.726656545698082</v>
      </c>
    </row>
    <row r="1187" spans="2:13" x14ac:dyDescent="0.2">
      <c r="B1187" s="27" t="s">
        <v>1868</v>
      </c>
      <c r="C1187" s="28">
        <v>2.79004351105465</v>
      </c>
      <c r="D1187" s="26">
        <v>3.7399999999999998</v>
      </c>
      <c r="E1187" s="24">
        <f t="shared" si="72"/>
        <v>5</v>
      </c>
      <c r="F1187" s="24">
        <f>VLOOKUP(E1187,Q$5:R$11,2,FALSE)</f>
        <v>0.2</v>
      </c>
      <c r="G1187" s="24">
        <f t="shared" si="73"/>
        <v>3</v>
      </c>
      <c r="H1187" s="24">
        <f>IF(G1187&gt;G1186,H1186+C1187*F1187,C1187*F1187)</f>
        <v>1.6968782558892301</v>
      </c>
      <c r="I1187" s="24">
        <f t="shared" si="74"/>
        <v>0.60000000000000009</v>
      </c>
      <c r="J1187" s="24">
        <f t="shared" si="75"/>
        <v>0</v>
      </c>
      <c r="K1187" s="24">
        <f>IF(CurrentMtgRatesDataTable811[[#This Row],[WA CC]]&lt;&gt;0,D1186-CurrentMtgRatesDataTable811[[#This Row],[WA CC]],0)</f>
        <v>0</v>
      </c>
      <c r="L1187" s="24">
        <f>IF(CurrentMtgRatesDataTable811[[#This Row],[Servicing Spread]]&lt;=0,L1186,CurrentMtgRatesDataTable811[[#This Row],[Servicing Spread]])</f>
        <v>0.89217615693167218</v>
      </c>
      <c r="M1187" s="24">
        <f>CurrentMtgRatesDataTable811[[#This Row],[SeriesNumValue]]+CurrentMtgRatesDataTable811[[#This Row],[Servicing Spread Non-Zero]]</f>
        <v>3.6822196679863222</v>
      </c>
    </row>
    <row r="1188" spans="2:13" x14ac:dyDescent="0.2">
      <c r="B1188" s="27" t="s">
        <v>1869</v>
      </c>
      <c r="C1188" s="28">
        <v>2.9080768711615201</v>
      </c>
      <c r="D1188" s="26">
        <v>3.7399999999999998</v>
      </c>
      <c r="E1188" s="24">
        <f t="shared" si="72"/>
        <v>6</v>
      </c>
      <c r="F1188" s="24">
        <f>VLOOKUP(E1188,Q$5:R$11,2,FALSE)</f>
        <v>0.2</v>
      </c>
      <c r="G1188" s="24">
        <f t="shared" si="73"/>
        <v>4</v>
      </c>
      <c r="H1188" s="24">
        <f>IF(G1188&gt;G1187,H1187+C1188*F1188,C1188*F1188)</f>
        <v>2.2784936301215342</v>
      </c>
      <c r="I1188" s="24">
        <f t="shared" si="74"/>
        <v>0.8</v>
      </c>
      <c r="J1188" s="24">
        <f t="shared" si="75"/>
        <v>0</v>
      </c>
      <c r="K1188" s="24">
        <f>IF(CurrentMtgRatesDataTable811[[#This Row],[WA CC]]&lt;&gt;0,D1187-CurrentMtgRatesDataTable811[[#This Row],[WA CC]],0)</f>
        <v>0</v>
      </c>
      <c r="L1188" s="24">
        <f>IF(CurrentMtgRatesDataTable811[[#This Row],[Servicing Spread]]&lt;=0,L1187,CurrentMtgRatesDataTable811[[#This Row],[Servicing Spread]])</f>
        <v>0.89217615693167218</v>
      </c>
      <c r="M1188" s="24">
        <f>CurrentMtgRatesDataTable811[[#This Row],[SeriesNumValue]]+CurrentMtgRatesDataTable811[[#This Row],[Servicing Spread Non-Zero]]</f>
        <v>3.8002530280931923</v>
      </c>
    </row>
    <row r="1189" spans="2:13" x14ac:dyDescent="0.2">
      <c r="B1189" s="27" t="s">
        <v>1870</v>
      </c>
      <c r="C1189" s="28">
        <v>2.9117942461472701</v>
      </c>
      <c r="D1189" s="26">
        <v>3.7399999999999998</v>
      </c>
      <c r="E1189" s="24">
        <f t="shared" si="72"/>
        <v>7</v>
      </c>
      <c r="F1189" s="24">
        <f>VLOOKUP(E1189,Q$5:R$11,2,FALSE)</f>
        <v>0.2</v>
      </c>
      <c r="G1189" s="24">
        <f t="shared" si="73"/>
        <v>5</v>
      </c>
      <c r="H1189" s="24">
        <f>IF(G1189&gt;G1188,H1188+C1189*F1189,C1189*F1189)</f>
        <v>2.8608524793509882</v>
      </c>
      <c r="I1189" s="24">
        <f t="shared" si="74"/>
        <v>1</v>
      </c>
      <c r="J1189" s="24">
        <f t="shared" si="75"/>
        <v>2.8608524793509882</v>
      </c>
      <c r="K1189" s="24">
        <f>IF(CurrentMtgRatesDataTable811[[#This Row],[WA CC]]&lt;&gt;0,D1188-CurrentMtgRatesDataTable811[[#This Row],[WA CC]],0)</f>
        <v>0.87914752064901158</v>
      </c>
      <c r="L1189" s="24">
        <f>IF(CurrentMtgRatesDataTable811[[#This Row],[Servicing Spread]]&lt;=0,L1188,CurrentMtgRatesDataTable811[[#This Row],[Servicing Spread]])</f>
        <v>0.87914752064901158</v>
      </c>
      <c r="M1189" s="24">
        <f>CurrentMtgRatesDataTable811[[#This Row],[SeriesNumValue]]+CurrentMtgRatesDataTable811[[#This Row],[Servicing Spread Non-Zero]]</f>
        <v>3.7909417667962817</v>
      </c>
    </row>
    <row r="1190" spans="2:13" x14ac:dyDescent="0.2">
      <c r="B1190" s="27" t="s">
        <v>1871</v>
      </c>
      <c r="C1190" s="28">
        <v>2.9085457311755398</v>
      </c>
      <c r="D1190" s="26">
        <v>3.79</v>
      </c>
      <c r="E1190" s="24">
        <f t="shared" si="72"/>
        <v>1</v>
      </c>
      <c r="F1190" s="24">
        <f>VLOOKUP(E1190,Q$5:R$11,2,FALSE)</f>
        <v>0.2</v>
      </c>
      <c r="G1190" s="24">
        <f t="shared" si="73"/>
        <v>1</v>
      </c>
      <c r="H1190" s="24">
        <f>IF(G1190&gt;G1189,H1189+C1190*F1190,C1190*F1190)</f>
        <v>0.58170914623510794</v>
      </c>
      <c r="I1190" s="24">
        <f t="shared" si="74"/>
        <v>0.2</v>
      </c>
      <c r="J1190" s="24">
        <f t="shared" si="75"/>
        <v>0</v>
      </c>
      <c r="K1190" s="24">
        <f>IF(CurrentMtgRatesDataTable811[[#This Row],[WA CC]]&lt;&gt;0,D1189-CurrentMtgRatesDataTable811[[#This Row],[WA CC]],0)</f>
        <v>0</v>
      </c>
      <c r="L1190" s="24">
        <f>IF(CurrentMtgRatesDataTable811[[#This Row],[Servicing Spread]]&lt;=0,L1189,CurrentMtgRatesDataTable811[[#This Row],[Servicing Spread]])</f>
        <v>0.87914752064901158</v>
      </c>
      <c r="M1190" s="24">
        <f>CurrentMtgRatesDataTable811[[#This Row],[SeriesNumValue]]+CurrentMtgRatesDataTable811[[#This Row],[Servicing Spread Non-Zero]]</f>
        <v>3.7876932518245514</v>
      </c>
    </row>
    <row r="1191" spans="2:13" x14ac:dyDescent="0.2">
      <c r="B1191" s="27" t="s">
        <v>1872</v>
      </c>
      <c r="C1191" s="28">
        <v>2.9130814289562301</v>
      </c>
      <c r="D1191" s="26">
        <v>3.79</v>
      </c>
      <c r="E1191" s="24">
        <f t="shared" si="72"/>
        <v>2</v>
      </c>
      <c r="F1191" s="24">
        <f>VLOOKUP(E1191,Q$5:R$11,2,FALSE)</f>
        <v>0.2</v>
      </c>
      <c r="G1191" s="24">
        <f t="shared" si="73"/>
        <v>2</v>
      </c>
      <c r="H1191" s="24">
        <f>IF(G1191&gt;G1190,H1190+C1191*F1191,C1191*F1191)</f>
        <v>1.1643254320263541</v>
      </c>
      <c r="I1191" s="24">
        <f t="shared" si="74"/>
        <v>0.4</v>
      </c>
      <c r="J1191" s="24">
        <f t="shared" si="75"/>
        <v>0</v>
      </c>
      <c r="K1191" s="24">
        <f>IF(CurrentMtgRatesDataTable811[[#This Row],[WA CC]]&lt;&gt;0,D1190-CurrentMtgRatesDataTable811[[#This Row],[WA CC]],0)</f>
        <v>0</v>
      </c>
      <c r="L1191" s="24">
        <f>IF(CurrentMtgRatesDataTable811[[#This Row],[Servicing Spread]]&lt;=0,L1190,CurrentMtgRatesDataTable811[[#This Row],[Servicing Spread]])</f>
        <v>0.87914752064901158</v>
      </c>
      <c r="M1191" s="24">
        <f>CurrentMtgRatesDataTable811[[#This Row],[SeriesNumValue]]+CurrentMtgRatesDataTable811[[#This Row],[Servicing Spread Non-Zero]]</f>
        <v>3.7922289496052417</v>
      </c>
    </row>
    <row r="1192" spans="2:13" x14ac:dyDescent="0.2">
      <c r="B1192" s="27" t="s">
        <v>1873</v>
      </c>
      <c r="C1192" s="28">
        <v>2.9344470402340699</v>
      </c>
      <c r="D1192" s="26">
        <v>3.79</v>
      </c>
      <c r="E1192" s="24">
        <f t="shared" si="72"/>
        <v>5</v>
      </c>
      <c r="F1192" s="24">
        <f>VLOOKUP(E1192,Q$5:R$11,2,FALSE)</f>
        <v>0.2</v>
      </c>
      <c r="G1192" s="24">
        <f t="shared" si="73"/>
        <v>3</v>
      </c>
      <c r="H1192" s="24">
        <f>IF(G1192&gt;G1191,H1191+C1192*F1192,C1192*F1192)</f>
        <v>1.751214840073168</v>
      </c>
      <c r="I1192" s="24">
        <f t="shared" si="74"/>
        <v>0.60000000000000009</v>
      </c>
      <c r="J1192" s="24">
        <f t="shared" si="75"/>
        <v>0</v>
      </c>
      <c r="K1192" s="24">
        <f>IF(CurrentMtgRatesDataTable811[[#This Row],[WA CC]]&lt;&gt;0,D1191-CurrentMtgRatesDataTable811[[#This Row],[WA CC]],0)</f>
        <v>0</v>
      </c>
      <c r="L1192" s="24">
        <f>IF(CurrentMtgRatesDataTable811[[#This Row],[Servicing Spread]]&lt;=0,L1191,CurrentMtgRatesDataTable811[[#This Row],[Servicing Spread]])</f>
        <v>0.87914752064901158</v>
      </c>
      <c r="M1192" s="24">
        <f>CurrentMtgRatesDataTable811[[#This Row],[SeriesNumValue]]+CurrentMtgRatesDataTable811[[#This Row],[Servicing Spread Non-Zero]]</f>
        <v>3.8135945608830815</v>
      </c>
    </row>
    <row r="1193" spans="2:13" x14ac:dyDescent="0.2">
      <c r="B1193" s="27" t="s">
        <v>1874</v>
      </c>
      <c r="C1193" s="28">
        <v>2.9096799662845698</v>
      </c>
      <c r="D1193" s="26">
        <v>3.79</v>
      </c>
      <c r="E1193" s="24">
        <f t="shared" si="72"/>
        <v>6</v>
      </c>
      <c r="F1193" s="24">
        <f>VLOOKUP(E1193,Q$5:R$11,2,FALSE)</f>
        <v>0.2</v>
      </c>
      <c r="G1193" s="24">
        <f t="shared" si="73"/>
        <v>4</v>
      </c>
      <c r="H1193" s="24">
        <f>IF(G1193&gt;G1192,H1192+C1193*F1193,C1193*F1193)</f>
        <v>2.3331508333300821</v>
      </c>
      <c r="I1193" s="24">
        <f t="shared" si="74"/>
        <v>0.8</v>
      </c>
      <c r="J1193" s="24">
        <f t="shared" si="75"/>
        <v>0</v>
      </c>
      <c r="K1193" s="24">
        <f>IF(CurrentMtgRatesDataTable811[[#This Row],[WA CC]]&lt;&gt;0,D1192-CurrentMtgRatesDataTable811[[#This Row],[WA CC]],0)</f>
        <v>0</v>
      </c>
      <c r="L1193" s="24">
        <f>IF(CurrentMtgRatesDataTable811[[#This Row],[Servicing Spread]]&lt;=0,L1192,CurrentMtgRatesDataTable811[[#This Row],[Servicing Spread]])</f>
        <v>0.87914752064901158</v>
      </c>
      <c r="M1193" s="24">
        <f>CurrentMtgRatesDataTable811[[#This Row],[SeriesNumValue]]+CurrentMtgRatesDataTable811[[#This Row],[Servicing Spread Non-Zero]]</f>
        <v>3.7888274869335814</v>
      </c>
    </row>
    <row r="1194" spans="2:13" x14ac:dyDescent="0.2">
      <c r="B1194" s="27" t="s">
        <v>1875</v>
      </c>
      <c r="C1194" s="28">
        <v>2.9358931445910401</v>
      </c>
      <c r="D1194" s="26">
        <v>3.79</v>
      </c>
      <c r="E1194" s="24">
        <f t="shared" si="72"/>
        <v>7</v>
      </c>
      <c r="F1194" s="24">
        <f>VLOOKUP(E1194,Q$5:R$11,2,FALSE)</f>
        <v>0.2</v>
      </c>
      <c r="G1194" s="24">
        <f t="shared" si="73"/>
        <v>5</v>
      </c>
      <c r="H1194" s="24">
        <f>IF(G1194&gt;G1193,H1193+C1194*F1194,C1194*F1194)</f>
        <v>2.92032946224829</v>
      </c>
      <c r="I1194" s="24">
        <f t="shared" si="74"/>
        <v>1</v>
      </c>
      <c r="J1194" s="24">
        <f t="shared" si="75"/>
        <v>2.92032946224829</v>
      </c>
      <c r="K1194" s="24">
        <f>IF(CurrentMtgRatesDataTable811[[#This Row],[WA CC]]&lt;&gt;0,D1193-CurrentMtgRatesDataTable811[[#This Row],[WA CC]],0)</f>
        <v>0.86967053775170999</v>
      </c>
      <c r="L1194" s="24">
        <f>IF(CurrentMtgRatesDataTable811[[#This Row],[Servicing Spread]]&lt;=0,L1193,CurrentMtgRatesDataTable811[[#This Row],[Servicing Spread]])</f>
        <v>0.86967053775170999</v>
      </c>
      <c r="M1194" s="24">
        <f>CurrentMtgRatesDataTable811[[#This Row],[SeriesNumValue]]+CurrentMtgRatesDataTable811[[#This Row],[Servicing Spread Non-Zero]]</f>
        <v>3.8055636823427501</v>
      </c>
    </row>
    <row r="1195" spans="2:13" x14ac:dyDescent="0.2">
      <c r="B1195" s="27" t="s">
        <v>1876</v>
      </c>
      <c r="C1195" s="28">
        <v>2.90498942377981</v>
      </c>
      <c r="D1195" s="26">
        <v>3.8</v>
      </c>
      <c r="E1195" s="24">
        <f t="shared" si="72"/>
        <v>1</v>
      </c>
      <c r="F1195" s="24">
        <f>VLOOKUP(E1195,Q$5:R$11,2,FALSE)</f>
        <v>0.2</v>
      </c>
      <c r="G1195" s="24">
        <f t="shared" si="73"/>
        <v>1</v>
      </c>
      <c r="H1195" s="24">
        <f>IF(G1195&gt;G1194,H1194+C1195*F1195,C1195*F1195)</f>
        <v>0.58099788475596204</v>
      </c>
      <c r="I1195" s="24">
        <f t="shared" si="74"/>
        <v>0.2</v>
      </c>
      <c r="J1195" s="24">
        <f t="shared" si="75"/>
        <v>0</v>
      </c>
      <c r="K1195" s="24">
        <f>IF(CurrentMtgRatesDataTable811[[#This Row],[WA CC]]&lt;&gt;0,D1194-CurrentMtgRatesDataTable811[[#This Row],[WA CC]],0)</f>
        <v>0</v>
      </c>
      <c r="L1195" s="24">
        <f>IF(CurrentMtgRatesDataTable811[[#This Row],[Servicing Spread]]&lt;=0,L1194,CurrentMtgRatesDataTable811[[#This Row],[Servicing Spread]])</f>
        <v>0.86967053775170999</v>
      </c>
      <c r="M1195" s="24">
        <f>CurrentMtgRatesDataTable811[[#This Row],[SeriesNumValue]]+CurrentMtgRatesDataTable811[[#This Row],[Servicing Spread Non-Zero]]</f>
        <v>3.7746599615315199</v>
      </c>
    </row>
    <row r="1196" spans="2:13" x14ac:dyDescent="0.2">
      <c r="B1196" s="27" t="s">
        <v>1877</v>
      </c>
      <c r="C1196" s="28">
        <v>2.8787744272910301</v>
      </c>
      <c r="D1196" s="26">
        <v>3.8</v>
      </c>
      <c r="E1196" s="24">
        <f t="shared" si="72"/>
        <v>2</v>
      </c>
      <c r="F1196" s="24">
        <f>VLOOKUP(E1196,Q$5:R$11,2,FALSE)</f>
        <v>0.2</v>
      </c>
      <c r="G1196" s="24">
        <f t="shared" si="73"/>
        <v>2</v>
      </c>
      <c r="H1196" s="24">
        <f>IF(G1196&gt;G1195,H1195+C1196*F1196,C1196*F1196)</f>
        <v>1.156752770214168</v>
      </c>
      <c r="I1196" s="24">
        <f t="shared" si="74"/>
        <v>0.4</v>
      </c>
      <c r="J1196" s="24">
        <f t="shared" si="75"/>
        <v>0</v>
      </c>
      <c r="K1196" s="24">
        <f>IF(CurrentMtgRatesDataTable811[[#This Row],[WA CC]]&lt;&gt;0,D1195-CurrentMtgRatesDataTable811[[#This Row],[WA CC]],0)</f>
        <v>0</v>
      </c>
      <c r="L1196" s="24">
        <f>IF(CurrentMtgRatesDataTable811[[#This Row],[Servicing Spread]]&lt;=0,L1195,CurrentMtgRatesDataTable811[[#This Row],[Servicing Spread]])</f>
        <v>0.86967053775170999</v>
      </c>
      <c r="M1196" s="24">
        <f>CurrentMtgRatesDataTable811[[#This Row],[SeriesNumValue]]+CurrentMtgRatesDataTable811[[#This Row],[Servicing Spread Non-Zero]]</f>
        <v>3.7484449650427401</v>
      </c>
    </row>
    <row r="1197" spans="2:13" x14ac:dyDescent="0.2">
      <c r="B1197" s="27" t="s">
        <v>1878</v>
      </c>
      <c r="C1197" s="28">
        <v>2.9185627226684798</v>
      </c>
      <c r="D1197" s="26">
        <v>3.8</v>
      </c>
      <c r="E1197" s="24">
        <f t="shared" si="72"/>
        <v>6</v>
      </c>
      <c r="F1197" s="24">
        <f>VLOOKUP(E1197,Q$5:R$11,2,FALSE)</f>
        <v>0.2</v>
      </c>
      <c r="G1197" s="24">
        <f t="shared" si="73"/>
        <v>3</v>
      </c>
      <c r="H1197" s="24">
        <f>IF(G1197&gt;G1196,H1196+C1197*F1197,C1197*F1197)</f>
        <v>1.7404653147478641</v>
      </c>
      <c r="I1197" s="24">
        <f t="shared" si="74"/>
        <v>0.60000000000000009</v>
      </c>
      <c r="J1197" s="24">
        <f t="shared" si="75"/>
        <v>0</v>
      </c>
      <c r="K1197" s="24">
        <f>IF(CurrentMtgRatesDataTable811[[#This Row],[WA CC]]&lt;&gt;0,D1196-CurrentMtgRatesDataTable811[[#This Row],[WA CC]],0)</f>
        <v>0</v>
      </c>
      <c r="L1197" s="24">
        <f>IF(CurrentMtgRatesDataTable811[[#This Row],[Servicing Spread]]&lt;=0,L1196,CurrentMtgRatesDataTable811[[#This Row],[Servicing Spread]])</f>
        <v>0.86967053775170999</v>
      </c>
      <c r="M1197" s="24">
        <f>CurrentMtgRatesDataTable811[[#This Row],[SeriesNumValue]]+CurrentMtgRatesDataTable811[[#This Row],[Servicing Spread Non-Zero]]</f>
        <v>3.7882332604201898</v>
      </c>
    </row>
    <row r="1198" spans="2:13" x14ac:dyDescent="0.2">
      <c r="B1198" s="27" t="s">
        <v>1879</v>
      </c>
      <c r="C1198" s="28">
        <v>2.9027513521030701</v>
      </c>
      <c r="D1198" s="26">
        <v>3.8</v>
      </c>
      <c r="E1198" s="24">
        <f t="shared" si="72"/>
        <v>7</v>
      </c>
      <c r="F1198" s="24">
        <f>VLOOKUP(E1198,Q$5:R$11,2,FALSE)</f>
        <v>0.2</v>
      </c>
      <c r="G1198" s="24">
        <f t="shared" si="73"/>
        <v>4</v>
      </c>
      <c r="H1198" s="24">
        <f>IF(G1198&gt;G1197,H1197+C1198*F1198,C1198*F1198)</f>
        <v>2.3210155851684782</v>
      </c>
      <c r="I1198" s="24">
        <f t="shared" si="74"/>
        <v>0.8</v>
      </c>
      <c r="J1198" s="24">
        <f t="shared" si="75"/>
        <v>2.9012694814605977</v>
      </c>
      <c r="K1198" s="24">
        <f>IF(CurrentMtgRatesDataTable811[[#This Row],[WA CC]]&lt;&gt;0,D1197-CurrentMtgRatesDataTable811[[#This Row],[WA CC]],0)</f>
        <v>0.89873051853940211</v>
      </c>
      <c r="L1198" s="24">
        <f>IF(CurrentMtgRatesDataTable811[[#This Row],[Servicing Spread]]&lt;=0,L1197,CurrentMtgRatesDataTable811[[#This Row],[Servicing Spread]])</f>
        <v>0.89873051853940211</v>
      </c>
      <c r="M1198" s="24">
        <f>CurrentMtgRatesDataTable811[[#This Row],[SeriesNumValue]]+CurrentMtgRatesDataTable811[[#This Row],[Servicing Spread Non-Zero]]</f>
        <v>3.8014818706424722</v>
      </c>
    </row>
    <row r="1199" spans="2:13" x14ac:dyDescent="0.2">
      <c r="B1199" s="27" t="s">
        <v>1880</v>
      </c>
      <c r="C1199" s="28">
        <v>2.9327229891480799</v>
      </c>
      <c r="D1199" s="26">
        <v>3.81</v>
      </c>
      <c r="E1199" s="24">
        <f t="shared" si="72"/>
        <v>1</v>
      </c>
      <c r="F1199" s="24">
        <f>VLOOKUP(E1199,Q$5:R$11,2,FALSE)</f>
        <v>0.2</v>
      </c>
      <c r="G1199" s="24">
        <f t="shared" si="73"/>
        <v>1</v>
      </c>
      <c r="H1199" s="24">
        <f>IF(G1199&gt;G1198,H1198+C1199*F1199,C1199*F1199)</f>
        <v>0.58654459782961599</v>
      </c>
      <c r="I1199" s="24">
        <f t="shared" si="74"/>
        <v>0.2</v>
      </c>
      <c r="J1199" s="24">
        <f t="shared" si="75"/>
        <v>0</v>
      </c>
      <c r="K1199" s="24">
        <f>IF(CurrentMtgRatesDataTable811[[#This Row],[WA CC]]&lt;&gt;0,D1198-CurrentMtgRatesDataTable811[[#This Row],[WA CC]],0)</f>
        <v>0</v>
      </c>
      <c r="L1199" s="24">
        <f>IF(CurrentMtgRatesDataTable811[[#This Row],[Servicing Spread]]&lt;=0,L1198,CurrentMtgRatesDataTable811[[#This Row],[Servicing Spread]])</f>
        <v>0.89873051853940211</v>
      </c>
      <c r="M1199" s="24">
        <f>CurrentMtgRatesDataTable811[[#This Row],[SeriesNumValue]]+CurrentMtgRatesDataTable811[[#This Row],[Servicing Spread Non-Zero]]</f>
        <v>3.8314535076874821</v>
      </c>
    </row>
    <row r="1200" spans="2:13" x14ac:dyDescent="0.2">
      <c r="B1200" s="27" t="s">
        <v>1881</v>
      </c>
      <c r="C1200" s="28">
        <v>2.9154645829543302</v>
      </c>
      <c r="D1200" s="26">
        <v>3.81</v>
      </c>
      <c r="E1200" s="24">
        <f t="shared" si="72"/>
        <v>2</v>
      </c>
      <c r="F1200" s="24">
        <f>VLOOKUP(E1200,Q$5:R$11,2,FALSE)</f>
        <v>0.2</v>
      </c>
      <c r="G1200" s="24">
        <f t="shared" si="73"/>
        <v>2</v>
      </c>
      <c r="H1200" s="24">
        <f>IF(G1200&gt;G1199,H1199+C1200*F1200,C1200*F1200)</f>
        <v>1.169637514420482</v>
      </c>
      <c r="I1200" s="24">
        <f t="shared" si="74"/>
        <v>0.4</v>
      </c>
      <c r="J1200" s="24">
        <f t="shared" si="75"/>
        <v>0</v>
      </c>
      <c r="K1200" s="24">
        <f>IF(CurrentMtgRatesDataTable811[[#This Row],[WA CC]]&lt;&gt;0,D1199-CurrentMtgRatesDataTable811[[#This Row],[WA CC]],0)</f>
        <v>0</v>
      </c>
      <c r="L1200" s="24">
        <f>IF(CurrentMtgRatesDataTable811[[#This Row],[Servicing Spread]]&lt;=0,L1199,CurrentMtgRatesDataTable811[[#This Row],[Servicing Spread]])</f>
        <v>0.89873051853940211</v>
      </c>
      <c r="M1200" s="24">
        <f>CurrentMtgRatesDataTable811[[#This Row],[SeriesNumValue]]+CurrentMtgRatesDataTable811[[#This Row],[Servicing Spread Non-Zero]]</f>
        <v>3.8141951014937323</v>
      </c>
    </row>
    <row r="1201" spans="2:13" x14ac:dyDescent="0.2">
      <c r="B1201" s="27" t="s">
        <v>1882</v>
      </c>
      <c r="C1201" s="28">
        <v>2.90800506731745</v>
      </c>
      <c r="D1201" s="26">
        <v>3.81</v>
      </c>
      <c r="E1201" s="24">
        <f t="shared" si="72"/>
        <v>5</v>
      </c>
      <c r="F1201" s="24">
        <f>VLOOKUP(E1201,Q$5:R$11,2,FALSE)</f>
        <v>0.2</v>
      </c>
      <c r="G1201" s="24">
        <f t="shared" si="73"/>
        <v>3</v>
      </c>
      <c r="H1201" s="24">
        <f>IF(G1201&gt;G1200,H1200+C1201*F1201,C1201*F1201)</f>
        <v>1.7512385278839719</v>
      </c>
      <c r="I1201" s="24">
        <f t="shared" si="74"/>
        <v>0.60000000000000009</v>
      </c>
      <c r="J1201" s="24">
        <f t="shared" si="75"/>
        <v>0</v>
      </c>
      <c r="K1201" s="24">
        <f>IF(CurrentMtgRatesDataTable811[[#This Row],[WA CC]]&lt;&gt;0,D1200-CurrentMtgRatesDataTable811[[#This Row],[WA CC]],0)</f>
        <v>0</v>
      </c>
      <c r="L1201" s="24">
        <f>IF(CurrentMtgRatesDataTable811[[#This Row],[Servicing Spread]]&lt;=0,L1200,CurrentMtgRatesDataTable811[[#This Row],[Servicing Spread]])</f>
        <v>0.89873051853940211</v>
      </c>
      <c r="M1201" s="24">
        <f>CurrentMtgRatesDataTable811[[#This Row],[SeriesNumValue]]+CurrentMtgRatesDataTable811[[#This Row],[Servicing Spread Non-Zero]]</f>
        <v>3.8067355858568521</v>
      </c>
    </row>
    <row r="1202" spans="2:13" x14ac:dyDescent="0.2">
      <c r="B1202" s="27" t="s">
        <v>1883</v>
      </c>
      <c r="C1202" s="28">
        <v>2.9912109118513701</v>
      </c>
      <c r="D1202" s="26">
        <v>3.81</v>
      </c>
      <c r="E1202" s="24">
        <f t="shared" si="72"/>
        <v>6</v>
      </c>
      <c r="F1202" s="24">
        <f>VLOOKUP(E1202,Q$5:R$11,2,FALSE)</f>
        <v>0.2</v>
      </c>
      <c r="G1202" s="24">
        <f t="shared" si="73"/>
        <v>4</v>
      </c>
      <c r="H1202" s="24">
        <f>IF(G1202&gt;G1201,H1201+C1202*F1202,C1202*F1202)</f>
        <v>2.3494807102542459</v>
      </c>
      <c r="I1202" s="24">
        <f t="shared" si="74"/>
        <v>0.8</v>
      </c>
      <c r="J1202" s="24">
        <f t="shared" si="75"/>
        <v>0</v>
      </c>
      <c r="K1202" s="24">
        <f>IF(CurrentMtgRatesDataTable811[[#This Row],[WA CC]]&lt;&gt;0,D1201-CurrentMtgRatesDataTable811[[#This Row],[WA CC]],0)</f>
        <v>0</v>
      </c>
      <c r="L1202" s="24">
        <f>IF(CurrentMtgRatesDataTable811[[#This Row],[Servicing Spread]]&lt;=0,L1201,CurrentMtgRatesDataTable811[[#This Row],[Servicing Spread]])</f>
        <v>0.89873051853940211</v>
      </c>
      <c r="M1202" s="24">
        <f>CurrentMtgRatesDataTable811[[#This Row],[SeriesNumValue]]+CurrentMtgRatesDataTable811[[#This Row],[Servicing Spread Non-Zero]]</f>
        <v>3.8899414303907722</v>
      </c>
    </row>
    <row r="1203" spans="2:13" x14ac:dyDescent="0.2">
      <c r="B1203" s="27" t="s">
        <v>1884</v>
      </c>
      <c r="C1203" s="28">
        <v>2.9926621611582802</v>
      </c>
      <c r="D1203" s="26">
        <v>3.81</v>
      </c>
      <c r="E1203" s="24">
        <f t="shared" si="72"/>
        <v>7</v>
      </c>
      <c r="F1203" s="24">
        <f>VLOOKUP(E1203,Q$5:R$11,2,FALSE)</f>
        <v>0.2</v>
      </c>
      <c r="G1203" s="24">
        <f t="shared" si="73"/>
        <v>5</v>
      </c>
      <c r="H1203" s="24">
        <f>IF(G1203&gt;G1202,H1202+C1203*F1203,C1203*F1203)</f>
        <v>2.9480131424859017</v>
      </c>
      <c r="I1203" s="24">
        <f t="shared" si="74"/>
        <v>1</v>
      </c>
      <c r="J1203" s="24">
        <f t="shared" si="75"/>
        <v>2.9480131424859017</v>
      </c>
      <c r="K1203" s="24">
        <f>IF(CurrentMtgRatesDataTable811[[#This Row],[WA CC]]&lt;&gt;0,D1202-CurrentMtgRatesDataTable811[[#This Row],[WA CC]],0)</f>
        <v>0.86198685751409831</v>
      </c>
      <c r="L1203" s="24">
        <f>IF(CurrentMtgRatesDataTable811[[#This Row],[Servicing Spread]]&lt;=0,L1202,CurrentMtgRatesDataTable811[[#This Row],[Servicing Spread]])</f>
        <v>0.86198685751409831</v>
      </c>
      <c r="M1203" s="24">
        <f>CurrentMtgRatesDataTable811[[#This Row],[SeriesNumValue]]+CurrentMtgRatesDataTable811[[#This Row],[Servicing Spread Non-Zero]]</f>
        <v>3.8546490186723785</v>
      </c>
    </row>
    <row r="1204" spans="2:13" x14ac:dyDescent="0.2">
      <c r="B1204" s="27" t="s">
        <v>1885</v>
      </c>
      <c r="C1204" s="28">
        <v>2.8946199392202701</v>
      </c>
      <c r="D1204" s="26">
        <v>3.7849999999999997</v>
      </c>
      <c r="E1204" s="24">
        <f t="shared" si="72"/>
        <v>1</v>
      </c>
      <c r="F1204" s="24">
        <f>VLOOKUP(E1204,Q$5:R$11,2,FALSE)</f>
        <v>0.2</v>
      </c>
      <c r="G1204" s="24">
        <f t="shared" si="73"/>
        <v>1</v>
      </c>
      <c r="H1204" s="24">
        <f>IF(G1204&gt;G1203,H1203+C1204*F1204,C1204*F1204)</f>
        <v>0.57892398784405408</v>
      </c>
      <c r="I1204" s="24">
        <f t="shared" si="74"/>
        <v>0.2</v>
      </c>
      <c r="J1204" s="24">
        <f t="shared" si="75"/>
        <v>0</v>
      </c>
      <c r="K1204" s="24">
        <f>IF(CurrentMtgRatesDataTable811[[#This Row],[WA CC]]&lt;&gt;0,D1203-CurrentMtgRatesDataTable811[[#This Row],[WA CC]],0)</f>
        <v>0</v>
      </c>
      <c r="L1204" s="24">
        <f>IF(CurrentMtgRatesDataTable811[[#This Row],[Servicing Spread]]&lt;=0,L1203,CurrentMtgRatesDataTable811[[#This Row],[Servicing Spread]])</f>
        <v>0.86198685751409831</v>
      </c>
      <c r="M1204" s="24">
        <f>CurrentMtgRatesDataTable811[[#This Row],[SeriesNumValue]]+CurrentMtgRatesDataTable811[[#This Row],[Servicing Spread Non-Zero]]</f>
        <v>3.7566067967343684</v>
      </c>
    </row>
    <row r="1205" spans="2:13" x14ac:dyDescent="0.2">
      <c r="B1205" s="27" t="s">
        <v>1886</v>
      </c>
      <c r="C1205" s="28">
        <v>2.8362882018725202</v>
      </c>
      <c r="D1205" s="26">
        <v>3.7849999999999997</v>
      </c>
      <c r="E1205" s="24">
        <f t="shared" si="72"/>
        <v>2</v>
      </c>
      <c r="F1205" s="24">
        <f>VLOOKUP(E1205,Q$5:R$11,2,FALSE)</f>
        <v>0.2</v>
      </c>
      <c r="G1205" s="24">
        <f t="shared" si="73"/>
        <v>2</v>
      </c>
      <c r="H1205" s="24">
        <f>IF(G1205&gt;G1204,H1204+C1205*F1205,C1205*F1205)</f>
        <v>1.1461816282185582</v>
      </c>
      <c r="I1205" s="24">
        <f t="shared" si="74"/>
        <v>0.4</v>
      </c>
      <c r="J1205" s="24">
        <f t="shared" si="75"/>
        <v>0</v>
      </c>
      <c r="K1205" s="24">
        <f>IF(CurrentMtgRatesDataTable811[[#This Row],[WA CC]]&lt;&gt;0,D1204-CurrentMtgRatesDataTable811[[#This Row],[WA CC]],0)</f>
        <v>0</v>
      </c>
      <c r="L1205" s="24">
        <f>IF(CurrentMtgRatesDataTable811[[#This Row],[Servicing Spread]]&lt;=0,L1204,CurrentMtgRatesDataTable811[[#This Row],[Servicing Spread]])</f>
        <v>0.86198685751409831</v>
      </c>
      <c r="M1205" s="24">
        <f>CurrentMtgRatesDataTable811[[#This Row],[SeriesNumValue]]+CurrentMtgRatesDataTable811[[#This Row],[Servicing Spread Non-Zero]]</f>
        <v>3.6982750593866185</v>
      </c>
    </row>
    <row r="1206" spans="2:13" x14ac:dyDescent="0.2">
      <c r="B1206" s="27" t="s">
        <v>1887</v>
      </c>
      <c r="C1206" s="28">
        <v>2.91486476009828</v>
      </c>
      <c r="D1206" s="26">
        <v>3.7849999999999997</v>
      </c>
      <c r="E1206" s="24">
        <f t="shared" si="72"/>
        <v>5</v>
      </c>
      <c r="F1206" s="24">
        <f>VLOOKUP(E1206,Q$5:R$11,2,FALSE)</f>
        <v>0.2</v>
      </c>
      <c r="G1206" s="24">
        <f t="shared" si="73"/>
        <v>3</v>
      </c>
      <c r="H1206" s="24">
        <f>IF(G1206&gt;G1205,H1205+C1206*F1206,C1206*F1206)</f>
        <v>1.7291545802382142</v>
      </c>
      <c r="I1206" s="24">
        <f t="shared" si="74"/>
        <v>0.60000000000000009</v>
      </c>
      <c r="J1206" s="24">
        <f t="shared" si="75"/>
        <v>0</v>
      </c>
      <c r="K1206" s="24">
        <f>IF(CurrentMtgRatesDataTable811[[#This Row],[WA CC]]&lt;&gt;0,D1205-CurrentMtgRatesDataTable811[[#This Row],[WA CC]],0)</f>
        <v>0</v>
      </c>
      <c r="L1206" s="24">
        <f>IF(CurrentMtgRatesDataTable811[[#This Row],[Servicing Spread]]&lt;=0,L1205,CurrentMtgRatesDataTable811[[#This Row],[Servicing Spread]])</f>
        <v>0.86198685751409831</v>
      </c>
      <c r="M1206" s="24">
        <f>CurrentMtgRatesDataTable811[[#This Row],[SeriesNumValue]]+CurrentMtgRatesDataTable811[[#This Row],[Servicing Spread Non-Zero]]</f>
        <v>3.7768516176123783</v>
      </c>
    </row>
    <row r="1207" spans="2:13" x14ac:dyDescent="0.2">
      <c r="B1207" s="27" t="s">
        <v>1888</v>
      </c>
      <c r="C1207" s="28">
        <v>2.8594352216235301</v>
      </c>
      <c r="D1207" s="26">
        <v>3.7849999999999997</v>
      </c>
      <c r="E1207" s="24">
        <f t="shared" si="72"/>
        <v>6</v>
      </c>
      <c r="F1207" s="24">
        <f>VLOOKUP(E1207,Q$5:R$11,2,FALSE)</f>
        <v>0.2</v>
      </c>
      <c r="G1207" s="24">
        <f t="shared" si="73"/>
        <v>4</v>
      </c>
      <c r="H1207" s="24">
        <f>IF(G1207&gt;G1206,H1206+C1207*F1207,C1207*F1207)</f>
        <v>2.3010416245629202</v>
      </c>
      <c r="I1207" s="24">
        <f t="shared" si="74"/>
        <v>0.8</v>
      </c>
      <c r="J1207" s="24">
        <f t="shared" si="75"/>
        <v>0</v>
      </c>
      <c r="K1207" s="24">
        <f>IF(CurrentMtgRatesDataTable811[[#This Row],[WA CC]]&lt;&gt;0,D1206-CurrentMtgRatesDataTable811[[#This Row],[WA CC]],0)</f>
        <v>0</v>
      </c>
      <c r="L1207" s="24">
        <f>IF(CurrentMtgRatesDataTable811[[#This Row],[Servicing Spread]]&lt;=0,L1206,CurrentMtgRatesDataTable811[[#This Row],[Servicing Spread]])</f>
        <v>0.86198685751409831</v>
      </c>
      <c r="M1207" s="24">
        <f>CurrentMtgRatesDataTable811[[#This Row],[SeriesNumValue]]+CurrentMtgRatesDataTable811[[#This Row],[Servicing Spread Non-Zero]]</f>
        <v>3.7214220791376285</v>
      </c>
    </row>
    <row r="1208" spans="2:13" x14ac:dyDescent="0.2">
      <c r="B1208" s="27" t="s">
        <v>1889</v>
      </c>
      <c r="C1208" s="28">
        <v>2.8734950564364601</v>
      </c>
      <c r="D1208" s="26">
        <v>3.7849999999999997</v>
      </c>
      <c r="E1208" s="24">
        <f t="shared" si="72"/>
        <v>7</v>
      </c>
      <c r="F1208" s="24">
        <f>VLOOKUP(E1208,Q$5:R$11,2,FALSE)</f>
        <v>0.2</v>
      </c>
      <c r="G1208" s="24">
        <f t="shared" si="73"/>
        <v>5</v>
      </c>
      <c r="H1208" s="24">
        <f>IF(G1208&gt;G1207,H1207+C1208*F1208,C1208*F1208)</f>
        <v>2.875740635850212</v>
      </c>
      <c r="I1208" s="24">
        <f t="shared" si="74"/>
        <v>1</v>
      </c>
      <c r="J1208" s="24">
        <f t="shared" si="75"/>
        <v>2.875740635850212</v>
      </c>
      <c r="K1208" s="24">
        <f>IF(CurrentMtgRatesDataTable811[[#This Row],[WA CC]]&lt;&gt;0,D1207-CurrentMtgRatesDataTable811[[#This Row],[WA CC]],0)</f>
        <v>0.9092593641497877</v>
      </c>
      <c r="L1208" s="24">
        <f>IF(CurrentMtgRatesDataTable811[[#This Row],[Servicing Spread]]&lt;=0,L1207,CurrentMtgRatesDataTable811[[#This Row],[Servicing Spread]])</f>
        <v>0.9092593641497877</v>
      </c>
      <c r="M1208" s="24">
        <f>CurrentMtgRatesDataTable811[[#This Row],[SeriesNumValue]]+CurrentMtgRatesDataTable811[[#This Row],[Servicing Spread Non-Zero]]</f>
        <v>3.7827544205862478</v>
      </c>
    </row>
    <row r="1209" spans="2:13" x14ac:dyDescent="0.2">
      <c r="B1209" s="27" t="s">
        <v>1890</v>
      </c>
      <c r="C1209" s="28">
        <v>2.8712695086990299</v>
      </c>
      <c r="D1209" s="26">
        <v>3.75</v>
      </c>
      <c r="E1209" s="24">
        <f t="shared" si="72"/>
        <v>1</v>
      </c>
      <c r="F1209" s="24">
        <f>VLOOKUP(E1209,Q$5:R$11,2,FALSE)</f>
        <v>0.2</v>
      </c>
      <c r="G1209" s="24">
        <f t="shared" si="73"/>
        <v>1</v>
      </c>
      <c r="H1209" s="24">
        <f>IF(G1209&gt;G1208,H1208+C1209*F1209,C1209*F1209)</f>
        <v>0.57425390173980595</v>
      </c>
      <c r="I1209" s="24">
        <f t="shared" si="74"/>
        <v>0.2</v>
      </c>
      <c r="J1209" s="24">
        <f t="shared" si="75"/>
        <v>0</v>
      </c>
      <c r="K1209" s="24">
        <f>IF(CurrentMtgRatesDataTable811[[#This Row],[WA CC]]&lt;&gt;0,D1208-CurrentMtgRatesDataTable811[[#This Row],[WA CC]],0)</f>
        <v>0</v>
      </c>
      <c r="L1209" s="24">
        <f>IF(CurrentMtgRatesDataTable811[[#This Row],[Servicing Spread]]&lt;=0,L1208,CurrentMtgRatesDataTable811[[#This Row],[Servicing Spread]])</f>
        <v>0.9092593641497877</v>
      </c>
      <c r="M1209" s="24">
        <f>CurrentMtgRatesDataTable811[[#This Row],[SeriesNumValue]]+CurrentMtgRatesDataTable811[[#This Row],[Servicing Spread Non-Zero]]</f>
        <v>3.7805288728488176</v>
      </c>
    </row>
    <row r="1210" spans="2:13" x14ac:dyDescent="0.2">
      <c r="B1210" s="27" t="s">
        <v>1891</v>
      </c>
      <c r="C1210" s="28">
        <v>2.8987506443333801</v>
      </c>
      <c r="D1210" s="26">
        <v>3.75</v>
      </c>
      <c r="E1210" s="24">
        <f t="shared" si="72"/>
        <v>2</v>
      </c>
      <c r="F1210" s="24">
        <f>VLOOKUP(E1210,Q$5:R$11,2,FALSE)</f>
        <v>0.2</v>
      </c>
      <c r="G1210" s="24">
        <f t="shared" si="73"/>
        <v>2</v>
      </c>
      <c r="H1210" s="24">
        <f>IF(G1210&gt;G1209,H1209+C1210*F1210,C1210*F1210)</f>
        <v>1.154004030606482</v>
      </c>
      <c r="I1210" s="24">
        <f t="shared" si="74"/>
        <v>0.4</v>
      </c>
      <c r="J1210" s="24">
        <f t="shared" si="75"/>
        <v>0</v>
      </c>
      <c r="K1210" s="24">
        <f>IF(CurrentMtgRatesDataTable811[[#This Row],[WA CC]]&lt;&gt;0,D1209-CurrentMtgRatesDataTable811[[#This Row],[WA CC]],0)</f>
        <v>0</v>
      </c>
      <c r="L1210" s="24">
        <f>IF(CurrentMtgRatesDataTable811[[#This Row],[Servicing Spread]]&lt;=0,L1209,CurrentMtgRatesDataTable811[[#This Row],[Servicing Spread]])</f>
        <v>0.9092593641497877</v>
      </c>
      <c r="M1210" s="24">
        <f>CurrentMtgRatesDataTable811[[#This Row],[SeriesNumValue]]+CurrentMtgRatesDataTable811[[#This Row],[Servicing Spread Non-Zero]]</f>
        <v>3.8080100084831678</v>
      </c>
    </row>
    <row r="1211" spans="2:13" x14ac:dyDescent="0.2">
      <c r="B1211" s="27" t="s">
        <v>1892</v>
      </c>
      <c r="C1211" s="28">
        <v>2.8546348135519901</v>
      </c>
      <c r="D1211" s="26">
        <v>3.75</v>
      </c>
      <c r="E1211" s="24">
        <f t="shared" si="72"/>
        <v>5</v>
      </c>
      <c r="F1211" s="24">
        <f>VLOOKUP(E1211,Q$5:R$11,2,FALSE)</f>
        <v>0.2</v>
      </c>
      <c r="G1211" s="24">
        <f t="shared" si="73"/>
        <v>3</v>
      </c>
      <c r="H1211" s="24">
        <f>IF(G1211&gt;G1210,H1210+C1211*F1211,C1211*F1211)</f>
        <v>1.7249309933168799</v>
      </c>
      <c r="I1211" s="24">
        <f t="shared" si="74"/>
        <v>0.60000000000000009</v>
      </c>
      <c r="J1211" s="24">
        <f t="shared" si="75"/>
        <v>0</v>
      </c>
      <c r="K1211" s="24">
        <f>IF(CurrentMtgRatesDataTable811[[#This Row],[WA CC]]&lt;&gt;0,D1210-CurrentMtgRatesDataTable811[[#This Row],[WA CC]],0)</f>
        <v>0</v>
      </c>
      <c r="L1211" s="24">
        <f>IF(CurrentMtgRatesDataTable811[[#This Row],[Servicing Spread]]&lt;=0,L1210,CurrentMtgRatesDataTable811[[#This Row],[Servicing Spread]])</f>
        <v>0.9092593641497877</v>
      </c>
      <c r="M1211" s="24">
        <f>CurrentMtgRatesDataTable811[[#This Row],[SeriesNumValue]]+CurrentMtgRatesDataTable811[[#This Row],[Servicing Spread Non-Zero]]</f>
        <v>3.7638941777017778</v>
      </c>
    </row>
    <row r="1212" spans="2:13" x14ac:dyDescent="0.2">
      <c r="B1212" s="27" t="s">
        <v>1893</v>
      </c>
      <c r="C1212" s="28">
        <v>2.8124515814242899</v>
      </c>
      <c r="D1212" s="26">
        <v>3.75</v>
      </c>
      <c r="E1212" s="24">
        <f t="shared" si="72"/>
        <v>6</v>
      </c>
      <c r="F1212" s="24">
        <f>VLOOKUP(E1212,Q$5:R$11,2,FALSE)</f>
        <v>0.2</v>
      </c>
      <c r="G1212" s="24">
        <f t="shared" si="73"/>
        <v>4</v>
      </c>
      <c r="H1212" s="24">
        <f>IF(G1212&gt;G1211,H1211+C1212*F1212,C1212*F1212)</f>
        <v>2.2874213096017382</v>
      </c>
      <c r="I1212" s="24">
        <f t="shared" si="74"/>
        <v>0.8</v>
      </c>
      <c r="J1212" s="24">
        <f t="shared" si="75"/>
        <v>0</v>
      </c>
      <c r="K1212" s="24">
        <f>IF(CurrentMtgRatesDataTable811[[#This Row],[WA CC]]&lt;&gt;0,D1211-CurrentMtgRatesDataTable811[[#This Row],[WA CC]],0)</f>
        <v>0</v>
      </c>
      <c r="L1212" s="24">
        <f>IF(CurrentMtgRatesDataTable811[[#This Row],[Servicing Spread]]&lt;=0,L1211,CurrentMtgRatesDataTable811[[#This Row],[Servicing Spread]])</f>
        <v>0.9092593641497877</v>
      </c>
      <c r="M1212" s="24">
        <f>CurrentMtgRatesDataTable811[[#This Row],[SeriesNumValue]]+CurrentMtgRatesDataTable811[[#This Row],[Servicing Spread Non-Zero]]</f>
        <v>3.7217109455740776</v>
      </c>
    </row>
    <row r="1213" spans="2:13" x14ac:dyDescent="0.2">
      <c r="B1213" s="27" t="s">
        <v>1894</v>
      </c>
      <c r="C1213" s="28">
        <v>2.8018988061488499</v>
      </c>
      <c r="D1213" s="26">
        <v>3.75</v>
      </c>
      <c r="E1213" s="24">
        <f t="shared" si="72"/>
        <v>7</v>
      </c>
      <c r="F1213" s="24">
        <f>VLOOKUP(E1213,Q$5:R$11,2,FALSE)</f>
        <v>0.2</v>
      </c>
      <c r="G1213" s="24">
        <f t="shared" si="73"/>
        <v>5</v>
      </c>
      <c r="H1213" s="24">
        <f>IF(G1213&gt;G1212,H1212+C1213*F1213,C1213*F1213)</f>
        <v>2.8478010708315082</v>
      </c>
      <c r="I1213" s="24">
        <f t="shared" si="74"/>
        <v>1</v>
      </c>
      <c r="J1213" s="24">
        <f t="shared" si="75"/>
        <v>2.8478010708315082</v>
      </c>
      <c r="K1213" s="24">
        <f>IF(CurrentMtgRatesDataTable811[[#This Row],[WA CC]]&lt;&gt;0,D1212-CurrentMtgRatesDataTable811[[#This Row],[WA CC]],0)</f>
        <v>0.90219892916849176</v>
      </c>
      <c r="L1213" s="24">
        <f>IF(CurrentMtgRatesDataTable811[[#This Row],[Servicing Spread]]&lt;=0,L1212,CurrentMtgRatesDataTable811[[#This Row],[Servicing Spread]])</f>
        <v>0.90219892916849176</v>
      </c>
      <c r="M1213" s="24">
        <f>CurrentMtgRatesDataTable811[[#This Row],[SeriesNumValue]]+CurrentMtgRatesDataTable811[[#This Row],[Servicing Spread Non-Zero]]</f>
        <v>3.7040977353173417</v>
      </c>
    </row>
    <row r="1214" spans="2:13" x14ac:dyDescent="0.2">
      <c r="B1214" s="27" t="s">
        <v>1895</v>
      </c>
      <c r="C1214" s="28">
        <v>2.7784102270308701</v>
      </c>
      <c r="D1214" s="26">
        <v>3.6599999999999997</v>
      </c>
      <c r="E1214" s="24">
        <f t="shared" si="72"/>
        <v>1</v>
      </c>
      <c r="F1214" s="24">
        <f>VLOOKUP(E1214,Q$5:R$11,2,FALSE)</f>
        <v>0.2</v>
      </c>
      <c r="G1214" s="24">
        <f t="shared" si="73"/>
        <v>1</v>
      </c>
      <c r="H1214" s="24">
        <f>IF(G1214&gt;G1213,H1213+C1214*F1214,C1214*F1214)</f>
        <v>0.55568204540617405</v>
      </c>
      <c r="I1214" s="24">
        <f t="shared" si="74"/>
        <v>0.2</v>
      </c>
      <c r="J1214" s="24">
        <f t="shared" si="75"/>
        <v>0</v>
      </c>
      <c r="K1214" s="24">
        <f>IF(CurrentMtgRatesDataTable811[[#This Row],[WA CC]]&lt;&gt;0,D1213-CurrentMtgRatesDataTable811[[#This Row],[WA CC]],0)</f>
        <v>0</v>
      </c>
      <c r="L1214" s="24">
        <f>IF(CurrentMtgRatesDataTable811[[#This Row],[Servicing Spread]]&lt;=0,L1213,CurrentMtgRatesDataTable811[[#This Row],[Servicing Spread]])</f>
        <v>0.90219892916849176</v>
      </c>
      <c r="M1214" s="24">
        <f>CurrentMtgRatesDataTable811[[#This Row],[SeriesNumValue]]+CurrentMtgRatesDataTable811[[#This Row],[Servicing Spread Non-Zero]]</f>
        <v>3.6806091561993619</v>
      </c>
    </row>
    <row r="1215" spans="2:13" x14ac:dyDescent="0.2">
      <c r="B1215" s="27" t="s">
        <v>1896</v>
      </c>
      <c r="C1215" s="28">
        <v>2.7296334551710499</v>
      </c>
      <c r="D1215" s="26">
        <v>3.6599999999999997</v>
      </c>
      <c r="E1215" s="24">
        <f t="shared" si="72"/>
        <v>2</v>
      </c>
      <c r="F1215" s="24">
        <f>VLOOKUP(E1215,Q$5:R$11,2,FALSE)</f>
        <v>0.2</v>
      </c>
      <c r="G1215" s="24">
        <f t="shared" si="73"/>
        <v>2</v>
      </c>
      <c r="H1215" s="24">
        <f>IF(G1215&gt;G1214,H1214+C1215*F1215,C1215*F1215)</f>
        <v>1.1016087364403839</v>
      </c>
      <c r="I1215" s="24">
        <f t="shared" si="74"/>
        <v>0.4</v>
      </c>
      <c r="J1215" s="24">
        <f t="shared" si="75"/>
        <v>0</v>
      </c>
      <c r="K1215" s="24">
        <f>IF(CurrentMtgRatesDataTable811[[#This Row],[WA CC]]&lt;&gt;0,D1214-CurrentMtgRatesDataTable811[[#This Row],[WA CC]],0)</f>
        <v>0</v>
      </c>
      <c r="L1215" s="24">
        <f>IF(CurrentMtgRatesDataTable811[[#This Row],[Servicing Spread]]&lt;=0,L1214,CurrentMtgRatesDataTable811[[#This Row],[Servicing Spread]])</f>
        <v>0.90219892916849176</v>
      </c>
      <c r="M1215" s="24">
        <f>CurrentMtgRatesDataTable811[[#This Row],[SeriesNumValue]]+CurrentMtgRatesDataTable811[[#This Row],[Servicing Spread Non-Zero]]</f>
        <v>3.6318323843395417</v>
      </c>
    </row>
    <row r="1216" spans="2:13" x14ac:dyDescent="0.2">
      <c r="B1216" s="27" t="s">
        <v>1897</v>
      </c>
      <c r="C1216" s="28">
        <v>2.7734212235563001</v>
      </c>
      <c r="D1216" s="26">
        <v>3.6599999999999997</v>
      </c>
      <c r="E1216" s="24">
        <f t="shared" si="72"/>
        <v>5</v>
      </c>
      <c r="F1216" s="24">
        <f>VLOOKUP(E1216,Q$5:R$11,2,FALSE)</f>
        <v>0.2</v>
      </c>
      <c r="G1216" s="24">
        <f t="shared" si="73"/>
        <v>3</v>
      </c>
      <c r="H1216" s="24">
        <f>IF(G1216&gt;G1215,H1215+C1216*F1216,C1216*F1216)</f>
        <v>1.656292981151644</v>
      </c>
      <c r="I1216" s="24">
        <f t="shared" si="74"/>
        <v>0.60000000000000009</v>
      </c>
      <c r="J1216" s="24">
        <f t="shared" si="75"/>
        <v>0</v>
      </c>
      <c r="K1216" s="24">
        <f>IF(CurrentMtgRatesDataTable811[[#This Row],[WA CC]]&lt;&gt;0,D1215-CurrentMtgRatesDataTable811[[#This Row],[WA CC]],0)</f>
        <v>0</v>
      </c>
      <c r="L1216" s="24">
        <f>IF(CurrentMtgRatesDataTable811[[#This Row],[Servicing Spread]]&lt;=0,L1215,CurrentMtgRatesDataTable811[[#This Row],[Servicing Spread]])</f>
        <v>0.90219892916849176</v>
      </c>
      <c r="M1216" s="24">
        <f>CurrentMtgRatesDataTable811[[#This Row],[SeriesNumValue]]+CurrentMtgRatesDataTable811[[#This Row],[Servicing Spread Non-Zero]]</f>
        <v>3.6756201527247918</v>
      </c>
    </row>
    <row r="1217" spans="2:13" x14ac:dyDescent="0.2">
      <c r="B1217" s="27" t="s">
        <v>1898</v>
      </c>
      <c r="C1217" s="28">
        <v>2.7570320859498798</v>
      </c>
      <c r="D1217" s="26">
        <v>3.6599999999999997</v>
      </c>
      <c r="E1217" s="24">
        <f t="shared" si="72"/>
        <v>6</v>
      </c>
      <c r="F1217" s="24">
        <f>VLOOKUP(E1217,Q$5:R$11,2,FALSE)</f>
        <v>0.2</v>
      </c>
      <c r="G1217" s="24">
        <f t="shared" si="73"/>
        <v>4</v>
      </c>
      <c r="H1217" s="24">
        <f>IF(G1217&gt;G1216,H1216+C1217*F1217,C1217*F1217)</f>
        <v>2.20769939834162</v>
      </c>
      <c r="I1217" s="24">
        <f t="shared" si="74"/>
        <v>0.8</v>
      </c>
      <c r="J1217" s="24">
        <f t="shared" si="75"/>
        <v>0</v>
      </c>
      <c r="K1217" s="24">
        <f>IF(CurrentMtgRatesDataTable811[[#This Row],[WA CC]]&lt;&gt;0,D1216-CurrentMtgRatesDataTable811[[#This Row],[WA CC]],0)</f>
        <v>0</v>
      </c>
      <c r="L1217" s="24">
        <f>IF(CurrentMtgRatesDataTable811[[#This Row],[Servicing Spread]]&lt;=0,L1216,CurrentMtgRatesDataTable811[[#This Row],[Servicing Spread]])</f>
        <v>0.90219892916849176</v>
      </c>
      <c r="M1217" s="24">
        <f>CurrentMtgRatesDataTable811[[#This Row],[SeriesNumValue]]+CurrentMtgRatesDataTable811[[#This Row],[Servicing Spread Non-Zero]]</f>
        <v>3.6592310151183716</v>
      </c>
    </row>
    <row r="1218" spans="2:13" x14ac:dyDescent="0.2">
      <c r="B1218" s="27" t="s">
        <v>1899</v>
      </c>
      <c r="C1218" s="28">
        <v>2.77010275743095</v>
      </c>
      <c r="D1218" s="26">
        <v>3.6599999999999997</v>
      </c>
      <c r="E1218" s="24">
        <f t="shared" si="72"/>
        <v>7</v>
      </c>
      <c r="F1218" s="24">
        <f>VLOOKUP(E1218,Q$5:R$11,2,FALSE)</f>
        <v>0.2</v>
      </c>
      <c r="G1218" s="24">
        <f t="shared" si="73"/>
        <v>5</v>
      </c>
      <c r="H1218" s="24">
        <f>IF(G1218&gt;G1217,H1217+C1218*F1218,C1218*F1218)</f>
        <v>2.76171994982781</v>
      </c>
      <c r="I1218" s="24">
        <f t="shared" si="74"/>
        <v>1</v>
      </c>
      <c r="J1218" s="24">
        <f t="shared" si="75"/>
        <v>2.76171994982781</v>
      </c>
      <c r="K1218" s="24">
        <f>IF(CurrentMtgRatesDataTable811[[#This Row],[WA CC]]&lt;&gt;0,D1217-CurrentMtgRatesDataTable811[[#This Row],[WA CC]],0)</f>
        <v>0.8982800501721897</v>
      </c>
      <c r="L1218" s="24">
        <f>IF(CurrentMtgRatesDataTable811[[#This Row],[Servicing Spread]]&lt;=0,L1217,CurrentMtgRatesDataTable811[[#This Row],[Servicing Spread]])</f>
        <v>0.8982800501721897</v>
      </c>
      <c r="M1218" s="24">
        <f>CurrentMtgRatesDataTable811[[#This Row],[SeriesNumValue]]+CurrentMtgRatesDataTable811[[#This Row],[Servicing Spread Non-Zero]]</f>
        <v>3.6683828076031397</v>
      </c>
    </row>
    <row r="1219" spans="2:13" x14ac:dyDescent="0.2">
      <c r="B1219" s="27" t="s">
        <v>1900</v>
      </c>
      <c r="C1219" s="28">
        <v>2.81486937200697</v>
      </c>
      <c r="D1219" s="26">
        <v>3.7199999999999998</v>
      </c>
      <c r="E1219" s="24">
        <f t="shared" ref="E1219:E1287" si="76">WEEKDAY(B1219,14)</f>
        <v>1</v>
      </c>
      <c r="F1219" s="24">
        <f>VLOOKUP(E1219,Q$5:R$11,2,FALSE)</f>
        <v>0.2</v>
      </c>
      <c r="G1219" s="24">
        <f t="shared" ref="G1219:G1287" si="77">IF(AND(E1219&gt;E1218,G1218&lt;6),G1218+1,1)</f>
        <v>1</v>
      </c>
      <c r="H1219" s="24">
        <f>IF(G1219&gt;G1218,H1218+C1219*F1219,C1219*F1219)</f>
        <v>0.56297387440139401</v>
      </c>
      <c r="I1219" s="24">
        <f t="shared" ref="I1219:I1287" si="78">IF(AND(G1219&lt;6,G1219&gt;G1218),F1219+I1218,F1219)</f>
        <v>0.2</v>
      </c>
      <c r="J1219" s="24">
        <f t="shared" ref="J1219:J1282" si="79">IF(G1219&gt;G1220,H1219/I1219,0)</f>
        <v>0</v>
      </c>
      <c r="K1219" s="24">
        <f>IF(CurrentMtgRatesDataTable811[[#This Row],[WA CC]]&lt;&gt;0,D1218-CurrentMtgRatesDataTable811[[#This Row],[WA CC]],0)</f>
        <v>0</v>
      </c>
      <c r="L1219" s="24">
        <f>IF(CurrentMtgRatesDataTable811[[#This Row],[Servicing Spread]]&lt;=0,L1218,CurrentMtgRatesDataTable811[[#This Row],[Servicing Spread]])</f>
        <v>0.8982800501721897</v>
      </c>
      <c r="M1219" s="24">
        <f>CurrentMtgRatesDataTable811[[#This Row],[SeriesNumValue]]+CurrentMtgRatesDataTable811[[#This Row],[Servicing Spread Non-Zero]]</f>
        <v>3.7131494221791597</v>
      </c>
    </row>
    <row r="1220" spans="2:13" x14ac:dyDescent="0.2">
      <c r="B1220" s="27" t="s">
        <v>1901</v>
      </c>
      <c r="C1220" s="28">
        <v>2.8165675160693602</v>
      </c>
      <c r="D1220" s="26">
        <v>3.7199999999999998</v>
      </c>
      <c r="E1220" s="24">
        <f t="shared" si="76"/>
        <v>2</v>
      </c>
      <c r="F1220" s="24">
        <f>VLOOKUP(E1220,Q$5:R$11,2,FALSE)</f>
        <v>0.2</v>
      </c>
      <c r="G1220" s="24">
        <f t="shared" si="77"/>
        <v>2</v>
      </c>
      <c r="H1220" s="24">
        <f>IF(G1220&gt;G1219,H1219+C1220*F1220,C1220*F1220)</f>
        <v>1.1262873776152662</v>
      </c>
      <c r="I1220" s="24">
        <f t="shared" si="78"/>
        <v>0.4</v>
      </c>
      <c r="J1220" s="24">
        <f t="shared" si="79"/>
        <v>0</v>
      </c>
      <c r="K1220" s="24">
        <f>IF(CurrentMtgRatesDataTable811[[#This Row],[WA CC]]&lt;&gt;0,D1219-CurrentMtgRatesDataTable811[[#This Row],[WA CC]],0)</f>
        <v>0</v>
      </c>
      <c r="L1220" s="24">
        <f>IF(CurrentMtgRatesDataTable811[[#This Row],[Servicing Spread]]&lt;=0,L1219,CurrentMtgRatesDataTable811[[#This Row],[Servicing Spread]])</f>
        <v>0.8982800501721897</v>
      </c>
      <c r="M1220" s="24">
        <f>CurrentMtgRatesDataTable811[[#This Row],[SeriesNumValue]]+CurrentMtgRatesDataTable811[[#This Row],[Servicing Spread Non-Zero]]</f>
        <v>3.7148475662415499</v>
      </c>
    </row>
    <row r="1221" spans="2:13" x14ac:dyDescent="0.2">
      <c r="B1221" s="27" t="s">
        <v>1902</v>
      </c>
      <c r="C1221" s="28">
        <v>2.7891999400544001</v>
      </c>
      <c r="D1221" s="26">
        <v>3.7199999999999998</v>
      </c>
      <c r="E1221" s="24">
        <f t="shared" si="76"/>
        <v>6</v>
      </c>
      <c r="F1221" s="24">
        <f>VLOOKUP(E1221,Q$5:R$11,2,FALSE)</f>
        <v>0.2</v>
      </c>
      <c r="G1221" s="24">
        <f t="shared" si="77"/>
        <v>3</v>
      </c>
      <c r="H1221" s="24">
        <f>IF(G1221&gt;G1220,H1220+C1221*F1221,C1221*F1221)</f>
        <v>1.6841273656261464</v>
      </c>
      <c r="I1221" s="24">
        <f t="shared" si="78"/>
        <v>0.60000000000000009</v>
      </c>
      <c r="J1221" s="24">
        <f t="shared" si="79"/>
        <v>0</v>
      </c>
      <c r="K1221" s="24">
        <f>IF(CurrentMtgRatesDataTable811[[#This Row],[WA CC]]&lt;&gt;0,D1220-CurrentMtgRatesDataTable811[[#This Row],[WA CC]],0)</f>
        <v>0</v>
      </c>
      <c r="L1221" s="24">
        <f>IF(CurrentMtgRatesDataTable811[[#This Row],[Servicing Spread]]&lt;=0,L1220,CurrentMtgRatesDataTable811[[#This Row],[Servicing Spread]])</f>
        <v>0.8982800501721897</v>
      </c>
      <c r="M1221" s="24">
        <f>CurrentMtgRatesDataTable811[[#This Row],[SeriesNumValue]]+CurrentMtgRatesDataTable811[[#This Row],[Servicing Spread Non-Zero]]</f>
        <v>3.6874799902265898</v>
      </c>
    </row>
    <row r="1222" spans="2:13" x14ac:dyDescent="0.2">
      <c r="B1222" s="27" t="s">
        <v>1903</v>
      </c>
      <c r="C1222" s="28">
        <v>2.7081035827114999</v>
      </c>
      <c r="D1222" s="26">
        <v>3.7199999999999998</v>
      </c>
      <c r="E1222" s="24">
        <f t="shared" si="76"/>
        <v>7</v>
      </c>
      <c r="F1222" s="24">
        <f>VLOOKUP(E1222,Q$5:R$11,2,FALSE)</f>
        <v>0.2</v>
      </c>
      <c r="G1222" s="24">
        <f t="shared" si="77"/>
        <v>4</v>
      </c>
      <c r="H1222" s="24">
        <f>IF(G1222&gt;G1221,H1221+C1222*F1222,C1222*F1222)</f>
        <v>2.2257480821684466</v>
      </c>
      <c r="I1222" s="24">
        <f t="shared" si="78"/>
        <v>0.8</v>
      </c>
      <c r="J1222" s="24">
        <f t="shared" si="79"/>
        <v>2.782185102710558</v>
      </c>
      <c r="K1222" s="24">
        <f>IF(CurrentMtgRatesDataTable811[[#This Row],[WA CC]]&lt;&gt;0,D1221-CurrentMtgRatesDataTable811[[#This Row],[WA CC]],0)</f>
        <v>0.93781489728944178</v>
      </c>
      <c r="L1222" s="24">
        <f>IF(CurrentMtgRatesDataTable811[[#This Row],[Servicing Spread]]&lt;=0,L1221,CurrentMtgRatesDataTable811[[#This Row],[Servicing Spread]])</f>
        <v>0.93781489728944178</v>
      </c>
      <c r="M1222" s="24">
        <f>CurrentMtgRatesDataTable811[[#This Row],[SeriesNumValue]]+CurrentMtgRatesDataTable811[[#This Row],[Servicing Spread Non-Zero]]</f>
        <v>3.6459184800009417</v>
      </c>
    </row>
    <row r="1223" spans="2:13" x14ac:dyDescent="0.2">
      <c r="B1223" s="27" t="s">
        <v>1904</v>
      </c>
      <c r="C1223" s="28">
        <v>2.73044392273518</v>
      </c>
      <c r="D1223" s="26">
        <v>3.69</v>
      </c>
      <c r="E1223" s="24">
        <f t="shared" si="76"/>
        <v>1</v>
      </c>
      <c r="F1223" s="24">
        <f>VLOOKUP(E1223,Q$5:R$11,2,FALSE)</f>
        <v>0.2</v>
      </c>
      <c r="G1223" s="24">
        <f t="shared" si="77"/>
        <v>1</v>
      </c>
      <c r="H1223" s="24">
        <f>IF(G1223&gt;G1222,H1222+C1223*F1223,C1223*F1223)</f>
        <v>0.54608878454703602</v>
      </c>
      <c r="I1223" s="24">
        <f t="shared" si="78"/>
        <v>0.2</v>
      </c>
      <c r="J1223" s="24">
        <f t="shared" si="79"/>
        <v>0</v>
      </c>
      <c r="K1223" s="24">
        <f>IF(CurrentMtgRatesDataTable811[[#This Row],[WA CC]]&lt;&gt;0,D1222-CurrentMtgRatesDataTable811[[#This Row],[WA CC]],0)</f>
        <v>0</v>
      </c>
      <c r="L1223" s="24">
        <f>IF(CurrentMtgRatesDataTable811[[#This Row],[Servicing Spread]]&lt;=0,L1222,CurrentMtgRatesDataTable811[[#This Row],[Servicing Spread]])</f>
        <v>0.93781489728944178</v>
      </c>
      <c r="M1223" s="24">
        <f>CurrentMtgRatesDataTable811[[#This Row],[SeriesNumValue]]+CurrentMtgRatesDataTable811[[#This Row],[Servicing Spread Non-Zero]]</f>
        <v>3.6682588200246218</v>
      </c>
    </row>
    <row r="1224" spans="2:13" x14ac:dyDescent="0.2">
      <c r="B1224" s="27" t="s">
        <v>1905</v>
      </c>
      <c r="C1224" s="28">
        <v>2.7334728347211201</v>
      </c>
      <c r="D1224" s="26">
        <v>3.69</v>
      </c>
      <c r="E1224" s="24">
        <f t="shared" si="76"/>
        <v>2</v>
      </c>
      <c r="F1224" s="24">
        <f>VLOOKUP(E1224,Q$5:R$11,2,FALSE)</f>
        <v>0.2</v>
      </c>
      <c r="G1224" s="24">
        <f t="shared" si="77"/>
        <v>2</v>
      </c>
      <c r="H1224" s="24">
        <f>IF(G1224&gt;G1223,H1223+C1224*F1224,C1224*F1224)</f>
        <v>1.0927833514912599</v>
      </c>
      <c r="I1224" s="24">
        <f t="shared" si="78"/>
        <v>0.4</v>
      </c>
      <c r="J1224" s="24">
        <f t="shared" si="79"/>
        <v>0</v>
      </c>
      <c r="K1224" s="24">
        <f>IF(CurrentMtgRatesDataTable811[[#This Row],[WA CC]]&lt;&gt;0,D1223-CurrentMtgRatesDataTable811[[#This Row],[WA CC]],0)</f>
        <v>0</v>
      </c>
      <c r="L1224" s="24">
        <f>IF(CurrentMtgRatesDataTable811[[#This Row],[Servicing Spread]]&lt;=0,L1223,CurrentMtgRatesDataTable811[[#This Row],[Servicing Spread]])</f>
        <v>0.93781489728944178</v>
      </c>
      <c r="M1224" s="24">
        <f>CurrentMtgRatesDataTable811[[#This Row],[SeriesNumValue]]+CurrentMtgRatesDataTable811[[#This Row],[Servicing Spread Non-Zero]]</f>
        <v>3.6712877320105619</v>
      </c>
    </row>
    <row r="1225" spans="2:13" x14ac:dyDescent="0.2">
      <c r="B1225" s="27" t="s">
        <v>1906</v>
      </c>
      <c r="C1225" s="28">
        <v>2.7352021596982001</v>
      </c>
      <c r="D1225" s="26">
        <v>3.69</v>
      </c>
      <c r="E1225" s="24">
        <f t="shared" si="76"/>
        <v>5</v>
      </c>
      <c r="F1225" s="24">
        <f>VLOOKUP(E1225,Q$5:R$11,2,FALSE)</f>
        <v>0.2</v>
      </c>
      <c r="G1225" s="24">
        <f t="shared" si="77"/>
        <v>3</v>
      </c>
      <c r="H1225" s="24">
        <f>IF(G1225&gt;G1224,H1224+C1225*F1225,C1225*F1225)</f>
        <v>1.6398237834309</v>
      </c>
      <c r="I1225" s="24">
        <f t="shared" si="78"/>
        <v>0.60000000000000009</v>
      </c>
      <c r="J1225" s="24">
        <f t="shared" si="79"/>
        <v>0</v>
      </c>
      <c r="K1225" s="24">
        <f>IF(CurrentMtgRatesDataTable811[[#This Row],[WA CC]]&lt;&gt;0,D1224-CurrentMtgRatesDataTable811[[#This Row],[WA CC]],0)</f>
        <v>0</v>
      </c>
      <c r="L1225" s="24">
        <f>IF(CurrentMtgRatesDataTable811[[#This Row],[Servicing Spread]]&lt;=0,L1224,CurrentMtgRatesDataTable811[[#This Row],[Servicing Spread]])</f>
        <v>0.93781489728944178</v>
      </c>
      <c r="M1225" s="24">
        <f>CurrentMtgRatesDataTable811[[#This Row],[SeriesNumValue]]+CurrentMtgRatesDataTable811[[#This Row],[Servicing Spread Non-Zero]]</f>
        <v>3.6730170569876419</v>
      </c>
    </row>
    <row r="1226" spans="2:13" x14ac:dyDescent="0.2">
      <c r="B1226" s="27" t="s">
        <v>1907</v>
      </c>
      <c r="C1226" s="28">
        <v>2.7729349961757701</v>
      </c>
      <c r="D1226" s="26">
        <v>3.69</v>
      </c>
      <c r="E1226" s="24">
        <f t="shared" si="76"/>
        <v>6</v>
      </c>
      <c r="F1226" s="24">
        <f>VLOOKUP(E1226,Q$5:R$11,2,FALSE)</f>
        <v>0.2</v>
      </c>
      <c r="G1226" s="24">
        <f t="shared" si="77"/>
        <v>4</v>
      </c>
      <c r="H1226" s="24">
        <f>IF(G1226&gt;G1225,H1225+C1226*F1226,C1226*F1226)</f>
        <v>2.1944107826660542</v>
      </c>
      <c r="I1226" s="24">
        <f t="shared" si="78"/>
        <v>0.8</v>
      </c>
      <c r="J1226" s="24">
        <f t="shared" si="79"/>
        <v>0</v>
      </c>
      <c r="K1226" s="24">
        <f>IF(CurrentMtgRatesDataTable811[[#This Row],[WA CC]]&lt;&gt;0,D1225-CurrentMtgRatesDataTable811[[#This Row],[WA CC]],0)</f>
        <v>0</v>
      </c>
      <c r="L1226" s="24">
        <f>IF(CurrentMtgRatesDataTable811[[#This Row],[Servicing Spread]]&lt;=0,L1225,CurrentMtgRatesDataTable811[[#This Row],[Servicing Spread]])</f>
        <v>0.93781489728944178</v>
      </c>
      <c r="M1226" s="24">
        <f>CurrentMtgRatesDataTable811[[#This Row],[SeriesNumValue]]+CurrentMtgRatesDataTable811[[#This Row],[Servicing Spread Non-Zero]]</f>
        <v>3.7107498934652119</v>
      </c>
    </row>
    <row r="1227" spans="2:13" x14ac:dyDescent="0.2">
      <c r="B1227" s="27" t="s">
        <v>1908</v>
      </c>
      <c r="C1227" s="28">
        <v>2.7446763066937101</v>
      </c>
      <c r="D1227" s="26">
        <v>3.69</v>
      </c>
      <c r="E1227" s="24">
        <f t="shared" si="76"/>
        <v>7</v>
      </c>
      <c r="F1227" s="24">
        <f>VLOOKUP(E1227,Q$5:R$11,2,FALSE)</f>
        <v>0.2</v>
      </c>
      <c r="G1227" s="24">
        <f t="shared" si="77"/>
        <v>5</v>
      </c>
      <c r="H1227" s="24">
        <f>IF(G1227&gt;G1226,H1226+C1227*F1227,C1227*F1227)</f>
        <v>2.7433460440047961</v>
      </c>
      <c r="I1227" s="24">
        <f t="shared" si="78"/>
        <v>1</v>
      </c>
      <c r="J1227" s="24">
        <f t="shared" si="79"/>
        <v>2.7433460440047961</v>
      </c>
      <c r="K1227" s="24">
        <f>IF(CurrentMtgRatesDataTable811[[#This Row],[WA CC]]&lt;&gt;0,D1226-CurrentMtgRatesDataTable811[[#This Row],[WA CC]],0)</f>
        <v>0.94665395599520386</v>
      </c>
      <c r="L1227" s="24">
        <f>IF(CurrentMtgRatesDataTable811[[#This Row],[Servicing Spread]]&lt;=0,L1226,CurrentMtgRatesDataTable811[[#This Row],[Servicing Spread]])</f>
        <v>0.94665395599520386</v>
      </c>
      <c r="M1227" s="24">
        <f>CurrentMtgRatesDataTable811[[#This Row],[SeriesNumValue]]+CurrentMtgRatesDataTable811[[#This Row],[Servicing Spread Non-Zero]]</f>
        <v>3.691330262688914</v>
      </c>
    </row>
    <row r="1228" spans="2:13" x14ac:dyDescent="0.2">
      <c r="B1228" s="27" t="s">
        <v>1909</v>
      </c>
      <c r="C1228" s="28">
        <v>2.7173642653119501</v>
      </c>
      <c r="D1228" s="26">
        <v>3.6599999999999997</v>
      </c>
      <c r="E1228" s="24">
        <f t="shared" si="76"/>
        <v>1</v>
      </c>
      <c r="F1228" s="24">
        <f>VLOOKUP(E1228,Q$5:R$11,2,FALSE)</f>
        <v>0.2</v>
      </c>
      <c r="G1228" s="24">
        <f t="shared" si="77"/>
        <v>1</v>
      </c>
      <c r="H1228" s="24">
        <f>IF(G1228&gt;G1227,H1227+C1228*F1228,C1228*F1228)</f>
        <v>0.54347285306239002</v>
      </c>
      <c r="I1228" s="24">
        <f t="shared" si="78"/>
        <v>0.2</v>
      </c>
      <c r="J1228" s="24">
        <f t="shared" si="79"/>
        <v>0</v>
      </c>
      <c r="K1228" s="24">
        <f>IF(CurrentMtgRatesDataTable811[[#This Row],[WA CC]]&lt;&gt;0,D1227-CurrentMtgRatesDataTable811[[#This Row],[WA CC]],0)</f>
        <v>0</v>
      </c>
      <c r="L1228" s="24">
        <f>IF(CurrentMtgRatesDataTable811[[#This Row],[Servicing Spread]]&lt;=0,L1227,CurrentMtgRatesDataTable811[[#This Row],[Servicing Spread]])</f>
        <v>0.94665395599520386</v>
      </c>
      <c r="M1228" s="24">
        <f>CurrentMtgRatesDataTable811[[#This Row],[SeriesNumValue]]+CurrentMtgRatesDataTable811[[#This Row],[Servicing Spread Non-Zero]]</f>
        <v>3.6640182213071539</v>
      </c>
    </row>
    <row r="1229" spans="2:13" x14ac:dyDescent="0.2">
      <c r="B1229" s="27" t="s">
        <v>1910</v>
      </c>
      <c r="C1229" s="28">
        <v>2.77127537293183</v>
      </c>
      <c r="D1229" s="26">
        <v>3.6599999999999997</v>
      </c>
      <c r="E1229" s="24">
        <f t="shared" si="76"/>
        <v>2</v>
      </c>
      <c r="F1229" s="24">
        <f>VLOOKUP(E1229,Q$5:R$11,2,FALSE)</f>
        <v>0.2</v>
      </c>
      <c r="G1229" s="24">
        <f t="shared" si="77"/>
        <v>2</v>
      </c>
      <c r="H1229" s="24">
        <f>IF(G1229&gt;G1228,H1228+C1229*F1229,C1229*F1229)</f>
        <v>1.0977279276487559</v>
      </c>
      <c r="I1229" s="24">
        <f t="shared" si="78"/>
        <v>0.4</v>
      </c>
      <c r="J1229" s="24">
        <f t="shared" si="79"/>
        <v>0</v>
      </c>
      <c r="K1229" s="24">
        <f>IF(CurrentMtgRatesDataTable811[[#This Row],[WA CC]]&lt;&gt;0,D1228-CurrentMtgRatesDataTable811[[#This Row],[WA CC]],0)</f>
        <v>0</v>
      </c>
      <c r="L1229" s="24">
        <f>IF(CurrentMtgRatesDataTable811[[#This Row],[Servicing Spread]]&lt;=0,L1228,CurrentMtgRatesDataTable811[[#This Row],[Servicing Spread]])</f>
        <v>0.94665395599520386</v>
      </c>
      <c r="M1229" s="24">
        <f>CurrentMtgRatesDataTable811[[#This Row],[SeriesNumValue]]+CurrentMtgRatesDataTable811[[#This Row],[Servicing Spread Non-Zero]]</f>
        <v>3.7179293289270339</v>
      </c>
    </row>
    <row r="1230" spans="2:13" x14ac:dyDescent="0.2">
      <c r="B1230" s="27" t="s">
        <v>1911</v>
      </c>
      <c r="C1230" s="28">
        <v>2.7558575864349502</v>
      </c>
      <c r="D1230" s="26">
        <v>3.6599999999999997</v>
      </c>
      <c r="E1230" s="24">
        <f t="shared" si="76"/>
        <v>5</v>
      </c>
      <c r="F1230" s="24">
        <f>VLOOKUP(E1230,Q$5:R$11,2,FALSE)</f>
        <v>0.2</v>
      </c>
      <c r="G1230" s="24">
        <f t="shared" si="77"/>
        <v>3</v>
      </c>
      <c r="H1230" s="24">
        <f>IF(G1230&gt;G1229,H1229+C1230*F1230,C1230*F1230)</f>
        <v>1.6488994449357461</v>
      </c>
      <c r="I1230" s="24">
        <f t="shared" si="78"/>
        <v>0.60000000000000009</v>
      </c>
      <c r="J1230" s="24">
        <f t="shared" si="79"/>
        <v>0</v>
      </c>
      <c r="K1230" s="24">
        <f>IF(CurrentMtgRatesDataTable811[[#This Row],[WA CC]]&lt;&gt;0,D1229-CurrentMtgRatesDataTable811[[#This Row],[WA CC]],0)</f>
        <v>0</v>
      </c>
      <c r="L1230" s="24">
        <f>IF(CurrentMtgRatesDataTable811[[#This Row],[Servicing Spread]]&lt;=0,L1229,CurrentMtgRatesDataTable811[[#This Row],[Servicing Spread]])</f>
        <v>0.94665395599520386</v>
      </c>
      <c r="M1230" s="24">
        <f>CurrentMtgRatesDataTable811[[#This Row],[SeriesNumValue]]+CurrentMtgRatesDataTable811[[#This Row],[Servicing Spread Non-Zero]]</f>
        <v>3.702511542430154</v>
      </c>
    </row>
    <row r="1231" spans="2:13" x14ac:dyDescent="0.2">
      <c r="B1231" s="27" t="s">
        <v>1912</v>
      </c>
      <c r="C1231" s="28">
        <v>2.7239833090670502</v>
      </c>
      <c r="D1231" s="26">
        <v>3.6599999999999997</v>
      </c>
      <c r="E1231" s="24">
        <f t="shared" si="76"/>
        <v>6</v>
      </c>
      <c r="F1231" s="24">
        <f>VLOOKUP(E1231,Q$5:R$11,2,FALSE)</f>
        <v>0.2</v>
      </c>
      <c r="G1231" s="24">
        <f t="shared" si="77"/>
        <v>4</v>
      </c>
      <c r="H1231" s="24">
        <f>IF(G1231&gt;G1230,H1230+C1231*F1231,C1231*F1231)</f>
        <v>2.1936961067491563</v>
      </c>
      <c r="I1231" s="24">
        <f t="shared" si="78"/>
        <v>0.8</v>
      </c>
      <c r="J1231" s="24">
        <f t="shared" si="79"/>
        <v>0</v>
      </c>
      <c r="K1231" s="24">
        <f>IF(CurrentMtgRatesDataTable811[[#This Row],[WA CC]]&lt;&gt;0,D1230-CurrentMtgRatesDataTable811[[#This Row],[WA CC]],0)</f>
        <v>0</v>
      </c>
      <c r="L1231" s="24">
        <f>IF(CurrentMtgRatesDataTable811[[#This Row],[Servicing Spread]]&lt;=0,L1230,CurrentMtgRatesDataTable811[[#This Row],[Servicing Spread]])</f>
        <v>0.94665395599520386</v>
      </c>
      <c r="M1231" s="24">
        <f>CurrentMtgRatesDataTable811[[#This Row],[SeriesNumValue]]+CurrentMtgRatesDataTable811[[#This Row],[Servicing Spread Non-Zero]]</f>
        <v>3.6706372650622541</v>
      </c>
    </row>
    <row r="1232" spans="2:13" x14ac:dyDescent="0.2">
      <c r="B1232" s="27" t="s">
        <v>1913</v>
      </c>
      <c r="C1232" s="28">
        <v>2.7958120452124602</v>
      </c>
      <c r="D1232" s="26">
        <v>3.6599999999999997</v>
      </c>
      <c r="E1232" s="24">
        <f t="shared" si="76"/>
        <v>7</v>
      </c>
      <c r="F1232" s="24">
        <f>VLOOKUP(E1232,Q$5:R$11,2,FALSE)</f>
        <v>0.2</v>
      </c>
      <c r="G1232" s="24">
        <f t="shared" si="77"/>
        <v>5</v>
      </c>
      <c r="H1232" s="24">
        <f>IF(G1232&gt;G1231,H1231+C1232*F1232,C1232*F1232)</f>
        <v>2.7528585157916483</v>
      </c>
      <c r="I1232" s="24">
        <f t="shared" si="78"/>
        <v>1</v>
      </c>
      <c r="J1232" s="24">
        <f t="shared" si="79"/>
        <v>2.7528585157916483</v>
      </c>
      <c r="K1232" s="24">
        <f>IF(CurrentMtgRatesDataTable811[[#This Row],[WA CC]]&lt;&gt;0,D1231-CurrentMtgRatesDataTable811[[#This Row],[WA CC]],0)</f>
        <v>0.90714148420835139</v>
      </c>
      <c r="L1232" s="24">
        <f>IF(CurrentMtgRatesDataTable811[[#This Row],[Servicing Spread]]&lt;=0,L1231,CurrentMtgRatesDataTable811[[#This Row],[Servicing Spread]])</f>
        <v>0.90714148420835139</v>
      </c>
      <c r="M1232" s="24">
        <f>CurrentMtgRatesDataTable811[[#This Row],[SeriesNumValue]]+CurrentMtgRatesDataTable811[[#This Row],[Servicing Spread Non-Zero]]</f>
        <v>3.7029535294208116</v>
      </c>
    </row>
    <row r="1233" spans="2:13" x14ac:dyDescent="0.2">
      <c r="B1233" s="27" t="s">
        <v>1914</v>
      </c>
      <c r="C1233" s="28">
        <v>2.8760429870518398</v>
      </c>
      <c r="D1233" s="26">
        <v>3.77</v>
      </c>
      <c r="E1233" s="24">
        <f t="shared" si="76"/>
        <v>1</v>
      </c>
      <c r="F1233" s="24">
        <f>VLOOKUP(E1233,Q$5:R$11,2,FALSE)</f>
        <v>0.2</v>
      </c>
      <c r="G1233" s="24">
        <f t="shared" si="77"/>
        <v>1</v>
      </c>
      <c r="H1233" s="24">
        <f>IF(G1233&gt;G1232,H1232+C1233*F1233,C1233*F1233)</f>
        <v>0.57520859741036801</v>
      </c>
      <c r="I1233" s="24">
        <f t="shared" si="78"/>
        <v>0.2</v>
      </c>
      <c r="J1233" s="24">
        <f t="shared" si="79"/>
        <v>0</v>
      </c>
      <c r="K1233" s="24">
        <f>IF(CurrentMtgRatesDataTable811[[#This Row],[WA CC]]&lt;&gt;0,D1232-CurrentMtgRatesDataTable811[[#This Row],[WA CC]],0)</f>
        <v>0</v>
      </c>
      <c r="L1233" s="24">
        <f>IF(CurrentMtgRatesDataTable811[[#This Row],[Servicing Spread]]&lt;=0,L1232,CurrentMtgRatesDataTable811[[#This Row],[Servicing Spread]])</f>
        <v>0.90714148420835139</v>
      </c>
      <c r="M1233" s="24">
        <f>CurrentMtgRatesDataTable811[[#This Row],[SeriesNumValue]]+CurrentMtgRatesDataTable811[[#This Row],[Servicing Spread Non-Zero]]</f>
        <v>3.7831844712601912</v>
      </c>
    </row>
    <row r="1234" spans="2:13" x14ac:dyDescent="0.2">
      <c r="B1234" s="27" t="s">
        <v>1915</v>
      </c>
      <c r="C1234" s="28">
        <v>2.8444181025455899</v>
      </c>
      <c r="D1234" s="26">
        <v>3.77</v>
      </c>
      <c r="E1234" s="24">
        <f t="shared" si="76"/>
        <v>2</v>
      </c>
      <c r="F1234" s="24">
        <f>VLOOKUP(E1234,Q$5:R$11,2,FALSE)</f>
        <v>0.2</v>
      </c>
      <c r="G1234" s="24">
        <f t="shared" si="77"/>
        <v>2</v>
      </c>
      <c r="H1234" s="24">
        <f>IF(G1234&gt;G1233,H1233+C1234*F1234,C1234*F1234)</f>
        <v>1.1440922179194861</v>
      </c>
      <c r="I1234" s="24">
        <f t="shared" si="78"/>
        <v>0.4</v>
      </c>
      <c r="J1234" s="24">
        <f t="shared" si="79"/>
        <v>0</v>
      </c>
      <c r="K1234" s="24">
        <f>IF(CurrentMtgRatesDataTable811[[#This Row],[WA CC]]&lt;&gt;0,D1233-CurrentMtgRatesDataTable811[[#This Row],[WA CC]],0)</f>
        <v>0</v>
      </c>
      <c r="L1234" s="24">
        <f>IF(CurrentMtgRatesDataTable811[[#This Row],[Servicing Spread]]&lt;=0,L1233,CurrentMtgRatesDataTable811[[#This Row],[Servicing Spread]])</f>
        <v>0.90714148420835139</v>
      </c>
      <c r="M1234" s="24">
        <f>CurrentMtgRatesDataTable811[[#This Row],[SeriesNumValue]]+CurrentMtgRatesDataTable811[[#This Row],[Servicing Spread Non-Zero]]</f>
        <v>3.7515595867539413</v>
      </c>
    </row>
    <row r="1235" spans="2:13" x14ac:dyDescent="0.2">
      <c r="B1235" s="27" t="s">
        <v>1916</v>
      </c>
      <c r="C1235" s="28">
        <v>2.8650468207927799</v>
      </c>
      <c r="D1235" s="26">
        <v>3.77</v>
      </c>
      <c r="E1235" s="24">
        <f t="shared" si="76"/>
        <v>5</v>
      </c>
      <c r="F1235" s="24">
        <f>VLOOKUP(E1235,Q$5:R$11,2,FALSE)</f>
        <v>0.2</v>
      </c>
      <c r="G1235" s="24">
        <f t="shared" si="77"/>
        <v>3</v>
      </c>
      <c r="H1235" s="24">
        <f>IF(G1235&gt;G1234,H1234+C1235*F1235,C1235*F1235)</f>
        <v>1.7171015820780422</v>
      </c>
      <c r="I1235" s="24">
        <f t="shared" si="78"/>
        <v>0.60000000000000009</v>
      </c>
      <c r="J1235" s="24">
        <f t="shared" si="79"/>
        <v>0</v>
      </c>
      <c r="K1235" s="24">
        <f>IF(CurrentMtgRatesDataTable811[[#This Row],[WA CC]]&lt;&gt;0,D1234-CurrentMtgRatesDataTable811[[#This Row],[WA CC]],0)</f>
        <v>0</v>
      </c>
      <c r="L1235" s="24">
        <f>IF(CurrentMtgRatesDataTable811[[#This Row],[Servicing Spread]]&lt;=0,L1234,CurrentMtgRatesDataTable811[[#This Row],[Servicing Spread]])</f>
        <v>0.90714148420835139</v>
      </c>
      <c r="M1235" s="24">
        <f>CurrentMtgRatesDataTable811[[#This Row],[SeriesNumValue]]+CurrentMtgRatesDataTable811[[#This Row],[Servicing Spread Non-Zero]]</f>
        <v>3.7721883050011313</v>
      </c>
    </row>
    <row r="1236" spans="2:13" x14ac:dyDescent="0.2">
      <c r="B1236" s="27" t="s">
        <v>1917</v>
      </c>
      <c r="C1236" s="28">
        <v>2.8982983852453801</v>
      </c>
      <c r="D1236" s="26">
        <v>3.77</v>
      </c>
      <c r="E1236" s="24">
        <f t="shared" si="76"/>
        <v>6</v>
      </c>
      <c r="F1236" s="24">
        <f>VLOOKUP(E1236,Q$5:R$11,2,FALSE)</f>
        <v>0.2</v>
      </c>
      <c r="G1236" s="24">
        <f t="shared" si="77"/>
        <v>4</v>
      </c>
      <c r="H1236" s="24">
        <f>IF(G1236&gt;G1235,H1235+C1236*F1236,C1236*F1236)</f>
        <v>2.296761259127118</v>
      </c>
      <c r="I1236" s="24">
        <f t="shared" si="78"/>
        <v>0.8</v>
      </c>
      <c r="J1236" s="24">
        <f t="shared" si="79"/>
        <v>0</v>
      </c>
      <c r="K1236" s="24">
        <f>IF(CurrentMtgRatesDataTable811[[#This Row],[WA CC]]&lt;&gt;0,D1235-CurrentMtgRatesDataTable811[[#This Row],[WA CC]],0)</f>
        <v>0</v>
      </c>
      <c r="L1236" s="24">
        <f>IF(CurrentMtgRatesDataTable811[[#This Row],[Servicing Spread]]&lt;=0,L1235,CurrentMtgRatesDataTable811[[#This Row],[Servicing Spread]])</f>
        <v>0.90714148420835139</v>
      </c>
      <c r="M1236" s="24">
        <f>CurrentMtgRatesDataTable811[[#This Row],[SeriesNumValue]]+CurrentMtgRatesDataTable811[[#This Row],[Servicing Spread Non-Zero]]</f>
        <v>3.8054398694537315</v>
      </c>
    </row>
    <row r="1237" spans="2:13" x14ac:dyDescent="0.2">
      <c r="B1237" s="27" t="s">
        <v>1918</v>
      </c>
      <c r="C1237" s="28">
        <v>2.9340630334667899</v>
      </c>
      <c r="D1237" s="26">
        <v>3.77</v>
      </c>
      <c r="E1237" s="24">
        <f t="shared" si="76"/>
        <v>7</v>
      </c>
      <c r="F1237" s="24">
        <f>VLOOKUP(E1237,Q$5:R$11,2,FALSE)</f>
        <v>0.2</v>
      </c>
      <c r="G1237" s="24">
        <f t="shared" si="77"/>
        <v>5</v>
      </c>
      <c r="H1237" s="24">
        <f>IF(G1237&gt;G1236,H1236+C1237*F1237,C1237*F1237)</f>
        <v>2.8835738658204759</v>
      </c>
      <c r="I1237" s="24">
        <f t="shared" si="78"/>
        <v>1</v>
      </c>
      <c r="J1237" s="24">
        <f t="shared" si="79"/>
        <v>2.8835738658204759</v>
      </c>
      <c r="K1237" s="24">
        <f>IF(CurrentMtgRatesDataTable811[[#This Row],[WA CC]]&lt;&gt;0,D1236-CurrentMtgRatesDataTable811[[#This Row],[WA CC]],0)</f>
        <v>0.88642613417952409</v>
      </c>
      <c r="L1237" s="24">
        <f>IF(CurrentMtgRatesDataTable811[[#This Row],[Servicing Spread]]&lt;=0,L1236,CurrentMtgRatesDataTable811[[#This Row],[Servicing Spread]])</f>
        <v>0.88642613417952409</v>
      </c>
      <c r="M1237" s="24">
        <f>CurrentMtgRatesDataTable811[[#This Row],[SeriesNumValue]]+CurrentMtgRatesDataTable811[[#This Row],[Servicing Spread Non-Zero]]</f>
        <v>3.820489167646314</v>
      </c>
    </row>
    <row r="1238" spans="2:13" x14ac:dyDescent="0.2">
      <c r="B1238" s="27" t="s">
        <v>1919</v>
      </c>
      <c r="C1238" s="28">
        <v>2.9388026853832501</v>
      </c>
      <c r="D1238" s="26">
        <v>3.88</v>
      </c>
      <c r="E1238" s="24">
        <f t="shared" si="76"/>
        <v>1</v>
      </c>
      <c r="F1238" s="24">
        <f>VLOOKUP(E1238,Q$5:R$11,2,FALSE)</f>
        <v>0.2</v>
      </c>
      <c r="G1238" s="24">
        <f t="shared" si="77"/>
        <v>1</v>
      </c>
      <c r="H1238" s="24">
        <f>IF(G1238&gt;G1237,H1237+C1238*F1238,C1238*F1238)</f>
        <v>0.58776053707664999</v>
      </c>
      <c r="I1238" s="24">
        <f t="shared" si="78"/>
        <v>0.2</v>
      </c>
      <c r="J1238" s="24">
        <f t="shared" si="79"/>
        <v>0</v>
      </c>
      <c r="K1238" s="24">
        <f>IF(CurrentMtgRatesDataTable811[[#This Row],[WA CC]]&lt;&gt;0,D1237-CurrentMtgRatesDataTable811[[#This Row],[WA CC]],0)</f>
        <v>0</v>
      </c>
      <c r="L1238" s="24">
        <f>IF(CurrentMtgRatesDataTable811[[#This Row],[Servicing Spread]]&lt;=0,L1237,CurrentMtgRatesDataTable811[[#This Row],[Servicing Spread]])</f>
        <v>0.88642613417952409</v>
      </c>
      <c r="M1238" s="24">
        <f>CurrentMtgRatesDataTable811[[#This Row],[SeriesNumValue]]+CurrentMtgRatesDataTable811[[#This Row],[Servicing Spread Non-Zero]]</f>
        <v>3.8252288195627742</v>
      </c>
    </row>
    <row r="1239" spans="2:13" x14ac:dyDescent="0.2">
      <c r="B1239" s="27" t="s">
        <v>1920</v>
      </c>
      <c r="C1239" s="28">
        <v>3.0126979954339599</v>
      </c>
      <c r="D1239" s="26">
        <v>3.88</v>
      </c>
      <c r="E1239" s="24">
        <f t="shared" si="76"/>
        <v>2</v>
      </c>
      <c r="F1239" s="24">
        <f>VLOOKUP(E1239,Q$5:R$11,2,FALSE)</f>
        <v>0.2</v>
      </c>
      <c r="G1239" s="24">
        <f t="shared" si="77"/>
        <v>2</v>
      </c>
      <c r="H1239" s="24">
        <f>IF(G1239&gt;G1238,H1238+C1239*F1239,C1239*F1239)</f>
        <v>1.190300136163442</v>
      </c>
      <c r="I1239" s="24">
        <f t="shared" si="78"/>
        <v>0.4</v>
      </c>
      <c r="J1239" s="24">
        <f t="shared" si="79"/>
        <v>0</v>
      </c>
      <c r="K1239" s="24">
        <f>IF(CurrentMtgRatesDataTable811[[#This Row],[WA CC]]&lt;&gt;0,D1238-CurrentMtgRatesDataTable811[[#This Row],[WA CC]],0)</f>
        <v>0</v>
      </c>
      <c r="L1239" s="24">
        <f>IF(CurrentMtgRatesDataTable811[[#This Row],[Servicing Spread]]&lt;=0,L1238,CurrentMtgRatesDataTable811[[#This Row],[Servicing Spread]])</f>
        <v>0.88642613417952409</v>
      </c>
      <c r="M1239" s="24">
        <f>CurrentMtgRatesDataTable811[[#This Row],[SeriesNumValue]]+CurrentMtgRatesDataTable811[[#This Row],[Servicing Spread Non-Zero]]</f>
        <v>3.899124129613484</v>
      </c>
    </row>
    <row r="1240" spans="2:13" x14ac:dyDescent="0.2">
      <c r="B1240" s="27" t="s">
        <v>1921</v>
      </c>
      <c r="C1240" s="28">
        <v>3.0394713990433302</v>
      </c>
      <c r="D1240" s="26">
        <v>3.88</v>
      </c>
      <c r="E1240" s="24">
        <f t="shared" si="76"/>
        <v>5</v>
      </c>
      <c r="F1240" s="24">
        <f>VLOOKUP(E1240,Q$5:R$11,2,FALSE)</f>
        <v>0.2</v>
      </c>
      <c r="G1240" s="24">
        <f t="shared" si="77"/>
        <v>3</v>
      </c>
      <c r="H1240" s="24">
        <f>IF(G1240&gt;G1239,H1239+C1240*F1240,C1240*F1240)</f>
        <v>1.7981944159721079</v>
      </c>
      <c r="I1240" s="24">
        <f t="shared" si="78"/>
        <v>0.60000000000000009</v>
      </c>
      <c r="J1240" s="24">
        <f t="shared" si="79"/>
        <v>0</v>
      </c>
      <c r="K1240" s="24">
        <f>IF(CurrentMtgRatesDataTable811[[#This Row],[WA CC]]&lt;&gt;0,D1239-CurrentMtgRatesDataTable811[[#This Row],[WA CC]],0)</f>
        <v>0</v>
      </c>
      <c r="L1240" s="24">
        <f>IF(CurrentMtgRatesDataTable811[[#This Row],[Servicing Spread]]&lt;=0,L1239,CurrentMtgRatesDataTable811[[#This Row],[Servicing Spread]])</f>
        <v>0.88642613417952409</v>
      </c>
      <c r="M1240" s="24">
        <f>CurrentMtgRatesDataTable811[[#This Row],[SeriesNumValue]]+CurrentMtgRatesDataTable811[[#This Row],[Servicing Spread Non-Zero]]</f>
        <v>3.9258975332228543</v>
      </c>
    </row>
    <row r="1241" spans="2:13" x14ac:dyDescent="0.2">
      <c r="B1241" s="27" t="s">
        <v>1922</v>
      </c>
      <c r="C1241" s="28">
        <v>3.0240881034818901</v>
      </c>
      <c r="D1241" s="26">
        <v>3.88</v>
      </c>
      <c r="E1241" s="24">
        <f t="shared" si="76"/>
        <v>6</v>
      </c>
      <c r="F1241" s="24">
        <f>VLOOKUP(E1241,Q$5:R$11,2,FALSE)</f>
        <v>0.2</v>
      </c>
      <c r="G1241" s="24">
        <f t="shared" si="77"/>
        <v>4</v>
      </c>
      <c r="H1241" s="24">
        <f>IF(G1241&gt;G1240,H1240+C1241*F1241,C1241*F1241)</f>
        <v>2.403012036668486</v>
      </c>
      <c r="I1241" s="24">
        <f t="shared" si="78"/>
        <v>0.8</v>
      </c>
      <c r="J1241" s="24">
        <f t="shared" si="79"/>
        <v>3.0037650458356073</v>
      </c>
      <c r="K1241" s="24">
        <f>IF(CurrentMtgRatesDataTable811[[#This Row],[WA CC]]&lt;&gt;0,D1240-CurrentMtgRatesDataTable811[[#This Row],[WA CC]],0)</f>
        <v>0.87623495416439257</v>
      </c>
      <c r="L1241" s="24">
        <f>IF(CurrentMtgRatesDataTable811[[#This Row],[Servicing Spread]]&lt;=0,L1240,CurrentMtgRatesDataTable811[[#This Row],[Servicing Spread]])</f>
        <v>0.87623495416439257</v>
      </c>
      <c r="M1241" s="24">
        <f>CurrentMtgRatesDataTable811[[#This Row],[SeriesNumValue]]+CurrentMtgRatesDataTable811[[#This Row],[Servicing Spread Non-Zero]]</f>
        <v>3.9003230576462826</v>
      </c>
    </row>
    <row r="1242" spans="2:13" x14ac:dyDescent="0.2">
      <c r="B1242" s="27" t="s">
        <v>1923</v>
      </c>
      <c r="C1242" s="28">
        <v>3.0415503408748101</v>
      </c>
      <c r="D1242" s="26">
        <v>3.87</v>
      </c>
      <c r="E1242" s="24">
        <f t="shared" si="76"/>
        <v>1</v>
      </c>
      <c r="F1242" s="24">
        <f>VLOOKUP(E1242,Q$5:R$11,2,FALSE)</f>
        <v>0.2</v>
      </c>
      <c r="G1242" s="24">
        <f t="shared" si="77"/>
        <v>1</v>
      </c>
      <c r="H1242" s="24">
        <f>IF(G1242&gt;G1241,H1241+C1242*F1242,C1242*F1242)</f>
        <v>0.60831006817496203</v>
      </c>
      <c r="I1242" s="24">
        <f t="shared" si="78"/>
        <v>0.2</v>
      </c>
      <c r="J1242" s="24">
        <f t="shared" si="79"/>
        <v>0</v>
      </c>
      <c r="K1242" s="24">
        <f>IF(CurrentMtgRatesDataTable811[[#This Row],[WA CC]]&lt;&gt;0,D1241-CurrentMtgRatesDataTable811[[#This Row],[WA CC]],0)</f>
        <v>0</v>
      </c>
      <c r="L1242" s="24">
        <f>IF(CurrentMtgRatesDataTable811[[#This Row],[Servicing Spread]]&lt;=0,L1241,CurrentMtgRatesDataTable811[[#This Row],[Servicing Spread]])</f>
        <v>0.87623495416439257</v>
      </c>
      <c r="M1242" s="24">
        <f>CurrentMtgRatesDataTable811[[#This Row],[SeriesNumValue]]+CurrentMtgRatesDataTable811[[#This Row],[Servicing Spread Non-Zero]]</f>
        <v>3.9177852950392027</v>
      </c>
    </row>
    <row r="1243" spans="2:13" x14ac:dyDescent="0.2">
      <c r="B1243" s="27" t="s">
        <v>1924</v>
      </c>
      <c r="C1243" s="28">
        <v>3.0032203766891601</v>
      </c>
      <c r="D1243" s="26">
        <v>3.87</v>
      </c>
      <c r="E1243" s="24">
        <f t="shared" si="76"/>
        <v>2</v>
      </c>
      <c r="F1243" s="24">
        <f>VLOOKUP(E1243,Q$5:R$11,2,FALSE)</f>
        <v>0.2</v>
      </c>
      <c r="G1243" s="24">
        <f t="shared" si="77"/>
        <v>2</v>
      </c>
      <c r="H1243" s="24">
        <f>IF(G1243&gt;G1242,H1242+C1243*F1243,C1243*F1243)</f>
        <v>1.208954143512794</v>
      </c>
      <c r="I1243" s="24">
        <f t="shared" si="78"/>
        <v>0.4</v>
      </c>
      <c r="J1243" s="24">
        <f t="shared" si="79"/>
        <v>0</v>
      </c>
      <c r="K1243" s="24">
        <f>IF(CurrentMtgRatesDataTable811[[#This Row],[WA CC]]&lt;&gt;0,D1242-CurrentMtgRatesDataTable811[[#This Row],[WA CC]],0)</f>
        <v>0</v>
      </c>
      <c r="L1243" s="24">
        <f>IF(CurrentMtgRatesDataTable811[[#This Row],[Servicing Spread]]&lt;=0,L1242,CurrentMtgRatesDataTable811[[#This Row],[Servicing Spread]])</f>
        <v>0.87623495416439257</v>
      </c>
      <c r="M1243" s="24">
        <f>CurrentMtgRatesDataTable811[[#This Row],[SeriesNumValue]]+CurrentMtgRatesDataTable811[[#This Row],[Servicing Spread Non-Zero]]</f>
        <v>3.8794553308535527</v>
      </c>
    </row>
    <row r="1244" spans="2:13" x14ac:dyDescent="0.2">
      <c r="B1244" s="27" t="s">
        <v>1925</v>
      </c>
      <c r="C1244" s="28">
        <v>2.9962349476624799</v>
      </c>
      <c r="D1244" s="26">
        <v>3.87</v>
      </c>
      <c r="E1244" s="24">
        <f t="shared" si="76"/>
        <v>5</v>
      </c>
      <c r="F1244" s="24">
        <f>VLOOKUP(E1244,Q$5:R$11,2,FALSE)</f>
        <v>0.2</v>
      </c>
      <c r="G1244" s="24">
        <f t="shared" si="77"/>
        <v>3</v>
      </c>
      <c r="H1244" s="24">
        <f>IF(G1244&gt;G1243,H1243+C1244*F1244,C1244*F1244)</f>
        <v>1.8082011330452898</v>
      </c>
      <c r="I1244" s="24">
        <f t="shared" si="78"/>
        <v>0.60000000000000009</v>
      </c>
      <c r="J1244" s="24">
        <f t="shared" si="79"/>
        <v>0</v>
      </c>
      <c r="K1244" s="24">
        <f>IF(CurrentMtgRatesDataTable811[[#This Row],[WA CC]]&lt;&gt;0,D1243-CurrentMtgRatesDataTable811[[#This Row],[WA CC]],0)</f>
        <v>0</v>
      </c>
      <c r="L1244" s="24">
        <f>IF(CurrentMtgRatesDataTable811[[#This Row],[Servicing Spread]]&lt;=0,L1243,CurrentMtgRatesDataTable811[[#This Row],[Servicing Spread]])</f>
        <v>0.87623495416439257</v>
      </c>
      <c r="M1244" s="24">
        <f>CurrentMtgRatesDataTable811[[#This Row],[SeriesNumValue]]+CurrentMtgRatesDataTable811[[#This Row],[Servicing Spread Non-Zero]]</f>
        <v>3.8724699018268725</v>
      </c>
    </row>
    <row r="1245" spans="2:13" x14ac:dyDescent="0.2">
      <c r="B1245" s="27" t="s">
        <v>1926</v>
      </c>
      <c r="C1245" s="28">
        <v>2.9829487992520902</v>
      </c>
      <c r="D1245" s="26">
        <v>3.87</v>
      </c>
      <c r="E1245" s="24">
        <f t="shared" si="76"/>
        <v>6</v>
      </c>
      <c r="F1245" s="24">
        <f>VLOOKUP(E1245,Q$5:R$11,2,FALSE)</f>
        <v>0.2</v>
      </c>
      <c r="G1245" s="24">
        <f t="shared" si="77"/>
        <v>4</v>
      </c>
      <c r="H1245" s="24">
        <f>IF(G1245&gt;G1244,H1244+C1245*F1245,C1245*F1245)</f>
        <v>2.4047908928957078</v>
      </c>
      <c r="I1245" s="24">
        <f t="shared" si="78"/>
        <v>0.8</v>
      </c>
      <c r="J1245" s="24">
        <f t="shared" si="79"/>
        <v>0</v>
      </c>
      <c r="K1245" s="24">
        <f>IF(CurrentMtgRatesDataTable811[[#This Row],[WA CC]]&lt;&gt;0,D1244-CurrentMtgRatesDataTable811[[#This Row],[WA CC]],0)</f>
        <v>0</v>
      </c>
      <c r="L1245" s="24">
        <f>IF(CurrentMtgRatesDataTable811[[#This Row],[Servicing Spread]]&lt;=0,L1244,CurrentMtgRatesDataTable811[[#This Row],[Servicing Spread]])</f>
        <v>0.87623495416439257</v>
      </c>
      <c r="M1245" s="24">
        <f>CurrentMtgRatesDataTable811[[#This Row],[SeriesNumValue]]+CurrentMtgRatesDataTable811[[#This Row],[Servicing Spread Non-Zero]]</f>
        <v>3.8591837534164828</v>
      </c>
    </row>
    <row r="1246" spans="2:13" x14ac:dyDescent="0.2">
      <c r="B1246" s="27" t="s">
        <v>1927</v>
      </c>
      <c r="C1246" s="28">
        <v>2.97922271147955</v>
      </c>
      <c r="D1246" s="26">
        <v>3.87</v>
      </c>
      <c r="E1246" s="24">
        <f t="shared" si="76"/>
        <v>7</v>
      </c>
      <c r="F1246" s="24">
        <f>VLOOKUP(E1246,Q$5:R$11,2,FALSE)</f>
        <v>0.2</v>
      </c>
      <c r="G1246" s="24">
        <f t="shared" si="77"/>
        <v>5</v>
      </c>
      <c r="H1246" s="24">
        <f>IF(G1246&gt;G1245,H1245+C1246*F1246,C1246*F1246)</f>
        <v>3.0006354351916178</v>
      </c>
      <c r="I1246" s="24">
        <f t="shared" si="78"/>
        <v>1</v>
      </c>
      <c r="J1246" s="24">
        <f t="shared" si="79"/>
        <v>3.0006354351916178</v>
      </c>
      <c r="K1246" s="24">
        <f>IF(CurrentMtgRatesDataTable811[[#This Row],[WA CC]]&lt;&gt;0,D1245-CurrentMtgRatesDataTable811[[#This Row],[WA CC]],0)</f>
        <v>0.86936456480838231</v>
      </c>
      <c r="L1246" s="24">
        <f>IF(CurrentMtgRatesDataTable811[[#This Row],[Servicing Spread]]&lt;=0,L1245,CurrentMtgRatesDataTable811[[#This Row],[Servicing Spread]])</f>
        <v>0.86936456480838231</v>
      </c>
      <c r="M1246" s="24">
        <f>CurrentMtgRatesDataTable811[[#This Row],[SeriesNumValue]]+CurrentMtgRatesDataTable811[[#This Row],[Servicing Spread Non-Zero]]</f>
        <v>3.8485872762879323</v>
      </c>
    </row>
    <row r="1247" spans="2:13" x14ac:dyDescent="0.2">
      <c r="B1247" s="27" t="s">
        <v>1928</v>
      </c>
      <c r="C1247" s="28">
        <v>2.9567440380932299</v>
      </c>
      <c r="D1247" s="26">
        <v>3.875</v>
      </c>
      <c r="E1247" s="24">
        <f t="shared" si="76"/>
        <v>1</v>
      </c>
      <c r="F1247" s="24">
        <f>VLOOKUP(E1247,Q$5:R$11,2,FALSE)</f>
        <v>0.2</v>
      </c>
      <c r="G1247" s="24">
        <f t="shared" si="77"/>
        <v>1</v>
      </c>
      <c r="H1247" s="24">
        <f>IF(G1247&gt;G1246,H1246+C1247*F1247,C1247*F1247)</f>
        <v>0.59134880761864606</v>
      </c>
      <c r="I1247" s="24">
        <f t="shared" si="78"/>
        <v>0.2</v>
      </c>
      <c r="J1247" s="24">
        <f t="shared" si="79"/>
        <v>0</v>
      </c>
      <c r="K1247" s="24">
        <f>IF(CurrentMtgRatesDataTable811[[#This Row],[WA CC]]&lt;&gt;0,D1246-CurrentMtgRatesDataTable811[[#This Row],[WA CC]],0)</f>
        <v>0</v>
      </c>
      <c r="L1247" s="24">
        <f>IF(CurrentMtgRatesDataTable811[[#This Row],[Servicing Spread]]&lt;=0,L1246,CurrentMtgRatesDataTable811[[#This Row],[Servicing Spread]])</f>
        <v>0.86936456480838231</v>
      </c>
      <c r="M1247" s="24">
        <f>CurrentMtgRatesDataTable811[[#This Row],[SeriesNumValue]]+CurrentMtgRatesDataTable811[[#This Row],[Servicing Spread Non-Zero]]</f>
        <v>3.8261086029016123</v>
      </c>
    </row>
    <row r="1248" spans="2:13" x14ac:dyDescent="0.2">
      <c r="B1248" s="27" t="s">
        <v>1929</v>
      </c>
      <c r="C1248" s="28">
        <v>2.9778815410804498</v>
      </c>
      <c r="D1248" s="26">
        <v>3.875</v>
      </c>
      <c r="E1248" s="24">
        <f t="shared" si="76"/>
        <v>2</v>
      </c>
      <c r="F1248" s="24">
        <f>VLOOKUP(E1248,Q$5:R$11,2,FALSE)</f>
        <v>0.2</v>
      </c>
      <c r="G1248" s="24">
        <f t="shared" si="77"/>
        <v>2</v>
      </c>
      <c r="H1248" s="24">
        <f>IF(G1248&gt;G1247,H1247+C1248*F1248,C1248*F1248)</f>
        <v>1.186925115834736</v>
      </c>
      <c r="I1248" s="24">
        <f t="shared" si="78"/>
        <v>0.4</v>
      </c>
      <c r="J1248" s="24">
        <f t="shared" si="79"/>
        <v>0</v>
      </c>
      <c r="K1248" s="24">
        <f>IF(CurrentMtgRatesDataTable811[[#This Row],[WA CC]]&lt;&gt;0,D1247-CurrentMtgRatesDataTable811[[#This Row],[WA CC]],0)</f>
        <v>0</v>
      </c>
      <c r="L1248" s="24">
        <f>IF(CurrentMtgRatesDataTable811[[#This Row],[Servicing Spread]]&lt;=0,L1247,CurrentMtgRatesDataTable811[[#This Row],[Servicing Spread]])</f>
        <v>0.86936456480838231</v>
      </c>
      <c r="M1248" s="24">
        <f>CurrentMtgRatesDataTable811[[#This Row],[SeriesNumValue]]+CurrentMtgRatesDataTable811[[#This Row],[Servicing Spread Non-Zero]]</f>
        <v>3.8472461058888321</v>
      </c>
    </row>
    <row r="1249" spans="2:13" x14ac:dyDescent="0.2">
      <c r="B1249" s="27" t="s">
        <v>1930</v>
      </c>
      <c r="C1249" s="28">
        <v>2.9783756626827098</v>
      </c>
      <c r="D1249" s="26">
        <v>3.875</v>
      </c>
      <c r="E1249" s="24">
        <f t="shared" si="76"/>
        <v>5</v>
      </c>
      <c r="F1249" s="24">
        <f>VLOOKUP(E1249,Q$5:R$11,2,FALSE)</f>
        <v>0.2</v>
      </c>
      <c r="G1249" s="24">
        <f t="shared" si="77"/>
        <v>3</v>
      </c>
      <c r="H1249" s="24">
        <f>IF(G1249&gt;G1248,H1248+C1249*F1249,C1249*F1249)</f>
        <v>1.7826002483712782</v>
      </c>
      <c r="I1249" s="24">
        <f t="shared" si="78"/>
        <v>0.60000000000000009</v>
      </c>
      <c r="J1249" s="24">
        <f t="shared" si="79"/>
        <v>0</v>
      </c>
      <c r="K1249" s="24">
        <f>IF(CurrentMtgRatesDataTable811[[#This Row],[WA CC]]&lt;&gt;0,D1248-CurrentMtgRatesDataTable811[[#This Row],[WA CC]],0)</f>
        <v>0</v>
      </c>
      <c r="L1249" s="24">
        <f>IF(CurrentMtgRatesDataTable811[[#This Row],[Servicing Spread]]&lt;=0,L1248,CurrentMtgRatesDataTable811[[#This Row],[Servicing Spread]])</f>
        <v>0.86936456480838231</v>
      </c>
      <c r="M1249" s="24">
        <f>CurrentMtgRatesDataTable811[[#This Row],[SeriesNumValue]]+CurrentMtgRatesDataTable811[[#This Row],[Servicing Spread Non-Zero]]</f>
        <v>3.8477402274910921</v>
      </c>
    </row>
    <row r="1250" spans="2:13" x14ac:dyDescent="0.2">
      <c r="B1250" s="27" t="s">
        <v>1931</v>
      </c>
      <c r="C1250" s="28">
        <v>2.9726150604600501</v>
      </c>
      <c r="D1250" s="26">
        <v>3.875</v>
      </c>
      <c r="E1250" s="24">
        <f t="shared" si="76"/>
        <v>6</v>
      </c>
      <c r="F1250" s="24">
        <f>VLOOKUP(E1250,Q$5:R$11,2,FALSE)</f>
        <v>0.2</v>
      </c>
      <c r="G1250" s="24">
        <f t="shared" si="77"/>
        <v>4</v>
      </c>
      <c r="H1250" s="24">
        <f>IF(G1250&gt;G1249,H1249+C1250*F1250,C1250*F1250)</f>
        <v>2.3771232604632884</v>
      </c>
      <c r="I1250" s="24">
        <f t="shared" si="78"/>
        <v>0.8</v>
      </c>
      <c r="J1250" s="24">
        <f t="shared" si="79"/>
        <v>0</v>
      </c>
      <c r="K1250" s="24">
        <f>IF(CurrentMtgRatesDataTable811[[#This Row],[WA CC]]&lt;&gt;0,D1249-CurrentMtgRatesDataTable811[[#This Row],[WA CC]],0)</f>
        <v>0</v>
      </c>
      <c r="L1250" s="24">
        <f>IF(CurrentMtgRatesDataTable811[[#This Row],[Servicing Spread]]&lt;=0,L1249,CurrentMtgRatesDataTable811[[#This Row],[Servicing Spread]])</f>
        <v>0.86936456480838231</v>
      </c>
      <c r="M1250" s="24">
        <f>CurrentMtgRatesDataTable811[[#This Row],[SeriesNumValue]]+CurrentMtgRatesDataTable811[[#This Row],[Servicing Spread Non-Zero]]</f>
        <v>3.8419796252684324</v>
      </c>
    </row>
    <row r="1251" spans="2:13" x14ac:dyDescent="0.2">
      <c r="B1251" s="27" t="s">
        <v>1932</v>
      </c>
      <c r="C1251" s="28">
        <v>2.9699990408330801</v>
      </c>
      <c r="D1251" s="26">
        <v>3.875</v>
      </c>
      <c r="E1251" s="24">
        <f t="shared" si="76"/>
        <v>7</v>
      </c>
      <c r="F1251" s="24">
        <f>VLOOKUP(E1251,Q$5:R$11,2,FALSE)</f>
        <v>0.2</v>
      </c>
      <c r="G1251" s="24">
        <f t="shared" si="77"/>
        <v>5</v>
      </c>
      <c r="H1251" s="24">
        <f>IF(G1251&gt;G1250,H1250+C1251*F1251,C1251*F1251)</f>
        <v>2.9711230686299044</v>
      </c>
      <c r="I1251" s="24">
        <f t="shared" si="78"/>
        <v>1</v>
      </c>
      <c r="J1251" s="24">
        <f t="shared" si="79"/>
        <v>2.9711230686299044</v>
      </c>
      <c r="K1251" s="24">
        <f>IF(CurrentMtgRatesDataTable811[[#This Row],[WA CC]]&lt;&gt;0,D1250-CurrentMtgRatesDataTable811[[#This Row],[WA CC]],0)</f>
        <v>0.90387693137009562</v>
      </c>
      <c r="L1251" s="24">
        <f>IF(CurrentMtgRatesDataTable811[[#This Row],[Servicing Spread]]&lt;=0,L1250,CurrentMtgRatesDataTable811[[#This Row],[Servicing Spread]])</f>
        <v>0.90387693137009562</v>
      </c>
      <c r="M1251" s="24">
        <f>CurrentMtgRatesDataTable811[[#This Row],[SeriesNumValue]]+CurrentMtgRatesDataTable811[[#This Row],[Servicing Spread Non-Zero]]</f>
        <v>3.8738759722031757</v>
      </c>
    </row>
    <row r="1252" spans="2:13" x14ac:dyDescent="0.2">
      <c r="B1252" s="27" t="s">
        <v>1933</v>
      </c>
      <c r="C1252" s="28">
        <v>2.9627998266716902</v>
      </c>
      <c r="D1252" s="26">
        <v>3.83</v>
      </c>
      <c r="E1252" s="24">
        <f t="shared" si="76"/>
        <v>2</v>
      </c>
      <c r="F1252" s="24">
        <f>VLOOKUP(E1252,Q$5:R$11,2,FALSE)</f>
        <v>0.2</v>
      </c>
      <c r="G1252" s="24">
        <f t="shared" si="77"/>
        <v>1</v>
      </c>
      <c r="H1252" s="24">
        <f>IF(G1252&gt;G1251,H1251+C1252*F1252,C1252*F1252)</f>
        <v>0.59255996533433808</v>
      </c>
      <c r="I1252" s="24">
        <f t="shared" si="78"/>
        <v>0.2</v>
      </c>
      <c r="J1252" s="24">
        <f t="shared" si="79"/>
        <v>0</v>
      </c>
      <c r="K1252" s="24">
        <f>IF(CurrentMtgRatesDataTable811[[#This Row],[WA CC]]&lt;&gt;0,D1251-CurrentMtgRatesDataTable811[[#This Row],[WA CC]],0)</f>
        <v>0</v>
      </c>
      <c r="L1252" s="24">
        <f>IF(CurrentMtgRatesDataTable811[[#This Row],[Servicing Spread]]&lt;=0,L1251,CurrentMtgRatesDataTable811[[#This Row],[Servicing Spread]])</f>
        <v>0.90387693137009562</v>
      </c>
      <c r="M1252" s="24">
        <f>CurrentMtgRatesDataTable811[[#This Row],[SeriesNumValue]]+CurrentMtgRatesDataTable811[[#This Row],[Servicing Spread Non-Zero]]</f>
        <v>3.8666767580417858</v>
      </c>
    </row>
    <row r="1253" spans="2:13" x14ac:dyDescent="0.2">
      <c r="B1253" s="27" t="s">
        <v>1934</v>
      </c>
      <c r="C1253" s="28">
        <v>2.9474672658602201</v>
      </c>
      <c r="D1253" s="26">
        <v>3.83</v>
      </c>
      <c r="E1253" s="24">
        <f t="shared" si="76"/>
        <v>5</v>
      </c>
      <c r="F1253" s="24">
        <f>VLOOKUP(E1253,Q$5:R$11,2,FALSE)</f>
        <v>0.2</v>
      </c>
      <c r="G1253" s="24">
        <f t="shared" si="77"/>
        <v>2</v>
      </c>
      <c r="H1253" s="24">
        <f>IF(G1253&gt;G1252,H1252+C1253*F1253,C1253*F1253)</f>
        <v>1.1820534185063822</v>
      </c>
      <c r="I1253" s="24">
        <f t="shared" si="78"/>
        <v>0.4</v>
      </c>
      <c r="J1253" s="24">
        <f t="shared" si="79"/>
        <v>0</v>
      </c>
      <c r="K1253" s="24">
        <f>IF(CurrentMtgRatesDataTable811[[#This Row],[WA CC]]&lt;&gt;0,D1252-CurrentMtgRatesDataTable811[[#This Row],[WA CC]],0)</f>
        <v>0</v>
      </c>
      <c r="L1253" s="24">
        <f>IF(CurrentMtgRatesDataTable811[[#This Row],[Servicing Spread]]&lt;=0,L1252,CurrentMtgRatesDataTable811[[#This Row],[Servicing Spread]])</f>
        <v>0.90387693137009562</v>
      </c>
      <c r="M1253" s="24">
        <f>CurrentMtgRatesDataTable811[[#This Row],[SeriesNumValue]]+CurrentMtgRatesDataTable811[[#This Row],[Servicing Spread Non-Zero]]</f>
        <v>3.8513441972303157</v>
      </c>
    </row>
    <row r="1254" spans="2:13" x14ac:dyDescent="0.2">
      <c r="B1254" s="27" t="s">
        <v>1935</v>
      </c>
      <c r="C1254" s="28">
        <v>2.8947298491443201</v>
      </c>
      <c r="D1254" s="26">
        <v>3.83</v>
      </c>
      <c r="E1254" s="24">
        <f t="shared" si="76"/>
        <v>6</v>
      </c>
      <c r="F1254" s="24">
        <f>VLOOKUP(E1254,Q$5:R$11,2,FALSE)</f>
        <v>0.2</v>
      </c>
      <c r="G1254" s="24">
        <f t="shared" si="77"/>
        <v>3</v>
      </c>
      <c r="H1254" s="24">
        <f>IF(G1254&gt;G1253,H1253+C1254*F1254,C1254*F1254)</f>
        <v>1.7609993883352462</v>
      </c>
      <c r="I1254" s="24">
        <f t="shared" si="78"/>
        <v>0.60000000000000009</v>
      </c>
      <c r="J1254" s="24">
        <f t="shared" si="79"/>
        <v>0</v>
      </c>
      <c r="K1254" s="24">
        <f>IF(CurrentMtgRatesDataTable811[[#This Row],[WA CC]]&lt;&gt;0,D1253-CurrentMtgRatesDataTable811[[#This Row],[WA CC]],0)</f>
        <v>0</v>
      </c>
      <c r="L1254" s="24">
        <f>IF(CurrentMtgRatesDataTable811[[#This Row],[Servicing Spread]]&lt;=0,L1253,CurrentMtgRatesDataTable811[[#This Row],[Servicing Spread]])</f>
        <v>0.90387693137009562</v>
      </c>
      <c r="M1254" s="24">
        <f>CurrentMtgRatesDataTable811[[#This Row],[SeriesNumValue]]+CurrentMtgRatesDataTable811[[#This Row],[Servicing Spread Non-Zero]]</f>
        <v>3.7986067805144157</v>
      </c>
    </row>
    <row r="1255" spans="2:13" x14ac:dyDescent="0.2">
      <c r="B1255" s="27" t="s">
        <v>1936</v>
      </c>
      <c r="C1255" s="28">
        <v>2.9165593470462001</v>
      </c>
      <c r="D1255" s="26">
        <v>3.83</v>
      </c>
      <c r="E1255" s="24">
        <f t="shared" si="76"/>
        <v>7</v>
      </c>
      <c r="F1255" s="24">
        <f>VLOOKUP(E1255,Q$5:R$11,2,FALSE)</f>
        <v>0.2</v>
      </c>
      <c r="G1255" s="24">
        <f t="shared" si="77"/>
        <v>4</v>
      </c>
      <c r="H1255" s="24">
        <f>IF(G1255&gt;G1254,H1254+C1255*F1255,C1255*F1255)</f>
        <v>2.3443112577444865</v>
      </c>
      <c r="I1255" s="24">
        <f t="shared" si="78"/>
        <v>0.8</v>
      </c>
      <c r="J1255" s="24">
        <f t="shared" si="79"/>
        <v>2.9303890721806081</v>
      </c>
      <c r="K1255" s="24">
        <f>IF(CurrentMtgRatesDataTable811[[#This Row],[WA CC]]&lt;&gt;0,D1254-CurrentMtgRatesDataTable811[[#This Row],[WA CC]],0)</f>
        <v>0.899610927819392</v>
      </c>
      <c r="L1255" s="24">
        <f>IF(CurrentMtgRatesDataTable811[[#This Row],[Servicing Spread]]&lt;=0,L1254,CurrentMtgRatesDataTable811[[#This Row],[Servicing Spread]])</f>
        <v>0.899610927819392</v>
      </c>
      <c r="M1255" s="24">
        <f>CurrentMtgRatesDataTable811[[#This Row],[SeriesNumValue]]+CurrentMtgRatesDataTable811[[#This Row],[Servicing Spread Non-Zero]]</f>
        <v>3.8161702748655921</v>
      </c>
    </row>
    <row r="1256" spans="2:13" x14ac:dyDescent="0.2">
      <c r="B1256" s="27" t="s">
        <v>1937</v>
      </c>
      <c r="C1256" s="28">
        <v>3.0544306669029599</v>
      </c>
      <c r="D1256" s="26">
        <v>3.85</v>
      </c>
      <c r="E1256" s="24">
        <f t="shared" si="76"/>
        <v>1</v>
      </c>
      <c r="F1256" s="24">
        <f>VLOOKUP(E1256,Q$5:R$11,2,FALSE)</f>
        <v>0.2</v>
      </c>
      <c r="G1256" s="24">
        <f t="shared" si="77"/>
        <v>1</v>
      </c>
      <c r="H1256" s="24">
        <f>IF(G1256&gt;G1255,H1255+C1256*F1256,C1256*F1256)</f>
        <v>0.61088613338059206</v>
      </c>
      <c r="I1256" s="24">
        <f t="shared" si="78"/>
        <v>0.2</v>
      </c>
      <c r="J1256" s="24">
        <f t="shared" si="79"/>
        <v>0</v>
      </c>
      <c r="K1256" s="24">
        <f>IF(CurrentMtgRatesDataTable811[[#This Row],[WA CC]]&lt;&gt;0,D1255-CurrentMtgRatesDataTable811[[#This Row],[WA CC]],0)</f>
        <v>0</v>
      </c>
      <c r="L1256" s="24">
        <f>IF(CurrentMtgRatesDataTable811[[#This Row],[Servicing Spread]]&lt;=0,L1255,CurrentMtgRatesDataTable811[[#This Row],[Servicing Spread]])</f>
        <v>0.899610927819392</v>
      </c>
      <c r="M1256" s="24">
        <f>CurrentMtgRatesDataTable811[[#This Row],[SeriesNumValue]]+CurrentMtgRatesDataTable811[[#This Row],[Servicing Spread Non-Zero]]</f>
        <v>3.9540415947223519</v>
      </c>
    </row>
    <row r="1257" spans="2:13" x14ac:dyDescent="0.2">
      <c r="B1257" s="27" t="s">
        <v>1938</v>
      </c>
      <c r="C1257" s="28">
        <v>2.9966381834712199</v>
      </c>
      <c r="D1257" s="26">
        <v>3.85</v>
      </c>
      <c r="E1257" s="24">
        <f t="shared" si="76"/>
        <v>2</v>
      </c>
      <c r="F1257" s="24">
        <f>VLOOKUP(E1257,Q$5:R$11,2,FALSE)</f>
        <v>0.2</v>
      </c>
      <c r="G1257" s="24">
        <f t="shared" si="77"/>
        <v>2</v>
      </c>
      <c r="H1257" s="24">
        <f>IF(G1257&gt;G1256,H1256+C1257*F1257,C1257*F1257)</f>
        <v>1.2102137700748361</v>
      </c>
      <c r="I1257" s="24">
        <f t="shared" si="78"/>
        <v>0.4</v>
      </c>
      <c r="J1257" s="24">
        <f t="shared" si="79"/>
        <v>0</v>
      </c>
      <c r="K1257" s="24">
        <f>IF(CurrentMtgRatesDataTable811[[#This Row],[WA CC]]&lt;&gt;0,D1256-CurrentMtgRatesDataTable811[[#This Row],[WA CC]],0)</f>
        <v>0</v>
      </c>
      <c r="L1257" s="24">
        <f>IF(CurrentMtgRatesDataTable811[[#This Row],[Servicing Spread]]&lt;=0,L1256,CurrentMtgRatesDataTable811[[#This Row],[Servicing Spread]])</f>
        <v>0.899610927819392</v>
      </c>
      <c r="M1257" s="24">
        <f>CurrentMtgRatesDataTable811[[#This Row],[SeriesNumValue]]+CurrentMtgRatesDataTable811[[#This Row],[Servicing Spread Non-Zero]]</f>
        <v>3.8962491112906119</v>
      </c>
    </row>
    <row r="1258" spans="2:13" x14ac:dyDescent="0.2">
      <c r="B1258" s="27" t="s">
        <v>1939</v>
      </c>
      <c r="C1258" s="28">
        <v>2.9498986890501602</v>
      </c>
      <c r="D1258" s="26">
        <v>3.85</v>
      </c>
      <c r="E1258" s="24">
        <f t="shared" si="76"/>
        <v>5</v>
      </c>
      <c r="F1258" s="24">
        <f>VLOOKUP(E1258,Q$5:R$11,2,FALSE)</f>
        <v>0.2</v>
      </c>
      <c r="G1258" s="24">
        <f t="shared" si="77"/>
        <v>3</v>
      </c>
      <c r="H1258" s="24">
        <f>IF(G1258&gt;G1257,H1257+C1258*F1258,C1258*F1258)</f>
        <v>1.8001935078848681</v>
      </c>
      <c r="I1258" s="24">
        <f t="shared" si="78"/>
        <v>0.60000000000000009</v>
      </c>
      <c r="J1258" s="24">
        <f t="shared" si="79"/>
        <v>0</v>
      </c>
      <c r="K1258" s="24">
        <f>IF(CurrentMtgRatesDataTable811[[#This Row],[WA CC]]&lt;&gt;0,D1257-CurrentMtgRatesDataTable811[[#This Row],[WA CC]],0)</f>
        <v>0</v>
      </c>
      <c r="L1258" s="24">
        <f>IF(CurrentMtgRatesDataTable811[[#This Row],[Servicing Spread]]&lt;=0,L1257,CurrentMtgRatesDataTable811[[#This Row],[Servicing Spread]])</f>
        <v>0.899610927819392</v>
      </c>
      <c r="M1258" s="24">
        <f>CurrentMtgRatesDataTable811[[#This Row],[SeriesNumValue]]+CurrentMtgRatesDataTable811[[#This Row],[Servicing Spread Non-Zero]]</f>
        <v>3.8495096168695522</v>
      </c>
    </row>
    <row r="1259" spans="2:13" x14ac:dyDescent="0.2">
      <c r="B1259" s="27" t="s">
        <v>1940</v>
      </c>
      <c r="C1259" s="28">
        <v>2.97492729888162</v>
      </c>
      <c r="D1259" s="26">
        <v>3.85</v>
      </c>
      <c r="E1259" s="24">
        <f t="shared" si="76"/>
        <v>6</v>
      </c>
      <c r="F1259" s="24">
        <f>VLOOKUP(E1259,Q$5:R$11,2,FALSE)</f>
        <v>0.2</v>
      </c>
      <c r="G1259" s="24">
        <f t="shared" si="77"/>
        <v>4</v>
      </c>
      <c r="H1259" s="24">
        <f>IF(G1259&gt;G1258,H1258+C1259*F1259,C1259*F1259)</f>
        <v>2.3951789676611921</v>
      </c>
      <c r="I1259" s="24">
        <f t="shared" si="78"/>
        <v>0.8</v>
      </c>
      <c r="J1259" s="24">
        <f t="shared" si="79"/>
        <v>0</v>
      </c>
      <c r="K1259" s="24">
        <f>IF(CurrentMtgRatesDataTable811[[#This Row],[WA CC]]&lt;&gt;0,D1258-CurrentMtgRatesDataTable811[[#This Row],[WA CC]],0)</f>
        <v>0</v>
      </c>
      <c r="L1259" s="24">
        <f>IF(CurrentMtgRatesDataTable811[[#This Row],[Servicing Spread]]&lt;=0,L1258,CurrentMtgRatesDataTable811[[#This Row],[Servicing Spread]])</f>
        <v>0.899610927819392</v>
      </c>
      <c r="M1259" s="24">
        <f>CurrentMtgRatesDataTable811[[#This Row],[SeriesNumValue]]+CurrentMtgRatesDataTable811[[#This Row],[Servicing Spread Non-Zero]]</f>
        <v>3.874538226701012</v>
      </c>
    </row>
    <row r="1260" spans="2:13" x14ac:dyDescent="0.2">
      <c r="B1260" s="27" t="s">
        <v>1941</v>
      </c>
      <c r="C1260" s="28">
        <v>2.9584562580557998</v>
      </c>
      <c r="D1260" s="26">
        <v>3.85</v>
      </c>
      <c r="E1260" s="24">
        <f t="shared" si="76"/>
        <v>7</v>
      </c>
      <c r="F1260" s="24">
        <f>VLOOKUP(E1260,Q$5:R$11,2,FALSE)</f>
        <v>0.2</v>
      </c>
      <c r="G1260" s="24">
        <f t="shared" si="77"/>
        <v>5</v>
      </c>
      <c r="H1260" s="24">
        <f>IF(G1260&gt;G1259,H1259+C1260*F1260,C1260*F1260)</f>
        <v>2.986870219272352</v>
      </c>
      <c r="I1260" s="24">
        <f t="shared" si="78"/>
        <v>1</v>
      </c>
      <c r="J1260" s="24">
        <f t="shared" si="79"/>
        <v>2.986870219272352</v>
      </c>
      <c r="K1260" s="24">
        <f>IF(CurrentMtgRatesDataTable811[[#This Row],[WA CC]]&lt;&gt;0,D1259-CurrentMtgRatesDataTable811[[#This Row],[WA CC]],0)</f>
        <v>0.86312978072764812</v>
      </c>
      <c r="L1260" s="24">
        <f>IF(CurrentMtgRatesDataTable811[[#This Row],[Servicing Spread]]&lt;=0,L1259,CurrentMtgRatesDataTable811[[#This Row],[Servicing Spread]])</f>
        <v>0.86312978072764812</v>
      </c>
      <c r="M1260" s="24">
        <f>CurrentMtgRatesDataTable811[[#This Row],[SeriesNumValue]]+CurrentMtgRatesDataTable811[[#This Row],[Servicing Spread Non-Zero]]</f>
        <v>3.8215860387834479</v>
      </c>
    </row>
    <row r="1261" spans="2:13" x14ac:dyDescent="0.2">
      <c r="B1261" s="27" t="s">
        <v>1942</v>
      </c>
      <c r="C1261" s="28">
        <v>2.9975278287112799</v>
      </c>
      <c r="D1261" s="26">
        <v>3.87</v>
      </c>
      <c r="E1261" s="24">
        <f t="shared" si="76"/>
        <v>1</v>
      </c>
      <c r="F1261" s="24">
        <f>VLOOKUP(E1261,Q$5:R$11,2,FALSE)</f>
        <v>0.2</v>
      </c>
      <c r="G1261" s="24">
        <f t="shared" si="77"/>
        <v>1</v>
      </c>
      <c r="H1261" s="24">
        <f>IF(G1261&gt;G1260,H1260+C1261*F1261,C1261*F1261)</f>
        <v>0.599505565742256</v>
      </c>
      <c r="I1261" s="24">
        <f t="shared" si="78"/>
        <v>0.2</v>
      </c>
      <c r="J1261" s="24">
        <f t="shared" si="79"/>
        <v>0</v>
      </c>
      <c r="K1261" s="24">
        <f>IF(CurrentMtgRatesDataTable811[[#This Row],[WA CC]]&lt;&gt;0,D1260-CurrentMtgRatesDataTable811[[#This Row],[WA CC]],0)</f>
        <v>0</v>
      </c>
      <c r="L1261" s="24">
        <f>IF(CurrentMtgRatesDataTable811[[#This Row],[Servicing Spread]]&lt;=0,L1260,CurrentMtgRatesDataTable811[[#This Row],[Servicing Spread]])</f>
        <v>0.86312978072764812</v>
      </c>
      <c r="M1261" s="24">
        <f>CurrentMtgRatesDataTable811[[#This Row],[SeriesNumValue]]+CurrentMtgRatesDataTable811[[#This Row],[Servicing Spread Non-Zero]]</f>
        <v>3.860657609438928</v>
      </c>
    </row>
    <row r="1262" spans="2:13" x14ac:dyDescent="0.2">
      <c r="B1262" s="27" t="s">
        <v>1943</v>
      </c>
      <c r="C1262" s="28">
        <v>2.93038775773327</v>
      </c>
      <c r="D1262" s="26">
        <v>3.87</v>
      </c>
      <c r="E1262" s="24">
        <f t="shared" si="76"/>
        <v>2</v>
      </c>
      <c r="F1262" s="24">
        <f>VLOOKUP(E1262,Q$5:R$11,2,FALSE)</f>
        <v>0.2</v>
      </c>
      <c r="G1262" s="24">
        <f t="shared" si="77"/>
        <v>2</v>
      </c>
      <c r="H1262" s="24">
        <f>IF(G1262&gt;G1261,H1261+C1262*F1262,C1262*F1262)</f>
        <v>1.18558311728891</v>
      </c>
      <c r="I1262" s="24">
        <f t="shared" si="78"/>
        <v>0.4</v>
      </c>
      <c r="J1262" s="24">
        <f t="shared" si="79"/>
        <v>0</v>
      </c>
      <c r="K1262" s="24">
        <f>IF(CurrentMtgRatesDataTable811[[#This Row],[WA CC]]&lt;&gt;0,D1261-CurrentMtgRatesDataTable811[[#This Row],[WA CC]],0)</f>
        <v>0</v>
      </c>
      <c r="L1262" s="24">
        <f>IF(CurrentMtgRatesDataTable811[[#This Row],[Servicing Spread]]&lt;=0,L1261,CurrentMtgRatesDataTable811[[#This Row],[Servicing Spread]])</f>
        <v>0.86312978072764812</v>
      </c>
      <c r="M1262" s="24">
        <f>CurrentMtgRatesDataTable811[[#This Row],[SeriesNumValue]]+CurrentMtgRatesDataTable811[[#This Row],[Servicing Spread Non-Zero]]</f>
        <v>3.7935175384609181</v>
      </c>
    </row>
    <row r="1263" spans="2:13" x14ac:dyDescent="0.2">
      <c r="B1263" s="27" t="s">
        <v>1944</v>
      </c>
      <c r="C1263" s="28">
        <v>2.9956917661864102</v>
      </c>
      <c r="D1263" s="26">
        <v>3.87</v>
      </c>
      <c r="E1263" s="24">
        <f t="shared" si="76"/>
        <v>5</v>
      </c>
      <c r="F1263" s="24">
        <f>VLOOKUP(E1263,Q$5:R$11,2,FALSE)</f>
        <v>0.2</v>
      </c>
      <c r="G1263" s="24">
        <f t="shared" si="77"/>
        <v>3</v>
      </c>
      <c r="H1263" s="24">
        <f>IF(G1263&gt;G1262,H1262+C1263*F1263,C1263*F1263)</f>
        <v>1.784721470526192</v>
      </c>
      <c r="I1263" s="24">
        <f t="shared" si="78"/>
        <v>0.60000000000000009</v>
      </c>
      <c r="J1263" s="24">
        <f t="shared" si="79"/>
        <v>0</v>
      </c>
      <c r="K1263" s="24">
        <f>IF(CurrentMtgRatesDataTable811[[#This Row],[WA CC]]&lt;&gt;0,D1262-CurrentMtgRatesDataTable811[[#This Row],[WA CC]],0)</f>
        <v>0</v>
      </c>
      <c r="L1263" s="24">
        <f>IF(CurrentMtgRatesDataTable811[[#This Row],[Servicing Spread]]&lt;=0,L1262,CurrentMtgRatesDataTable811[[#This Row],[Servicing Spread]])</f>
        <v>0.86312978072764812</v>
      </c>
      <c r="M1263" s="24">
        <f>CurrentMtgRatesDataTable811[[#This Row],[SeriesNumValue]]+CurrentMtgRatesDataTable811[[#This Row],[Servicing Spread Non-Zero]]</f>
        <v>3.8588215469140583</v>
      </c>
    </row>
    <row r="1264" spans="2:13" x14ac:dyDescent="0.2">
      <c r="B1264" s="27" t="s">
        <v>1945</v>
      </c>
      <c r="C1264" s="28">
        <v>3.0277544715368299</v>
      </c>
      <c r="D1264" s="26">
        <v>3.87</v>
      </c>
      <c r="E1264" s="24">
        <f t="shared" si="76"/>
        <v>6</v>
      </c>
      <c r="F1264" s="24">
        <f>VLOOKUP(E1264,Q$5:R$11,2,FALSE)</f>
        <v>0.2</v>
      </c>
      <c r="G1264" s="24">
        <f t="shared" si="77"/>
        <v>4</v>
      </c>
      <c r="H1264" s="24">
        <f>IF(G1264&gt;G1263,H1263+C1264*F1264,C1264*F1264)</f>
        <v>2.390272364833558</v>
      </c>
      <c r="I1264" s="24">
        <f t="shared" si="78"/>
        <v>0.8</v>
      </c>
      <c r="J1264" s="24">
        <f t="shared" si="79"/>
        <v>0</v>
      </c>
      <c r="K1264" s="24">
        <f>IF(CurrentMtgRatesDataTable811[[#This Row],[WA CC]]&lt;&gt;0,D1263-CurrentMtgRatesDataTable811[[#This Row],[WA CC]],0)</f>
        <v>0</v>
      </c>
      <c r="L1264" s="24">
        <f>IF(CurrentMtgRatesDataTable811[[#This Row],[Servicing Spread]]&lt;=0,L1263,CurrentMtgRatesDataTable811[[#This Row],[Servicing Spread]])</f>
        <v>0.86312978072764812</v>
      </c>
      <c r="M1264" s="24">
        <f>CurrentMtgRatesDataTable811[[#This Row],[SeriesNumValue]]+CurrentMtgRatesDataTable811[[#This Row],[Servicing Spread Non-Zero]]</f>
        <v>3.890884252264478</v>
      </c>
    </row>
    <row r="1265" spans="2:13" x14ac:dyDescent="0.2">
      <c r="B1265" s="27" t="s">
        <v>1946</v>
      </c>
      <c r="C1265" s="28">
        <v>3.0337070171743399</v>
      </c>
      <c r="D1265" s="26">
        <v>3.87</v>
      </c>
      <c r="E1265" s="24">
        <f t="shared" si="76"/>
        <v>7</v>
      </c>
      <c r="F1265" s="24">
        <f>VLOOKUP(E1265,Q$5:R$11,2,FALSE)</f>
        <v>0.2</v>
      </c>
      <c r="G1265" s="24">
        <f t="shared" si="77"/>
        <v>5</v>
      </c>
      <c r="H1265" s="24">
        <f>IF(G1265&gt;G1264,H1264+C1265*F1265,C1265*F1265)</f>
        <v>2.9970137682684261</v>
      </c>
      <c r="I1265" s="24">
        <f t="shared" si="78"/>
        <v>1</v>
      </c>
      <c r="J1265" s="24">
        <f t="shared" si="79"/>
        <v>2.9970137682684261</v>
      </c>
      <c r="K1265" s="24">
        <f>IF(CurrentMtgRatesDataTable811[[#This Row],[WA CC]]&lt;&gt;0,D1264-CurrentMtgRatesDataTable811[[#This Row],[WA CC]],0)</f>
        <v>0.87298623173157397</v>
      </c>
      <c r="L1265" s="24">
        <f>IF(CurrentMtgRatesDataTable811[[#This Row],[Servicing Spread]]&lt;=0,L1264,CurrentMtgRatesDataTable811[[#This Row],[Servicing Spread]])</f>
        <v>0.87298623173157397</v>
      </c>
      <c r="M1265" s="24">
        <f>CurrentMtgRatesDataTable811[[#This Row],[SeriesNumValue]]+CurrentMtgRatesDataTable811[[#This Row],[Servicing Spread Non-Zero]]</f>
        <v>3.9066932489059139</v>
      </c>
    </row>
    <row r="1266" spans="2:13" x14ac:dyDescent="0.2">
      <c r="B1266" s="27" t="s">
        <v>1947</v>
      </c>
      <c r="C1266" s="31">
        <v>2.9938542795846499</v>
      </c>
      <c r="D1266" s="32">
        <v>3.86</v>
      </c>
      <c r="E1266" s="24">
        <f t="shared" si="76"/>
        <v>1</v>
      </c>
      <c r="F1266" s="24">
        <f>VLOOKUP(E1266,Q$5:R$11,2,FALSE)</f>
        <v>0.2</v>
      </c>
      <c r="G1266" s="24">
        <f t="shared" si="77"/>
        <v>1</v>
      </c>
      <c r="H1266" s="24">
        <f>IF(G1266&gt;G1265,H1265+C1266*F1266,C1266*F1266)</f>
        <v>0.59877085591693002</v>
      </c>
      <c r="I1266" s="24">
        <f t="shared" si="78"/>
        <v>0.2</v>
      </c>
      <c r="J1266" s="24">
        <f t="shared" si="79"/>
        <v>0</v>
      </c>
      <c r="K1266" s="24">
        <f>IF(CurrentMtgRatesDataTable811[[#This Row],[WA CC]]&lt;&gt;0,D1265-CurrentMtgRatesDataTable811[[#This Row],[WA CC]],0)</f>
        <v>0</v>
      </c>
      <c r="L1266" s="24">
        <f>IF(CurrentMtgRatesDataTable811[[#This Row],[Servicing Spread]]&lt;=0,L1265,CurrentMtgRatesDataTable811[[#This Row],[Servicing Spread]])</f>
        <v>0.87298623173157397</v>
      </c>
      <c r="M1266" s="24">
        <f>CurrentMtgRatesDataTable811[[#This Row],[SeriesNumValue]]+CurrentMtgRatesDataTable811[[#This Row],[Servicing Spread Non-Zero]]</f>
        <v>3.8668405113162239</v>
      </c>
    </row>
    <row r="1267" spans="2:13" x14ac:dyDescent="0.2">
      <c r="B1267" s="27" t="s">
        <v>1948</v>
      </c>
      <c r="C1267" s="31">
        <v>2.9654454819851401</v>
      </c>
      <c r="D1267" s="32">
        <v>3.86</v>
      </c>
      <c r="E1267" s="24">
        <f t="shared" si="76"/>
        <v>2</v>
      </c>
      <c r="F1267" s="24">
        <f>VLOOKUP(E1267,Q$5:R$11,2,FALSE)</f>
        <v>0.2</v>
      </c>
      <c r="G1267" s="24">
        <f t="shared" si="77"/>
        <v>2</v>
      </c>
      <c r="H1267" s="24">
        <f>IF(G1267&gt;G1266,H1266+C1267*F1267,C1267*F1267)</f>
        <v>1.1918599523139579</v>
      </c>
      <c r="I1267" s="24">
        <f t="shared" si="78"/>
        <v>0.4</v>
      </c>
      <c r="J1267" s="24">
        <f t="shared" si="79"/>
        <v>0</v>
      </c>
      <c r="K1267" s="24">
        <f>IF(CurrentMtgRatesDataTable811[[#This Row],[WA CC]]&lt;&gt;0,D1266-CurrentMtgRatesDataTable811[[#This Row],[WA CC]],0)</f>
        <v>0</v>
      </c>
      <c r="L1267" s="24">
        <f>IF(CurrentMtgRatesDataTable811[[#This Row],[Servicing Spread]]&lt;=0,L1266,CurrentMtgRatesDataTable811[[#This Row],[Servicing Spread]])</f>
        <v>0.87298623173157397</v>
      </c>
      <c r="M1267" s="24">
        <f>CurrentMtgRatesDataTable811[[#This Row],[SeriesNumValue]]+CurrentMtgRatesDataTable811[[#This Row],[Servicing Spread Non-Zero]]</f>
        <v>3.8384317137167141</v>
      </c>
    </row>
    <row r="1268" spans="2:13" x14ac:dyDescent="0.2">
      <c r="B1268" s="27" t="s">
        <v>1949</v>
      </c>
      <c r="C1268" s="31">
        <v>2.9731174036640602</v>
      </c>
      <c r="D1268" s="32">
        <v>3.86</v>
      </c>
      <c r="E1268" s="24">
        <f t="shared" si="76"/>
        <v>5</v>
      </c>
      <c r="F1268" s="24">
        <f>VLOOKUP(E1268,Q$5:R$11,2,FALSE)</f>
        <v>0.2</v>
      </c>
      <c r="G1268" s="24">
        <f t="shared" si="77"/>
        <v>3</v>
      </c>
      <c r="H1268" s="24">
        <f>IF(G1268&gt;G1267,H1267+C1268*F1268,C1268*F1268)</f>
        <v>1.78648343304677</v>
      </c>
      <c r="I1268" s="24">
        <f t="shared" si="78"/>
        <v>0.60000000000000009</v>
      </c>
      <c r="J1268" s="24">
        <f t="shared" si="79"/>
        <v>0</v>
      </c>
      <c r="K1268" s="24">
        <f>IF(CurrentMtgRatesDataTable811[[#This Row],[WA CC]]&lt;&gt;0,D1267-CurrentMtgRatesDataTable811[[#This Row],[WA CC]],0)</f>
        <v>0</v>
      </c>
      <c r="L1268" s="24">
        <f>IF(CurrentMtgRatesDataTable811[[#This Row],[Servicing Spread]]&lt;=0,L1267,CurrentMtgRatesDataTable811[[#This Row],[Servicing Spread]])</f>
        <v>0.87298623173157397</v>
      </c>
      <c r="M1268" s="24">
        <f>CurrentMtgRatesDataTable811[[#This Row],[SeriesNumValue]]+CurrentMtgRatesDataTable811[[#This Row],[Servicing Spread Non-Zero]]</f>
        <v>3.8461036353956342</v>
      </c>
    </row>
    <row r="1269" spans="2:13" x14ac:dyDescent="0.2">
      <c r="B1269" s="27" t="s">
        <v>1950</v>
      </c>
      <c r="C1269" s="31">
        <v>3.0177597197552002</v>
      </c>
      <c r="D1269" s="32">
        <v>3.86</v>
      </c>
      <c r="E1269" s="24">
        <f t="shared" si="76"/>
        <v>6</v>
      </c>
      <c r="F1269" s="24">
        <f>VLOOKUP(E1269,Q$5:R$11,2,FALSE)</f>
        <v>0.2</v>
      </c>
      <c r="G1269" s="24">
        <f t="shared" si="77"/>
        <v>4</v>
      </c>
      <c r="H1269" s="24">
        <f>IF(G1269&gt;G1268,H1268+C1269*F1269,C1269*F1269)</f>
        <v>2.39003537699781</v>
      </c>
      <c r="I1269" s="24">
        <f t="shared" si="78"/>
        <v>0.8</v>
      </c>
      <c r="J1269" s="24">
        <f t="shared" si="79"/>
        <v>0</v>
      </c>
      <c r="K1269" s="24">
        <f>IF(CurrentMtgRatesDataTable811[[#This Row],[WA CC]]&lt;&gt;0,D1268-CurrentMtgRatesDataTable811[[#This Row],[WA CC]],0)</f>
        <v>0</v>
      </c>
      <c r="L1269" s="24">
        <f>IF(CurrentMtgRatesDataTable811[[#This Row],[Servicing Spread]]&lt;=0,L1268,CurrentMtgRatesDataTable811[[#This Row],[Servicing Spread]])</f>
        <v>0.87298623173157397</v>
      </c>
      <c r="M1269" s="24">
        <f>CurrentMtgRatesDataTable811[[#This Row],[SeriesNumValue]]+CurrentMtgRatesDataTable811[[#This Row],[Servicing Spread Non-Zero]]</f>
        <v>3.8907459514867742</v>
      </c>
    </row>
    <row r="1270" spans="2:13" x14ac:dyDescent="0.2">
      <c r="B1270" s="27" t="s">
        <v>1951</v>
      </c>
      <c r="C1270" s="31">
        <v>3.0426080275796101</v>
      </c>
      <c r="D1270" s="32">
        <v>3.86</v>
      </c>
      <c r="E1270" s="24">
        <f t="shared" si="76"/>
        <v>7</v>
      </c>
      <c r="F1270" s="24">
        <f>VLOOKUP(E1270,Q$5:R$11,2,FALSE)</f>
        <v>0.2</v>
      </c>
      <c r="G1270" s="24">
        <f t="shared" si="77"/>
        <v>5</v>
      </c>
      <c r="H1270" s="24">
        <f>IF(G1270&gt;G1269,H1269+C1270*F1270,C1270*F1270)</f>
        <v>2.9985569825137319</v>
      </c>
      <c r="I1270" s="24">
        <f t="shared" si="78"/>
        <v>1</v>
      </c>
      <c r="J1270" s="24">
        <f t="shared" si="79"/>
        <v>2.9985569825137319</v>
      </c>
      <c r="K1270" s="24">
        <f>IF(CurrentMtgRatesDataTable811[[#This Row],[WA CC]]&lt;&gt;0,D1269-CurrentMtgRatesDataTable811[[#This Row],[WA CC]],0)</f>
        <v>0.86144301748626795</v>
      </c>
      <c r="L1270" s="24">
        <f>IF(CurrentMtgRatesDataTable811[[#This Row],[Servicing Spread]]&lt;=0,L1269,CurrentMtgRatesDataTable811[[#This Row],[Servicing Spread]])</f>
        <v>0.86144301748626795</v>
      </c>
      <c r="M1270" s="24">
        <f>CurrentMtgRatesDataTable811[[#This Row],[SeriesNumValue]]+CurrentMtgRatesDataTable811[[#This Row],[Servicing Spread Non-Zero]]</f>
        <v>3.9040510450658781</v>
      </c>
    </row>
    <row r="1271" spans="2:13" x14ac:dyDescent="0.2">
      <c r="B1271" s="27" t="s">
        <v>1952</v>
      </c>
      <c r="C1271" s="31">
        <v>3.0275766664066102</v>
      </c>
      <c r="D1271" s="32">
        <v>3.9099999999999997</v>
      </c>
      <c r="E1271" s="24">
        <f t="shared" si="76"/>
        <v>1</v>
      </c>
      <c r="F1271" s="24">
        <f>VLOOKUP(E1271,Q$5:R$11,2,FALSE)</f>
        <v>0.2</v>
      </c>
      <c r="G1271" s="24">
        <f t="shared" si="77"/>
        <v>1</v>
      </c>
      <c r="H1271" s="24">
        <f>IF(G1271&gt;G1270,H1270+C1271*F1271,C1271*F1271)</f>
        <v>0.60551533328132212</v>
      </c>
      <c r="I1271" s="24">
        <f t="shared" si="78"/>
        <v>0.2</v>
      </c>
      <c r="J1271" s="24">
        <f t="shared" si="79"/>
        <v>0</v>
      </c>
      <c r="K1271" s="24">
        <f>IF(CurrentMtgRatesDataTable811[[#This Row],[WA CC]]&lt;&gt;0,D1270-CurrentMtgRatesDataTable811[[#This Row],[WA CC]],0)</f>
        <v>0</v>
      </c>
      <c r="L1271" s="24">
        <f>IF(CurrentMtgRatesDataTable811[[#This Row],[Servicing Spread]]&lt;=0,L1270,CurrentMtgRatesDataTable811[[#This Row],[Servicing Spread]])</f>
        <v>0.86144301748626795</v>
      </c>
      <c r="M1271" s="24">
        <f>CurrentMtgRatesDataTable811[[#This Row],[SeriesNumValue]]+CurrentMtgRatesDataTable811[[#This Row],[Servicing Spread Non-Zero]]</f>
        <v>3.8890196838928781</v>
      </c>
    </row>
    <row r="1272" spans="2:13" x14ac:dyDescent="0.2">
      <c r="B1272" s="27" t="s">
        <v>1953</v>
      </c>
      <c r="C1272" s="31">
        <v>3.0029644484734299</v>
      </c>
      <c r="D1272" s="32">
        <v>3.9099999999999997</v>
      </c>
      <c r="E1272" s="24">
        <f t="shared" si="76"/>
        <v>5</v>
      </c>
      <c r="F1272" s="24">
        <f>VLOOKUP(E1272,Q$5:R$11,2,FALSE)</f>
        <v>0.2</v>
      </c>
      <c r="G1272" s="24">
        <f t="shared" si="77"/>
        <v>2</v>
      </c>
      <c r="H1272" s="24">
        <f>IF(G1272&gt;G1271,H1271+C1272*F1272,C1272*F1272)</f>
        <v>1.2061082229760083</v>
      </c>
      <c r="I1272" s="24">
        <f t="shared" si="78"/>
        <v>0.4</v>
      </c>
      <c r="J1272" s="24">
        <f t="shared" si="79"/>
        <v>0</v>
      </c>
      <c r="K1272" s="24">
        <f>IF(CurrentMtgRatesDataTable811[[#This Row],[WA CC]]&lt;&gt;0,D1271-CurrentMtgRatesDataTable811[[#This Row],[WA CC]],0)</f>
        <v>0</v>
      </c>
      <c r="L1272" s="24">
        <f>IF(CurrentMtgRatesDataTable811[[#This Row],[Servicing Spread]]&lt;=0,L1271,CurrentMtgRatesDataTable811[[#This Row],[Servicing Spread]])</f>
        <v>0.86144301748626795</v>
      </c>
      <c r="M1272" s="24">
        <f>CurrentMtgRatesDataTable811[[#This Row],[SeriesNumValue]]+CurrentMtgRatesDataTable811[[#This Row],[Servicing Spread Non-Zero]]</f>
        <v>3.8644074659596979</v>
      </c>
    </row>
    <row r="1273" spans="2:13" x14ac:dyDescent="0.2">
      <c r="B1273" s="27" t="s">
        <v>1954</v>
      </c>
      <c r="C1273" s="31">
        <v>3.05738829293283</v>
      </c>
      <c r="D1273" s="32">
        <v>3.9099999999999997</v>
      </c>
      <c r="E1273" s="24">
        <f t="shared" si="76"/>
        <v>6</v>
      </c>
      <c r="F1273" s="24">
        <f>VLOOKUP(E1273,Q$5:R$11,2,FALSE)</f>
        <v>0.2</v>
      </c>
      <c r="G1273" s="24">
        <f t="shared" si="77"/>
        <v>3</v>
      </c>
      <c r="H1273" s="24">
        <f>IF(G1273&gt;G1272,H1272+C1273*F1273,C1273*F1273)</f>
        <v>1.8175858815625743</v>
      </c>
      <c r="I1273" s="24">
        <f t="shared" si="78"/>
        <v>0.60000000000000009</v>
      </c>
      <c r="J1273" s="24">
        <f t="shared" si="79"/>
        <v>0</v>
      </c>
      <c r="K1273" s="24">
        <f>IF(CurrentMtgRatesDataTable811[[#This Row],[WA CC]]&lt;&gt;0,D1272-CurrentMtgRatesDataTable811[[#This Row],[WA CC]],0)</f>
        <v>0</v>
      </c>
      <c r="L1273" s="24">
        <f>IF(CurrentMtgRatesDataTable811[[#This Row],[Servicing Spread]]&lt;=0,L1272,CurrentMtgRatesDataTable811[[#This Row],[Servicing Spread]])</f>
        <v>0.86144301748626795</v>
      </c>
      <c r="M1273" s="24">
        <f>CurrentMtgRatesDataTable811[[#This Row],[SeriesNumValue]]+CurrentMtgRatesDataTable811[[#This Row],[Servicing Spread Non-Zero]]</f>
        <v>3.9188313104190979</v>
      </c>
    </row>
    <row r="1274" spans="2:13" x14ac:dyDescent="0.2">
      <c r="B1274" s="27" t="s">
        <v>1955</v>
      </c>
      <c r="C1274" s="31">
        <v>3.0484600868524701</v>
      </c>
      <c r="D1274" s="32">
        <v>3.9099999999999997</v>
      </c>
      <c r="E1274" s="24">
        <f t="shared" si="76"/>
        <v>7</v>
      </c>
      <c r="F1274" s="24">
        <f>VLOOKUP(E1274,Q$5:R$11,2,FALSE)</f>
        <v>0.2</v>
      </c>
      <c r="G1274" s="24">
        <f t="shared" si="77"/>
        <v>4</v>
      </c>
      <c r="H1274" s="24">
        <f>IF(G1274&gt;G1273,H1273+C1274*F1274,C1274*F1274)</f>
        <v>2.4272778989330686</v>
      </c>
      <c r="I1274" s="24">
        <f t="shared" si="78"/>
        <v>0.8</v>
      </c>
      <c r="J1274" s="24">
        <f t="shared" si="79"/>
        <v>3.0340973736663357</v>
      </c>
      <c r="K1274" s="24">
        <f>IF(CurrentMtgRatesDataTable811[[#This Row],[WA CC]]&lt;&gt;0,D1273-CurrentMtgRatesDataTable811[[#This Row],[WA CC]],0)</f>
        <v>0.875902626333664</v>
      </c>
      <c r="L1274" s="24">
        <f>IF(CurrentMtgRatesDataTable811[[#This Row],[Servicing Spread]]&lt;=0,L1273,CurrentMtgRatesDataTable811[[#This Row],[Servicing Spread]])</f>
        <v>0.875902626333664</v>
      </c>
      <c r="M1274" s="24">
        <f>CurrentMtgRatesDataTable811[[#This Row],[SeriesNumValue]]+CurrentMtgRatesDataTable811[[#This Row],[Servicing Spread Non-Zero]]</f>
        <v>3.9243627131861341</v>
      </c>
    </row>
    <row r="1275" spans="2:13" x14ac:dyDescent="0.2">
      <c r="B1275" s="27" t="s">
        <v>1956</v>
      </c>
      <c r="C1275" s="31">
        <v>3.0053894082817201</v>
      </c>
      <c r="D1275" s="32">
        <v>3.87</v>
      </c>
      <c r="E1275" s="24">
        <f t="shared" si="76"/>
        <v>1</v>
      </c>
      <c r="F1275" s="24">
        <f>VLOOKUP(E1275,Q$5:R$11,2,FALSE)</f>
        <v>0.2</v>
      </c>
      <c r="G1275" s="24">
        <f t="shared" si="77"/>
        <v>1</v>
      </c>
      <c r="H1275" s="24">
        <f>IF(G1275&gt;G1274,H1274+C1275*F1275,C1275*F1275)</f>
        <v>0.60107788165634402</v>
      </c>
      <c r="I1275" s="24">
        <f t="shared" si="78"/>
        <v>0.2</v>
      </c>
      <c r="J1275" s="24">
        <f t="shared" si="79"/>
        <v>0</v>
      </c>
      <c r="K1275" s="24">
        <f>IF(CurrentMtgRatesDataTable811[[#This Row],[WA CC]]&lt;&gt;0,D1274-CurrentMtgRatesDataTable811[[#This Row],[WA CC]],0)</f>
        <v>0</v>
      </c>
      <c r="L1275" s="24">
        <f>IF(CurrentMtgRatesDataTable811[[#This Row],[Servicing Spread]]&lt;=0,L1274,CurrentMtgRatesDataTable811[[#This Row],[Servicing Spread]])</f>
        <v>0.875902626333664</v>
      </c>
      <c r="M1275" s="24">
        <f>CurrentMtgRatesDataTable811[[#This Row],[SeriesNumValue]]+CurrentMtgRatesDataTable811[[#This Row],[Servicing Spread Non-Zero]]</f>
        <v>3.8812920346153841</v>
      </c>
    </row>
    <row r="1276" spans="2:13" x14ac:dyDescent="0.2">
      <c r="B1276" s="27" t="s">
        <v>1957</v>
      </c>
      <c r="C1276" s="31">
        <v>2.993452685197</v>
      </c>
      <c r="D1276" s="32">
        <v>3.87</v>
      </c>
      <c r="E1276" s="24">
        <f t="shared" si="76"/>
        <v>5</v>
      </c>
      <c r="F1276" s="24">
        <f>VLOOKUP(E1276,Q$5:R$11,2,FALSE)</f>
        <v>0.2</v>
      </c>
      <c r="G1276" s="24">
        <f t="shared" si="77"/>
        <v>2</v>
      </c>
      <c r="H1276" s="24">
        <f>IF(G1276&gt;G1275,H1275+C1276*F1276,C1276*F1276)</f>
        <v>1.199768418695744</v>
      </c>
      <c r="I1276" s="24">
        <f t="shared" si="78"/>
        <v>0.4</v>
      </c>
      <c r="J1276" s="24">
        <f t="shared" si="79"/>
        <v>0</v>
      </c>
      <c r="K1276" s="24">
        <f>IF(CurrentMtgRatesDataTable811[[#This Row],[WA CC]]&lt;&gt;0,D1275-CurrentMtgRatesDataTable811[[#This Row],[WA CC]],0)</f>
        <v>0</v>
      </c>
      <c r="L1276" s="24">
        <f>IF(CurrentMtgRatesDataTable811[[#This Row],[Servicing Spread]]&lt;=0,L1275,CurrentMtgRatesDataTable811[[#This Row],[Servicing Spread]])</f>
        <v>0.875902626333664</v>
      </c>
      <c r="M1276" s="24">
        <f>CurrentMtgRatesDataTable811[[#This Row],[SeriesNumValue]]+CurrentMtgRatesDataTable811[[#This Row],[Servicing Spread Non-Zero]]</f>
        <v>3.869355311530664</v>
      </c>
    </row>
    <row r="1277" spans="2:13" x14ac:dyDescent="0.2">
      <c r="B1277" s="27" t="s">
        <v>1958</v>
      </c>
      <c r="C1277" s="31">
        <v>2.99513727920968</v>
      </c>
      <c r="D1277" s="32">
        <v>3.87</v>
      </c>
      <c r="E1277" s="24">
        <f t="shared" si="76"/>
        <v>6</v>
      </c>
      <c r="F1277" s="24">
        <f>VLOOKUP(E1277,Q$5:R$11,2,FALSE)</f>
        <v>0.2</v>
      </c>
      <c r="G1277" s="24">
        <f t="shared" si="77"/>
        <v>3</v>
      </c>
      <c r="H1277" s="24">
        <f>IF(G1277&gt;G1276,H1276+C1277*F1277,C1277*F1277)</f>
        <v>1.7987958745376802</v>
      </c>
      <c r="I1277" s="24">
        <f t="shared" si="78"/>
        <v>0.60000000000000009</v>
      </c>
      <c r="J1277" s="24">
        <f t="shared" si="79"/>
        <v>0</v>
      </c>
      <c r="K1277" s="24">
        <f>IF(CurrentMtgRatesDataTable811[[#This Row],[WA CC]]&lt;&gt;0,D1276-CurrentMtgRatesDataTable811[[#This Row],[WA CC]],0)</f>
        <v>0</v>
      </c>
      <c r="L1277" s="24">
        <f>IF(CurrentMtgRatesDataTable811[[#This Row],[Servicing Spread]]&lt;=0,L1276,CurrentMtgRatesDataTable811[[#This Row],[Servicing Spread]])</f>
        <v>0.875902626333664</v>
      </c>
      <c r="M1277" s="24">
        <f>CurrentMtgRatesDataTable811[[#This Row],[SeriesNumValue]]+CurrentMtgRatesDataTable811[[#This Row],[Servicing Spread Non-Zero]]</f>
        <v>3.871039905543344</v>
      </c>
    </row>
    <row r="1278" spans="2:13" x14ac:dyDescent="0.2">
      <c r="B1278" s="27" t="s">
        <v>1959</v>
      </c>
      <c r="C1278" s="31">
        <v>2.9334005201837599</v>
      </c>
      <c r="D1278" s="32">
        <v>3.87</v>
      </c>
      <c r="E1278" s="24">
        <f t="shared" si="76"/>
        <v>7</v>
      </c>
      <c r="F1278" s="24">
        <f>VLOOKUP(E1278,Q$5:R$11,2,FALSE)</f>
        <v>0.2</v>
      </c>
      <c r="G1278" s="24">
        <f t="shared" si="77"/>
        <v>4</v>
      </c>
      <c r="H1278" s="24">
        <f>IF(G1278&gt;G1277,H1277+C1278*F1278,C1278*F1278)</f>
        <v>2.3854759785744322</v>
      </c>
      <c r="I1278" s="24">
        <f t="shared" si="78"/>
        <v>0.8</v>
      </c>
      <c r="J1278" s="24">
        <f t="shared" si="79"/>
        <v>2.9818449732180401</v>
      </c>
      <c r="K1278" s="24">
        <f>IF(CurrentMtgRatesDataTable811[[#This Row],[WA CC]]&lt;&gt;0,D1277-CurrentMtgRatesDataTable811[[#This Row],[WA CC]],0)</f>
        <v>0.88815502678196001</v>
      </c>
      <c r="L1278" s="24">
        <f>IF(CurrentMtgRatesDataTable811[[#This Row],[Servicing Spread]]&lt;=0,L1277,CurrentMtgRatesDataTable811[[#This Row],[Servicing Spread]])</f>
        <v>0.88815502678196001</v>
      </c>
      <c r="M1278" s="24">
        <f>CurrentMtgRatesDataTable811[[#This Row],[SeriesNumValue]]+CurrentMtgRatesDataTable811[[#This Row],[Servicing Spread Non-Zero]]</f>
        <v>3.8215555469657199</v>
      </c>
    </row>
    <row r="1279" spans="2:13" x14ac:dyDescent="0.2">
      <c r="B1279" s="27" t="s">
        <v>1960</v>
      </c>
      <c r="C1279" s="31">
        <v>2.9119506998989602</v>
      </c>
      <c r="D1279" s="32">
        <v>3.82</v>
      </c>
      <c r="E1279" s="24">
        <f t="shared" si="76"/>
        <v>1</v>
      </c>
      <c r="F1279" s="24">
        <f>VLOOKUP(E1279,Q$5:R$11,2,FALSE)</f>
        <v>0.2</v>
      </c>
      <c r="G1279" s="24">
        <f t="shared" si="77"/>
        <v>1</v>
      </c>
      <c r="H1279" s="24">
        <f>IF(G1279&gt;G1278,H1278+C1279*F1279,C1279*F1279)</f>
        <v>0.58239013997979205</v>
      </c>
      <c r="I1279" s="24">
        <f t="shared" si="78"/>
        <v>0.2</v>
      </c>
      <c r="J1279" s="24">
        <f t="shared" si="79"/>
        <v>0</v>
      </c>
      <c r="K1279" s="24">
        <f>IF(CurrentMtgRatesDataTable811[[#This Row],[WA CC]]&lt;&gt;0,D1278-CurrentMtgRatesDataTable811[[#This Row],[WA CC]],0)</f>
        <v>0</v>
      </c>
      <c r="L1279" s="24">
        <f>IF(CurrentMtgRatesDataTable811[[#This Row],[Servicing Spread]]&lt;=0,L1278,CurrentMtgRatesDataTable811[[#This Row],[Servicing Spread]])</f>
        <v>0.88815502678196001</v>
      </c>
      <c r="M1279" s="24">
        <f>CurrentMtgRatesDataTable811[[#This Row],[SeriesNumValue]]+CurrentMtgRatesDataTable811[[#This Row],[Servicing Spread Non-Zero]]</f>
        <v>3.8001057266809202</v>
      </c>
    </row>
    <row r="1280" spans="2:13" x14ac:dyDescent="0.2">
      <c r="B1280" s="27" t="s">
        <v>1961</v>
      </c>
      <c r="C1280" s="31">
        <v>2.88545680781831</v>
      </c>
      <c r="D1280" s="32">
        <v>3.82</v>
      </c>
      <c r="E1280" s="24">
        <f t="shared" si="76"/>
        <v>2</v>
      </c>
      <c r="F1280" s="24">
        <f>VLOOKUP(E1280,Q$5:R$11,2,FALSE)</f>
        <v>0.2</v>
      </c>
      <c r="G1280" s="24">
        <f t="shared" si="77"/>
        <v>2</v>
      </c>
      <c r="H1280" s="24">
        <f>IF(G1280&gt;G1279,H1279+C1280*F1280,C1280*F1280)</f>
        <v>1.1594815015434541</v>
      </c>
      <c r="I1280" s="24">
        <f t="shared" si="78"/>
        <v>0.4</v>
      </c>
      <c r="J1280" s="24">
        <f t="shared" si="79"/>
        <v>0</v>
      </c>
      <c r="K1280" s="24">
        <f>IF(CurrentMtgRatesDataTable811[[#This Row],[WA CC]]&lt;&gt;0,D1279-CurrentMtgRatesDataTable811[[#This Row],[WA CC]],0)</f>
        <v>0</v>
      </c>
      <c r="L1280" s="24">
        <f>IF(CurrentMtgRatesDataTable811[[#This Row],[Servicing Spread]]&lt;=0,L1279,CurrentMtgRatesDataTable811[[#This Row],[Servicing Spread]])</f>
        <v>0.88815502678196001</v>
      </c>
      <c r="M1280" s="24">
        <f>CurrentMtgRatesDataTable811[[#This Row],[SeriesNumValue]]+CurrentMtgRatesDataTable811[[#This Row],[Servicing Spread Non-Zero]]</f>
        <v>3.7736118346002701</v>
      </c>
    </row>
    <row r="1281" spans="2:13" x14ac:dyDescent="0.2">
      <c r="B1281" s="27" t="s">
        <v>1962</v>
      </c>
      <c r="C1281" s="31">
        <v>2.8978342309890999</v>
      </c>
      <c r="D1281" s="32">
        <v>3.82</v>
      </c>
      <c r="E1281" s="24">
        <f t="shared" si="76"/>
        <v>5</v>
      </c>
      <c r="F1281" s="24">
        <f>VLOOKUP(E1281,Q$5:R$11,2,FALSE)</f>
        <v>0.2</v>
      </c>
      <c r="G1281" s="24">
        <f t="shared" si="77"/>
        <v>3</v>
      </c>
      <c r="H1281" s="24">
        <f>IF(G1281&gt;G1280,H1280+C1281*F1281,C1281*F1281)</f>
        <v>1.7390483477412739</v>
      </c>
      <c r="I1281" s="24">
        <f t="shared" si="78"/>
        <v>0.60000000000000009</v>
      </c>
      <c r="J1281" s="24">
        <f t="shared" si="79"/>
        <v>0</v>
      </c>
      <c r="K1281" s="24">
        <f>IF(CurrentMtgRatesDataTable811[[#This Row],[WA CC]]&lt;&gt;0,D1280-CurrentMtgRatesDataTable811[[#This Row],[WA CC]],0)</f>
        <v>0</v>
      </c>
      <c r="L1281" s="24">
        <f>IF(CurrentMtgRatesDataTable811[[#This Row],[Servicing Spread]]&lt;=0,L1280,CurrentMtgRatesDataTable811[[#This Row],[Servicing Spread]])</f>
        <v>0.88815502678196001</v>
      </c>
      <c r="M1281" s="24">
        <f>CurrentMtgRatesDataTable811[[#This Row],[SeriesNumValue]]+CurrentMtgRatesDataTable811[[#This Row],[Servicing Spread Non-Zero]]</f>
        <v>3.7859892577710599</v>
      </c>
    </row>
    <row r="1282" spans="2:13" x14ac:dyDescent="0.2">
      <c r="B1282" s="27" t="s">
        <v>1963</v>
      </c>
      <c r="C1282" s="31">
        <v>2.8424738889513801</v>
      </c>
      <c r="D1282" s="32">
        <v>3.82</v>
      </c>
      <c r="E1282" s="24">
        <f t="shared" si="76"/>
        <v>6</v>
      </c>
      <c r="F1282" s="24">
        <f>VLOOKUP(E1282,Q$5:R$11,2,FALSE)</f>
        <v>0.2</v>
      </c>
      <c r="G1282" s="24">
        <f t="shared" si="77"/>
        <v>4</v>
      </c>
      <c r="H1282" s="24">
        <f>IF(G1282&gt;G1281,H1281+C1282*F1282,C1282*F1282)</f>
        <v>2.3075431255315499</v>
      </c>
      <c r="I1282" s="24">
        <f t="shared" si="78"/>
        <v>0.8</v>
      </c>
      <c r="J1282" s="24">
        <f t="shared" si="79"/>
        <v>0</v>
      </c>
      <c r="K1282" s="24">
        <f>IF(CurrentMtgRatesDataTable811[[#This Row],[WA CC]]&lt;&gt;0,D1281-CurrentMtgRatesDataTable811[[#This Row],[WA CC]],0)</f>
        <v>0</v>
      </c>
      <c r="L1282" s="24">
        <f>IF(CurrentMtgRatesDataTable811[[#This Row],[Servicing Spread]]&lt;=0,L1281,CurrentMtgRatesDataTable811[[#This Row],[Servicing Spread]])</f>
        <v>0.88815502678196001</v>
      </c>
      <c r="M1282" s="24">
        <f>CurrentMtgRatesDataTable811[[#This Row],[SeriesNumValue]]+CurrentMtgRatesDataTable811[[#This Row],[Servicing Spread Non-Zero]]</f>
        <v>3.7306289157333401</v>
      </c>
    </row>
    <row r="1283" spans="2:13" x14ac:dyDescent="0.2">
      <c r="B1283" s="27" t="s">
        <v>1964</v>
      </c>
      <c r="C1283" s="31">
        <v>2.8127941632470699</v>
      </c>
      <c r="D1283" s="32">
        <v>3.82</v>
      </c>
      <c r="E1283" s="24">
        <f t="shared" si="76"/>
        <v>7</v>
      </c>
      <c r="F1283" s="24">
        <f>VLOOKUP(E1283,Q$5:R$11,2,FALSE)</f>
        <v>0.2</v>
      </c>
      <c r="G1283" s="24">
        <f t="shared" si="77"/>
        <v>5</v>
      </c>
      <c r="H1283" s="24">
        <f>IF(G1283&gt;G1282,H1282+C1283*F1283,C1283*F1283)</f>
        <v>2.8701019581809639</v>
      </c>
      <c r="I1283" s="24">
        <f t="shared" si="78"/>
        <v>1</v>
      </c>
      <c r="J1283" s="24">
        <f t="shared" ref="J1283:J1287" si="80">IF(G1283&gt;G1284,H1283/I1283,0)</f>
        <v>2.8701019581809639</v>
      </c>
      <c r="K1283" s="24">
        <f>IF(CurrentMtgRatesDataTable811[[#This Row],[WA CC]]&lt;&gt;0,D1282-CurrentMtgRatesDataTable811[[#This Row],[WA CC]],0)</f>
        <v>0.94989804181903592</v>
      </c>
      <c r="L1283" s="24">
        <f>IF(CurrentMtgRatesDataTable811[[#This Row],[Servicing Spread]]&lt;=0,L1282,CurrentMtgRatesDataTable811[[#This Row],[Servicing Spread]])</f>
        <v>0.94989804181903592</v>
      </c>
      <c r="M1283" s="24">
        <f>CurrentMtgRatesDataTable811[[#This Row],[SeriesNumValue]]+CurrentMtgRatesDataTable811[[#This Row],[Servicing Spread Non-Zero]]</f>
        <v>3.7626922050661058</v>
      </c>
    </row>
    <row r="1284" spans="2:13" x14ac:dyDescent="0.2">
      <c r="B1284" s="27" t="s">
        <v>1965</v>
      </c>
      <c r="C1284" s="31">
        <v>2.82567876803239</v>
      </c>
      <c r="D1284" s="32">
        <v>3.71</v>
      </c>
      <c r="E1284" s="24">
        <f t="shared" si="76"/>
        <v>1</v>
      </c>
      <c r="F1284" s="24">
        <f>VLOOKUP(E1284,Q$5:R$11,2,FALSE)</f>
        <v>0.2</v>
      </c>
      <c r="G1284" s="24">
        <f t="shared" si="77"/>
        <v>1</v>
      </c>
      <c r="H1284" s="24">
        <f>IF(G1284&gt;G1283,H1283+C1284*F1284,C1284*F1284)</f>
        <v>0.56513575360647805</v>
      </c>
      <c r="I1284" s="24">
        <f t="shared" si="78"/>
        <v>0.2</v>
      </c>
      <c r="J1284" s="24">
        <f t="shared" si="80"/>
        <v>0</v>
      </c>
      <c r="K1284" s="24">
        <f>IF(CurrentMtgRatesDataTable811[[#This Row],[WA CC]]&lt;&gt;0,D1283-CurrentMtgRatesDataTable811[[#This Row],[WA CC]],0)</f>
        <v>0</v>
      </c>
      <c r="L1284" s="24">
        <f>IF(CurrentMtgRatesDataTable811[[#This Row],[Servicing Spread]]&lt;=0,L1283,CurrentMtgRatesDataTable811[[#This Row],[Servicing Spread]])</f>
        <v>0.94989804181903592</v>
      </c>
      <c r="M1284" s="24">
        <f>CurrentMtgRatesDataTable811[[#This Row],[SeriesNumValue]]+CurrentMtgRatesDataTable811[[#This Row],[Servicing Spread Non-Zero]]</f>
        <v>3.775576809851426</v>
      </c>
    </row>
    <row r="1285" spans="2:13" x14ac:dyDescent="0.2">
      <c r="B1285" s="27" t="s">
        <v>1966</v>
      </c>
      <c r="C1285" s="31">
        <v>2.78255799649583</v>
      </c>
      <c r="D1285" s="32">
        <v>3.71</v>
      </c>
      <c r="E1285" s="24">
        <f t="shared" si="76"/>
        <v>2</v>
      </c>
      <c r="F1285" s="24">
        <f>VLOOKUP(E1285,Q$5:R$11,2,FALSE)</f>
        <v>0.2</v>
      </c>
      <c r="G1285" s="24">
        <f t="shared" si="77"/>
        <v>2</v>
      </c>
      <c r="H1285" s="24">
        <f>IF(G1285&gt;G1284,H1284+C1285*F1285,C1285*F1285)</f>
        <v>1.1216473529056441</v>
      </c>
      <c r="I1285" s="24">
        <f t="shared" si="78"/>
        <v>0.4</v>
      </c>
      <c r="J1285" s="24">
        <f t="shared" si="80"/>
        <v>0</v>
      </c>
      <c r="K1285" s="24">
        <f>IF(CurrentMtgRatesDataTable811[[#This Row],[WA CC]]&lt;&gt;0,D1284-CurrentMtgRatesDataTable811[[#This Row],[WA CC]],0)</f>
        <v>0</v>
      </c>
      <c r="L1285" s="24">
        <f>IF(CurrentMtgRatesDataTable811[[#This Row],[Servicing Spread]]&lt;=0,L1284,CurrentMtgRatesDataTable811[[#This Row],[Servicing Spread]])</f>
        <v>0.94989804181903592</v>
      </c>
      <c r="M1285" s="24">
        <f>CurrentMtgRatesDataTable811[[#This Row],[SeriesNumValue]]+CurrentMtgRatesDataTable811[[#This Row],[Servicing Spread Non-Zero]]</f>
        <v>3.7324560383148659</v>
      </c>
    </row>
    <row r="1286" spans="2:13" x14ac:dyDescent="0.2">
      <c r="B1286" s="27" t="s">
        <v>1967</v>
      </c>
      <c r="C1286" s="31">
        <v>2.78837847860318</v>
      </c>
      <c r="D1286" s="32">
        <v>3.71</v>
      </c>
      <c r="E1286" s="24">
        <f t="shared" si="76"/>
        <v>6</v>
      </c>
      <c r="F1286" s="24">
        <f>VLOOKUP(E1286,Q$5:R$11,2,FALSE)</f>
        <v>0.2</v>
      </c>
      <c r="G1286" s="24">
        <f t="shared" si="77"/>
        <v>3</v>
      </c>
      <c r="H1286" s="24">
        <f>IF(G1286&gt;G1285,H1285+C1286*F1286,C1286*F1286)</f>
        <v>1.67932304862628</v>
      </c>
      <c r="I1286" s="24">
        <f t="shared" si="78"/>
        <v>0.60000000000000009</v>
      </c>
      <c r="J1286" s="24">
        <f t="shared" si="80"/>
        <v>0</v>
      </c>
      <c r="K1286" s="24">
        <f>IF(CurrentMtgRatesDataTable811[[#This Row],[WA CC]]&lt;&gt;0,D1285-CurrentMtgRatesDataTable811[[#This Row],[WA CC]],0)</f>
        <v>0</v>
      </c>
      <c r="L1286" s="24">
        <f>IF(CurrentMtgRatesDataTable811[[#This Row],[Servicing Spread]]&lt;=0,L1285,CurrentMtgRatesDataTable811[[#This Row],[Servicing Spread]])</f>
        <v>0.94989804181903592</v>
      </c>
      <c r="M1286" s="24">
        <f>CurrentMtgRatesDataTable811[[#This Row],[SeriesNumValue]]+CurrentMtgRatesDataTable811[[#This Row],[Servicing Spread Non-Zero]]</f>
        <v>3.7382765204222159</v>
      </c>
    </row>
    <row r="1287" spans="2:13" x14ac:dyDescent="0.2">
      <c r="B1287" s="27" t="s">
        <v>1968</v>
      </c>
      <c r="C1287" s="31">
        <v>2.7399955828051801</v>
      </c>
      <c r="D1287" s="32">
        <v>3.71</v>
      </c>
      <c r="E1287" s="24">
        <f t="shared" si="76"/>
        <v>7</v>
      </c>
      <c r="F1287" s="24">
        <f>VLOOKUP(E1287,Q$5:R$11,2,FALSE)</f>
        <v>0.2</v>
      </c>
      <c r="G1287" s="24">
        <f t="shared" si="77"/>
        <v>4</v>
      </c>
      <c r="H1287" s="24">
        <f>IF(G1287&gt;G1286,H1286+C1287*F1287,C1287*F1287)</f>
        <v>2.2273221651873163</v>
      </c>
      <c r="I1287" s="24">
        <f t="shared" si="78"/>
        <v>0.8</v>
      </c>
      <c r="J1287" s="24">
        <f t="shared" si="80"/>
        <v>2.7841527064841451</v>
      </c>
      <c r="K1287" s="24">
        <f>IF(CurrentMtgRatesDataTable811[[#This Row],[WA CC]]&lt;&gt;0,D1286-CurrentMtgRatesDataTable811[[#This Row],[WA CC]],0)</f>
        <v>0.92584729351585482</v>
      </c>
      <c r="L1287" s="24">
        <f>IF(CurrentMtgRatesDataTable811[[#This Row],[Servicing Spread]]&lt;=0,L1286,CurrentMtgRatesDataTable811[[#This Row],[Servicing Spread]])</f>
        <v>0.92584729351585482</v>
      </c>
      <c r="M1287" s="24">
        <f>CurrentMtgRatesDataTable811[[#This Row],[SeriesNumValue]]+CurrentMtgRatesDataTable811[[#This Row],[Servicing Spread Non-Zero]]</f>
        <v>3.6658428763210349</v>
      </c>
    </row>
    <row r="1288" spans="2:13" x14ac:dyDescent="0.2">
      <c r="B1288" s="27" t="s">
        <v>1999</v>
      </c>
      <c r="C1288" s="31"/>
      <c r="D1288" s="32"/>
      <c r="E1288" s="24"/>
      <c r="F1288" s="24"/>
      <c r="G1288" s="24"/>
      <c r="H1288" s="24"/>
      <c r="I1288" s="24"/>
      <c r="J1288" s="24"/>
      <c r="K1288" s="24"/>
      <c r="L1288" s="24"/>
      <c r="M1288" s="24"/>
    </row>
    <row r="1289" spans="2:13" x14ac:dyDescent="0.2">
      <c r="B1289" s="27" t="s">
        <v>2000</v>
      </c>
      <c r="C1289" s="31"/>
      <c r="D1289" s="32"/>
      <c r="E1289" s="24"/>
      <c r="F1289" s="24"/>
      <c r="G1289" s="24"/>
      <c r="H1289" s="24"/>
      <c r="I1289" s="24"/>
      <c r="J1289" s="24"/>
      <c r="K1289" s="24"/>
      <c r="L1289" s="24"/>
      <c r="M1289" s="24"/>
    </row>
    <row r="1290" spans="2:13" x14ac:dyDescent="0.2">
      <c r="B1290" s="27" t="s">
        <v>2001</v>
      </c>
      <c r="C1290" s="31"/>
      <c r="D1290" s="32"/>
      <c r="E1290" s="24"/>
      <c r="F1290" s="24"/>
      <c r="G1290" s="24"/>
      <c r="H1290" s="24"/>
      <c r="I1290" s="24"/>
      <c r="J1290" s="24"/>
      <c r="K1290" s="24"/>
      <c r="L1290" s="24"/>
      <c r="M1290" s="24"/>
    </row>
    <row r="1291" spans="2:13" x14ac:dyDescent="0.2">
      <c r="B1291" s="27" t="s">
        <v>2002</v>
      </c>
      <c r="C1291" s="31"/>
      <c r="D1291" s="32"/>
      <c r="E1291" s="24"/>
      <c r="F1291" s="24"/>
      <c r="G1291" s="24"/>
      <c r="H1291" s="24"/>
      <c r="I1291" s="24"/>
      <c r="J1291" s="24"/>
      <c r="K1291" s="24"/>
      <c r="L1291" s="24"/>
      <c r="M1291" s="24"/>
    </row>
    <row r="1292" spans="2:13" x14ac:dyDescent="0.2">
      <c r="B1292" s="27" t="s">
        <v>2003</v>
      </c>
      <c r="C1292" s="31"/>
      <c r="D1292" s="32"/>
      <c r="E1292" s="24"/>
      <c r="F1292" s="24"/>
      <c r="G1292" s="24"/>
      <c r="H1292" s="24"/>
      <c r="I1292" s="24"/>
      <c r="J1292" s="24"/>
      <c r="K1292" s="24"/>
      <c r="L1292" s="24"/>
      <c r="M1292" s="2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OAS and Media Effect</vt:lpstr>
      <vt:lpstr>Disclaimer</vt:lpstr>
      <vt:lpstr>Refi Universe</vt:lpstr>
      <vt:lpstr>Daily Refi</vt:lpstr>
      <vt:lpstr>'Refi Universe'!temp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Edwards</dc:creator>
  <cp:lastModifiedBy>Lien Chen</cp:lastModifiedBy>
  <dcterms:created xsi:type="dcterms:W3CDTF">2015-01-22T20:27:28Z</dcterms:created>
  <dcterms:modified xsi:type="dcterms:W3CDTF">2016-01-27T23:11:04Z</dcterms:modified>
</cp:coreProperties>
</file>