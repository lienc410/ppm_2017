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Distribution of 1 day yield chg" sheetId="2" r:id="rId1"/>
    <sheet name="Treasury Yield Curve Level&amp;chg" sheetId="4" r:id="rId2"/>
  </sheets>
  <externalReferences>
    <externalReference r:id="rId3"/>
  </externalReferences>
  <calcPr calcId="145621"/>
</workbook>
</file>

<file path=xl/calcChain.xml><?xml version="1.0" encoding="utf-8"?>
<calcChain xmlns="http://schemas.openxmlformats.org/spreadsheetml/2006/main">
  <c r="X8" i="2" l="1"/>
  <c r="X7" i="2"/>
  <c r="Y7" i="2"/>
  <c r="Z7" i="2"/>
  <c r="Y8" i="2"/>
  <c r="Z8" i="2"/>
  <c r="W8" i="2"/>
  <c r="W7" i="2"/>
  <c r="W6" i="2"/>
  <c r="C253" i="2"/>
  <c r="D253" i="2" s="1"/>
  <c r="F253" i="2"/>
  <c r="G253" i="2"/>
  <c r="C254" i="2"/>
  <c r="C255" i="2"/>
  <c r="G255" i="2" s="1"/>
  <c r="D255" i="2"/>
  <c r="E255" i="2"/>
  <c r="F255" i="2"/>
  <c r="C256" i="2"/>
  <c r="G256" i="2"/>
  <c r="C257" i="2"/>
  <c r="C258" i="2"/>
  <c r="D258" i="2" s="1"/>
  <c r="E258" i="2"/>
  <c r="F258" i="2"/>
  <c r="G258" i="2"/>
  <c r="C259" i="2"/>
  <c r="D259" i="2"/>
  <c r="E259" i="2"/>
  <c r="F259" i="2"/>
  <c r="G259" i="2"/>
  <c r="C260" i="2"/>
  <c r="C261" i="2"/>
  <c r="D261" i="2" s="1"/>
  <c r="F261" i="2"/>
  <c r="G261" i="2"/>
  <c r="C262" i="2"/>
  <c r="E262" i="2" s="1"/>
  <c r="C263" i="2"/>
  <c r="G263" i="2" s="1"/>
  <c r="D263" i="2"/>
  <c r="E263" i="2"/>
  <c r="F263" i="2"/>
  <c r="C264" i="2"/>
  <c r="G264" i="2"/>
  <c r="C265" i="2"/>
  <c r="D265" i="2" s="1"/>
  <c r="C266" i="2"/>
  <c r="D266" i="2" s="1"/>
  <c r="E266" i="2"/>
  <c r="F266" i="2"/>
  <c r="G266" i="2"/>
  <c r="C267" i="2"/>
  <c r="D267" i="2"/>
  <c r="E267" i="2"/>
  <c r="F267" i="2"/>
  <c r="G267" i="2"/>
  <c r="C268" i="2"/>
  <c r="F268" i="2" s="1"/>
  <c r="D268" i="2"/>
  <c r="C269" i="2"/>
  <c r="D269" i="2" s="1"/>
  <c r="F269" i="2"/>
  <c r="G269" i="2"/>
  <c r="C270" i="2"/>
  <c r="E270" i="2"/>
  <c r="C271" i="2"/>
  <c r="G271" i="2" s="1"/>
  <c r="D271" i="2"/>
  <c r="E271" i="2"/>
  <c r="F271" i="2"/>
  <c r="C272" i="2"/>
  <c r="C273" i="2"/>
  <c r="D273" i="2"/>
  <c r="F273" i="2"/>
  <c r="C274" i="2"/>
  <c r="D274" i="2" s="1"/>
  <c r="E274" i="2"/>
  <c r="F274" i="2"/>
  <c r="G274" i="2"/>
  <c r="C275" i="2"/>
  <c r="D275" i="2"/>
  <c r="E275" i="2"/>
  <c r="F275" i="2"/>
  <c r="G275" i="2"/>
  <c r="C276" i="2"/>
  <c r="F276" i="2" s="1"/>
  <c r="D276" i="2"/>
  <c r="E276" i="2"/>
  <c r="C277" i="2"/>
  <c r="D277" i="2" s="1"/>
  <c r="F277" i="2"/>
  <c r="G277" i="2"/>
  <c r="C278" i="2"/>
  <c r="E278" i="2"/>
  <c r="C279" i="2"/>
  <c r="G279" i="2" s="1"/>
  <c r="D279" i="2"/>
  <c r="E279" i="2"/>
  <c r="F279" i="2"/>
  <c r="C280" i="2"/>
  <c r="G280" i="2"/>
  <c r="C281" i="2"/>
  <c r="D281" i="2"/>
  <c r="F281" i="2"/>
  <c r="C282" i="2"/>
  <c r="C283" i="2"/>
  <c r="D283" i="2"/>
  <c r="E283" i="2"/>
  <c r="F283" i="2"/>
  <c r="G283" i="2"/>
  <c r="C284" i="2"/>
  <c r="F284" i="2" s="1"/>
  <c r="D284" i="2"/>
  <c r="E284" i="2"/>
  <c r="G284" i="2"/>
  <c r="C285" i="2"/>
  <c r="E285" i="2" s="1"/>
  <c r="D285" i="2"/>
  <c r="F285" i="2"/>
  <c r="G285" i="2"/>
  <c r="C286" i="2"/>
  <c r="D286" i="2" s="1"/>
  <c r="E286" i="2"/>
  <c r="F286" i="2"/>
  <c r="G286" i="2"/>
  <c r="C287" i="2"/>
  <c r="G287" i="2" s="1"/>
  <c r="D287" i="2"/>
  <c r="E287" i="2"/>
  <c r="F287" i="2"/>
  <c r="C288" i="2"/>
  <c r="F288" i="2" s="1"/>
  <c r="D288" i="2"/>
  <c r="E288" i="2"/>
  <c r="G288" i="2"/>
  <c r="C289" i="2"/>
  <c r="E289" i="2" s="1"/>
  <c r="D289" i="2"/>
  <c r="F289" i="2"/>
  <c r="G289" i="2"/>
  <c r="C290" i="2"/>
  <c r="D290" i="2" s="1"/>
  <c r="E290" i="2"/>
  <c r="F290" i="2"/>
  <c r="G290" i="2"/>
  <c r="C291" i="2"/>
  <c r="D291" i="2"/>
  <c r="E291" i="2"/>
  <c r="F291" i="2"/>
  <c r="G291" i="2"/>
  <c r="C292" i="2"/>
  <c r="F292" i="2" s="1"/>
  <c r="D292" i="2"/>
  <c r="E292" i="2"/>
  <c r="C293" i="2"/>
  <c r="E293" i="2" s="1"/>
  <c r="D293" i="2"/>
  <c r="F293" i="2"/>
  <c r="C294" i="2"/>
  <c r="D294" i="2" s="1"/>
  <c r="E294" i="2"/>
  <c r="F294" i="2"/>
  <c r="C295" i="2"/>
  <c r="G295" i="2" s="1"/>
  <c r="D295" i="2"/>
  <c r="E295" i="2"/>
  <c r="F295" i="2"/>
  <c r="C296" i="2"/>
  <c r="F296" i="2" s="1"/>
  <c r="D296" i="2"/>
  <c r="E296" i="2"/>
  <c r="C297" i="2"/>
  <c r="E297" i="2" s="1"/>
  <c r="D297" i="2"/>
  <c r="F297" i="2"/>
  <c r="C298" i="2"/>
  <c r="D298" i="2" s="1"/>
  <c r="E298" i="2"/>
  <c r="F298" i="2"/>
  <c r="C299" i="2"/>
  <c r="D299" i="2"/>
  <c r="E299" i="2"/>
  <c r="F299" i="2"/>
  <c r="G299" i="2"/>
  <c r="C300" i="2"/>
  <c r="F300" i="2" s="1"/>
  <c r="D300" i="2"/>
  <c r="C301" i="2"/>
  <c r="D301" i="2" s="1"/>
  <c r="C302" i="2"/>
  <c r="D302" i="2" s="1"/>
  <c r="E302" i="2"/>
  <c r="C303" i="2"/>
  <c r="G303" i="2" s="1"/>
  <c r="D303" i="2"/>
  <c r="E303" i="2"/>
  <c r="F303" i="2"/>
  <c r="C304" i="2"/>
  <c r="D304" i="2" s="1"/>
  <c r="C305" i="2"/>
  <c r="D305" i="2"/>
  <c r="C306" i="2"/>
  <c r="E306" i="2"/>
  <c r="C307" i="2"/>
  <c r="D307" i="2"/>
  <c r="E307" i="2"/>
  <c r="F307" i="2"/>
  <c r="G307" i="2"/>
  <c r="C308" i="2"/>
  <c r="G308" i="2" s="1"/>
  <c r="C309" i="2"/>
  <c r="G309" i="2"/>
  <c r="C310" i="2"/>
  <c r="C311" i="2"/>
  <c r="G311" i="2" s="1"/>
  <c r="D311" i="2"/>
  <c r="E311" i="2"/>
  <c r="F311" i="2"/>
  <c r="C312" i="2"/>
  <c r="G312" i="2"/>
  <c r="C313" i="2"/>
  <c r="C314" i="2"/>
  <c r="G314" i="2"/>
  <c r="C315" i="2"/>
  <c r="D315" i="2"/>
  <c r="E315" i="2"/>
  <c r="F315" i="2"/>
  <c r="G315" i="2"/>
  <c r="C316" i="2"/>
  <c r="F316" i="2" s="1"/>
  <c r="D316" i="2"/>
  <c r="E316" i="2"/>
  <c r="G316" i="2"/>
  <c r="C317" i="2"/>
  <c r="E317" i="2" s="1"/>
  <c r="D317" i="2"/>
  <c r="F317" i="2"/>
  <c r="G317" i="2"/>
  <c r="C318" i="2"/>
  <c r="D318" i="2" s="1"/>
  <c r="E318" i="2"/>
  <c r="F318" i="2"/>
  <c r="G318" i="2"/>
  <c r="C319" i="2"/>
  <c r="G319" i="2" s="1"/>
  <c r="D319" i="2"/>
  <c r="E319" i="2"/>
  <c r="F319" i="2"/>
  <c r="C320" i="2"/>
  <c r="F320" i="2" s="1"/>
  <c r="D320" i="2"/>
  <c r="E320" i="2"/>
  <c r="G320" i="2"/>
  <c r="C321" i="2"/>
  <c r="E321" i="2" s="1"/>
  <c r="D321" i="2"/>
  <c r="F321" i="2"/>
  <c r="G321" i="2"/>
  <c r="C322" i="2"/>
  <c r="D322" i="2" s="1"/>
  <c r="E322" i="2"/>
  <c r="F322" i="2"/>
  <c r="G322" i="2"/>
  <c r="C323" i="2"/>
  <c r="D323" i="2"/>
  <c r="E323" i="2"/>
  <c r="F323" i="2"/>
  <c r="G323" i="2"/>
  <c r="C324" i="2"/>
  <c r="F324" i="2" s="1"/>
  <c r="D324" i="2"/>
  <c r="E324" i="2"/>
  <c r="C325" i="2"/>
  <c r="E325" i="2" s="1"/>
  <c r="D325" i="2"/>
  <c r="F325" i="2"/>
  <c r="C326" i="2"/>
  <c r="D326" i="2" s="1"/>
  <c r="E326" i="2"/>
  <c r="F326" i="2"/>
  <c r="C327" i="2"/>
  <c r="G327" i="2" s="1"/>
  <c r="D327" i="2"/>
  <c r="E327" i="2"/>
  <c r="C328" i="2"/>
  <c r="F328" i="2" s="1"/>
  <c r="D328" i="2"/>
  <c r="E328" i="2"/>
  <c r="C329" i="2"/>
  <c r="D329" i="2" s="1"/>
  <c r="C330" i="2"/>
  <c r="G330" i="2" s="1"/>
  <c r="D330" i="2"/>
  <c r="C331" i="2"/>
  <c r="D331" i="2"/>
  <c r="E331" i="2"/>
  <c r="F331" i="2"/>
  <c r="G331" i="2"/>
  <c r="C332" i="2"/>
  <c r="F332" i="2" s="1"/>
  <c r="D332" i="2"/>
  <c r="E332" i="2"/>
  <c r="G332" i="2"/>
  <c r="C333" i="2"/>
  <c r="D333" i="2"/>
  <c r="E333" i="2"/>
  <c r="F333" i="2"/>
  <c r="G333" i="2"/>
  <c r="C334" i="2"/>
  <c r="D334" i="2" s="1"/>
  <c r="E334" i="2"/>
  <c r="F334" i="2"/>
  <c r="C335" i="2"/>
  <c r="G335" i="2" s="1"/>
  <c r="D335" i="2"/>
  <c r="E335" i="2"/>
  <c r="C336" i="2"/>
  <c r="F336" i="2" s="1"/>
  <c r="D336" i="2"/>
  <c r="E336" i="2"/>
  <c r="G336" i="2"/>
  <c r="C337" i="2"/>
  <c r="D337" i="2"/>
  <c r="C338" i="2"/>
  <c r="G338" i="2" s="1"/>
  <c r="C339" i="2"/>
  <c r="D339" i="2"/>
  <c r="E339" i="2"/>
  <c r="F339" i="2"/>
  <c r="G339" i="2"/>
  <c r="C340" i="2"/>
  <c r="F340" i="2" s="1"/>
  <c r="D340" i="2"/>
  <c r="E340" i="2"/>
  <c r="G340" i="2"/>
  <c r="C341" i="2"/>
  <c r="G341" i="2" s="1"/>
  <c r="D341" i="2"/>
  <c r="E341" i="2"/>
  <c r="F341" i="2"/>
  <c r="C342" i="2"/>
  <c r="D342" i="2" s="1"/>
  <c r="E342" i="2"/>
  <c r="F342" i="2"/>
  <c r="C343" i="2"/>
  <c r="G343" i="2" s="1"/>
  <c r="D343" i="2"/>
  <c r="E343" i="2"/>
  <c r="C344" i="2"/>
  <c r="F344" i="2" s="1"/>
  <c r="D344" i="2"/>
  <c r="E344" i="2"/>
  <c r="C345" i="2"/>
  <c r="D345" i="2" s="1"/>
  <c r="C346" i="2"/>
  <c r="G346" i="2" s="1"/>
  <c r="D346" i="2"/>
  <c r="C347" i="2"/>
  <c r="D347" i="2"/>
  <c r="E347" i="2"/>
  <c r="F347" i="2"/>
  <c r="G347" i="2"/>
  <c r="C348" i="2"/>
  <c r="F348" i="2" s="1"/>
  <c r="D348" i="2"/>
  <c r="E348" i="2"/>
  <c r="G348" i="2"/>
  <c r="C349" i="2"/>
  <c r="D349" i="2"/>
  <c r="E349" i="2"/>
  <c r="F349" i="2"/>
  <c r="G349" i="2"/>
  <c r="C350" i="2"/>
  <c r="D350" i="2" s="1"/>
  <c r="E350" i="2"/>
  <c r="F350" i="2"/>
  <c r="C351" i="2"/>
  <c r="G351" i="2" s="1"/>
  <c r="D351" i="2"/>
  <c r="E351" i="2"/>
  <c r="C352" i="2"/>
  <c r="F352" i="2" s="1"/>
  <c r="D352" i="2"/>
  <c r="E352" i="2"/>
  <c r="G352" i="2"/>
  <c r="C353" i="2"/>
  <c r="D353" i="2"/>
  <c r="C354" i="2"/>
  <c r="C355" i="2"/>
  <c r="D355" i="2"/>
  <c r="E355" i="2"/>
  <c r="F355" i="2"/>
  <c r="G355" i="2"/>
  <c r="C356" i="2"/>
  <c r="F356" i="2" s="1"/>
  <c r="D356" i="2"/>
  <c r="E356" i="2"/>
  <c r="G356" i="2"/>
  <c r="C357" i="2"/>
  <c r="G357" i="2" s="1"/>
  <c r="D357" i="2"/>
  <c r="E357" i="2"/>
  <c r="F357" i="2"/>
  <c r="C358" i="2"/>
  <c r="D358" i="2" s="1"/>
  <c r="E358" i="2"/>
  <c r="F358" i="2"/>
  <c r="C359" i="2"/>
  <c r="G359" i="2" s="1"/>
  <c r="D359" i="2"/>
  <c r="E359" i="2"/>
  <c r="C360" i="2"/>
  <c r="F360" i="2" s="1"/>
  <c r="D360" i="2"/>
  <c r="E360" i="2"/>
  <c r="C361" i="2"/>
  <c r="D361" i="2" s="1"/>
  <c r="C362" i="2"/>
  <c r="G362" i="2" s="1"/>
  <c r="D362" i="2"/>
  <c r="C363" i="2"/>
  <c r="D363" i="2"/>
  <c r="E363" i="2"/>
  <c r="F363" i="2"/>
  <c r="G363" i="2"/>
  <c r="C364" i="2"/>
  <c r="F364" i="2" s="1"/>
  <c r="D364" i="2"/>
  <c r="E364" i="2"/>
  <c r="G364" i="2"/>
  <c r="C365" i="2"/>
  <c r="D365" i="2"/>
  <c r="E365" i="2"/>
  <c r="F365" i="2"/>
  <c r="G365" i="2"/>
  <c r="C366" i="2"/>
  <c r="D366" i="2" s="1"/>
  <c r="E366" i="2"/>
  <c r="F366" i="2"/>
  <c r="C367" i="2"/>
  <c r="G367" i="2" s="1"/>
  <c r="D367" i="2"/>
  <c r="E367" i="2"/>
  <c r="C368" i="2"/>
  <c r="F368" i="2" s="1"/>
  <c r="D368" i="2"/>
  <c r="E368" i="2"/>
  <c r="G368" i="2"/>
  <c r="C369" i="2"/>
  <c r="D369" i="2"/>
  <c r="C370" i="2"/>
  <c r="C371" i="2"/>
  <c r="D371" i="2"/>
  <c r="E371" i="2"/>
  <c r="F371" i="2"/>
  <c r="G371" i="2"/>
  <c r="C372" i="2"/>
  <c r="F372" i="2" s="1"/>
  <c r="D372" i="2"/>
  <c r="E372" i="2"/>
  <c r="G372" i="2"/>
  <c r="C373" i="2"/>
  <c r="G373" i="2" s="1"/>
  <c r="D373" i="2"/>
  <c r="E373" i="2"/>
  <c r="F373" i="2"/>
  <c r="C374" i="2"/>
  <c r="D374" i="2" s="1"/>
  <c r="E374" i="2"/>
  <c r="F374" i="2"/>
  <c r="C375" i="2"/>
  <c r="G375" i="2" s="1"/>
  <c r="D375" i="2"/>
  <c r="E375" i="2"/>
  <c r="C376" i="2"/>
  <c r="F376" i="2" s="1"/>
  <c r="D376" i="2"/>
  <c r="E376" i="2"/>
  <c r="C377" i="2"/>
  <c r="D377" i="2" s="1"/>
  <c r="C378" i="2"/>
  <c r="G378" i="2" s="1"/>
  <c r="D378" i="2"/>
  <c r="C379" i="2"/>
  <c r="D379" i="2"/>
  <c r="E379" i="2"/>
  <c r="F379" i="2"/>
  <c r="G379" i="2"/>
  <c r="C380" i="2"/>
  <c r="F380" i="2" s="1"/>
  <c r="D380" i="2"/>
  <c r="E380" i="2"/>
  <c r="G380" i="2"/>
  <c r="C381" i="2"/>
  <c r="D381" i="2"/>
  <c r="E381" i="2"/>
  <c r="F381" i="2"/>
  <c r="G381" i="2"/>
  <c r="C382" i="2"/>
  <c r="D382" i="2" s="1"/>
  <c r="E382" i="2"/>
  <c r="F382" i="2"/>
  <c r="C383" i="2"/>
  <c r="G383" i="2" s="1"/>
  <c r="D383" i="2"/>
  <c r="E383" i="2"/>
  <c r="C384" i="2"/>
  <c r="F384" i="2" s="1"/>
  <c r="D384" i="2"/>
  <c r="E384" i="2"/>
  <c r="G384" i="2"/>
  <c r="C385" i="2"/>
  <c r="D385" i="2"/>
  <c r="C386" i="2"/>
  <c r="G386" i="2" s="1"/>
  <c r="C387" i="2"/>
  <c r="D387" i="2"/>
  <c r="E387" i="2"/>
  <c r="F387" i="2"/>
  <c r="G387" i="2"/>
  <c r="C388" i="2"/>
  <c r="F388" i="2" s="1"/>
  <c r="D388" i="2"/>
  <c r="E388" i="2"/>
  <c r="G388" i="2"/>
  <c r="C389" i="2"/>
  <c r="G389" i="2" s="1"/>
  <c r="D389" i="2"/>
  <c r="E389" i="2"/>
  <c r="F389" i="2"/>
  <c r="C390" i="2"/>
  <c r="C391" i="2"/>
  <c r="G391" i="2" s="1"/>
  <c r="D391" i="2"/>
  <c r="E391" i="2"/>
  <c r="C392" i="2"/>
  <c r="D392" i="2"/>
  <c r="E392" i="2"/>
  <c r="C393" i="2"/>
  <c r="D393" i="2" s="1"/>
  <c r="G393" i="2"/>
  <c r="C394" i="2"/>
  <c r="D394" i="2" s="1"/>
  <c r="C395" i="2"/>
  <c r="D395" i="2"/>
  <c r="E395" i="2"/>
  <c r="F395" i="2"/>
  <c r="G395" i="2"/>
  <c r="C396" i="2"/>
  <c r="F396" i="2" s="1"/>
  <c r="D396" i="2"/>
  <c r="E396" i="2"/>
  <c r="G396" i="2"/>
  <c r="C397" i="2"/>
  <c r="D397" i="2"/>
  <c r="E397" i="2"/>
  <c r="F397" i="2"/>
  <c r="G397" i="2"/>
  <c r="C398" i="2"/>
  <c r="D398" i="2" s="1"/>
  <c r="E398" i="2"/>
  <c r="F398" i="2"/>
  <c r="C399" i="2"/>
  <c r="C400" i="2"/>
  <c r="F400" i="2" s="1"/>
  <c r="D400" i="2"/>
  <c r="E400" i="2"/>
  <c r="G400" i="2"/>
  <c r="C401" i="2"/>
  <c r="D401" i="2"/>
  <c r="C402" i="2"/>
  <c r="E402" i="2" s="1"/>
  <c r="F402" i="2"/>
  <c r="G402" i="2"/>
  <c r="C403" i="2"/>
  <c r="D403" i="2"/>
  <c r="E403" i="2"/>
  <c r="F403" i="2"/>
  <c r="G403" i="2"/>
  <c r="C404" i="2"/>
  <c r="F404" i="2" s="1"/>
  <c r="D404" i="2"/>
  <c r="E404" i="2"/>
  <c r="G404" i="2"/>
  <c r="C405" i="2"/>
  <c r="G405" i="2" s="1"/>
  <c r="D405" i="2"/>
  <c r="E405" i="2"/>
  <c r="F405" i="2"/>
  <c r="C406" i="2"/>
  <c r="E406" i="2"/>
  <c r="F406" i="2"/>
  <c r="C407" i="2"/>
  <c r="G407" i="2" s="1"/>
  <c r="D407" i="2"/>
  <c r="E407" i="2"/>
  <c r="C408" i="2"/>
  <c r="C409" i="2"/>
  <c r="G409" i="2" s="1"/>
  <c r="D409" i="2"/>
  <c r="C410" i="2"/>
  <c r="D410" i="2"/>
  <c r="G410" i="2"/>
  <c r="C411" i="2"/>
  <c r="D411" i="2"/>
  <c r="E411" i="2"/>
  <c r="F411" i="2"/>
  <c r="G411" i="2"/>
  <c r="C412" i="2"/>
  <c r="F412" i="2" s="1"/>
  <c r="D412" i="2"/>
  <c r="E412" i="2"/>
  <c r="G412" i="2"/>
  <c r="C413" i="2"/>
  <c r="D413" i="2"/>
  <c r="E413" i="2"/>
  <c r="F413" i="2"/>
  <c r="G413" i="2"/>
  <c r="C414" i="2"/>
  <c r="D414" i="2" s="1"/>
  <c r="E414" i="2"/>
  <c r="F414" i="2"/>
  <c r="C415" i="2"/>
  <c r="D415" i="2"/>
  <c r="E415" i="2"/>
  <c r="C416" i="2"/>
  <c r="F416" i="2" s="1"/>
  <c r="D416" i="2"/>
  <c r="E416" i="2"/>
  <c r="G416" i="2"/>
  <c r="C417" i="2"/>
  <c r="D417" i="2" s="1"/>
  <c r="C418" i="2"/>
  <c r="E418" i="2" s="1"/>
  <c r="D418" i="2"/>
  <c r="G418" i="2"/>
  <c r="C419" i="2"/>
  <c r="D419" i="2"/>
  <c r="E419" i="2"/>
  <c r="F419" i="2"/>
  <c r="G419" i="2"/>
  <c r="C420" i="2"/>
  <c r="F420" i="2" s="1"/>
  <c r="D420" i="2"/>
  <c r="E420" i="2"/>
  <c r="G420" i="2"/>
  <c r="C421" i="2"/>
  <c r="G421" i="2" s="1"/>
  <c r="D421" i="2"/>
  <c r="E421" i="2"/>
  <c r="F421" i="2"/>
  <c r="C422" i="2"/>
  <c r="E422" i="2" s="1"/>
  <c r="C423" i="2"/>
  <c r="F423" i="2" s="1"/>
  <c r="D423" i="2"/>
  <c r="E423" i="2"/>
  <c r="G423" i="2"/>
  <c r="C424" i="2"/>
  <c r="G424" i="2" s="1"/>
  <c r="D424" i="2"/>
  <c r="C425" i="2"/>
  <c r="D425" i="2" s="1"/>
  <c r="E425" i="2"/>
  <c r="F425" i="2"/>
  <c r="C426" i="2"/>
  <c r="G426" i="2" s="1"/>
  <c r="D426" i="2"/>
  <c r="E426" i="2"/>
  <c r="F426" i="2"/>
  <c r="C427" i="2"/>
  <c r="D427" i="2"/>
  <c r="E427" i="2"/>
  <c r="C428" i="2"/>
  <c r="E428" i="2" s="1"/>
  <c r="F428" i="2"/>
  <c r="G428" i="2"/>
  <c r="C429" i="2"/>
  <c r="F429" i="2"/>
  <c r="G429" i="2"/>
  <c r="C430" i="2"/>
  <c r="D430" i="2"/>
  <c r="E430" i="2"/>
  <c r="F430" i="2"/>
  <c r="G430" i="2"/>
  <c r="C431" i="2"/>
  <c r="F431" i="2" s="1"/>
  <c r="D431" i="2"/>
  <c r="E431" i="2"/>
  <c r="G431" i="2"/>
  <c r="C432" i="2"/>
  <c r="D432" i="2" s="1"/>
  <c r="G432" i="2"/>
  <c r="C433" i="2"/>
  <c r="D433" i="2" s="1"/>
  <c r="G433" i="2"/>
  <c r="C434" i="2"/>
  <c r="G434" i="2" s="1"/>
  <c r="D434" i="2"/>
  <c r="E434" i="2"/>
  <c r="F434" i="2"/>
  <c r="C435" i="2"/>
  <c r="D435" i="2" s="1"/>
  <c r="C436" i="2"/>
  <c r="E436" i="2" s="1"/>
  <c r="D436" i="2"/>
  <c r="C437" i="2"/>
  <c r="G437" i="2" s="1"/>
  <c r="F437" i="2"/>
  <c r="C438" i="2"/>
  <c r="D438" i="2"/>
  <c r="E438" i="2"/>
  <c r="F438" i="2"/>
  <c r="G438" i="2"/>
  <c r="C439" i="2"/>
  <c r="F439" i="2" s="1"/>
  <c r="D439" i="2"/>
  <c r="E439" i="2"/>
  <c r="G439" i="2"/>
  <c r="C440" i="2"/>
  <c r="D440" i="2"/>
  <c r="C441" i="2"/>
  <c r="D441" i="2" s="1"/>
  <c r="E441" i="2"/>
  <c r="F441" i="2"/>
  <c r="C442" i="2"/>
  <c r="G442" i="2" s="1"/>
  <c r="D442" i="2"/>
  <c r="E442" i="2"/>
  <c r="F442" i="2"/>
  <c r="C443" i="2"/>
  <c r="D443" i="2"/>
  <c r="E443" i="2"/>
  <c r="C444" i="2"/>
  <c r="E444" i="2" s="1"/>
  <c r="D444" i="2"/>
  <c r="F444" i="2"/>
  <c r="G444" i="2"/>
  <c r="C445" i="2"/>
  <c r="F445" i="2" s="1"/>
  <c r="G445" i="2"/>
  <c r="C446" i="2"/>
  <c r="D446" i="2"/>
  <c r="E446" i="2"/>
  <c r="F446" i="2"/>
  <c r="G446" i="2"/>
  <c r="C447" i="2"/>
  <c r="F447" i="2" s="1"/>
  <c r="D447" i="2"/>
  <c r="E447" i="2"/>
  <c r="G447" i="2"/>
  <c r="C448" i="2"/>
  <c r="D448" i="2"/>
  <c r="G448" i="2"/>
  <c r="C449" i="2"/>
  <c r="D449" i="2" s="1"/>
  <c r="C450" i="2"/>
  <c r="G450" i="2" s="1"/>
  <c r="D450" i="2"/>
  <c r="E450" i="2"/>
  <c r="F450" i="2"/>
  <c r="C451" i="2"/>
  <c r="C452" i="2"/>
  <c r="E452" i="2" s="1"/>
  <c r="D452" i="2"/>
  <c r="G452" i="2"/>
  <c r="C453" i="2"/>
  <c r="F453" i="2"/>
  <c r="AA8" i="2" l="1"/>
  <c r="AA7" i="2"/>
  <c r="F451" i="2"/>
  <c r="G451" i="2"/>
  <c r="F408" i="2"/>
  <c r="G408" i="2"/>
  <c r="D390" i="2"/>
  <c r="G390" i="2"/>
  <c r="E354" i="2"/>
  <c r="F354" i="2"/>
  <c r="D272" i="2"/>
  <c r="E272" i="2"/>
  <c r="F272" i="2"/>
  <c r="G272" i="2"/>
  <c r="E435" i="2"/>
  <c r="F433" i="2"/>
  <c r="F427" i="2"/>
  <c r="G427" i="2"/>
  <c r="F422" i="2"/>
  <c r="E410" i="2"/>
  <c r="F410" i="2"/>
  <c r="G394" i="2"/>
  <c r="F392" i="2"/>
  <c r="G392" i="2"/>
  <c r="E385" i="2"/>
  <c r="F385" i="2"/>
  <c r="G385" i="2"/>
  <c r="E369" i="2"/>
  <c r="F369" i="2"/>
  <c r="G369" i="2"/>
  <c r="E353" i="2"/>
  <c r="F353" i="2"/>
  <c r="G353" i="2"/>
  <c r="E337" i="2"/>
  <c r="F337" i="2"/>
  <c r="G337" i="2"/>
  <c r="F312" i="2"/>
  <c r="D312" i="2"/>
  <c r="E312" i="2"/>
  <c r="E309" i="2"/>
  <c r="D309" i="2"/>
  <c r="F309" i="2"/>
  <c r="F452" i="2"/>
  <c r="E448" i="2"/>
  <c r="F448" i="2"/>
  <c r="G441" i="2"/>
  <c r="E433" i="2"/>
  <c r="D429" i="2"/>
  <c r="E429" i="2"/>
  <c r="F418" i="2"/>
  <c r="D306" i="2"/>
  <c r="F306" i="2"/>
  <c r="G306" i="2"/>
  <c r="D282" i="2"/>
  <c r="E282" i="2"/>
  <c r="F282" i="2"/>
  <c r="G282" i="2"/>
  <c r="F260" i="2"/>
  <c r="D260" i="2"/>
  <c r="G260" i="2"/>
  <c r="E260" i="2"/>
  <c r="G399" i="2"/>
  <c r="F399" i="2"/>
  <c r="E370" i="2"/>
  <c r="F370" i="2"/>
  <c r="E401" i="2"/>
  <c r="F401" i="2"/>
  <c r="G401" i="2"/>
  <c r="E394" i="2"/>
  <c r="F394" i="2"/>
  <c r="G449" i="2"/>
  <c r="D437" i="2"/>
  <c r="E437" i="2"/>
  <c r="E424" i="2"/>
  <c r="F424" i="2"/>
  <c r="E409" i="2"/>
  <c r="F409" i="2"/>
  <c r="E346" i="2"/>
  <c r="F346" i="2"/>
  <c r="E305" i="2"/>
  <c r="F305" i="2"/>
  <c r="G305" i="2"/>
  <c r="E451" i="2"/>
  <c r="F449" i="2"/>
  <c r="F443" i="2"/>
  <c r="G443" i="2"/>
  <c r="G436" i="2"/>
  <c r="D428" i="2"/>
  <c r="G415" i="2"/>
  <c r="F415" i="2"/>
  <c r="E408" i="2"/>
  <c r="D406" i="2"/>
  <c r="G406" i="2"/>
  <c r="D402" i="2"/>
  <c r="E399" i="2"/>
  <c r="F390" i="2"/>
  <c r="G370" i="2"/>
  <c r="G354" i="2"/>
  <c r="D314" i="2"/>
  <c r="E314" i="2"/>
  <c r="F314" i="2"/>
  <c r="E386" i="2"/>
  <c r="F386" i="2"/>
  <c r="E338" i="2"/>
  <c r="F338" i="2"/>
  <c r="E313" i="2"/>
  <c r="D313" i="2"/>
  <c r="F313" i="2"/>
  <c r="D310" i="2"/>
  <c r="E310" i="2"/>
  <c r="F310" i="2"/>
  <c r="D453" i="2"/>
  <c r="E453" i="2"/>
  <c r="E440" i="2"/>
  <c r="F440" i="2"/>
  <c r="F435" i="2"/>
  <c r="G435" i="2"/>
  <c r="D422" i="2"/>
  <c r="G422" i="2"/>
  <c r="F308" i="2"/>
  <c r="D308" i="2"/>
  <c r="E308" i="2"/>
  <c r="F254" i="2"/>
  <c r="G254" i="2"/>
  <c r="D254" i="2"/>
  <c r="E254" i="2"/>
  <c r="E378" i="2"/>
  <c r="F378" i="2"/>
  <c r="E362" i="2"/>
  <c r="F362" i="2"/>
  <c r="E330" i="2"/>
  <c r="F330" i="2"/>
  <c r="G257" i="2"/>
  <c r="E257" i="2"/>
  <c r="D257" i="2"/>
  <c r="F257" i="2"/>
  <c r="G453" i="2"/>
  <c r="D451" i="2"/>
  <c r="E449" i="2"/>
  <c r="D445" i="2"/>
  <c r="E445" i="2"/>
  <c r="G440" i="2"/>
  <c r="F436" i="2"/>
  <c r="E432" i="2"/>
  <c r="F432" i="2"/>
  <c r="G425" i="2"/>
  <c r="E417" i="2"/>
  <c r="F417" i="2"/>
  <c r="G417" i="2"/>
  <c r="D408" i="2"/>
  <c r="D399" i="2"/>
  <c r="E393" i="2"/>
  <c r="F393" i="2"/>
  <c r="E390" i="2"/>
  <c r="D386" i="2"/>
  <c r="E377" i="2"/>
  <c r="F377" i="2"/>
  <c r="G377" i="2"/>
  <c r="D370" i="2"/>
  <c r="E361" i="2"/>
  <c r="F361" i="2"/>
  <c r="G361" i="2"/>
  <c r="D354" i="2"/>
  <c r="E345" i="2"/>
  <c r="F345" i="2"/>
  <c r="G345" i="2"/>
  <c r="D338" i="2"/>
  <c r="E329" i="2"/>
  <c r="F329" i="2"/>
  <c r="G329" i="2"/>
  <c r="G313" i="2"/>
  <c r="G310" i="2"/>
  <c r="F304" i="2"/>
  <c r="E304" i="2"/>
  <c r="G304" i="2"/>
  <c r="E301" i="2"/>
  <c r="F301" i="2"/>
  <c r="G301" i="2"/>
  <c r="G265" i="2"/>
  <c r="E265" i="2"/>
  <c r="F265" i="2"/>
  <c r="F262" i="2"/>
  <c r="G262" i="2"/>
  <c r="D262" i="2"/>
  <c r="G302" i="2"/>
  <c r="G300" i="2"/>
  <c r="G268" i="2"/>
  <c r="G414" i="2"/>
  <c r="F407" i="2"/>
  <c r="G398" i="2"/>
  <c r="F391" i="2"/>
  <c r="G382" i="2"/>
  <c r="F375" i="2"/>
  <c r="G366" i="2"/>
  <c r="F359" i="2"/>
  <c r="G350" i="2"/>
  <c r="F343" i="2"/>
  <c r="G334" i="2"/>
  <c r="F327" i="2"/>
  <c r="G325" i="2"/>
  <c r="F302" i="2"/>
  <c r="E300" i="2"/>
  <c r="G298" i="2"/>
  <c r="G296" i="2"/>
  <c r="G294" i="2"/>
  <c r="G292" i="2"/>
  <c r="G281" i="2"/>
  <c r="E281" i="2"/>
  <c r="F278" i="2"/>
  <c r="G278" i="2"/>
  <c r="D278" i="2"/>
  <c r="E268" i="2"/>
  <c r="D264" i="2"/>
  <c r="E264" i="2"/>
  <c r="F264" i="2"/>
  <c r="G344" i="2"/>
  <c r="G328" i="2"/>
  <c r="G273" i="2"/>
  <c r="E273" i="2"/>
  <c r="F270" i="2"/>
  <c r="G270" i="2"/>
  <c r="D270" i="2"/>
  <c r="D256" i="2"/>
  <c r="E256" i="2"/>
  <c r="F256" i="2"/>
  <c r="D280" i="2"/>
  <c r="E280" i="2"/>
  <c r="F280" i="2"/>
  <c r="G376" i="2"/>
  <c r="G360" i="2"/>
  <c r="F383" i="2"/>
  <c r="G374" i="2"/>
  <c r="F367" i="2"/>
  <c r="G358" i="2"/>
  <c r="F351" i="2"/>
  <c r="G342" i="2"/>
  <c r="F335" i="2"/>
  <c r="G326" i="2"/>
  <c r="G324" i="2"/>
  <c r="G297" i="2"/>
  <c r="G293" i="2"/>
  <c r="G276" i="2"/>
  <c r="E277" i="2"/>
  <c r="E269" i="2"/>
  <c r="E261" i="2"/>
  <c r="E253" i="2"/>
  <c r="J10" i="4"/>
  <c r="K10" i="4"/>
  <c r="L10" i="4"/>
  <c r="M10" i="4"/>
  <c r="N10" i="4"/>
  <c r="O10" i="4"/>
  <c r="P10" i="4"/>
  <c r="Q10" i="4"/>
  <c r="R10" i="4"/>
  <c r="S10" i="4"/>
  <c r="T10" i="4"/>
  <c r="F3" i="4"/>
  <c r="F4" i="4"/>
  <c r="F5" i="4"/>
  <c r="F6" i="4"/>
  <c r="F7" i="4"/>
  <c r="F8" i="4"/>
  <c r="F9" i="4"/>
  <c r="F10" i="4"/>
  <c r="F11" i="4"/>
  <c r="F12" i="4"/>
  <c r="F2" i="4"/>
  <c r="B25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C152" i="2"/>
  <c r="C240" i="2"/>
  <c r="C62" i="2"/>
  <c r="C167" i="2"/>
  <c r="C250" i="2"/>
  <c r="C186" i="2"/>
  <c r="C169" i="2"/>
  <c r="C49" i="2"/>
  <c r="C70" i="2"/>
  <c r="C183" i="2"/>
  <c r="C11" i="2"/>
  <c r="C123" i="2"/>
  <c r="C251" i="2"/>
  <c r="C12" i="2"/>
  <c r="C148" i="2"/>
  <c r="C168" i="2"/>
  <c r="C192" i="2"/>
  <c r="C237" i="2"/>
  <c r="C224" i="2"/>
  <c r="C72" i="2"/>
  <c r="C161" i="2"/>
  <c r="C185" i="2"/>
  <c r="C102" i="2"/>
  <c r="C214" i="2"/>
  <c r="C79" i="2"/>
  <c r="C191" i="2"/>
  <c r="C122" i="2"/>
  <c r="C35" i="2"/>
  <c r="C147" i="2"/>
  <c r="C18" i="2"/>
  <c r="C20" i="2"/>
  <c r="C164" i="2"/>
  <c r="C209" i="2"/>
  <c r="C233" i="2"/>
  <c r="C217" i="2"/>
  <c r="C5" i="2"/>
  <c r="C93" i="2"/>
  <c r="C225" i="2"/>
  <c r="C229" i="2"/>
  <c r="C110" i="2"/>
  <c r="C222" i="2"/>
  <c r="C95" i="2"/>
  <c r="C223" i="2"/>
  <c r="C146" i="2"/>
  <c r="C43" i="2"/>
  <c r="C155" i="2"/>
  <c r="C42" i="2"/>
  <c r="C52" i="2"/>
  <c r="C180" i="2"/>
  <c r="C104" i="2"/>
  <c r="C160" i="2"/>
  <c r="C144" i="2"/>
  <c r="C182" i="2"/>
  <c r="C82" i="2"/>
  <c r="C227" i="2"/>
  <c r="C140" i="2"/>
  <c r="C216" i="2"/>
  <c r="C141" i="2"/>
  <c r="C190" i="2"/>
  <c r="C98" i="2"/>
  <c r="C45" i="2"/>
  <c r="C69" i="2"/>
  <c r="C157" i="2"/>
  <c r="C249" i="2"/>
  <c r="C246" i="2"/>
  <c r="C231" i="2"/>
  <c r="C162" i="2"/>
  <c r="C179" i="2"/>
  <c r="C68" i="2"/>
  <c r="C41" i="2"/>
  <c r="C32" i="2"/>
  <c r="C177" i="2"/>
  <c r="C30" i="2"/>
  <c r="C7" i="2"/>
  <c r="C239" i="2"/>
  <c r="C75" i="2"/>
  <c r="C90" i="2"/>
  <c r="C228" i="2"/>
  <c r="C40" i="2"/>
  <c r="C64" i="2"/>
  <c r="C88" i="2"/>
  <c r="C53" i="2"/>
  <c r="C112" i="2"/>
  <c r="C33" i="2"/>
  <c r="C37" i="2"/>
  <c r="C38" i="2"/>
  <c r="C150" i="2"/>
  <c r="C15" i="2"/>
  <c r="C143" i="2"/>
  <c r="C10" i="2"/>
  <c r="C218" i="2"/>
  <c r="C83" i="2"/>
  <c r="C203" i="2"/>
  <c r="C154" i="2"/>
  <c r="C100" i="2"/>
  <c r="C236" i="2"/>
  <c r="C128" i="2"/>
  <c r="C97" i="2"/>
  <c r="C47" i="2"/>
  <c r="C115" i="2"/>
  <c r="C125" i="2"/>
  <c r="C181" i="2"/>
  <c r="C165" i="2"/>
  <c r="C71" i="2"/>
  <c r="C232" i="2"/>
  <c r="C221" i="2"/>
  <c r="C197" i="2"/>
  <c r="C118" i="2"/>
  <c r="C111" i="2"/>
  <c r="C51" i="2"/>
  <c r="C74" i="2"/>
  <c r="C196" i="2"/>
  <c r="C17" i="2"/>
  <c r="C65" i="2"/>
  <c r="C89" i="2"/>
  <c r="C241" i="2"/>
  <c r="C134" i="2"/>
  <c r="C119" i="2"/>
  <c r="C210" i="2"/>
  <c r="C187" i="2"/>
  <c r="C76" i="2"/>
  <c r="C81" i="2"/>
  <c r="C105" i="2"/>
  <c r="C129" i="2"/>
  <c r="C137" i="2"/>
  <c r="C176" i="2"/>
  <c r="C56" i="2"/>
  <c r="C57" i="2"/>
  <c r="C46" i="2"/>
  <c r="C174" i="2"/>
  <c r="C39" i="2"/>
  <c r="C159" i="2"/>
  <c r="C26" i="2"/>
  <c r="C226" i="2"/>
  <c r="C107" i="2"/>
  <c r="C219" i="2"/>
  <c r="C170" i="2"/>
  <c r="C108" i="2"/>
  <c r="C244" i="2"/>
  <c r="C189" i="2"/>
  <c r="C149" i="2"/>
  <c r="C109" i="2"/>
  <c r="C9" i="2"/>
  <c r="C201" i="2"/>
  <c r="C133" i="2"/>
  <c r="C136" i="2"/>
  <c r="C120" i="2"/>
  <c r="C16" i="2"/>
  <c r="C208" i="2"/>
  <c r="C54" i="2"/>
  <c r="C126" i="2"/>
  <c r="C198" i="2"/>
  <c r="C31" i="2"/>
  <c r="C103" i="2"/>
  <c r="C175" i="2"/>
  <c r="C247" i="2"/>
  <c r="C138" i="2"/>
  <c r="C234" i="2"/>
  <c r="C59" i="2"/>
  <c r="C139" i="2"/>
  <c r="C211" i="2"/>
  <c r="C58" i="2"/>
  <c r="C4" i="2"/>
  <c r="C84" i="2"/>
  <c r="C172" i="2"/>
  <c r="C61" i="2"/>
  <c r="C21" i="2"/>
  <c r="C213" i="2"/>
  <c r="C173" i="2"/>
  <c r="C96" i="2"/>
  <c r="C25" i="2"/>
  <c r="C8" i="2"/>
  <c r="C200" i="2"/>
  <c r="C184" i="2"/>
  <c r="C80" i="2"/>
  <c r="C6" i="2"/>
  <c r="C86" i="2"/>
  <c r="C158" i="2"/>
  <c r="C230" i="2"/>
  <c r="C55" i="2"/>
  <c r="C127" i="2"/>
  <c r="C199" i="2"/>
  <c r="C34" i="2"/>
  <c r="C194" i="2"/>
  <c r="C19" i="2"/>
  <c r="C91" i="2"/>
  <c r="C163" i="2"/>
  <c r="C235" i="2"/>
  <c r="C106" i="2"/>
  <c r="C36" i="2"/>
  <c r="C116" i="2"/>
  <c r="C204" i="2"/>
  <c r="C117" i="2"/>
  <c r="C48" i="2"/>
  <c r="C29" i="2"/>
  <c r="C13" i="2"/>
  <c r="C205" i="2"/>
  <c r="C101" i="2"/>
  <c r="C22" i="2"/>
  <c r="C94" i="2"/>
  <c r="C166" i="2"/>
  <c r="C238" i="2"/>
  <c r="C63" i="2"/>
  <c r="C135" i="2"/>
  <c r="C207" i="2"/>
  <c r="C66" i="2"/>
  <c r="C202" i="2"/>
  <c r="C27" i="2"/>
  <c r="C99" i="2"/>
  <c r="C171" i="2"/>
  <c r="C243" i="2"/>
  <c r="C114" i="2"/>
  <c r="C44" i="2"/>
  <c r="C132" i="2"/>
  <c r="C212" i="2"/>
  <c r="C242" i="2"/>
  <c r="C60" i="2"/>
  <c r="C124" i="2"/>
  <c r="C188" i="2"/>
  <c r="C252" i="2"/>
  <c r="C145" i="2"/>
  <c r="C85" i="2"/>
  <c r="C24" i="2"/>
  <c r="C193" i="2"/>
  <c r="C73" i="2"/>
  <c r="C245" i="2"/>
  <c r="C153" i="2"/>
  <c r="C113" i="2"/>
  <c r="C77" i="2"/>
  <c r="C248" i="2"/>
  <c r="C121" i="2"/>
  <c r="C14" i="2"/>
  <c r="C78" i="2"/>
  <c r="C142" i="2"/>
  <c r="C206" i="2"/>
  <c r="C23" i="2"/>
  <c r="C87" i="2"/>
  <c r="C151" i="2"/>
  <c r="C215" i="2"/>
  <c r="C50" i="2"/>
  <c r="C178" i="2"/>
  <c r="C3" i="2"/>
  <c r="C67" i="2"/>
  <c r="C131" i="2"/>
  <c r="C195" i="2"/>
  <c r="C130" i="2"/>
  <c r="C28" i="2"/>
  <c r="C92" i="2"/>
  <c r="C156" i="2"/>
  <c r="C220" i="2"/>
  <c r="E14" i="2"/>
  <c r="F14" i="2"/>
  <c r="G14" i="2"/>
  <c r="D14" i="2"/>
  <c r="E94" i="2"/>
  <c r="F94" i="2"/>
  <c r="G94" i="2"/>
  <c r="D94" i="2"/>
  <c r="D213" i="2"/>
  <c r="F213" i="2"/>
  <c r="E213" i="2"/>
  <c r="G213" i="2"/>
  <c r="F219" i="2"/>
  <c r="G219" i="2"/>
  <c r="E219" i="2"/>
  <c r="D219" i="2"/>
  <c r="E71" i="2"/>
  <c r="G71" i="2"/>
  <c r="F71" i="2"/>
  <c r="D71" i="2"/>
  <c r="D177" i="2"/>
  <c r="F177" i="2"/>
  <c r="E177" i="2"/>
  <c r="G177" i="2"/>
  <c r="E110" i="2"/>
  <c r="F110" i="2"/>
  <c r="D110" i="2"/>
  <c r="G110" i="2"/>
  <c r="F164" i="2"/>
  <c r="D164" i="2"/>
  <c r="E164" i="2"/>
  <c r="G164" i="2"/>
  <c r="E28" i="2"/>
  <c r="F28" i="2"/>
  <c r="D28" i="2"/>
  <c r="G28" i="2"/>
  <c r="E24" i="2"/>
  <c r="F24" i="2"/>
  <c r="G24" i="2"/>
  <c r="D24" i="2"/>
  <c r="E116" i="2"/>
  <c r="F116" i="2"/>
  <c r="D116" i="2"/>
  <c r="G116" i="2"/>
  <c r="E59" i="2"/>
  <c r="G59" i="2"/>
  <c r="D59" i="2"/>
  <c r="F59" i="2"/>
  <c r="E56" i="2"/>
  <c r="F56" i="2"/>
  <c r="G56" i="2"/>
  <c r="D56" i="2"/>
  <c r="E100" i="2"/>
  <c r="F100" i="2"/>
  <c r="D100" i="2"/>
  <c r="G100" i="2"/>
  <c r="E157" i="2"/>
  <c r="G157" i="2"/>
  <c r="F157" i="2"/>
  <c r="D157" i="2"/>
  <c r="E169" i="2"/>
  <c r="F169" i="2"/>
  <c r="D169" i="2"/>
  <c r="G169" i="2"/>
  <c r="G151" i="2"/>
  <c r="D151" i="2"/>
  <c r="E151" i="2"/>
  <c r="F151" i="2"/>
  <c r="E85" i="2"/>
  <c r="F85" i="2"/>
  <c r="G85" i="2"/>
  <c r="D85" i="2"/>
  <c r="E66" i="2"/>
  <c r="F66" i="2"/>
  <c r="D66" i="2"/>
  <c r="G66" i="2"/>
  <c r="E36" i="2"/>
  <c r="F36" i="2"/>
  <c r="D36" i="2"/>
  <c r="G36" i="2"/>
  <c r="D184" i="2"/>
  <c r="F184" i="2"/>
  <c r="E184" i="2"/>
  <c r="G184" i="2"/>
  <c r="D234" i="2"/>
  <c r="F234" i="2"/>
  <c r="E234" i="2"/>
  <c r="G234" i="2"/>
  <c r="E109" i="2"/>
  <c r="D109" i="2"/>
  <c r="G109" i="2"/>
  <c r="F109" i="2"/>
  <c r="D176" i="2"/>
  <c r="E176" i="2"/>
  <c r="F176" i="2"/>
  <c r="G176" i="2"/>
  <c r="E51" i="2"/>
  <c r="D51" i="2"/>
  <c r="F51" i="2"/>
  <c r="G51" i="2"/>
  <c r="F154" i="2"/>
  <c r="D154" i="2"/>
  <c r="G154" i="2"/>
  <c r="E154" i="2"/>
  <c r="D228" i="2"/>
  <c r="F228" i="2"/>
  <c r="G228" i="2"/>
  <c r="E228" i="2"/>
  <c r="E69" i="2"/>
  <c r="F69" i="2"/>
  <c r="G69" i="2"/>
  <c r="D69" i="2"/>
  <c r="E155" i="2"/>
  <c r="F155" i="2"/>
  <c r="D155" i="2"/>
  <c r="G155" i="2"/>
  <c r="E18" i="2"/>
  <c r="F18" i="2"/>
  <c r="D18" i="2"/>
  <c r="G18" i="2"/>
  <c r="D186" i="2"/>
  <c r="E186" i="2"/>
  <c r="G186" i="2"/>
  <c r="F186" i="2"/>
  <c r="E195" i="2"/>
  <c r="G195" i="2"/>
  <c r="D195" i="2"/>
  <c r="F195" i="2"/>
  <c r="E87" i="2"/>
  <c r="F87" i="2"/>
  <c r="D87" i="2"/>
  <c r="G87" i="2"/>
  <c r="E77" i="2"/>
  <c r="D77" i="2"/>
  <c r="G77" i="2"/>
  <c r="F77" i="2"/>
  <c r="D145" i="2"/>
  <c r="E145" i="2"/>
  <c r="F145" i="2"/>
  <c r="G145" i="2"/>
  <c r="E44" i="2"/>
  <c r="F44" i="2"/>
  <c r="D44" i="2"/>
  <c r="G44" i="2"/>
  <c r="E207" i="2"/>
  <c r="G207" i="2"/>
  <c r="D207" i="2"/>
  <c r="F207" i="2"/>
  <c r="G205" i="2"/>
  <c r="D205" i="2"/>
  <c r="F205" i="2"/>
  <c r="E205" i="2"/>
  <c r="E106" i="2"/>
  <c r="F106" i="2"/>
  <c r="D106" i="2"/>
  <c r="G10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6" i="2"/>
  <c r="E147" i="2"/>
  <c r="E148" i="2"/>
  <c r="E149" i="2"/>
  <c r="E150" i="2"/>
  <c r="E152" i="2"/>
  <c r="E153" i="2"/>
  <c r="E156" i="2"/>
  <c r="E158" i="2"/>
  <c r="E159" i="2"/>
  <c r="E160" i="2"/>
  <c r="E161" i="2"/>
  <c r="E162" i="2"/>
  <c r="E163" i="2"/>
  <c r="E165" i="2"/>
  <c r="E166" i="2"/>
  <c r="E167" i="2"/>
  <c r="E168" i="2"/>
  <c r="E170" i="2"/>
  <c r="E171" i="2"/>
  <c r="E172" i="2"/>
  <c r="E173" i="2"/>
  <c r="E174" i="2"/>
  <c r="E175" i="2"/>
  <c r="E178" i="2"/>
  <c r="E179" i="2"/>
  <c r="E180" i="2"/>
  <c r="E181" i="2"/>
  <c r="E182" i="2"/>
  <c r="E183" i="2"/>
  <c r="E185" i="2"/>
  <c r="E187" i="2"/>
  <c r="E188" i="2"/>
  <c r="E189" i="2"/>
  <c r="E190" i="2"/>
  <c r="X4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6" i="2"/>
  <c r="D147" i="2"/>
  <c r="D148" i="2"/>
  <c r="D149" i="2"/>
  <c r="D150" i="2"/>
  <c r="D152" i="2"/>
  <c r="D153" i="2"/>
  <c r="D156" i="2"/>
  <c r="D158" i="2"/>
  <c r="D159" i="2"/>
  <c r="D160" i="2"/>
  <c r="D161" i="2"/>
  <c r="D162" i="2"/>
  <c r="D163" i="2"/>
  <c r="D165" i="2"/>
  <c r="D166" i="2"/>
  <c r="D167" i="2"/>
  <c r="D168" i="2"/>
  <c r="D170" i="2"/>
  <c r="D171" i="2"/>
  <c r="D172" i="2"/>
  <c r="D173" i="2"/>
  <c r="D174" i="2"/>
  <c r="D175" i="2"/>
  <c r="D178" i="2"/>
  <c r="D179" i="2"/>
  <c r="D180" i="2"/>
  <c r="D181" i="2"/>
  <c r="D182" i="2"/>
  <c r="D183" i="2"/>
  <c r="D185" i="2"/>
  <c r="D187" i="2"/>
  <c r="D188" i="2"/>
  <c r="D189" i="2"/>
  <c r="D190" i="2"/>
  <c r="W4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6" i="2"/>
  <c r="F147" i="2"/>
  <c r="F148" i="2"/>
  <c r="F149" i="2"/>
  <c r="F150" i="2"/>
  <c r="F152" i="2"/>
  <c r="F153" i="2"/>
  <c r="F156" i="2"/>
  <c r="F158" i="2"/>
  <c r="F159" i="2"/>
  <c r="F160" i="2"/>
  <c r="F161" i="2"/>
  <c r="F162" i="2"/>
  <c r="F163" i="2"/>
  <c r="F165" i="2"/>
  <c r="F166" i="2"/>
  <c r="F167" i="2"/>
  <c r="F168" i="2"/>
  <c r="F170" i="2"/>
  <c r="F171" i="2"/>
  <c r="F172" i="2"/>
  <c r="F173" i="2"/>
  <c r="F174" i="2"/>
  <c r="F175" i="2"/>
  <c r="F178" i="2"/>
  <c r="F179" i="2"/>
  <c r="F180" i="2"/>
  <c r="F181" i="2"/>
  <c r="F182" i="2"/>
  <c r="F183" i="2"/>
  <c r="F185" i="2"/>
  <c r="F187" i="2"/>
  <c r="F188" i="2"/>
  <c r="F189" i="2"/>
  <c r="F190" i="2"/>
  <c r="Y4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6" i="2"/>
  <c r="G147" i="2"/>
  <c r="G148" i="2"/>
  <c r="G149" i="2"/>
  <c r="G150" i="2"/>
  <c r="G152" i="2"/>
  <c r="G153" i="2"/>
  <c r="G156" i="2"/>
  <c r="G158" i="2"/>
  <c r="G159" i="2"/>
  <c r="G160" i="2"/>
  <c r="G161" i="2"/>
  <c r="G162" i="2"/>
  <c r="G163" i="2"/>
  <c r="G165" i="2"/>
  <c r="G166" i="2"/>
  <c r="G167" i="2"/>
  <c r="G168" i="2"/>
  <c r="G170" i="2"/>
  <c r="G171" i="2"/>
  <c r="G172" i="2"/>
  <c r="G173" i="2"/>
  <c r="G174" i="2"/>
  <c r="G175" i="2"/>
  <c r="G178" i="2"/>
  <c r="G179" i="2"/>
  <c r="G180" i="2"/>
  <c r="G181" i="2"/>
  <c r="G182" i="2"/>
  <c r="G183" i="2"/>
  <c r="G185" i="2"/>
  <c r="G187" i="2"/>
  <c r="G188" i="2"/>
  <c r="G189" i="2"/>
  <c r="G190" i="2"/>
  <c r="Z4" i="2"/>
  <c r="AA4" i="2"/>
  <c r="D200" i="2"/>
  <c r="G200" i="2"/>
  <c r="E200" i="2"/>
  <c r="F200" i="2"/>
  <c r="D208" i="2"/>
  <c r="E208" i="2"/>
  <c r="F208" i="2"/>
  <c r="G208" i="2"/>
  <c r="E26" i="2"/>
  <c r="F26" i="2"/>
  <c r="G26" i="2"/>
  <c r="D26" i="2"/>
  <c r="E111" i="2"/>
  <c r="D111" i="2"/>
  <c r="F111" i="2"/>
  <c r="G111" i="2"/>
  <c r="F125" i="2"/>
  <c r="G125" i="2"/>
  <c r="E125" i="2"/>
  <c r="D125" i="2"/>
  <c r="F203" i="2"/>
  <c r="G203" i="2"/>
  <c r="E203" i="2"/>
  <c r="D203" i="2"/>
  <c r="E37" i="2"/>
  <c r="F37" i="2"/>
  <c r="G37" i="2"/>
  <c r="D37" i="2"/>
  <c r="E90" i="2"/>
  <c r="F90" i="2"/>
  <c r="D90" i="2"/>
  <c r="G90" i="2"/>
  <c r="E68" i="2"/>
  <c r="F68" i="2"/>
  <c r="D68" i="2"/>
  <c r="G68" i="2"/>
  <c r="E45" i="2"/>
  <c r="G45" i="2"/>
  <c r="F45" i="2"/>
  <c r="D45" i="2"/>
  <c r="E43" i="2"/>
  <c r="G43" i="2"/>
  <c r="F43" i="2"/>
  <c r="D43" i="2"/>
  <c r="E93" i="2"/>
  <c r="F93" i="2"/>
  <c r="G93" i="2"/>
  <c r="D93" i="2"/>
  <c r="G251" i="2"/>
  <c r="F251" i="2"/>
  <c r="D251" i="2"/>
  <c r="E251" i="2"/>
  <c r="D250" i="2"/>
  <c r="F250" i="2"/>
  <c r="G250" i="2"/>
  <c r="E250" i="2"/>
  <c r="E92" i="2"/>
  <c r="F92" i="2"/>
  <c r="D92" i="2"/>
  <c r="G92" i="2"/>
  <c r="D242" i="2"/>
  <c r="F242" i="2"/>
  <c r="E242" i="2"/>
  <c r="G242" i="2"/>
  <c r="E6" i="2"/>
  <c r="F6" i="2"/>
  <c r="G6" i="2"/>
  <c r="D6" i="2"/>
  <c r="E201" i="2"/>
  <c r="F201" i="2"/>
  <c r="D201" i="2"/>
  <c r="G201" i="2"/>
  <c r="D196" i="2"/>
  <c r="G196" i="2"/>
  <c r="F196" i="2"/>
  <c r="E196" i="2"/>
  <c r="E15" i="2"/>
  <c r="D15" i="2"/>
  <c r="F15" i="2"/>
  <c r="G15" i="2"/>
  <c r="G249" i="2"/>
  <c r="D249" i="2"/>
  <c r="F249" i="2"/>
  <c r="E249" i="2"/>
  <c r="E121" i="2"/>
  <c r="G121" i="2"/>
  <c r="D121" i="2"/>
  <c r="F121" i="2"/>
  <c r="E22" i="2"/>
  <c r="F22" i="2"/>
  <c r="D22" i="2"/>
  <c r="G22" i="2"/>
  <c r="E21" i="2"/>
  <c r="F21" i="2"/>
  <c r="G21" i="2"/>
  <c r="D21" i="2"/>
  <c r="E107" i="2"/>
  <c r="G107" i="2"/>
  <c r="D107" i="2"/>
  <c r="F107" i="2"/>
  <c r="E74" i="2"/>
  <c r="F74" i="2"/>
  <c r="G74" i="2"/>
  <c r="D74" i="2"/>
  <c r="G227" i="2"/>
  <c r="F227" i="2"/>
  <c r="D227" i="2"/>
  <c r="E227" i="2"/>
  <c r="D248" i="2"/>
  <c r="F248" i="2"/>
  <c r="G248" i="2"/>
  <c r="E248" i="2"/>
  <c r="E101" i="2"/>
  <c r="F101" i="2"/>
  <c r="G101" i="2"/>
  <c r="D101" i="2"/>
  <c r="D199" i="2"/>
  <c r="E199" i="2"/>
  <c r="G199" i="2"/>
  <c r="F199" i="2"/>
  <c r="E61" i="2"/>
  <c r="D61" i="2"/>
  <c r="F61" i="2"/>
  <c r="G61" i="2"/>
  <c r="E54" i="2"/>
  <c r="F54" i="2"/>
  <c r="G54" i="2"/>
  <c r="D54" i="2"/>
  <c r="D226" i="2"/>
  <c r="F226" i="2"/>
  <c r="E226" i="2"/>
  <c r="G226" i="2"/>
  <c r="D119" i="2"/>
  <c r="E119" i="2"/>
  <c r="G119" i="2"/>
  <c r="F119" i="2"/>
  <c r="E38" i="2"/>
  <c r="F38" i="2"/>
  <c r="D38" i="2"/>
  <c r="G38" i="2"/>
  <c r="E41" i="2"/>
  <c r="D41" i="2"/>
  <c r="G41" i="2"/>
  <c r="F41" i="2"/>
  <c r="E82" i="2"/>
  <c r="F82" i="2"/>
  <c r="D82" i="2"/>
  <c r="G82" i="2"/>
  <c r="G225" i="2"/>
  <c r="D225" i="2"/>
  <c r="F225" i="2"/>
  <c r="E225" i="2"/>
  <c r="E12" i="2"/>
  <c r="F12" i="2"/>
  <c r="D12" i="2"/>
  <c r="G12" i="2"/>
  <c r="E23" i="2"/>
  <c r="F23" i="2"/>
  <c r="D23" i="2"/>
  <c r="G23" i="2"/>
  <c r="E113" i="2"/>
  <c r="G113" i="2"/>
  <c r="F113" i="2"/>
  <c r="D113" i="2"/>
  <c r="D252" i="2"/>
  <c r="F252" i="2"/>
  <c r="G252" i="2"/>
  <c r="E252" i="2"/>
  <c r="E114" i="2"/>
  <c r="F114" i="2"/>
  <c r="D114" i="2"/>
  <c r="G114" i="2"/>
  <c r="E13" i="2"/>
  <c r="D13" i="2"/>
  <c r="G13" i="2"/>
  <c r="F13" i="2"/>
  <c r="G235" i="2"/>
  <c r="F235" i="2"/>
  <c r="E235" i="2"/>
  <c r="D235" i="2"/>
  <c r="E55" i="2"/>
  <c r="D55" i="2"/>
  <c r="F55" i="2"/>
  <c r="G55" i="2"/>
  <c r="E8" i="2"/>
  <c r="F8" i="2"/>
  <c r="G8" i="2"/>
  <c r="D8" i="2"/>
  <c r="E84" i="2"/>
  <c r="F84" i="2"/>
  <c r="G84" i="2"/>
  <c r="D84" i="2"/>
  <c r="G247" i="2"/>
  <c r="D247" i="2"/>
  <c r="F247" i="2"/>
  <c r="E247" i="2"/>
  <c r="E16" i="2"/>
  <c r="F16" i="2"/>
  <c r="G16" i="2"/>
  <c r="D16" i="2"/>
  <c r="G241" i="2"/>
  <c r="D241" i="2"/>
  <c r="F241" i="2"/>
  <c r="E241" i="2"/>
  <c r="E118" i="2"/>
  <c r="F118" i="2"/>
  <c r="G118" i="2"/>
  <c r="D118" i="2"/>
  <c r="E115" i="2"/>
  <c r="D115" i="2"/>
  <c r="F115" i="2"/>
  <c r="G115" i="2"/>
  <c r="E83" i="2"/>
  <c r="F83" i="2"/>
  <c r="D83" i="2"/>
  <c r="G83" i="2"/>
  <c r="E33" i="2"/>
  <c r="F33" i="2"/>
  <c r="G33" i="2"/>
  <c r="D33" i="2"/>
  <c r="E75" i="2"/>
  <c r="G75" i="2"/>
  <c r="F75" i="2"/>
  <c r="D75" i="2"/>
  <c r="E98" i="2"/>
  <c r="F98" i="2"/>
  <c r="D98" i="2"/>
  <c r="G98" i="2"/>
  <c r="E5" i="2"/>
  <c r="F5" i="2"/>
  <c r="G5" i="2"/>
  <c r="D5" i="2"/>
  <c r="E35" i="2"/>
  <c r="F35" i="2"/>
  <c r="G35" i="2"/>
  <c r="D35" i="2"/>
  <c r="E72" i="2"/>
  <c r="F72" i="2"/>
  <c r="G72" i="2"/>
  <c r="D72" i="2"/>
  <c r="D123" i="2"/>
  <c r="E123" i="2"/>
  <c r="F123" i="2"/>
  <c r="G123" i="2"/>
  <c r="E50" i="2"/>
  <c r="F50" i="2"/>
  <c r="D50" i="2"/>
  <c r="G50" i="2"/>
  <c r="E27" i="2"/>
  <c r="G27" i="2"/>
  <c r="F27" i="2"/>
  <c r="D27" i="2"/>
  <c r="D194" i="2"/>
  <c r="F194" i="2"/>
  <c r="G194" i="2"/>
  <c r="E194" i="2"/>
  <c r="D198" i="2"/>
  <c r="E198" i="2"/>
  <c r="G198" i="2"/>
  <c r="F198" i="2"/>
  <c r="D236" i="2"/>
  <c r="F236" i="2"/>
  <c r="E236" i="2"/>
  <c r="G236" i="2"/>
  <c r="D214" i="2"/>
  <c r="E214" i="2"/>
  <c r="G214" i="2"/>
  <c r="F214" i="2"/>
  <c r="D215" i="2"/>
  <c r="E215" i="2"/>
  <c r="G215" i="2"/>
  <c r="F215" i="2"/>
  <c r="D202" i="2"/>
  <c r="E202" i="2"/>
  <c r="G202" i="2"/>
  <c r="F202" i="2"/>
  <c r="E80" i="2"/>
  <c r="F80" i="2"/>
  <c r="G80" i="2"/>
  <c r="D80" i="2"/>
  <c r="E9" i="2"/>
  <c r="D9" i="2"/>
  <c r="G9" i="2"/>
  <c r="F9" i="2"/>
  <c r="E32" i="2"/>
  <c r="F32" i="2"/>
  <c r="D32" i="2"/>
  <c r="G32" i="2"/>
  <c r="E42" i="2"/>
  <c r="F42" i="2"/>
  <c r="D42" i="2"/>
  <c r="G42" i="2"/>
  <c r="E20" i="2"/>
  <c r="F20" i="2"/>
  <c r="G20" i="2"/>
  <c r="D20" i="2"/>
  <c r="E67" i="2"/>
  <c r="G67" i="2"/>
  <c r="D67" i="2"/>
  <c r="F67" i="2"/>
  <c r="G243" i="2"/>
  <c r="F243" i="2"/>
  <c r="D243" i="2"/>
  <c r="E243" i="2"/>
  <c r="E29" i="2"/>
  <c r="F29" i="2"/>
  <c r="G29" i="2"/>
  <c r="D29" i="2"/>
  <c r="D230" i="2"/>
  <c r="F230" i="2"/>
  <c r="E230" i="2"/>
  <c r="G230" i="2"/>
  <c r="E4" i="2"/>
  <c r="F4" i="2"/>
  <c r="D4" i="2"/>
  <c r="G4" i="2"/>
  <c r="E120" i="2"/>
  <c r="F120" i="2"/>
  <c r="D120" i="2"/>
  <c r="G120" i="2"/>
  <c r="E39" i="2"/>
  <c r="D39" i="2"/>
  <c r="F39" i="2"/>
  <c r="G39" i="2"/>
  <c r="E89" i="2"/>
  <c r="D89" i="2"/>
  <c r="F89" i="2"/>
  <c r="G89" i="2"/>
  <c r="E47" i="2"/>
  <c r="D47" i="2"/>
  <c r="F47" i="2"/>
  <c r="G47" i="2"/>
  <c r="E112" i="2"/>
  <c r="F112" i="2"/>
  <c r="D112" i="2"/>
  <c r="G112" i="2"/>
  <c r="G239" i="2"/>
  <c r="D239" i="2"/>
  <c r="F239" i="2"/>
  <c r="E239" i="2"/>
  <c r="G223" i="2"/>
  <c r="D223" i="2"/>
  <c r="F223" i="2"/>
  <c r="E223" i="2"/>
  <c r="E122" i="2"/>
  <c r="F122" i="2"/>
  <c r="D122" i="2"/>
  <c r="G122" i="2"/>
  <c r="E62" i="2"/>
  <c r="F62" i="2"/>
  <c r="G62" i="2"/>
  <c r="D62" i="2"/>
  <c r="D220" i="2"/>
  <c r="F220" i="2"/>
  <c r="G220" i="2"/>
  <c r="E220" i="2"/>
  <c r="G3" i="2"/>
  <c r="G7" i="2"/>
  <c r="G10" i="2"/>
  <c r="G11" i="2"/>
  <c r="G17" i="2"/>
  <c r="G19" i="2"/>
  <c r="G25" i="2"/>
  <c r="G30" i="2"/>
  <c r="G31" i="2"/>
  <c r="G34" i="2"/>
  <c r="G40" i="2"/>
  <c r="G46" i="2"/>
  <c r="G48" i="2"/>
  <c r="G49" i="2"/>
  <c r="G52" i="2"/>
  <c r="G53" i="2"/>
  <c r="G57" i="2"/>
  <c r="G58" i="2"/>
  <c r="G60" i="2"/>
  <c r="Z2" i="2"/>
  <c r="F3" i="2"/>
  <c r="F7" i="2"/>
  <c r="F10" i="2"/>
  <c r="F11" i="2"/>
  <c r="F17" i="2"/>
  <c r="F19" i="2"/>
  <c r="F25" i="2"/>
  <c r="F30" i="2"/>
  <c r="F31" i="2"/>
  <c r="F34" i="2"/>
  <c r="F40" i="2"/>
  <c r="F46" i="2"/>
  <c r="F48" i="2"/>
  <c r="F49" i="2"/>
  <c r="F52" i="2"/>
  <c r="F53" i="2"/>
  <c r="F57" i="2"/>
  <c r="F58" i="2"/>
  <c r="F60" i="2"/>
  <c r="Y2" i="2"/>
  <c r="E3" i="2"/>
  <c r="E7" i="2"/>
  <c r="E10" i="2"/>
  <c r="E11" i="2"/>
  <c r="E17" i="2"/>
  <c r="E19" i="2"/>
  <c r="E25" i="2"/>
  <c r="E30" i="2"/>
  <c r="E31" i="2"/>
  <c r="E34" i="2"/>
  <c r="E40" i="2"/>
  <c r="E46" i="2"/>
  <c r="E48" i="2"/>
  <c r="E49" i="2"/>
  <c r="E52" i="2"/>
  <c r="E53" i="2"/>
  <c r="E57" i="2"/>
  <c r="E58" i="2"/>
  <c r="E60" i="2"/>
  <c r="X2" i="2"/>
  <c r="D3" i="2"/>
  <c r="D7" i="2"/>
  <c r="D10" i="2"/>
  <c r="D11" i="2"/>
  <c r="D17" i="2"/>
  <c r="D19" i="2"/>
  <c r="D25" i="2"/>
  <c r="D30" i="2"/>
  <c r="D31" i="2"/>
  <c r="D34" i="2"/>
  <c r="D40" i="2"/>
  <c r="D46" i="2"/>
  <c r="D48" i="2"/>
  <c r="D49" i="2"/>
  <c r="D52" i="2"/>
  <c r="D53" i="2"/>
  <c r="D57" i="2"/>
  <c r="D58" i="2"/>
  <c r="D60" i="2"/>
  <c r="W2" i="2"/>
  <c r="AA2" i="2"/>
  <c r="G245" i="2"/>
  <c r="D245" i="2"/>
  <c r="E245" i="2"/>
  <c r="F245" i="2"/>
  <c r="E124" i="2"/>
  <c r="F124" i="2"/>
  <c r="G124" i="2"/>
  <c r="D124" i="2"/>
  <c r="D238" i="2"/>
  <c r="F238" i="2"/>
  <c r="G238" i="2"/>
  <c r="E238" i="2"/>
  <c r="E91" i="2"/>
  <c r="G91" i="2"/>
  <c r="F91" i="2"/>
  <c r="D91" i="2"/>
  <c r="E96" i="2"/>
  <c r="F96" i="2"/>
  <c r="D96" i="2"/>
  <c r="G96" i="2"/>
  <c r="E103" i="2"/>
  <c r="F103" i="2"/>
  <c r="D103" i="2"/>
  <c r="G103" i="2"/>
  <c r="E108" i="2"/>
  <c r="F108" i="2"/>
  <c r="D108" i="2"/>
  <c r="G108" i="2"/>
  <c r="E81" i="2"/>
  <c r="D81" i="2"/>
  <c r="G81" i="2"/>
  <c r="F81" i="2"/>
  <c r="E65" i="2"/>
  <c r="D65" i="2"/>
  <c r="G65" i="2"/>
  <c r="F65" i="2"/>
  <c r="G221" i="2"/>
  <c r="D221" i="2"/>
  <c r="E221" i="2"/>
  <c r="F221" i="2"/>
  <c r="E97" i="2"/>
  <c r="F97" i="2"/>
  <c r="G97" i="2"/>
  <c r="D97" i="2"/>
  <c r="G231" i="2"/>
  <c r="D231" i="2"/>
  <c r="F231" i="2"/>
  <c r="E231" i="2"/>
  <c r="E104" i="2"/>
  <c r="F104" i="2"/>
  <c r="G104" i="2"/>
  <c r="D104" i="2"/>
  <c r="E95" i="2"/>
  <c r="D95" i="2"/>
  <c r="F95" i="2"/>
  <c r="G95" i="2"/>
  <c r="G233" i="2"/>
  <c r="D233" i="2"/>
  <c r="F233" i="2"/>
  <c r="E233" i="2"/>
  <c r="G191" i="2"/>
  <c r="G192" i="2"/>
  <c r="G193" i="2"/>
  <c r="G197" i="2"/>
  <c r="G204" i="2"/>
  <c r="G206" i="2"/>
  <c r="G209" i="2"/>
  <c r="G210" i="2"/>
  <c r="G211" i="2"/>
  <c r="G212" i="2"/>
  <c r="G216" i="2"/>
  <c r="G217" i="2"/>
  <c r="G218" i="2"/>
  <c r="G222" i="2"/>
  <c r="G224" i="2"/>
  <c r="G229" i="2"/>
  <c r="G232" i="2"/>
  <c r="G237" i="2"/>
  <c r="G240" i="2"/>
  <c r="G244" i="2"/>
  <c r="G246" i="2"/>
  <c r="Z5" i="2"/>
  <c r="E191" i="2"/>
  <c r="E192" i="2"/>
  <c r="E193" i="2"/>
  <c r="E197" i="2"/>
  <c r="E204" i="2"/>
  <c r="E206" i="2"/>
  <c r="E209" i="2"/>
  <c r="E210" i="2"/>
  <c r="E211" i="2"/>
  <c r="E212" i="2"/>
  <c r="E216" i="2"/>
  <c r="E217" i="2"/>
  <c r="E218" i="2"/>
  <c r="E222" i="2"/>
  <c r="E224" i="2"/>
  <c r="E229" i="2"/>
  <c r="E232" i="2"/>
  <c r="E237" i="2"/>
  <c r="E240" i="2"/>
  <c r="E244" i="2"/>
  <c r="E246" i="2"/>
  <c r="X5" i="2"/>
  <c r="F191" i="2"/>
  <c r="F192" i="2"/>
  <c r="F193" i="2"/>
  <c r="F197" i="2"/>
  <c r="F204" i="2"/>
  <c r="F206" i="2"/>
  <c r="F209" i="2"/>
  <c r="F210" i="2"/>
  <c r="F211" i="2"/>
  <c r="F212" i="2"/>
  <c r="F216" i="2"/>
  <c r="F217" i="2"/>
  <c r="F218" i="2"/>
  <c r="F222" i="2"/>
  <c r="F224" i="2"/>
  <c r="F229" i="2"/>
  <c r="F232" i="2"/>
  <c r="F237" i="2"/>
  <c r="F240" i="2"/>
  <c r="F244" i="2"/>
  <c r="F246" i="2"/>
  <c r="Y5" i="2"/>
  <c r="D191" i="2"/>
  <c r="D192" i="2"/>
  <c r="D193" i="2"/>
  <c r="D197" i="2"/>
  <c r="D204" i="2"/>
  <c r="D206" i="2"/>
  <c r="D209" i="2"/>
  <c r="D210" i="2"/>
  <c r="D211" i="2"/>
  <c r="D212" i="2"/>
  <c r="D216" i="2"/>
  <c r="D217" i="2"/>
  <c r="D218" i="2"/>
  <c r="D222" i="2"/>
  <c r="D224" i="2"/>
  <c r="D229" i="2"/>
  <c r="D232" i="2"/>
  <c r="D237" i="2"/>
  <c r="D240" i="2"/>
  <c r="D244" i="2"/>
  <c r="D246" i="2"/>
  <c r="W5" i="2"/>
  <c r="E64" i="2"/>
  <c r="F64" i="2"/>
  <c r="D64" i="2"/>
  <c r="G64" i="2"/>
  <c r="E126" i="2"/>
  <c r="F126" i="2"/>
  <c r="D126" i="2"/>
  <c r="G126" i="2"/>
  <c r="E102" i="2"/>
  <c r="F102" i="2"/>
  <c r="D102" i="2"/>
  <c r="G102" i="2"/>
  <c r="E63" i="2"/>
  <c r="E70" i="2"/>
  <c r="E73" i="2"/>
  <c r="E76" i="2"/>
  <c r="E78" i="2"/>
  <c r="E79" i="2"/>
  <c r="E86" i="2"/>
  <c r="E88" i="2"/>
  <c r="E99" i="2"/>
  <c r="E105" i="2"/>
  <c r="E117" i="2"/>
  <c r="X3" i="2"/>
  <c r="D63" i="2"/>
  <c r="D70" i="2"/>
  <c r="D73" i="2"/>
  <c r="D76" i="2"/>
  <c r="D78" i="2"/>
  <c r="D79" i="2"/>
  <c r="D86" i="2"/>
  <c r="D88" i="2"/>
  <c r="D99" i="2"/>
  <c r="D105" i="2"/>
  <c r="D117" i="2"/>
  <c r="W3" i="2"/>
  <c r="F63" i="2"/>
  <c r="F70" i="2"/>
  <c r="F73" i="2"/>
  <c r="F76" i="2"/>
  <c r="F78" i="2"/>
  <c r="F79" i="2"/>
  <c r="F86" i="2"/>
  <c r="F88" i="2"/>
  <c r="F99" i="2"/>
  <c r="F105" i="2"/>
  <c r="F117" i="2"/>
  <c r="Y3" i="2"/>
  <c r="G63" i="2"/>
  <c r="G70" i="2"/>
  <c r="G73" i="2"/>
  <c r="G76" i="2"/>
  <c r="G78" i="2"/>
  <c r="G79" i="2"/>
  <c r="G86" i="2"/>
  <c r="G88" i="2"/>
  <c r="G99" i="2"/>
  <c r="G105" i="2"/>
  <c r="G117" i="2"/>
  <c r="Z3" i="2"/>
  <c r="AA3" i="2"/>
  <c r="AA5" i="2"/>
  <c r="X6" i="2" l="1"/>
  <c r="Y6" i="2"/>
  <c r="Z6" i="2"/>
  <c r="AA6" i="2" l="1"/>
</calcChain>
</file>

<file path=xl/sharedStrings.xml><?xml version="1.0" encoding="utf-8"?>
<sst xmlns="http://schemas.openxmlformats.org/spreadsheetml/2006/main" count="40" uniqueCount="30">
  <si>
    <t>Date</t>
  </si>
  <si>
    <t>1 Mo</t>
  </si>
  <si>
    <t>3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</si>
  <si>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</si>
  <si>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</si>
  <si>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</si>
  <si>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</si>
  <si>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</si>
  <si>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</si>
  <si>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</si>
  <si>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</si>
  <si>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</si>
  <si>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https://www.treasury.gov/resource-center/data-chart-center/interest-rates/Pages/TextView.aspx?data=yieldYear&amp;year=2015</t>
  </si>
  <si>
    <t>1 day changes</t>
  </si>
  <si>
    <t>0-5bp</t>
  </si>
  <si>
    <t>5-10bp</t>
  </si>
  <si>
    <t>10-15bp</t>
  </si>
  <si>
    <t>15-20bp</t>
  </si>
  <si>
    <t>% days &gt; 5bp</t>
  </si>
  <si>
    <t>Q1</t>
  </si>
  <si>
    <t>Q2</t>
  </si>
  <si>
    <t>Q3</t>
  </si>
  <si>
    <t>Q4</t>
  </si>
  <si>
    <t>10 Yr YB</t>
  </si>
  <si>
    <t>Get business date from the website</t>
  </si>
  <si>
    <t xml:space="preserve"> </t>
  </si>
  <si>
    <t>Treasury Yield Curve 12/31/2015</t>
  </si>
  <si>
    <t>Treasury Yield Curve 2/29/2016</t>
  </si>
  <si>
    <t>http://www.treasury.gov/resource-center/data-chart-center/interest-rates/Pages/TextView.aspx?data=yieldYear&amp;year=2015</t>
  </si>
  <si>
    <t>Feb 2016 - Q4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</si>
</sst>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2A2A2A"/>
      <name val="Arial"/>
      <family val="2"/>
    </font>
    <font>
      <sz val="9"/>
      <color rgb="FF2A2A2A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2E398A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3" borderId="0" xfId="0" applyFont="1" applyFill="1" applyAlignment="1">
      <alignment horizontal="left" vertical="center" wrapText="1"/>
    </xf>
    <xf numFmtId="1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4" fontId="3" fillId="2" borderId="0" xfId="0" applyNumberFormat="1" applyFont="1" applyFill="1" applyAlignment="1">
      <alignment vertical="top" wrapText="1"/>
    </xf>
    <xf numFmtId="0" fontId="4" fillId="0" borderId="0" xfId="2"/>
    <xf numFmtId="0" fontId="5" fillId="5" borderId="1" xfId="0" applyFont="1" applyFill="1" applyBorder="1" applyAlignment="1">
      <alignment horizontal="center" vertical="center" wrapText="1" readingOrder="1"/>
    </xf>
    <xf numFmtId="9" fontId="0" fillId="0" borderId="0" xfId="1" applyFont="1"/>
    <xf numFmtId="0" fontId="0" fillId="0" borderId="0" xfId="0" applyAlignment="1">
      <alignment wrapText="1"/>
    </xf>
    <xf numFmtId="2" fontId="0" fillId="0" borderId="0" xfId="0" applyNumberFormat="1"/>
    <xf numFmtId="0" fontId="3" fillId="2" borderId="0" xfId="0" applyFont="1" applyFill="1" applyAlignment="1">
      <alignment vertical="top" wrapText="1"/>
    </xf>
  </cellXfs>
  <cellStyles count="3">
    <cellStyle name="Hyperlink" xfId="2" builtinId="8"/>
    <cellStyle name="Normal" xfId="0" builtinId="0"/>
    <cellStyle name="Percent" xfId="1" builtinId="5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dirty="0"/>
              <a:t>Treasury Yield </a:t>
            </a:r>
            <a:r>
              <a:rPr lang="en-US" dirty="0" smtClean="0"/>
              <a:t>Curve</a:t>
            </a:r>
            <a:endParaRPr lang="en-US" dirty="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26937308617444E-2"/>
          <c:y val="0.11743806414442094"/>
          <c:w val="0.92965402632472638"/>
          <c:h val="0.82294133964961702"/>
        </c:manualLayout>
      </c:layout>
      <c:lineChart>
        <c:grouping val="standard"/>
        <c:varyColors val="0"/>
        <c:ser>
          <c:idx val="2"/>
          <c:order val="0"/>
          <c:tx>
            <c:strRef>
              <c:f>'Treasury Yield Curve Level&amp;chg'!$B$1</c:f>
              <c:strCache>
                <c:ptCount val="1"/>
                <c:pt idx="0">
                  <c:v>Treasury Yield Curve 2/29/2016</c:v>
                </c:pt>
              </c:strCache>
            </c:strRef>
          </c:tx>
          <c:spPr>
            <a:ln>
              <a:solidFill>
                <a:srgbClr val="2E398A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cat>
            <c:numRef>
              <c:f>'Treasury Yield Curve Level&amp;chg'!$A$2:$A$12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  <c:pt idx="9">
                  <c:v>16</c:v>
                </c:pt>
                <c:pt idx="10">
                  <c:v>20</c:v>
                </c:pt>
              </c:numCache>
            </c:numRef>
          </c:cat>
          <c:val>
            <c:numRef>
              <c:f>'Treasury Yield Curve Level&amp;chg'!$B$2:$B$12</c:f>
              <c:numCache>
                <c:formatCode>General</c:formatCode>
                <c:ptCount val="11"/>
                <c:pt idx="0">
                  <c:v>0.23</c:v>
                </c:pt>
                <c:pt idx="1">
                  <c:v>0.33</c:v>
                </c:pt>
                <c:pt idx="2">
                  <c:v>0.49</c:v>
                </c:pt>
                <c:pt idx="3">
                  <c:v>0.62</c:v>
                </c:pt>
                <c:pt idx="4">
                  <c:v>0.78</c:v>
                </c:pt>
                <c:pt idx="5">
                  <c:v>0.91</c:v>
                </c:pt>
                <c:pt idx="6">
                  <c:v>1.22</c:v>
                </c:pt>
                <c:pt idx="7">
                  <c:v>1.52</c:v>
                </c:pt>
                <c:pt idx="8">
                  <c:v>1.74</c:v>
                </c:pt>
                <c:pt idx="9">
                  <c:v>2.19</c:v>
                </c:pt>
                <c:pt idx="10">
                  <c:v>2.61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820544"/>
        <c:axId val="260752512"/>
      </c:lineChart>
      <c:dateAx>
        <c:axId val="259820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0752512"/>
        <c:crosses val="autoZero"/>
        <c:auto val="0"/>
        <c:lblOffset val="100"/>
        <c:baseTimeUnit val="days"/>
      </c:dateAx>
      <c:valAx>
        <c:axId val="260752512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#,##0.0" sourceLinked="0"/>
        <c:majorTickMark val="out"/>
        <c:minorTickMark val="none"/>
        <c:tickLblPos val="nextTo"/>
        <c:crossAx val="259820544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0.42713512886524219"/>
          <c:y val="0.75880758807588078"/>
          <c:w val="0.57286487113475781"/>
          <c:h val="8.4917738941168941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26937308617444E-2"/>
          <c:y val="3.4104799400074992E-2"/>
          <c:w val="0.92965402632472638"/>
          <c:h val="0.770347616724016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'Treasury Yield Curve Level&amp;chg'!$F$1</c:f>
              <c:strCache>
                <c:ptCount val="1"/>
                <c:pt idx="0">
                  <c:v>Feb 2016 - Q4 2015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numRef>
              <c:f>'Treasury Yield Curve Level&amp;chg'!$E$2:$E$12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  <c:pt idx="9">
                  <c:v>16</c:v>
                </c:pt>
                <c:pt idx="10">
                  <c:v>20</c:v>
                </c:pt>
              </c:numCache>
            </c:numRef>
          </c:cat>
          <c:val>
            <c:numRef>
              <c:f>'Treasury Yield Curve Level&amp;chg'!$F$2:$F$12</c:f>
              <c:numCache>
                <c:formatCode>General</c:formatCode>
                <c:ptCount val="11"/>
                <c:pt idx="0">
                  <c:v>9</c:v>
                </c:pt>
                <c:pt idx="1">
                  <c:v>17</c:v>
                </c:pt>
                <c:pt idx="2">
                  <c:v>0</c:v>
                </c:pt>
                <c:pt idx="3">
                  <c:v>-3.0000000000000027</c:v>
                </c:pt>
                <c:pt idx="4">
                  <c:v>-28.000000000000004</c:v>
                </c:pt>
                <c:pt idx="5">
                  <c:v>-40</c:v>
                </c:pt>
                <c:pt idx="6">
                  <c:v>-54</c:v>
                </c:pt>
                <c:pt idx="7">
                  <c:v>-56.999999999999986</c:v>
                </c:pt>
                <c:pt idx="8">
                  <c:v>-53</c:v>
                </c:pt>
                <c:pt idx="9">
                  <c:v>-48</c:v>
                </c:pt>
                <c:pt idx="10">
                  <c:v>-39.999999999999993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785280"/>
        <c:axId val="260786816"/>
      </c:barChart>
      <c:dateAx>
        <c:axId val="260785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0786816"/>
        <c:crosses val="autoZero"/>
        <c:auto val="0"/>
        <c:lblOffset val="100"/>
        <c:baseTimeUnit val="days"/>
      </c:dateAx>
      <c:valAx>
        <c:axId val="260786816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General" sourceLinked="1"/>
        <c:majorTickMark val="out"/>
        <c:minorTickMark val="none"/>
        <c:tickLblPos val="nextTo"/>
        <c:crossAx val="26078528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b"/>
      <c:layout>
        <c:manualLayout>
          <c:xMode val="edge"/>
          <c:yMode val="edge"/>
          <c:x val="0.37532227965158471"/>
          <c:y val="0.8908422285261427"/>
          <c:w val="0.24935544069683044"/>
          <c:h val="9.680074687024296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15</xdr:row>
      <xdr:rowOff>0</xdr:rowOff>
    </xdr:from>
    <xdr:to>
      <xdr:col>18</xdr:col>
      <xdr:colOff>270067</xdr:colOff>
      <xdr:row>27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18</xdr:col>
      <xdr:colOff>276225</xdr:colOff>
      <xdr:row>38</xdr:row>
      <xdr:rowOff>150511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AddIns/YieldBookAdd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YieldBookAddin"/>
    </sheetNames>
    <definedNames>
      <definedName name="YBHIST"/>
    </definedNames>
    <sheetDataSet>
      <sheetData sheetId="0"/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id="1" name="Table1" displayName="Table1" ref="A1:B12" totalsRowShown="0" headerRowDxfId="0">
  <tableColumns count="2">
    <tableColumn id="1" name=" "/>
    <tableColumn id="5" name="Treasury Yield Curve 2/29/20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E1:F12" totalsRowShown="0">
  <tableColumns count="2">
    <tableColumn id="1" name=" "/>
    <tableColumn id="2" name="Feb 2016 - Q4 2015">
      <calculatedColumnFormula>(B2-C2)*100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reasury.gov/resource-center/data-chart-center/interest-rates/Pages/TextView.aspx?data=yieldYear&amp;year=201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://www.treasury.gov/resource-center/data-chart-center/interest-rates/Pages/TextView.aspx?data=yieldYear&amp;year=2015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53"/>
  <sheetViews>
    <sheetView tabSelected="1" workbookViewId="0">
      <selection activeCell="Z12" sqref="Z12"/>
    </sheetView>
  </sheetViews>
  <sheetFormatPr defaultRowHeight="15" x14ac:dyDescent="0.25"/>
  <cols>
    <col min="1" max="1" width="9.85546875" bestFit="1" customWidth="1"/>
  </cols>
  <sheetData>
    <row r="1" spans="1:27" ht="32.25" thickBot="1" x14ac:dyDescent="0.3">
      <c r="A1" s="1" t="s">
        <v>0</v>
      </c>
      <c r="B1" s="1" t="s">
        <v>23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5" t="s">
        <v>12</v>
      </c>
      <c r="W1" s="6" t="s">
        <v>14</v>
      </c>
      <c r="X1" s="6" t="s">
        <v>15</v>
      </c>
      <c r="Y1" s="6" t="s">
        <v>16</v>
      </c>
      <c r="Z1" s="6" t="s">
        <v>17</v>
      </c>
      <c r="AA1" s="6" t="s">
        <v>18</v>
      </c>
    </row>
    <row r="2" spans="1:27" x14ac:dyDescent="0.25">
      <c r="A2" s="2">
        <v>42006</v>
      </c>
      <c r="B2">
        <f>[1]!YBHIST("10 Year Treasury",$A2,"YldtoMat","govt","")</f>
        <v>2.125</v>
      </c>
      <c r="I2" t="s">
        <v>24</v>
      </c>
      <c r="U2">
        <v>2015</v>
      </c>
      <c r="V2" t="s">
        <v>19</v>
      </c>
      <c r="W2">
        <f>SUM(D3:D62)</f>
        <v>39</v>
      </c>
      <c r="X2">
        <f>SUM(E3:E62)</f>
        <v>16</v>
      </c>
      <c r="Y2">
        <f>SUM(F3:F62)</f>
        <v>5</v>
      </c>
      <c r="Z2">
        <f>SUM(G3:G62)</f>
        <v>0</v>
      </c>
      <c r="AA2" s="7">
        <f>SUM(X2:Z2)/SUM(W2:Z2)</f>
        <v>0.35</v>
      </c>
    </row>
    <row r="3" spans="1:27" x14ac:dyDescent="0.25">
      <c r="A3" s="4">
        <v>42009</v>
      </c>
      <c r="B3">
        <f>[1]!YBHIST("10 Year Treasury",$A3,"YldtoMat","govt","")</f>
        <v>2.0369999999999999</v>
      </c>
      <c r="C3">
        <f>B3-B2</f>
        <v>-8.8000000000000078E-2</v>
      </c>
      <c r="D3">
        <f>IF(INT(ABS(C3)*100/5)=0,1,0)</f>
        <v>0</v>
      </c>
      <c r="E3">
        <f>IF(INT(ABS(C3)*100/5)=1,1,0)</f>
        <v>1</v>
      </c>
      <c r="F3">
        <f>IF(INT(ABS(C3)*100/5)=2,1,0)</f>
        <v>0</v>
      </c>
      <c r="G3">
        <f>IF(INT(ABS(C3)*100/5)=13,1,0)</f>
        <v>0</v>
      </c>
      <c r="V3" t="s">
        <v>20</v>
      </c>
      <c r="W3">
        <f>SUM(D63:D126)</f>
        <v>39</v>
      </c>
      <c r="X3">
        <f>SUM(E63:E126)</f>
        <v>22</v>
      </c>
      <c r="Y3">
        <f>SUM(F63:F126)</f>
        <v>3</v>
      </c>
      <c r="Z3">
        <f>SUM(G63:G126)</f>
        <v>0</v>
      </c>
      <c r="AA3" s="7">
        <f t="shared" ref="AA3:AA6" si="0">SUM(X3:Z3)/SUM(W3:Z3)</f>
        <v>0.390625</v>
      </c>
    </row>
    <row r="4" spans="1:27" x14ac:dyDescent="0.25">
      <c r="A4" s="2">
        <v>42010</v>
      </c>
      <c r="B4">
        <f>[1]!YBHIST("10 Year Treasury",$A4,"YldtoMat","govt","")</f>
        <v>1.9610000000000001</v>
      </c>
      <c r="C4">
        <f t="shared" ref="C4:C67" si="1">B4-B3</f>
        <v>-7.5999999999999845E-2</v>
      </c>
      <c r="D4">
        <f t="shared" ref="D4:D67" si="2">IF(INT(ABS(C4)*100/5)=0,1,0)</f>
        <v>0</v>
      </c>
      <c r="E4">
        <f t="shared" ref="E4:E67" si="3">IF(INT(ABS(C4)*100/5)=1,1,0)</f>
        <v>1</v>
      </c>
      <c r="F4">
        <f t="shared" ref="F4:F67" si="4">IF(INT(ABS(C4)*100/5)=2,1,0)</f>
        <v>0</v>
      </c>
      <c r="G4">
        <f t="shared" ref="G4:G67" si="5">IF(INT(ABS(C4)*100/5)=13,1,0)</f>
        <v>0</v>
      </c>
      <c r="V4" t="s">
        <v>21</v>
      </c>
      <c r="W4">
        <f>SUM(D127:D190)</f>
        <v>42</v>
      </c>
      <c r="X4">
        <f>SUM(E127:E190)</f>
        <v>19</v>
      </c>
      <c r="Y4">
        <f>SUM(F127:F190)</f>
        <v>3</v>
      </c>
      <c r="Z4">
        <f>SUM(G127:G190)</f>
        <v>0</v>
      </c>
      <c r="AA4" s="7">
        <f t="shared" si="0"/>
        <v>0.34375</v>
      </c>
    </row>
    <row r="5" spans="1:27" x14ac:dyDescent="0.25">
      <c r="A5" s="4">
        <v>42011</v>
      </c>
      <c r="B5">
        <f>[1]!YBHIST("10 Year Treasury",$A5,"YldtoMat","govt","")</f>
        <v>1.954</v>
      </c>
      <c r="C5">
        <f t="shared" si="1"/>
        <v>-7.0000000000001172E-3</v>
      </c>
      <c r="D5">
        <f t="shared" si="2"/>
        <v>1</v>
      </c>
      <c r="E5">
        <f t="shared" si="3"/>
        <v>0</v>
      </c>
      <c r="F5">
        <f t="shared" si="4"/>
        <v>0</v>
      </c>
      <c r="G5">
        <f t="shared" si="5"/>
        <v>0</v>
      </c>
      <c r="V5" t="s">
        <v>22</v>
      </c>
      <c r="W5">
        <f>SUM(D191:D252)</f>
        <v>47</v>
      </c>
      <c r="X5">
        <f>SUM(E191:E252)</f>
        <v>13</v>
      </c>
      <c r="Y5">
        <f>SUM(F191:F252)</f>
        <v>1</v>
      </c>
      <c r="Z5">
        <f>SUM(G191:G252)</f>
        <v>0</v>
      </c>
      <c r="AA5" s="7">
        <f t="shared" si="0"/>
        <v>0.22950819672131148</v>
      </c>
    </row>
    <row r="6" spans="1:27" x14ac:dyDescent="0.25">
      <c r="A6" s="2">
        <v>42012</v>
      </c>
      <c r="B6">
        <f>[1]!YBHIST("10 Year Treasury",$A6,"YldtoMat","govt","")</f>
        <v>2.016</v>
      </c>
      <c r="C6">
        <f t="shared" si="1"/>
        <v>6.2000000000000055E-2</v>
      </c>
      <c r="D6">
        <f t="shared" si="2"/>
        <v>0</v>
      </c>
      <c r="E6">
        <f t="shared" si="3"/>
        <v>1</v>
      </c>
      <c r="F6">
        <f t="shared" si="4"/>
        <v>0</v>
      </c>
      <c r="G6">
        <f t="shared" si="5"/>
        <v>0</v>
      </c>
      <c r="U6">
        <v>2016</v>
      </c>
      <c r="V6" t="s">
        <v>19</v>
      </c>
      <c r="W6">
        <f>SUM(D253:D313)</f>
        <v>44</v>
      </c>
      <c r="X6">
        <f>SUM(E253:E313)</f>
        <v>14</v>
      </c>
      <c r="Y6">
        <f>SUM(F253:F313)</f>
        <v>3</v>
      </c>
      <c r="Z6">
        <f>SUM(G253:G313)</f>
        <v>0</v>
      </c>
      <c r="AA6" s="7">
        <f t="shared" si="0"/>
        <v>0.27868852459016391</v>
      </c>
    </row>
    <row r="7" spans="1:27" x14ac:dyDescent="0.25">
      <c r="A7" s="4">
        <v>42013</v>
      </c>
      <c r="B7">
        <f>[1]!YBHIST("10 Year Treasury",$A7,"YldtoMat","govt","")</f>
        <v>1.9690000000000001</v>
      </c>
      <c r="C7">
        <f t="shared" si="1"/>
        <v>-4.6999999999999931E-2</v>
      </c>
      <c r="D7">
        <f t="shared" si="2"/>
        <v>1</v>
      </c>
      <c r="E7">
        <f t="shared" si="3"/>
        <v>0</v>
      </c>
      <c r="F7">
        <f t="shared" si="4"/>
        <v>0</v>
      </c>
      <c r="G7">
        <f t="shared" si="5"/>
        <v>0</v>
      </c>
      <c r="V7" t="s">
        <v>20</v>
      </c>
      <c r="W7">
        <f>SUM(D314:D377)</f>
        <v>52</v>
      </c>
      <c r="X7">
        <f t="shared" ref="X7:Z7" si="6">SUM(E314:E377)</f>
        <v>8</v>
      </c>
      <c r="Y7">
        <f t="shared" si="6"/>
        <v>3</v>
      </c>
      <c r="Z7">
        <f t="shared" si="6"/>
        <v>0</v>
      </c>
      <c r="AA7" s="7">
        <f t="shared" ref="AA7:AA8" si="7">SUM(X7:Z7)/SUM(W7:Z7)</f>
        <v>0.17460317460317459</v>
      </c>
    </row>
    <row r="8" spans="1:27" x14ac:dyDescent="0.25">
      <c r="A8" s="2">
        <v>42016</v>
      </c>
      <c r="B8">
        <f>[1]!YBHIST("10 Year Treasury",$A8,"YldtoMat","govt","")</f>
        <v>1.909</v>
      </c>
      <c r="C8">
        <f t="shared" si="1"/>
        <v>-6.0000000000000053E-2</v>
      </c>
      <c r="D8">
        <f t="shared" si="2"/>
        <v>0</v>
      </c>
      <c r="E8">
        <f t="shared" si="3"/>
        <v>1</v>
      </c>
      <c r="F8">
        <f t="shared" si="4"/>
        <v>0</v>
      </c>
      <c r="G8">
        <f t="shared" si="5"/>
        <v>0</v>
      </c>
      <c r="V8" t="s">
        <v>21</v>
      </c>
      <c r="W8">
        <f>SUM(D378:D441)</f>
        <v>45</v>
      </c>
      <c r="X8">
        <f>SUM(E378:E441)</f>
        <v>18</v>
      </c>
      <c r="Y8">
        <f t="shared" ref="X8:Z8" si="8">SUM(F378:F441)</f>
        <v>1</v>
      </c>
      <c r="Z8">
        <f t="shared" si="8"/>
        <v>0</v>
      </c>
      <c r="AA8" s="7">
        <f t="shared" si="7"/>
        <v>0.296875</v>
      </c>
    </row>
    <row r="9" spans="1:27" x14ac:dyDescent="0.25">
      <c r="A9" s="4">
        <v>42017</v>
      </c>
      <c r="B9">
        <f>[1]!YBHIST("10 Year Treasury",$A9,"YldtoMat","govt","")</f>
        <v>1.891</v>
      </c>
      <c r="C9">
        <f t="shared" si="1"/>
        <v>-1.8000000000000016E-2</v>
      </c>
      <c r="D9">
        <f t="shared" si="2"/>
        <v>1</v>
      </c>
      <c r="E9">
        <f t="shared" si="3"/>
        <v>0</v>
      </c>
      <c r="F9">
        <f t="shared" si="4"/>
        <v>0</v>
      </c>
      <c r="G9">
        <f t="shared" si="5"/>
        <v>0</v>
      </c>
      <c r="V9" t="s">
        <v>22</v>
      </c>
    </row>
    <row r="10" spans="1:27" x14ac:dyDescent="0.25">
      <c r="A10" s="2">
        <v>42018</v>
      </c>
      <c r="B10">
        <f>[1]!YBHIST("10 Year Treasury",$A10,"YldtoMat","govt","")</f>
        <v>1.835</v>
      </c>
      <c r="C10">
        <f t="shared" si="1"/>
        <v>-5.600000000000005E-2</v>
      </c>
      <c r="D10">
        <f t="shared" si="2"/>
        <v>0</v>
      </c>
      <c r="E10">
        <f t="shared" si="3"/>
        <v>1</v>
      </c>
      <c r="F10">
        <f t="shared" si="4"/>
        <v>0</v>
      </c>
      <c r="G10">
        <f t="shared" si="5"/>
        <v>0</v>
      </c>
    </row>
    <row r="11" spans="1:27" x14ac:dyDescent="0.25">
      <c r="A11" s="4">
        <v>42019</v>
      </c>
      <c r="B11">
        <f>[1]!YBHIST("10 Year Treasury",$A11,"YldtoMat","govt","")</f>
        <v>1.7749999999999999</v>
      </c>
      <c r="C11">
        <f t="shared" si="1"/>
        <v>-6.0000000000000053E-2</v>
      </c>
      <c r="D11">
        <f t="shared" si="2"/>
        <v>0</v>
      </c>
      <c r="E11">
        <f t="shared" si="3"/>
        <v>1</v>
      </c>
      <c r="F11">
        <f t="shared" si="4"/>
        <v>0</v>
      </c>
      <c r="G11">
        <f t="shared" si="5"/>
        <v>0</v>
      </c>
    </row>
    <row r="12" spans="1:27" x14ac:dyDescent="0.25">
      <c r="A12" s="2">
        <v>42020</v>
      </c>
      <c r="B12">
        <f>[1]!YBHIST("10 Year Treasury",$A12,"YldtoMat","govt","")</f>
        <v>1.8140000000000001</v>
      </c>
      <c r="C12">
        <f t="shared" si="1"/>
        <v>3.9000000000000146E-2</v>
      </c>
      <c r="D12">
        <f t="shared" si="2"/>
        <v>1</v>
      </c>
      <c r="E12">
        <f t="shared" si="3"/>
        <v>0</v>
      </c>
      <c r="F12">
        <f t="shared" si="4"/>
        <v>0</v>
      </c>
      <c r="G12">
        <f t="shared" si="5"/>
        <v>0</v>
      </c>
    </row>
    <row r="13" spans="1:27" x14ac:dyDescent="0.25">
      <c r="A13" s="4">
        <v>42024</v>
      </c>
      <c r="B13">
        <f>[1]!YBHIST("10 Year Treasury",$A13,"YldtoMat","govt","")</f>
        <v>1.8049999999999999</v>
      </c>
      <c r="C13">
        <f t="shared" si="1"/>
        <v>-9.000000000000119E-3</v>
      </c>
      <c r="D13">
        <f t="shared" si="2"/>
        <v>1</v>
      </c>
      <c r="E13">
        <f t="shared" si="3"/>
        <v>0</v>
      </c>
      <c r="F13">
        <f t="shared" si="4"/>
        <v>0</v>
      </c>
      <c r="G13">
        <f t="shared" si="5"/>
        <v>0</v>
      </c>
    </row>
    <row r="14" spans="1:27" x14ac:dyDescent="0.25">
      <c r="A14" s="2">
        <v>42025</v>
      </c>
      <c r="B14">
        <f>[1]!YBHIST("10 Year Treasury",$A14,"YldtoMat","govt","")</f>
        <v>1.851</v>
      </c>
      <c r="C14">
        <f t="shared" si="1"/>
        <v>4.6000000000000041E-2</v>
      </c>
      <c r="D14">
        <f t="shared" si="2"/>
        <v>1</v>
      </c>
      <c r="E14">
        <f t="shared" si="3"/>
        <v>0</v>
      </c>
      <c r="F14">
        <f t="shared" si="4"/>
        <v>0</v>
      </c>
      <c r="G14">
        <f t="shared" si="5"/>
        <v>0</v>
      </c>
    </row>
    <row r="15" spans="1:27" x14ac:dyDescent="0.25">
      <c r="A15" s="4">
        <v>42026</v>
      </c>
      <c r="B15">
        <f>[1]!YBHIST("10 Year Treasury",$A15,"YldtoMat","govt","")</f>
        <v>1.8939999999999999</v>
      </c>
      <c r="C15">
        <f t="shared" si="1"/>
        <v>4.2999999999999927E-2</v>
      </c>
      <c r="D15">
        <f t="shared" si="2"/>
        <v>1</v>
      </c>
      <c r="E15">
        <f t="shared" si="3"/>
        <v>0</v>
      </c>
      <c r="F15">
        <f t="shared" si="4"/>
        <v>0</v>
      </c>
      <c r="G15">
        <f t="shared" si="5"/>
        <v>0</v>
      </c>
    </row>
    <row r="16" spans="1:27" x14ac:dyDescent="0.25">
      <c r="A16" s="2">
        <v>42027</v>
      </c>
      <c r="B16">
        <f>[1]!YBHIST("10 Year Treasury",$A16,"YldtoMat","govt","")</f>
        <v>1.8160000000000001</v>
      </c>
      <c r="C16">
        <f t="shared" si="1"/>
        <v>-7.7999999999999847E-2</v>
      </c>
      <c r="D16">
        <f t="shared" si="2"/>
        <v>0</v>
      </c>
      <c r="E16">
        <f t="shared" si="3"/>
        <v>1</v>
      </c>
      <c r="F16">
        <f t="shared" si="4"/>
        <v>0</v>
      </c>
      <c r="G16">
        <f t="shared" si="5"/>
        <v>0</v>
      </c>
    </row>
    <row r="17" spans="1:7" x14ac:dyDescent="0.25">
      <c r="A17" s="4">
        <v>42030</v>
      </c>
      <c r="B17">
        <f>[1]!YBHIST("10 Year Treasury",$A17,"YldtoMat","govt","")</f>
        <v>1.8280000000000001</v>
      </c>
      <c r="C17">
        <f t="shared" si="1"/>
        <v>1.2000000000000011E-2</v>
      </c>
      <c r="D17">
        <f t="shared" si="2"/>
        <v>1</v>
      </c>
      <c r="E17">
        <f t="shared" si="3"/>
        <v>0</v>
      </c>
      <c r="F17">
        <f t="shared" si="4"/>
        <v>0</v>
      </c>
      <c r="G17">
        <f t="shared" si="5"/>
        <v>0</v>
      </c>
    </row>
    <row r="18" spans="1:7" x14ac:dyDescent="0.25">
      <c r="A18" s="2">
        <v>42031</v>
      </c>
      <c r="B18">
        <f>[1]!YBHIST("10 Year Treasury",$A18,"YldtoMat","govt","")</f>
        <v>1.821</v>
      </c>
      <c r="C18">
        <f t="shared" si="1"/>
        <v>-7.0000000000001172E-3</v>
      </c>
      <c r="D18">
        <f t="shared" si="2"/>
        <v>1</v>
      </c>
      <c r="E18">
        <f t="shared" si="3"/>
        <v>0</v>
      </c>
      <c r="F18">
        <f t="shared" si="4"/>
        <v>0</v>
      </c>
      <c r="G18">
        <f t="shared" si="5"/>
        <v>0</v>
      </c>
    </row>
    <row r="19" spans="1:7" x14ac:dyDescent="0.25">
      <c r="A19" s="4">
        <v>42032</v>
      </c>
      <c r="B19">
        <f>[1]!YBHIST("10 Year Treasury",$A19,"YldtoMat","govt","")</f>
        <v>1.722</v>
      </c>
      <c r="C19">
        <f t="shared" si="1"/>
        <v>-9.8999999999999977E-2</v>
      </c>
      <c r="D19">
        <f t="shared" si="2"/>
        <v>0</v>
      </c>
      <c r="E19">
        <f t="shared" si="3"/>
        <v>1</v>
      </c>
      <c r="F19">
        <f t="shared" si="4"/>
        <v>0</v>
      </c>
      <c r="G19">
        <f t="shared" si="5"/>
        <v>0</v>
      </c>
    </row>
    <row r="20" spans="1:7" x14ac:dyDescent="0.25">
      <c r="A20" s="2">
        <v>42033</v>
      </c>
      <c r="B20">
        <f>[1]!YBHIST("10 Year Treasury",$A20,"YldtoMat","govt","")</f>
        <v>1.7509999999999999</v>
      </c>
      <c r="C20">
        <f t="shared" si="1"/>
        <v>2.8999999999999915E-2</v>
      </c>
      <c r="D20">
        <f t="shared" si="2"/>
        <v>1</v>
      </c>
      <c r="E20">
        <f t="shared" si="3"/>
        <v>0</v>
      </c>
      <c r="F20">
        <f t="shared" si="4"/>
        <v>0</v>
      </c>
      <c r="G20">
        <f t="shared" si="5"/>
        <v>0</v>
      </c>
    </row>
    <row r="21" spans="1:7" x14ac:dyDescent="0.25">
      <c r="A21" s="4">
        <v>42034</v>
      </c>
      <c r="B21">
        <f>[1]!YBHIST("10 Year Treasury",$A21,"YldtoMat","govt","")</f>
        <v>1.673</v>
      </c>
      <c r="C21">
        <f t="shared" si="1"/>
        <v>-7.7999999999999847E-2</v>
      </c>
      <c r="D21">
        <f t="shared" si="2"/>
        <v>0</v>
      </c>
      <c r="E21">
        <f t="shared" si="3"/>
        <v>1</v>
      </c>
      <c r="F21">
        <f t="shared" si="4"/>
        <v>0</v>
      </c>
      <c r="G21">
        <f t="shared" si="5"/>
        <v>0</v>
      </c>
    </row>
    <row r="22" spans="1:7" x14ac:dyDescent="0.25">
      <c r="A22" s="2">
        <v>42037</v>
      </c>
      <c r="B22">
        <f>[1]!YBHIST("10 Year Treasury",$A22,"YldtoMat","govt","")</f>
        <v>1.6679999999999999</v>
      </c>
      <c r="C22">
        <f t="shared" si="1"/>
        <v>-5.0000000000001155E-3</v>
      </c>
      <c r="D22">
        <f t="shared" si="2"/>
        <v>1</v>
      </c>
      <c r="E22">
        <f t="shared" si="3"/>
        <v>0</v>
      </c>
      <c r="F22">
        <f t="shared" si="4"/>
        <v>0</v>
      </c>
      <c r="G22">
        <f t="shared" si="5"/>
        <v>0</v>
      </c>
    </row>
    <row r="23" spans="1:7" x14ac:dyDescent="0.25">
      <c r="A23" s="4">
        <v>42038</v>
      </c>
      <c r="B23">
        <f>[1]!YBHIST("10 Year Treasury",$A23,"YldtoMat","govt","")</f>
        <v>1.778</v>
      </c>
      <c r="C23">
        <f t="shared" si="1"/>
        <v>0.1100000000000001</v>
      </c>
      <c r="D23">
        <f t="shared" si="2"/>
        <v>0</v>
      </c>
      <c r="E23">
        <f t="shared" si="3"/>
        <v>0</v>
      </c>
      <c r="F23">
        <f t="shared" si="4"/>
        <v>1</v>
      </c>
      <c r="G23">
        <f t="shared" si="5"/>
        <v>0</v>
      </c>
    </row>
    <row r="24" spans="1:7" x14ac:dyDescent="0.25">
      <c r="A24" s="2">
        <v>42039</v>
      </c>
      <c r="B24">
        <f>[1]!YBHIST("10 Year Treasury",$A24,"YldtoMat","govt","")</f>
        <v>1.7949999999999999</v>
      </c>
      <c r="C24">
        <f t="shared" si="1"/>
        <v>1.6999999999999904E-2</v>
      </c>
      <c r="D24">
        <f t="shared" si="2"/>
        <v>1</v>
      </c>
      <c r="E24">
        <f t="shared" si="3"/>
        <v>0</v>
      </c>
      <c r="F24">
        <f t="shared" si="4"/>
        <v>0</v>
      </c>
      <c r="G24">
        <f t="shared" si="5"/>
        <v>0</v>
      </c>
    </row>
    <row r="25" spans="1:7" x14ac:dyDescent="0.25">
      <c r="A25" s="4">
        <v>42040</v>
      </c>
      <c r="B25">
        <f>[1]!YBHIST("10 Year Treasury",$A25,"YldtoMat","govt","")</f>
        <v>1.8149999999999999</v>
      </c>
      <c r="C25">
        <f t="shared" si="1"/>
        <v>2.0000000000000018E-2</v>
      </c>
      <c r="D25">
        <f t="shared" si="2"/>
        <v>1</v>
      </c>
      <c r="E25">
        <f t="shared" si="3"/>
        <v>0</v>
      </c>
      <c r="F25">
        <f t="shared" si="4"/>
        <v>0</v>
      </c>
      <c r="G25">
        <f t="shared" si="5"/>
        <v>0</v>
      </c>
    </row>
    <row r="26" spans="1:7" x14ac:dyDescent="0.25">
      <c r="A26" s="2">
        <v>42041</v>
      </c>
      <c r="B26">
        <f>[1]!YBHIST("10 Year Treasury",$A26,"YldtoMat","govt","")</f>
        <v>1.9359999999999999</v>
      </c>
      <c r="C26">
        <f t="shared" si="1"/>
        <v>0.121</v>
      </c>
      <c r="D26">
        <f t="shared" si="2"/>
        <v>0</v>
      </c>
      <c r="E26">
        <f t="shared" si="3"/>
        <v>0</v>
      </c>
      <c r="F26">
        <f t="shared" si="4"/>
        <v>1</v>
      </c>
      <c r="G26">
        <f t="shared" si="5"/>
        <v>0</v>
      </c>
    </row>
    <row r="27" spans="1:7" x14ac:dyDescent="0.25">
      <c r="A27" s="4">
        <v>42044</v>
      </c>
      <c r="B27">
        <f>[1]!YBHIST("10 Year Treasury",$A27,"YldtoMat","govt","")</f>
        <v>1.946</v>
      </c>
      <c r="C27">
        <f t="shared" si="1"/>
        <v>1.0000000000000009E-2</v>
      </c>
      <c r="D27">
        <f t="shared" si="2"/>
        <v>1</v>
      </c>
      <c r="E27">
        <f t="shared" si="3"/>
        <v>0</v>
      </c>
      <c r="F27">
        <f t="shared" si="4"/>
        <v>0</v>
      </c>
      <c r="G27">
        <f t="shared" si="5"/>
        <v>0</v>
      </c>
    </row>
    <row r="28" spans="1:7" x14ac:dyDescent="0.25">
      <c r="A28" s="2">
        <v>42045</v>
      </c>
      <c r="B28">
        <f>[1]!YBHIST("10 Year Treasury",$A28,"YldtoMat","govt","")</f>
        <v>1.9910000000000001</v>
      </c>
      <c r="C28">
        <f t="shared" si="1"/>
        <v>4.5000000000000151E-2</v>
      </c>
      <c r="D28">
        <f t="shared" si="2"/>
        <v>1</v>
      </c>
      <c r="E28">
        <f t="shared" si="3"/>
        <v>0</v>
      </c>
      <c r="F28">
        <f t="shared" si="4"/>
        <v>0</v>
      </c>
      <c r="G28">
        <f t="shared" si="5"/>
        <v>0</v>
      </c>
    </row>
    <row r="29" spans="1:7" x14ac:dyDescent="0.25">
      <c r="A29" s="4">
        <v>42046</v>
      </c>
      <c r="B29">
        <f>[1]!YBHIST("10 Year Treasury",$A29,"YldtoMat","govt","")</f>
        <v>1.986</v>
      </c>
      <c r="C29">
        <f t="shared" si="1"/>
        <v>-5.0000000000001155E-3</v>
      </c>
      <c r="D29">
        <f t="shared" si="2"/>
        <v>1</v>
      </c>
      <c r="E29">
        <f t="shared" si="3"/>
        <v>0</v>
      </c>
      <c r="F29">
        <f t="shared" si="4"/>
        <v>0</v>
      </c>
      <c r="G29">
        <f t="shared" si="5"/>
        <v>0</v>
      </c>
    </row>
    <row r="30" spans="1:7" x14ac:dyDescent="0.25">
      <c r="A30" s="2">
        <v>42047</v>
      </c>
      <c r="B30">
        <f>[1]!YBHIST("10 Year Treasury",$A30,"YldtoMat","govt","")</f>
        <v>1.984</v>
      </c>
      <c r="C30">
        <f t="shared" si="1"/>
        <v>-2.0000000000000018E-3</v>
      </c>
      <c r="D30">
        <f t="shared" si="2"/>
        <v>1</v>
      </c>
      <c r="E30">
        <f t="shared" si="3"/>
        <v>0</v>
      </c>
      <c r="F30">
        <f t="shared" si="4"/>
        <v>0</v>
      </c>
      <c r="G30">
        <f t="shared" si="5"/>
        <v>0</v>
      </c>
    </row>
    <row r="31" spans="1:7" x14ac:dyDescent="0.25">
      <c r="A31" s="4">
        <v>42048</v>
      </c>
      <c r="B31">
        <f>[1]!YBHIST("10 Year Treasury",$A31,"YldtoMat","govt","")</f>
        <v>2.0190000000000001</v>
      </c>
      <c r="C31">
        <f t="shared" si="1"/>
        <v>3.5000000000000142E-2</v>
      </c>
      <c r="D31">
        <f t="shared" si="2"/>
        <v>1</v>
      </c>
      <c r="E31">
        <f t="shared" si="3"/>
        <v>0</v>
      </c>
      <c r="F31">
        <f t="shared" si="4"/>
        <v>0</v>
      </c>
      <c r="G31">
        <f t="shared" si="5"/>
        <v>0</v>
      </c>
    </row>
    <row r="32" spans="1:7" x14ac:dyDescent="0.25">
      <c r="A32" s="2">
        <v>42052</v>
      </c>
      <c r="B32">
        <f>[1]!YBHIST("10 Year Treasury",$A32,"YldtoMat","govt","")</f>
        <v>2.141</v>
      </c>
      <c r="C32">
        <f t="shared" si="1"/>
        <v>0.12199999999999989</v>
      </c>
      <c r="D32">
        <f t="shared" si="2"/>
        <v>0</v>
      </c>
      <c r="E32">
        <f t="shared" si="3"/>
        <v>0</v>
      </c>
      <c r="F32">
        <f t="shared" si="4"/>
        <v>1</v>
      </c>
      <c r="G32">
        <f t="shared" si="5"/>
        <v>0</v>
      </c>
    </row>
    <row r="33" spans="1:7" x14ac:dyDescent="0.25">
      <c r="A33" s="4">
        <v>42053</v>
      </c>
      <c r="B33">
        <f>[1]!YBHIST("10 Year Treasury",$A33,"YldtoMat","govt","")</f>
        <v>2.0659999999999998</v>
      </c>
      <c r="C33">
        <f t="shared" si="1"/>
        <v>-7.5000000000000178E-2</v>
      </c>
      <c r="D33">
        <f t="shared" si="2"/>
        <v>0</v>
      </c>
      <c r="E33">
        <f t="shared" si="3"/>
        <v>1</v>
      </c>
      <c r="F33">
        <f t="shared" si="4"/>
        <v>0</v>
      </c>
      <c r="G33">
        <f t="shared" si="5"/>
        <v>0</v>
      </c>
    </row>
    <row r="34" spans="1:7" x14ac:dyDescent="0.25">
      <c r="A34" s="2">
        <v>42054</v>
      </c>
      <c r="B34">
        <f>[1]!YBHIST("10 Year Treasury",$A34,"YldtoMat","govt","")</f>
        <v>2.1120000000000001</v>
      </c>
      <c r="C34">
        <f t="shared" si="1"/>
        <v>4.6000000000000263E-2</v>
      </c>
      <c r="D34">
        <f t="shared" si="2"/>
        <v>1</v>
      </c>
      <c r="E34">
        <f t="shared" si="3"/>
        <v>0</v>
      </c>
      <c r="F34">
        <f t="shared" si="4"/>
        <v>0</v>
      </c>
      <c r="G34">
        <f t="shared" si="5"/>
        <v>0</v>
      </c>
    </row>
    <row r="35" spans="1:7" x14ac:dyDescent="0.25">
      <c r="A35" s="4">
        <v>42055</v>
      </c>
      <c r="B35">
        <f>[1]!YBHIST("10 Year Treasury",$A35,"YldtoMat","govt","")</f>
        <v>2.1309999999999998</v>
      </c>
      <c r="C35">
        <f t="shared" si="1"/>
        <v>1.8999999999999684E-2</v>
      </c>
      <c r="D35">
        <f t="shared" si="2"/>
        <v>1</v>
      </c>
      <c r="E35">
        <f t="shared" si="3"/>
        <v>0</v>
      </c>
      <c r="F35">
        <f t="shared" si="4"/>
        <v>0</v>
      </c>
      <c r="G35">
        <f t="shared" si="5"/>
        <v>0</v>
      </c>
    </row>
    <row r="36" spans="1:7" x14ac:dyDescent="0.25">
      <c r="A36" s="2">
        <v>42058</v>
      </c>
      <c r="B36">
        <f>[1]!YBHIST("10 Year Treasury",$A36,"YldtoMat","govt","")</f>
        <v>2.0590000000000002</v>
      </c>
      <c r="C36">
        <f t="shared" si="1"/>
        <v>-7.199999999999962E-2</v>
      </c>
      <c r="D36">
        <f t="shared" si="2"/>
        <v>0</v>
      </c>
      <c r="E36">
        <f t="shared" si="3"/>
        <v>1</v>
      </c>
      <c r="F36">
        <f t="shared" si="4"/>
        <v>0</v>
      </c>
      <c r="G36">
        <f t="shared" si="5"/>
        <v>0</v>
      </c>
    </row>
    <row r="37" spans="1:7" x14ac:dyDescent="0.25">
      <c r="A37" s="4">
        <v>42059</v>
      </c>
      <c r="B37">
        <f>[1]!YBHIST("10 Year Treasury",$A37,"YldtoMat","govt","")</f>
        <v>1.984</v>
      </c>
      <c r="C37">
        <f t="shared" si="1"/>
        <v>-7.5000000000000178E-2</v>
      </c>
      <c r="D37">
        <f t="shared" si="2"/>
        <v>0</v>
      </c>
      <c r="E37">
        <f t="shared" si="3"/>
        <v>1</v>
      </c>
      <c r="F37">
        <f t="shared" si="4"/>
        <v>0</v>
      </c>
      <c r="G37">
        <f t="shared" si="5"/>
        <v>0</v>
      </c>
    </row>
    <row r="38" spans="1:7" x14ac:dyDescent="0.25">
      <c r="A38" s="2">
        <v>42060</v>
      </c>
      <c r="B38">
        <f>[1]!YBHIST("10 Year Treasury",$A38,"YldtoMat","govt","")</f>
        <v>1.9670000000000001</v>
      </c>
      <c r="C38">
        <f t="shared" si="1"/>
        <v>-1.6999999999999904E-2</v>
      </c>
      <c r="D38">
        <f t="shared" si="2"/>
        <v>1</v>
      </c>
      <c r="E38">
        <f t="shared" si="3"/>
        <v>0</v>
      </c>
      <c r="F38">
        <f t="shared" si="4"/>
        <v>0</v>
      </c>
      <c r="G38">
        <f t="shared" si="5"/>
        <v>0</v>
      </c>
    </row>
    <row r="39" spans="1:7" x14ac:dyDescent="0.25">
      <c r="A39" s="4">
        <v>42061</v>
      </c>
      <c r="B39">
        <f>[1]!YBHIST("10 Year Treasury",$A39,"YldtoMat","govt","")</f>
        <v>2.0139999999999998</v>
      </c>
      <c r="C39">
        <f t="shared" si="1"/>
        <v>4.6999999999999709E-2</v>
      </c>
      <c r="D39">
        <f t="shared" si="2"/>
        <v>1</v>
      </c>
      <c r="E39">
        <f t="shared" si="3"/>
        <v>0</v>
      </c>
      <c r="F39">
        <f t="shared" si="4"/>
        <v>0</v>
      </c>
      <c r="G39">
        <f t="shared" si="5"/>
        <v>0</v>
      </c>
    </row>
    <row r="40" spans="1:7" x14ac:dyDescent="0.25">
      <c r="A40" s="2">
        <v>42062</v>
      </c>
      <c r="B40">
        <f>[1]!YBHIST("10 Year Treasury",$A40,"YldtoMat","govt","")</f>
        <v>1.998</v>
      </c>
      <c r="C40">
        <f t="shared" si="1"/>
        <v>-1.5999999999999792E-2</v>
      </c>
      <c r="D40">
        <f t="shared" si="2"/>
        <v>1</v>
      </c>
      <c r="E40">
        <f t="shared" si="3"/>
        <v>0</v>
      </c>
      <c r="F40">
        <f t="shared" si="4"/>
        <v>0</v>
      </c>
      <c r="G40">
        <f t="shared" si="5"/>
        <v>0</v>
      </c>
    </row>
    <row r="41" spans="1:7" x14ac:dyDescent="0.25">
      <c r="A41" s="4">
        <v>42065</v>
      </c>
      <c r="B41">
        <f>[1]!YBHIST("10 Year Treasury",$A41,"YldtoMat","govt","")</f>
        <v>2.08</v>
      </c>
      <c r="C41">
        <f t="shared" si="1"/>
        <v>8.2000000000000073E-2</v>
      </c>
      <c r="D41">
        <f t="shared" si="2"/>
        <v>0</v>
      </c>
      <c r="E41">
        <f t="shared" si="3"/>
        <v>1</v>
      </c>
      <c r="F41">
        <f t="shared" si="4"/>
        <v>0</v>
      </c>
      <c r="G41">
        <f t="shared" si="5"/>
        <v>0</v>
      </c>
    </row>
    <row r="42" spans="1:7" x14ac:dyDescent="0.25">
      <c r="A42" s="2">
        <v>42066</v>
      </c>
      <c r="B42">
        <f>[1]!YBHIST("10 Year Treasury",$A42,"YldtoMat","govt","")</f>
        <v>2.1219999999999999</v>
      </c>
      <c r="C42">
        <f t="shared" si="1"/>
        <v>4.1999999999999815E-2</v>
      </c>
      <c r="D42">
        <f t="shared" si="2"/>
        <v>1</v>
      </c>
      <c r="E42">
        <f t="shared" si="3"/>
        <v>0</v>
      </c>
      <c r="F42">
        <f t="shared" si="4"/>
        <v>0</v>
      </c>
      <c r="G42">
        <f t="shared" si="5"/>
        <v>0</v>
      </c>
    </row>
    <row r="43" spans="1:7" x14ac:dyDescent="0.25">
      <c r="A43" s="4">
        <v>42067</v>
      </c>
      <c r="B43">
        <f>[1]!YBHIST("10 Year Treasury",$A43,"YldtoMat","govt","")</f>
        <v>2.121</v>
      </c>
      <c r="C43">
        <f t="shared" si="1"/>
        <v>-9.9999999999988987E-4</v>
      </c>
      <c r="D43">
        <f t="shared" si="2"/>
        <v>1</v>
      </c>
      <c r="E43">
        <f t="shared" si="3"/>
        <v>0</v>
      </c>
      <c r="F43">
        <f t="shared" si="4"/>
        <v>0</v>
      </c>
      <c r="G43">
        <f t="shared" si="5"/>
        <v>0</v>
      </c>
    </row>
    <row r="44" spans="1:7" x14ac:dyDescent="0.25">
      <c r="A44" s="2">
        <v>42068</v>
      </c>
      <c r="B44">
        <f>[1]!YBHIST("10 Year Treasury",$A44,"YldtoMat","govt","")</f>
        <v>2.1080000000000001</v>
      </c>
      <c r="C44">
        <f t="shared" si="1"/>
        <v>-1.2999999999999901E-2</v>
      </c>
      <c r="D44">
        <f t="shared" si="2"/>
        <v>1</v>
      </c>
      <c r="E44">
        <f t="shared" si="3"/>
        <v>0</v>
      </c>
      <c r="F44">
        <f t="shared" si="4"/>
        <v>0</v>
      </c>
      <c r="G44">
        <f t="shared" si="5"/>
        <v>0</v>
      </c>
    </row>
    <row r="45" spans="1:7" x14ac:dyDescent="0.25">
      <c r="A45" s="4">
        <v>42069</v>
      </c>
      <c r="B45">
        <f>[1]!YBHIST("10 Year Treasury",$A45,"YldtoMat","govt","")</f>
        <v>2.238</v>
      </c>
      <c r="C45">
        <f t="shared" si="1"/>
        <v>0.12999999999999989</v>
      </c>
      <c r="D45">
        <f t="shared" si="2"/>
        <v>0</v>
      </c>
      <c r="E45">
        <f t="shared" si="3"/>
        <v>0</v>
      </c>
      <c r="F45">
        <f t="shared" si="4"/>
        <v>1</v>
      </c>
      <c r="G45">
        <f t="shared" si="5"/>
        <v>0</v>
      </c>
    </row>
    <row r="46" spans="1:7" x14ac:dyDescent="0.25">
      <c r="A46" s="2">
        <v>42072</v>
      </c>
      <c r="B46">
        <f>[1]!YBHIST("10 Year Treasury",$A46,"YldtoMat","govt","")</f>
        <v>2.1949999999999998</v>
      </c>
      <c r="C46">
        <f t="shared" si="1"/>
        <v>-4.3000000000000149E-2</v>
      </c>
      <c r="D46">
        <f t="shared" si="2"/>
        <v>1</v>
      </c>
      <c r="E46">
        <f t="shared" si="3"/>
        <v>0</v>
      </c>
      <c r="F46">
        <f t="shared" si="4"/>
        <v>0</v>
      </c>
      <c r="G46">
        <f t="shared" si="5"/>
        <v>0</v>
      </c>
    </row>
    <row r="47" spans="1:7" x14ac:dyDescent="0.25">
      <c r="A47" s="4">
        <v>42073</v>
      </c>
      <c r="B47">
        <f>[1]!YBHIST("10 Year Treasury",$A47,"YldtoMat","govt","")</f>
        <v>2.1259999999999999</v>
      </c>
      <c r="C47">
        <f t="shared" si="1"/>
        <v>-6.899999999999995E-2</v>
      </c>
      <c r="D47">
        <f t="shared" si="2"/>
        <v>0</v>
      </c>
      <c r="E47">
        <f t="shared" si="3"/>
        <v>1</v>
      </c>
      <c r="F47">
        <f t="shared" si="4"/>
        <v>0</v>
      </c>
      <c r="G47">
        <f t="shared" si="5"/>
        <v>0</v>
      </c>
    </row>
    <row r="48" spans="1:7" x14ac:dyDescent="0.25">
      <c r="A48" s="2">
        <v>42074</v>
      </c>
      <c r="B48">
        <f>[1]!YBHIST("10 Year Treasury",$A48,"YldtoMat","govt","")</f>
        <v>2.11</v>
      </c>
      <c r="C48">
        <f t="shared" si="1"/>
        <v>-1.6000000000000014E-2</v>
      </c>
      <c r="D48">
        <f t="shared" si="2"/>
        <v>1</v>
      </c>
      <c r="E48">
        <f t="shared" si="3"/>
        <v>0</v>
      </c>
      <c r="F48">
        <f t="shared" si="4"/>
        <v>0</v>
      </c>
      <c r="G48">
        <f t="shared" si="5"/>
        <v>0</v>
      </c>
    </row>
    <row r="49" spans="1:7" x14ac:dyDescent="0.25">
      <c r="A49" s="4">
        <v>42075</v>
      </c>
      <c r="B49">
        <f>[1]!YBHIST("10 Year Treasury",$A49,"YldtoMat","govt","")</f>
        <v>2.0960000000000001</v>
      </c>
      <c r="C49">
        <f t="shared" si="1"/>
        <v>-1.399999999999979E-2</v>
      </c>
      <c r="D49">
        <f t="shared" si="2"/>
        <v>1</v>
      </c>
      <c r="E49">
        <f t="shared" si="3"/>
        <v>0</v>
      </c>
      <c r="F49">
        <f t="shared" si="4"/>
        <v>0</v>
      </c>
      <c r="G49">
        <f t="shared" si="5"/>
        <v>0</v>
      </c>
    </row>
    <row r="50" spans="1:7" x14ac:dyDescent="0.25">
      <c r="A50" s="2">
        <v>42076</v>
      </c>
      <c r="B50">
        <f>[1]!YBHIST("10 Year Treasury",$A50,"YldtoMat","govt","")</f>
        <v>2.1120000000000001</v>
      </c>
      <c r="C50">
        <f t="shared" si="1"/>
        <v>1.6000000000000014E-2</v>
      </c>
      <c r="D50">
        <f t="shared" si="2"/>
        <v>1</v>
      </c>
      <c r="E50">
        <f t="shared" si="3"/>
        <v>0</v>
      </c>
      <c r="F50">
        <f t="shared" si="4"/>
        <v>0</v>
      </c>
      <c r="G50">
        <f t="shared" si="5"/>
        <v>0</v>
      </c>
    </row>
    <row r="51" spans="1:7" x14ac:dyDescent="0.25">
      <c r="A51" s="4">
        <v>42079</v>
      </c>
      <c r="B51">
        <f>[1]!YBHIST("10 Year Treasury",$A51,"YldtoMat","govt","")</f>
        <v>2.0979999999999999</v>
      </c>
      <c r="C51">
        <f t="shared" si="1"/>
        <v>-1.4000000000000234E-2</v>
      </c>
      <c r="D51">
        <f t="shared" si="2"/>
        <v>1</v>
      </c>
      <c r="E51">
        <f t="shared" si="3"/>
        <v>0</v>
      </c>
      <c r="F51">
        <f t="shared" si="4"/>
        <v>0</v>
      </c>
      <c r="G51">
        <f t="shared" si="5"/>
        <v>0</v>
      </c>
    </row>
    <row r="52" spans="1:7" x14ac:dyDescent="0.25">
      <c r="A52" s="2">
        <v>42080</v>
      </c>
      <c r="B52">
        <f>[1]!YBHIST("10 Year Treasury",$A52,"YldtoMat","govt","")</f>
        <v>2.056</v>
      </c>
      <c r="C52">
        <f t="shared" si="1"/>
        <v>-4.1999999999999815E-2</v>
      </c>
      <c r="D52">
        <f t="shared" si="2"/>
        <v>1</v>
      </c>
      <c r="E52">
        <f t="shared" si="3"/>
        <v>0</v>
      </c>
      <c r="F52">
        <f t="shared" si="4"/>
        <v>0</v>
      </c>
      <c r="G52">
        <f t="shared" si="5"/>
        <v>0</v>
      </c>
    </row>
    <row r="53" spans="1:7" x14ac:dyDescent="0.25">
      <c r="A53" s="4">
        <v>42081</v>
      </c>
      <c r="B53">
        <f>[1]!YBHIST("10 Year Treasury",$A53,"YldtoMat","govt","")</f>
        <v>1.948</v>
      </c>
      <c r="C53">
        <f t="shared" si="1"/>
        <v>-0.1080000000000001</v>
      </c>
      <c r="D53">
        <f t="shared" si="2"/>
        <v>0</v>
      </c>
      <c r="E53">
        <f t="shared" si="3"/>
        <v>0</v>
      </c>
      <c r="F53">
        <f t="shared" si="4"/>
        <v>1</v>
      </c>
      <c r="G53">
        <f t="shared" si="5"/>
        <v>0</v>
      </c>
    </row>
    <row r="54" spans="1:7" x14ac:dyDescent="0.25">
      <c r="A54" s="2">
        <v>42082</v>
      </c>
      <c r="B54">
        <f>[1]!YBHIST("10 Year Treasury",$A54,"YldtoMat","govt","")</f>
        <v>1.974</v>
      </c>
      <c r="C54">
        <f t="shared" si="1"/>
        <v>2.6000000000000023E-2</v>
      </c>
      <c r="D54">
        <f t="shared" si="2"/>
        <v>1</v>
      </c>
      <c r="E54">
        <f t="shared" si="3"/>
        <v>0</v>
      </c>
      <c r="F54">
        <f t="shared" si="4"/>
        <v>0</v>
      </c>
      <c r="G54">
        <f t="shared" si="5"/>
        <v>0</v>
      </c>
    </row>
    <row r="55" spans="1:7" x14ac:dyDescent="0.25">
      <c r="A55" s="4">
        <v>42083</v>
      </c>
      <c r="B55">
        <f>[1]!YBHIST("10 Year Treasury",$A55,"YldtoMat","govt","")</f>
        <v>1.93</v>
      </c>
      <c r="C55">
        <f t="shared" si="1"/>
        <v>-4.4000000000000039E-2</v>
      </c>
      <c r="D55">
        <f t="shared" si="2"/>
        <v>1</v>
      </c>
      <c r="E55">
        <f t="shared" si="3"/>
        <v>0</v>
      </c>
      <c r="F55">
        <f t="shared" si="4"/>
        <v>0</v>
      </c>
      <c r="G55">
        <f t="shared" si="5"/>
        <v>0</v>
      </c>
    </row>
    <row r="56" spans="1:7" x14ac:dyDescent="0.25">
      <c r="A56" s="2">
        <v>42086</v>
      </c>
      <c r="B56">
        <f>[1]!YBHIST("10 Year Treasury",$A56,"YldtoMat","govt","")</f>
        <v>1.915</v>
      </c>
      <c r="C56">
        <f t="shared" si="1"/>
        <v>-1.4999999999999902E-2</v>
      </c>
      <c r="D56">
        <f t="shared" si="2"/>
        <v>1</v>
      </c>
      <c r="E56">
        <f t="shared" si="3"/>
        <v>0</v>
      </c>
      <c r="F56">
        <f t="shared" si="4"/>
        <v>0</v>
      </c>
      <c r="G56">
        <f t="shared" si="5"/>
        <v>0</v>
      </c>
    </row>
    <row r="57" spans="1:7" x14ac:dyDescent="0.25">
      <c r="A57" s="4">
        <v>42087</v>
      </c>
      <c r="B57">
        <f>[1]!YBHIST("10 Year Treasury",$A57,"YldtoMat","govt","")</f>
        <v>1.8779999999999999</v>
      </c>
      <c r="C57">
        <f t="shared" si="1"/>
        <v>-3.7000000000000144E-2</v>
      </c>
      <c r="D57">
        <f t="shared" si="2"/>
        <v>1</v>
      </c>
      <c r="E57">
        <f t="shared" si="3"/>
        <v>0</v>
      </c>
      <c r="F57">
        <f t="shared" si="4"/>
        <v>0</v>
      </c>
      <c r="G57">
        <f t="shared" si="5"/>
        <v>0</v>
      </c>
    </row>
    <row r="58" spans="1:7" x14ac:dyDescent="0.25">
      <c r="A58" s="2">
        <v>42088</v>
      </c>
      <c r="B58">
        <f>[1]!YBHIST("10 Year Treasury",$A58,"YldtoMat","govt","")</f>
        <v>1.9179999999999999</v>
      </c>
      <c r="C58">
        <f t="shared" si="1"/>
        <v>4.0000000000000036E-2</v>
      </c>
      <c r="D58">
        <f t="shared" si="2"/>
        <v>1</v>
      </c>
      <c r="E58">
        <f t="shared" si="3"/>
        <v>0</v>
      </c>
      <c r="F58">
        <f t="shared" si="4"/>
        <v>0</v>
      </c>
      <c r="G58">
        <f t="shared" si="5"/>
        <v>0</v>
      </c>
    </row>
    <row r="59" spans="1:7" x14ac:dyDescent="0.25">
      <c r="A59" s="4">
        <v>42089</v>
      </c>
      <c r="B59">
        <f>[1]!YBHIST("10 Year Treasury",$A59,"YldtoMat","govt","")</f>
        <v>2.0070000000000001</v>
      </c>
      <c r="C59">
        <f t="shared" si="1"/>
        <v>8.900000000000019E-2</v>
      </c>
      <c r="D59">
        <f t="shared" si="2"/>
        <v>0</v>
      </c>
      <c r="E59">
        <f t="shared" si="3"/>
        <v>1</v>
      </c>
      <c r="F59">
        <f t="shared" si="4"/>
        <v>0</v>
      </c>
      <c r="G59">
        <f t="shared" si="5"/>
        <v>0</v>
      </c>
    </row>
    <row r="60" spans="1:7" x14ac:dyDescent="0.25">
      <c r="A60" s="2">
        <v>42090</v>
      </c>
      <c r="B60">
        <f>[1]!YBHIST("10 Year Treasury",$A60,"YldtoMat","govt","")</f>
        <v>1.946</v>
      </c>
      <c r="C60">
        <f t="shared" si="1"/>
        <v>-6.1000000000000165E-2</v>
      </c>
      <c r="D60">
        <f t="shared" si="2"/>
        <v>0</v>
      </c>
      <c r="E60">
        <f t="shared" si="3"/>
        <v>1</v>
      </c>
      <c r="F60">
        <f t="shared" si="4"/>
        <v>0</v>
      </c>
      <c r="G60">
        <f t="shared" si="5"/>
        <v>0</v>
      </c>
    </row>
    <row r="61" spans="1:7" x14ac:dyDescent="0.25">
      <c r="A61" s="4">
        <v>42093</v>
      </c>
      <c r="B61">
        <f>[1]!YBHIST("10 Year Treasury",$A61,"YldtoMat","govt","")</f>
        <v>1.9610000000000001</v>
      </c>
      <c r="C61">
        <f t="shared" si="1"/>
        <v>1.5000000000000124E-2</v>
      </c>
      <c r="D61">
        <f t="shared" si="2"/>
        <v>1</v>
      </c>
      <c r="E61">
        <f t="shared" si="3"/>
        <v>0</v>
      </c>
      <c r="F61">
        <f t="shared" si="4"/>
        <v>0</v>
      </c>
      <c r="G61">
        <f t="shared" si="5"/>
        <v>0</v>
      </c>
    </row>
    <row r="62" spans="1:7" x14ac:dyDescent="0.25">
      <c r="A62" s="2">
        <v>42094</v>
      </c>
      <c r="B62">
        <f>[1]!YBHIST("10 Year Treasury",$A62,"YldtoMat","govt","")</f>
        <v>1.93</v>
      </c>
      <c r="C62">
        <f t="shared" si="1"/>
        <v>-3.1000000000000139E-2</v>
      </c>
      <c r="D62">
        <f t="shared" si="2"/>
        <v>1</v>
      </c>
      <c r="E62">
        <f t="shared" si="3"/>
        <v>0</v>
      </c>
      <c r="F62">
        <f t="shared" si="4"/>
        <v>0</v>
      </c>
      <c r="G62">
        <f t="shared" si="5"/>
        <v>0</v>
      </c>
    </row>
    <row r="63" spans="1:7" x14ac:dyDescent="0.25">
      <c r="A63" s="4">
        <v>42095</v>
      </c>
      <c r="B63">
        <f>[1]!YBHIST("10 Year Treasury",$A63,"YldtoMat","govt","")</f>
        <v>1.8680000000000001</v>
      </c>
      <c r="C63">
        <f>B63-B62</f>
        <v>-6.1999999999999833E-2</v>
      </c>
      <c r="D63">
        <f t="shared" si="2"/>
        <v>0</v>
      </c>
      <c r="E63">
        <f t="shared" si="3"/>
        <v>1</v>
      </c>
      <c r="F63">
        <f t="shared" si="4"/>
        <v>0</v>
      </c>
      <c r="G63">
        <f t="shared" si="5"/>
        <v>0</v>
      </c>
    </row>
    <row r="64" spans="1:7" x14ac:dyDescent="0.25">
      <c r="A64" s="2">
        <v>42096</v>
      </c>
      <c r="B64">
        <f>[1]!YBHIST("10 Year Treasury",$A64,"YldtoMat","govt","")</f>
        <v>1.9039999999999999</v>
      </c>
      <c r="C64">
        <f t="shared" si="1"/>
        <v>3.599999999999981E-2</v>
      </c>
      <c r="D64">
        <f t="shared" si="2"/>
        <v>1</v>
      </c>
      <c r="E64">
        <f t="shared" si="3"/>
        <v>0</v>
      </c>
      <c r="F64">
        <f t="shared" si="4"/>
        <v>0</v>
      </c>
      <c r="G64">
        <f t="shared" si="5"/>
        <v>0</v>
      </c>
    </row>
    <row r="65" spans="1:7" x14ac:dyDescent="0.25">
      <c r="A65" s="4">
        <v>42097</v>
      </c>
      <c r="B65">
        <f>[1]!YBHIST("10 Year Treasury",$A65,"YldtoMat","govt","")</f>
        <v>1.8360000000000001</v>
      </c>
      <c r="C65">
        <f t="shared" si="1"/>
        <v>-6.7999999999999838E-2</v>
      </c>
      <c r="D65">
        <f t="shared" si="2"/>
        <v>0</v>
      </c>
      <c r="E65">
        <f t="shared" si="3"/>
        <v>1</v>
      </c>
      <c r="F65">
        <f t="shared" si="4"/>
        <v>0</v>
      </c>
      <c r="G65">
        <f t="shared" si="5"/>
        <v>0</v>
      </c>
    </row>
    <row r="66" spans="1:7" x14ac:dyDescent="0.25">
      <c r="A66" s="2">
        <v>42100</v>
      </c>
      <c r="B66">
        <f>[1]!YBHIST("10 Year Treasury",$A66,"YldtoMat","govt","")</f>
        <v>1.9</v>
      </c>
      <c r="C66">
        <f t="shared" si="1"/>
        <v>6.3999999999999835E-2</v>
      </c>
      <c r="D66">
        <f t="shared" si="2"/>
        <v>0</v>
      </c>
      <c r="E66">
        <f t="shared" si="3"/>
        <v>1</v>
      </c>
      <c r="F66">
        <f t="shared" si="4"/>
        <v>0</v>
      </c>
      <c r="G66">
        <f t="shared" si="5"/>
        <v>0</v>
      </c>
    </row>
    <row r="67" spans="1:7" x14ac:dyDescent="0.25">
      <c r="A67" s="4">
        <v>42101</v>
      </c>
      <c r="B67">
        <f>[1]!YBHIST("10 Year Treasury",$A67,"YldtoMat","govt","")</f>
        <v>1.8919999999999999</v>
      </c>
      <c r="C67">
        <f t="shared" si="1"/>
        <v>-8.0000000000000071E-3</v>
      </c>
      <c r="D67">
        <f t="shared" si="2"/>
        <v>1</v>
      </c>
      <c r="E67">
        <f t="shared" si="3"/>
        <v>0</v>
      </c>
      <c r="F67">
        <f t="shared" si="4"/>
        <v>0</v>
      </c>
      <c r="G67">
        <f t="shared" si="5"/>
        <v>0</v>
      </c>
    </row>
    <row r="68" spans="1:7" x14ac:dyDescent="0.25">
      <c r="A68" s="2">
        <v>42102</v>
      </c>
      <c r="B68">
        <f>[1]!YBHIST("10 Year Treasury",$A68,"YldtoMat","govt","")</f>
        <v>1.895</v>
      </c>
      <c r="C68">
        <f t="shared" ref="C68:C131" si="9">B68-B67</f>
        <v>3.0000000000001137E-3</v>
      </c>
      <c r="D68">
        <f t="shared" ref="D68:D131" si="10">IF(INT(ABS(C68)*100/5)=0,1,0)</f>
        <v>1</v>
      </c>
      <c r="E68">
        <f t="shared" ref="E68:E131" si="11">IF(INT(ABS(C68)*100/5)=1,1,0)</f>
        <v>0</v>
      </c>
      <c r="F68">
        <f t="shared" ref="F68:F131" si="12">IF(INT(ABS(C68)*100/5)=2,1,0)</f>
        <v>0</v>
      </c>
      <c r="G68">
        <f t="shared" ref="G68:G131" si="13">IF(INT(ABS(C68)*100/5)=13,1,0)</f>
        <v>0</v>
      </c>
    </row>
    <row r="69" spans="1:7" x14ac:dyDescent="0.25">
      <c r="A69" s="4">
        <v>42103</v>
      </c>
      <c r="B69">
        <f>[1]!YBHIST("10 Year Treasury",$A69,"YldtoMat","govt","")</f>
        <v>1.958</v>
      </c>
      <c r="C69">
        <f t="shared" si="9"/>
        <v>6.2999999999999945E-2</v>
      </c>
      <c r="D69">
        <f t="shared" si="10"/>
        <v>0</v>
      </c>
      <c r="E69">
        <f t="shared" si="11"/>
        <v>1</v>
      </c>
      <c r="F69">
        <f t="shared" si="12"/>
        <v>0</v>
      </c>
      <c r="G69">
        <f t="shared" si="13"/>
        <v>0</v>
      </c>
    </row>
    <row r="70" spans="1:7" x14ac:dyDescent="0.25">
      <c r="A70" s="2">
        <v>42104</v>
      </c>
      <c r="B70">
        <f>[1]!YBHIST("10 Year Treasury",$A70,"YldtoMat","govt","")</f>
        <v>1.9510000000000001</v>
      </c>
      <c r="C70">
        <f t="shared" si="9"/>
        <v>-6.9999999999998952E-3</v>
      </c>
      <c r="D70">
        <f t="shared" si="10"/>
        <v>1</v>
      </c>
      <c r="E70">
        <f t="shared" si="11"/>
        <v>0</v>
      </c>
      <c r="F70">
        <f t="shared" si="12"/>
        <v>0</v>
      </c>
      <c r="G70">
        <f t="shared" si="13"/>
        <v>0</v>
      </c>
    </row>
    <row r="71" spans="1:7" x14ac:dyDescent="0.25">
      <c r="A71" s="4">
        <v>42107</v>
      </c>
      <c r="B71">
        <f>[1]!YBHIST("10 Year Treasury",$A71,"YldtoMat","govt","")</f>
        <v>1.9370000000000001</v>
      </c>
      <c r="C71">
        <f t="shared" si="9"/>
        <v>-1.4000000000000012E-2</v>
      </c>
      <c r="D71">
        <f t="shared" si="10"/>
        <v>1</v>
      </c>
      <c r="E71">
        <f t="shared" si="11"/>
        <v>0</v>
      </c>
      <c r="F71">
        <f t="shared" si="12"/>
        <v>0</v>
      </c>
      <c r="G71">
        <f t="shared" si="13"/>
        <v>0</v>
      </c>
    </row>
    <row r="72" spans="1:7" x14ac:dyDescent="0.25">
      <c r="A72" s="2">
        <v>42108</v>
      </c>
      <c r="B72">
        <f>[1]!YBHIST("10 Year Treasury",$A72,"YldtoMat","govt","")</f>
        <v>1.9019999999999999</v>
      </c>
      <c r="C72">
        <f t="shared" si="9"/>
        <v>-3.5000000000000142E-2</v>
      </c>
      <c r="D72">
        <f t="shared" si="10"/>
        <v>1</v>
      </c>
      <c r="E72">
        <f t="shared" si="11"/>
        <v>0</v>
      </c>
      <c r="F72">
        <f t="shared" si="12"/>
        <v>0</v>
      </c>
      <c r="G72">
        <f t="shared" si="13"/>
        <v>0</v>
      </c>
    </row>
    <row r="73" spans="1:7" x14ac:dyDescent="0.25">
      <c r="A73" s="4">
        <v>42109</v>
      </c>
      <c r="B73">
        <f>[1]!YBHIST("10 Year Treasury",$A73,"YldtoMat","govt","")</f>
        <v>1.8979999999999999</v>
      </c>
      <c r="C73">
        <f t="shared" si="9"/>
        <v>-4.0000000000000036E-3</v>
      </c>
      <c r="D73">
        <f t="shared" si="10"/>
        <v>1</v>
      </c>
      <c r="E73">
        <f t="shared" si="11"/>
        <v>0</v>
      </c>
      <c r="F73">
        <f t="shared" si="12"/>
        <v>0</v>
      </c>
      <c r="G73">
        <f t="shared" si="13"/>
        <v>0</v>
      </c>
    </row>
    <row r="74" spans="1:7" x14ac:dyDescent="0.25">
      <c r="A74" s="2">
        <v>42110</v>
      </c>
      <c r="B74">
        <f>[1]!YBHIST("10 Year Treasury",$A74,"YldtoMat","govt","")</f>
        <v>1.8759999999999999</v>
      </c>
      <c r="C74">
        <f t="shared" si="9"/>
        <v>-2.200000000000002E-2</v>
      </c>
      <c r="D74">
        <f t="shared" si="10"/>
        <v>1</v>
      </c>
      <c r="E74">
        <f t="shared" si="11"/>
        <v>0</v>
      </c>
      <c r="F74">
        <f t="shared" si="12"/>
        <v>0</v>
      </c>
      <c r="G74">
        <f t="shared" si="13"/>
        <v>0</v>
      </c>
    </row>
    <row r="75" spans="1:7" x14ac:dyDescent="0.25">
      <c r="A75" s="4">
        <v>42111</v>
      </c>
      <c r="B75">
        <f>[1]!YBHIST("10 Year Treasury",$A75,"YldtoMat","govt","")</f>
        <v>1.85</v>
      </c>
      <c r="C75">
        <f t="shared" si="9"/>
        <v>-2.5999999999999801E-2</v>
      </c>
      <c r="D75">
        <f t="shared" si="10"/>
        <v>1</v>
      </c>
      <c r="E75">
        <f t="shared" si="11"/>
        <v>0</v>
      </c>
      <c r="F75">
        <f t="shared" si="12"/>
        <v>0</v>
      </c>
      <c r="G75">
        <f t="shared" si="13"/>
        <v>0</v>
      </c>
    </row>
    <row r="76" spans="1:7" x14ac:dyDescent="0.25">
      <c r="A76" s="2">
        <v>42114</v>
      </c>
      <c r="B76">
        <f>[1]!YBHIST("10 Year Treasury",$A76,"YldtoMat","govt","")</f>
        <v>1.893</v>
      </c>
      <c r="C76">
        <f t="shared" si="9"/>
        <v>4.2999999999999927E-2</v>
      </c>
      <c r="D76">
        <f t="shared" si="10"/>
        <v>1</v>
      </c>
      <c r="E76">
        <f t="shared" si="11"/>
        <v>0</v>
      </c>
      <c r="F76">
        <f t="shared" si="12"/>
        <v>0</v>
      </c>
      <c r="G76">
        <f t="shared" si="13"/>
        <v>0</v>
      </c>
    </row>
    <row r="77" spans="1:7" x14ac:dyDescent="0.25">
      <c r="A77" s="4">
        <v>42115</v>
      </c>
      <c r="B77">
        <f>[1]!YBHIST("10 Year Treasury",$A77,"YldtoMat","govt","")</f>
        <v>1.9139999999999999</v>
      </c>
      <c r="C77">
        <f t="shared" si="9"/>
        <v>2.0999999999999908E-2</v>
      </c>
      <c r="D77">
        <f t="shared" si="10"/>
        <v>1</v>
      </c>
      <c r="E77">
        <f t="shared" si="11"/>
        <v>0</v>
      </c>
      <c r="F77">
        <f t="shared" si="12"/>
        <v>0</v>
      </c>
      <c r="G77">
        <f t="shared" si="13"/>
        <v>0</v>
      </c>
    </row>
    <row r="78" spans="1:7" x14ac:dyDescent="0.25">
      <c r="A78" s="2">
        <v>42116</v>
      </c>
      <c r="B78">
        <f>[1]!YBHIST("10 Year Treasury",$A78,"YldtoMat","govt","")</f>
        <v>1.972</v>
      </c>
      <c r="C78">
        <f t="shared" si="9"/>
        <v>5.8000000000000052E-2</v>
      </c>
      <c r="D78">
        <f t="shared" si="10"/>
        <v>0</v>
      </c>
      <c r="E78">
        <f t="shared" si="11"/>
        <v>1</v>
      </c>
      <c r="F78">
        <f t="shared" si="12"/>
        <v>0</v>
      </c>
      <c r="G78">
        <f t="shared" si="13"/>
        <v>0</v>
      </c>
    </row>
    <row r="79" spans="1:7" x14ac:dyDescent="0.25">
      <c r="A79" s="4">
        <v>42117</v>
      </c>
      <c r="B79">
        <f>[1]!YBHIST("10 Year Treasury",$A79,"YldtoMat","govt","")</f>
        <v>1.9450000000000001</v>
      </c>
      <c r="C79">
        <f t="shared" si="9"/>
        <v>-2.6999999999999913E-2</v>
      </c>
      <c r="D79">
        <f t="shared" si="10"/>
        <v>1</v>
      </c>
      <c r="E79">
        <f t="shared" si="11"/>
        <v>0</v>
      </c>
      <c r="F79">
        <f t="shared" si="12"/>
        <v>0</v>
      </c>
      <c r="G79">
        <f t="shared" si="13"/>
        <v>0</v>
      </c>
    </row>
    <row r="80" spans="1:7" x14ac:dyDescent="0.25">
      <c r="A80" s="2">
        <v>42118</v>
      </c>
      <c r="B80">
        <f>[1]!YBHIST("10 Year Treasury",$A80,"YldtoMat","govt","")</f>
        <v>1.9159999999999999</v>
      </c>
      <c r="C80">
        <f t="shared" si="9"/>
        <v>-2.9000000000000137E-2</v>
      </c>
      <c r="D80">
        <f t="shared" si="10"/>
        <v>1</v>
      </c>
      <c r="E80">
        <f t="shared" si="11"/>
        <v>0</v>
      </c>
      <c r="F80">
        <f t="shared" si="12"/>
        <v>0</v>
      </c>
      <c r="G80">
        <f t="shared" si="13"/>
        <v>0</v>
      </c>
    </row>
    <row r="81" spans="1:7" x14ac:dyDescent="0.25">
      <c r="A81" s="4">
        <v>42121</v>
      </c>
      <c r="B81">
        <f>[1]!YBHIST("10 Year Treasury",$A81,"YldtoMat","govt","")</f>
        <v>1.9239999999999999</v>
      </c>
      <c r="C81">
        <f t="shared" si="9"/>
        <v>8.0000000000000071E-3</v>
      </c>
      <c r="D81">
        <f t="shared" si="10"/>
        <v>1</v>
      </c>
      <c r="E81">
        <f t="shared" si="11"/>
        <v>0</v>
      </c>
      <c r="F81">
        <f t="shared" si="12"/>
        <v>0</v>
      </c>
      <c r="G81">
        <f t="shared" si="13"/>
        <v>0</v>
      </c>
    </row>
    <row r="82" spans="1:7" x14ac:dyDescent="0.25">
      <c r="A82" s="2">
        <v>42122</v>
      </c>
      <c r="B82">
        <f>[1]!YBHIST("10 Year Treasury",$A82,"YldtoMat","govt","")</f>
        <v>1.9730000000000001</v>
      </c>
      <c r="C82">
        <f t="shared" si="9"/>
        <v>4.9000000000000155E-2</v>
      </c>
      <c r="D82">
        <f t="shared" si="10"/>
        <v>1</v>
      </c>
      <c r="E82">
        <f t="shared" si="11"/>
        <v>0</v>
      </c>
      <c r="F82">
        <f t="shared" si="12"/>
        <v>0</v>
      </c>
      <c r="G82">
        <f t="shared" si="13"/>
        <v>0</v>
      </c>
    </row>
    <row r="83" spans="1:7" x14ac:dyDescent="0.25">
      <c r="A83" s="4">
        <v>42123</v>
      </c>
      <c r="B83">
        <f>[1]!YBHIST("10 Year Treasury",$A83,"YldtoMat","govt","")</f>
        <v>2.0350000000000001</v>
      </c>
      <c r="C83">
        <f t="shared" si="9"/>
        <v>6.2000000000000055E-2</v>
      </c>
      <c r="D83">
        <f t="shared" si="10"/>
        <v>0</v>
      </c>
      <c r="E83">
        <f t="shared" si="11"/>
        <v>1</v>
      </c>
      <c r="F83">
        <f t="shared" si="12"/>
        <v>0</v>
      </c>
      <c r="G83">
        <f t="shared" si="13"/>
        <v>0</v>
      </c>
    </row>
    <row r="84" spans="1:7" x14ac:dyDescent="0.25">
      <c r="A84" s="2">
        <v>42124</v>
      </c>
      <c r="B84">
        <f>[1]!YBHIST("10 Year Treasury",$A84,"YldtoMat","govt","")</f>
        <v>2.0419999999999998</v>
      </c>
      <c r="C84">
        <f t="shared" si="9"/>
        <v>6.9999999999996732E-3</v>
      </c>
      <c r="D84">
        <f t="shared" si="10"/>
        <v>1</v>
      </c>
      <c r="E84">
        <f t="shared" si="11"/>
        <v>0</v>
      </c>
      <c r="F84">
        <f t="shared" si="12"/>
        <v>0</v>
      </c>
      <c r="G84">
        <f t="shared" si="13"/>
        <v>0</v>
      </c>
    </row>
    <row r="85" spans="1:7" x14ac:dyDescent="0.25">
      <c r="A85" s="4">
        <v>42125</v>
      </c>
      <c r="B85">
        <f>[1]!YBHIST("10 Year Treasury",$A85,"YldtoMat","govt","")</f>
        <v>2.1150000000000002</v>
      </c>
      <c r="C85">
        <f t="shared" si="9"/>
        <v>7.3000000000000398E-2</v>
      </c>
      <c r="D85">
        <f t="shared" si="10"/>
        <v>0</v>
      </c>
      <c r="E85">
        <f t="shared" si="11"/>
        <v>1</v>
      </c>
      <c r="F85">
        <f t="shared" si="12"/>
        <v>0</v>
      </c>
      <c r="G85">
        <f t="shared" si="13"/>
        <v>0</v>
      </c>
    </row>
    <row r="86" spans="1:7" x14ac:dyDescent="0.25">
      <c r="A86" s="2">
        <v>42128</v>
      </c>
      <c r="B86">
        <f>[1]!YBHIST("10 Year Treasury",$A86,"YldtoMat","govt","")</f>
        <v>2.1349999999999998</v>
      </c>
      <c r="C86">
        <f t="shared" si="9"/>
        <v>1.9999999999999574E-2</v>
      </c>
      <c r="D86">
        <f t="shared" si="10"/>
        <v>1</v>
      </c>
      <c r="E86">
        <f t="shared" si="11"/>
        <v>0</v>
      </c>
      <c r="F86">
        <f t="shared" si="12"/>
        <v>0</v>
      </c>
      <c r="G86">
        <f t="shared" si="13"/>
        <v>0</v>
      </c>
    </row>
    <row r="87" spans="1:7" x14ac:dyDescent="0.25">
      <c r="A87" s="4">
        <v>42129</v>
      </c>
      <c r="B87">
        <f>[1]!YBHIST("10 Year Treasury",$A87,"YldtoMat","govt","")</f>
        <v>2.1749999999999998</v>
      </c>
      <c r="C87">
        <f t="shared" si="9"/>
        <v>4.0000000000000036E-2</v>
      </c>
      <c r="D87">
        <f t="shared" si="10"/>
        <v>1</v>
      </c>
      <c r="E87">
        <f t="shared" si="11"/>
        <v>0</v>
      </c>
      <c r="F87">
        <f t="shared" si="12"/>
        <v>0</v>
      </c>
      <c r="G87">
        <f t="shared" si="13"/>
        <v>0</v>
      </c>
    </row>
    <row r="88" spans="1:7" x14ac:dyDescent="0.25">
      <c r="A88" s="2">
        <v>42130</v>
      </c>
      <c r="B88">
        <f>[1]!YBHIST("10 Year Treasury",$A88,"YldtoMat","govt","")</f>
        <v>2.2360000000000002</v>
      </c>
      <c r="C88">
        <f t="shared" si="9"/>
        <v>6.1000000000000387E-2</v>
      </c>
      <c r="D88">
        <f t="shared" si="10"/>
        <v>0</v>
      </c>
      <c r="E88">
        <f t="shared" si="11"/>
        <v>1</v>
      </c>
      <c r="F88">
        <f t="shared" si="12"/>
        <v>0</v>
      </c>
      <c r="G88">
        <f t="shared" si="13"/>
        <v>0</v>
      </c>
    </row>
    <row r="89" spans="1:7" x14ac:dyDescent="0.25">
      <c r="A89" s="4">
        <v>42131</v>
      </c>
      <c r="B89">
        <f>[1]!YBHIST("10 Year Treasury",$A89,"YldtoMat","govt","")</f>
        <v>2.1819999999999999</v>
      </c>
      <c r="C89">
        <f t="shared" si="9"/>
        <v>-5.400000000000027E-2</v>
      </c>
      <c r="D89">
        <f t="shared" si="10"/>
        <v>0</v>
      </c>
      <c r="E89">
        <f t="shared" si="11"/>
        <v>1</v>
      </c>
      <c r="F89">
        <f t="shared" si="12"/>
        <v>0</v>
      </c>
      <c r="G89">
        <f t="shared" si="13"/>
        <v>0</v>
      </c>
    </row>
    <row r="90" spans="1:7" x14ac:dyDescent="0.25">
      <c r="A90" s="2">
        <v>42132</v>
      </c>
      <c r="B90">
        <f>[1]!YBHIST("10 Year Treasury",$A90,"YldtoMat","govt","")</f>
        <v>2.1480000000000001</v>
      </c>
      <c r="C90">
        <f t="shared" si="9"/>
        <v>-3.3999999999999808E-2</v>
      </c>
      <c r="D90">
        <f t="shared" si="10"/>
        <v>1</v>
      </c>
      <c r="E90">
        <f t="shared" si="11"/>
        <v>0</v>
      </c>
      <c r="F90">
        <f t="shared" si="12"/>
        <v>0</v>
      </c>
      <c r="G90">
        <f t="shared" si="13"/>
        <v>0</v>
      </c>
    </row>
    <row r="91" spans="1:7" x14ac:dyDescent="0.25">
      <c r="A91" s="4">
        <v>42135</v>
      </c>
      <c r="B91">
        <f>[1]!YBHIST("10 Year Treasury",$A91,"YldtoMat","govt","")</f>
        <v>2.2719999999999998</v>
      </c>
      <c r="C91">
        <f t="shared" si="9"/>
        <v>0.12399999999999967</v>
      </c>
      <c r="D91">
        <f t="shared" si="10"/>
        <v>0</v>
      </c>
      <c r="E91">
        <f t="shared" si="11"/>
        <v>0</v>
      </c>
      <c r="F91">
        <f t="shared" si="12"/>
        <v>1</v>
      </c>
      <c r="G91">
        <f t="shared" si="13"/>
        <v>0</v>
      </c>
    </row>
    <row r="92" spans="1:7" x14ac:dyDescent="0.25">
      <c r="A92" s="2">
        <v>42136</v>
      </c>
      <c r="B92">
        <f>[1]!YBHIST("10 Year Treasury",$A92,"YldtoMat","govt","")</f>
        <v>2.2599999999999998</v>
      </c>
      <c r="C92">
        <f t="shared" si="9"/>
        <v>-1.2000000000000011E-2</v>
      </c>
      <c r="D92">
        <f t="shared" si="10"/>
        <v>1</v>
      </c>
      <c r="E92">
        <f t="shared" si="11"/>
        <v>0</v>
      </c>
      <c r="F92">
        <f t="shared" si="12"/>
        <v>0</v>
      </c>
      <c r="G92">
        <f t="shared" si="13"/>
        <v>0</v>
      </c>
    </row>
    <row r="93" spans="1:7" x14ac:dyDescent="0.25">
      <c r="A93" s="4">
        <v>42137</v>
      </c>
      <c r="B93">
        <f>[1]!YBHIST("10 Year Treasury",$A93,"YldtoMat","govt","")</f>
        <v>2.282</v>
      </c>
      <c r="C93">
        <f t="shared" si="9"/>
        <v>2.2000000000000242E-2</v>
      </c>
      <c r="D93">
        <f t="shared" si="10"/>
        <v>1</v>
      </c>
      <c r="E93">
        <f t="shared" si="11"/>
        <v>0</v>
      </c>
      <c r="F93">
        <f t="shared" si="12"/>
        <v>0</v>
      </c>
      <c r="G93">
        <f t="shared" si="13"/>
        <v>0</v>
      </c>
    </row>
    <row r="94" spans="1:7" x14ac:dyDescent="0.25">
      <c r="A94" s="2">
        <v>42138</v>
      </c>
      <c r="B94">
        <f>[1]!YBHIST("10 Year Treasury",$A94,"YldtoMat","govt","")</f>
        <v>2.2349999999999999</v>
      </c>
      <c r="C94">
        <f t="shared" si="9"/>
        <v>-4.7000000000000153E-2</v>
      </c>
      <c r="D94">
        <f t="shared" si="10"/>
        <v>1</v>
      </c>
      <c r="E94">
        <f t="shared" si="11"/>
        <v>0</v>
      </c>
      <c r="F94">
        <f t="shared" si="12"/>
        <v>0</v>
      </c>
      <c r="G94">
        <f t="shared" si="13"/>
        <v>0</v>
      </c>
    </row>
    <row r="95" spans="1:7" x14ac:dyDescent="0.25">
      <c r="A95" s="4">
        <v>42139</v>
      </c>
      <c r="B95">
        <f>[1]!YBHIST("10 Year Treasury",$A95,"YldtoMat","govt","")</f>
        <v>2.1389999999999998</v>
      </c>
      <c r="C95">
        <f t="shared" si="9"/>
        <v>-9.6000000000000085E-2</v>
      </c>
      <c r="D95">
        <f t="shared" si="10"/>
        <v>0</v>
      </c>
      <c r="E95">
        <f t="shared" si="11"/>
        <v>1</v>
      </c>
      <c r="F95">
        <f t="shared" si="12"/>
        <v>0</v>
      </c>
      <c r="G95">
        <f t="shared" si="13"/>
        <v>0</v>
      </c>
    </row>
    <row r="96" spans="1:7" x14ac:dyDescent="0.25">
      <c r="A96" s="2">
        <v>42142</v>
      </c>
      <c r="B96">
        <f>[1]!YBHIST("10 Year Treasury",$A96,"YldtoMat","govt","")</f>
        <v>2.23</v>
      </c>
      <c r="C96">
        <f t="shared" si="9"/>
        <v>9.1000000000000192E-2</v>
      </c>
      <c r="D96">
        <f t="shared" si="10"/>
        <v>0</v>
      </c>
      <c r="E96">
        <f t="shared" si="11"/>
        <v>1</v>
      </c>
      <c r="F96">
        <f t="shared" si="12"/>
        <v>0</v>
      </c>
      <c r="G96">
        <f t="shared" si="13"/>
        <v>0</v>
      </c>
    </row>
    <row r="97" spans="1:7" x14ac:dyDescent="0.25">
      <c r="A97" s="4">
        <v>42143</v>
      </c>
      <c r="B97">
        <f>[1]!YBHIST("10 Year Treasury",$A97,"YldtoMat","govt","")</f>
        <v>2.262</v>
      </c>
      <c r="C97">
        <f t="shared" si="9"/>
        <v>3.2000000000000028E-2</v>
      </c>
      <c r="D97">
        <f t="shared" si="10"/>
        <v>1</v>
      </c>
      <c r="E97">
        <f t="shared" si="11"/>
        <v>0</v>
      </c>
      <c r="F97">
        <f t="shared" si="12"/>
        <v>0</v>
      </c>
      <c r="G97">
        <f t="shared" si="13"/>
        <v>0</v>
      </c>
    </row>
    <row r="98" spans="1:7" x14ac:dyDescent="0.25">
      <c r="A98" s="2">
        <v>42144</v>
      </c>
      <c r="B98">
        <f>[1]!YBHIST("10 Year Treasury",$A98,"YldtoMat","govt","")</f>
        <v>2.25</v>
      </c>
      <c r="C98">
        <f t="shared" si="9"/>
        <v>-1.2000000000000011E-2</v>
      </c>
      <c r="D98">
        <f t="shared" si="10"/>
        <v>1</v>
      </c>
      <c r="E98">
        <f t="shared" si="11"/>
        <v>0</v>
      </c>
      <c r="F98">
        <f t="shared" si="12"/>
        <v>0</v>
      </c>
      <c r="G98">
        <f t="shared" si="13"/>
        <v>0</v>
      </c>
    </row>
    <row r="99" spans="1:7" x14ac:dyDescent="0.25">
      <c r="A99" s="4">
        <v>42145</v>
      </c>
      <c r="B99">
        <f>[1]!YBHIST("10 Year Treasury",$A99,"YldtoMat","govt","")</f>
        <v>2.1850000000000001</v>
      </c>
      <c r="C99">
        <f t="shared" si="9"/>
        <v>-6.4999999999999947E-2</v>
      </c>
      <c r="D99">
        <f t="shared" si="10"/>
        <v>0</v>
      </c>
      <c r="E99">
        <f t="shared" si="11"/>
        <v>1</v>
      </c>
      <c r="F99">
        <f t="shared" si="12"/>
        <v>0</v>
      </c>
      <c r="G99">
        <f t="shared" si="13"/>
        <v>0</v>
      </c>
    </row>
    <row r="100" spans="1:7" x14ac:dyDescent="0.25">
      <c r="A100" s="2">
        <v>42146</v>
      </c>
      <c r="B100">
        <f>[1]!YBHIST("10 Year Treasury",$A100,"YldtoMat","govt","")</f>
        <v>2.2269999999999999</v>
      </c>
      <c r="C100">
        <f t="shared" si="9"/>
        <v>4.1999999999999815E-2</v>
      </c>
      <c r="D100">
        <f t="shared" si="10"/>
        <v>1</v>
      </c>
      <c r="E100">
        <f t="shared" si="11"/>
        <v>0</v>
      </c>
      <c r="F100">
        <f t="shared" si="12"/>
        <v>0</v>
      </c>
      <c r="G100">
        <f t="shared" si="13"/>
        <v>0</v>
      </c>
    </row>
    <row r="101" spans="1:7" x14ac:dyDescent="0.25">
      <c r="A101" s="4">
        <v>42150</v>
      </c>
      <c r="B101">
        <f>[1]!YBHIST("10 Year Treasury",$A101,"YldtoMat","govt","")</f>
        <v>2.137</v>
      </c>
      <c r="C101">
        <f t="shared" si="9"/>
        <v>-8.9999999999999858E-2</v>
      </c>
      <c r="D101">
        <f t="shared" si="10"/>
        <v>0</v>
      </c>
      <c r="E101">
        <f t="shared" si="11"/>
        <v>1</v>
      </c>
      <c r="F101">
        <f t="shared" si="12"/>
        <v>0</v>
      </c>
      <c r="G101">
        <f t="shared" si="13"/>
        <v>0</v>
      </c>
    </row>
    <row r="102" spans="1:7" x14ac:dyDescent="0.25">
      <c r="A102" s="2">
        <v>42151</v>
      </c>
      <c r="B102">
        <f>[1]!YBHIST("10 Year Treasury",$A102,"YldtoMat","govt","")</f>
        <v>2.137</v>
      </c>
      <c r="C102">
        <f t="shared" si="9"/>
        <v>0</v>
      </c>
      <c r="D102">
        <f t="shared" si="10"/>
        <v>1</v>
      </c>
      <c r="E102">
        <f t="shared" si="11"/>
        <v>0</v>
      </c>
      <c r="F102">
        <f t="shared" si="12"/>
        <v>0</v>
      </c>
      <c r="G102">
        <f t="shared" si="13"/>
        <v>0</v>
      </c>
    </row>
    <row r="103" spans="1:7" x14ac:dyDescent="0.25">
      <c r="A103" s="4">
        <v>42152</v>
      </c>
      <c r="B103">
        <f>[1]!YBHIST("10 Year Treasury",$A103,"YldtoMat","govt","")</f>
        <v>2.13</v>
      </c>
      <c r="C103">
        <f t="shared" si="9"/>
        <v>-7.0000000000001172E-3</v>
      </c>
      <c r="D103">
        <f t="shared" si="10"/>
        <v>1</v>
      </c>
      <c r="E103">
        <f t="shared" si="11"/>
        <v>0</v>
      </c>
      <c r="F103">
        <f t="shared" si="12"/>
        <v>0</v>
      </c>
      <c r="G103">
        <f t="shared" si="13"/>
        <v>0</v>
      </c>
    </row>
    <row r="104" spans="1:7" x14ac:dyDescent="0.25">
      <c r="A104" s="2">
        <v>42153</v>
      </c>
      <c r="B104">
        <f>[1]!YBHIST("10 Year Treasury",$A104,"YldtoMat","govt","")</f>
        <v>2.093</v>
      </c>
      <c r="C104">
        <f t="shared" si="9"/>
        <v>-3.6999999999999922E-2</v>
      </c>
      <c r="D104">
        <f t="shared" si="10"/>
        <v>1</v>
      </c>
      <c r="E104">
        <f t="shared" si="11"/>
        <v>0</v>
      </c>
      <c r="F104">
        <f t="shared" si="12"/>
        <v>0</v>
      </c>
      <c r="G104">
        <f t="shared" si="13"/>
        <v>0</v>
      </c>
    </row>
    <row r="105" spans="1:7" x14ac:dyDescent="0.25">
      <c r="A105" s="4">
        <v>42156</v>
      </c>
      <c r="B105">
        <f>[1]!YBHIST("10 Year Treasury",$A105,"YldtoMat","govt","")</f>
        <v>2.1920000000000002</v>
      </c>
      <c r="C105">
        <f t="shared" si="9"/>
        <v>9.9000000000000199E-2</v>
      </c>
      <c r="D105">
        <f t="shared" si="10"/>
        <v>0</v>
      </c>
      <c r="E105">
        <f t="shared" si="11"/>
        <v>1</v>
      </c>
      <c r="F105">
        <f t="shared" si="12"/>
        <v>0</v>
      </c>
      <c r="G105">
        <f t="shared" si="13"/>
        <v>0</v>
      </c>
    </row>
    <row r="106" spans="1:7" x14ac:dyDescent="0.25">
      <c r="A106" s="2">
        <v>42157</v>
      </c>
      <c r="B106">
        <f>[1]!YBHIST("10 Year Treasury",$A106,"YldtoMat","govt","")</f>
        <v>2.266</v>
      </c>
      <c r="C106">
        <f t="shared" si="9"/>
        <v>7.3999999999999844E-2</v>
      </c>
      <c r="D106">
        <f t="shared" si="10"/>
        <v>0</v>
      </c>
      <c r="E106">
        <f t="shared" si="11"/>
        <v>1</v>
      </c>
      <c r="F106">
        <f t="shared" si="12"/>
        <v>0</v>
      </c>
      <c r="G106">
        <f t="shared" si="13"/>
        <v>0</v>
      </c>
    </row>
    <row r="107" spans="1:7" x14ac:dyDescent="0.25">
      <c r="A107" s="4">
        <v>42158</v>
      </c>
      <c r="B107">
        <f>[1]!YBHIST("10 Year Treasury",$A107,"YldtoMat","govt","")</f>
        <v>2.3660000000000001</v>
      </c>
      <c r="C107">
        <f t="shared" si="9"/>
        <v>0.10000000000000009</v>
      </c>
      <c r="D107">
        <f t="shared" si="10"/>
        <v>0</v>
      </c>
      <c r="E107">
        <f t="shared" si="11"/>
        <v>0</v>
      </c>
      <c r="F107">
        <f t="shared" si="12"/>
        <v>1</v>
      </c>
      <c r="G107">
        <f t="shared" si="13"/>
        <v>0</v>
      </c>
    </row>
    <row r="108" spans="1:7" x14ac:dyDescent="0.25">
      <c r="A108" s="2">
        <v>42159</v>
      </c>
      <c r="B108">
        <f>[1]!YBHIST("10 Year Treasury",$A108,"YldtoMat","govt","")</f>
        <v>2.3069999999999999</v>
      </c>
      <c r="C108">
        <f t="shared" si="9"/>
        <v>-5.9000000000000163E-2</v>
      </c>
      <c r="D108">
        <f t="shared" si="10"/>
        <v>0</v>
      </c>
      <c r="E108">
        <f t="shared" si="11"/>
        <v>1</v>
      </c>
      <c r="F108">
        <f t="shared" si="12"/>
        <v>0</v>
      </c>
      <c r="G108">
        <f t="shared" si="13"/>
        <v>0</v>
      </c>
    </row>
    <row r="109" spans="1:7" x14ac:dyDescent="0.25">
      <c r="A109" s="4">
        <v>42160</v>
      </c>
      <c r="B109">
        <f>[1]!YBHIST("10 Year Treasury",$A109,"YldtoMat","govt","")</f>
        <v>2.4020000000000001</v>
      </c>
      <c r="C109">
        <f t="shared" si="9"/>
        <v>9.5000000000000195E-2</v>
      </c>
      <c r="D109">
        <f t="shared" si="10"/>
        <v>0</v>
      </c>
      <c r="E109">
        <f t="shared" si="11"/>
        <v>1</v>
      </c>
      <c r="F109">
        <f t="shared" si="12"/>
        <v>0</v>
      </c>
      <c r="G109">
        <f t="shared" si="13"/>
        <v>0</v>
      </c>
    </row>
    <row r="110" spans="1:7" x14ac:dyDescent="0.25">
      <c r="A110" s="2">
        <v>42163</v>
      </c>
      <c r="B110">
        <f>[1]!YBHIST("10 Year Treasury",$A110,"YldtoMat","govt","")</f>
        <v>2.3809999999999998</v>
      </c>
      <c r="C110">
        <f t="shared" si="9"/>
        <v>-2.1000000000000352E-2</v>
      </c>
      <c r="D110">
        <f t="shared" si="10"/>
        <v>1</v>
      </c>
      <c r="E110">
        <f t="shared" si="11"/>
        <v>0</v>
      </c>
      <c r="F110">
        <f t="shared" si="12"/>
        <v>0</v>
      </c>
      <c r="G110">
        <f t="shared" si="13"/>
        <v>0</v>
      </c>
    </row>
    <row r="111" spans="1:7" x14ac:dyDescent="0.25">
      <c r="A111" s="4">
        <v>42164</v>
      </c>
      <c r="B111">
        <f>[1]!YBHIST("10 Year Treasury",$A111,"YldtoMat","govt","")</f>
        <v>2.415</v>
      </c>
      <c r="C111">
        <f t="shared" si="9"/>
        <v>3.4000000000000252E-2</v>
      </c>
      <c r="D111">
        <f t="shared" si="10"/>
        <v>1</v>
      </c>
      <c r="E111">
        <f t="shared" si="11"/>
        <v>0</v>
      </c>
      <c r="F111">
        <f t="shared" si="12"/>
        <v>0</v>
      </c>
      <c r="G111">
        <f t="shared" si="13"/>
        <v>0</v>
      </c>
    </row>
    <row r="112" spans="1:7" x14ac:dyDescent="0.25">
      <c r="A112" s="2">
        <v>42165</v>
      </c>
      <c r="B112">
        <f>[1]!YBHIST("10 Year Treasury",$A112,"YldtoMat","govt","")</f>
        <v>2.4769999999999999</v>
      </c>
      <c r="C112">
        <f t="shared" si="9"/>
        <v>6.1999999999999833E-2</v>
      </c>
      <c r="D112">
        <f t="shared" si="10"/>
        <v>0</v>
      </c>
      <c r="E112">
        <f t="shared" si="11"/>
        <v>1</v>
      </c>
      <c r="F112">
        <f t="shared" si="12"/>
        <v>0</v>
      </c>
      <c r="G112">
        <f t="shared" si="13"/>
        <v>0</v>
      </c>
    </row>
    <row r="113" spans="1:7" x14ac:dyDescent="0.25">
      <c r="A113" s="4">
        <v>42166</v>
      </c>
      <c r="B113">
        <f>[1]!YBHIST("10 Year Treasury",$A113,"YldtoMat","govt","")</f>
        <v>2.383</v>
      </c>
      <c r="C113">
        <f t="shared" si="9"/>
        <v>-9.3999999999999861E-2</v>
      </c>
      <c r="D113">
        <f t="shared" si="10"/>
        <v>0</v>
      </c>
      <c r="E113">
        <f t="shared" si="11"/>
        <v>1</v>
      </c>
      <c r="F113">
        <f t="shared" si="12"/>
        <v>0</v>
      </c>
      <c r="G113">
        <f t="shared" si="13"/>
        <v>0</v>
      </c>
    </row>
    <row r="114" spans="1:7" x14ac:dyDescent="0.25">
      <c r="A114" s="2">
        <v>42167</v>
      </c>
      <c r="B114">
        <f>[1]!YBHIST("10 Year Treasury",$A114,"YldtoMat","govt","")</f>
        <v>2.3809999999999998</v>
      </c>
      <c r="C114">
        <f t="shared" si="9"/>
        <v>-2.0000000000002238E-3</v>
      </c>
      <c r="D114">
        <f t="shared" si="10"/>
        <v>1</v>
      </c>
      <c r="E114">
        <f t="shared" si="11"/>
        <v>0</v>
      </c>
      <c r="F114">
        <f t="shared" si="12"/>
        <v>0</v>
      </c>
      <c r="G114">
        <f t="shared" si="13"/>
        <v>0</v>
      </c>
    </row>
    <row r="115" spans="1:7" x14ac:dyDescent="0.25">
      <c r="A115" s="4">
        <v>42170</v>
      </c>
      <c r="B115">
        <f>[1]!YBHIST("10 Year Treasury",$A115,"YldtoMat","govt","")</f>
        <v>2.3580000000000001</v>
      </c>
      <c r="C115">
        <f t="shared" si="9"/>
        <v>-2.2999999999999687E-2</v>
      </c>
      <c r="D115">
        <f t="shared" si="10"/>
        <v>1</v>
      </c>
      <c r="E115">
        <f t="shared" si="11"/>
        <v>0</v>
      </c>
      <c r="F115">
        <f t="shared" si="12"/>
        <v>0</v>
      </c>
      <c r="G115">
        <f t="shared" si="13"/>
        <v>0</v>
      </c>
    </row>
    <row r="116" spans="1:7" x14ac:dyDescent="0.25">
      <c r="A116" s="2">
        <v>42171</v>
      </c>
      <c r="B116">
        <f>[1]!YBHIST("10 Year Treasury",$A116,"YldtoMat","govt","")</f>
        <v>2.3159999999999998</v>
      </c>
      <c r="C116">
        <f t="shared" si="9"/>
        <v>-4.2000000000000259E-2</v>
      </c>
      <c r="D116">
        <f t="shared" si="10"/>
        <v>1</v>
      </c>
      <c r="E116">
        <f t="shared" si="11"/>
        <v>0</v>
      </c>
      <c r="F116">
        <f t="shared" si="12"/>
        <v>0</v>
      </c>
      <c r="G116">
        <f t="shared" si="13"/>
        <v>0</v>
      </c>
    </row>
    <row r="117" spans="1:7" x14ac:dyDescent="0.25">
      <c r="A117" s="4">
        <v>42172</v>
      </c>
      <c r="B117">
        <f>[1]!YBHIST("10 Year Treasury",$A117,"YldtoMat","govt","")</f>
        <v>2.306</v>
      </c>
      <c r="C117">
        <f t="shared" si="9"/>
        <v>-9.9999999999997868E-3</v>
      </c>
      <c r="D117">
        <f t="shared" si="10"/>
        <v>1</v>
      </c>
      <c r="E117">
        <f t="shared" si="11"/>
        <v>0</v>
      </c>
      <c r="F117">
        <f t="shared" si="12"/>
        <v>0</v>
      </c>
      <c r="G117">
        <f t="shared" si="13"/>
        <v>0</v>
      </c>
    </row>
    <row r="118" spans="1:7" x14ac:dyDescent="0.25">
      <c r="A118" s="2">
        <v>42173</v>
      </c>
      <c r="B118">
        <f>[1]!YBHIST("10 Year Treasury",$A118,"YldtoMat","govt","")</f>
        <v>2.351</v>
      </c>
      <c r="C118">
        <f t="shared" si="9"/>
        <v>4.4999999999999929E-2</v>
      </c>
      <c r="D118">
        <f t="shared" si="10"/>
        <v>1</v>
      </c>
      <c r="E118">
        <f t="shared" si="11"/>
        <v>0</v>
      </c>
      <c r="F118">
        <f t="shared" si="12"/>
        <v>0</v>
      </c>
      <c r="G118">
        <f t="shared" si="13"/>
        <v>0</v>
      </c>
    </row>
    <row r="119" spans="1:7" x14ac:dyDescent="0.25">
      <c r="A119" s="4">
        <v>42174</v>
      </c>
      <c r="B119">
        <f>[1]!YBHIST("10 Year Treasury",$A119,"YldtoMat","govt","")</f>
        <v>2.2650000000000001</v>
      </c>
      <c r="C119">
        <f t="shared" si="9"/>
        <v>-8.5999999999999854E-2</v>
      </c>
      <c r="D119">
        <f t="shared" si="10"/>
        <v>0</v>
      </c>
      <c r="E119">
        <f t="shared" si="11"/>
        <v>1</v>
      </c>
      <c r="F119">
        <f t="shared" si="12"/>
        <v>0</v>
      </c>
      <c r="G119">
        <f t="shared" si="13"/>
        <v>0</v>
      </c>
    </row>
    <row r="120" spans="1:7" x14ac:dyDescent="0.25">
      <c r="A120" s="2">
        <v>42177</v>
      </c>
      <c r="B120">
        <f>[1]!YBHIST("10 Year Treasury",$A120,"YldtoMat","govt","")</f>
        <v>2.36</v>
      </c>
      <c r="C120">
        <f t="shared" si="9"/>
        <v>9.4999999999999751E-2</v>
      </c>
      <c r="D120">
        <f t="shared" si="10"/>
        <v>0</v>
      </c>
      <c r="E120">
        <f t="shared" si="11"/>
        <v>1</v>
      </c>
      <c r="F120">
        <f t="shared" si="12"/>
        <v>0</v>
      </c>
      <c r="G120">
        <f t="shared" si="13"/>
        <v>0</v>
      </c>
    </row>
    <row r="121" spans="1:7" x14ac:dyDescent="0.25">
      <c r="A121" s="4">
        <v>42178</v>
      </c>
      <c r="B121">
        <f>[1]!YBHIST("10 Year Treasury",$A121,"YldtoMat","govt","")</f>
        <v>2.407</v>
      </c>
      <c r="C121">
        <f t="shared" si="9"/>
        <v>4.7000000000000153E-2</v>
      </c>
      <c r="D121">
        <f t="shared" si="10"/>
        <v>1</v>
      </c>
      <c r="E121">
        <f t="shared" si="11"/>
        <v>0</v>
      </c>
      <c r="F121">
        <f t="shared" si="12"/>
        <v>0</v>
      </c>
      <c r="G121">
        <f t="shared" si="13"/>
        <v>0</v>
      </c>
    </row>
    <row r="122" spans="1:7" x14ac:dyDescent="0.25">
      <c r="A122" s="2">
        <v>42179</v>
      </c>
      <c r="B122">
        <f>[1]!YBHIST("10 Year Treasury",$A122,"YldtoMat","govt","")</f>
        <v>2.3690000000000002</v>
      </c>
      <c r="C122">
        <f t="shared" si="9"/>
        <v>-3.7999999999999812E-2</v>
      </c>
      <c r="D122">
        <f t="shared" si="10"/>
        <v>1</v>
      </c>
      <c r="E122">
        <f t="shared" si="11"/>
        <v>0</v>
      </c>
      <c r="F122">
        <f t="shared" si="12"/>
        <v>0</v>
      </c>
      <c r="G122">
        <f t="shared" si="13"/>
        <v>0</v>
      </c>
    </row>
    <row r="123" spans="1:7" x14ac:dyDescent="0.25">
      <c r="A123" s="4">
        <v>42180</v>
      </c>
      <c r="B123">
        <f>[1]!YBHIST("10 Year Treasury",$A123,"YldtoMat","govt","")</f>
        <v>2.3929999999999998</v>
      </c>
      <c r="C123">
        <f t="shared" si="9"/>
        <v>2.3999999999999577E-2</v>
      </c>
      <c r="D123">
        <f t="shared" si="10"/>
        <v>1</v>
      </c>
      <c r="E123">
        <f t="shared" si="11"/>
        <v>0</v>
      </c>
      <c r="F123">
        <f t="shared" si="12"/>
        <v>0</v>
      </c>
      <c r="G123">
        <f t="shared" si="13"/>
        <v>0</v>
      </c>
    </row>
    <row r="124" spans="1:7" x14ac:dyDescent="0.25">
      <c r="A124" s="2">
        <v>42181</v>
      </c>
      <c r="B124">
        <f>[1]!YBHIST("10 Year Treasury",$A124,"YldtoMat","govt","")</f>
        <v>2.476</v>
      </c>
      <c r="C124">
        <f t="shared" si="9"/>
        <v>8.3000000000000185E-2</v>
      </c>
      <c r="D124">
        <f t="shared" si="10"/>
        <v>0</v>
      </c>
      <c r="E124">
        <f t="shared" si="11"/>
        <v>1</v>
      </c>
      <c r="F124">
        <f t="shared" si="12"/>
        <v>0</v>
      </c>
      <c r="G124">
        <f t="shared" si="13"/>
        <v>0</v>
      </c>
    </row>
    <row r="125" spans="1:7" x14ac:dyDescent="0.25">
      <c r="A125" s="4">
        <v>42184</v>
      </c>
      <c r="B125">
        <f>[1]!YBHIST("10 Year Treasury",$A125,"YldtoMat","govt","")</f>
        <v>2.33</v>
      </c>
      <c r="C125">
        <f t="shared" si="9"/>
        <v>-0.14599999999999991</v>
      </c>
      <c r="D125">
        <f t="shared" si="10"/>
        <v>0</v>
      </c>
      <c r="E125">
        <f t="shared" si="11"/>
        <v>0</v>
      </c>
      <c r="F125">
        <f t="shared" si="12"/>
        <v>1</v>
      </c>
      <c r="G125">
        <f t="shared" si="13"/>
        <v>0</v>
      </c>
    </row>
    <row r="126" spans="1:7" x14ac:dyDescent="0.25">
      <c r="A126" s="2">
        <v>42185</v>
      </c>
      <c r="B126">
        <f>[1]!YBHIST("10 Year Treasury",$A126,"YldtoMat","govt","")</f>
        <v>2.331</v>
      </c>
      <c r="C126">
        <f t="shared" si="9"/>
        <v>9.9999999999988987E-4</v>
      </c>
      <c r="D126">
        <f t="shared" si="10"/>
        <v>1</v>
      </c>
      <c r="E126">
        <f t="shared" si="11"/>
        <v>0</v>
      </c>
      <c r="F126">
        <f t="shared" si="12"/>
        <v>0</v>
      </c>
      <c r="G126">
        <f t="shared" si="13"/>
        <v>0</v>
      </c>
    </row>
    <row r="127" spans="1:7" x14ac:dyDescent="0.25">
      <c r="A127" s="4">
        <v>42186</v>
      </c>
      <c r="B127">
        <f>[1]!YBHIST("10 Year Treasury",$A127,"YldtoMat","govt","")</f>
        <v>2.4180000000000001</v>
      </c>
      <c r="C127">
        <f>B127-B126</f>
        <v>8.7000000000000188E-2</v>
      </c>
      <c r="D127">
        <f t="shared" si="10"/>
        <v>0</v>
      </c>
      <c r="E127">
        <f t="shared" si="11"/>
        <v>1</v>
      </c>
      <c r="F127">
        <f t="shared" si="12"/>
        <v>0</v>
      </c>
      <c r="G127">
        <f t="shared" si="13"/>
        <v>0</v>
      </c>
    </row>
    <row r="128" spans="1:7" x14ac:dyDescent="0.25">
      <c r="A128" s="2">
        <v>42187</v>
      </c>
      <c r="B128">
        <f>[1]!YBHIST("10 Year Treasury",$A128,"YldtoMat","govt","")</f>
        <v>2.39</v>
      </c>
      <c r="C128">
        <f t="shared" si="9"/>
        <v>-2.8000000000000025E-2</v>
      </c>
      <c r="D128">
        <f t="shared" si="10"/>
        <v>1</v>
      </c>
      <c r="E128">
        <f t="shared" si="11"/>
        <v>0</v>
      </c>
      <c r="F128">
        <f t="shared" si="12"/>
        <v>0</v>
      </c>
      <c r="G128">
        <f t="shared" si="13"/>
        <v>0</v>
      </c>
    </row>
    <row r="129" spans="1:7" x14ac:dyDescent="0.25">
      <c r="A129" s="4">
        <v>42191</v>
      </c>
      <c r="B129">
        <f>[1]!YBHIST("10 Year Treasury",$A129,"YldtoMat","govt","")</f>
        <v>2.2759999999999998</v>
      </c>
      <c r="C129">
        <f t="shared" si="9"/>
        <v>-0.11400000000000032</v>
      </c>
      <c r="D129">
        <f t="shared" si="10"/>
        <v>0</v>
      </c>
      <c r="E129">
        <f t="shared" si="11"/>
        <v>0</v>
      </c>
      <c r="F129">
        <f t="shared" si="12"/>
        <v>1</v>
      </c>
      <c r="G129">
        <f t="shared" si="13"/>
        <v>0</v>
      </c>
    </row>
    <row r="130" spans="1:7" x14ac:dyDescent="0.25">
      <c r="A130" s="2">
        <v>42192</v>
      </c>
      <c r="B130">
        <f>[1]!YBHIST("10 Year Treasury",$A130,"YldtoMat","govt","")</f>
        <v>2.2309999999999999</v>
      </c>
      <c r="C130">
        <f t="shared" si="9"/>
        <v>-4.4999999999999929E-2</v>
      </c>
      <c r="D130">
        <f t="shared" si="10"/>
        <v>1</v>
      </c>
      <c r="E130">
        <f t="shared" si="11"/>
        <v>0</v>
      </c>
      <c r="F130">
        <f t="shared" si="12"/>
        <v>0</v>
      </c>
      <c r="G130">
        <f t="shared" si="13"/>
        <v>0</v>
      </c>
    </row>
    <row r="131" spans="1:7" x14ac:dyDescent="0.25">
      <c r="A131" s="4">
        <v>42193</v>
      </c>
      <c r="B131">
        <f>[1]!YBHIST("10 Year Treasury",$A131,"YldtoMat","govt","")</f>
        <v>2.206</v>
      </c>
      <c r="C131">
        <f t="shared" si="9"/>
        <v>-2.4999999999999911E-2</v>
      </c>
      <c r="D131">
        <f t="shared" si="10"/>
        <v>1</v>
      </c>
      <c r="E131">
        <f t="shared" si="11"/>
        <v>0</v>
      </c>
      <c r="F131">
        <f t="shared" si="12"/>
        <v>0</v>
      </c>
      <c r="G131">
        <f t="shared" si="13"/>
        <v>0</v>
      </c>
    </row>
    <row r="132" spans="1:7" x14ac:dyDescent="0.25">
      <c r="A132" s="2">
        <v>42194</v>
      </c>
      <c r="B132">
        <f>[1]!YBHIST("10 Year Treasury",$A132,"YldtoMat","govt","")</f>
        <v>2.2999999999999998</v>
      </c>
      <c r="C132">
        <f t="shared" ref="C132:C195" si="14">B132-B131</f>
        <v>9.3999999999999861E-2</v>
      </c>
      <c r="D132">
        <f t="shared" ref="D132:D195" si="15">IF(INT(ABS(C132)*100/5)=0,1,0)</f>
        <v>0</v>
      </c>
      <c r="E132">
        <f t="shared" ref="E132:E195" si="16">IF(INT(ABS(C132)*100/5)=1,1,0)</f>
        <v>1</v>
      </c>
      <c r="F132">
        <f t="shared" ref="F132:F195" si="17">IF(INT(ABS(C132)*100/5)=2,1,0)</f>
        <v>0</v>
      </c>
      <c r="G132">
        <f t="shared" ref="G132:G195" si="18">IF(INT(ABS(C132)*100/5)=13,1,0)</f>
        <v>0</v>
      </c>
    </row>
    <row r="133" spans="1:7" x14ac:dyDescent="0.25">
      <c r="A133" s="4">
        <v>42195</v>
      </c>
      <c r="B133">
        <f>[1]!YBHIST("10 Year Treasury",$A133,"YldtoMat","govt","")</f>
        <v>2.4169999999999998</v>
      </c>
      <c r="C133">
        <f t="shared" si="14"/>
        <v>0.11699999999999999</v>
      </c>
      <c r="D133">
        <f t="shared" si="15"/>
        <v>0</v>
      </c>
      <c r="E133">
        <f t="shared" si="16"/>
        <v>0</v>
      </c>
      <c r="F133">
        <f t="shared" si="17"/>
        <v>1</v>
      </c>
      <c r="G133">
        <f t="shared" si="18"/>
        <v>0</v>
      </c>
    </row>
    <row r="134" spans="1:7" x14ac:dyDescent="0.25">
      <c r="A134" s="2">
        <v>42198</v>
      </c>
      <c r="B134">
        <f>[1]!YBHIST("10 Year Treasury",$A134,"YldtoMat","govt","")</f>
        <v>2.4279999999999999</v>
      </c>
      <c r="C134">
        <f t="shared" si="14"/>
        <v>1.1000000000000121E-2</v>
      </c>
      <c r="D134">
        <f t="shared" si="15"/>
        <v>1</v>
      </c>
      <c r="E134">
        <f t="shared" si="16"/>
        <v>0</v>
      </c>
      <c r="F134">
        <f t="shared" si="17"/>
        <v>0</v>
      </c>
      <c r="G134">
        <f t="shared" si="18"/>
        <v>0</v>
      </c>
    </row>
    <row r="135" spans="1:7" x14ac:dyDescent="0.25">
      <c r="A135" s="4">
        <v>42199</v>
      </c>
      <c r="B135">
        <f>[1]!YBHIST("10 Year Treasury",$A135,"YldtoMat","govt","")</f>
        <v>2.3969999999999998</v>
      </c>
      <c r="C135">
        <f t="shared" si="14"/>
        <v>-3.1000000000000139E-2</v>
      </c>
      <c r="D135">
        <f t="shared" si="15"/>
        <v>1</v>
      </c>
      <c r="E135">
        <f t="shared" si="16"/>
        <v>0</v>
      </c>
      <c r="F135">
        <f t="shared" si="17"/>
        <v>0</v>
      </c>
      <c r="G135">
        <f t="shared" si="18"/>
        <v>0</v>
      </c>
    </row>
    <row r="136" spans="1:7" x14ac:dyDescent="0.25">
      <c r="A136" s="2">
        <v>42200</v>
      </c>
      <c r="B136">
        <f>[1]!YBHIST("10 Year Treasury",$A136,"YldtoMat","govt","")</f>
        <v>2.347</v>
      </c>
      <c r="C136">
        <f t="shared" si="14"/>
        <v>-4.9999999999999822E-2</v>
      </c>
      <c r="D136">
        <f t="shared" si="15"/>
        <v>1</v>
      </c>
      <c r="E136">
        <f t="shared" si="16"/>
        <v>0</v>
      </c>
      <c r="F136">
        <f t="shared" si="17"/>
        <v>0</v>
      </c>
      <c r="G136">
        <f t="shared" si="18"/>
        <v>0</v>
      </c>
    </row>
    <row r="137" spans="1:7" x14ac:dyDescent="0.25">
      <c r="A137" s="4">
        <v>42201</v>
      </c>
      <c r="B137">
        <f>[1]!YBHIST("10 Year Treasury",$A137,"YldtoMat","govt","")</f>
        <v>2.3519999999999999</v>
      </c>
      <c r="C137">
        <f t="shared" si="14"/>
        <v>4.9999999999998934E-3</v>
      </c>
      <c r="D137">
        <f t="shared" si="15"/>
        <v>1</v>
      </c>
      <c r="E137">
        <f t="shared" si="16"/>
        <v>0</v>
      </c>
      <c r="F137">
        <f t="shared" si="17"/>
        <v>0</v>
      </c>
      <c r="G137">
        <f t="shared" si="18"/>
        <v>0</v>
      </c>
    </row>
    <row r="138" spans="1:7" x14ac:dyDescent="0.25">
      <c r="A138" s="2">
        <v>42202</v>
      </c>
      <c r="B138">
        <f>[1]!YBHIST("10 Year Treasury",$A138,"YldtoMat","govt","")</f>
        <v>2.3490000000000002</v>
      </c>
      <c r="C138">
        <f t="shared" si="14"/>
        <v>-2.9999999999996696E-3</v>
      </c>
      <c r="D138">
        <f t="shared" si="15"/>
        <v>1</v>
      </c>
      <c r="E138">
        <f t="shared" si="16"/>
        <v>0</v>
      </c>
      <c r="F138">
        <f t="shared" si="17"/>
        <v>0</v>
      </c>
      <c r="G138">
        <f t="shared" si="18"/>
        <v>0</v>
      </c>
    </row>
    <row r="139" spans="1:7" x14ac:dyDescent="0.25">
      <c r="A139" s="4">
        <v>42205</v>
      </c>
      <c r="B139">
        <f>[1]!YBHIST("10 Year Treasury",$A139,"YldtoMat","govt","")</f>
        <v>2.3719999999999999</v>
      </c>
      <c r="C139">
        <f t="shared" si="14"/>
        <v>2.2999999999999687E-2</v>
      </c>
      <c r="D139">
        <f t="shared" si="15"/>
        <v>1</v>
      </c>
      <c r="E139">
        <f t="shared" si="16"/>
        <v>0</v>
      </c>
      <c r="F139">
        <f t="shared" si="17"/>
        <v>0</v>
      </c>
      <c r="G139">
        <f t="shared" si="18"/>
        <v>0</v>
      </c>
    </row>
    <row r="140" spans="1:7" x14ac:dyDescent="0.25">
      <c r="A140" s="2">
        <v>42206</v>
      </c>
      <c r="B140">
        <f>[1]!YBHIST("10 Year Treasury",$A140,"YldtoMat","govt","")</f>
        <v>2.34</v>
      </c>
      <c r="C140">
        <f t="shared" si="14"/>
        <v>-3.2000000000000028E-2</v>
      </c>
      <c r="D140">
        <f t="shared" si="15"/>
        <v>1</v>
      </c>
      <c r="E140">
        <f t="shared" si="16"/>
        <v>0</v>
      </c>
      <c r="F140">
        <f t="shared" si="17"/>
        <v>0</v>
      </c>
      <c r="G140">
        <f t="shared" si="18"/>
        <v>0</v>
      </c>
    </row>
    <row r="141" spans="1:7" x14ac:dyDescent="0.25">
      <c r="A141" s="4">
        <v>42207</v>
      </c>
      <c r="B141">
        <f>[1]!YBHIST("10 Year Treasury",$A141,"YldtoMat","govt","")</f>
        <v>2.3220000000000001</v>
      </c>
      <c r="C141">
        <f t="shared" si="14"/>
        <v>-1.7999999999999794E-2</v>
      </c>
      <c r="D141">
        <f t="shared" si="15"/>
        <v>1</v>
      </c>
      <c r="E141">
        <f t="shared" si="16"/>
        <v>0</v>
      </c>
      <c r="F141">
        <f t="shared" si="17"/>
        <v>0</v>
      </c>
      <c r="G141">
        <f t="shared" si="18"/>
        <v>0</v>
      </c>
    </row>
    <row r="142" spans="1:7" x14ac:dyDescent="0.25">
      <c r="A142" s="2">
        <v>42208</v>
      </c>
      <c r="B142">
        <f>[1]!YBHIST("10 Year Treasury",$A142,"YldtoMat","govt","")</f>
        <v>2.2749999999999999</v>
      </c>
      <c r="C142">
        <f t="shared" si="14"/>
        <v>-4.7000000000000153E-2</v>
      </c>
      <c r="D142">
        <f t="shared" si="15"/>
        <v>1</v>
      </c>
      <c r="E142">
        <f t="shared" si="16"/>
        <v>0</v>
      </c>
      <c r="F142">
        <f t="shared" si="17"/>
        <v>0</v>
      </c>
      <c r="G142">
        <f t="shared" si="18"/>
        <v>0</v>
      </c>
    </row>
    <row r="143" spans="1:7" x14ac:dyDescent="0.25">
      <c r="A143" s="4">
        <v>42209</v>
      </c>
      <c r="B143">
        <f>[1]!YBHIST("10 Year Treasury",$A143,"YldtoMat","govt","")</f>
        <v>2.2709999999999999</v>
      </c>
      <c r="C143">
        <f t="shared" si="14"/>
        <v>-4.0000000000000036E-3</v>
      </c>
      <c r="D143">
        <f t="shared" si="15"/>
        <v>1</v>
      </c>
      <c r="E143">
        <f t="shared" si="16"/>
        <v>0</v>
      </c>
      <c r="F143">
        <f t="shared" si="17"/>
        <v>0</v>
      </c>
      <c r="G143">
        <f t="shared" si="18"/>
        <v>0</v>
      </c>
    </row>
    <row r="144" spans="1:7" x14ac:dyDescent="0.25">
      <c r="A144" s="2">
        <v>42212</v>
      </c>
      <c r="B144">
        <f>[1]!YBHIST("10 Year Treasury",$A144,"YldtoMat","govt","")</f>
        <v>2.2269999999999999</v>
      </c>
      <c r="C144">
        <f t="shared" si="14"/>
        <v>-4.4000000000000039E-2</v>
      </c>
      <c r="D144">
        <f t="shared" si="15"/>
        <v>1</v>
      </c>
      <c r="E144">
        <f t="shared" si="16"/>
        <v>0</v>
      </c>
      <c r="F144">
        <f t="shared" si="17"/>
        <v>0</v>
      </c>
      <c r="G144">
        <f t="shared" si="18"/>
        <v>0</v>
      </c>
    </row>
    <row r="145" spans="1:7" x14ac:dyDescent="0.25">
      <c r="A145" s="4">
        <v>42213</v>
      </c>
      <c r="B145">
        <f>[1]!YBHIST("10 Year Treasury",$A145,"YldtoMat","govt","")</f>
        <v>2.2480000000000002</v>
      </c>
      <c r="C145">
        <f t="shared" si="14"/>
        <v>2.1000000000000352E-2</v>
      </c>
      <c r="D145">
        <f t="shared" si="15"/>
        <v>1</v>
      </c>
      <c r="E145">
        <f t="shared" si="16"/>
        <v>0</v>
      </c>
      <c r="F145">
        <f t="shared" si="17"/>
        <v>0</v>
      </c>
      <c r="G145">
        <f t="shared" si="18"/>
        <v>0</v>
      </c>
    </row>
    <row r="146" spans="1:7" x14ac:dyDescent="0.25">
      <c r="A146" s="2">
        <v>42214</v>
      </c>
      <c r="B146">
        <f>[1]!YBHIST("10 Year Treasury",$A146,"YldtoMat","govt","")</f>
        <v>2.2770000000000001</v>
      </c>
      <c r="C146">
        <f t="shared" si="14"/>
        <v>2.8999999999999915E-2</v>
      </c>
      <c r="D146">
        <f t="shared" si="15"/>
        <v>1</v>
      </c>
      <c r="E146">
        <f t="shared" si="16"/>
        <v>0</v>
      </c>
      <c r="F146">
        <f t="shared" si="17"/>
        <v>0</v>
      </c>
      <c r="G146">
        <f t="shared" si="18"/>
        <v>0</v>
      </c>
    </row>
    <row r="147" spans="1:7" x14ac:dyDescent="0.25">
      <c r="A147" s="4">
        <v>42215</v>
      </c>
      <c r="B147">
        <f>[1]!YBHIST("10 Year Treasury",$A147,"YldtoMat","govt","")</f>
        <v>2.266</v>
      </c>
      <c r="C147">
        <f t="shared" si="14"/>
        <v>-1.1000000000000121E-2</v>
      </c>
      <c r="D147">
        <f t="shared" si="15"/>
        <v>1</v>
      </c>
      <c r="E147">
        <f t="shared" si="16"/>
        <v>0</v>
      </c>
      <c r="F147">
        <f t="shared" si="17"/>
        <v>0</v>
      </c>
      <c r="G147">
        <f t="shared" si="18"/>
        <v>0</v>
      </c>
    </row>
    <row r="148" spans="1:7" x14ac:dyDescent="0.25">
      <c r="A148" s="2">
        <v>42216</v>
      </c>
      <c r="B148">
        <f>[1]!YBHIST("10 Year Treasury",$A148,"YldtoMat","govt","")</f>
        <v>2.2029999999999998</v>
      </c>
      <c r="C148">
        <f t="shared" si="14"/>
        <v>-6.3000000000000167E-2</v>
      </c>
      <c r="D148">
        <f t="shared" si="15"/>
        <v>0</v>
      </c>
      <c r="E148">
        <f t="shared" si="16"/>
        <v>1</v>
      </c>
      <c r="F148">
        <f t="shared" si="17"/>
        <v>0</v>
      </c>
      <c r="G148">
        <f t="shared" si="18"/>
        <v>0</v>
      </c>
    </row>
    <row r="149" spans="1:7" x14ac:dyDescent="0.25">
      <c r="A149" s="4">
        <v>42219</v>
      </c>
      <c r="B149">
        <f>[1]!YBHIST("10 Year Treasury",$A149,"YldtoMat","govt","")</f>
        <v>2.1480000000000001</v>
      </c>
      <c r="C149">
        <f t="shared" si="14"/>
        <v>-5.4999999999999716E-2</v>
      </c>
      <c r="D149">
        <f t="shared" si="15"/>
        <v>0</v>
      </c>
      <c r="E149">
        <f t="shared" si="16"/>
        <v>1</v>
      </c>
      <c r="F149">
        <f t="shared" si="17"/>
        <v>0</v>
      </c>
      <c r="G149">
        <f t="shared" si="18"/>
        <v>0</v>
      </c>
    </row>
    <row r="150" spans="1:7" x14ac:dyDescent="0.25">
      <c r="A150" s="2">
        <v>42220</v>
      </c>
      <c r="B150">
        <f>[1]!YBHIST("10 Year Treasury",$A150,"YldtoMat","govt","")</f>
        <v>2.2069999999999999</v>
      </c>
      <c r="C150">
        <f t="shared" si="14"/>
        <v>5.8999999999999719E-2</v>
      </c>
      <c r="D150">
        <f t="shared" si="15"/>
        <v>0</v>
      </c>
      <c r="E150">
        <f t="shared" si="16"/>
        <v>1</v>
      </c>
      <c r="F150">
        <f t="shared" si="17"/>
        <v>0</v>
      </c>
      <c r="G150">
        <f t="shared" si="18"/>
        <v>0</v>
      </c>
    </row>
    <row r="151" spans="1:7" x14ac:dyDescent="0.25">
      <c r="A151" s="4">
        <v>42221</v>
      </c>
      <c r="B151">
        <f>[1]!YBHIST("10 Year Treasury",$A151,"YldtoMat","govt","")</f>
        <v>2.266</v>
      </c>
      <c r="C151">
        <f t="shared" si="14"/>
        <v>5.9000000000000163E-2</v>
      </c>
      <c r="D151">
        <f t="shared" si="15"/>
        <v>0</v>
      </c>
      <c r="E151">
        <f t="shared" si="16"/>
        <v>1</v>
      </c>
      <c r="F151">
        <f t="shared" si="17"/>
        <v>0</v>
      </c>
      <c r="G151">
        <f t="shared" si="18"/>
        <v>0</v>
      </c>
    </row>
    <row r="152" spans="1:7" x14ac:dyDescent="0.25">
      <c r="A152" s="2">
        <v>42222</v>
      </c>
      <c r="B152">
        <f>[1]!YBHIST("10 Year Treasury",$A152,"YldtoMat","govt","")</f>
        <v>2.234</v>
      </c>
      <c r="C152">
        <f t="shared" si="14"/>
        <v>-3.2000000000000028E-2</v>
      </c>
      <c r="D152">
        <f t="shared" si="15"/>
        <v>1</v>
      </c>
      <c r="E152">
        <f t="shared" si="16"/>
        <v>0</v>
      </c>
      <c r="F152">
        <f t="shared" si="17"/>
        <v>0</v>
      </c>
      <c r="G152">
        <f t="shared" si="18"/>
        <v>0</v>
      </c>
    </row>
    <row r="153" spans="1:7" x14ac:dyDescent="0.25">
      <c r="A153" s="4">
        <v>42223</v>
      </c>
      <c r="B153">
        <f>[1]!YBHIST("10 Year Treasury",$A153,"YldtoMat","govt","")</f>
        <v>2.173</v>
      </c>
      <c r="C153">
        <f t="shared" si="14"/>
        <v>-6.0999999999999943E-2</v>
      </c>
      <c r="D153">
        <f t="shared" si="15"/>
        <v>0</v>
      </c>
      <c r="E153">
        <f t="shared" si="16"/>
        <v>1</v>
      </c>
      <c r="F153">
        <f t="shared" si="17"/>
        <v>0</v>
      </c>
      <c r="G153">
        <f t="shared" si="18"/>
        <v>0</v>
      </c>
    </row>
    <row r="154" spans="1:7" x14ac:dyDescent="0.25">
      <c r="A154" s="2">
        <v>42226</v>
      </c>
      <c r="B154">
        <f>[1]!YBHIST("10 Year Treasury",$A154,"YldtoMat","govt","")</f>
        <v>2.238</v>
      </c>
      <c r="C154">
        <f t="shared" si="14"/>
        <v>6.4999999999999947E-2</v>
      </c>
      <c r="D154">
        <f t="shared" si="15"/>
        <v>0</v>
      </c>
      <c r="E154">
        <f t="shared" si="16"/>
        <v>1</v>
      </c>
      <c r="F154">
        <f t="shared" si="17"/>
        <v>0</v>
      </c>
      <c r="G154">
        <f t="shared" si="18"/>
        <v>0</v>
      </c>
    </row>
    <row r="155" spans="1:7" x14ac:dyDescent="0.25">
      <c r="A155" s="4">
        <v>42227</v>
      </c>
      <c r="B155">
        <f>[1]!YBHIST("10 Year Treasury",$A155,"YldtoMat","govt","")</f>
        <v>2.1389999999999998</v>
      </c>
      <c r="C155">
        <f t="shared" si="14"/>
        <v>-9.9000000000000199E-2</v>
      </c>
      <c r="D155">
        <f t="shared" si="15"/>
        <v>0</v>
      </c>
      <c r="E155">
        <f t="shared" si="16"/>
        <v>1</v>
      </c>
      <c r="F155">
        <f t="shared" si="17"/>
        <v>0</v>
      </c>
      <c r="G155">
        <f t="shared" si="18"/>
        <v>0</v>
      </c>
    </row>
    <row r="156" spans="1:7" x14ac:dyDescent="0.25">
      <c r="A156" s="2">
        <v>42228</v>
      </c>
      <c r="B156">
        <f>[1]!YBHIST("10 Year Treasury",$A156,"YldtoMat","govt","")</f>
        <v>2.1320000000000001</v>
      </c>
      <c r="C156">
        <f t="shared" si="14"/>
        <v>-6.9999999999996732E-3</v>
      </c>
      <c r="D156">
        <f t="shared" si="15"/>
        <v>1</v>
      </c>
      <c r="E156">
        <f t="shared" si="16"/>
        <v>0</v>
      </c>
      <c r="F156">
        <f t="shared" si="17"/>
        <v>0</v>
      </c>
      <c r="G156">
        <f t="shared" si="18"/>
        <v>0</v>
      </c>
    </row>
    <row r="157" spans="1:7" x14ac:dyDescent="0.25">
      <c r="A157" s="4">
        <v>42229</v>
      </c>
      <c r="B157">
        <f>[1]!YBHIST("10 Year Treasury",$A157,"YldtoMat","govt","")</f>
        <v>2.1869999999999998</v>
      </c>
      <c r="C157">
        <f t="shared" si="14"/>
        <v>5.4999999999999716E-2</v>
      </c>
      <c r="D157">
        <f t="shared" si="15"/>
        <v>0</v>
      </c>
      <c r="E157">
        <f t="shared" si="16"/>
        <v>1</v>
      </c>
      <c r="F157">
        <f t="shared" si="17"/>
        <v>0</v>
      </c>
      <c r="G157">
        <f t="shared" si="18"/>
        <v>0</v>
      </c>
    </row>
    <row r="158" spans="1:7" x14ac:dyDescent="0.25">
      <c r="A158" s="2">
        <v>42230</v>
      </c>
      <c r="B158">
        <f>[1]!YBHIST("10 Year Treasury",$A158,"YldtoMat","govt","")</f>
        <v>2.194</v>
      </c>
      <c r="C158">
        <f t="shared" si="14"/>
        <v>7.0000000000001172E-3</v>
      </c>
      <c r="D158">
        <f t="shared" si="15"/>
        <v>1</v>
      </c>
      <c r="E158">
        <f t="shared" si="16"/>
        <v>0</v>
      </c>
      <c r="F158">
        <f t="shared" si="17"/>
        <v>0</v>
      </c>
      <c r="G158">
        <f t="shared" si="18"/>
        <v>0</v>
      </c>
    </row>
    <row r="159" spans="1:7" x14ac:dyDescent="0.25">
      <c r="A159" s="4">
        <v>42233</v>
      </c>
      <c r="B159">
        <f>[1]!YBHIST("10 Year Treasury",$A159,"YldtoMat","govt","")</f>
        <v>2.15</v>
      </c>
      <c r="C159">
        <f t="shared" si="14"/>
        <v>-4.4000000000000039E-2</v>
      </c>
      <c r="D159">
        <f t="shared" si="15"/>
        <v>1</v>
      </c>
      <c r="E159">
        <f t="shared" si="16"/>
        <v>0</v>
      </c>
      <c r="F159">
        <f t="shared" si="17"/>
        <v>0</v>
      </c>
      <c r="G159">
        <f t="shared" si="18"/>
        <v>0</v>
      </c>
    </row>
    <row r="160" spans="1:7" x14ac:dyDescent="0.25">
      <c r="A160" s="2">
        <v>42234</v>
      </c>
      <c r="B160">
        <f>[1]!YBHIST("10 Year Treasury",$A160,"YldtoMat","govt","")</f>
        <v>2.194</v>
      </c>
      <c r="C160">
        <f t="shared" si="14"/>
        <v>4.4000000000000039E-2</v>
      </c>
      <c r="D160">
        <f t="shared" si="15"/>
        <v>1</v>
      </c>
      <c r="E160">
        <f t="shared" si="16"/>
        <v>0</v>
      </c>
      <c r="F160">
        <f t="shared" si="17"/>
        <v>0</v>
      </c>
      <c r="G160">
        <f t="shared" si="18"/>
        <v>0</v>
      </c>
    </row>
    <row r="161" spans="1:7" x14ac:dyDescent="0.25">
      <c r="A161" s="4">
        <v>42235</v>
      </c>
      <c r="B161">
        <f>[1]!YBHIST("10 Year Treasury",$A161,"YldtoMat","govt","")</f>
        <v>2.129</v>
      </c>
      <c r="C161">
        <f t="shared" si="14"/>
        <v>-6.4999999999999947E-2</v>
      </c>
      <c r="D161">
        <f t="shared" si="15"/>
        <v>0</v>
      </c>
      <c r="E161">
        <f t="shared" si="16"/>
        <v>1</v>
      </c>
      <c r="F161">
        <f t="shared" si="17"/>
        <v>0</v>
      </c>
      <c r="G161">
        <f t="shared" si="18"/>
        <v>0</v>
      </c>
    </row>
    <row r="162" spans="1:7" x14ac:dyDescent="0.25">
      <c r="A162" s="2">
        <v>42236</v>
      </c>
      <c r="B162">
        <f>[1]!YBHIST("10 Year Treasury",$A162,"YldtoMat","govt","")</f>
        <v>2.0840000000000001</v>
      </c>
      <c r="C162">
        <f t="shared" si="14"/>
        <v>-4.4999999999999929E-2</v>
      </c>
      <c r="D162">
        <f t="shared" si="15"/>
        <v>1</v>
      </c>
      <c r="E162">
        <f t="shared" si="16"/>
        <v>0</v>
      </c>
      <c r="F162">
        <f t="shared" si="17"/>
        <v>0</v>
      </c>
      <c r="G162">
        <f t="shared" si="18"/>
        <v>0</v>
      </c>
    </row>
    <row r="163" spans="1:7" x14ac:dyDescent="0.25">
      <c r="A163" s="4">
        <v>42237</v>
      </c>
      <c r="B163">
        <f>[1]!YBHIST("10 Year Treasury",$A163,"YldtoMat","govt","")</f>
        <v>2.052</v>
      </c>
      <c r="C163">
        <f t="shared" si="14"/>
        <v>-3.2000000000000028E-2</v>
      </c>
      <c r="D163">
        <f t="shared" si="15"/>
        <v>1</v>
      </c>
      <c r="E163">
        <f t="shared" si="16"/>
        <v>0</v>
      </c>
      <c r="F163">
        <f t="shared" si="17"/>
        <v>0</v>
      </c>
      <c r="G163">
        <f t="shared" si="18"/>
        <v>0</v>
      </c>
    </row>
    <row r="164" spans="1:7" x14ac:dyDescent="0.25">
      <c r="A164" s="2">
        <v>42240</v>
      </c>
      <c r="B164">
        <f>[1]!YBHIST("10 Year Treasury",$A164,"YldtoMat","govt","")</f>
        <v>1.9930000000000001</v>
      </c>
      <c r="C164">
        <f t="shared" si="14"/>
        <v>-5.8999999999999941E-2</v>
      </c>
      <c r="D164">
        <f t="shared" si="15"/>
        <v>0</v>
      </c>
      <c r="E164">
        <f t="shared" si="16"/>
        <v>1</v>
      </c>
      <c r="F164">
        <f t="shared" si="17"/>
        <v>0</v>
      </c>
      <c r="G164">
        <f t="shared" si="18"/>
        <v>0</v>
      </c>
    </row>
    <row r="165" spans="1:7" x14ac:dyDescent="0.25">
      <c r="A165" s="4">
        <v>42241</v>
      </c>
      <c r="B165">
        <f>[1]!YBHIST("10 Year Treasury",$A165,"YldtoMat","govt","")</f>
        <v>2.1309999999999998</v>
      </c>
      <c r="C165">
        <f t="shared" si="14"/>
        <v>0.13799999999999968</v>
      </c>
      <c r="D165">
        <f t="shared" si="15"/>
        <v>0</v>
      </c>
      <c r="E165">
        <f t="shared" si="16"/>
        <v>0</v>
      </c>
      <c r="F165">
        <f t="shared" si="17"/>
        <v>1</v>
      </c>
      <c r="G165">
        <f t="shared" si="18"/>
        <v>0</v>
      </c>
    </row>
    <row r="166" spans="1:7" x14ac:dyDescent="0.25">
      <c r="A166" s="2">
        <v>42242</v>
      </c>
      <c r="B166">
        <f>[1]!YBHIST("10 Year Treasury",$A166,"YldtoMat","govt","")</f>
        <v>2.17</v>
      </c>
      <c r="C166">
        <f t="shared" si="14"/>
        <v>3.9000000000000146E-2</v>
      </c>
      <c r="D166">
        <f t="shared" si="15"/>
        <v>1</v>
      </c>
      <c r="E166">
        <f t="shared" si="16"/>
        <v>0</v>
      </c>
      <c r="F166">
        <f t="shared" si="17"/>
        <v>0</v>
      </c>
      <c r="G166">
        <f t="shared" si="18"/>
        <v>0</v>
      </c>
    </row>
    <row r="167" spans="1:7" x14ac:dyDescent="0.25">
      <c r="A167" s="4">
        <v>42243</v>
      </c>
      <c r="B167">
        <f>[1]!YBHIST("10 Year Treasury",$A167,"YldtoMat","govt","")</f>
        <v>2.1659999999999999</v>
      </c>
      <c r="C167">
        <f t="shared" si="14"/>
        <v>-4.0000000000000036E-3</v>
      </c>
      <c r="D167">
        <f t="shared" si="15"/>
        <v>1</v>
      </c>
      <c r="E167">
        <f t="shared" si="16"/>
        <v>0</v>
      </c>
      <c r="F167">
        <f t="shared" si="17"/>
        <v>0</v>
      </c>
      <c r="G167">
        <f t="shared" si="18"/>
        <v>0</v>
      </c>
    </row>
    <row r="168" spans="1:7" x14ac:dyDescent="0.25">
      <c r="A168" s="2">
        <v>42244</v>
      </c>
      <c r="B168">
        <f>[1]!YBHIST("10 Year Treasury",$A168,"YldtoMat","govt","")</f>
        <v>2.1819999999999999</v>
      </c>
      <c r="C168">
        <f t="shared" si="14"/>
        <v>1.6000000000000014E-2</v>
      </c>
      <c r="D168">
        <f t="shared" si="15"/>
        <v>1</v>
      </c>
      <c r="E168">
        <f t="shared" si="16"/>
        <v>0</v>
      </c>
      <c r="F168">
        <f t="shared" si="17"/>
        <v>0</v>
      </c>
      <c r="G168">
        <f t="shared" si="18"/>
        <v>0</v>
      </c>
    </row>
    <row r="169" spans="1:7" x14ac:dyDescent="0.25">
      <c r="A169" s="4">
        <v>42247</v>
      </c>
      <c r="B169">
        <f>[1]!YBHIST("10 Year Treasury",$A169,"YldtoMat","govt","")</f>
        <v>2.198</v>
      </c>
      <c r="C169">
        <f t="shared" si="14"/>
        <v>1.6000000000000014E-2</v>
      </c>
      <c r="D169">
        <f t="shared" si="15"/>
        <v>1</v>
      </c>
      <c r="E169">
        <f t="shared" si="16"/>
        <v>0</v>
      </c>
      <c r="F169">
        <f t="shared" si="17"/>
        <v>0</v>
      </c>
      <c r="G169">
        <f t="shared" si="18"/>
        <v>0</v>
      </c>
    </row>
    <row r="170" spans="1:7" x14ac:dyDescent="0.25">
      <c r="A170" s="2">
        <v>42248</v>
      </c>
      <c r="B170">
        <f>[1]!YBHIST("10 Year Treasury",$A170,"YldtoMat","govt","")</f>
        <v>2.1720000000000002</v>
      </c>
      <c r="C170">
        <f t="shared" si="14"/>
        <v>-2.5999999999999801E-2</v>
      </c>
      <c r="D170">
        <f t="shared" si="15"/>
        <v>1</v>
      </c>
      <c r="E170">
        <f t="shared" si="16"/>
        <v>0</v>
      </c>
      <c r="F170">
        <f t="shared" si="17"/>
        <v>0</v>
      </c>
      <c r="G170">
        <f t="shared" si="18"/>
        <v>0</v>
      </c>
    </row>
    <row r="171" spans="1:7" x14ac:dyDescent="0.25">
      <c r="A171" s="4">
        <v>42249</v>
      </c>
      <c r="B171">
        <f>[1]!YBHIST("10 Year Treasury",$A171,"YldtoMat","govt","")</f>
        <v>2.1909999999999998</v>
      </c>
      <c r="C171">
        <f t="shared" si="14"/>
        <v>1.8999999999999684E-2</v>
      </c>
      <c r="D171">
        <f t="shared" si="15"/>
        <v>1</v>
      </c>
      <c r="E171">
        <f t="shared" si="16"/>
        <v>0</v>
      </c>
      <c r="F171">
        <f t="shared" si="17"/>
        <v>0</v>
      </c>
      <c r="G171">
        <f t="shared" si="18"/>
        <v>0</v>
      </c>
    </row>
    <row r="172" spans="1:7" x14ac:dyDescent="0.25">
      <c r="A172" s="2">
        <v>42250</v>
      </c>
      <c r="B172">
        <f>[1]!YBHIST("10 Year Treasury",$A172,"YldtoMat","govt","")</f>
        <v>2.1680000000000001</v>
      </c>
      <c r="C172">
        <f t="shared" si="14"/>
        <v>-2.2999999999999687E-2</v>
      </c>
      <c r="D172">
        <f t="shared" si="15"/>
        <v>1</v>
      </c>
      <c r="E172">
        <f t="shared" si="16"/>
        <v>0</v>
      </c>
      <c r="F172">
        <f t="shared" si="17"/>
        <v>0</v>
      </c>
      <c r="G172">
        <f t="shared" si="18"/>
        <v>0</v>
      </c>
    </row>
    <row r="173" spans="1:7" x14ac:dyDescent="0.25">
      <c r="A173" s="4">
        <v>42251</v>
      </c>
      <c r="B173">
        <f>[1]!YBHIST("10 Year Treasury",$A173,"YldtoMat","govt","")</f>
        <v>2.1240000000000001</v>
      </c>
      <c r="C173">
        <f t="shared" si="14"/>
        <v>-4.4000000000000039E-2</v>
      </c>
      <c r="D173">
        <f t="shared" si="15"/>
        <v>1</v>
      </c>
      <c r="E173">
        <f t="shared" si="16"/>
        <v>0</v>
      </c>
      <c r="F173">
        <f t="shared" si="17"/>
        <v>0</v>
      </c>
      <c r="G173">
        <f t="shared" si="18"/>
        <v>0</v>
      </c>
    </row>
    <row r="174" spans="1:7" x14ac:dyDescent="0.25">
      <c r="A174" s="2">
        <v>42255</v>
      </c>
      <c r="B174">
        <f>[1]!YBHIST("10 Year Treasury",$A174,"YldtoMat","govt","")</f>
        <v>2.1930000000000001</v>
      </c>
      <c r="C174">
        <f t="shared" si="14"/>
        <v>6.899999999999995E-2</v>
      </c>
      <c r="D174">
        <f t="shared" si="15"/>
        <v>0</v>
      </c>
      <c r="E174">
        <f t="shared" si="16"/>
        <v>1</v>
      </c>
      <c r="F174">
        <f t="shared" si="17"/>
        <v>0</v>
      </c>
      <c r="G174">
        <f t="shared" si="18"/>
        <v>0</v>
      </c>
    </row>
    <row r="175" spans="1:7" x14ac:dyDescent="0.25">
      <c r="A175" s="4">
        <v>42256</v>
      </c>
      <c r="B175">
        <f>[1]!YBHIST("10 Year Treasury",$A175,"YldtoMat","govt","")</f>
        <v>2.1789999999999998</v>
      </c>
      <c r="C175">
        <f t="shared" si="14"/>
        <v>-1.4000000000000234E-2</v>
      </c>
      <c r="D175">
        <f t="shared" si="15"/>
        <v>1</v>
      </c>
      <c r="E175">
        <f t="shared" si="16"/>
        <v>0</v>
      </c>
      <c r="F175">
        <f t="shared" si="17"/>
        <v>0</v>
      </c>
      <c r="G175">
        <f t="shared" si="18"/>
        <v>0</v>
      </c>
    </row>
    <row r="176" spans="1:7" x14ac:dyDescent="0.25">
      <c r="A176" s="2">
        <v>42257</v>
      </c>
      <c r="B176">
        <f>[1]!YBHIST("10 Year Treasury",$A176,"YldtoMat","govt","")</f>
        <v>2.2200000000000002</v>
      </c>
      <c r="C176">
        <f t="shared" si="14"/>
        <v>4.1000000000000369E-2</v>
      </c>
      <c r="D176">
        <f t="shared" si="15"/>
        <v>1</v>
      </c>
      <c r="E176">
        <f t="shared" si="16"/>
        <v>0</v>
      </c>
      <c r="F176">
        <f t="shared" si="17"/>
        <v>0</v>
      </c>
      <c r="G176">
        <f t="shared" si="18"/>
        <v>0</v>
      </c>
    </row>
    <row r="177" spans="1:7" x14ac:dyDescent="0.25">
      <c r="A177" s="4">
        <v>42258</v>
      </c>
      <c r="B177">
        <f>[1]!YBHIST("10 Year Treasury",$A177,"YldtoMat","govt","")</f>
        <v>2.181</v>
      </c>
      <c r="C177">
        <f t="shared" si="14"/>
        <v>-3.9000000000000146E-2</v>
      </c>
      <c r="D177">
        <f t="shared" si="15"/>
        <v>1</v>
      </c>
      <c r="E177">
        <f t="shared" si="16"/>
        <v>0</v>
      </c>
      <c r="F177">
        <f t="shared" si="17"/>
        <v>0</v>
      </c>
      <c r="G177">
        <f t="shared" si="18"/>
        <v>0</v>
      </c>
    </row>
    <row r="178" spans="1:7" x14ac:dyDescent="0.25">
      <c r="A178" s="2">
        <v>42261</v>
      </c>
      <c r="B178">
        <f>[1]!YBHIST("10 Year Treasury",$A178,"YldtoMat","govt","")</f>
        <v>2.1800000000000002</v>
      </c>
      <c r="C178">
        <f t="shared" si="14"/>
        <v>-9.9999999999988987E-4</v>
      </c>
      <c r="D178">
        <f t="shared" si="15"/>
        <v>1</v>
      </c>
      <c r="E178">
        <f t="shared" si="16"/>
        <v>0</v>
      </c>
      <c r="F178">
        <f t="shared" si="17"/>
        <v>0</v>
      </c>
      <c r="G178">
        <f t="shared" si="18"/>
        <v>0</v>
      </c>
    </row>
    <row r="179" spans="1:7" x14ac:dyDescent="0.25">
      <c r="A179" s="4">
        <v>42262</v>
      </c>
      <c r="B179">
        <f>[1]!YBHIST("10 Year Treasury",$A179,"YldtoMat","govt","")</f>
        <v>2.2799999999999998</v>
      </c>
      <c r="C179">
        <f t="shared" si="14"/>
        <v>9.9999999999999645E-2</v>
      </c>
      <c r="D179">
        <f t="shared" si="15"/>
        <v>0</v>
      </c>
      <c r="E179">
        <f t="shared" si="16"/>
        <v>1</v>
      </c>
      <c r="F179">
        <f t="shared" si="17"/>
        <v>0</v>
      </c>
      <c r="G179">
        <f t="shared" si="18"/>
        <v>0</v>
      </c>
    </row>
    <row r="180" spans="1:7" x14ac:dyDescent="0.25">
      <c r="A180" s="2">
        <v>42263</v>
      </c>
      <c r="B180">
        <f>[1]!YBHIST("10 Year Treasury",$A180,"YldtoMat","govt","")</f>
        <v>2.3010000000000002</v>
      </c>
      <c r="C180">
        <f t="shared" si="14"/>
        <v>2.1000000000000352E-2</v>
      </c>
      <c r="D180">
        <f t="shared" si="15"/>
        <v>1</v>
      </c>
      <c r="E180">
        <f t="shared" si="16"/>
        <v>0</v>
      </c>
      <c r="F180">
        <f t="shared" si="17"/>
        <v>0</v>
      </c>
      <c r="G180">
        <f t="shared" si="18"/>
        <v>0</v>
      </c>
    </row>
    <row r="181" spans="1:7" x14ac:dyDescent="0.25">
      <c r="A181" s="4">
        <v>42264</v>
      </c>
      <c r="B181">
        <f>[1]!YBHIST("10 Year Treasury",$A181,"YldtoMat","govt","")</f>
        <v>2.2170000000000001</v>
      </c>
      <c r="C181">
        <f t="shared" si="14"/>
        <v>-8.4000000000000075E-2</v>
      </c>
      <c r="D181">
        <f t="shared" si="15"/>
        <v>0</v>
      </c>
      <c r="E181">
        <f t="shared" si="16"/>
        <v>1</v>
      </c>
      <c r="F181">
        <f t="shared" si="17"/>
        <v>0</v>
      </c>
      <c r="G181">
        <f t="shared" si="18"/>
        <v>0</v>
      </c>
    </row>
    <row r="182" spans="1:7" x14ac:dyDescent="0.25">
      <c r="A182" s="2">
        <v>42265</v>
      </c>
      <c r="B182">
        <f>[1]!YBHIST("10 Year Treasury",$A182,"YldtoMat","govt","")</f>
        <v>2.1280000000000001</v>
      </c>
      <c r="C182">
        <f t="shared" si="14"/>
        <v>-8.8999999999999968E-2</v>
      </c>
      <c r="D182">
        <f t="shared" si="15"/>
        <v>0</v>
      </c>
      <c r="E182">
        <f t="shared" si="16"/>
        <v>1</v>
      </c>
      <c r="F182">
        <f t="shared" si="17"/>
        <v>0</v>
      </c>
      <c r="G182">
        <f t="shared" si="18"/>
        <v>0</v>
      </c>
    </row>
    <row r="183" spans="1:7" x14ac:dyDescent="0.25">
      <c r="A183" s="4">
        <v>42268</v>
      </c>
      <c r="B183">
        <f>[1]!YBHIST("10 Year Treasury",$A183,"YldtoMat","govt","")</f>
        <v>2.2120000000000002</v>
      </c>
      <c r="C183">
        <f t="shared" si="14"/>
        <v>8.4000000000000075E-2</v>
      </c>
      <c r="D183">
        <f t="shared" si="15"/>
        <v>0</v>
      </c>
      <c r="E183">
        <f t="shared" si="16"/>
        <v>1</v>
      </c>
      <c r="F183">
        <f t="shared" si="17"/>
        <v>0</v>
      </c>
      <c r="G183">
        <f t="shared" si="18"/>
        <v>0</v>
      </c>
    </row>
    <row r="184" spans="1:7" x14ac:dyDescent="0.25">
      <c r="A184" s="2">
        <v>42269</v>
      </c>
      <c r="B184">
        <f>[1]!YBHIST("10 Year Treasury",$A184,"YldtoMat","govt","")</f>
        <v>2.121</v>
      </c>
      <c r="C184">
        <f t="shared" si="14"/>
        <v>-9.1000000000000192E-2</v>
      </c>
      <c r="D184">
        <f t="shared" si="15"/>
        <v>0</v>
      </c>
      <c r="E184">
        <f t="shared" si="16"/>
        <v>1</v>
      </c>
      <c r="F184">
        <f t="shared" si="17"/>
        <v>0</v>
      </c>
      <c r="G184">
        <f t="shared" si="18"/>
        <v>0</v>
      </c>
    </row>
    <row r="185" spans="1:7" x14ac:dyDescent="0.25">
      <c r="A185" s="4">
        <v>42270</v>
      </c>
      <c r="B185">
        <f>[1]!YBHIST("10 Year Treasury",$A185,"YldtoMat","govt","")</f>
        <v>2.1429999999999998</v>
      </c>
      <c r="C185">
        <f t="shared" si="14"/>
        <v>2.1999999999999797E-2</v>
      </c>
      <c r="D185">
        <f t="shared" si="15"/>
        <v>1</v>
      </c>
      <c r="E185">
        <f t="shared" si="16"/>
        <v>0</v>
      </c>
      <c r="F185">
        <f t="shared" si="17"/>
        <v>0</v>
      </c>
      <c r="G185">
        <f t="shared" si="18"/>
        <v>0</v>
      </c>
    </row>
    <row r="186" spans="1:7" x14ac:dyDescent="0.25">
      <c r="A186" s="2">
        <v>42271</v>
      </c>
      <c r="B186">
        <f>[1]!YBHIST("10 Year Treasury",$A186,"YldtoMat","govt","")</f>
        <v>2.1179999999999999</v>
      </c>
      <c r="C186">
        <f t="shared" si="14"/>
        <v>-2.4999999999999911E-2</v>
      </c>
      <c r="D186">
        <f t="shared" si="15"/>
        <v>1</v>
      </c>
      <c r="E186">
        <f t="shared" si="16"/>
        <v>0</v>
      </c>
      <c r="F186">
        <f t="shared" si="17"/>
        <v>0</v>
      </c>
      <c r="G186">
        <f t="shared" si="18"/>
        <v>0</v>
      </c>
    </row>
    <row r="187" spans="1:7" x14ac:dyDescent="0.25">
      <c r="A187" s="4">
        <v>42272</v>
      </c>
      <c r="B187">
        <f>[1]!YBHIST("10 Year Treasury",$A187,"YldtoMat","govt","")</f>
        <v>2.1659999999999999</v>
      </c>
      <c r="C187">
        <f t="shared" si="14"/>
        <v>4.8000000000000043E-2</v>
      </c>
      <c r="D187">
        <f t="shared" si="15"/>
        <v>1</v>
      </c>
      <c r="E187">
        <f t="shared" si="16"/>
        <v>0</v>
      </c>
      <c r="F187">
        <f t="shared" si="17"/>
        <v>0</v>
      </c>
      <c r="G187">
        <f t="shared" si="18"/>
        <v>0</v>
      </c>
    </row>
    <row r="188" spans="1:7" x14ac:dyDescent="0.25">
      <c r="A188" s="2">
        <v>42275</v>
      </c>
      <c r="B188">
        <f>[1]!YBHIST("10 Year Treasury",$A188,"YldtoMat","govt","")</f>
        <v>2.093</v>
      </c>
      <c r="C188">
        <f t="shared" si="14"/>
        <v>-7.2999999999999954E-2</v>
      </c>
      <c r="D188">
        <f t="shared" si="15"/>
        <v>0</v>
      </c>
      <c r="E188">
        <f t="shared" si="16"/>
        <v>1</v>
      </c>
      <c r="F188">
        <f t="shared" si="17"/>
        <v>0</v>
      </c>
      <c r="G188">
        <f t="shared" si="18"/>
        <v>0</v>
      </c>
    </row>
    <row r="189" spans="1:7" x14ac:dyDescent="0.25">
      <c r="A189" s="4">
        <v>42276</v>
      </c>
      <c r="B189">
        <f>[1]!YBHIST("10 Year Treasury",$A189,"YldtoMat","govt","")</f>
        <v>2.0529999999999999</v>
      </c>
      <c r="C189">
        <f t="shared" si="14"/>
        <v>-4.0000000000000036E-2</v>
      </c>
      <c r="D189">
        <f t="shared" si="15"/>
        <v>1</v>
      </c>
      <c r="E189">
        <f t="shared" si="16"/>
        <v>0</v>
      </c>
      <c r="F189">
        <f t="shared" si="17"/>
        <v>0</v>
      </c>
      <c r="G189">
        <f t="shared" si="18"/>
        <v>0</v>
      </c>
    </row>
    <row r="190" spans="1:7" x14ac:dyDescent="0.25">
      <c r="A190" s="2">
        <v>42277</v>
      </c>
      <c r="B190">
        <f>[1]!YBHIST("10 Year Treasury",$A190,"YldtoMat","govt","")</f>
        <v>2.056</v>
      </c>
      <c r="C190">
        <f t="shared" si="14"/>
        <v>3.0000000000001137E-3</v>
      </c>
      <c r="D190">
        <f t="shared" si="15"/>
        <v>1</v>
      </c>
      <c r="E190">
        <f t="shared" si="16"/>
        <v>0</v>
      </c>
      <c r="F190">
        <f t="shared" si="17"/>
        <v>0</v>
      </c>
      <c r="G190">
        <f t="shared" si="18"/>
        <v>0</v>
      </c>
    </row>
    <row r="191" spans="1:7" x14ac:dyDescent="0.25">
      <c r="A191" s="4">
        <v>42278</v>
      </c>
      <c r="B191">
        <f>[1]!YBHIST("10 Year Treasury",$A191,"YldtoMat","govt","")</f>
        <v>2.044</v>
      </c>
      <c r="C191">
        <f>B191-B190</f>
        <v>-1.2000000000000011E-2</v>
      </c>
      <c r="D191">
        <f t="shared" si="15"/>
        <v>1</v>
      </c>
      <c r="E191">
        <f t="shared" si="16"/>
        <v>0</v>
      </c>
      <c r="F191">
        <f t="shared" si="17"/>
        <v>0</v>
      </c>
      <c r="G191">
        <f t="shared" si="18"/>
        <v>0</v>
      </c>
    </row>
    <row r="192" spans="1:7" x14ac:dyDescent="0.25">
      <c r="A192" s="2">
        <v>42279</v>
      </c>
      <c r="B192">
        <f>[1]!YBHIST("10 Year Treasury",$A192,"YldtoMat","govt","")</f>
        <v>1.9890000000000001</v>
      </c>
      <c r="C192">
        <f t="shared" si="14"/>
        <v>-5.4999999999999938E-2</v>
      </c>
      <c r="D192">
        <f t="shared" si="15"/>
        <v>0</v>
      </c>
      <c r="E192">
        <f t="shared" si="16"/>
        <v>1</v>
      </c>
      <c r="F192">
        <f t="shared" si="17"/>
        <v>0</v>
      </c>
      <c r="G192">
        <f t="shared" si="18"/>
        <v>0</v>
      </c>
    </row>
    <row r="193" spans="1:7" x14ac:dyDescent="0.25">
      <c r="A193" s="4">
        <v>42282</v>
      </c>
      <c r="B193">
        <f>[1]!YBHIST("10 Year Treasury",$A193,"YldtoMat","govt","")</f>
        <v>2.0539999999999998</v>
      </c>
      <c r="C193">
        <f t="shared" si="14"/>
        <v>6.4999999999999725E-2</v>
      </c>
      <c r="D193">
        <f t="shared" si="15"/>
        <v>0</v>
      </c>
      <c r="E193">
        <f t="shared" si="16"/>
        <v>1</v>
      </c>
      <c r="F193">
        <f t="shared" si="17"/>
        <v>0</v>
      </c>
      <c r="G193">
        <f t="shared" si="18"/>
        <v>0</v>
      </c>
    </row>
    <row r="194" spans="1:7" x14ac:dyDescent="0.25">
      <c r="A194" s="2">
        <v>42283</v>
      </c>
      <c r="B194">
        <f>[1]!YBHIST("10 Year Treasury",$A194,"YldtoMat","govt","")</f>
        <v>2.0329999999999999</v>
      </c>
      <c r="C194">
        <f t="shared" si="14"/>
        <v>-2.0999999999999908E-2</v>
      </c>
      <c r="D194">
        <f t="shared" si="15"/>
        <v>1</v>
      </c>
      <c r="E194">
        <f t="shared" si="16"/>
        <v>0</v>
      </c>
      <c r="F194">
        <f t="shared" si="17"/>
        <v>0</v>
      </c>
      <c r="G194">
        <f t="shared" si="18"/>
        <v>0</v>
      </c>
    </row>
    <row r="195" spans="1:7" x14ac:dyDescent="0.25">
      <c r="A195" s="4">
        <v>42284</v>
      </c>
      <c r="B195">
        <f>[1]!YBHIST("10 Year Treasury",$A195,"YldtoMat","govt","")</f>
        <v>2.06</v>
      </c>
      <c r="C195">
        <f t="shared" si="14"/>
        <v>2.7000000000000135E-2</v>
      </c>
      <c r="D195">
        <f t="shared" si="15"/>
        <v>1</v>
      </c>
      <c r="E195">
        <f t="shared" si="16"/>
        <v>0</v>
      </c>
      <c r="F195">
        <f t="shared" si="17"/>
        <v>0</v>
      </c>
      <c r="G195">
        <f t="shared" si="18"/>
        <v>0</v>
      </c>
    </row>
    <row r="196" spans="1:7" x14ac:dyDescent="0.25">
      <c r="A196" s="2">
        <v>42285</v>
      </c>
      <c r="B196">
        <f>[1]!YBHIST("10 Year Treasury",$A196,"YldtoMat","govt","")</f>
        <v>2.1080000000000001</v>
      </c>
      <c r="C196">
        <f t="shared" ref="C196:C252" si="19">B196-B195</f>
        <v>4.8000000000000043E-2</v>
      </c>
      <c r="D196">
        <f t="shared" ref="D196:D252" si="20">IF(INT(ABS(C196)*100/5)=0,1,0)</f>
        <v>1</v>
      </c>
      <c r="E196">
        <f t="shared" ref="E196:E252" si="21">IF(INT(ABS(C196)*100/5)=1,1,0)</f>
        <v>0</v>
      </c>
      <c r="F196">
        <f t="shared" ref="F196:F252" si="22">IF(INT(ABS(C196)*100/5)=2,1,0)</f>
        <v>0</v>
      </c>
      <c r="G196">
        <f t="shared" ref="G196:G252" si="23">IF(INT(ABS(C196)*100/5)=13,1,0)</f>
        <v>0</v>
      </c>
    </row>
    <row r="197" spans="1:7" x14ac:dyDescent="0.25">
      <c r="A197" s="4">
        <v>42286</v>
      </c>
      <c r="B197">
        <f>[1]!YBHIST("10 Year Treasury",$A197,"YldtoMat","govt","")</f>
        <v>2.097</v>
      </c>
      <c r="C197">
        <f t="shared" si="19"/>
        <v>-1.1000000000000121E-2</v>
      </c>
      <c r="D197">
        <f t="shared" si="20"/>
        <v>1</v>
      </c>
      <c r="E197">
        <f t="shared" si="21"/>
        <v>0</v>
      </c>
      <c r="F197">
        <f t="shared" si="22"/>
        <v>0</v>
      </c>
      <c r="G197">
        <f t="shared" si="23"/>
        <v>0</v>
      </c>
    </row>
    <row r="198" spans="1:7" x14ac:dyDescent="0.25">
      <c r="A198" s="2">
        <v>42290</v>
      </c>
      <c r="B198">
        <f>[1]!YBHIST("10 Year Treasury",$A198,"YldtoMat","govt","")</f>
        <v>2.0550000000000002</v>
      </c>
      <c r="C198">
        <f t="shared" si="19"/>
        <v>-4.1999999999999815E-2</v>
      </c>
      <c r="D198">
        <f t="shared" si="20"/>
        <v>1</v>
      </c>
      <c r="E198">
        <f t="shared" si="21"/>
        <v>0</v>
      </c>
      <c r="F198">
        <f t="shared" si="22"/>
        <v>0</v>
      </c>
      <c r="G198">
        <f t="shared" si="23"/>
        <v>0</v>
      </c>
    </row>
    <row r="199" spans="1:7" x14ac:dyDescent="0.25">
      <c r="A199" s="4">
        <v>42291</v>
      </c>
      <c r="B199">
        <f>[1]!YBHIST("10 Year Treasury",$A199,"YldtoMat","govt","")</f>
        <v>1.9810000000000001</v>
      </c>
      <c r="C199">
        <f t="shared" si="19"/>
        <v>-7.4000000000000066E-2</v>
      </c>
      <c r="D199">
        <f t="shared" si="20"/>
        <v>0</v>
      </c>
      <c r="E199">
        <f t="shared" si="21"/>
        <v>1</v>
      </c>
      <c r="F199">
        <f t="shared" si="22"/>
        <v>0</v>
      </c>
      <c r="G199">
        <f t="shared" si="23"/>
        <v>0</v>
      </c>
    </row>
    <row r="200" spans="1:7" x14ac:dyDescent="0.25">
      <c r="A200" s="2">
        <v>42292</v>
      </c>
      <c r="B200">
        <f>[1]!YBHIST("10 Year Treasury",$A200,"YldtoMat","govt","")</f>
        <v>2.0209999999999999</v>
      </c>
      <c r="C200">
        <f t="shared" si="19"/>
        <v>3.9999999999999813E-2</v>
      </c>
      <c r="D200">
        <f t="shared" si="20"/>
        <v>1</v>
      </c>
      <c r="E200">
        <f t="shared" si="21"/>
        <v>0</v>
      </c>
      <c r="F200">
        <f t="shared" si="22"/>
        <v>0</v>
      </c>
      <c r="G200">
        <f t="shared" si="23"/>
        <v>0</v>
      </c>
    </row>
    <row r="201" spans="1:7" x14ac:dyDescent="0.25">
      <c r="A201" s="4">
        <v>42293</v>
      </c>
      <c r="B201">
        <f>[1]!YBHIST("10 Year Treasury",$A201,"YldtoMat","govt","")</f>
        <v>2.0249999999999999</v>
      </c>
      <c r="C201">
        <f t="shared" si="19"/>
        <v>4.0000000000000036E-3</v>
      </c>
      <c r="D201">
        <f t="shared" si="20"/>
        <v>1</v>
      </c>
      <c r="E201">
        <f t="shared" si="21"/>
        <v>0</v>
      </c>
      <c r="F201">
        <f t="shared" si="22"/>
        <v>0</v>
      </c>
      <c r="G201">
        <f t="shared" si="23"/>
        <v>0</v>
      </c>
    </row>
    <row r="202" spans="1:7" x14ac:dyDescent="0.25">
      <c r="A202" s="2">
        <v>42296</v>
      </c>
      <c r="B202">
        <f>[1]!YBHIST("10 Year Treasury",$A202,"YldtoMat","govt","")</f>
        <v>2.0259999999999998</v>
      </c>
      <c r="C202">
        <f t="shared" si="19"/>
        <v>9.9999999999988987E-4</v>
      </c>
      <c r="D202">
        <f t="shared" si="20"/>
        <v>1</v>
      </c>
      <c r="E202">
        <f t="shared" si="21"/>
        <v>0</v>
      </c>
      <c r="F202">
        <f t="shared" si="22"/>
        <v>0</v>
      </c>
      <c r="G202">
        <f t="shared" si="23"/>
        <v>0</v>
      </c>
    </row>
    <row r="203" spans="1:7" x14ac:dyDescent="0.25">
      <c r="A203" s="4">
        <v>42297</v>
      </c>
      <c r="B203">
        <f>[1]!YBHIST("10 Year Treasury",$A203,"YldtoMat","govt","")</f>
        <v>2.069</v>
      </c>
      <c r="C203">
        <f t="shared" si="19"/>
        <v>4.3000000000000149E-2</v>
      </c>
      <c r="D203">
        <f t="shared" si="20"/>
        <v>1</v>
      </c>
      <c r="E203">
        <f t="shared" si="21"/>
        <v>0</v>
      </c>
      <c r="F203">
        <f t="shared" si="22"/>
        <v>0</v>
      </c>
      <c r="G203">
        <f t="shared" si="23"/>
        <v>0</v>
      </c>
    </row>
    <row r="204" spans="1:7" x14ac:dyDescent="0.25">
      <c r="A204" s="2">
        <v>42298</v>
      </c>
      <c r="B204">
        <f>[1]!YBHIST("10 Year Treasury",$A204,"YldtoMat","govt","")</f>
        <v>2.028</v>
      </c>
      <c r="C204">
        <f t="shared" si="19"/>
        <v>-4.0999999999999925E-2</v>
      </c>
      <c r="D204">
        <f t="shared" si="20"/>
        <v>1</v>
      </c>
      <c r="E204">
        <f t="shared" si="21"/>
        <v>0</v>
      </c>
      <c r="F204">
        <f t="shared" si="22"/>
        <v>0</v>
      </c>
      <c r="G204">
        <f t="shared" si="23"/>
        <v>0</v>
      </c>
    </row>
    <row r="205" spans="1:7" x14ac:dyDescent="0.25">
      <c r="A205" s="4">
        <v>42299</v>
      </c>
      <c r="B205">
        <f>[1]!YBHIST("10 Year Treasury",$A205,"YldtoMat","govt","")</f>
        <v>2.0230000000000001</v>
      </c>
      <c r="C205">
        <f t="shared" si="19"/>
        <v>-4.9999999999998934E-3</v>
      </c>
      <c r="D205">
        <f t="shared" si="20"/>
        <v>1</v>
      </c>
      <c r="E205">
        <f t="shared" si="21"/>
        <v>0</v>
      </c>
      <c r="F205">
        <f t="shared" si="22"/>
        <v>0</v>
      </c>
      <c r="G205">
        <f t="shared" si="23"/>
        <v>0</v>
      </c>
    </row>
    <row r="206" spans="1:7" x14ac:dyDescent="0.25">
      <c r="A206" s="2">
        <v>42300</v>
      </c>
      <c r="B206">
        <f>[1]!YBHIST("10 Year Treasury",$A206,"YldtoMat","govt","")</f>
        <v>2.081</v>
      </c>
      <c r="C206">
        <f t="shared" si="19"/>
        <v>5.7999999999999829E-2</v>
      </c>
      <c r="D206">
        <f t="shared" si="20"/>
        <v>0</v>
      </c>
      <c r="E206">
        <f t="shared" si="21"/>
        <v>1</v>
      </c>
      <c r="F206">
        <f t="shared" si="22"/>
        <v>0</v>
      </c>
      <c r="G206">
        <f t="shared" si="23"/>
        <v>0</v>
      </c>
    </row>
    <row r="207" spans="1:7" x14ac:dyDescent="0.25">
      <c r="A207" s="4">
        <v>42303</v>
      </c>
      <c r="B207">
        <f>[1]!YBHIST("10 Year Treasury",$A207,"YldtoMat","govt","")</f>
        <v>2.0579999999999998</v>
      </c>
      <c r="C207">
        <f t="shared" si="19"/>
        <v>-2.3000000000000131E-2</v>
      </c>
      <c r="D207">
        <f t="shared" si="20"/>
        <v>1</v>
      </c>
      <c r="E207">
        <f t="shared" si="21"/>
        <v>0</v>
      </c>
      <c r="F207">
        <f t="shared" si="22"/>
        <v>0</v>
      </c>
      <c r="G207">
        <f t="shared" si="23"/>
        <v>0</v>
      </c>
    </row>
    <row r="208" spans="1:7" x14ac:dyDescent="0.25">
      <c r="A208" s="2">
        <v>42304</v>
      </c>
      <c r="B208">
        <f>[1]!YBHIST("10 Year Treasury",$A208,"YldtoMat","govt","")</f>
        <v>2.028</v>
      </c>
      <c r="C208">
        <f t="shared" si="19"/>
        <v>-2.9999999999999805E-2</v>
      </c>
      <c r="D208">
        <f t="shared" si="20"/>
        <v>1</v>
      </c>
      <c r="E208">
        <f t="shared" si="21"/>
        <v>0</v>
      </c>
      <c r="F208">
        <f t="shared" si="22"/>
        <v>0</v>
      </c>
      <c r="G208">
        <f t="shared" si="23"/>
        <v>0</v>
      </c>
    </row>
    <row r="209" spans="1:7" x14ac:dyDescent="0.25">
      <c r="A209" s="4">
        <v>42305</v>
      </c>
      <c r="B209">
        <f>[1]!YBHIST("10 Year Treasury",$A209,"YldtoMat","govt","")</f>
        <v>2.0920000000000001</v>
      </c>
      <c r="C209">
        <f t="shared" si="19"/>
        <v>6.4000000000000057E-2</v>
      </c>
      <c r="D209">
        <f t="shared" si="20"/>
        <v>0</v>
      </c>
      <c r="E209">
        <f t="shared" si="21"/>
        <v>1</v>
      </c>
      <c r="F209">
        <f t="shared" si="22"/>
        <v>0</v>
      </c>
      <c r="G209">
        <f t="shared" si="23"/>
        <v>0</v>
      </c>
    </row>
    <row r="210" spans="1:7" x14ac:dyDescent="0.25">
      <c r="A210" s="2">
        <v>42306</v>
      </c>
      <c r="B210">
        <f>[1]!YBHIST("10 Year Treasury",$A210,"YldtoMat","govt","")</f>
        <v>2.1720000000000002</v>
      </c>
      <c r="C210">
        <f t="shared" si="19"/>
        <v>8.0000000000000071E-2</v>
      </c>
      <c r="D210">
        <f t="shared" si="20"/>
        <v>0</v>
      </c>
      <c r="E210">
        <f t="shared" si="21"/>
        <v>1</v>
      </c>
      <c r="F210">
        <f t="shared" si="22"/>
        <v>0</v>
      </c>
      <c r="G210">
        <f t="shared" si="23"/>
        <v>0</v>
      </c>
    </row>
    <row r="211" spans="1:7" x14ac:dyDescent="0.25">
      <c r="A211" s="4">
        <v>42307</v>
      </c>
      <c r="B211">
        <f>[1]!YBHIST("10 Year Treasury",$A211,"YldtoMat","govt","")</f>
        <v>2.1480000000000001</v>
      </c>
      <c r="C211">
        <f t="shared" si="19"/>
        <v>-2.4000000000000021E-2</v>
      </c>
      <c r="D211">
        <f t="shared" si="20"/>
        <v>1</v>
      </c>
      <c r="E211">
        <f t="shared" si="21"/>
        <v>0</v>
      </c>
      <c r="F211">
        <f t="shared" si="22"/>
        <v>0</v>
      </c>
      <c r="G211">
        <f t="shared" si="23"/>
        <v>0</v>
      </c>
    </row>
    <row r="212" spans="1:7" x14ac:dyDescent="0.25">
      <c r="A212" s="2">
        <v>42310</v>
      </c>
      <c r="B212">
        <f>[1]!YBHIST("10 Year Treasury",$A212,"YldtoMat","govt","")</f>
        <v>2.1850000000000001</v>
      </c>
      <c r="C212">
        <f t="shared" si="19"/>
        <v>3.6999999999999922E-2</v>
      </c>
      <c r="D212">
        <f t="shared" si="20"/>
        <v>1</v>
      </c>
      <c r="E212">
        <f t="shared" si="21"/>
        <v>0</v>
      </c>
      <c r="F212">
        <f t="shared" si="22"/>
        <v>0</v>
      </c>
      <c r="G212">
        <f t="shared" si="23"/>
        <v>0</v>
      </c>
    </row>
    <row r="213" spans="1:7" x14ac:dyDescent="0.25">
      <c r="A213" s="4">
        <v>42311</v>
      </c>
      <c r="B213">
        <f>[1]!YBHIST("10 Year Treasury",$A213,"YldtoMat","govt","")</f>
        <v>2.2200000000000002</v>
      </c>
      <c r="C213">
        <f t="shared" si="19"/>
        <v>3.5000000000000142E-2</v>
      </c>
      <c r="D213">
        <f t="shared" si="20"/>
        <v>1</v>
      </c>
      <c r="E213">
        <f t="shared" si="21"/>
        <v>0</v>
      </c>
      <c r="F213">
        <f t="shared" si="22"/>
        <v>0</v>
      </c>
      <c r="G213">
        <f t="shared" si="23"/>
        <v>0</v>
      </c>
    </row>
    <row r="214" spans="1:7" x14ac:dyDescent="0.25">
      <c r="A214" s="2">
        <v>42312</v>
      </c>
      <c r="B214">
        <f>[1]!YBHIST("10 Year Treasury",$A214,"YldtoMat","govt","")</f>
        <v>2.23</v>
      </c>
      <c r="C214">
        <f t="shared" si="19"/>
        <v>9.9999999999997868E-3</v>
      </c>
      <c r="D214">
        <f t="shared" si="20"/>
        <v>1</v>
      </c>
      <c r="E214">
        <f t="shared" si="21"/>
        <v>0</v>
      </c>
      <c r="F214">
        <f t="shared" si="22"/>
        <v>0</v>
      </c>
      <c r="G214">
        <f t="shared" si="23"/>
        <v>0</v>
      </c>
    </row>
    <row r="215" spans="1:7" x14ac:dyDescent="0.25">
      <c r="A215" s="4">
        <v>42313</v>
      </c>
      <c r="B215">
        <f>[1]!YBHIST("10 Year Treasury",$A215,"YldtoMat","govt","")</f>
        <v>2.2450000000000001</v>
      </c>
      <c r="C215">
        <f t="shared" si="19"/>
        <v>1.5000000000000124E-2</v>
      </c>
      <c r="D215">
        <f t="shared" si="20"/>
        <v>1</v>
      </c>
      <c r="E215">
        <f t="shared" si="21"/>
        <v>0</v>
      </c>
      <c r="F215">
        <f t="shared" si="22"/>
        <v>0</v>
      </c>
      <c r="G215">
        <f t="shared" si="23"/>
        <v>0</v>
      </c>
    </row>
    <row r="216" spans="1:7" x14ac:dyDescent="0.25">
      <c r="A216" s="2">
        <v>42314</v>
      </c>
      <c r="B216">
        <f>[1]!YBHIST("10 Year Treasury",$A216,"YldtoMat","govt","")</f>
        <v>2.3330000000000002</v>
      </c>
      <c r="C216">
        <f t="shared" si="19"/>
        <v>8.8000000000000078E-2</v>
      </c>
      <c r="D216">
        <f t="shared" si="20"/>
        <v>0</v>
      </c>
      <c r="E216">
        <f t="shared" si="21"/>
        <v>1</v>
      </c>
      <c r="F216">
        <f t="shared" si="22"/>
        <v>0</v>
      </c>
      <c r="G216">
        <f t="shared" si="23"/>
        <v>0</v>
      </c>
    </row>
    <row r="217" spans="1:7" x14ac:dyDescent="0.25">
      <c r="A217" s="4">
        <v>42317</v>
      </c>
      <c r="B217">
        <f>[1]!YBHIST("10 Year Treasury",$A217,"YldtoMat","govt","")</f>
        <v>2.34</v>
      </c>
      <c r="C217">
        <f t="shared" si="19"/>
        <v>6.9999999999996732E-3</v>
      </c>
      <c r="D217">
        <f t="shared" si="20"/>
        <v>1</v>
      </c>
      <c r="E217">
        <f t="shared" si="21"/>
        <v>0</v>
      </c>
      <c r="F217">
        <f t="shared" si="22"/>
        <v>0</v>
      </c>
      <c r="G217">
        <f t="shared" si="23"/>
        <v>0</v>
      </c>
    </row>
    <row r="218" spans="1:7" x14ac:dyDescent="0.25">
      <c r="A218" s="2">
        <v>42318</v>
      </c>
      <c r="B218">
        <f>[1]!YBHIST("10 Year Treasury",$A218,"YldtoMat","govt","")</f>
        <v>2.3220000000000001</v>
      </c>
      <c r="C218">
        <f t="shared" si="19"/>
        <v>-1.7999999999999794E-2</v>
      </c>
      <c r="D218">
        <f t="shared" si="20"/>
        <v>1</v>
      </c>
      <c r="E218">
        <f t="shared" si="21"/>
        <v>0</v>
      </c>
      <c r="F218">
        <f t="shared" si="22"/>
        <v>0</v>
      </c>
      <c r="G218">
        <f t="shared" si="23"/>
        <v>0</v>
      </c>
    </row>
    <row r="219" spans="1:7" x14ac:dyDescent="0.25">
      <c r="A219" s="4">
        <v>42320</v>
      </c>
      <c r="B219">
        <f>[1]!YBHIST("10 Year Treasury",$A219,"YldtoMat","govt","")</f>
        <v>2.3170000000000002</v>
      </c>
      <c r="C219">
        <f t="shared" si="19"/>
        <v>-4.9999999999998934E-3</v>
      </c>
      <c r="D219">
        <f t="shared" si="20"/>
        <v>1</v>
      </c>
      <c r="E219">
        <f t="shared" si="21"/>
        <v>0</v>
      </c>
      <c r="F219">
        <f t="shared" si="22"/>
        <v>0</v>
      </c>
      <c r="G219">
        <f t="shared" si="23"/>
        <v>0</v>
      </c>
    </row>
    <row r="220" spans="1:7" x14ac:dyDescent="0.25">
      <c r="A220" s="2">
        <v>42321</v>
      </c>
      <c r="B220">
        <f>[1]!YBHIST("10 Year Treasury",$A220,"YldtoMat","govt","")</f>
        <v>2.2799999999999998</v>
      </c>
      <c r="C220">
        <f t="shared" si="19"/>
        <v>-3.7000000000000366E-2</v>
      </c>
      <c r="D220">
        <f t="shared" si="20"/>
        <v>1</v>
      </c>
      <c r="E220">
        <f t="shared" si="21"/>
        <v>0</v>
      </c>
      <c r="F220">
        <f t="shared" si="22"/>
        <v>0</v>
      </c>
      <c r="G220">
        <f t="shared" si="23"/>
        <v>0</v>
      </c>
    </row>
    <row r="221" spans="1:7" x14ac:dyDescent="0.25">
      <c r="A221" s="4">
        <v>42324</v>
      </c>
      <c r="B221">
        <f>[1]!YBHIST("10 Year Treasury",$A221,"YldtoMat","govt","")</f>
        <v>2.2730000000000001</v>
      </c>
      <c r="C221">
        <f t="shared" si="19"/>
        <v>-6.9999999999996732E-3</v>
      </c>
      <c r="D221">
        <f t="shared" si="20"/>
        <v>1</v>
      </c>
      <c r="E221">
        <f t="shared" si="21"/>
        <v>0</v>
      </c>
      <c r="F221">
        <f t="shared" si="22"/>
        <v>0</v>
      </c>
      <c r="G221">
        <f t="shared" si="23"/>
        <v>0</v>
      </c>
    </row>
    <row r="222" spans="1:7" x14ac:dyDescent="0.25">
      <c r="A222" s="2">
        <v>42325</v>
      </c>
      <c r="B222">
        <f>[1]!YBHIST("10 Year Treasury",$A222,"YldtoMat","govt","")</f>
        <v>2.2589999999999999</v>
      </c>
      <c r="C222">
        <f t="shared" si="19"/>
        <v>-1.4000000000000234E-2</v>
      </c>
      <c r="D222">
        <f t="shared" si="20"/>
        <v>1</v>
      </c>
      <c r="E222">
        <f t="shared" si="21"/>
        <v>0</v>
      </c>
      <c r="F222">
        <f t="shared" si="22"/>
        <v>0</v>
      </c>
      <c r="G222">
        <f t="shared" si="23"/>
        <v>0</v>
      </c>
    </row>
    <row r="223" spans="1:7" x14ac:dyDescent="0.25">
      <c r="A223" s="4">
        <v>42326</v>
      </c>
      <c r="B223">
        <f>[1]!YBHIST("10 Year Treasury",$A223,"YldtoMat","govt","")</f>
        <v>2.2690000000000001</v>
      </c>
      <c r="C223">
        <f t="shared" si="19"/>
        <v>1.0000000000000231E-2</v>
      </c>
      <c r="D223">
        <f t="shared" si="20"/>
        <v>1</v>
      </c>
      <c r="E223">
        <f t="shared" si="21"/>
        <v>0</v>
      </c>
      <c r="F223">
        <f t="shared" si="22"/>
        <v>0</v>
      </c>
      <c r="G223">
        <f t="shared" si="23"/>
        <v>0</v>
      </c>
    </row>
    <row r="224" spans="1:7" x14ac:dyDescent="0.25">
      <c r="A224" s="2">
        <v>42327</v>
      </c>
      <c r="B224">
        <f>[1]!YBHIST("10 Year Treasury",$A224,"YldtoMat","govt","")</f>
        <v>2.246</v>
      </c>
      <c r="C224">
        <f t="shared" si="19"/>
        <v>-2.3000000000000131E-2</v>
      </c>
      <c r="D224">
        <f t="shared" si="20"/>
        <v>1</v>
      </c>
      <c r="E224">
        <f t="shared" si="21"/>
        <v>0</v>
      </c>
      <c r="F224">
        <f t="shared" si="22"/>
        <v>0</v>
      </c>
      <c r="G224">
        <f t="shared" si="23"/>
        <v>0</v>
      </c>
    </row>
    <row r="225" spans="1:7" x14ac:dyDescent="0.25">
      <c r="A225" s="4">
        <v>42328</v>
      </c>
      <c r="B225">
        <f>[1]!YBHIST("10 Year Treasury",$A225,"YldtoMat","govt","")</f>
        <v>2.262</v>
      </c>
      <c r="C225">
        <f t="shared" si="19"/>
        <v>1.6000000000000014E-2</v>
      </c>
      <c r="D225">
        <f t="shared" si="20"/>
        <v>1</v>
      </c>
      <c r="E225">
        <f t="shared" si="21"/>
        <v>0</v>
      </c>
      <c r="F225">
        <f t="shared" si="22"/>
        <v>0</v>
      </c>
      <c r="G225">
        <f t="shared" si="23"/>
        <v>0</v>
      </c>
    </row>
    <row r="226" spans="1:7" x14ac:dyDescent="0.25">
      <c r="A226" s="2">
        <v>42331</v>
      </c>
      <c r="B226">
        <f>[1]!YBHIST("10 Year Treasury",$A226,"YldtoMat","govt","")</f>
        <v>2.2480000000000002</v>
      </c>
      <c r="C226">
        <f t="shared" si="19"/>
        <v>-1.399999999999979E-2</v>
      </c>
      <c r="D226">
        <f t="shared" si="20"/>
        <v>1</v>
      </c>
      <c r="E226">
        <f t="shared" si="21"/>
        <v>0</v>
      </c>
      <c r="F226">
        <f t="shared" si="22"/>
        <v>0</v>
      </c>
      <c r="G226">
        <f t="shared" si="23"/>
        <v>0</v>
      </c>
    </row>
    <row r="227" spans="1:7" x14ac:dyDescent="0.25">
      <c r="A227" s="4">
        <v>42332</v>
      </c>
      <c r="B227">
        <f>[1]!YBHIST("10 Year Treasury",$A227,"YldtoMat","govt","")</f>
        <v>2.2410000000000001</v>
      </c>
      <c r="C227">
        <f t="shared" si="19"/>
        <v>-7.0000000000001172E-3</v>
      </c>
      <c r="D227">
        <f t="shared" si="20"/>
        <v>1</v>
      </c>
      <c r="E227">
        <f t="shared" si="21"/>
        <v>0</v>
      </c>
      <c r="F227">
        <f t="shared" si="22"/>
        <v>0</v>
      </c>
      <c r="G227">
        <f t="shared" si="23"/>
        <v>0</v>
      </c>
    </row>
    <row r="228" spans="1:7" x14ac:dyDescent="0.25">
      <c r="A228" s="2">
        <v>42333</v>
      </c>
      <c r="B228">
        <f>[1]!YBHIST("10 Year Treasury",$A228,"YldtoMat","govt","")</f>
        <v>2.2320000000000002</v>
      </c>
      <c r="C228">
        <f t="shared" si="19"/>
        <v>-8.999999999999897E-3</v>
      </c>
      <c r="D228">
        <f t="shared" si="20"/>
        <v>1</v>
      </c>
      <c r="E228">
        <f t="shared" si="21"/>
        <v>0</v>
      </c>
      <c r="F228">
        <f t="shared" si="22"/>
        <v>0</v>
      </c>
      <c r="G228">
        <f t="shared" si="23"/>
        <v>0</v>
      </c>
    </row>
    <row r="229" spans="1:7" x14ac:dyDescent="0.25">
      <c r="A229" s="4">
        <v>42335</v>
      </c>
      <c r="B229">
        <f>[1]!YBHIST("10 Year Treasury",$A229,"YldtoMat","govt","")</f>
        <v>2.2240000000000002</v>
      </c>
      <c r="C229">
        <f t="shared" si="19"/>
        <v>-8.0000000000000071E-3</v>
      </c>
      <c r="D229">
        <f t="shared" si="20"/>
        <v>1</v>
      </c>
      <c r="E229">
        <f t="shared" si="21"/>
        <v>0</v>
      </c>
      <c r="F229">
        <f t="shared" si="22"/>
        <v>0</v>
      </c>
      <c r="G229">
        <f t="shared" si="23"/>
        <v>0</v>
      </c>
    </row>
    <row r="230" spans="1:7" x14ac:dyDescent="0.25">
      <c r="A230" s="2">
        <v>42338</v>
      </c>
      <c r="B230">
        <f>[1]!YBHIST("10 Year Treasury",$A230,"YldtoMat","govt","")</f>
        <v>2.2170000000000001</v>
      </c>
      <c r="C230">
        <f t="shared" si="19"/>
        <v>-7.0000000000001172E-3</v>
      </c>
      <c r="D230">
        <f t="shared" si="20"/>
        <v>1</v>
      </c>
      <c r="E230">
        <f t="shared" si="21"/>
        <v>0</v>
      </c>
      <c r="F230">
        <f t="shared" si="22"/>
        <v>0</v>
      </c>
      <c r="G230">
        <f t="shared" si="23"/>
        <v>0</v>
      </c>
    </row>
    <row r="231" spans="1:7" x14ac:dyDescent="0.25">
      <c r="A231" s="4">
        <v>42339</v>
      </c>
      <c r="B231">
        <f>[1]!YBHIST("10 Year Treasury",$A231,"YldtoMat","govt","")</f>
        <v>2.1539999999999999</v>
      </c>
      <c r="C231">
        <f t="shared" si="19"/>
        <v>-6.3000000000000167E-2</v>
      </c>
      <c r="D231">
        <f t="shared" si="20"/>
        <v>0</v>
      </c>
      <c r="E231">
        <f t="shared" si="21"/>
        <v>1</v>
      </c>
      <c r="F231">
        <f t="shared" si="22"/>
        <v>0</v>
      </c>
      <c r="G231">
        <f t="shared" si="23"/>
        <v>0</v>
      </c>
    </row>
    <row r="232" spans="1:7" x14ac:dyDescent="0.25">
      <c r="A232" s="2">
        <v>42340</v>
      </c>
      <c r="B232">
        <f>[1]!YBHIST("10 Year Treasury",$A232,"YldtoMat","govt","")</f>
        <v>2.1760000000000002</v>
      </c>
      <c r="C232">
        <f t="shared" si="19"/>
        <v>2.2000000000000242E-2</v>
      </c>
      <c r="D232">
        <f t="shared" si="20"/>
        <v>1</v>
      </c>
      <c r="E232">
        <f t="shared" si="21"/>
        <v>0</v>
      </c>
      <c r="F232">
        <f t="shared" si="22"/>
        <v>0</v>
      </c>
      <c r="G232">
        <f t="shared" si="23"/>
        <v>0</v>
      </c>
    </row>
    <row r="233" spans="1:7" x14ac:dyDescent="0.25">
      <c r="A233" s="4">
        <v>42341</v>
      </c>
      <c r="B233">
        <f>[1]!YBHIST("10 Year Treasury",$A233,"YldtoMat","govt","")</f>
        <v>2.3279999999999998</v>
      </c>
      <c r="C233">
        <f t="shared" si="19"/>
        <v>0.15199999999999969</v>
      </c>
      <c r="D233">
        <f t="shared" si="20"/>
        <v>0</v>
      </c>
      <c r="E233">
        <f t="shared" si="21"/>
        <v>0</v>
      </c>
      <c r="F233">
        <f t="shared" si="22"/>
        <v>0</v>
      </c>
      <c r="G233">
        <f t="shared" si="23"/>
        <v>0</v>
      </c>
    </row>
    <row r="234" spans="1:7" x14ac:dyDescent="0.25">
      <c r="A234" s="2">
        <v>42342</v>
      </c>
      <c r="B234">
        <f>[1]!YBHIST("10 Year Treasury",$A234,"YldtoMat","govt","")</f>
        <v>2.2730000000000001</v>
      </c>
      <c r="C234">
        <f t="shared" si="19"/>
        <v>-5.4999999999999716E-2</v>
      </c>
      <c r="D234">
        <f t="shared" si="20"/>
        <v>0</v>
      </c>
      <c r="E234">
        <f t="shared" si="21"/>
        <v>1</v>
      </c>
      <c r="F234">
        <f t="shared" si="22"/>
        <v>0</v>
      </c>
      <c r="G234">
        <f t="shared" si="23"/>
        <v>0</v>
      </c>
    </row>
    <row r="235" spans="1:7" x14ac:dyDescent="0.25">
      <c r="A235" s="4">
        <v>42345</v>
      </c>
      <c r="B235">
        <f>[1]!YBHIST("10 Year Treasury",$A235,"YldtoMat","govt","")</f>
        <v>2.222</v>
      </c>
      <c r="C235">
        <f t="shared" si="19"/>
        <v>-5.1000000000000156E-2</v>
      </c>
      <c r="D235">
        <f t="shared" si="20"/>
        <v>0</v>
      </c>
      <c r="E235">
        <f t="shared" si="21"/>
        <v>1</v>
      </c>
      <c r="F235">
        <f t="shared" si="22"/>
        <v>0</v>
      </c>
      <c r="G235">
        <f t="shared" si="23"/>
        <v>0</v>
      </c>
    </row>
    <row r="236" spans="1:7" x14ac:dyDescent="0.25">
      <c r="A236" s="2">
        <v>42346</v>
      </c>
      <c r="B236">
        <f>[1]!YBHIST("10 Year Treasury",$A236,"YldtoMat","govt","")</f>
        <v>2.238</v>
      </c>
      <c r="C236">
        <f t="shared" si="19"/>
        <v>1.6000000000000014E-2</v>
      </c>
      <c r="D236">
        <f t="shared" si="20"/>
        <v>1</v>
      </c>
      <c r="E236">
        <f t="shared" si="21"/>
        <v>0</v>
      </c>
      <c r="F236">
        <f t="shared" si="22"/>
        <v>0</v>
      </c>
      <c r="G236">
        <f t="shared" si="23"/>
        <v>0</v>
      </c>
    </row>
    <row r="237" spans="1:7" x14ac:dyDescent="0.25">
      <c r="A237" s="4">
        <v>42347</v>
      </c>
      <c r="B237">
        <f>[1]!YBHIST("10 Year Treasury",$A237,"YldtoMat","govt","")</f>
        <v>2.2080000000000002</v>
      </c>
      <c r="C237">
        <f t="shared" si="19"/>
        <v>-2.9999999999999805E-2</v>
      </c>
      <c r="D237">
        <f t="shared" si="20"/>
        <v>1</v>
      </c>
      <c r="E237">
        <f t="shared" si="21"/>
        <v>0</v>
      </c>
      <c r="F237">
        <f t="shared" si="22"/>
        <v>0</v>
      </c>
      <c r="G237">
        <f t="shared" si="23"/>
        <v>0</v>
      </c>
    </row>
    <row r="238" spans="1:7" x14ac:dyDescent="0.25">
      <c r="A238" s="2">
        <v>42348</v>
      </c>
      <c r="B238">
        <f>[1]!YBHIST("10 Year Treasury",$A238,"YldtoMat","govt","")</f>
        <v>2.238</v>
      </c>
      <c r="C238">
        <f t="shared" si="19"/>
        <v>2.9999999999999805E-2</v>
      </c>
      <c r="D238">
        <f t="shared" si="20"/>
        <v>1</v>
      </c>
      <c r="E238">
        <f t="shared" si="21"/>
        <v>0</v>
      </c>
      <c r="F238">
        <f t="shared" si="22"/>
        <v>0</v>
      </c>
      <c r="G238">
        <f t="shared" si="23"/>
        <v>0</v>
      </c>
    </row>
    <row r="239" spans="1:7" x14ac:dyDescent="0.25">
      <c r="A239" s="4">
        <v>42349</v>
      </c>
      <c r="B239">
        <f>[1]!YBHIST("10 Year Treasury",$A239,"YldtoMat","govt","")</f>
        <v>2.1379999999999999</v>
      </c>
      <c r="C239">
        <f t="shared" si="19"/>
        <v>-0.10000000000000009</v>
      </c>
      <c r="D239">
        <f t="shared" si="20"/>
        <v>0</v>
      </c>
      <c r="E239">
        <f t="shared" si="21"/>
        <v>0</v>
      </c>
      <c r="F239">
        <f t="shared" si="22"/>
        <v>1</v>
      </c>
      <c r="G239">
        <f t="shared" si="23"/>
        <v>0</v>
      </c>
    </row>
    <row r="240" spans="1:7" x14ac:dyDescent="0.25">
      <c r="A240" s="2">
        <v>42352</v>
      </c>
      <c r="B240">
        <f>[1]!YBHIST("10 Year Treasury",$A240,"YldtoMat","govt","")</f>
        <v>2.2250000000000001</v>
      </c>
      <c r="C240">
        <f t="shared" si="19"/>
        <v>8.7000000000000188E-2</v>
      </c>
      <c r="D240">
        <f t="shared" si="20"/>
        <v>0</v>
      </c>
      <c r="E240">
        <f t="shared" si="21"/>
        <v>1</v>
      </c>
      <c r="F240">
        <f t="shared" si="22"/>
        <v>0</v>
      </c>
      <c r="G240">
        <f t="shared" si="23"/>
        <v>0</v>
      </c>
    </row>
    <row r="241" spans="1:7" x14ac:dyDescent="0.25">
      <c r="A241" s="4">
        <v>42353</v>
      </c>
      <c r="B241">
        <f>[1]!YBHIST("10 Year Treasury",$A241,"YldtoMat","govt","")</f>
        <v>2.266</v>
      </c>
      <c r="C241">
        <f t="shared" si="19"/>
        <v>4.0999999999999925E-2</v>
      </c>
      <c r="D241">
        <f t="shared" si="20"/>
        <v>1</v>
      </c>
      <c r="E241">
        <f t="shared" si="21"/>
        <v>0</v>
      </c>
      <c r="F241">
        <f t="shared" si="22"/>
        <v>0</v>
      </c>
      <c r="G241">
        <f t="shared" si="23"/>
        <v>0</v>
      </c>
    </row>
    <row r="242" spans="1:7" x14ac:dyDescent="0.25">
      <c r="A242" s="2">
        <v>42354</v>
      </c>
      <c r="B242">
        <f>[1]!YBHIST("10 Year Treasury",$A242,"YldtoMat","govt","")</f>
        <v>2.2869999999999999</v>
      </c>
      <c r="C242">
        <f t="shared" si="19"/>
        <v>2.0999999999999908E-2</v>
      </c>
      <c r="D242">
        <f t="shared" si="20"/>
        <v>1</v>
      </c>
      <c r="E242">
        <f t="shared" si="21"/>
        <v>0</v>
      </c>
      <c r="F242">
        <f t="shared" si="22"/>
        <v>0</v>
      </c>
      <c r="G242">
        <f t="shared" si="23"/>
        <v>0</v>
      </c>
    </row>
    <row r="243" spans="1:7" x14ac:dyDescent="0.25">
      <c r="A243" s="4">
        <v>42355</v>
      </c>
      <c r="B243">
        <f>[1]!YBHIST("10 Year Treasury",$A243,"YldtoMat","govt","")</f>
        <v>2.2360000000000002</v>
      </c>
      <c r="C243">
        <f t="shared" si="19"/>
        <v>-5.0999999999999712E-2</v>
      </c>
      <c r="D243">
        <f t="shared" si="20"/>
        <v>0</v>
      </c>
      <c r="E243">
        <f t="shared" si="21"/>
        <v>1</v>
      </c>
      <c r="F243">
        <f t="shared" si="22"/>
        <v>0</v>
      </c>
      <c r="G243">
        <f t="shared" si="23"/>
        <v>0</v>
      </c>
    </row>
    <row r="244" spans="1:7" x14ac:dyDescent="0.25">
      <c r="A244" s="2">
        <v>42356</v>
      </c>
      <c r="B244">
        <f>[1]!YBHIST("10 Year Treasury",$A244,"YldtoMat","govt","")</f>
        <v>2.1949999999999998</v>
      </c>
      <c r="C244">
        <f t="shared" si="19"/>
        <v>-4.1000000000000369E-2</v>
      </c>
      <c r="D244">
        <f t="shared" si="20"/>
        <v>1</v>
      </c>
      <c r="E244">
        <f t="shared" si="21"/>
        <v>0</v>
      </c>
      <c r="F244">
        <f t="shared" si="22"/>
        <v>0</v>
      </c>
      <c r="G244">
        <f t="shared" si="23"/>
        <v>0</v>
      </c>
    </row>
    <row r="245" spans="1:7" x14ac:dyDescent="0.25">
      <c r="A245" s="4">
        <v>42359</v>
      </c>
      <c r="B245">
        <f>[1]!YBHIST("10 Year Treasury",$A245,"YldtoMat","govt","")</f>
        <v>2.1970000000000001</v>
      </c>
      <c r="C245">
        <f t="shared" si="19"/>
        <v>2.0000000000002238E-3</v>
      </c>
      <c r="D245">
        <f t="shared" si="20"/>
        <v>1</v>
      </c>
      <c r="E245">
        <f t="shared" si="21"/>
        <v>0</v>
      </c>
      <c r="F245">
        <f t="shared" si="22"/>
        <v>0</v>
      </c>
      <c r="G245">
        <f t="shared" si="23"/>
        <v>0</v>
      </c>
    </row>
    <row r="246" spans="1:7" x14ac:dyDescent="0.25">
      <c r="A246" s="2">
        <v>42360</v>
      </c>
      <c r="B246">
        <f>[1]!YBHIST("10 Year Treasury",$A246,"YldtoMat","govt","")</f>
        <v>2.2370000000000001</v>
      </c>
      <c r="C246">
        <f t="shared" si="19"/>
        <v>4.0000000000000036E-2</v>
      </c>
      <c r="D246">
        <f t="shared" si="20"/>
        <v>1</v>
      </c>
      <c r="E246">
        <f t="shared" si="21"/>
        <v>0</v>
      </c>
      <c r="F246">
        <f t="shared" si="22"/>
        <v>0</v>
      </c>
      <c r="G246">
        <f t="shared" si="23"/>
        <v>0</v>
      </c>
    </row>
    <row r="247" spans="1:7" x14ac:dyDescent="0.25">
      <c r="A247" s="4">
        <v>42361</v>
      </c>
      <c r="B247">
        <f>[1]!YBHIST("10 Year Treasury",$A247,"YldtoMat","govt","")</f>
        <v>2.2639999999999998</v>
      </c>
      <c r="C247">
        <f t="shared" si="19"/>
        <v>2.6999999999999691E-2</v>
      </c>
      <c r="D247">
        <f t="shared" si="20"/>
        <v>1</v>
      </c>
      <c r="E247">
        <f t="shared" si="21"/>
        <v>0</v>
      </c>
      <c r="F247">
        <f t="shared" si="22"/>
        <v>0</v>
      </c>
      <c r="G247">
        <f t="shared" si="23"/>
        <v>0</v>
      </c>
    </row>
    <row r="248" spans="1:7" x14ac:dyDescent="0.25">
      <c r="A248" s="2">
        <v>42362</v>
      </c>
      <c r="B248">
        <f>[1]!YBHIST("10 Year Treasury",$A248,"YldtoMat","govt","")</f>
        <v>2.2410000000000001</v>
      </c>
      <c r="C248">
        <f t="shared" si="19"/>
        <v>-2.2999999999999687E-2</v>
      </c>
      <c r="D248">
        <f t="shared" si="20"/>
        <v>1</v>
      </c>
      <c r="E248">
        <f t="shared" si="21"/>
        <v>0</v>
      </c>
      <c r="F248">
        <f t="shared" si="22"/>
        <v>0</v>
      </c>
      <c r="G248">
        <f t="shared" si="23"/>
        <v>0</v>
      </c>
    </row>
    <row r="249" spans="1:7" x14ac:dyDescent="0.25">
      <c r="A249" s="4">
        <v>42366</v>
      </c>
      <c r="B249">
        <f>[1]!YBHIST("10 Year Treasury",$A249,"YldtoMat","govt","")</f>
        <v>2.2250000000000001</v>
      </c>
      <c r="C249">
        <f t="shared" si="19"/>
        <v>-1.6000000000000014E-2</v>
      </c>
      <c r="D249">
        <f t="shared" si="20"/>
        <v>1</v>
      </c>
      <c r="E249">
        <f t="shared" si="21"/>
        <v>0</v>
      </c>
      <c r="F249">
        <f t="shared" si="22"/>
        <v>0</v>
      </c>
      <c r="G249">
        <f t="shared" si="23"/>
        <v>0</v>
      </c>
    </row>
    <row r="250" spans="1:7" x14ac:dyDescent="0.25">
      <c r="A250" s="2">
        <v>42367</v>
      </c>
      <c r="B250">
        <f>[1]!YBHIST("10 Year Treasury",$A250,"YldtoMat","govt","")</f>
        <v>2.3090000000000002</v>
      </c>
      <c r="C250">
        <f t="shared" si="19"/>
        <v>8.4000000000000075E-2</v>
      </c>
      <c r="D250">
        <f t="shared" si="20"/>
        <v>0</v>
      </c>
      <c r="E250">
        <f t="shared" si="21"/>
        <v>1</v>
      </c>
      <c r="F250">
        <f t="shared" si="22"/>
        <v>0</v>
      </c>
      <c r="G250">
        <f t="shared" si="23"/>
        <v>0</v>
      </c>
    </row>
    <row r="251" spans="1:7" x14ac:dyDescent="0.25">
      <c r="A251" s="4">
        <v>42368</v>
      </c>
      <c r="B251">
        <f>[1]!YBHIST("10 Year Treasury",$A251,"YldtoMat","govt","")</f>
        <v>2.3050000000000002</v>
      </c>
      <c r="C251">
        <f t="shared" si="19"/>
        <v>-4.0000000000000036E-3</v>
      </c>
      <c r="D251">
        <f t="shared" si="20"/>
        <v>1</v>
      </c>
      <c r="E251">
        <f t="shared" si="21"/>
        <v>0</v>
      </c>
      <c r="F251">
        <f t="shared" si="22"/>
        <v>0</v>
      </c>
      <c r="G251">
        <f t="shared" si="23"/>
        <v>0</v>
      </c>
    </row>
    <row r="252" spans="1:7" x14ac:dyDescent="0.25">
      <c r="A252" s="2">
        <v>42369</v>
      </c>
      <c r="B252">
        <f>[1]!YBHIST("10 Year Treasury",$A252,"YldtoMat","govt","")</f>
        <v>2.2730000000000001</v>
      </c>
      <c r="C252">
        <f t="shared" si="19"/>
        <v>-3.2000000000000028E-2</v>
      </c>
      <c r="D252">
        <f t="shared" si="20"/>
        <v>1</v>
      </c>
      <c r="E252">
        <f t="shared" si="21"/>
        <v>0</v>
      </c>
      <c r="F252">
        <f t="shared" si="22"/>
        <v>0</v>
      </c>
      <c r="G252">
        <f t="shared" si="23"/>
        <v>0</v>
      </c>
    </row>
    <row r="253" spans="1:7" x14ac:dyDescent="0.25">
      <c r="A253" s="2">
        <v>42373</v>
      </c>
      <c r="B253" s="3">
        <v>2.2400000000000002</v>
      </c>
      <c r="C253">
        <f t="shared" ref="C253:C316" si="24">B253-B252</f>
        <v>-3.2999999999999918E-2</v>
      </c>
      <c r="D253">
        <f t="shared" ref="D253:D316" si="25">IF(INT(ABS(C253)*100/5)=0,1,0)</f>
        <v>1</v>
      </c>
      <c r="E253">
        <f t="shared" ref="E253:E316" si="26">IF(INT(ABS(C253)*100/5)=1,1,0)</f>
        <v>0</v>
      </c>
      <c r="F253">
        <f t="shared" ref="F253:F316" si="27">IF(INT(ABS(C253)*100/5)=2,1,0)</f>
        <v>0</v>
      </c>
      <c r="G253">
        <f t="shared" ref="G253:G316" si="28">IF(INT(ABS(C253)*100/5)=13,1,0)</f>
        <v>0</v>
      </c>
    </row>
    <row r="254" spans="1:7" x14ac:dyDescent="0.25">
      <c r="A254" s="4">
        <v>42374</v>
      </c>
      <c r="B254" s="10">
        <v>2.25</v>
      </c>
      <c r="C254">
        <f t="shared" si="24"/>
        <v>9.9999999999997868E-3</v>
      </c>
      <c r="D254">
        <f t="shared" si="25"/>
        <v>1</v>
      </c>
      <c r="E254">
        <f t="shared" si="26"/>
        <v>0</v>
      </c>
      <c r="F254">
        <f t="shared" si="27"/>
        <v>0</v>
      </c>
      <c r="G254">
        <f t="shared" si="28"/>
        <v>0</v>
      </c>
    </row>
    <row r="255" spans="1:7" x14ac:dyDescent="0.25">
      <c r="A255" s="2">
        <v>42375</v>
      </c>
      <c r="B255" s="3">
        <v>2.1800000000000002</v>
      </c>
      <c r="C255">
        <f t="shared" si="24"/>
        <v>-6.999999999999984E-2</v>
      </c>
      <c r="D255">
        <f t="shared" si="25"/>
        <v>0</v>
      </c>
      <c r="E255">
        <f t="shared" si="26"/>
        <v>1</v>
      </c>
      <c r="F255">
        <f t="shared" si="27"/>
        <v>0</v>
      </c>
      <c r="G255">
        <f t="shared" si="28"/>
        <v>0</v>
      </c>
    </row>
    <row r="256" spans="1:7" x14ac:dyDescent="0.25">
      <c r="A256" s="4">
        <v>42376</v>
      </c>
      <c r="B256" s="10">
        <v>2.16</v>
      </c>
      <c r="C256">
        <f t="shared" si="24"/>
        <v>-2.0000000000000018E-2</v>
      </c>
      <c r="D256">
        <f t="shared" si="25"/>
        <v>1</v>
      </c>
      <c r="E256">
        <f t="shared" si="26"/>
        <v>0</v>
      </c>
      <c r="F256">
        <f t="shared" si="27"/>
        <v>0</v>
      </c>
      <c r="G256">
        <f t="shared" si="28"/>
        <v>0</v>
      </c>
    </row>
    <row r="257" spans="1:7" x14ac:dyDescent="0.25">
      <c r="A257" s="2">
        <v>42377</v>
      </c>
      <c r="B257" s="3">
        <v>2.13</v>
      </c>
      <c r="C257">
        <f t="shared" si="24"/>
        <v>-3.0000000000000249E-2</v>
      </c>
      <c r="D257">
        <f t="shared" si="25"/>
        <v>1</v>
      </c>
      <c r="E257">
        <f t="shared" si="26"/>
        <v>0</v>
      </c>
      <c r="F257">
        <f t="shared" si="27"/>
        <v>0</v>
      </c>
      <c r="G257">
        <f t="shared" si="28"/>
        <v>0</v>
      </c>
    </row>
    <row r="258" spans="1:7" x14ac:dyDescent="0.25">
      <c r="A258" s="4">
        <v>42380</v>
      </c>
      <c r="B258" s="10">
        <v>2.17</v>
      </c>
      <c r="C258">
        <f t="shared" si="24"/>
        <v>4.0000000000000036E-2</v>
      </c>
      <c r="D258">
        <f t="shared" si="25"/>
        <v>1</v>
      </c>
      <c r="E258">
        <f t="shared" si="26"/>
        <v>0</v>
      </c>
      <c r="F258">
        <f t="shared" si="27"/>
        <v>0</v>
      </c>
      <c r="G258">
        <f t="shared" si="28"/>
        <v>0</v>
      </c>
    </row>
    <row r="259" spans="1:7" x14ac:dyDescent="0.25">
      <c r="A259" s="2">
        <v>42381</v>
      </c>
      <c r="B259" s="3">
        <v>2.12</v>
      </c>
      <c r="C259">
        <f t="shared" si="24"/>
        <v>-4.9999999999999822E-2</v>
      </c>
      <c r="D259">
        <f t="shared" si="25"/>
        <v>1</v>
      </c>
      <c r="E259">
        <f t="shared" si="26"/>
        <v>0</v>
      </c>
      <c r="F259">
        <f t="shared" si="27"/>
        <v>0</v>
      </c>
      <c r="G259">
        <f t="shared" si="28"/>
        <v>0</v>
      </c>
    </row>
    <row r="260" spans="1:7" x14ac:dyDescent="0.25">
      <c r="A260" s="4">
        <v>42382</v>
      </c>
      <c r="B260" s="10">
        <v>2.08</v>
      </c>
      <c r="C260">
        <f t="shared" si="24"/>
        <v>-4.0000000000000036E-2</v>
      </c>
      <c r="D260">
        <f t="shared" si="25"/>
        <v>1</v>
      </c>
      <c r="E260">
        <f t="shared" si="26"/>
        <v>0</v>
      </c>
      <c r="F260">
        <f t="shared" si="27"/>
        <v>0</v>
      </c>
      <c r="G260">
        <f t="shared" si="28"/>
        <v>0</v>
      </c>
    </row>
    <row r="261" spans="1:7" x14ac:dyDescent="0.25">
      <c r="A261" s="2">
        <v>42383</v>
      </c>
      <c r="B261" s="3">
        <v>2.1</v>
      </c>
      <c r="C261">
        <f t="shared" si="24"/>
        <v>2.0000000000000018E-2</v>
      </c>
      <c r="D261">
        <f t="shared" si="25"/>
        <v>1</v>
      </c>
      <c r="E261">
        <f t="shared" si="26"/>
        <v>0</v>
      </c>
      <c r="F261">
        <f t="shared" si="27"/>
        <v>0</v>
      </c>
      <c r="G261">
        <f t="shared" si="28"/>
        <v>0</v>
      </c>
    </row>
    <row r="262" spans="1:7" x14ac:dyDescent="0.25">
      <c r="A262" s="4">
        <v>42384</v>
      </c>
      <c r="B262" s="10">
        <v>2.0299999999999998</v>
      </c>
      <c r="C262">
        <f t="shared" si="24"/>
        <v>-7.0000000000000284E-2</v>
      </c>
      <c r="D262">
        <f t="shared" si="25"/>
        <v>0</v>
      </c>
      <c r="E262">
        <f t="shared" si="26"/>
        <v>1</v>
      </c>
      <c r="F262">
        <f t="shared" si="27"/>
        <v>0</v>
      </c>
      <c r="G262">
        <f t="shared" si="28"/>
        <v>0</v>
      </c>
    </row>
    <row r="263" spans="1:7" x14ac:dyDescent="0.25">
      <c r="A263" s="2">
        <v>42388</v>
      </c>
      <c r="B263" s="3">
        <v>2.06</v>
      </c>
      <c r="C263">
        <f t="shared" si="24"/>
        <v>3.0000000000000249E-2</v>
      </c>
      <c r="D263">
        <f t="shared" si="25"/>
        <v>1</v>
      </c>
      <c r="E263">
        <f t="shared" si="26"/>
        <v>0</v>
      </c>
      <c r="F263">
        <f t="shared" si="27"/>
        <v>0</v>
      </c>
      <c r="G263">
        <f t="shared" si="28"/>
        <v>0</v>
      </c>
    </row>
    <row r="264" spans="1:7" x14ac:dyDescent="0.25">
      <c r="A264" s="4">
        <v>42389</v>
      </c>
      <c r="B264" s="10">
        <v>2.0099999999999998</v>
      </c>
      <c r="C264">
        <f t="shared" si="24"/>
        <v>-5.0000000000000266E-2</v>
      </c>
      <c r="D264">
        <f t="shared" si="25"/>
        <v>0</v>
      </c>
      <c r="E264">
        <f t="shared" si="26"/>
        <v>1</v>
      </c>
      <c r="F264">
        <f t="shared" si="27"/>
        <v>0</v>
      </c>
      <c r="G264">
        <f t="shared" si="28"/>
        <v>0</v>
      </c>
    </row>
    <row r="265" spans="1:7" x14ac:dyDescent="0.25">
      <c r="A265" s="2">
        <v>42390</v>
      </c>
      <c r="B265" s="3">
        <v>2.02</v>
      </c>
      <c r="C265">
        <f t="shared" si="24"/>
        <v>1.0000000000000231E-2</v>
      </c>
      <c r="D265">
        <f t="shared" si="25"/>
        <v>1</v>
      </c>
      <c r="E265">
        <f t="shared" si="26"/>
        <v>0</v>
      </c>
      <c r="F265">
        <f t="shared" si="27"/>
        <v>0</v>
      </c>
      <c r="G265">
        <f t="shared" si="28"/>
        <v>0</v>
      </c>
    </row>
    <row r="266" spans="1:7" x14ac:dyDescent="0.25">
      <c r="A266" s="4">
        <v>42391</v>
      </c>
      <c r="B266" s="10">
        <v>2.0699999999999998</v>
      </c>
      <c r="C266">
        <f t="shared" si="24"/>
        <v>4.9999999999999822E-2</v>
      </c>
      <c r="D266">
        <f t="shared" si="25"/>
        <v>1</v>
      </c>
      <c r="E266">
        <f t="shared" si="26"/>
        <v>0</v>
      </c>
      <c r="F266">
        <f t="shared" si="27"/>
        <v>0</v>
      </c>
      <c r="G266">
        <f t="shared" si="28"/>
        <v>0</v>
      </c>
    </row>
    <row r="267" spans="1:7" x14ac:dyDescent="0.25">
      <c r="A267" s="2">
        <v>42394</v>
      </c>
      <c r="B267" s="3">
        <v>2.0299999999999998</v>
      </c>
      <c r="C267">
        <f t="shared" si="24"/>
        <v>-4.0000000000000036E-2</v>
      </c>
      <c r="D267">
        <f t="shared" si="25"/>
        <v>1</v>
      </c>
      <c r="E267">
        <f t="shared" si="26"/>
        <v>0</v>
      </c>
      <c r="F267">
        <f t="shared" si="27"/>
        <v>0</v>
      </c>
      <c r="G267">
        <f t="shared" si="28"/>
        <v>0</v>
      </c>
    </row>
    <row r="268" spans="1:7" x14ac:dyDescent="0.25">
      <c r="A268" s="4">
        <v>42395</v>
      </c>
      <c r="B268" s="10">
        <v>2.0099999999999998</v>
      </c>
      <c r="C268">
        <f t="shared" si="24"/>
        <v>-2.0000000000000018E-2</v>
      </c>
      <c r="D268">
        <f t="shared" si="25"/>
        <v>1</v>
      </c>
      <c r="E268">
        <f t="shared" si="26"/>
        <v>0</v>
      </c>
      <c r="F268">
        <f t="shared" si="27"/>
        <v>0</v>
      </c>
      <c r="G268">
        <f t="shared" si="28"/>
        <v>0</v>
      </c>
    </row>
    <row r="269" spans="1:7" x14ac:dyDescent="0.25">
      <c r="A269" s="2">
        <v>42396</v>
      </c>
      <c r="B269" s="3">
        <v>2.02</v>
      </c>
      <c r="C269">
        <f t="shared" si="24"/>
        <v>1.0000000000000231E-2</v>
      </c>
      <c r="D269">
        <f t="shared" si="25"/>
        <v>1</v>
      </c>
      <c r="E269">
        <f t="shared" si="26"/>
        <v>0</v>
      </c>
      <c r="F269">
        <f t="shared" si="27"/>
        <v>0</v>
      </c>
      <c r="G269">
        <f t="shared" si="28"/>
        <v>0</v>
      </c>
    </row>
    <row r="270" spans="1:7" x14ac:dyDescent="0.25">
      <c r="A270" s="4">
        <v>42397</v>
      </c>
      <c r="B270" s="10">
        <v>2</v>
      </c>
      <c r="C270">
        <f t="shared" si="24"/>
        <v>-2.0000000000000018E-2</v>
      </c>
      <c r="D270">
        <f t="shared" si="25"/>
        <v>1</v>
      </c>
      <c r="E270">
        <f t="shared" si="26"/>
        <v>0</v>
      </c>
      <c r="F270">
        <f t="shared" si="27"/>
        <v>0</v>
      </c>
      <c r="G270">
        <f t="shared" si="28"/>
        <v>0</v>
      </c>
    </row>
    <row r="271" spans="1:7" x14ac:dyDescent="0.25">
      <c r="A271" s="2">
        <v>42398</v>
      </c>
      <c r="B271" s="3">
        <v>1.94</v>
      </c>
      <c r="C271">
        <f t="shared" si="24"/>
        <v>-6.0000000000000053E-2</v>
      </c>
      <c r="D271">
        <f t="shared" si="25"/>
        <v>0</v>
      </c>
      <c r="E271">
        <f t="shared" si="26"/>
        <v>1</v>
      </c>
      <c r="F271">
        <f t="shared" si="27"/>
        <v>0</v>
      </c>
      <c r="G271">
        <f t="shared" si="28"/>
        <v>0</v>
      </c>
    </row>
    <row r="272" spans="1:7" x14ac:dyDescent="0.25">
      <c r="A272" s="4">
        <v>42401</v>
      </c>
      <c r="B272" s="10">
        <v>1.97</v>
      </c>
      <c r="C272">
        <f t="shared" si="24"/>
        <v>3.0000000000000027E-2</v>
      </c>
      <c r="D272">
        <f t="shared" si="25"/>
        <v>1</v>
      </c>
      <c r="E272">
        <f t="shared" si="26"/>
        <v>0</v>
      </c>
      <c r="F272">
        <f t="shared" si="27"/>
        <v>0</v>
      </c>
      <c r="G272">
        <f t="shared" si="28"/>
        <v>0</v>
      </c>
    </row>
    <row r="273" spans="1:7" x14ac:dyDescent="0.25">
      <c r="A273" s="2">
        <v>42402</v>
      </c>
      <c r="B273" s="3">
        <v>1.87</v>
      </c>
      <c r="C273">
        <f t="shared" si="24"/>
        <v>-9.9999999999999867E-2</v>
      </c>
      <c r="D273">
        <f t="shared" si="25"/>
        <v>0</v>
      </c>
      <c r="E273">
        <f t="shared" si="26"/>
        <v>0</v>
      </c>
      <c r="F273">
        <f t="shared" si="27"/>
        <v>1</v>
      </c>
      <c r="G273">
        <f t="shared" si="28"/>
        <v>0</v>
      </c>
    </row>
    <row r="274" spans="1:7" x14ac:dyDescent="0.25">
      <c r="A274" s="4">
        <v>42403</v>
      </c>
      <c r="B274" s="10">
        <v>1.88</v>
      </c>
      <c r="C274">
        <f t="shared" si="24"/>
        <v>9.9999999999997868E-3</v>
      </c>
      <c r="D274">
        <f t="shared" si="25"/>
        <v>1</v>
      </c>
      <c r="E274">
        <f t="shared" si="26"/>
        <v>0</v>
      </c>
      <c r="F274">
        <f t="shared" si="27"/>
        <v>0</v>
      </c>
      <c r="G274">
        <f t="shared" si="28"/>
        <v>0</v>
      </c>
    </row>
    <row r="275" spans="1:7" x14ac:dyDescent="0.25">
      <c r="A275" s="2">
        <v>42404</v>
      </c>
      <c r="B275" s="3">
        <v>1.87</v>
      </c>
      <c r="C275">
        <f t="shared" si="24"/>
        <v>-9.9999999999997868E-3</v>
      </c>
      <c r="D275">
        <f t="shared" si="25"/>
        <v>1</v>
      </c>
      <c r="E275">
        <f t="shared" si="26"/>
        <v>0</v>
      </c>
      <c r="F275">
        <f t="shared" si="27"/>
        <v>0</v>
      </c>
      <c r="G275">
        <f t="shared" si="28"/>
        <v>0</v>
      </c>
    </row>
    <row r="276" spans="1:7" x14ac:dyDescent="0.25">
      <c r="A276" s="4">
        <v>42405</v>
      </c>
      <c r="B276" s="10">
        <v>1.86</v>
      </c>
      <c r="C276">
        <f t="shared" si="24"/>
        <v>-1.0000000000000009E-2</v>
      </c>
      <c r="D276">
        <f t="shared" si="25"/>
        <v>1</v>
      </c>
      <c r="E276">
        <f t="shared" si="26"/>
        <v>0</v>
      </c>
      <c r="F276">
        <f t="shared" si="27"/>
        <v>0</v>
      </c>
      <c r="G276">
        <f t="shared" si="28"/>
        <v>0</v>
      </c>
    </row>
    <row r="277" spans="1:7" x14ac:dyDescent="0.25">
      <c r="A277" s="2">
        <v>42408</v>
      </c>
      <c r="B277" s="3">
        <v>1.75</v>
      </c>
      <c r="C277">
        <f t="shared" si="24"/>
        <v>-0.1100000000000001</v>
      </c>
      <c r="D277">
        <f t="shared" si="25"/>
        <v>0</v>
      </c>
      <c r="E277">
        <f t="shared" si="26"/>
        <v>0</v>
      </c>
      <c r="F277">
        <f t="shared" si="27"/>
        <v>1</v>
      </c>
      <c r="G277">
        <f t="shared" si="28"/>
        <v>0</v>
      </c>
    </row>
    <row r="278" spans="1:7" x14ac:dyDescent="0.25">
      <c r="A278" s="4">
        <v>42409</v>
      </c>
      <c r="B278" s="10">
        <v>1.74</v>
      </c>
      <c r="C278">
        <f t="shared" si="24"/>
        <v>-1.0000000000000009E-2</v>
      </c>
      <c r="D278">
        <f t="shared" si="25"/>
        <v>1</v>
      </c>
      <c r="E278">
        <f t="shared" si="26"/>
        <v>0</v>
      </c>
      <c r="F278">
        <f t="shared" si="27"/>
        <v>0</v>
      </c>
      <c r="G278">
        <f t="shared" si="28"/>
        <v>0</v>
      </c>
    </row>
    <row r="279" spans="1:7" x14ac:dyDescent="0.25">
      <c r="A279" s="2">
        <v>42410</v>
      </c>
      <c r="B279" s="3">
        <v>1.71</v>
      </c>
      <c r="C279">
        <f t="shared" si="24"/>
        <v>-3.0000000000000027E-2</v>
      </c>
      <c r="D279">
        <f t="shared" si="25"/>
        <v>1</v>
      </c>
      <c r="E279">
        <f t="shared" si="26"/>
        <v>0</v>
      </c>
      <c r="F279">
        <f t="shared" si="27"/>
        <v>0</v>
      </c>
      <c r="G279">
        <f t="shared" si="28"/>
        <v>0</v>
      </c>
    </row>
    <row r="280" spans="1:7" x14ac:dyDescent="0.25">
      <c r="A280" s="4">
        <v>42411</v>
      </c>
      <c r="B280" s="10">
        <v>1.63</v>
      </c>
      <c r="C280">
        <f t="shared" si="24"/>
        <v>-8.0000000000000071E-2</v>
      </c>
      <c r="D280">
        <f t="shared" si="25"/>
        <v>0</v>
      </c>
      <c r="E280">
        <f t="shared" si="26"/>
        <v>1</v>
      </c>
      <c r="F280">
        <f t="shared" si="27"/>
        <v>0</v>
      </c>
      <c r="G280">
        <f t="shared" si="28"/>
        <v>0</v>
      </c>
    </row>
    <row r="281" spans="1:7" x14ac:dyDescent="0.25">
      <c r="A281" s="2">
        <v>42412</v>
      </c>
      <c r="B281" s="3">
        <v>1.74</v>
      </c>
      <c r="C281">
        <f t="shared" si="24"/>
        <v>0.1100000000000001</v>
      </c>
      <c r="D281">
        <f t="shared" si="25"/>
        <v>0</v>
      </c>
      <c r="E281">
        <f t="shared" si="26"/>
        <v>0</v>
      </c>
      <c r="F281">
        <f t="shared" si="27"/>
        <v>1</v>
      </c>
      <c r="G281">
        <f t="shared" si="28"/>
        <v>0</v>
      </c>
    </row>
    <row r="282" spans="1:7" x14ac:dyDescent="0.25">
      <c r="A282" s="4">
        <v>42416</v>
      </c>
      <c r="B282" s="10">
        <v>1.78</v>
      </c>
      <c r="C282">
        <f t="shared" si="24"/>
        <v>4.0000000000000036E-2</v>
      </c>
      <c r="D282">
        <f t="shared" si="25"/>
        <v>1</v>
      </c>
      <c r="E282">
        <f t="shared" si="26"/>
        <v>0</v>
      </c>
      <c r="F282">
        <f t="shared" si="27"/>
        <v>0</v>
      </c>
      <c r="G282">
        <f t="shared" si="28"/>
        <v>0</v>
      </c>
    </row>
    <row r="283" spans="1:7" x14ac:dyDescent="0.25">
      <c r="A283" s="2">
        <v>42417</v>
      </c>
      <c r="B283" s="3">
        <v>1.81</v>
      </c>
      <c r="C283">
        <f t="shared" si="24"/>
        <v>3.0000000000000027E-2</v>
      </c>
      <c r="D283">
        <f t="shared" si="25"/>
        <v>1</v>
      </c>
      <c r="E283">
        <f t="shared" si="26"/>
        <v>0</v>
      </c>
      <c r="F283">
        <f t="shared" si="27"/>
        <v>0</v>
      </c>
      <c r="G283">
        <f t="shared" si="28"/>
        <v>0</v>
      </c>
    </row>
    <row r="284" spans="1:7" x14ac:dyDescent="0.25">
      <c r="A284" s="4">
        <v>42418</v>
      </c>
      <c r="B284" s="10">
        <v>1.75</v>
      </c>
      <c r="C284">
        <f t="shared" si="24"/>
        <v>-6.0000000000000053E-2</v>
      </c>
      <c r="D284">
        <f t="shared" si="25"/>
        <v>0</v>
      </c>
      <c r="E284">
        <f t="shared" si="26"/>
        <v>1</v>
      </c>
      <c r="F284">
        <f t="shared" si="27"/>
        <v>0</v>
      </c>
      <c r="G284">
        <f t="shared" si="28"/>
        <v>0</v>
      </c>
    </row>
    <row r="285" spans="1:7" x14ac:dyDescent="0.25">
      <c r="A285" s="2">
        <v>42419</v>
      </c>
      <c r="B285" s="3">
        <v>1.76</v>
      </c>
      <c r="C285">
        <f t="shared" si="24"/>
        <v>1.0000000000000009E-2</v>
      </c>
      <c r="D285">
        <f t="shared" si="25"/>
        <v>1</v>
      </c>
      <c r="E285">
        <f t="shared" si="26"/>
        <v>0</v>
      </c>
      <c r="F285">
        <f t="shared" si="27"/>
        <v>0</v>
      </c>
      <c r="G285">
        <f t="shared" si="28"/>
        <v>0</v>
      </c>
    </row>
    <row r="286" spans="1:7" x14ac:dyDescent="0.25">
      <c r="A286" s="4">
        <v>42422</v>
      </c>
      <c r="B286" s="10">
        <v>1.77</v>
      </c>
      <c r="C286">
        <f t="shared" si="24"/>
        <v>1.0000000000000009E-2</v>
      </c>
      <c r="D286">
        <f t="shared" si="25"/>
        <v>1</v>
      </c>
      <c r="E286">
        <f t="shared" si="26"/>
        <v>0</v>
      </c>
      <c r="F286">
        <f t="shared" si="27"/>
        <v>0</v>
      </c>
      <c r="G286">
        <f t="shared" si="28"/>
        <v>0</v>
      </c>
    </row>
    <row r="287" spans="1:7" x14ac:dyDescent="0.25">
      <c r="A287" s="2">
        <v>42423</v>
      </c>
      <c r="B287" s="3">
        <v>1.74</v>
      </c>
      <c r="C287">
        <f t="shared" si="24"/>
        <v>-3.0000000000000027E-2</v>
      </c>
      <c r="D287">
        <f t="shared" si="25"/>
        <v>1</v>
      </c>
      <c r="E287">
        <f t="shared" si="26"/>
        <v>0</v>
      </c>
      <c r="F287">
        <f t="shared" si="27"/>
        <v>0</v>
      </c>
      <c r="G287">
        <f t="shared" si="28"/>
        <v>0</v>
      </c>
    </row>
    <row r="288" spans="1:7" x14ac:dyDescent="0.25">
      <c r="A288" s="4">
        <v>42424</v>
      </c>
      <c r="B288" s="10">
        <v>1.75</v>
      </c>
      <c r="C288">
        <f t="shared" si="24"/>
        <v>1.0000000000000009E-2</v>
      </c>
      <c r="D288">
        <f t="shared" si="25"/>
        <v>1</v>
      </c>
      <c r="E288">
        <f t="shared" si="26"/>
        <v>0</v>
      </c>
      <c r="F288">
        <f t="shared" si="27"/>
        <v>0</v>
      </c>
      <c r="G288">
        <f t="shared" si="28"/>
        <v>0</v>
      </c>
    </row>
    <row r="289" spans="1:7" x14ac:dyDescent="0.25">
      <c r="A289" s="2">
        <v>42425</v>
      </c>
      <c r="B289" s="3">
        <v>1.71</v>
      </c>
      <c r="C289">
        <f t="shared" si="24"/>
        <v>-4.0000000000000036E-2</v>
      </c>
      <c r="D289">
        <f t="shared" si="25"/>
        <v>1</v>
      </c>
      <c r="E289">
        <f t="shared" si="26"/>
        <v>0</v>
      </c>
      <c r="F289">
        <f t="shared" si="27"/>
        <v>0</v>
      </c>
      <c r="G289">
        <f t="shared" si="28"/>
        <v>0</v>
      </c>
    </row>
    <row r="290" spans="1:7" x14ac:dyDescent="0.25">
      <c r="A290" s="4">
        <v>42426</v>
      </c>
      <c r="B290" s="10">
        <v>1.76</v>
      </c>
      <c r="C290">
        <f t="shared" si="24"/>
        <v>5.0000000000000044E-2</v>
      </c>
      <c r="D290">
        <f t="shared" si="25"/>
        <v>0</v>
      </c>
      <c r="E290">
        <f t="shared" si="26"/>
        <v>1</v>
      </c>
      <c r="F290">
        <f t="shared" si="27"/>
        <v>0</v>
      </c>
      <c r="G290">
        <f t="shared" si="28"/>
        <v>0</v>
      </c>
    </row>
    <row r="291" spans="1:7" x14ac:dyDescent="0.25">
      <c r="A291" s="2">
        <v>42429</v>
      </c>
      <c r="B291" s="3">
        <v>1.74</v>
      </c>
      <c r="C291">
        <f t="shared" si="24"/>
        <v>-2.0000000000000018E-2</v>
      </c>
      <c r="D291">
        <f t="shared" si="25"/>
        <v>1</v>
      </c>
      <c r="E291">
        <f t="shared" si="26"/>
        <v>0</v>
      </c>
      <c r="F291">
        <f t="shared" si="27"/>
        <v>0</v>
      </c>
      <c r="G291">
        <f t="shared" si="28"/>
        <v>0</v>
      </c>
    </row>
    <row r="292" spans="1:7" x14ac:dyDescent="0.25">
      <c r="A292" s="4">
        <v>42430</v>
      </c>
      <c r="B292" s="10">
        <v>1.83</v>
      </c>
      <c r="C292">
        <f t="shared" si="24"/>
        <v>9.000000000000008E-2</v>
      </c>
      <c r="D292">
        <f t="shared" si="25"/>
        <v>0</v>
      </c>
      <c r="E292">
        <f t="shared" si="26"/>
        <v>1</v>
      </c>
      <c r="F292">
        <f t="shared" si="27"/>
        <v>0</v>
      </c>
      <c r="G292">
        <f t="shared" si="28"/>
        <v>0</v>
      </c>
    </row>
    <row r="293" spans="1:7" x14ac:dyDescent="0.25">
      <c r="A293" s="2">
        <v>42431</v>
      </c>
      <c r="B293" s="3">
        <v>1.84</v>
      </c>
      <c r="C293">
        <f t="shared" si="24"/>
        <v>1.0000000000000009E-2</v>
      </c>
      <c r="D293">
        <f t="shared" si="25"/>
        <v>1</v>
      </c>
      <c r="E293">
        <f t="shared" si="26"/>
        <v>0</v>
      </c>
      <c r="F293">
        <f t="shared" si="27"/>
        <v>0</v>
      </c>
      <c r="G293">
        <f t="shared" si="28"/>
        <v>0</v>
      </c>
    </row>
    <row r="294" spans="1:7" x14ac:dyDescent="0.25">
      <c r="A294" s="4">
        <v>42432</v>
      </c>
      <c r="B294" s="10">
        <v>1.83</v>
      </c>
      <c r="C294">
        <f t="shared" si="24"/>
        <v>-1.0000000000000009E-2</v>
      </c>
      <c r="D294">
        <f t="shared" si="25"/>
        <v>1</v>
      </c>
      <c r="E294">
        <f t="shared" si="26"/>
        <v>0</v>
      </c>
      <c r="F294">
        <f t="shared" si="27"/>
        <v>0</v>
      </c>
      <c r="G294">
        <f t="shared" si="28"/>
        <v>0</v>
      </c>
    </row>
    <row r="295" spans="1:7" x14ac:dyDescent="0.25">
      <c r="A295" s="2">
        <v>42433</v>
      </c>
      <c r="B295" s="3">
        <v>1.88</v>
      </c>
      <c r="C295">
        <f t="shared" si="24"/>
        <v>4.9999999999999822E-2</v>
      </c>
      <c r="D295">
        <f t="shared" si="25"/>
        <v>1</v>
      </c>
      <c r="E295">
        <f t="shared" si="26"/>
        <v>0</v>
      </c>
      <c r="F295">
        <f t="shared" si="27"/>
        <v>0</v>
      </c>
      <c r="G295">
        <f t="shared" si="28"/>
        <v>0</v>
      </c>
    </row>
    <row r="296" spans="1:7" x14ac:dyDescent="0.25">
      <c r="A296" s="4">
        <v>42436</v>
      </c>
      <c r="B296" s="10">
        <v>1.91</v>
      </c>
      <c r="C296">
        <f t="shared" si="24"/>
        <v>3.0000000000000027E-2</v>
      </c>
      <c r="D296">
        <f t="shared" si="25"/>
        <v>1</v>
      </c>
      <c r="E296">
        <f t="shared" si="26"/>
        <v>0</v>
      </c>
      <c r="F296">
        <f t="shared" si="27"/>
        <v>0</v>
      </c>
      <c r="G296">
        <f t="shared" si="28"/>
        <v>0</v>
      </c>
    </row>
    <row r="297" spans="1:7" x14ac:dyDescent="0.25">
      <c r="A297" s="2">
        <v>42437</v>
      </c>
      <c r="B297" s="3">
        <v>1.83</v>
      </c>
      <c r="C297">
        <f t="shared" si="24"/>
        <v>-7.9999999999999849E-2</v>
      </c>
      <c r="D297">
        <f t="shared" si="25"/>
        <v>0</v>
      </c>
      <c r="E297">
        <f t="shared" si="26"/>
        <v>1</v>
      </c>
      <c r="F297">
        <f t="shared" si="27"/>
        <v>0</v>
      </c>
      <c r="G297">
        <f t="shared" si="28"/>
        <v>0</v>
      </c>
    </row>
    <row r="298" spans="1:7" x14ac:dyDescent="0.25">
      <c r="A298" s="4">
        <v>42438</v>
      </c>
      <c r="B298" s="10">
        <v>1.9</v>
      </c>
      <c r="C298">
        <f t="shared" si="24"/>
        <v>6.999999999999984E-2</v>
      </c>
      <c r="D298">
        <f t="shared" si="25"/>
        <v>0</v>
      </c>
      <c r="E298">
        <f t="shared" si="26"/>
        <v>1</v>
      </c>
      <c r="F298">
        <f t="shared" si="27"/>
        <v>0</v>
      </c>
      <c r="G298">
        <f t="shared" si="28"/>
        <v>0</v>
      </c>
    </row>
    <row r="299" spans="1:7" x14ac:dyDescent="0.25">
      <c r="A299" s="2">
        <v>42439</v>
      </c>
      <c r="B299" s="3">
        <v>1.93</v>
      </c>
      <c r="C299">
        <f t="shared" si="24"/>
        <v>3.0000000000000027E-2</v>
      </c>
      <c r="D299">
        <f t="shared" si="25"/>
        <v>1</v>
      </c>
      <c r="E299">
        <f t="shared" si="26"/>
        <v>0</v>
      </c>
      <c r="F299">
        <f t="shared" si="27"/>
        <v>0</v>
      </c>
      <c r="G299">
        <f t="shared" si="28"/>
        <v>0</v>
      </c>
    </row>
    <row r="300" spans="1:7" x14ac:dyDescent="0.25">
      <c r="A300" s="4">
        <v>42440</v>
      </c>
      <c r="B300" s="10">
        <v>1.98</v>
      </c>
      <c r="C300">
        <f t="shared" si="24"/>
        <v>5.0000000000000044E-2</v>
      </c>
      <c r="D300">
        <f t="shared" si="25"/>
        <v>0</v>
      </c>
      <c r="E300">
        <f t="shared" si="26"/>
        <v>1</v>
      </c>
      <c r="F300">
        <f t="shared" si="27"/>
        <v>0</v>
      </c>
      <c r="G300">
        <f t="shared" si="28"/>
        <v>0</v>
      </c>
    </row>
    <row r="301" spans="1:7" x14ac:dyDescent="0.25">
      <c r="A301" s="2">
        <v>42443</v>
      </c>
      <c r="B301" s="3">
        <v>1.97</v>
      </c>
      <c r="C301">
        <f t="shared" si="24"/>
        <v>-1.0000000000000009E-2</v>
      </c>
      <c r="D301">
        <f t="shared" si="25"/>
        <v>1</v>
      </c>
      <c r="E301">
        <f t="shared" si="26"/>
        <v>0</v>
      </c>
      <c r="F301">
        <f t="shared" si="27"/>
        <v>0</v>
      </c>
      <c r="G301">
        <f t="shared" si="28"/>
        <v>0</v>
      </c>
    </row>
    <row r="302" spans="1:7" x14ac:dyDescent="0.25">
      <c r="A302" s="4">
        <v>42444</v>
      </c>
      <c r="B302" s="10">
        <v>1.97</v>
      </c>
      <c r="C302">
        <f t="shared" si="24"/>
        <v>0</v>
      </c>
      <c r="D302">
        <f t="shared" si="25"/>
        <v>1</v>
      </c>
      <c r="E302">
        <f t="shared" si="26"/>
        <v>0</v>
      </c>
      <c r="F302">
        <f t="shared" si="27"/>
        <v>0</v>
      </c>
      <c r="G302">
        <f t="shared" si="28"/>
        <v>0</v>
      </c>
    </row>
    <row r="303" spans="1:7" x14ac:dyDescent="0.25">
      <c r="A303" s="2">
        <v>42445</v>
      </c>
      <c r="B303" s="3">
        <v>1.94</v>
      </c>
      <c r="C303">
        <f t="shared" si="24"/>
        <v>-3.0000000000000027E-2</v>
      </c>
      <c r="D303">
        <f t="shared" si="25"/>
        <v>1</v>
      </c>
      <c r="E303">
        <f t="shared" si="26"/>
        <v>0</v>
      </c>
      <c r="F303">
        <f t="shared" si="27"/>
        <v>0</v>
      </c>
      <c r="G303">
        <f t="shared" si="28"/>
        <v>0</v>
      </c>
    </row>
    <row r="304" spans="1:7" x14ac:dyDescent="0.25">
      <c r="A304" s="4">
        <v>42446</v>
      </c>
      <c r="B304" s="10">
        <v>1.91</v>
      </c>
      <c r="C304">
        <f t="shared" si="24"/>
        <v>-3.0000000000000027E-2</v>
      </c>
      <c r="D304">
        <f t="shared" si="25"/>
        <v>1</v>
      </c>
      <c r="E304">
        <f t="shared" si="26"/>
        <v>0</v>
      </c>
      <c r="F304">
        <f t="shared" si="27"/>
        <v>0</v>
      </c>
      <c r="G304">
        <f t="shared" si="28"/>
        <v>0</v>
      </c>
    </row>
    <row r="305" spans="1:7" x14ac:dyDescent="0.25">
      <c r="A305" s="2">
        <v>42447</v>
      </c>
      <c r="B305" s="3">
        <v>1.88</v>
      </c>
      <c r="C305">
        <f t="shared" si="24"/>
        <v>-3.0000000000000027E-2</v>
      </c>
      <c r="D305">
        <f t="shared" si="25"/>
        <v>1</v>
      </c>
      <c r="E305">
        <f t="shared" si="26"/>
        <v>0</v>
      </c>
      <c r="F305">
        <f t="shared" si="27"/>
        <v>0</v>
      </c>
      <c r="G305">
        <f t="shared" si="28"/>
        <v>0</v>
      </c>
    </row>
    <row r="306" spans="1:7" x14ac:dyDescent="0.25">
      <c r="A306" s="4">
        <v>42450</v>
      </c>
      <c r="B306" s="10">
        <v>1.92</v>
      </c>
      <c r="C306">
        <f t="shared" si="24"/>
        <v>4.0000000000000036E-2</v>
      </c>
      <c r="D306">
        <f t="shared" si="25"/>
        <v>1</v>
      </c>
      <c r="E306">
        <f t="shared" si="26"/>
        <v>0</v>
      </c>
      <c r="F306">
        <f t="shared" si="27"/>
        <v>0</v>
      </c>
      <c r="G306">
        <f t="shared" si="28"/>
        <v>0</v>
      </c>
    </row>
    <row r="307" spans="1:7" x14ac:dyDescent="0.25">
      <c r="A307" s="2">
        <v>42451</v>
      </c>
      <c r="B307" s="3">
        <v>1.94</v>
      </c>
      <c r="C307">
        <f t="shared" si="24"/>
        <v>2.0000000000000018E-2</v>
      </c>
      <c r="D307">
        <f t="shared" si="25"/>
        <v>1</v>
      </c>
      <c r="E307">
        <f t="shared" si="26"/>
        <v>0</v>
      </c>
      <c r="F307">
        <f t="shared" si="27"/>
        <v>0</v>
      </c>
      <c r="G307">
        <f t="shared" si="28"/>
        <v>0</v>
      </c>
    </row>
    <row r="308" spans="1:7" x14ac:dyDescent="0.25">
      <c r="A308" s="4">
        <v>42452</v>
      </c>
      <c r="B308" s="10">
        <v>1.88</v>
      </c>
      <c r="C308">
        <f t="shared" si="24"/>
        <v>-6.0000000000000053E-2</v>
      </c>
      <c r="D308">
        <f t="shared" si="25"/>
        <v>0</v>
      </c>
      <c r="E308">
        <f t="shared" si="26"/>
        <v>1</v>
      </c>
      <c r="F308">
        <f t="shared" si="27"/>
        <v>0</v>
      </c>
      <c r="G308">
        <f t="shared" si="28"/>
        <v>0</v>
      </c>
    </row>
    <row r="309" spans="1:7" x14ac:dyDescent="0.25">
      <c r="A309" s="2">
        <v>42453</v>
      </c>
      <c r="B309" s="3">
        <v>1.91</v>
      </c>
      <c r="C309">
        <f t="shared" si="24"/>
        <v>3.0000000000000027E-2</v>
      </c>
      <c r="D309">
        <f t="shared" si="25"/>
        <v>1</v>
      </c>
      <c r="E309">
        <f t="shared" si="26"/>
        <v>0</v>
      </c>
      <c r="F309">
        <f t="shared" si="27"/>
        <v>0</v>
      </c>
      <c r="G309">
        <f t="shared" si="28"/>
        <v>0</v>
      </c>
    </row>
    <row r="310" spans="1:7" x14ac:dyDescent="0.25">
      <c r="A310" s="4">
        <v>42457</v>
      </c>
      <c r="B310" s="10">
        <v>1.89</v>
      </c>
      <c r="C310">
        <f t="shared" si="24"/>
        <v>-2.0000000000000018E-2</v>
      </c>
      <c r="D310">
        <f t="shared" si="25"/>
        <v>1</v>
      </c>
      <c r="E310">
        <f t="shared" si="26"/>
        <v>0</v>
      </c>
      <c r="F310">
        <f t="shared" si="27"/>
        <v>0</v>
      </c>
      <c r="G310">
        <f t="shared" si="28"/>
        <v>0</v>
      </c>
    </row>
    <row r="311" spans="1:7" x14ac:dyDescent="0.25">
      <c r="A311" s="2">
        <v>42458</v>
      </c>
      <c r="B311" s="3">
        <v>1.81</v>
      </c>
      <c r="C311">
        <f t="shared" si="24"/>
        <v>-7.9999999999999849E-2</v>
      </c>
      <c r="D311">
        <f t="shared" si="25"/>
        <v>0</v>
      </c>
      <c r="E311">
        <f t="shared" si="26"/>
        <v>1</v>
      </c>
      <c r="F311">
        <f t="shared" si="27"/>
        <v>0</v>
      </c>
      <c r="G311">
        <f t="shared" si="28"/>
        <v>0</v>
      </c>
    </row>
    <row r="312" spans="1:7" x14ac:dyDescent="0.25">
      <c r="A312" s="4">
        <v>42459</v>
      </c>
      <c r="B312" s="10">
        <v>1.83</v>
      </c>
      <c r="C312">
        <f t="shared" si="24"/>
        <v>2.0000000000000018E-2</v>
      </c>
      <c r="D312">
        <f t="shared" si="25"/>
        <v>1</v>
      </c>
      <c r="E312">
        <f t="shared" si="26"/>
        <v>0</v>
      </c>
      <c r="F312">
        <f t="shared" si="27"/>
        <v>0</v>
      </c>
      <c r="G312">
        <f t="shared" si="28"/>
        <v>0</v>
      </c>
    </row>
    <row r="313" spans="1:7" x14ac:dyDescent="0.25">
      <c r="A313" s="2">
        <v>42460</v>
      </c>
      <c r="B313" s="3">
        <v>1.78</v>
      </c>
      <c r="C313">
        <f t="shared" si="24"/>
        <v>-5.0000000000000044E-2</v>
      </c>
      <c r="D313">
        <f t="shared" si="25"/>
        <v>0</v>
      </c>
      <c r="E313">
        <f t="shared" si="26"/>
        <v>1</v>
      </c>
      <c r="F313">
        <f t="shared" si="27"/>
        <v>0</v>
      </c>
      <c r="G313">
        <f t="shared" si="28"/>
        <v>0</v>
      </c>
    </row>
    <row r="314" spans="1:7" x14ac:dyDescent="0.25">
      <c r="A314" s="4">
        <v>42461</v>
      </c>
      <c r="B314" s="10">
        <v>1.79</v>
      </c>
      <c r="C314">
        <f t="shared" si="24"/>
        <v>1.0000000000000009E-2</v>
      </c>
      <c r="D314">
        <f t="shared" si="25"/>
        <v>1</v>
      </c>
      <c r="E314">
        <f t="shared" si="26"/>
        <v>0</v>
      </c>
      <c r="F314">
        <f t="shared" si="27"/>
        <v>0</v>
      </c>
      <c r="G314">
        <f t="shared" si="28"/>
        <v>0</v>
      </c>
    </row>
    <row r="315" spans="1:7" x14ac:dyDescent="0.25">
      <c r="A315" s="2">
        <v>42464</v>
      </c>
      <c r="B315" s="3">
        <v>1.78</v>
      </c>
      <c r="C315">
        <f t="shared" si="24"/>
        <v>-1.0000000000000009E-2</v>
      </c>
      <c r="D315">
        <f t="shared" si="25"/>
        <v>1</v>
      </c>
      <c r="E315">
        <f t="shared" si="26"/>
        <v>0</v>
      </c>
      <c r="F315">
        <f t="shared" si="27"/>
        <v>0</v>
      </c>
      <c r="G315">
        <f t="shared" si="28"/>
        <v>0</v>
      </c>
    </row>
    <row r="316" spans="1:7" x14ac:dyDescent="0.25">
      <c r="A316" s="4">
        <v>42465</v>
      </c>
      <c r="B316" s="10">
        <v>1.73</v>
      </c>
      <c r="C316">
        <f t="shared" si="24"/>
        <v>-5.0000000000000044E-2</v>
      </c>
      <c r="D316">
        <f t="shared" si="25"/>
        <v>0</v>
      </c>
      <c r="E316">
        <f t="shared" si="26"/>
        <v>1</v>
      </c>
      <c r="F316">
        <f t="shared" si="27"/>
        <v>0</v>
      </c>
      <c r="G316">
        <f t="shared" si="28"/>
        <v>0</v>
      </c>
    </row>
    <row r="317" spans="1:7" x14ac:dyDescent="0.25">
      <c r="A317" s="2">
        <v>42466</v>
      </c>
      <c r="B317" s="3">
        <v>1.76</v>
      </c>
      <c r="C317">
        <f t="shared" ref="C317:C380" si="29">B317-B316</f>
        <v>3.0000000000000027E-2</v>
      </c>
      <c r="D317">
        <f t="shared" ref="D317:D380" si="30">IF(INT(ABS(C317)*100/5)=0,1,0)</f>
        <v>1</v>
      </c>
      <c r="E317">
        <f t="shared" ref="E317:E380" si="31">IF(INT(ABS(C317)*100/5)=1,1,0)</f>
        <v>0</v>
      </c>
      <c r="F317">
        <f t="shared" ref="F317:F380" si="32">IF(INT(ABS(C317)*100/5)=2,1,0)</f>
        <v>0</v>
      </c>
      <c r="G317">
        <f t="shared" ref="G317:G380" si="33">IF(INT(ABS(C317)*100/5)=13,1,0)</f>
        <v>0</v>
      </c>
    </row>
    <row r="318" spans="1:7" x14ac:dyDescent="0.25">
      <c r="A318" s="4">
        <v>42467</v>
      </c>
      <c r="B318" s="10">
        <v>1.7</v>
      </c>
      <c r="C318">
        <f t="shared" si="29"/>
        <v>-6.0000000000000053E-2</v>
      </c>
      <c r="D318">
        <f t="shared" si="30"/>
        <v>0</v>
      </c>
      <c r="E318">
        <f t="shared" si="31"/>
        <v>1</v>
      </c>
      <c r="F318">
        <f t="shared" si="32"/>
        <v>0</v>
      </c>
      <c r="G318">
        <f t="shared" si="33"/>
        <v>0</v>
      </c>
    </row>
    <row r="319" spans="1:7" x14ac:dyDescent="0.25">
      <c r="A319" s="2">
        <v>42468</v>
      </c>
      <c r="B319" s="3">
        <v>1.72</v>
      </c>
      <c r="C319">
        <f t="shared" si="29"/>
        <v>2.0000000000000018E-2</v>
      </c>
      <c r="D319">
        <f t="shared" si="30"/>
        <v>1</v>
      </c>
      <c r="E319">
        <f t="shared" si="31"/>
        <v>0</v>
      </c>
      <c r="F319">
        <f t="shared" si="32"/>
        <v>0</v>
      </c>
      <c r="G319">
        <f t="shared" si="33"/>
        <v>0</v>
      </c>
    </row>
    <row r="320" spans="1:7" x14ac:dyDescent="0.25">
      <c r="A320" s="4">
        <v>42471</v>
      </c>
      <c r="B320" s="10">
        <v>1.73</v>
      </c>
      <c r="C320">
        <f t="shared" si="29"/>
        <v>1.0000000000000009E-2</v>
      </c>
      <c r="D320">
        <f t="shared" si="30"/>
        <v>1</v>
      </c>
      <c r="E320">
        <f t="shared" si="31"/>
        <v>0</v>
      </c>
      <c r="F320">
        <f t="shared" si="32"/>
        <v>0</v>
      </c>
      <c r="G320">
        <f t="shared" si="33"/>
        <v>0</v>
      </c>
    </row>
    <row r="321" spans="1:7" x14ac:dyDescent="0.25">
      <c r="A321" s="2">
        <v>42472</v>
      </c>
      <c r="B321" s="3">
        <v>1.79</v>
      </c>
      <c r="C321">
        <f t="shared" si="29"/>
        <v>6.0000000000000053E-2</v>
      </c>
      <c r="D321">
        <f t="shared" si="30"/>
        <v>0</v>
      </c>
      <c r="E321">
        <f t="shared" si="31"/>
        <v>1</v>
      </c>
      <c r="F321">
        <f t="shared" si="32"/>
        <v>0</v>
      </c>
      <c r="G321">
        <f t="shared" si="33"/>
        <v>0</v>
      </c>
    </row>
    <row r="322" spans="1:7" x14ac:dyDescent="0.25">
      <c r="A322" s="4">
        <v>42473</v>
      </c>
      <c r="B322" s="10">
        <v>1.77</v>
      </c>
      <c r="C322">
        <f t="shared" si="29"/>
        <v>-2.0000000000000018E-2</v>
      </c>
      <c r="D322">
        <f t="shared" si="30"/>
        <v>1</v>
      </c>
      <c r="E322">
        <f t="shared" si="31"/>
        <v>0</v>
      </c>
      <c r="F322">
        <f t="shared" si="32"/>
        <v>0</v>
      </c>
      <c r="G322">
        <f t="shared" si="33"/>
        <v>0</v>
      </c>
    </row>
    <row r="323" spans="1:7" x14ac:dyDescent="0.25">
      <c r="A323" s="2">
        <v>42474</v>
      </c>
      <c r="B323" s="3">
        <v>1.8</v>
      </c>
      <c r="C323">
        <f t="shared" si="29"/>
        <v>3.0000000000000027E-2</v>
      </c>
      <c r="D323">
        <f t="shared" si="30"/>
        <v>1</v>
      </c>
      <c r="E323">
        <f t="shared" si="31"/>
        <v>0</v>
      </c>
      <c r="F323">
        <f t="shared" si="32"/>
        <v>0</v>
      </c>
      <c r="G323">
        <f t="shared" si="33"/>
        <v>0</v>
      </c>
    </row>
    <row r="324" spans="1:7" x14ac:dyDescent="0.25">
      <c r="A324" s="4">
        <v>42475</v>
      </c>
      <c r="B324" s="10">
        <v>1.76</v>
      </c>
      <c r="C324">
        <f t="shared" si="29"/>
        <v>-4.0000000000000036E-2</v>
      </c>
      <c r="D324">
        <f t="shared" si="30"/>
        <v>1</v>
      </c>
      <c r="E324">
        <f t="shared" si="31"/>
        <v>0</v>
      </c>
      <c r="F324">
        <f t="shared" si="32"/>
        <v>0</v>
      </c>
      <c r="G324">
        <f t="shared" si="33"/>
        <v>0</v>
      </c>
    </row>
    <row r="325" spans="1:7" x14ac:dyDescent="0.25">
      <c r="A325" s="2">
        <v>42478</v>
      </c>
      <c r="B325" s="3">
        <v>1.78</v>
      </c>
      <c r="C325">
        <f t="shared" si="29"/>
        <v>2.0000000000000018E-2</v>
      </c>
      <c r="D325">
        <f t="shared" si="30"/>
        <v>1</v>
      </c>
      <c r="E325">
        <f t="shared" si="31"/>
        <v>0</v>
      </c>
      <c r="F325">
        <f t="shared" si="32"/>
        <v>0</v>
      </c>
      <c r="G325">
        <f t="shared" si="33"/>
        <v>0</v>
      </c>
    </row>
    <row r="326" spans="1:7" x14ac:dyDescent="0.25">
      <c r="A326" s="4">
        <v>42479</v>
      </c>
      <c r="B326" s="10">
        <v>1.79</v>
      </c>
      <c r="C326">
        <f t="shared" si="29"/>
        <v>1.0000000000000009E-2</v>
      </c>
      <c r="D326">
        <f t="shared" si="30"/>
        <v>1</v>
      </c>
      <c r="E326">
        <f t="shared" si="31"/>
        <v>0</v>
      </c>
      <c r="F326">
        <f t="shared" si="32"/>
        <v>0</v>
      </c>
      <c r="G326">
        <f t="shared" si="33"/>
        <v>0</v>
      </c>
    </row>
    <row r="327" spans="1:7" x14ac:dyDescent="0.25">
      <c r="A327" s="2">
        <v>42480</v>
      </c>
      <c r="B327" s="3">
        <v>1.85</v>
      </c>
      <c r="C327">
        <f t="shared" si="29"/>
        <v>6.0000000000000053E-2</v>
      </c>
      <c r="D327">
        <f t="shared" si="30"/>
        <v>0</v>
      </c>
      <c r="E327">
        <f t="shared" si="31"/>
        <v>1</v>
      </c>
      <c r="F327">
        <f t="shared" si="32"/>
        <v>0</v>
      </c>
      <c r="G327">
        <f t="shared" si="33"/>
        <v>0</v>
      </c>
    </row>
    <row r="328" spans="1:7" x14ac:dyDescent="0.25">
      <c r="A328" s="4">
        <v>42481</v>
      </c>
      <c r="B328" s="10">
        <v>1.88</v>
      </c>
      <c r="C328">
        <f t="shared" si="29"/>
        <v>2.9999999999999805E-2</v>
      </c>
      <c r="D328">
        <f t="shared" si="30"/>
        <v>1</v>
      </c>
      <c r="E328">
        <f t="shared" si="31"/>
        <v>0</v>
      </c>
      <c r="F328">
        <f t="shared" si="32"/>
        <v>0</v>
      </c>
      <c r="G328">
        <f t="shared" si="33"/>
        <v>0</v>
      </c>
    </row>
    <row r="329" spans="1:7" x14ac:dyDescent="0.25">
      <c r="A329" s="2">
        <v>42482</v>
      </c>
      <c r="B329" s="3">
        <v>1.89</v>
      </c>
      <c r="C329">
        <f t="shared" si="29"/>
        <v>1.0000000000000009E-2</v>
      </c>
      <c r="D329">
        <f t="shared" si="30"/>
        <v>1</v>
      </c>
      <c r="E329">
        <f t="shared" si="31"/>
        <v>0</v>
      </c>
      <c r="F329">
        <f t="shared" si="32"/>
        <v>0</v>
      </c>
      <c r="G329">
        <f t="shared" si="33"/>
        <v>0</v>
      </c>
    </row>
    <row r="330" spans="1:7" x14ac:dyDescent="0.25">
      <c r="A330" s="4">
        <v>42485</v>
      </c>
      <c r="B330" s="10">
        <v>1.91</v>
      </c>
      <c r="C330">
        <f t="shared" si="29"/>
        <v>2.0000000000000018E-2</v>
      </c>
      <c r="D330">
        <f t="shared" si="30"/>
        <v>1</v>
      </c>
      <c r="E330">
        <f t="shared" si="31"/>
        <v>0</v>
      </c>
      <c r="F330">
        <f t="shared" si="32"/>
        <v>0</v>
      </c>
      <c r="G330">
        <f t="shared" si="33"/>
        <v>0</v>
      </c>
    </row>
    <row r="331" spans="1:7" x14ac:dyDescent="0.25">
      <c r="A331" s="2">
        <v>42486</v>
      </c>
      <c r="B331" s="3">
        <v>1.94</v>
      </c>
      <c r="C331">
        <f t="shared" si="29"/>
        <v>3.0000000000000027E-2</v>
      </c>
      <c r="D331">
        <f t="shared" si="30"/>
        <v>1</v>
      </c>
      <c r="E331">
        <f t="shared" si="31"/>
        <v>0</v>
      </c>
      <c r="F331">
        <f t="shared" si="32"/>
        <v>0</v>
      </c>
      <c r="G331">
        <f t="shared" si="33"/>
        <v>0</v>
      </c>
    </row>
    <row r="332" spans="1:7" x14ac:dyDescent="0.25">
      <c r="A332" s="4">
        <v>42487</v>
      </c>
      <c r="B332" s="10">
        <v>1.87</v>
      </c>
      <c r="C332">
        <f t="shared" si="29"/>
        <v>-6.999999999999984E-2</v>
      </c>
      <c r="D332">
        <f t="shared" si="30"/>
        <v>0</v>
      </c>
      <c r="E332">
        <f t="shared" si="31"/>
        <v>1</v>
      </c>
      <c r="F332">
        <f t="shared" si="32"/>
        <v>0</v>
      </c>
      <c r="G332">
        <f t="shared" si="33"/>
        <v>0</v>
      </c>
    </row>
    <row r="333" spans="1:7" x14ac:dyDescent="0.25">
      <c r="A333" s="2">
        <v>42488</v>
      </c>
      <c r="B333" s="3">
        <v>1.84</v>
      </c>
      <c r="C333">
        <f t="shared" si="29"/>
        <v>-3.0000000000000027E-2</v>
      </c>
      <c r="D333">
        <f t="shared" si="30"/>
        <v>1</v>
      </c>
      <c r="E333">
        <f t="shared" si="31"/>
        <v>0</v>
      </c>
      <c r="F333">
        <f t="shared" si="32"/>
        <v>0</v>
      </c>
      <c r="G333">
        <f t="shared" si="33"/>
        <v>0</v>
      </c>
    </row>
    <row r="334" spans="1:7" x14ac:dyDescent="0.25">
      <c r="A334" s="4">
        <v>42489</v>
      </c>
      <c r="B334" s="10">
        <v>1.83</v>
      </c>
      <c r="C334">
        <f t="shared" si="29"/>
        <v>-1.0000000000000009E-2</v>
      </c>
      <c r="D334">
        <f t="shared" si="30"/>
        <v>1</v>
      </c>
      <c r="E334">
        <f t="shared" si="31"/>
        <v>0</v>
      </c>
      <c r="F334">
        <f t="shared" si="32"/>
        <v>0</v>
      </c>
      <c r="G334">
        <f t="shared" si="33"/>
        <v>0</v>
      </c>
    </row>
    <row r="335" spans="1:7" x14ac:dyDescent="0.25">
      <c r="A335" s="2">
        <v>42492</v>
      </c>
      <c r="B335" s="3">
        <v>1.88</v>
      </c>
      <c r="C335">
        <f t="shared" si="29"/>
        <v>4.9999999999999822E-2</v>
      </c>
      <c r="D335">
        <f t="shared" si="30"/>
        <v>1</v>
      </c>
      <c r="E335">
        <f t="shared" si="31"/>
        <v>0</v>
      </c>
      <c r="F335">
        <f t="shared" si="32"/>
        <v>0</v>
      </c>
      <c r="G335">
        <f t="shared" si="33"/>
        <v>0</v>
      </c>
    </row>
    <row r="336" spans="1:7" x14ac:dyDescent="0.25">
      <c r="A336" s="4">
        <v>42493</v>
      </c>
      <c r="B336" s="10">
        <v>1.81</v>
      </c>
      <c r="C336">
        <f t="shared" si="29"/>
        <v>-6.999999999999984E-2</v>
      </c>
      <c r="D336">
        <f t="shared" si="30"/>
        <v>0</v>
      </c>
      <c r="E336">
        <f t="shared" si="31"/>
        <v>1</v>
      </c>
      <c r="F336">
        <f t="shared" si="32"/>
        <v>0</v>
      </c>
      <c r="G336">
        <f t="shared" si="33"/>
        <v>0</v>
      </c>
    </row>
    <row r="337" spans="1:7" x14ac:dyDescent="0.25">
      <c r="A337" s="2">
        <v>42494</v>
      </c>
      <c r="B337" s="3">
        <v>1.79</v>
      </c>
      <c r="C337">
        <f t="shared" si="29"/>
        <v>-2.0000000000000018E-2</v>
      </c>
      <c r="D337">
        <f t="shared" si="30"/>
        <v>1</v>
      </c>
      <c r="E337">
        <f t="shared" si="31"/>
        <v>0</v>
      </c>
      <c r="F337">
        <f t="shared" si="32"/>
        <v>0</v>
      </c>
      <c r="G337">
        <f t="shared" si="33"/>
        <v>0</v>
      </c>
    </row>
    <row r="338" spans="1:7" x14ac:dyDescent="0.25">
      <c r="A338" s="4">
        <v>42495</v>
      </c>
      <c r="B338" s="10">
        <v>1.76</v>
      </c>
      <c r="C338">
        <f t="shared" si="29"/>
        <v>-3.0000000000000027E-2</v>
      </c>
      <c r="D338">
        <f t="shared" si="30"/>
        <v>1</v>
      </c>
      <c r="E338">
        <f t="shared" si="31"/>
        <v>0</v>
      </c>
      <c r="F338">
        <f t="shared" si="32"/>
        <v>0</v>
      </c>
      <c r="G338">
        <f t="shared" si="33"/>
        <v>0</v>
      </c>
    </row>
    <row r="339" spans="1:7" x14ac:dyDescent="0.25">
      <c r="A339" s="2">
        <v>42496</v>
      </c>
      <c r="B339" s="3">
        <v>1.79</v>
      </c>
      <c r="C339">
        <f t="shared" si="29"/>
        <v>3.0000000000000027E-2</v>
      </c>
      <c r="D339">
        <f t="shared" si="30"/>
        <v>1</v>
      </c>
      <c r="E339">
        <f t="shared" si="31"/>
        <v>0</v>
      </c>
      <c r="F339">
        <f t="shared" si="32"/>
        <v>0</v>
      </c>
      <c r="G339">
        <f t="shared" si="33"/>
        <v>0</v>
      </c>
    </row>
    <row r="340" spans="1:7" x14ac:dyDescent="0.25">
      <c r="A340" s="4">
        <v>42499</v>
      </c>
      <c r="B340" s="10">
        <v>1.77</v>
      </c>
      <c r="C340">
        <f t="shared" si="29"/>
        <v>-2.0000000000000018E-2</v>
      </c>
      <c r="D340">
        <f t="shared" si="30"/>
        <v>1</v>
      </c>
      <c r="E340">
        <f t="shared" si="31"/>
        <v>0</v>
      </c>
      <c r="F340">
        <f t="shared" si="32"/>
        <v>0</v>
      </c>
      <c r="G340">
        <f t="shared" si="33"/>
        <v>0</v>
      </c>
    </row>
    <row r="341" spans="1:7" x14ac:dyDescent="0.25">
      <c r="A341" s="2">
        <v>42500</v>
      </c>
      <c r="B341" s="3">
        <v>1.77</v>
      </c>
      <c r="C341">
        <f t="shared" si="29"/>
        <v>0</v>
      </c>
      <c r="D341">
        <f t="shared" si="30"/>
        <v>1</v>
      </c>
      <c r="E341">
        <f t="shared" si="31"/>
        <v>0</v>
      </c>
      <c r="F341">
        <f t="shared" si="32"/>
        <v>0</v>
      </c>
      <c r="G341">
        <f t="shared" si="33"/>
        <v>0</v>
      </c>
    </row>
    <row r="342" spans="1:7" x14ac:dyDescent="0.25">
      <c r="A342" s="4">
        <v>42501</v>
      </c>
      <c r="B342" s="10">
        <v>1.73</v>
      </c>
      <c r="C342">
        <f t="shared" si="29"/>
        <v>-4.0000000000000036E-2</v>
      </c>
      <c r="D342">
        <f t="shared" si="30"/>
        <v>1</v>
      </c>
      <c r="E342">
        <f t="shared" si="31"/>
        <v>0</v>
      </c>
      <c r="F342">
        <f t="shared" si="32"/>
        <v>0</v>
      </c>
      <c r="G342">
        <f t="shared" si="33"/>
        <v>0</v>
      </c>
    </row>
    <row r="343" spans="1:7" x14ac:dyDescent="0.25">
      <c r="A343" s="2">
        <v>42502</v>
      </c>
      <c r="B343" s="3">
        <v>1.75</v>
      </c>
      <c r="C343">
        <f t="shared" si="29"/>
        <v>2.0000000000000018E-2</v>
      </c>
      <c r="D343">
        <f t="shared" si="30"/>
        <v>1</v>
      </c>
      <c r="E343">
        <f t="shared" si="31"/>
        <v>0</v>
      </c>
      <c r="F343">
        <f t="shared" si="32"/>
        <v>0</v>
      </c>
      <c r="G343">
        <f t="shared" si="33"/>
        <v>0</v>
      </c>
    </row>
    <row r="344" spans="1:7" x14ac:dyDescent="0.25">
      <c r="A344" s="4">
        <v>42503</v>
      </c>
      <c r="B344" s="10">
        <v>1.71</v>
      </c>
      <c r="C344">
        <f t="shared" si="29"/>
        <v>-4.0000000000000036E-2</v>
      </c>
      <c r="D344">
        <f t="shared" si="30"/>
        <v>1</v>
      </c>
      <c r="E344">
        <f t="shared" si="31"/>
        <v>0</v>
      </c>
      <c r="F344">
        <f t="shared" si="32"/>
        <v>0</v>
      </c>
      <c r="G344">
        <f t="shared" si="33"/>
        <v>0</v>
      </c>
    </row>
    <row r="345" spans="1:7" x14ac:dyDescent="0.25">
      <c r="A345" s="2">
        <v>42506</v>
      </c>
      <c r="B345" s="3">
        <v>1.75</v>
      </c>
      <c r="C345">
        <f t="shared" si="29"/>
        <v>4.0000000000000036E-2</v>
      </c>
      <c r="D345">
        <f t="shared" si="30"/>
        <v>1</v>
      </c>
      <c r="E345">
        <f t="shared" si="31"/>
        <v>0</v>
      </c>
      <c r="F345">
        <f t="shared" si="32"/>
        <v>0</v>
      </c>
      <c r="G345">
        <f t="shared" si="33"/>
        <v>0</v>
      </c>
    </row>
    <row r="346" spans="1:7" x14ac:dyDescent="0.25">
      <c r="A346" s="4">
        <v>42507</v>
      </c>
      <c r="B346" s="10">
        <v>1.76</v>
      </c>
      <c r="C346">
        <f t="shared" si="29"/>
        <v>1.0000000000000009E-2</v>
      </c>
      <c r="D346">
        <f t="shared" si="30"/>
        <v>1</v>
      </c>
      <c r="E346">
        <f t="shared" si="31"/>
        <v>0</v>
      </c>
      <c r="F346">
        <f t="shared" si="32"/>
        <v>0</v>
      </c>
      <c r="G346">
        <f t="shared" si="33"/>
        <v>0</v>
      </c>
    </row>
    <row r="347" spans="1:7" x14ac:dyDescent="0.25">
      <c r="A347" s="2">
        <v>42508</v>
      </c>
      <c r="B347" s="3">
        <v>1.87</v>
      </c>
      <c r="C347">
        <f t="shared" si="29"/>
        <v>0.1100000000000001</v>
      </c>
      <c r="D347">
        <f t="shared" si="30"/>
        <v>0</v>
      </c>
      <c r="E347">
        <f t="shared" si="31"/>
        <v>0</v>
      </c>
      <c r="F347">
        <f t="shared" si="32"/>
        <v>1</v>
      </c>
      <c r="G347">
        <f t="shared" si="33"/>
        <v>0</v>
      </c>
    </row>
    <row r="348" spans="1:7" x14ac:dyDescent="0.25">
      <c r="A348" s="4">
        <v>42509</v>
      </c>
      <c r="B348" s="10">
        <v>1.85</v>
      </c>
      <c r="C348">
        <f t="shared" si="29"/>
        <v>-2.0000000000000018E-2</v>
      </c>
      <c r="D348">
        <f t="shared" si="30"/>
        <v>1</v>
      </c>
      <c r="E348">
        <f t="shared" si="31"/>
        <v>0</v>
      </c>
      <c r="F348">
        <f t="shared" si="32"/>
        <v>0</v>
      </c>
      <c r="G348">
        <f t="shared" si="33"/>
        <v>0</v>
      </c>
    </row>
    <row r="349" spans="1:7" x14ac:dyDescent="0.25">
      <c r="A349" s="2">
        <v>42510</v>
      </c>
      <c r="B349" s="3">
        <v>1.85</v>
      </c>
      <c r="C349">
        <f t="shared" si="29"/>
        <v>0</v>
      </c>
      <c r="D349">
        <f t="shared" si="30"/>
        <v>1</v>
      </c>
      <c r="E349">
        <f t="shared" si="31"/>
        <v>0</v>
      </c>
      <c r="F349">
        <f t="shared" si="32"/>
        <v>0</v>
      </c>
      <c r="G349">
        <f t="shared" si="33"/>
        <v>0</v>
      </c>
    </row>
    <row r="350" spans="1:7" x14ac:dyDescent="0.25">
      <c r="A350" s="4">
        <v>42513</v>
      </c>
      <c r="B350" s="10">
        <v>1.84</v>
      </c>
      <c r="C350">
        <f t="shared" si="29"/>
        <v>-1.0000000000000009E-2</v>
      </c>
      <c r="D350">
        <f t="shared" si="30"/>
        <v>1</v>
      </c>
      <c r="E350">
        <f t="shared" si="31"/>
        <v>0</v>
      </c>
      <c r="F350">
        <f t="shared" si="32"/>
        <v>0</v>
      </c>
      <c r="G350">
        <f t="shared" si="33"/>
        <v>0</v>
      </c>
    </row>
    <row r="351" spans="1:7" x14ac:dyDescent="0.25">
      <c r="A351" s="2">
        <v>42514</v>
      </c>
      <c r="B351" s="3">
        <v>1.86</v>
      </c>
      <c r="C351">
        <f t="shared" si="29"/>
        <v>2.0000000000000018E-2</v>
      </c>
      <c r="D351">
        <f t="shared" si="30"/>
        <v>1</v>
      </c>
      <c r="E351">
        <f t="shared" si="31"/>
        <v>0</v>
      </c>
      <c r="F351">
        <f t="shared" si="32"/>
        <v>0</v>
      </c>
      <c r="G351">
        <f t="shared" si="33"/>
        <v>0</v>
      </c>
    </row>
    <row r="352" spans="1:7" x14ac:dyDescent="0.25">
      <c r="A352" s="4">
        <v>42515</v>
      </c>
      <c r="B352" s="10">
        <v>1.87</v>
      </c>
      <c r="C352">
        <f t="shared" si="29"/>
        <v>1.0000000000000009E-2</v>
      </c>
      <c r="D352">
        <f t="shared" si="30"/>
        <v>1</v>
      </c>
      <c r="E352">
        <f t="shared" si="31"/>
        <v>0</v>
      </c>
      <c r="F352">
        <f t="shared" si="32"/>
        <v>0</v>
      </c>
      <c r="G352">
        <f t="shared" si="33"/>
        <v>0</v>
      </c>
    </row>
    <row r="353" spans="1:7" x14ac:dyDescent="0.25">
      <c r="A353" s="2">
        <v>42516</v>
      </c>
      <c r="B353" s="3">
        <v>1.83</v>
      </c>
      <c r="C353">
        <f t="shared" si="29"/>
        <v>-4.0000000000000036E-2</v>
      </c>
      <c r="D353">
        <f t="shared" si="30"/>
        <v>1</v>
      </c>
      <c r="E353">
        <f t="shared" si="31"/>
        <v>0</v>
      </c>
      <c r="F353">
        <f t="shared" si="32"/>
        <v>0</v>
      </c>
      <c r="G353">
        <f t="shared" si="33"/>
        <v>0</v>
      </c>
    </row>
    <row r="354" spans="1:7" x14ac:dyDescent="0.25">
      <c r="A354" s="4">
        <v>42517</v>
      </c>
      <c r="B354" s="10">
        <v>1.85</v>
      </c>
      <c r="C354">
        <f t="shared" si="29"/>
        <v>2.0000000000000018E-2</v>
      </c>
      <c r="D354">
        <f t="shared" si="30"/>
        <v>1</v>
      </c>
      <c r="E354">
        <f t="shared" si="31"/>
        <v>0</v>
      </c>
      <c r="F354">
        <f t="shared" si="32"/>
        <v>0</v>
      </c>
      <c r="G354">
        <f t="shared" si="33"/>
        <v>0</v>
      </c>
    </row>
    <row r="355" spans="1:7" x14ac:dyDescent="0.25">
      <c r="A355" s="2">
        <v>42521</v>
      </c>
      <c r="B355" s="3">
        <v>1.84</v>
      </c>
      <c r="C355">
        <f t="shared" si="29"/>
        <v>-1.0000000000000009E-2</v>
      </c>
      <c r="D355">
        <f t="shared" si="30"/>
        <v>1</v>
      </c>
      <c r="E355">
        <f t="shared" si="31"/>
        <v>0</v>
      </c>
      <c r="F355">
        <f t="shared" si="32"/>
        <v>0</v>
      </c>
      <c r="G355">
        <f t="shared" si="33"/>
        <v>0</v>
      </c>
    </row>
    <row r="356" spans="1:7" x14ac:dyDescent="0.25">
      <c r="A356" s="4">
        <v>42522</v>
      </c>
      <c r="B356" s="10">
        <v>1.85</v>
      </c>
      <c r="C356">
        <f t="shared" si="29"/>
        <v>1.0000000000000009E-2</v>
      </c>
      <c r="D356">
        <f t="shared" si="30"/>
        <v>1</v>
      </c>
      <c r="E356">
        <f t="shared" si="31"/>
        <v>0</v>
      </c>
      <c r="F356">
        <f t="shared" si="32"/>
        <v>0</v>
      </c>
      <c r="G356">
        <f t="shared" si="33"/>
        <v>0</v>
      </c>
    </row>
    <row r="357" spans="1:7" x14ac:dyDescent="0.25">
      <c r="A357" s="2">
        <v>42523</v>
      </c>
      <c r="B357" s="3">
        <v>1.81</v>
      </c>
      <c r="C357">
        <f t="shared" si="29"/>
        <v>-4.0000000000000036E-2</v>
      </c>
      <c r="D357">
        <f t="shared" si="30"/>
        <v>1</v>
      </c>
      <c r="E357">
        <f t="shared" si="31"/>
        <v>0</v>
      </c>
      <c r="F357">
        <f t="shared" si="32"/>
        <v>0</v>
      </c>
      <c r="G357">
        <f t="shared" si="33"/>
        <v>0</v>
      </c>
    </row>
    <row r="358" spans="1:7" x14ac:dyDescent="0.25">
      <c r="A358" s="4">
        <v>42524</v>
      </c>
      <c r="B358" s="10">
        <v>1.71</v>
      </c>
      <c r="C358">
        <f t="shared" si="29"/>
        <v>-0.10000000000000009</v>
      </c>
      <c r="D358">
        <f t="shared" si="30"/>
        <v>0</v>
      </c>
      <c r="E358">
        <f t="shared" si="31"/>
        <v>0</v>
      </c>
      <c r="F358">
        <f t="shared" si="32"/>
        <v>1</v>
      </c>
      <c r="G358">
        <f t="shared" si="33"/>
        <v>0</v>
      </c>
    </row>
    <row r="359" spans="1:7" x14ac:dyDescent="0.25">
      <c r="A359" s="2">
        <v>42527</v>
      </c>
      <c r="B359" s="3">
        <v>1.73</v>
      </c>
      <c r="C359">
        <f t="shared" si="29"/>
        <v>2.0000000000000018E-2</v>
      </c>
      <c r="D359">
        <f t="shared" si="30"/>
        <v>1</v>
      </c>
      <c r="E359">
        <f t="shared" si="31"/>
        <v>0</v>
      </c>
      <c r="F359">
        <f t="shared" si="32"/>
        <v>0</v>
      </c>
      <c r="G359">
        <f t="shared" si="33"/>
        <v>0</v>
      </c>
    </row>
    <row r="360" spans="1:7" x14ac:dyDescent="0.25">
      <c r="A360" s="4">
        <v>42528</v>
      </c>
      <c r="B360" s="10">
        <v>1.72</v>
      </c>
      <c r="C360">
        <f t="shared" si="29"/>
        <v>-1.0000000000000009E-2</v>
      </c>
      <c r="D360">
        <f t="shared" si="30"/>
        <v>1</v>
      </c>
      <c r="E360">
        <f t="shared" si="31"/>
        <v>0</v>
      </c>
      <c r="F360">
        <f t="shared" si="32"/>
        <v>0</v>
      </c>
      <c r="G360">
        <f t="shared" si="33"/>
        <v>0</v>
      </c>
    </row>
    <row r="361" spans="1:7" x14ac:dyDescent="0.25">
      <c r="A361" s="2">
        <v>42529</v>
      </c>
      <c r="B361" s="3">
        <v>1.71</v>
      </c>
      <c r="C361">
        <f t="shared" si="29"/>
        <v>-1.0000000000000009E-2</v>
      </c>
      <c r="D361">
        <f t="shared" si="30"/>
        <v>1</v>
      </c>
      <c r="E361">
        <f t="shared" si="31"/>
        <v>0</v>
      </c>
      <c r="F361">
        <f t="shared" si="32"/>
        <v>0</v>
      </c>
      <c r="G361">
        <f t="shared" si="33"/>
        <v>0</v>
      </c>
    </row>
    <row r="362" spans="1:7" x14ac:dyDescent="0.25">
      <c r="A362" s="4">
        <v>42530</v>
      </c>
      <c r="B362" s="10">
        <v>1.68</v>
      </c>
      <c r="C362">
        <f t="shared" si="29"/>
        <v>-3.0000000000000027E-2</v>
      </c>
      <c r="D362">
        <f t="shared" si="30"/>
        <v>1</v>
      </c>
      <c r="E362">
        <f t="shared" si="31"/>
        <v>0</v>
      </c>
      <c r="F362">
        <f t="shared" si="32"/>
        <v>0</v>
      </c>
      <c r="G362">
        <f t="shared" si="33"/>
        <v>0</v>
      </c>
    </row>
    <row r="363" spans="1:7" x14ac:dyDescent="0.25">
      <c r="A363" s="2">
        <v>42531</v>
      </c>
      <c r="B363" s="3">
        <v>1.64</v>
      </c>
      <c r="C363">
        <f t="shared" si="29"/>
        <v>-4.0000000000000036E-2</v>
      </c>
      <c r="D363">
        <f t="shared" si="30"/>
        <v>1</v>
      </c>
      <c r="E363">
        <f t="shared" si="31"/>
        <v>0</v>
      </c>
      <c r="F363">
        <f t="shared" si="32"/>
        <v>0</v>
      </c>
      <c r="G363">
        <f t="shared" si="33"/>
        <v>0</v>
      </c>
    </row>
    <row r="364" spans="1:7" x14ac:dyDescent="0.25">
      <c r="A364" s="4">
        <v>42534</v>
      </c>
      <c r="B364" s="10">
        <v>1.62</v>
      </c>
      <c r="C364">
        <f t="shared" si="29"/>
        <v>-1.9999999999999796E-2</v>
      </c>
      <c r="D364">
        <f t="shared" si="30"/>
        <v>1</v>
      </c>
      <c r="E364">
        <f t="shared" si="31"/>
        <v>0</v>
      </c>
      <c r="F364">
        <f t="shared" si="32"/>
        <v>0</v>
      </c>
      <c r="G364">
        <f t="shared" si="33"/>
        <v>0</v>
      </c>
    </row>
    <row r="365" spans="1:7" x14ac:dyDescent="0.25">
      <c r="A365" s="2">
        <v>42535</v>
      </c>
      <c r="B365" s="3">
        <v>1.62</v>
      </c>
      <c r="C365">
        <f t="shared" si="29"/>
        <v>0</v>
      </c>
      <c r="D365">
        <f t="shared" si="30"/>
        <v>1</v>
      </c>
      <c r="E365">
        <f t="shared" si="31"/>
        <v>0</v>
      </c>
      <c r="F365">
        <f t="shared" si="32"/>
        <v>0</v>
      </c>
      <c r="G365">
        <f t="shared" si="33"/>
        <v>0</v>
      </c>
    </row>
    <row r="366" spans="1:7" x14ac:dyDescent="0.25">
      <c r="A366" s="4">
        <v>42536</v>
      </c>
      <c r="B366" s="10">
        <v>1.6</v>
      </c>
      <c r="C366">
        <f t="shared" si="29"/>
        <v>-2.0000000000000018E-2</v>
      </c>
      <c r="D366">
        <f t="shared" si="30"/>
        <v>1</v>
      </c>
      <c r="E366">
        <f t="shared" si="31"/>
        <v>0</v>
      </c>
      <c r="F366">
        <f t="shared" si="32"/>
        <v>0</v>
      </c>
      <c r="G366">
        <f t="shared" si="33"/>
        <v>0</v>
      </c>
    </row>
    <row r="367" spans="1:7" x14ac:dyDescent="0.25">
      <c r="A367" s="2">
        <v>42537</v>
      </c>
      <c r="B367" s="3">
        <v>1.57</v>
      </c>
      <c r="C367">
        <f t="shared" si="29"/>
        <v>-3.0000000000000027E-2</v>
      </c>
      <c r="D367">
        <f t="shared" si="30"/>
        <v>1</v>
      </c>
      <c r="E367">
        <f t="shared" si="31"/>
        <v>0</v>
      </c>
      <c r="F367">
        <f t="shared" si="32"/>
        <v>0</v>
      </c>
      <c r="G367">
        <f t="shared" si="33"/>
        <v>0</v>
      </c>
    </row>
    <row r="368" spans="1:7" x14ac:dyDescent="0.25">
      <c r="A368" s="4">
        <v>42538</v>
      </c>
      <c r="B368" s="10">
        <v>1.62</v>
      </c>
      <c r="C368">
        <f t="shared" si="29"/>
        <v>5.0000000000000044E-2</v>
      </c>
      <c r="D368">
        <f t="shared" si="30"/>
        <v>0</v>
      </c>
      <c r="E368">
        <f t="shared" si="31"/>
        <v>1</v>
      </c>
      <c r="F368">
        <f t="shared" si="32"/>
        <v>0</v>
      </c>
      <c r="G368">
        <f t="shared" si="33"/>
        <v>0</v>
      </c>
    </row>
    <row r="369" spans="1:7" x14ac:dyDescent="0.25">
      <c r="A369" s="2">
        <v>42541</v>
      </c>
      <c r="B369" s="3">
        <v>1.67</v>
      </c>
      <c r="C369">
        <f t="shared" si="29"/>
        <v>4.9999999999999822E-2</v>
      </c>
      <c r="D369">
        <f t="shared" si="30"/>
        <v>1</v>
      </c>
      <c r="E369">
        <f t="shared" si="31"/>
        <v>0</v>
      </c>
      <c r="F369">
        <f t="shared" si="32"/>
        <v>0</v>
      </c>
      <c r="G369">
        <f t="shared" si="33"/>
        <v>0</v>
      </c>
    </row>
    <row r="370" spans="1:7" x14ac:dyDescent="0.25">
      <c r="A370" s="4">
        <v>42542</v>
      </c>
      <c r="B370" s="10">
        <v>1.71</v>
      </c>
      <c r="C370">
        <f t="shared" si="29"/>
        <v>4.0000000000000036E-2</v>
      </c>
      <c r="D370">
        <f t="shared" si="30"/>
        <v>1</v>
      </c>
      <c r="E370">
        <f t="shared" si="31"/>
        <v>0</v>
      </c>
      <c r="F370">
        <f t="shared" si="32"/>
        <v>0</v>
      </c>
      <c r="G370">
        <f t="shared" si="33"/>
        <v>0</v>
      </c>
    </row>
    <row r="371" spans="1:7" x14ac:dyDescent="0.25">
      <c r="A371" s="2">
        <v>42543</v>
      </c>
      <c r="B371" s="3">
        <v>1.69</v>
      </c>
      <c r="C371">
        <f t="shared" si="29"/>
        <v>-2.0000000000000018E-2</v>
      </c>
      <c r="D371">
        <f t="shared" si="30"/>
        <v>1</v>
      </c>
      <c r="E371">
        <f t="shared" si="31"/>
        <v>0</v>
      </c>
      <c r="F371">
        <f t="shared" si="32"/>
        <v>0</v>
      </c>
      <c r="G371">
        <f t="shared" si="33"/>
        <v>0</v>
      </c>
    </row>
    <row r="372" spans="1:7" x14ac:dyDescent="0.25">
      <c r="A372" s="4">
        <v>42544</v>
      </c>
      <c r="B372" s="10">
        <v>1.74</v>
      </c>
      <c r="C372">
        <f t="shared" si="29"/>
        <v>5.0000000000000044E-2</v>
      </c>
      <c r="D372">
        <f t="shared" si="30"/>
        <v>0</v>
      </c>
      <c r="E372">
        <f t="shared" si="31"/>
        <v>1</v>
      </c>
      <c r="F372">
        <f t="shared" si="32"/>
        <v>0</v>
      </c>
      <c r="G372">
        <f t="shared" si="33"/>
        <v>0</v>
      </c>
    </row>
    <row r="373" spans="1:7" x14ac:dyDescent="0.25">
      <c r="A373" s="2">
        <v>42545</v>
      </c>
      <c r="B373" s="3">
        <v>1.57</v>
      </c>
      <c r="C373">
        <f t="shared" si="29"/>
        <v>-0.16999999999999993</v>
      </c>
      <c r="D373">
        <f t="shared" si="30"/>
        <v>0</v>
      </c>
      <c r="E373">
        <f t="shared" si="31"/>
        <v>0</v>
      </c>
      <c r="F373">
        <f t="shared" si="32"/>
        <v>0</v>
      </c>
      <c r="G373">
        <f t="shared" si="33"/>
        <v>0</v>
      </c>
    </row>
    <row r="374" spans="1:7" x14ac:dyDescent="0.25">
      <c r="A374" s="4">
        <v>42548</v>
      </c>
      <c r="B374" s="10">
        <v>1.46</v>
      </c>
      <c r="C374">
        <f t="shared" si="29"/>
        <v>-0.1100000000000001</v>
      </c>
      <c r="D374">
        <f t="shared" si="30"/>
        <v>0</v>
      </c>
      <c r="E374">
        <f t="shared" si="31"/>
        <v>0</v>
      </c>
      <c r="F374">
        <f t="shared" si="32"/>
        <v>1</v>
      </c>
      <c r="G374">
        <f t="shared" si="33"/>
        <v>0</v>
      </c>
    </row>
    <row r="375" spans="1:7" x14ac:dyDescent="0.25">
      <c r="A375" s="2">
        <v>42549</v>
      </c>
      <c r="B375" s="3">
        <v>1.46</v>
      </c>
      <c r="C375">
        <f t="shared" si="29"/>
        <v>0</v>
      </c>
      <c r="D375">
        <f t="shared" si="30"/>
        <v>1</v>
      </c>
      <c r="E375">
        <f t="shared" si="31"/>
        <v>0</v>
      </c>
      <c r="F375">
        <f t="shared" si="32"/>
        <v>0</v>
      </c>
      <c r="G375">
        <f t="shared" si="33"/>
        <v>0</v>
      </c>
    </row>
    <row r="376" spans="1:7" x14ac:dyDescent="0.25">
      <c r="A376" s="4">
        <v>42550</v>
      </c>
      <c r="B376" s="10">
        <v>1.5</v>
      </c>
      <c r="C376">
        <f t="shared" si="29"/>
        <v>4.0000000000000036E-2</v>
      </c>
      <c r="D376">
        <f t="shared" si="30"/>
        <v>1</v>
      </c>
      <c r="E376">
        <f t="shared" si="31"/>
        <v>0</v>
      </c>
      <c r="F376">
        <f t="shared" si="32"/>
        <v>0</v>
      </c>
      <c r="G376">
        <f t="shared" si="33"/>
        <v>0</v>
      </c>
    </row>
    <row r="377" spans="1:7" x14ac:dyDescent="0.25">
      <c r="A377" s="2">
        <v>42551</v>
      </c>
      <c r="B377" s="3">
        <v>1.49</v>
      </c>
      <c r="C377">
        <f t="shared" si="29"/>
        <v>-1.0000000000000009E-2</v>
      </c>
      <c r="D377">
        <f t="shared" si="30"/>
        <v>1</v>
      </c>
      <c r="E377">
        <f t="shared" si="31"/>
        <v>0</v>
      </c>
      <c r="F377">
        <f t="shared" si="32"/>
        <v>0</v>
      </c>
      <c r="G377">
        <f t="shared" si="33"/>
        <v>0</v>
      </c>
    </row>
    <row r="378" spans="1:7" x14ac:dyDescent="0.25">
      <c r="A378" s="4">
        <v>42552</v>
      </c>
      <c r="B378" s="10">
        <v>1.46</v>
      </c>
      <c r="C378">
        <f t="shared" si="29"/>
        <v>-3.0000000000000027E-2</v>
      </c>
      <c r="D378">
        <f t="shared" si="30"/>
        <v>1</v>
      </c>
      <c r="E378">
        <f t="shared" si="31"/>
        <v>0</v>
      </c>
      <c r="F378">
        <f t="shared" si="32"/>
        <v>0</v>
      </c>
      <c r="G378">
        <f t="shared" si="33"/>
        <v>0</v>
      </c>
    </row>
    <row r="379" spans="1:7" x14ac:dyDescent="0.25">
      <c r="A379" s="2">
        <v>42556</v>
      </c>
      <c r="B379" s="3">
        <v>1.37</v>
      </c>
      <c r="C379">
        <f t="shared" si="29"/>
        <v>-8.9999999999999858E-2</v>
      </c>
      <c r="D379">
        <f t="shared" si="30"/>
        <v>0</v>
      </c>
      <c r="E379">
        <f t="shared" si="31"/>
        <v>1</v>
      </c>
      <c r="F379">
        <f t="shared" si="32"/>
        <v>0</v>
      </c>
      <c r="G379">
        <f t="shared" si="33"/>
        <v>0</v>
      </c>
    </row>
    <row r="380" spans="1:7" x14ac:dyDescent="0.25">
      <c r="A380" s="4">
        <v>42557</v>
      </c>
      <c r="B380" s="10">
        <v>1.38</v>
      </c>
      <c r="C380">
        <f t="shared" si="29"/>
        <v>9.9999999999997868E-3</v>
      </c>
      <c r="D380">
        <f t="shared" si="30"/>
        <v>1</v>
      </c>
      <c r="E380">
        <f t="shared" si="31"/>
        <v>0</v>
      </c>
      <c r="F380">
        <f t="shared" si="32"/>
        <v>0</v>
      </c>
      <c r="G380">
        <f t="shared" si="33"/>
        <v>0</v>
      </c>
    </row>
    <row r="381" spans="1:7" x14ac:dyDescent="0.25">
      <c r="A381" s="2">
        <v>42558</v>
      </c>
      <c r="B381" s="3">
        <v>1.4</v>
      </c>
      <c r="C381">
        <f t="shared" ref="C381:C444" si="34">B381-B380</f>
        <v>2.0000000000000018E-2</v>
      </c>
      <c r="D381">
        <f t="shared" ref="D381:D444" si="35">IF(INT(ABS(C381)*100/5)=0,1,0)</f>
        <v>1</v>
      </c>
      <c r="E381">
        <f t="shared" ref="E381:E444" si="36">IF(INT(ABS(C381)*100/5)=1,1,0)</f>
        <v>0</v>
      </c>
      <c r="F381">
        <f t="shared" ref="F381:F444" si="37">IF(INT(ABS(C381)*100/5)=2,1,0)</f>
        <v>0</v>
      </c>
      <c r="G381">
        <f t="shared" ref="G381:G444" si="38">IF(INT(ABS(C381)*100/5)=13,1,0)</f>
        <v>0</v>
      </c>
    </row>
    <row r="382" spans="1:7" x14ac:dyDescent="0.25">
      <c r="A382" s="4">
        <v>42559</v>
      </c>
      <c r="B382" s="10">
        <v>1.37</v>
      </c>
      <c r="C382">
        <f t="shared" si="34"/>
        <v>-2.9999999999999805E-2</v>
      </c>
      <c r="D382">
        <f t="shared" si="35"/>
        <v>1</v>
      </c>
      <c r="E382">
        <f t="shared" si="36"/>
        <v>0</v>
      </c>
      <c r="F382">
        <f t="shared" si="37"/>
        <v>0</v>
      </c>
      <c r="G382">
        <f t="shared" si="38"/>
        <v>0</v>
      </c>
    </row>
    <row r="383" spans="1:7" x14ac:dyDescent="0.25">
      <c r="A383" s="2">
        <v>42562</v>
      </c>
      <c r="B383" s="3">
        <v>1.43</v>
      </c>
      <c r="C383">
        <f t="shared" si="34"/>
        <v>5.9999999999999831E-2</v>
      </c>
      <c r="D383">
        <f t="shared" si="35"/>
        <v>0</v>
      </c>
      <c r="E383">
        <f t="shared" si="36"/>
        <v>1</v>
      </c>
      <c r="F383">
        <f t="shared" si="37"/>
        <v>0</v>
      </c>
      <c r="G383">
        <f t="shared" si="38"/>
        <v>0</v>
      </c>
    </row>
    <row r="384" spans="1:7" x14ac:dyDescent="0.25">
      <c r="A384" s="4">
        <v>42563</v>
      </c>
      <c r="B384" s="10">
        <v>1.53</v>
      </c>
      <c r="C384">
        <f t="shared" si="34"/>
        <v>0.10000000000000009</v>
      </c>
      <c r="D384">
        <f t="shared" si="35"/>
        <v>0</v>
      </c>
      <c r="E384">
        <f t="shared" si="36"/>
        <v>0</v>
      </c>
      <c r="F384">
        <f t="shared" si="37"/>
        <v>1</v>
      </c>
      <c r="G384">
        <f t="shared" si="38"/>
        <v>0</v>
      </c>
    </row>
    <row r="385" spans="1:7" x14ac:dyDescent="0.25">
      <c r="A385" s="2">
        <v>42564</v>
      </c>
      <c r="B385" s="3">
        <v>1.48</v>
      </c>
      <c r="C385">
        <f t="shared" si="34"/>
        <v>-5.0000000000000044E-2</v>
      </c>
      <c r="D385">
        <f t="shared" si="35"/>
        <v>0</v>
      </c>
      <c r="E385">
        <f t="shared" si="36"/>
        <v>1</v>
      </c>
      <c r="F385">
        <f t="shared" si="37"/>
        <v>0</v>
      </c>
      <c r="G385">
        <f t="shared" si="38"/>
        <v>0</v>
      </c>
    </row>
    <row r="386" spans="1:7" x14ac:dyDescent="0.25">
      <c r="A386" s="4">
        <v>42565</v>
      </c>
      <c r="B386" s="10">
        <v>1.53</v>
      </c>
      <c r="C386">
        <f t="shared" si="34"/>
        <v>5.0000000000000044E-2</v>
      </c>
      <c r="D386">
        <f t="shared" si="35"/>
        <v>0</v>
      </c>
      <c r="E386">
        <f t="shared" si="36"/>
        <v>1</v>
      </c>
      <c r="F386">
        <f t="shared" si="37"/>
        <v>0</v>
      </c>
      <c r="G386">
        <f t="shared" si="38"/>
        <v>0</v>
      </c>
    </row>
    <row r="387" spans="1:7" x14ac:dyDescent="0.25">
      <c r="A387" s="2">
        <v>42566</v>
      </c>
      <c r="B387" s="3">
        <v>1.6</v>
      </c>
      <c r="C387">
        <f t="shared" si="34"/>
        <v>7.0000000000000062E-2</v>
      </c>
      <c r="D387">
        <f t="shared" si="35"/>
        <v>0</v>
      </c>
      <c r="E387">
        <f t="shared" si="36"/>
        <v>1</v>
      </c>
      <c r="F387">
        <f t="shared" si="37"/>
        <v>0</v>
      </c>
      <c r="G387">
        <f t="shared" si="38"/>
        <v>0</v>
      </c>
    </row>
    <row r="388" spans="1:7" x14ac:dyDescent="0.25">
      <c r="A388" s="4">
        <v>42569</v>
      </c>
      <c r="B388" s="10">
        <v>1.59</v>
      </c>
      <c r="C388">
        <f t="shared" si="34"/>
        <v>-1.0000000000000009E-2</v>
      </c>
      <c r="D388">
        <f t="shared" si="35"/>
        <v>1</v>
      </c>
      <c r="E388">
        <f t="shared" si="36"/>
        <v>0</v>
      </c>
      <c r="F388">
        <f t="shared" si="37"/>
        <v>0</v>
      </c>
      <c r="G388">
        <f t="shared" si="38"/>
        <v>0</v>
      </c>
    </row>
    <row r="389" spans="1:7" x14ac:dyDescent="0.25">
      <c r="A389" s="2">
        <v>42570</v>
      </c>
      <c r="B389" s="3">
        <v>1.56</v>
      </c>
      <c r="C389">
        <f t="shared" si="34"/>
        <v>-3.0000000000000027E-2</v>
      </c>
      <c r="D389">
        <f t="shared" si="35"/>
        <v>1</v>
      </c>
      <c r="E389">
        <f t="shared" si="36"/>
        <v>0</v>
      </c>
      <c r="F389">
        <f t="shared" si="37"/>
        <v>0</v>
      </c>
      <c r="G389">
        <f t="shared" si="38"/>
        <v>0</v>
      </c>
    </row>
    <row r="390" spans="1:7" x14ac:dyDescent="0.25">
      <c r="A390" s="4">
        <v>42571</v>
      </c>
      <c r="B390" s="10">
        <v>1.59</v>
      </c>
      <c r="C390">
        <f t="shared" si="34"/>
        <v>3.0000000000000027E-2</v>
      </c>
      <c r="D390">
        <f t="shared" si="35"/>
        <v>1</v>
      </c>
      <c r="E390">
        <f t="shared" si="36"/>
        <v>0</v>
      </c>
      <c r="F390">
        <f t="shared" si="37"/>
        <v>0</v>
      </c>
      <c r="G390">
        <f t="shared" si="38"/>
        <v>0</v>
      </c>
    </row>
    <row r="391" spans="1:7" x14ac:dyDescent="0.25">
      <c r="A391" s="2">
        <v>42572</v>
      </c>
      <c r="B391" s="3">
        <v>1.57</v>
      </c>
      <c r="C391">
        <f t="shared" si="34"/>
        <v>-2.0000000000000018E-2</v>
      </c>
      <c r="D391">
        <f t="shared" si="35"/>
        <v>1</v>
      </c>
      <c r="E391">
        <f t="shared" si="36"/>
        <v>0</v>
      </c>
      <c r="F391">
        <f t="shared" si="37"/>
        <v>0</v>
      </c>
      <c r="G391">
        <f t="shared" si="38"/>
        <v>0</v>
      </c>
    </row>
    <row r="392" spans="1:7" x14ac:dyDescent="0.25">
      <c r="A392" s="4">
        <v>42573</v>
      </c>
      <c r="B392" s="10">
        <v>1.57</v>
      </c>
      <c r="C392">
        <f t="shared" si="34"/>
        <v>0</v>
      </c>
      <c r="D392">
        <f t="shared" si="35"/>
        <v>1</v>
      </c>
      <c r="E392">
        <f t="shared" si="36"/>
        <v>0</v>
      </c>
      <c r="F392">
        <f t="shared" si="37"/>
        <v>0</v>
      </c>
      <c r="G392">
        <f t="shared" si="38"/>
        <v>0</v>
      </c>
    </row>
    <row r="393" spans="1:7" x14ac:dyDescent="0.25">
      <c r="A393" s="2">
        <v>42576</v>
      </c>
      <c r="B393" s="3">
        <v>1.58</v>
      </c>
      <c r="C393">
        <f t="shared" si="34"/>
        <v>1.0000000000000009E-2</v>
      </c>
      <c r="D393">
        <f t="shared" si="35"/>
        <v>1</v>
      </c>
      <c r="E393">
        <f t="shared" si="36"/>
        <v>0</v>
      </c>
      <c r="F393">
        <f t="shared" si="37"/>
        <v>0</v>
      </c>
      <c r="G393">
        <f t="shared" si="38"/>
        <v>0</v>
      </c>
    </row>
    <row r="394" spans="1:7" x14ac:dyDescent="0.25">
      <c r="A394" s="4">
        <v>42577</v>
      </c>
      <c r="B394" s="10">
        <v>1.57</v>
      </c>
      <c r="C394">
        <f t="shared" si="34"/>
        <v>-1.0000000000000009E-2</v>
      </c>
      <c r="D394">
        <f t="shared" si="35"/>
        <v>1</v>
      </c>
      <c r="E394">
        <f t="shared" si="36"/>
        <v>0</v>
      </c>
      <c r="F394">
        <f t="shared" si="37"/>
        <v>0</v>
      </c>
      <c r="G394">
        <f t="shared" si="38"/>
        <v>0</v>
      </c>
    </row>
    <row r="395" spans="1:7" x14ac:dyDescent="0.25">
      <c r="A395" s="2">
        <v>42578</v>
      </c>
      <c r="B395" s="3">
        <v>1.52</v>
      </c>
      <c r="C395">
        <f t="shared" si="34"/>
        <v>-5.0000000000000044E-2</v>
      </c>
      <c r="D395">
        <f t="shared" si="35"/>
        <v>0</v>
      </c>
      <c r="E395">
        <f t="shared" si="36"/>
        <v>1</v>
      </c>
      <c r="F395">
        <f t="shared" si="37"/>
        <v>0</v>
      </c>
      <c r="G395">
        <f t="shared" si="38"/>
        <v>0</v>
      </c>
    </row>
    <row r="396" spans="1:7" x14ac:dyDescent="0.25">
      <c r="A396" s="4">
        <v>42579</v>
      </c>
      <c r="B396" s="10">
        <v>1.52</v>
      </c>
      <c r="C396">
        <f t="shared" si="34"/>
        <v>0</v>
      </c>
      <c r="D396">
        <f t="shared" si="35"/>
        <v>1</v>
      </c>
      <c r="E396">
        <f t="shared" si="36"/>
        <v>0</v>
      </c>
      <c r="F396">
        <f t="shared" si="37"/>
        <v>0</v>
      </c>
      <c r="G396">
        <f t="shared" si="38"/>
        <v>0</v>
      </c>
    </row>
    <row r="397" spans="1:7" x14ac:dyDescent="0.25">
      <c r="A397" s="2">
        <v>42580</v>
      </c>
      <c r="B397" s="3">
        <v>1.46</v>
      </c>
      <c r="C397">
        <f t="shared" si="34"/>
        <v>-6.0000000000000053E-2</v>
      </c>
      <c r="D397">
        <f t="shared" si="35"/>
        <v>0</v>
      </c>
      <c r="E397">
        <f t="shared" si="36"/>
        <v>1</v>
      </c>
      <c r="F397">
        <f t="shared" si="37"/>
        <v>0</v>
      </c>
      <c r="G397">
        <f t="shared" si="38"/>
        <v>0</v>
      </c>
    </row>
    <row r="398" spans="1:7" x14ac:dyDescent="0.25">
      <c r="A398" s="4">
        <v>42583</v>
      </c>
      <c r="B398" s="10">
        <v>1.51</v>
      </c>
      <c r="C398">
        <f t="shared" si="34"/>
        <v>5.0000000000000044E-2</v>
      </c>
      <c r="D398">
        <f t="shared" si="35"/>
        <v>0</v>
      </c>
      <c r="E398">
        <f t="shared" si="36"/>
        <v>1</v>
      </c>
      <c r="F398">
        <f t="shared" si="37"/>
        <v>0</v>
      </c>
      <c r="G398">
        <f t="shared" si="38"/>
        <v>0</v>
      </c>
    </row>
    <row r="399" spans="1:7" x14ac:dyDescent="0.25">
      <c r="A399" s="2">
        <v>42584</v>
      </c>
      <c r="B399" s="3">
        <v>1.55</v>
      </c>
      <c r="C399">
        <f t="shared" si="34"/>
        <v>4.0000000000000036E-2</v>
      </c>
      <c r="D399">
        <f t="shared" si="35"/>
        <v>1</v>
      </c>
      <c r="E399">
        <f t="shared" si="36"/>
        <v>0</v>
      </c>
      <c r="F399">
        <f t="shared" si="37"/>
        <v>0</v>
      </c>
      <c r="G399">
        <f t="shared" si="38"/>
        <v>0</v>
      </c>
    </row>
    <row r="400" spans="1:7" x14ac:dyDescent="0.25">
      <c r="A400" s="4">
        <v>42585</v>
      </c>
      <c r="B400" s="10">
        <v>1.55</v>
      </c>
      <c r="C400">
        <f t="shared" si="34"/>
        <v>0</v>
      </c>
      <c r="D400">
        <f t="shared" si="35"/>
        <v>1</v>
      </c>
      <c r="E400">
        <f t="shared" si="36"/>
        <v>0</v>
      </c>
      <c r="F400">
        <f t="shared" si="37"/>
        <v>0</v>
      </c>
      <c r="G400">
        <f t="shared" si="38"/>
        <v>0</v>
      </c>
    </row>
    <row r="401" spans="1:7" x14ac:dyDescent="0.25">
      <c r="A401" s="2">
        <v>42586</v>
      </c>
      <c r="B401" s="3">
        <v>1.51</v>
      </c>
      <c r="C401">
        <f t="shared" si="34"/>
        <v>-4.0000000000000036E-2</v>
      </c>
      <c r="D401">
        <f t="shared" si="35"/>
        <v>1</v>
      </c>
      <c r="E401">
        <f t="shared" si="36"/>
        <v>0</v>
      </c>
      <c r="F401">
        <f t="shared" si="37"/>
        <v>0</v>
      </c>
      <c r="G401">
        <f t="shared" si="38"/>
        <v>0</v>
      </c>
    </row>
    <row r="402" spans="1:7" x14ac:dyDescent="0.25">
      <c r="A402" s="4">
        <v>42587</v>
      </c>
      <c r="B402" s="10">
        <v>1.59</v>
      </c>
      <c r="C402">
        <f t="shared" si="34"/>
        <v>8.0000000000000071E-2</v>
      </c>
      <c r="D402">
        <f t="shared" si="35"/>
        <v>0</v>
      </c>
      <c r="E402">
        <f t="shared" si="36"/>
        <v>1</v>
      </c>
      <c r="F402">
        <f t="shared" si="37"/>
        <v>0</v>
      </c>
      <c r="G402">
        <f t="shared" si="38"/>
        <v>0</v>
      </c>
    </row>
    <row r="403" spans="1:7" x14ac:dyDescent="0.25">
      <c r="A403" s="2">
        <v>42590</v>
      </c>
      <c r="B403" s="3">
        <v>1.59</v>
      </c>
      <c r="C403">
        <f t="shared" si="34"/>
        <v>0</v>
      </c>
      <c r="D403">
        <f t="shared" si="35"/>
        <v>1</v>
      </c>
      <c r="E403">
        <f t="shared" si="36"/>
        <v>0</v>
      </c>
      <c r="F403">
        <f t="shared" si="37"/>
        <v>0</v>
      </c>
      <c r="G403">
        <f t="shared" si="38"/>
        <v>0</v>
      </c>
    </row>
    <row r="404" spans="1:7" x14ac:dyDescent="0.25">
      <c r="A404" s="4">
        <v>42591</v>
      </c>
      <c r="B404" s="10">
        <v>1.55</v>
      </c>
      <c r="C404">
        <f t="shared" si="34"/>
        <v>-4.0000000000000036E-2</v>
      </c>
      <c r="D404">
        <f t="shared" si="35"/>
        <v>1</v>
      </c>
      <c r="E404">
        <f t="shared" si="36"/>
        <v>0</v>
      </c>
      <c r="F404">
        <f t="shared" si="37"/>
        <v>0</v>
      </c>
      <c r="G404">
        <f t="shared" si="38"/>
        <v>0</v>
      </c>
    </row>
    <row r="405" spans="1:7" x14ac:dyDescent="0.25">
      <c r="A405" s="2">
        <v>42592</v>
      </c>
      <c r="B405" s="3">
        <v>1.5</v>
      </c>
      <c r="C405">
        <f t="shared" si="34"/>
        <v>-5.0000000000000044E-2</v>
      </c>
      <c r="D405">
        <f t="shared" si="35"/>
        <v>0</v>
      </c>
      <c r="E405">
        <f t="shared" si="36"/>
        <v>1</v>
      </c>
      <c r="F405">
        <f t="shared" si="37"/>
        <v>0</v>
      </c>
      <c r="G405">
        <f t="shared" si="38"/>
        <v>0</v>
      </c>
    </row>
    <row r="406" spans="1:7" x14ac:dyDescent="0.25">
      <c r="A406" s="4">
        <v>42593</v>
      </c>
      <c r="B406" s="10">
        <v>1.57</v>
      </c>
      <c r="C406">
        <f t="shared" si="34"/>
        <v>7.0000000000000062E-2</v>
      </c>
      <c r="D406">
        <f t="shared" si="35"/>
        <v>0</v>
      </c>
      <c r="E406">
        <f t="shared" si="36"/>
        <v>1</v>
      </c>
      <c r="F406">
        <f t="shared" si="37"/>
        <v>0</v>
      </c>
      <c r="G406">
        <f t="shared" si="38"/>
        <v>0</v>
      </c>
    </row>
    <row r="407" spans="1:7" x14ac:dyDescent="0.25">
      <c r="A407" s="2">
        <v>42594</v>
      </c>
      <c r="B407" s="3">
        <v>1.51</v>
      </c>
      <c r="C407">
        <f t="shared" si="34"/>
        <v>-6.0000000000000053E-2</v>
      </c>
      <c r="D407">
        <f t="shared" si="35"/>
        <v>0</v>
      </c>
      <c r="E407">
        <f t="shared" si="36"/>
        <v>1</v>
      </c>
      <c r="F407">
        <f t="shared" si="37"/>
        <v>0</v>
      </c>
      <c r="G407">
        <f t="shared" si="38"/>
        <v>0</v>
      </c>
    </row>
    <row r="408" spans="1:7" x14ac:dyDescent="0.25">
      <c r="A408" s="4">
        <v>42597</v>
      </c>
      <c r="B408" s="10">
        <v>1.55</v>
      </c>
      <c r="C408">
        <f t="shared" si="34"/>
        <v>4.0000000000000036E-2</v>
      </c>
      <c r="D408">
        <f t="shared" si="35"/>
        <v>1</v>
      </c>
      <c r="E408">
        <f t="shared" si="36"/>
        <v>0</v>
      </c>
      <c r="F408">
        <f t="shared" si="37"/>
        <v>0</v>
      </c>
      <c r="G408">
        <f t="shared" si="38"/>
        <v>0</v>
      </c>
    </row>
    <row r="409" spans="1:7" x14ac:dyDescent="0.25">
      <c r="A409" s="2">
        <v>42598</v>
      </c>
      <c r="B409" s="3">
        <v>1.57</v>
      </c>
      <c r="C409">
        <f t="shared" si="34"/>
        <v>2.0000000000000018E-2</v>
      </c>
      <c r="D409">
        <f t="shared" si="35"/>
        <v>1</v>
      </c>
      <c r="E409">
        <f t="shared" si="36"/>
        <v>0</v>
      </c>
      <c r="F409">
        <f t="shared" si="37"/>
        <v>0</v>
      </c>
      <c r="G409">
        <f t="shared" si="38"/>
        <v>0</v>
      </c>
    </row>
    <row r="410" spans="1:7" x14ac:dyDescent="0.25">
      <c r="A410" s="4">
        <v>42599</v>
      </c>
      <c r="B410" s="10">
        <v>1.56</v>
      </c>
      <c r="C410">
        <f t="shared" si="34"/>
        <v>-1.0000000000000009E-2</v>
      </c>
      <c r="D410">
        <f t="shared" si="35"/>
        <v>1</v>
      </c>
      <c r="E410">
        <f t="shared" si="36"/>
        <v>0</v>
      </c>
      <c r="F410">
        <f t="shared" si="37"/>
        <v>0</v>
      </c>
      <c r="G410">
        <f t="shared" si="38"/>
        <v>0</v>
      </c>
    </row>
    <row r="411" spans="1:7" x14ac:dyDescent="0.25">
      <c r="A411" s="2">
        <v>42600</v>
      </c>
      <c r="B411" s="3">
        <v>1.53</v>
      </c>
      <c r="C411">
        <f t="shared" si="34"/>
        <v>-3.0000000000000027E-2</v>
      </c>
      <c r="D411">
        <f t="shared" si="35"/>
        <v>1</v>
      </c>
      <c r="E411">
        <f t="shared" si="36"/>
        <v>0</v>
      </c>
      <c r="F411">
        <f t="shared" si="37"/>
        <v>0</v>
      </c>
      <c r="G411">
        <f t="shared" si="38"/>
        <v>0</v>
      </c>
    </row>
    <row r="412" spans="1:7" x14ac:dyDescent="0.25">
      <c r="A412" s="4">
        <v>42601</v>
      </c>
      <c r="B412" s="10">
        <v>1.58</v>
      </c>
      <c r="C412">
        <f t="shared" si="34"/>
        <v>5.0000000000000044E-2</v>
      </c>
      <c r="D412">
        <f t="shared" si="35"/>
        <v>0</v>
      </c>
      <c r="E412">
        <f t="shared" si="36"/>
        <v>1</v>
      </c>
      <c r="F412">
        <f t="shared" si="37"/>
        <v>0</v>
      </c>
      <c r="G412">
        <f t="shared" si="38"/>
        <v>0</v>
      </c>
    </row>
    <row r="413" spans="1:7" x14ac:dyDescent="0.25">
      <c r="A413" s="2">
        <v>42604</v>
      </c>
      <c r="B413" s="3">
        <v>1.55</v>
      </c>
      <c r="C413">
        <f t="shared" si="34"/>
        <v>-3.0000000000000027E-2</v>
      </c>
      <c r="D413">
        <f t="shared" si="35"/>
        <v>1</v>
      </c>
      <c r="E413">
        <f t="shared" si="36"/>
        <v>0</v>
      </c>
      <c r="F413">
        <f t="shared" si="37"/>
        <v>0</v>
      </c>
      <c r="G413">
        <f t="shared" si="38"/>
        <v>0</v>
      </c>
    </row>
    <row r="414" spans="1:7" x14ac:dyDescent="0.25">
      <c r="A414" s="4">
        <v>42605</v>
      </c>
      <c r="B414" s="10">
        <v>1.55</v>
      </c>
      <c r="C414">
        <f t="shared" si="34"/>
        <v>0</v>
      </c>
      <c r="D414">
        <f t="shared" si="35"/>
        <v>1</v>
      </c>
      <c r="E414">
        <f t="shared" si="36"/>
        <v>0</v>
      </c>
      <c r="F414">
        <f t="shared" si="37"/>
        <v>0</v>
      </c>
      <c r="G414">
        <f t="shared" si="38"/>
        <v>0</v>
      </c>
    </row>
    <row r="415" spans="1:7" x14ac:dyDescent="0.25">
      <c r="A415" s="2">
        <v>42606</v>
      </c>
      <c r="B415" s="3">
        <v>1.56</v>
      </c>
      <c r="C415">
        <f t="shared" si="34"/>
        <v>1.0000000000000009E-2</v>
      </c>
      <c r="D415">
        <f t="shared" si="35"/>
        <v>1</v>
      </c>
      <c r="E415">
        <f t="shared" si="36"/>
        <v>0</v>
      </c>
      <c r="F415">
        <f t="shared" si="37"/>
        <v>0</v>
      </c>
      <c r="G415">
        <f t="shared" si="38"/>
        <v>0</v>
      </c>
    </row>
    <row r="416" spans="1:7" x14ac:dyDescent="0.25">
      <c r="A416" s="4">
        <v>42607</v>
      </c>
      <c r="B416" s="10">
        <v>1.58</v>
      </c>
      <c r="C416">
        <f t="shared" si="34"/>
        <v>2.0000000000000018E-2</v>
      </c>
      <c r="D416">
        <f t="shared" si="35"/>
        <v>1</v>
      </c>
      <c r="E416">
        <f t="shared" si="36"/>
        <v>0</v>
      </c>
      <c r="F416">
        <f t="shared" si="37"/>
        <v>0</v>
      </c>
      <c r="G416">
        <f t="shared" si="38"/>
        <v>0</v>
      </c>
    </row>
    <row r="417" spans="1:7" x14ac:dyDescent="0.25">
      <c r="A417" s="2">
        <v>42608</v>
      </c>
      <c r="B417" s="3">
        <v>1.62</v>
      </c>
      <c r="C417">
        <f t="shared" si="34"/>
        <v>4.0000000000000036E-2</v>
      </c>
      <c r="D417">
        <f t="shared" si="35"/>
        <v>1</v>
      </c>
      <c r="E417">
        <f t="shared" si="36"/>
        <v>0</v>
      </c>
      <c r="F417">
        <f t="shared" si="37"/>
        <v>0</v>
      </c>
      <c r="G417">
        <f t="shared" si="38"/>
        <v>0</v>
      </c>
    </row>
    <row r="418" spans="1:7" x14ac:dyDescent="0.25">
      <c r="A418" s="4">
        <v>42611</v>
      </c>
      <c r="B418" s="10">
        <v>1.57</v>
      </c>
      <c r="C418">
        <f t="shared" si="34"/>
        <v>-5.0000000000000044E-2</v>
      </c>
      <c r="D418">
        <f t="shared" si="35"/>
        <v>0</v>
      </c>
      <c r="E418">
        <f t="shared" si="36"/>
        <v>1</v>
      </c>
      <c r="F418">
        <f t="shared" si="37"/>
        <v>0</v>
      </c>
      <c r="G418">
        <f t="shared" si="38"/>
        <v>0</v>
      </c>
    </row>
    <row r="419" spans="1:7" x14ac:dyDescent="0.25">
      <c r="A419" s="2">
        <v>42612</v>
      </c>
      <c r="B419" s="3">
        <v>1.57</v>
      </c>
      <c r="C419">
        <f t="shared" si="34"/>
        <v>0</v>
      </c>
      <c r="D419">
        <f t="shared" si="35"/>
        <v>1</v>
      </c>
      <c r="E419">
        <f t="shared" si="36"/>
        <v>0</v>
      </c>
      <c r="F419">
        <f t="shared" si="37"/>
        <v>0</v>
      </c>
      <c r="G419">
        <f t="shared" si="38"/>
        <v>0</v>
      </c>
    </row>
    <row r="420" spans="1:7" x14ac:dyDescent="0.25">
      <c r="A420" s="4">
        <v>42613</v>
      </c>
      <c r="B420" s="10">
        <v>1.58</v>
      </c>
      <c r="C420">
        <f t="shared" si="34"/>
        <v>1.0000000000000009E-2</v>
      </c>
      <c r="D420">
        <f t="shared" si="35"/>
        <v>1</v>
      </c>
      <c r="E420">
        <f t="shared" si="36"/>
        <v>0</v>
      </c>
      <c r="F420">
        <f t="shared" si="37"/>
        <v>0</v>
      </c>
      <c r="G420">
        <f t="shared" si="38"/>
        <v>0</v>
      </c>
    </row>
    <row r="421" spans="1:7" x14ac:dyDescent="0.25">
      <c r="A421" s="2">
        <v>42614</v>
      </c>
      <c r="B421" s="3">
        <v>1.57</v>
      </c>
      <c r="C421">
        <f t="shared" si="34"/>
        <v>-1.0000000000000009E-2</v>
      </c>
      <c r="D421">
        <f t="shared" si="35"/>
        <v>1</v>
      </c>
      <c r="E421">
        <f t="shared" si="36"/>
        <v>0</v>
      </c>
      <c r="F421">
        <f t="shared" si="37"/>
        <v>0</v>
      </c>
      <c r="G421">
        <f t="shared" si="38"/>
        <v>0</v>
      </c>
    </row>
    <row r="422" spans="1:7" x14ac:dyDescent="0.25">
      <c r="A422" s="4">
        <v>42615</v>
      </c>
      <c r="B422" s="10">
        <v>1.6</v>
      </c>
      <c r="C422">
        <f t="shared" si="34"/>
        <v>3.0000000000000027E-2</v>
      </c>
      <c r="D422">
        <f t="shared" si="35"/>
        <v>1</v>
      </c>
      <c r="E422">
        <f t="shared" si="36"/>
        <v>0</v>
      </c>
      <c r="F422">
        <f t="shared" si="37"/>
        <v>0</v>
      </c>
      <c r="G422">
        <f t="shared" si="38"/>
        <v>0</v>
      </c>
    </row>
    <row r="423" spans="1:7" x14ac:dyDescent="0.25">
      <c r="A423" s="2">
        <v>42619</v>
      </c>
      <c r="B423" s="3">
        <v>1.55</v>
      </c>
      <c r="C423">
        <f t="shared" si="34"/>
        <v>-5.0000000000000044E-2</v>
      </c>
      <c r="D423">
        <f t="shared" si="35"/>
        <v>0</v>
      </c>
      <c r="E423">
        <f t="shared" si="36"/>
        <v>1</v>
      </c>
      <c r="F423">
        <f t="shared" si="37"/>
        <v>0</v>
      </c>
      <c r="G423">
        <f t="shared" si="38"/>
        <v>0</v>
      </c>
    </row>
    <row r="424" spans="1:7" x14ac:dyDescent="0.25">
      <c r="A424" s="4">
        <v>42620</v>
      </c>
      <c r="B424" s="10">
        <v>1.54</v>
      </c>
      <c r="C424">
        <f t="shared" si="34"/>
        <v>-1.0000000000000009E-2</v>
      </c>
      <c r="D424">
        <f t="shared" si="35"/>
        <v>1</v>
      </c>
      <c r="E424">
        <f t="shared" si="36"/>
        <v>0</v>
      </c>
      <c r="F424">
        <f t="shared" si="37"/>
        <v>0</v>
      </c>
      <c r="G424">
        <f t="shared" si="38"/>
        <v>0</v>
      </c>
    </row>
    <row r="425" spans="1:7" x14ac:dyDescent="0.25">
      <c r="A425" s="2">
        <v>42621</v>
      </c>
      <c r="B425" s="3">
        <v>1.61</v>
      </c>
      <c r="C425">
        <f t="shared" si="34"/>
        <v>7.0000000000000062E-2</v>
      </c>
      <c r="D425">
        <f t="shared" si="35"/>
        <v>0</v>
      </c>
      <c r="E425">
        <f t="shared" si="36"/>
        <v>1</v>
      </c>
      <c r="F425">
        <f t="shared" si="37"/>
        <v>0</v>
      </c>
      <c r="G425">
        <f t="shared" si="38"/>
        <v>0</v>
      </c>
    </row>
    <row r="426" spans="1:7" x14ac:dyDescent="0.25">
      <c r="A426" s="4">
        <v>42622</v>
      </c>
      <c r="B426" s="10">
        <v>1.67</v>
      </c>
      <c r="C426">
        <f t="shared" si="34"/>
        <v>5.9999999999999831E-2</v>
      </c>
      <c r="D426">
        <f t="shared" si="35"/>
        <v>0</v>
      </c>
      <c r="E426">
        <f t="shared" si="36"/>
        <v>1</v>
      </c>
      <c r="F426">
        <f t="shared" si="37"/>
        <v>0</v>
      </c>
      <c r="G426">
        <f t="shared" si="38"/>
        <v>0</v>
      </c>
    </row>
    <row r="427" spans="1:7" x14ac:dyDescent="0.25">
      <c r="A427" s="2">
        <v>42625</v>
      </c>
      <c r="B427" s="3">
        <v>1.68</v>
      </c>
      <c r="C427">
        <f t="shared" si="34"/>
        <v>1.0000000000000009E-2</v>
      </c>
      <c r="D427">
        <f t="shared" si="35"/>
        <v>1</v>
      </c>
      <c r="E427">
        <f t="shared" si="36"/>
        <v>0</v>
      </c>
      <c r="F427">
        <f t="shared" si="37"/>
        <v>0</v>
      </c>
      <c r="G427">
        <f t="shared" si="38"/>
        <v>0</v>
      </c>
    </row>
    <row r="428" spans="1:7" x14ac:dyDescent="0.25">
      <c r="A428" s="4">
        <v>42626</v>
      </c>
      <c r="B428" s="10">
        <v>1.73</v>
      </c>
      <c r="C428">
        <f t="shared" si="34"/>
        <v>5.0000000000000044E-2</v>
      </c>
      <c r="D428">
        <f t="shared" si="35"/>
        <v>0</v>
      </c>
      <c r="E428">
        <f t="shared" si="36"/>
        <v>1</v>
      </c>
      <c r="F428">
        <f t="shared" si="37"/>
        <v>0</v>
      </c>
      <c r="G428">
        <f t="shared" si="38"/>
        <v>0</v>
      </c>
    </row>
    <row r="429" spans="1:7" x14ac:dyDescent="0.25">
      <c r="A429" s="2">
        <v>42627</v>
      </c>
      <c r="B429" s="3">
        <v>1.7</v>
      </c>
      <c r="C429">
        <f t="shared" si="34"/>
        <v>-3.0000000000000027E-2</v>
      </c>
      <c r="D429">
        <f t="shared" si="35"/>
        <v>1</v>
      </c>
      <c r="E429">
        <f t="shared" si="36"/>
        <v>0</v>
      </c>
      <c r="F429">
        <f t="shared" si="37"/>
        <v>0</v>
      </c>
      <c r="G429">
        <f t="shared" si="38"/>
        <v>0</v>
      </c>
    </row>
    <row r="430" spans="1:7" x14ac:dyDescent="0.25">
      <c r="A430" s="4">
        <v>42628</v>
      </c>
      <c r="B430" s="10">
        <v>1.71</v>
      </c>
      <c r="C430">
        <f t="shared" si="34"/>
        <v>1.0000000000000009E-2</v>
      </c>
      <c r="D430">
        <f t="shared" si="35"/>
        <v>1</v>
      </c>
      <c r="E430">
        <f t="shared" si="36"/>
        <v>0</v>
      </c>
      <c r="F430">
        <f t="shared" si="37"/>
        <v>0</v>
      </c>
      <c r="G430">
        <f t="shared" si="38"/>
        <v>0</v>
      </c>
    </row>
    <row r="431" spans="1:7" x14ac:dyDescent="0.25">
      <c r="A431" s="2">
        <v>42629</v>
      </c>
      <c r="B431" s="3">
        <v>1.7</v>
      </c>
      <c r="C431">
        <f t="shared" si="34"/>
        <v>-1.0000000000000009E-2</v>
      </c>
      <c r="D431">
        <f t="shared" si="35"/>
        <v>1</v>
      </c>
      <c r="E431">
        <f t="shared" si="36"/>
        <v>0</v>
      </c>
      <c r="F431">
        <f t="shared" si="37"/>
        <v>0</v>
      </c>
      <c r="G431">
        <f t="shared" si="38"/>
        <v>0</v>
      </c>
    </row>
    <row r="432" spans="1:7" x14ac:dyDescent="0.25">
      <c r="A432" s="4">
        <v>42632</v>
      </c>
      <c r="B432" s="10">
        <v>1.7</v>
      </c>
      <c r="C432">
        <f t="shared" si="34"/>
        <v>0</v>
      </c>
      <c r="D432">
        <f t="shared" si="35"/>
        <v>1</v>
      </c>
      <c r="E432">
        <f t="shared" si="36"/>
        <v>0</v>
      </c>
      <c r="F432">
        <f t="shared" si="37"/>
        <v>0</v>
      </c>
      <c r="G432">
        <f t="shared" si="38"/>
        <v>0</v>
      </c>
    </row>
    <row r="433" spans="1:7" x14ac:dyDescent="0.25">
      <c r="A433" s="2">
        <v>42633</v>
      </c>
      <c r="B433" s="3">
        <v>1.69</v>
      </c>
      <c r="C433">
        <f t="shared" si="34"/>
        <v>-1.0000000000000009E-2</v>
      </c>
      <c r="D433">
        <f t="shared" si="35"/>
        <v>1</v>
      </c>
      <c r="E433">
        <f t="shared" si="36"/>
        <v>0</v>
      </c>
      <c r="F433">
        <f t="shared" si="37"/>
        <v>0</v>
      </c>
      <c r="G433">
        <f t="shared" si="38"/>
        <v>0</v>
      </c>
    </row>
    <row r="434" spans="1:7" x14ac:dyDescent="0.25">
      <c r="A434" s="4">
        <v>42634</v>
      </c>
      <c r="B434" s="10">
        <v>1.66</v>
      </c>
      <c r="C434">
        <f t="shared" si="34"/>
        <v>-3.0000000000000027E-2</v>
      </c>
      <c r="D434">
        <f t="shared" si="35"/>
        <v>1</v>
      </c>
      <c r="E434">
        <f t="shared" si="36"/>
        <v>0</v>
      </c>
      <c r="F434">
        <f t="shared" si="37"/>
        <v>0</v>
      </c>
      <c r="G434">
        <f t="shared" si="38"/>
        <v>0</v>
      </c>
    </row>
    <row r="435" spans="1:7" x14ac:dyDescent="0.25">
      <c r="A435" s="2">
        <v>42635</v>
      </c>
      <c r="B435" s="3">
        <v>1.63</v>
      </c>
      <c r="C435">
        <f t="shared" si="34"/>
        <v>-3.0000000000000027E-2</v>
      </c>
      <c r="D435">
        <f t="shared" si="35"/>
        <v>1</v>
      </c>
      <c r="E435">
        <f t="shared" si="36"/>
        <v>0</v>
      </c>
      <c r="F435">
        <f t="shared" si="37"/>
        <v>0</v>
      </c>
      <c r="G435">
        <f t="shared" si="38"/>
        <v>0</v>
      </c>
    </row>
    <row r="436" spans="1:7" x14ac:dyDescent="0.25">
      <c r="A436" s="4">
        <v>42636</v>
      </c>
      <c r="B436" s="10">
        <v>1.62</v>
      </c>
      <c r="C436">
        <f t="shared" si="34"/>
        <v>-9.9999999999997868E-3</v>
      </c>
      <c r="D436">
        <f t="shared" si="35"/>
        <v>1</v>
      </c>
      <c r="E436">
        <f t="shared" si="36"/>
        <v>0</v>
      </c>
      <c r="F436">
        <f t="shared" si="37"/>
        <v>0</v>
      </c>
      <c r="G436">
        <f t="shared" si="38"/>
        <v>0</v>
      </c>
    </row>
    <row r="437" spans="1:7" x14ac:dyDescent="0.25">
      <c r="A437" s="2">
        <v>42639</v>
      </c>
      <c r="B437" s="3">
        <v>1.59</v>
      </c>
      <c r="C437">
        <f t="shared" si="34"/>
        <v>-3.0000000000000027E-2</v>
      </c>
      <c r="D437">
        <f t="shared" si="35"/>
        <v>1</v>
      </c>
      <c r="E437">
        <f t="shared" si="36"/>
        <v>0</v>
      </c>
      <c r="F437">
        <f t="shared" si="37"/>
        <v>0</v>
      </c>
      <c r="G437">
        <f t="shared" si="38"/>
        <v>0</v>
      </c>
    </row>
    <row r="438" spans="1:7" x14ac:dyDescent="0.25">
      <c r="A438" s="4">
        <v>42640</v>
      </c>
      <c r="B438" s="10">
        <v>1.56</v>
      </c>
      <c r="C438">
        <f t="shared" si="34"/>
        <v>-3.0000000000000027E-2</v>
      </c>
      <c r="D438">
        <f t="shared" si="35"/>
        <v>1</v>
      </c>
      <c r="E438">
        <f t="shared" si="36"/>
        <v>0</v>
      </c>
      <c r="F438">
        <f t="shared" si="37"/>
        <v>0</v>
      </c>
      <c r="G438">
        <f t="shared" si="38"/>
        <v>0</v>
      </c>
    </row>
    <row r="439" spans="1:7" x14ac:dyDescent="0.25">
      <c r="A439" s="2">
        <v>42641</v>
      </c>
      <c r="B439" s="3">
        <v>1.57</v>
      </c>
      <c r="C439">
        <f t="shared" si="34"/>
        <v>1.0000000000000009E-2</v>
      </c>
      <c r="D439">
        <f t="shared" si="35"/>
        <v>1</v>
      </c>
      <c r="E439">
        <f t="shared" si="36"/>
        <v>0</v>
      </c>
      <c r="F439">
        <f t="shared" si="37"/>
        <v>0</v>
      </c>
      <c r="G439">
        <f t="shared" si="38"/>
        <v>0</v>
      </c>
    </row>
    <row r="440" spans="1:7" x14ac:dyDescent="0.25">
      <c r="A440" s="4">
        <v>42642</v>
      </c>
      <c r="B440" s="10">
        <v>1.56</v>
      </c>
      <c r="C440">
        <f t="shared" si="34"/>
        <v>-1.0000000000000009E-2</v>
      </c>
      <c r="D440">
        <f t="shared" si="35"/>
        <v>1</v>
      </c>
      <c r="E440">
        <f t="shared" si="36"/>
        <v>0</v>
      </c>
      <c r="F440">
        <f t="shared" si="37"/>
        <v>0</v>
      </c>
      <c r="G440">
        <f t="shared" si="38"/>
        <v>0</v>
      </c>
    </row>
    <row r="441" spans="1:7" x14ac:dyDescent="0.25">
      <c r="A441" s="2">
        <v>42643</v>
      </c>
      <c r="B441" s="3">
        <v>1.6</v>
      </c>
      <c r="C441">
        <f t="shared" si="34"/>
        <v>4.0000000000000036E-2</v>
      </c>
      <c r="D441">
        <f t="shared" si="35"/>
        <v>1</v>
      </c>
      <c r="E441">
        <f t="shared" si="36"/>
        <v>0</v>
      </c>
      <c r="F441">
        <f t="shared" si="37"/>
        <v>0</v>
      </c>
      <c r="G441">
        <f t="shared" si="38"/>
        <v>0</v>
      </c>
    </row>
    <row r="442" spans="1:7" x14ac:dyDescent="0.25">
      <c r="A442" s="4">
        <v>42646</v>
      </c>
      <c r="B442" s="10">
        <v>1.63</v>
      </c>
      <c r="C442">
        <f t="shared" si="34"/>
        <v>2.9999999999999805E-2</v>
      </c>
      <c r="D442">
        <f t="shared" si="35"/>
        <v>1</v>
      </c>
      <c r="E442">
        <f t="shared" si="36"/>
        <v>0</v>
      </c>
      <c r="F442">
        <f t="shared" si="37"/>
        <v>0</v>
      </c>
      <c r="G442">
        <f t="shared" si="38"/>
        <v>0</v>
      </c>
    </row>
    <row r="443" spans="1:7" x14ac:dyDescent="0.25">
      <c r="A443" s="2">
        <v>42647</v>
      </c>
      <c r="B443" s="3">
        <v>1.69</v>
      </c>
      <c r="C443">
        <f t="shared" si="34"/>
        <v>6.0000000000000053E-2</v>
      </c>
      <c r="D443">
        <f t="shared" si="35"/>
        <v>0</v>
      </c>
      <c r="E443">
        <f t="shared" si="36"/>
        <v>1</v>
      </c>
      <c r="F443">
        <f t="shared" si="37"/>
        <v>0</v>
      </c>
      <c r="G443">
        <f t="shared" si="38"/>
        <v>0</v>
      </c>
    </row>
    <row r="444" spans="1:7" x14ac:dyDescent="0.25">
      <c r="A444" s="4">
        <v>42648</v>
      </c>
      <c r="B444" s="10">
        <v>1.72</v>
      </c>
      <c r="C444">
        <f t="shared" si="34"/>
        <v>3.0000000000000027E-2</v>
      </c>
      <c r="D444">
        <f t="shared" si="35"/>
        <v>1</v>
      </c>
      <c r="E444">
        <f t="shared" si="36"/>
        <v>0</v>
      </c>
      <c r="F444">
        <f t="shared" si="37"/>
        <v>0</v>
      </c>
      <c r="G444">
        <f t="shared" si="38"/>
        <v>0</v>
      </c>
    </row>
    <row r="445" spans="1:7" x14ac:dyDescent="0.25">
      <c r="A445" s="2">
        <v>42649</v>
      </c>
      <c r="B445" s="3">
        <v>1.75</v>
      </c>
      <c r="C445">
        <f t="shared" ref="C445:C453" si="39">B445-B444</f>
        <v>3.0000000000000027E-2</v>
      </c>
      <c r="D445">
        <f t="shared" ref="D445:D453" si="40">IF(INT(ABS(C445)*100/5)=0,1,0)</f>
        <v>1</v>
      </c>
      <c r="E445">
        <f t="shared" ref="E445:E453" si="41">IF(INT(ABS(C445)*100/5)=1,1,0)</f>
        <v>0</v>
      </c>
      <c r="F445">
        <f t="shared" ref="F445:F453" si="42">IF(INT(ABS(C445)*100/5)=2,1,0)</f>
        <v>0</v>
      </c>
      <c r="G445">
        <f t="shared" ref="G445:G453" si="43">IF(INT(ABS(C445)*100/5)=13,1,0)</f>
        <v>0</v>
      </c>
    </row>
    <row r="446" spans="1:7" x14ac:dyDescent="0.25">
      <c r="A446" s="4">
        <v>42650</v>
      </c>
      <c r="B446" s="10">
        <v>1.73</v>
      </c>
      <c r="C446">
        <f t="shared" si="39"/>
        <v>-2.0000000000000018E-2</v>
      </c>
      <c r="D446">
        <f t="shared" si="40"/>
        <v>1</v>
      </c>
      <c r="E446">
        <f t="shared" si="41"/>
        <v>0</v>
      </c>
      <c r="F446">
        <f t="shared" si="42"/>
        <v>0</v>
      </c>
      <c r="G446">
        <f t="shared" si="43"/>
        <v>0</v>
      </c>
    </row>
    <row r="447" spans="1:7" x14ac:dyDescent="0.25">
      <c r="A447" s="2">
        <v>42654</v>
      </c>
      <c r="B447" s="3">
        <v>1.77</v>
      </c>
      <c r="C447">
        <f t="shared" si="39"/>
        <v>4.0000000000000036E-2</v>
      </c>
      <c r="D447">
        <f t="shared" si="40"/>
        <v>1</v>
      </c>
      <c r="E447">
        <f t="shared" si="41"/>
        <v>0</v>
      </c>
      <c r="F447">
        <f t="shared" si="42"/>
        <v>0</v>
      </c>
      <c r="G447">
        <f t="shared" si="43"/>
        <v>0</v>
      </c>
    </row>
    <row r="448" spans="1:7" x14ac:dyDescent="0.25">
      <c r="A448" s="4">
        <v>42655</v>
      </c>
      <c r="B448" s="10">
        <v>1.79</v>
      </c>
      <c r="C448">
        <f t="shared" si="39"/>
        <v>2.0000000000000018E-2</v>
      </c>
      <c r="D448">
        <f t="shared" si="40"/>
        <v>1</v>
      </c>
      <c r="E448">
        <f t="shared" si="41"/>
        <v>0</v>
      </c>
      <c r="F448">
        <f t="shared" si="42"/>
        <v>0</v>
      </c>
      <c r="G448">
        <f t="shared" si="43"/>
        <v>0</v>
      </c>
    </row>
    <row r="449" spans="1:7" x14ac:dyDescent="0.25">
      <c r="A449" s="2">
        <v>42656</v>
      </c>
      <c r="B449" s="3">
        <v>1.75</v>
      </c>
      <c r="C449">
        <f t="shared" si="39"/>
        <v>-4.0000000000000036E-2</v>
      </c>
      <c r="D449">
        <f t="shared" si="40"/>
        <v>1</v>
      </c>
      <c r="E449">
        <f t="shared" si="41"/>
        <v>0</v>
      </c>
      <c r="F449">
        <f t="shared" si="42"/>
        <v>0</v>
      </c>
      <c r="G449">
        <f t="shared" si="43"/>
        <v>0</v>
      </c>
    </row>
    <row r="450" spans="1:7" x14ac:dyDescent="0.25">
      <c r="A450" s="4">
        <v>42657</v>
      </c>
      <c r="B450" s="10">
        <v>1.8</v>
      </c>
      <c r="C450">
        <f t="shared" si="39"/>
        <v>5.0000000000000044E-2</v>
      </c>
      <c r="D450">
        <f t="shared" si="40"/>
        <v>0</v>
      </c>
      <c r="E450">
        <f t="shared" si="41"/>
        <v>1</v>
      </c>
      <c r="F450">
        <f t="shared" si="42"/>
        <v>0</v>
      </c>
      <c r="G450">
        <f t="shared" si="43"/>
        <v>0</v>
      </c>
    </row>
    <row r="451" spans="1:7" x14ac:dyDescent="0.25">
      <c r="A451" s="2">
        <v>42660</v>
      </c>
      <c r="B451" s="3">
        <v>1.77</v>
      </c>
      <c r="C451">
        <f t="shared" si="39"/>
        <v>-3.0000000000000027E-2</v>
      </c>
      <c r="D451">
        <f t="shared" si="40"/>
        <v>1</v>
      </c>
      <c r="E451">
        <f t="shared" si="41"/>
        <v>0</v>
      </c>
      <c r="F451">
        <f t="shared" si="42"/>
        <v>0</v>
      </c>
      <c r="G451">
        <f t="shared" si="43"/>
        <v>0</v>
      </c>
    </row>
    <row r="452" spans="1:7" x14ac:dyDescent="0.25">
      <c r="A452" s="4">
        <v>42661</v>
      </c>
      <c r="B452" s="10">
        <v>1.75</v>
      </c>
      <c r="C452">
        <f t="shared" si="39"/>
        <v>-2.0000000000000018E-2</v>
      </c>
      <c r="D452">
        <f t="shared" si="40"/>
        <v>1</v>
      </c>
      <c r="E452">
        <f t="shared" si="41"/>
        <v>0</v>
      </c>
      <c r="F452">
        <f t="shared" si="42"/>
        <v>0</v>
      </c>
      <c r="G452">
        <f t="shared" si="43"/>
        <v>0</v>
      </c>
    </row>
    <row r="453" spans="1:7" x14ac:dyDescent="0.25">
      <c r="A453" s="2">
        <v>42662</v>
      </c>
      <c r="B453" s="3">
        <v>1.76</v>
      </c>
      <c r="C453">
        <f t="shared" si="39"/>
        <v>1.0000000000000009E-2</v>
      </c>
      <c r="D453">
        <f t="shared" si="40"/>
        <v>1</v>
      </c>
      <c r="E453">
        <f t="shared" si="41"/>
        <v>0</v>
      </c>
      <c r="F453">
        <f t="shared" si="42"/>
        <v>0</v>
      </c>
      <c r="G453">
        <f t="shared" si="43"/>
        <v>0</v>
      </c>
    </row>
  </sheetData>
  <hyperlinks>
    <hyperlink ref="I1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workbookViewId="0">
      <selection activeCell="Z22" sqref="Z22"/>
    </sheetView>
  </sheetViews>
  <sheetFormatPr defaultRowHeight="15" x14ac:dyDescent="0.25"/>
  <cols>
    <col min="9" max="9" width="9.85546875" bestFit="1" customWidth="1"/>
  </cols>
  <sheetData>
    <row r="1" spans="1:20" s="8" customFormat="1" ht="75" x14ac:dyDescent="0.25">
      <c r="A1" s="8" t="s">
        <v>25</v>
      </c>
      <c r="B1" s="8" t="s">
        <v>27</v>
      </c>
      <c r="C1" s="8" t="s">
        <v>26</v>
      </c>
      <c r="E1" t="s">
        <v>25</v>
      </c>
      <c r="F1" s="8" t="s">
        <v>29</v>
      </c>
      <c r="I1" s="5" t="s">
        <v>28</v>
      </c>
    </row>
    <row r="2" spans="1:20" x14ac:dyDescent="0.25">
      <c r="A2">
        <v>1</v>
      </c>
      <c r="B2">
        <v>0.23</v>
      </c>
      <c r="C2">
        <v>0.14000000000000001</v>
      </c>
      <c r="E2">
        <v>1</v>
      </c>
      <c r="F2">
        <f t="shared" ref="F2:F12" si="0">(B2-C2)*100</f>
        <v>9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</row>
    <row r="3" spans="1:20" x14ac:dyDescent="0.25">
      <c r="A3">
        <v>2</v>
      </c>
      <c r="B3">
        <v>0.33</v>
      </c>
      <c r="C3">
        <v>0.16</v>
      </c>
      <c r="E3">
        <v>2</v>
      </c>
      <c r="F3">
        <f t="shared" si="0"/>
        <v>17</v>
      </c>
      <c r="I3" s="2">
        <v>42004</v>
      </c>
      <c r="J3" s="3">
        <v>0.03</v>
      </c>
      <c r="K3" s="3">
        <v>0.04</v>
      </c>
      <c r="L3" s="3">
        <v>0.12</v>
      </c>
      <c r="M3" s="3">
        <v>0.25</v>
      </c>
      <c r="N3" s="3">
        <v>0.67</v>
      </c>
      <c r="O3" s="3">
        <v>1.1000000000000001</v>
      </c>
      <c r="P3" s="3">
        <v>1.65</v>
      </c>
      <c r="Q3" s="3">
        <v>1.97</v>
      </c>
      <c r="R3" s="3">
        <v>2.17</v>
      </c>
      <c r="S3" s="3">
        <v>2.4700000000000002</v>
      </c>
      <c r="T3" s="3">
        <v>2.75</v>
      </c>
    </row>
    <row r="4" spans="1:20" x14ac:dyDescent="0.25">
      <c r="A4">
        <v>3</v>
      </c>
      <c r="B4">
        <v>0.49</v>
      </c>
      <c r="C4">
        <v>0.49</v>
      </c>
      <c r="E4">
        <v>3</v>
      </c>
      <c r="F4">
        <f t="shared" si="0"/>
        <v>0</v>
      </c>
      <c r="I4" s="2">
        <v>42094</v>
      </c>
      <c r="J4" s="3">
        <v>0.05</v>
      </c>
      <c r="K4" s="3">
        <v>0.03</v>
      </c>
      <c r="L4" s="3">
        <v>0.14000000000000001</v>
      </c>
      <c r="M4" s="3">
        <v>0.26</v>
      </c>
      <c r="N4" s="3">
        <v>0.56000000000000005</v>
      </c>
      <c r="O4" s="3">
        <v>0.89</v>
      </c>
      <c r="P4" s="3">
        <v>1.37</v>
      </c>
      <c r="Q4" s="3">
        <v>1.71</v>
      </c>
      <c r="R4" s="3">
        <v>1.94</v>
      </c>
      <c r="S4" s="3">
        <v>2.31</v>
      </c>
      <c r="T4" s="3">
        <v>2.54</v>
      </c>
    </row>
    <row r="5" spans="1:20" x14ac:dyDescent="0.25">
      <c r="A5">
        <v>4</v>
      </c>
      <c r="B5">
        <v>0.62</v>
      </c>
      <c r="C5">
        <v>0.65</v>
      </c>
      <c r="E5">
        <v>4</v>
      </c>
      <c r="F5">
        <f t="shared" si="0"/>
        <v>-3.0000000000000027</v>
      </c>
      <c r="I5" s="2">
        <v>42185</v>
      </c>
      <c r="J5" s="3">
        <v>0.02</v>
      </c>
      <c r="K5" s="3">
        <v>0.01</v>
      </c>
      <c r="L5" s="3">
        <v>0.11</v>
      </c>
      <c r="M5" s="3">
        <v>0.28000000000000003</v>
      </c>
      <c r="N5" s="3">
        <v>0.64</v>
      </c>
      <c r="O5" s="3">
        <v>1.01</v>
      </c>
      <c r="P5" s="3">
        <v>1.63</v>
      </c>
      <c r="Q5" s="3">
        <v>2.0699999999999998</v>
      </c>
      <c r="R5" s="3">
        <v>2.35</v>
      </c>
      <c r="S5" s="3">
        <v>2.83</v>
      </c>
      <c r="T5" s="3">
        <v>3.11</v>
      </c>
    </row>
    <row r="6" spans="1:20" x14ac:dyDescent="0.25">
      <c r="A6">
        <v>5</v>
      </c>
      <c r="B6">
        <v>0.78</v>
      </c>
      <c r="C6">
        <v>1.06</v>
      </c>
      <c r="E6">
        <v>5</v>
      </c>
      <c r="F6">
        <f t="shared" si="0"/>
        <v>-28.000000000000004</v>
      </c>
      <c r="I6" s="2">
        <v>42277</v>
      </c>
      <c r="J6" s="3">
        <v>0</v>
      </c>
      <c r="K6" s="3">
        <v>0</v>
      </c>
      <c r="L6" s="3">
        <v>0.08</v>
      </c>
      <c r="M6" s="3">
        <v>0.33</v>
      </c>
      <c r="N6" s="3">
        <v>0.64</v>
      </c>
      <c r="O6" s="3">
        <v>0.92</v>
      </c>
      <c r="P6" s="3">
        <v>1.37</v>
      </c>
      <c r="Q6" s="3">
        <v>1.75</v>
      </c>
      <c r="R6" s="3">
        <v>2.06</v>
      </c>
      <c r="S6" s="3">
        <v>2.5099999999999998</v>
      </c>
      <c r="T6" s="3">
        <v>2.87</v>
      </c>
    </row>
    <row r="7" spans="1:20" x14ac:dyDescent="0.25">
      <c r="A7">
        <v>6</v>
      </c>
      <c r="B7">
        <v>0.91</v>
      </c>
      <c r="C7">
        <v>1.31</v>
      </c>
      <c r="E7">
        <v>6</v>
      </c>
      <c r="F7">
        <f t="shared" si="0"/>
        <v>-40</v>
      </c>
      <c r="I7" s="2">
        <v>42369</v>
      </c>
      <c r="J7" s="3">
        <v>0.14000000000000001</v>
      </c>
      <c r="K7" s="3">
        <v>0.16</v>
      </c>
      <c r="L7" s="3">
        <v>0.49</v>
      </c>
      <c r="M7" s="3">
        <v>0.65</v>
      </c>
      <c r="N7" s="3">
        <v>1.06</v>
      </c>
      <c r="O7" s="3">
        <v>1.31</v>
      </c>
      <c r="P7" s="3">
        <v>1.76</v>
      </c>
      <c r="Q7" s="3">
        <v>2.09</v>
      </c>
      <c r="R7" s="3">
        <v>2.27</v>
      </c>
      <c r="S7" s="3">
        <v>2.67</v>
      </c>
      <c r="T7" s="3">
        <v>3.01</v>
      </c>
    </row>
    <row r="8" spans="1:20" x14ac:dyDescent="0.25">
      <c r="A8">
        <v>8</v>
      </c>
      <c r="B8">
        <v>1.22</v>
      </c>
      <c r="C8">
        <v>1.76</v>
      </c>
      <c r="E8">
        <v>8</v>
      </c>
      <c r="F8">
        <f t="shared" si="0"/>
        <v>-54</v>
      </c>
      <c r="I8" s="2">
        <v>42429</v>
      </c>
      <c r="J8" s="3">
        <v>0.23</v>
      </c>
      <c r="K8" s="3">
        <v>0.33</v>
      </c>
      <c r="L8" s="3">
        <v>0.49</v>
      </c>
      <c r="M8" s="3">
        <v>0.62</v>
      </c>
      <c r="N8" s="3">
        <v>0.78</v>
      </c>
      <c r="O8" s="3">
        <v>0.91</v>
      </c>
      <c r="P8" s="3">
        <v>1.22</v>
      </c>
      <c r="Q8" s="3">
        <v>1.52</v>
      </c>
      <c r="R8" s="3">
        <v>1.74</v>
      </c>
      <c r="S8" s="3">
        <v>2.19</v>
      </c>
      <c r="T8" s="3">
        <v>2.61</v>
      </c>
    </row>
    <row r="9" spans="1:20" x14ac:dyDescent="0.25">
      <c r="A9">
        <v>10</v>
      </c>
      <c r="B9">
        <v>1.52</v>
      </c>
      <c r="C9">
        <v>2.09</v>
      </c>
      <c r="E9">
        <v>10</v>
      </c>
      <c r="F9">
        <f t="shared" si="0"/>
        <v>-56.999999999999986</v>
      </c>
    </row>
    <row r="10" spans="1:20" x14ac:dyDescent="0.25">
      <c r="A10">
        <v>12</v>
      </c>
      <c r="B10">
        <v>1.74</v>
      </c>
      <c r="C10">
        <v>2.27</v>
      </c>
      <c r="E10">
        <v>12</v>
      </c>
      <c r="F10">
        <f t="shared" si="0"/>
        <v>-53</v>
      </c>
      <c r="I10" s="2">
        <v>42429</v>
      </c>
      <c r="J10" s="9" t="str">
        <f>[1]!YBHIST("1 month Treasury",$I10,"YldtoMat","govt","")</f>
        <v>NA</v>
      </c>
      <c r="K10" s="9">
        <f>[1]!YBHIST("3 month Treasury",$I10,"YldtoMat","govt","")</f>
        <v>0.32688</v>
      </c>
      <c r="L10" s="9">
        <f>[1]!YBHIST("6 month Treasury",$I10,"YldtoMat","govt","")</f>
        <v>0.48021799999999998</v>
      </c>
      <c r="M10" s="9">
        <f>[1]!YBHIST("1 Year Treasury",$I10,"YldtoMat","govt","")</f>
        <v>0.61169600000000002</v>
      </c>
      <c r="N10" s="9">
        <f>[1]!YBHIST("2 Year Treasury",$I10,"YldtoMat","govt","")</f>
        <v>0.78600000000000003</v>
      </c>
      <c r="O10" s="9">
        <f>[1]!YBHIST("3 Year Treasury",$I10,"YldtoMat","govt","")</f>
        <v>0.90600000000000003</v>
      </c>
      <c r="P10" s="9">
        <f>[1]!YBHIST("5 Year Treasury",$I10,"YldtoMat","govt","")</f>
        <v>1.2190000000000001</v>
      </c>
      <c r="Q10" s="9">
        <f>[1]!YBHIST("7 Year Treasury",$I10,"YldtoMat","govt","")</f>
        <v>1.5209999999999999</v>
      </c>
      <c r="R10" s="9">
        <f>[1]!YBHIST("10 Year Treasury",$I10,"YldtoMat","govt","")</f>
        <v>1.738</v>
      </c>
      <c r="S10" s="9" t="str">
        <f>[1]!YBHIST("20 Year Treasury",$I10,"YldtoMat","govt","")</f>
        <v>NA</v>
      </c>
      <c r="T10" s="9">
        <f>[1]!YBHIST("30 Year Treasury",$I10,"YldtoMat","govt","")</f>
        <v>2.6160000000000001</v>
      </c>
    </row>
    <row r="11" spans="1:20" x14ac:dyDescent="0.25">
      <c r="A11">
        <v>16</v>
      </c>
      <c r="B11">
        <v>2.19</v>
      </c>
      <c r="C11">
        <v>2.67</v>
      </c>
      <c r="E11">
        <v>16</v>
      </c>
      <c r="F11">
        <f t="shared" si="0"/>
        <v>-48</v>
      </c>
    </row>
    <row r="12" spans="1:20" x14ac:dyDescent="0.25">
      <c r="A12">
        <v>20</v>
      </c>
      <c r="B12">
        <v>2.61</v>
      </c>
      <c r="C12">
        <v>3.01</v>
      </c>
      <c r="E12">
        <v>20</v>
      </c>
      <c r="F12">
        <f t="shared" si="0"/>
        <v>-39.999999999999993</v>
      </c>
    </row>
  </sheetData>
  <hyperlinks>
    <hyperlink ref="I1" r:id="rId1"/>
  </hyperlinks>
  <pageMargins left="0.7" right="0.7" top="0.75" bottom="0.75" header="0.3" footer="0.3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Distribution of 1 day yield chg</vt:lpstr>
      <vt:lpstr>Treasury Yield Curve Level&amp;chg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2016-10-20T14:30:12Z</dcterms:modified>
</cp:coreProperties>
</file>