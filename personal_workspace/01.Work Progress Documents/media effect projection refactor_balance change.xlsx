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30675" windowHeight="197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M47" i="1" l="1"/>
  <c r="L49" i="1"/>
  <c r="L48" i="1"/>
  <c r="L47" i="1"/>
  <c r="K48" i="1"/>
  <c r="K47" i="1"/>
  <c r="K49" i="1" s="1"/>
  <c r="N47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7" i="1"/>
  <c r="G47" i="1"/>
  <c r="H47" i="1"/>
  <c r="I47" i="1"/>
  <c r="F47" i="1"/>
  <c r="H3" i="1"/>
  <c r="I3" i="1"/>
  <c r="G3" i="1"/>
</calcChain>
</file>

<file path=xl/sharedStrings.xml><?xml version="1.0" encoding="utf-8"?>
<sst xmlns="http://schemas.openxmlformats.org/spreadsheetml/2006/main" count="56" uniqueCount="50">
  <si>
    <t>[0]</t>
  </si>
  <si>
    <t>double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</si>
  <si>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</si>
  <si>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</si>
  <si>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</si>
  <si>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</si>
  <si>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</si>
  <si>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</si>
  <si>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</si>
  <si>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</si>
  <si>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</si>
  <si>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</si>
  <si>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</si>
  <si>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</si>
  <si>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</si>
  <si>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</si>
  <si>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</si>
  <si>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</si>
  <si>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</si>
  <si>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</si>
  <si>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</si>
  <si>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</si>
  <si>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</si>
  <si>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</si>
  <si>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</si>
  <si>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</si>
  <si>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</si>
  <si>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</si>
  <si>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</si>
  <si>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</si>
  <si>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</si>
  <si>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</si>
  <si>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</si>
  <si>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</si>
  <si>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</si>
  <si>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</si>
  <si>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</si>
  <si>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</si>
  <si>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</si>
  <si>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</si>
  <si>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avg wac</t>
  </si>
  <si>
    <t>Mtg Rate</t>
  </si>
  <si>
    <t>Triger</t>
  </si>
  <si>
    <t>Media Effect</t>
  </si>
  <si>
    <t>balance</t>
  </si>
  <si>
    <t>total</t>
  </si>
  <si>
    <t>% bal</t>
  </si>
  <si>
    <t>wac bucket from</t>
  </si>
  <si>
    <t>to</t>
  </si>
  <si>
    <t>media_balance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</si>
</sst>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" fontId="0" fillId="0" borderId="0" xfId="0" applyNumberFormat="1"/>
    <xf numFmtId="164" fontId="0" fillId="0" borderId="0" xfId="0" applyNumberFormat="1"/>
    <xf numFmtId="2" fontId="0" fillId="0" borderId="0" xfId="0" applyNumberFormat="1"/>
    <xf numFmtId="166" fontId="0" fillId="0" borderId="0" xfId="1" applyNumberFormat="1" applyFont="1"/>
    <xf numFmtId="11" fontId="0" fillId="0" borderId="0" xfId="0" applyNumberFormat="1"/>
    <xf numFmtId="166" fontId="0" fillId="2" borderId="0" xfId="1" applyNumberFormat="1" applyFont="1" applyFill="1"/>
    <xf numFmtId="166" fontId="0" fillId="3" borderId="0" xfId="1" applyNumberFormat="1" applyFont="1" applyFill="1"/>
    <xf numFmtId="166" fontId="0" fillId="0" borderId="0" xfId="0" applyNumberFormat="1"/>
    <xf numFmtId="164" fontId="2" fillId="0" borderId="0" xfId="0" applyNumberFormat="1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workbookViewId="0">
      <selection activeCell="O54" sqref="O54"/>
    </sheetView>
  </sheetViews>
  <sheetFormatPr defaultRowHeight="15" x14ac:dyDescent="0.25"/>
  <cols>
    <col min="4" max="4" width="0" hidden="1" customWidth="1"/>
    <col min="6" max="6" width="8.5703125" bestFit="1" customWidth="1"/>
    <col min="12" max="12" width="10.28515625" customWidth="1"/>
  </cols>
  <sheetData>
    <row r="1" spans="1:23" x14ac:dyDescent="0.25">
      <c r="F1" s="1">
        <v>42917</v>
      </c>
      <c r="G1" s="1">
        <v>42948</v>
      </c>
      <c r="H1" s="1">
        <v>42979</v>
      </c>
      <c r="I1" s="1">
        <v>43009</v>
      </c>
    </row>
    <row r="2" spans="1:23" x14ac:dyDescent="0.25">
      <c r="E2" t="s">
        <v>41</v>
      </c>
      <c r="G2" s="2">
        <v>3.8467499999999899</v>
      </c>
      <c r="H2" s="2">
        <v>3.7529524718444902</v>
      </c>
      <c r="I2" s="2">
        <v>3.7495945668021999</v>
      </c>
    </row>
    <row r="3" spans="1:23" x14ac:dyDescent="0.25">
      <c r="E3" t="s">
        <v>42</v>
      </c>
      <c r="G3" s="9">
        <f>G2+0.5</f>
        <v>4.3467499999999895</v>
      </c>
      <c r="H3" s="9">
        <f t="shared" ref="H3:I3" si="0">H2+0.5</f>
        <v>4.2529524718444902</v>
      </c>
      <c r="I3" s="9">
        <f t="shared" si="0"/>
        <v>4.2495945668021999</v>
      </c>
    </row>
    <row r="4" spans="1:23" x14ac:dyDescent="0.25">
      <c r="E4" t="s">
        <v>43</v>
      </c>
      <c r="F4">
        <v>34.189999999999898</v>
      </c>
      <c r="G4" s="3">
        <v>38.7267093331102</v>
      </c>
      <c r="H4" s="3">
        <v>32.624838298590603</v>
      </c>
      <c r="I4" s="3">
        <v>45.363053673958497</v>
      </c>
    </row>
    <row r="5" spans="1:23" x14ac:dyDescent="0.25">
      <c r="G5">
        <v>36.756906505112703</v>
      </c>
      <c r="H5">
        <v>38.876222101637197</v>
      </c>
      <c r="I5">
        <v>38.406400857988601</v>
      </c>
    </row>
    <row r="6" spans="1:23" x14ac:dyDescent="0.25">
      <c r="B6" t="s">
        <v>47</v>
      </c>
      <c r="C6" t="s">
        <v>48</v>
      </c>
      <c r="D6" t="s">
        <v>40</v>
      </c>
      <c r="F6" t="s">
        <v>44</v>
      </c>
      <c r="G6" t="s">
        <v>44</v>
      </c>
      <c r="H6" t="s">
        <v>44</v>
      </c>
      <c r="I6" t="s">
        <v>44</v>
      </c>
      <c r="K6" t="s">
        <v>46</v>
      </c>
      <c r="L6" t="s">
        <v>46</v>
      </c>
      <c r="M6" t="s">
        <v>46</v>
      </c>
      <c r="N6" t="s">
        <v>46</v>
      </c>
      <c r="U6" t="s">
        <v>49</v>
      </c>
      <c r="V6">
        <v>293456219137.82501</v>
      </c>
      <c r="W6" t="s">
        <v>1</v>
      </c>
    </row>
    <row r="7" spans="1:23" x14ac:dyDescent="0.25">
      <c r="A7" t="s">
        <v>0</v>
      </c>
      <c r="B7">
        <v>0</v>
      </c>
      <c r="C7">
        <v>3.25</v>
      </c>
      <c r="D7">
        <v>3.1299999999999901</v>
      </c>
      <c r="F7" s="5">
        <v>10852419466.2099</v>
      </c>
      <c r="G7" s="5">
        <v>10793473414.7705</v>
      </c>
      <c r="H7" s="5">
        <v>10735169844.7889</v>
      </c>
      <c r="I7" s="5">
        <v>10683532706.384001</v>
      </c>
      <c r="J7">
        <v>3.25</v>
      </c>
      <c r="K7" s="4">
        <f>F7/F$47</f>
        <v>3.622586473093505E-3</v>
      </c>
      <c r="L7" s="4">
        <f t="shared" ref="L7:N22" si="1">G7/G$47</f>
        <v>3.6029100157605083E-3</v>
      </c>
      <c r="M7" s="4">
        <f t="shared" si="1"/>
        <v>3.5834480216304409E-3</v>
      </c>
      <c r="N7" s="4">
        <f t="shared" si="1"/>
        <v>3.5662113123715272E-3</v>
      </c>
    </row>
    <row r="8" spans="1:23" x14ac:dyDescent="0.25">
      <c r="A8" t="s">
        <v>2</v>
      </c>
      <c r="B8">
        <v>3.25</v>
      </c>
      <c r="C8">
        <v>3.375</v>
      </c>
      <c r="D8">
        <v>3.31</v>
      </c>
      <c r="F8" s="5">
        <v>9407810246.5699902</v>
      </c>
      <c r="G8" s="5">
        <v>9354922400.37397</v>
      </c>
      <c r="H8" s="5">
        <v>9303060259.6947193</v>
      </c>
      <c r="I8" s="5">
        <v>9256556579.4160805</v>
      </c>
      <c r="J8">
        <v>3.375</v>
      </c>
      <c r="K8" s="4">
        <f t="shared" ref="K8:K45" si="2">F8/F$47</f>
        <v>3.1403694122557938E-3</v>
      </c>
      <c r="L8" s="4">
        <f t="shared" si="1"/>
        <v>3.1227152111057825E-3</v>
      </c>
      <c r="M8" s="4">
        <f t="shared" si="1"/>
        <v>3.1054033950747768E-3</v>
      </c>
      <c r="N8" s="4">
        <f t="shared" si="1"/>
        <v>3.08988025724814E-3</v>
      </c>
    </row>
    <row r="9" spans="1:23" x14ac:dyDescent="0.25">
      <c r="A9" t="s">
        <v>3</v>
      </c>
      <c r="B9">
        <v>3.375</v>
      </c>
      <c r="C9">
        <v>3.5</v>
      </c>
      <c r="D9">
        <v>3.46</v>
      </c>
      <c r="F9" s="5">
        <v>68246244436.300003</v>
      </c>
      <c r="G9" s="5">
        <v>67814473145.7882</v>
      </c>
      <c r="H9" s="5">
        <v>67393737536.210899</v>
      </c>
      <c r="I9" s="5">
        <v>67011576159.385201</v>
      </c>
      <c r="J9">
        <v>3.5</v>
      </c>
      <c r="K9" s="4">
        <f t="shared" si="2"/>
        <v>2.2780903622841183E-2</v>
      </c>
      <c r="L9" s="4">
        <f t="shared" si="1"/>
        <v>2.2636776422326275E-2</v>
      </c>
      <c r="M9" s="4">
        <f t="shared" si="1"/>
        <v>2.2496332981787593E-2</v>
      </c>
      <c r="N9" s="4">
        <f t="shared" si="1"/>
        <v>2.2368765793794352E-2</v>
      </c>
    </row>
    <row r="10" spans="1:23" x14ac:dyDescent="0.25">
      <c r="A10" t="s">
        <v>4</v>
      </c>
      <c r="B10">
        <v>3.5</v>
      </c>
      <c r="C10">
        <v>3.625</v>
      </c>
      <c r="D10">
        <v>3.56</v>
      </c>
      <c r="F10" s="5">
        <v>342399544247.13</v>
      </c>
      <c r="G10" s="5">
        <v>340162856794.99902</v>
      </c>
      <c r="H10" s="5">
        <v>338008697704.06403</v>
      </c>
      <c r="I10" s="5">
        <v>336014123534.81702</v>
      </c>
      <c r="J10">
        <v>3.625</v>
      </c>
      <c r="K10" s="4">
        <f t="shared" si="2"/>
        <v>0.1142945092792494</v>
      </c>
      <c r="L10" s="4">
        <f t="shared" si="1"/>
        <v>0.11354789293863923</v>
      </c>
      <c r="M10" s="4">
        <f t="shared" si="1"/>
        <v>0.11282882493652135</v>
      </c>
      <c r="N10" s="4">
        <f t="shared" si="1"/>
        <v>0.11216302709968018</v>
      </c>
    </row>
    <row r="11" spans="1:23" x14ac:dyDescent="0.25">
      <c r="A11" t="s">
        <v>5</v>
      </c>
      <c r="B11">
        <v>3.625</v>
      </c>
      <c r="C11">
        <v>3.75</v>
      </c>
      <c r="D11">
        <v>3.68</v>
      </c>
      <c r="F11" s="5">
        <v>274463668554.95901</v>
      </c>
      <c r="G11" s="5">
        <v>272510419340.57401</v>
      </c>
      <c r="H11" s="5">
        <v>270662996705.51001</v>
      </c>
      <c r="I11" s="5">
        <v>299919399892.74597</v>
      </c>
      <c r="J11">
        <v>3.75</v>
      </c>
      <c r="K11" s="4">
        <f t="shared" si="2"/>
        <v>9.1617208140412229E-2</v>
      </c>
      <c r="L11" s="4">
        <f t="shared" si="1"/>
        <v>9.0965204759540022E-2</v>
      </c>
      <c r="M11" s="4">
        <f t="shared" si="1"/>
        <v>9.0348526767253856E-2</v>
      </c>
      <c r="N11" s="4">
        <f t="shared" si="1"/>
        <v>0.10011444585722659</v>
      </c>
    </row>
    <row r="12" spans="1:23" x14ac:dyDescent="0.25">
      <c r="A12" t="s">
        <v>6</v>
      </c>
      <c r="B12">
        <v>3.75</v>
      </c>
      <c r="C12">
        <v>3.875</v>
      </c>
      <c r="D12">
        <v>3.7999999999999901</v>
      </c>
      <c r="F12" s="5">
        <v>218102729579.07001</v>
      </c>
      <c r="G12" s="5">
        <v>250069881204.97601</v>
      </c>
      <c r="H12" s="5">
        <v>280686001029.89001</v>
      </c>
      <c r="I12" s="5">
        <v>278620510920.04901</v>
      </c>
      <c r="J12">
        <v>3.875</v>
      </c>
      <c r="K12" s="4">
        <f t="shared" si="2"/>
        <v>7.2803672985360834E-2</v>
      </c>
      <c r="L12" s="4">
        <f t="shared" si="1"/>
        <v>8.3474452107371588E-2</v>
      </c>
      <c r="M12" s="4">
        <f t="shared" si="1"/>
        <v>9.3694250732154857E-2</v>
      </c>
      <c r="N12" s="4">
        <f t="shared" si="1"/>
        <v>9.3004780835095002E-2</v>
      </c>
    </row>
    <row r="13" spans="1:23" x14ac:dyDescent="0.25">
      <c r="A13" t="s">
        <v>7</v>
      </c>
      <c r="B13">
        <v>3.875</v>
      </c>
      <c r="C13">
        <v>4</v>
      </c>
      <c r="D13">
        <v>3.9399999999999902</v>
      </c>
      <c r="F13" s="5">
        <v>272129413770.47</v>
      </c>
      <c r="G13" s="5">
        <v>269574880265.923</v>
      </c>
      <c r="H13" s="5">
        <v>267172013100.12399</v>
      </c>
      <c r="I13" s="5">
        <v>264845975139.05399</v>
      </c>
      <c r="J13">
        <v>4</v>
      </c>
      <c r="K13" s="4">
        <f t="shared" si="2"/>
        <v>9.0838023385033717E-2</v>
      </c>
      <c r="L13" s="4">
        <f t="shared" si="1"/>
        <v>8.9985308601252104E-2</v>
      </c>
      <c r="M13" s="4">
        <f t="shared" si="1"/>
        <v>8.918322072411404E-2</v>
      </c>
      <c r="N13" s="4">
        <f t="shared" si="1"/>
        <v>8.84067787813832E-2</v>
      </c>
    </row>
    <row r="14" spans="1:23" x14ac:dyDescent="0.25">
      <c r="A14" t="s">
        <v>8</v>
      </c>
      <c r="B14">
        <v>4</v>
      </c>
      <c r="C14">
        <v>4.125</v>
      </c>
      <c r="D14">
        <v>4.0599999999999898</v>
      </c>
      <c r="F14" s="5">
        <v>292128754542.789</v>
      </c>
      <c r="G14" s="5">
        <v>289023132661.79102</v>
      </c>
      <c r="H14" s="5">
        <v>286117213702.30798</v>
      </c>
      <c r="I14" s="5">
        <v>283265843453.10602</v>
      </c>
      <c r="J14">
        <v>4.125</v>
      </c>
      <c r="K14" s="4">
        <f t="shared" si="2"/>
        <v>9.7513893367590934E-2</v>
      </c>
      <c r="L14" s="4">
        <f t="shared" si="1"/>
        <v>9.6477222802867899E-2</v>
      </c>
      <c r="M14" s="4">
        <f t="shared" si="1"/>
        <v>9.5507213972366459E-2</v>
      </c>
      <c r="N14" s="4">
        <f t="shared" si="1"/>
        <v>9.4555413746923514E-2</v>
      </c>
    </row>
    <row r="15" spans="1:23" x14ac:dyDescent="0.25">
      <c r="A15" t="s">
        <v>9</v>
      </c>
      <c r="B15">
        <v>4.125</v>
      </c>
      <c r="C15">
        <v>4.25</v>
      </c>
      <c r="D15">
        <v>4.1699999999999902</v>
      </c>
      <c r="F15" s="5">
        <v>305857305504.42902</v>
      </c>
      <c r="G15" s="5">
        <v>301963526167.31403</v>
      </c>
      <c r="H15" s="5">
        <v>298328877467.60303</v>
      </c>
      <c r="I15" s="5">
        <v>294733531087.69299</v>
      </c>
      <c r="J15">
        <v>4.25</v>
      </c>
      <c r="K15" s="4">
        <f t="shared" si="2"/>
        <v>0.10209654548158821</v>
      </c>
      <c r="L15" s="4">
        <f t="shared" si="1"/>
        <v>0.10079678440989692</v>
      </c>
      <c r="M15" s="4">
        <f t="shared" si="1"/>
        <v>9.9583522311521872E-2</v>
      </c>
      <c r="N15" s="7">
        <f t="shared" si="1"/>
        <v>9.8383379504427063E-2</v>
      </c>
    </row>
    <row r="16" spans="1:23" x14ac:dyDescent="0.25">
      <c r="A16" t="s">
        <v>10</v>
      </c>
      <c r="B16">
        <v>4.25</v>
      </c>
      <c r="C16">
        <v>4.375</v>
      </c>
      <c r="D16">
        <v>4.2999999999999901</v>
      </c>
      <c r="E16" s="2"/>
      <c r="F16" s="5">
        <v>109171511844.35001</v>
      </c>
      <c r="G16" s="5">
        <v>107683709739.981</v>
      </c>
      <c r="H16" s="5">
        <v>106283150821.711</v>
      </c>
      <c r="I16" s="5">
        <v>104918416084.974</v>
      </c>
      <c r="J16">
        <v>4.375</v>
      </c>
      <c r="K16" s="7">
        <f t="shared" si="2"/>
        <v>3.644194212045402E-2</v>
      </c>
      <c r="L16" s="4">
        <f t="shared" si="1"/>
        <v>3.5945307080248588E-2</v>
      </c>
      <c r="M16" s="7">
        <f t="shared" si="1"/>
        <v>3.5477794208313186E-2</v>
      </c>
      <c r="N16" s="6">
        <f t="shared" si="1"/>
        <v>3.502223960944633E-2</v>
      </c>
    </row>
    <row r="17" spans="1:14" x14ac:dyDescent="0.25">
      <c r="A17" t="s">
        <v>11</v>
      </c>
      <c r="B17">
        <v>4.375</v>
      </c>
      <c r="C17">
        <v>4.5</v>
      </c>
      <c r="D17">
        <v>4.4299999999999899</v>
      </c>
      <c r="F17" s="5">
        <v>243797679171.54901</v>
      </c>
      <c r="G17" s="5">
        <v>240540162808.923</v>
      </c>
      <c r="H17" s="5">
        <v>237434988405.03601</v>
      </c>
      <c r="I17" s="5">
        <v>234465456552.25299</v>
      </c>
      <c r="J17">
        <v>4.5</v>
      </c>
      <c r="K17" s="6">
        <f t="shared" si="2"/>
        <v>8.1380762832500883E-2</v>
      </c>
      <c r="L17" s="7">
        <f t="shared" si="1"/>
        <v>8.0293389206013935E-2</v>
      </c>
      <c r="M17" s="6">
        <f t="shared" si="1"/>
        <v>7.9256868011165035E-2</v>
      </c>
      <c r="N17" s="6">
        <f t="shared" si="1"/>
        <v>7.8265624910508452E-2</v>
      </c>
    </row>
    <row r="18" spans="1:14" x14ac:dyDescent="0.25">
      <c r="A18" t="s">
        <v>12</v>
      </c>
      <c r="B18">
        <v>4.5</v>
      </c>
      <c r="C18">
        <v>4.625</v>
      </c>
      <c r="D18">
        <v>4.5499999999999901</v>
      </c>
      <c r="F18" s="5">
        <v>215635989812.01901</v>
      </c>
      <c r="G18" s="5">
        <v>212291969722.16101</v>
      </c>
      <c r="H18" s="5">
        <v>209096572356.80099</v>
      </c>
      <c r="I18" s="5">
        <v>206049203408.29099</v>
      </c>
      <c r="J18">
        <v>4.625</v>
      </c>
      <c r="K18" s="6">
        <f t="shared" si="2"/>
        <v>7.1980264146384074E-2</v>
      </c>
      <c r="L18" s="6">
        <f t="shared" si="1"/>
        <v>7.0864015186325804E-2</v>
      </c>
      <c r="M18" s="6">
        <f t="shared" si="1"/>
        <v>6.9797377160772722E-2</v>
      </c>
      <c r="N18" s="6">
        <f t="shared" si="1"/>
        <v>6.8780151687156496E-2</v>
      </c>
    </row>
    <row r="19" spans="1:14" x14ac:dyDescent="0.25">
      <c r="A19" t="s">
        <v>13</v>
      </c>
      <c r="B19">
        <v>4.625</v>
      </c>
      <c r="C19">
        <v>4.75</v>
      </c>
      <c r="D19">
        <v>4.6699999999999902</v>
      </c>
      <c r="F19" s="5">
        <v>114662742146.759</v>
      </c>
      <c r="G19" s="5">
        <v>112794825762.42599</v>
      </c>
      <c r="H19" s="5">
        <v>110995033281.467</v>
      </c>
      <c r="I19" s="5">
        <v>109302733546.44</v>
      </c>
      <c r="J19">
        <v>4.75</v>
      </c>
      <c r="K19" s="6">
        <f t="shared" si="2"/>
        <v>3.8274939515743171E-2</v>
      </c>
      <c r="L19" s="6">
        <f t="shared" si="1"/>
        <v>3.7651420617692513E-2</v>
      </c>
      <c r="M19" s="6">
        <f t="shared" si="1"/>
        <v>3.7050641785267367E-2</v>
      </c>
      <c r="N19" s="6">
        <f t="shared" si="1"/>
        <v>3.6485744515343706E-2</v>
      </c>
    </row>
    <row r="20" spans="1:14" x14ac:dyDescent="0.25">
      <c r="A20" t="s">
        <v>14</v>
      </c>
      <c r="B20">
        <v>4.75</v>
      </c>
      <c r="C20">
        <v>4.875</v>
      </c>
      <c r="D20">
        <v>4.82</v>
      </c>
      <c r="F20" s="5">
        <v>67475675149.379898</v>
      </c>
      <c r="G20" s="5">
        <v>66487677990.900002</v>
      </c>
      <c r="H20" s="5">
        <v>65515425206.591301</v>
      </c>
      <c r="I20" s="5">
        <v>64623374416.820099</v>
      </c>
      <c r="J20">
        <v>4.875</v>
      </c>
      <c r="K20" s="6">
        <f t="shared" si="2"/>
        <v>2.2523684125929037E-2</v>
      </c>
      <c r="L20" s="6">
        <f t="shared" si="1"/>
        <v>2.2193886226676424E-2</v>
      </c>
      <c r="M20" s="6">
        <f t="shared" si="1"/>
        <v>2.1869343870399967E-2</v>
      </c>
      <c r="N20" s="6">
        <f t="shared" si="1"/>
        <v>2.1571573300952374E-2</v>
      </c>
    </row>
    <row r="21" spans="1:14" x14ac:dyDescent="0.25">
      <c r="A21" t="s">
        <v>15</v>
      </c>
      <c r="B21">
        <v>4.875</v>
      </c>
      <c r="C21">
        <v>5</v>
      </c>
      <c r="D21">
        <v>4.9199999999999902</v>
      </c>
      <c r="F21" s="5">
        <v>139040461334.23901</v>
      </c>
      <c r="G21" s="5">
        <v>137044171778.468</v>
      </c>
      <c r="H21" s="5">
        <v>135063709951.35699</v>
      </c>
      <c r="I21" s="5">
        <v>133262032538.539</v>
      </c>
      <c r="J21">
        <v>5</v>
      </c>
      <c r="K21" s="6">
        <f t="shared" si="2"/>
        <v>4.6412331923804839E-2</v>
      </c>
      <c r="L21" s="6">
        <f t="shared" si="1"/>
        <v>4.5745961483219598E-2</v>
      </c>
      <c r="M21" s="6">
        <f t="shared" si="1"/>
        <v>4.5084874409714128E-2</v>
      </c>
      <c r="N21" s="6">
        <f t="shared" si="1"/>
        <v>4.4483466378548907E-2</v>
      </c>
    </row>
    <row r="22" spans="1:14" x14ac:dyDescent="0.25">
      <c r="A22" t="s">
        <v>16</v>
      </c>
      <c r="B22">
        <v>5</v>
      </c>
      <c r="C22">
        <v>5.125</v>
      </c>
      <c r="D22">
        <v>5.0499999999999901</v>
      </c>
      <c r="F22" s="5">
        <v>34202374805.290001</v>
      </c>
      <c r="G22" s="5">
        <v>33707388063.8545</v>
      </c>
      <c r="H22" s="5">
        <v>33215117437.998402</v>
      </c>
      <c r="I22" s="5">
        <v>32769006823.033298</v>
      </c>
      <c r="J22">
        <v>5.125</v>
      </c>
      <c r="K22" s="6">
        <f t="shared" si="2"/>
        <v>1.141690668178613E-2</v>
      </c>
      <c r="L22" s="6">
        <f t="shared" si="1"/>
        <v>1.1251677879170452E-2</v>
      </c>
      <c r="M22" s="6">
        <f t="shared" si="1"/>
        <v>1.1087355728162553E-2</v>
      </c>
      <c r="N22" s="6">
        <f t="shared" si="1"/>
        <v>1.0938441996592578E-2</v>
      </c>
    </row>
    <row r="23" spans="1:14" x14ac:dyDescent="0.25">
      <c r="A23" t="s">
        <v>17</v>
      </c>
      <c r="B23">
        <v>5.125</v>
      </c>
      <c r="C23">
        <v>5.25</v>
      </c>
      <c r="D23">
        <v>5.1699999999999902</v>
      </c>
      <c r="F23" s="5">
        <v>17853676491.2999</v>
      </c>
      <c r="G23" s="5">
        <v>17586069426.998199</v>
      </c>
      <c r="H23" s="5">
        <v>17319182799.0704</v>
      </c>
      <c r="I23" s="5">
        <v>17077640536.479</v>
      </c>
      <c r="J23">
        <v>5.25</v>
      </c>
      <c r="K23" s="6">
        <f t="shared" si="2"/>
        <v>5.9596375862310961E-3</v>
      </c>
      <c r="L23" s="6">
        <f t="shared" ref="L23:L45" si="3">G23/G$47</f>
        <v>5.8703091434573855E-3</v>
      </c>
      <c r="M23" s="6">
        <f t="shared" ref="M23:M45" si="4">H23/H$47</f>
        <v>5.7812211855885354E-3</v>
      </c>
      <c r="N23" s="6">
        <f t="shared" ref="N23:N45" si="5">I23/I$47</f>
        <v>5.7005932909638939E-3</v>
      </c>
    </row>
    <row r="24" spans="1:14" x14ac:dyDescent="0.25">
      <c r="A24" t="s">
        <v>18</v>
      </c>
      <c r="B24">
        <v>5.25</v>
      </c>
      <c r="C24">
        <v>5.375</v>
      </c>
      <c r="D24">
        <v>5.32</v>
      </c>
      <c r="F24" s="5">
        <v>36444186282.669899</v>
      </c>
      <c r="G24" s="5">
        <v>35897298418.224998</v>
      </c>
      <c r="H24" s="5">
        <v>35349323185.300102</v>
      </c>
      <c r="I24" s="5">
        <v>34856784566.231102</v>
      </c>
      <c r="J24">
        <v>5.375</v>
      </c>
      <c r="K24" s="6">
        <f t="shared" si="2"/>
        <v>1.2165233445091605E-2</v>
      </c>
      <c r="L24" s="6">
        <f t="shared" si="3"/>
        <v>1.1982679813967627E-2</v>
      </c>
      <c r="M24" s="6">
        <f t="shared" si="4"/>
        <v>1.179976321434993E-2</v>
      </c>
      <c r="N24" s="6">
        <f t="shared" si="5"/>
        <v>1.1635351606001123E-2</v>
      </c>
    </row>
    <row r="25" spans="1:14" x14ac:dyDescent="0.25">
      <c r="A25" t="s">
        <v>19</v>
      </c>
      <c r="B25">
        <v>5.375</v>
      </c>
      <c r="C25">
        <v>5.5</v>
      </c>
      <c r="D25">
        <v>5.4199999999999902</v>
      </c>
      <c r="F25" s="5">
        <v>39902860248.230003</v>
      </c>
      <c r="G25" s="5">
        <v>39301163921.276604</v>
      </c>
      <c r="H25" s="5">
        <v>38716325406.9058</v>
      </c>
      <c r="I25" s="5">
        <v>38191986256.399902</v>
      </c>
      <c r="J25">
        <v>5.5</v>
      </c>
      <c r="K25" s="6">
        <f t="shared" si="2"/>
        <v>1.331975438500644E-2</v>
      </c>
      <c r="L25" s="6">
        <f t="shared" si="3"/>
        <v>1.3118905442361143E-2</v>
      </c>
      <c r="M25" s="6">
        <f t="shared" si="4"/>
        <v>1.2923683713446188E-2</v>
      </c>
      <c r="N25" s="6">
        <f t="shared" si="5"/>
        <v>1.2748656944544551E-2</v>
      </c>
    </row>
    <row r="26" spans="1:14" x14ac:dyDescent="0.25">
      <c r="A26" t="s">
        <v>20</v>
      </c>
      <c r="B26">
        <v>5.5</v>
      </c>
      <c r="C26">
        <v>5.625</v>
      </c>
      <c r="D26">
        <v>5.5499999999999901</v>
      </c>
      <c r="F26" s="5">
        <v>18752810333.75</v>
      </c>
      <c r="G26" s="5">
        <v>18454930870.786499</v>
      </c>
      <c r="H26" s="5">
        <v>18164067259.4146</v>
      </c>
      <c r="I26" s="5">
        <v>17904104195.105</v>
      </c>
      <c r="J26">
        <v>5.625</v>
      </c>
      <c r="K26" s="6">
        <f t="shared" si="2"/>
        <v>6.259772510549301E-3</v>
      </c>
      <c r="L26" s="6">
        <f t="shared" si="3"/>
        <v>6.1603390048224132E-3</v>
      </c>
      <c r="M26" s="6">
        <f t="shared" si="4"/>
        <v>6.0632474219406689E-3</v>
      </c>
      <c r="N26" s="6">
        <f t="shared" si="5"/>
        <v>5.9764705807759796E-3</v>
      </c>
    </row>
    <row r="27" spans="1:14" x14ac:dyDescent="0.25">
      <c r="A27" t="s">
        <v>21</v>
      </c>
      <c r="B27">
        <v>5.625</v>
      </c>
      <c r="C27">
        <v>5.75</v>
      </c>
      <c r="D27">
        <v>5.6699999999999902</v>
      </c>
      <c r="F27" s="5">
        <v>10484011802.76</v>
      </c>
      <c r="G27" s="5">
        <v>10314916004.191401</v>
      </c>
      <c r="H27" s="5">
        <v>10149426855.8036</v>
      </c>
      <c r="I27" s="5">
        <v>10001738625.3578</v>
      </c>
      <c r="J27">
        <v>5.75</v>
      </c>
      <c r="K27" s="6">
        <f t="shared" si="2"/>
        <v>3.4996103365413779E-3</v>
      </c>
      <c r="L27" s="6">
        <f t="shared" si="3"/>
        <v>3.4431653977460381E-3</v>
      </c>
      <c r="M27" s="6">
        <f t="shared" si="4"/>
        <v>3.3879243750174187E-3</v>
      </c>
      <c r="N27" s="6">
        <f t="shared" si="5"/>
        <v>3.3386253788337678E-3</v>
      </c>
    </row>
    <row r="28" spans="1:14" x14ac:dyDescent="0.25">
      <c r="A28" t="s">
        <v>22</v>
      </c>
      <c r="B28">
        <v>5.75</v>
      </c>
      <c r="C28">
        <v>5.875</v>
      </c>
      <c r="D28">
        <v>5.7999999999999901</v>
      </c>
      <c r="F28" s="5">
        <v>18325367926.16</v>
      </c>
      <c r="G28" s="5">
        <v>18033349315.007999</v>
      </c>
      <c r="H28" s="5">
        <v>17746430443.278801</v>
      </c>
      <c r="I28" s="5">
        <v>17491171840.096001</v>
      </c>
      <c r="J28">
        <v>5.875</v>
      </c>
      <c r="K28" s="6">
        <f t="shared" si="2"/>
        <v>6.1170903106414097E-3</v>
      </c>
      <c r="L28" s="6">
        <f t="shared" si="3"/>
        <v>6.0196131836335025E-3</v>
      </c>
      <c r="M28" s="6">
        <f t="shared" si="4"/>
        <v>5.9238383726028659E-3</v>
      </c>
      <c r="N28" s="6">
        <f t="shared" si="5"/>
        <v>5.8386319017407814E-3</v>
      </c>
    </row>
    <row r="29" spans="1:14" x14ac:dyDescent="0.25">
      <c r="A29" t="s">
        <v>23</v>
      </c>
      <c r="B29">
        <v>5.875</v>
      </c>
      <c r="C29">
        <v>6</v>
      </c>
      <c r="D29">
        <v>5.9199999999999902</v>
      </c>
      <c r="F29" s="5">
        <v>33228550201.080002</v>
      </c>
      <c r="G29" s="5">
        <v>32708389321.0513</v>
      </c>
      <c r="H29" s="5">
        <v>32195804355.536499</v>
      </c>
      <c r="I29" s="5">
        <v>31741610589.304501</v>
      </c>
      <c r="J29">
        <v>6</v>
      </c>
      <c r="K29" s="6">
        <f t="shared" si="2"/>
        <v>1.1091839644950627E-2</v>
      </c>
      <c r="L29" s="6">
        <f t="shared" si="3"/>
        <v>1.0918207601543948E-2</v>
      </c>
      <c r="M29" s="6">
        <f t="shared" si="4"/>
        <v>1.0747104432507161E-2</v>
      </c>
      <c r="N29" s="6">
        <f t="shared" si="5"/>
        <v>1.0595492508655675E-2</v>
      </c>
    </row>
    <row r="30" spans="1:14" x14ac:dyDescent="0.25">
      <c r="A30" t="s">
        <v>24</v>
      </c>
      <c r="B30">
        <v>6</v>
      </c>
      <c r="C30">
        <v>6.125</v>
      </c>
      <c r="D30">
        <v>6.04</v>
      </c>
      <c r="F30" s="5">
        <v>14769521141.860001</v>
      </c>
      <c r="G30" s="5">
        <v>14538693827.6327</v>
      </c>
      <c r="H30" s="5">
        <v>14310988634.8999</v>
      </c>
      <c r="I30" s="5">
        <v>14109449477.335501</v>
      </c>
      <c r="J30">
        <v>6.125</v>
      </c>
      <c r="K30" s="6">
        <f t="shared" si="2"/>
        <v>4.9301326463799394E-3</v>
      </c>
      <c r="L30" s="6">
        <f t="shared" si="3"/>
        <v>4.8530814497556359E-3</v>
      </c>
      <c r="M30" s="6">
        <f t="shared" si="4"/>
        <v>4.7770724313413232E-3</v>
      </c>
      <c r="N30" s="6">
        <f t="shared" si="5"/>
        <v>4.7097977532601218E-3</v>
      </c>
    </row>
    <row r="31" spans="1:14" x14ac:dyDescent="0.25">
      <c r="A31" t="s">
        <v>25</v>
      </c>
      <c r="B31">
        <v>6.125</v>
      </c>
      <c r="C31">
        <v>6.25</v>
      </c>
      <c r="D31">
        <v>6.1699999999999902</v>
      </c>
      <c r="F31" s="5">
        <v>8733591844.3299904</v>
      </c>
      <c r="G31" s="5">
        <v>8594642883.8670101</v>
      </c>
      <c r="H31" s="5">
        <v>8457491418.6345997</v>
      </c>
      <c r="I31" s="5">
        <v>8336090635.3667603</v>
      </c>
      <c r="J31">
        <v>6.25</v>
      </c>
      <c r="K31" s="6">
        <f t="shared" si="2"/>
        <v>2.9153122744009548E-3</v>
      </c>
      <c r="L31" s="6">
        <f t="shared" si="3"/>
        <v>2.8689304858798923E-3</v>
      </c>
      <c r="M31" s="6">
        <f t="shared" si="4"/>
        <v>2.8231487093587342E-3</v>
      </c>
      <c r="N31" s="6">
        <f t="shared" si="5"/>
        <v>2.7826245813835542E-3</v>
      </c>
    </row>
    <row r="32" spans="1:14" x14ac:dyDescent="0.25">
      <c r="A32" t="s">
        <v>26</v>
      </c>
      <c r="B32">
        <v>6.25</v>
      </c>
      <c r="C32">
        <v>6.375</v>
      </c>
      <c r="D32">
        <v>6.2999999999999901</v>
      </c>
      <c r="F32" s="5">
        <v>10430194203.17</v>
      </c>
      <c r="G32" s="5">
        <v>10268213218.4907</v>
      </c>
      <c r="H32" s="5">
        <v>10107886132.6077</v>
      </c>
      <c r="I32" s="5">
        <v>9966298568.8031197</v>
      </c>
      <c r="J32">
        <v>6.375</v>
      </c>
      <c r="K32" s="6">
        <f t="shared" si="2"/>
        <v>3.4816457795229065E-3</v>
      </c>
      <c r="L32" s="6">
        <f t="shared" si="3"/>
        <v>3.4275757976331865E-3</v>
      </c>
      <c r="M32" s="6">
        <f t="shared" si="4"/>
        <v>3.3740578946071711E-3</v>
      </c>
      <c r="N32" s="6">
        <f t="shared" si="5"/>
        <v>3.3267953284122566E-3</v>
      </c>
    </row>
    <row r="33" spans="1:14" x14ac:dyDescent="0.25">
      <c r="A33" t="s">
        <v>27</v>
      </c>
      <c r="B33">
        <v>6.375</v>
      </c>
      <c r="C33">
        <v>6.5</v>
      </c>
      <c r="D33">
        <v>6.4199999999999902</v>
      </c>
      <c r="F33" s="5">
        <v>17241730931.759899</v>
      </c>
      <c r="G33" s="5">
        <v>16977798881.589701</v>
      </c>
      <c r="H33" s="5">
        <v>16715762584.7896</v>
      </c>
      <c r="I33" s="5">
        <v>16484945228.814501</v>
      </c>
      <c r="J33">
        <v>6.5</v>
      </c>
      <c r="K33" s="6">
        <f t="shared" si="2"/>
        <v>5.7553674036085432E-3</v>
      </c>
      <c r="L33" s="6">
        <f t="shared" si="3"/>
        <v>5.6672656970960565E-3</v>
      </c>
      <c r="M33" s="6">
        <f t="shared" si="4"/>
        <v>5.5797968015927867E-3</v>
      </c>
      <c r="N33" s="6">
        <f t="shared" si="5"/>
        <v>5.5027489290779023E-3</v>
      </c>
    </row>
    <row r="34" spans="1:14" x14ac:dyDescent="0.25">
      <c r="A34" t="s">
        <v>28</v>
      </c>
      <c r="B34">
        <v>6.5</v>
      </c>
      <c r="C34">
        <v>6.625</v>
      </c>
      <c r="D34">
        <v>6.54</v>
      </c>
      <c r="F34" s="5">
        <v>12603478371.74</v>
      </c>
      <c r="G34" s="5">
        <v>12411575725.858999</v>
      </c>
      <c r="H34" s="5">
        <v>12220548617.048599</v>
      </c>
      <c r="I34" s="5">
        <v>12052498726.370399</v>
      </c>
      <c r="J34">
        <v>6.625</v>
      </c>
      <c r="K34" s="6">
        <f t="shared" si="2"/>
        <v>4.207097818652342E-3</v>
      </c>
      <c r="L34" s="6">
        <f t="shared" si="3"/>
        <v>4.1430398515525709E-3</v>
      </c>
      <c r="M34" s="6">
        <f t="shared" si="4"/>
        <v>4.0792741426684482E-3</v>
      </c>
      <c r="N34" s="6">
        <f t="shared" si="5"/>
        <v>4.0231783326353807E-3</v>
      </c>
    </row>
    <row r="35" spans="1:14" x14ac:dyDescent="0.25">
      <c r="A35" t="s">
        <v>29</v>
      </c>
      <c r="B35">
        <v>6.625</v>
      </c>
      <c r="C35">
        <v>6.75</v>
      </c>
      <c r="D35">
        <v>6.6699999999999902</v>
      </c>
      <c r="F35" s="5">
        <v>7522684443.3699903</v>
      </c>
      <c r="G35" s="5">
        <v>7406991749.3686304</v>
      </c>
      <c r="H35" s="5">
        <v>7291516396.5492897</v>
      </c>
      <c r="I35" s="5">
        <v>7190068333.8029499</v>
      </c>
      <c r="J35">
        <v>6.75</v>
      </c>
      <c r="K35" s="6">
        <f t="shared" si="2"/>
        <v>2.5111059327142297E-3</v>
      </c>
      <c r="L35" s="6">
        <f t="shared" si="3"/>
        <v>2.4724871906327962E-3</v>
      </c>
      <c r="M35" s="6">
        <f t="shared" si="4"/>
        <v>2.4339409980163452E-3</v>
      </c>
      <c r="N35" s="6">
        <f t="shared" si="5"/>
        <v>2.400077177974125E-3</v>
      </c>
    </row>
    <row r="36" spans="1:14" x14ac:dyDescent="0.25">
      <c r="A36" t="s">
        <v>30</v>
      </c>
      <c r="B36">
        <v>6.75</v>
      </c>
      <c r="C36">
        <v>6.875</v>
      </c>
      <c r="D36">
        <v>6.7999999999999901</v>
      </c>
      <c r="F36" s="5">
        <v>6385444281.6700001</v>
      </c>
      <c r="G36" s="5">
        <v>6290209232.2696695</v>
      </c>
      <c r="H36" s="5">
        <v>6194906489.8944397</v>
      </c>
      <c r="I36" s="5">
        <v>6111371340.9211102</v>
      </c>
      <c r="J36">
        <v>6.875</v>
      </c>
      <c r="K36" s="6">
        <f t="shared" si="2"/>
        <v>2.1314900471266596E-3</v>
      </c>
      <c r="L36" s="6">
        <f t="shared" si="3"/>
        <v>2.0997001589089931E-3</v>
      </c>
      <c r="M36" s="6">
        <f t="shared" si="4"/>
        <v>2.0678876744715667E-3</v>
      </c>
      <c r="N36" s="6">
        <f t="shared" si="5"/>
        <v>2.0400032656868856E-3</v>
      </c>
    </row>
    <row r="37" spans="1:14" x14ac:dyDescent="0.25">
      <c r="A37" t="s">
        <v>31</v>
      </c>
      <c r="B37">
        <v>6.875</v>
      </c>
      <c r="C37">
        <v>7</v>
      </c>
      <c r="D37">
        <v>6.91</v>
      </c>
      <c r="F37" s="5">
        <v>8161788492.5</v>
      </c>
      <c r="G37" s="5">
        <v>8043374289.9042702</v>
      </c>
      <c r="H37" s="5">
        <v>7924722763.4150696</v>
      </c>
      <c r="I37" s="5">
        <v>7820908142.3509703</v>
      </c>
      <c r="J37">
        <v>7</v>
      </c>
      <c r="K37" s="6">
        <f t="shared" si="2"/>
        <v>2.7244417414236419E-3</v>
      </c>
      <c r="L37" s="6">
        <f t="shared" si="3"/>
        <v>2.684914547521758E-3</v>
      </c>
      <c r="M37" s="6">
        <f t="shared" si="4"/>
        <v>2.6453081338358529E-3</v>
      </c>
      <c r="N37" s="6">
        <f t="shared" si="5"/>
        <v>2.6106543459734248E-3</v>
      </c>
    </row>
    <row r="38" spans="1:14" x14ac:dyDescent="0.25">
      <c r="A38" t="s">
        <v>32</v>
      </c>
      <c r="B38">
        <v>7</v>
      </c>
      <c r="C38">
        <v>7.125</v>
      </c>
      <c r="D38">
        <v>7.04</v>
      </c>
      <c r="F38" s="5">
        <v>4300555202.0500002</v>
      </c>
      <c r="G38" s="5">
        <v>4240077441.0692902</v>
      </c>
      <c r="H38" s="5">
        <v>4179498147.35428</v>
      </c>
      <c r="I38" s="5">
        <v>4126607791.3091798</v>
      </c>
      <c r="J38">
        <v>7.125</v>
      </c>
      <c r="K38" s="6">
        <f t="shared" si="2"/>
        <v>1.4355446866245298E-3</v>
      </c>
      <c r="L38" s="6">
        <f t="shared" si="3"/>
        <v>1.4153569377512156E-3</v>
      </c>
      <c r="M38" s="6">
        <f t="shared" si="4"/>
        <v>1.3951352967941141E-3</v>
      </c>
      <c r="N38" s="6">
        <f t="shared" si="5"/>
        <v>1.3774802578451831E-3</v>
      </c>
    </row>
    <row r="39" spans="1:14" x14ac:dyDescent="0.25">
      <c r="A39" t="s">
        <v>33</v>
      </c>
      <c r="B39">
        <v>7.125</v>
      </c>
      <c r="C39">
        <v>7.25</v>
      </c>
      <c r="D39">
        <v>7.16</v>
      </c>
      <c r="F39" s="5">
        <v>2041641027.9100001</v>
      </c>
      <c r="G39" s="5">
        <v>2013335774.9061501</v>
      </c>
      <c r="H39" s="5">
        <v>1984981434.1593599</v>
      </c>
      <c r="I39" s="5">
        <v>1960239447.6393299</v>
      </c>
      <c r="J39">
        <v>7.25</v>
      </c>
      <c r="K39" s="6">
        <f t="shared" si="2"/>
        <v>6.8150896614784765E-4</v>
      </c>
      <c r="L39" s="6">
        <f t="shared" si="3"/>
        <v>6.7206054527096373E-4</v>
      </c>
      <c r="M39" s="6">
        <f t="shared" si="4"/>
        <v>6.6259573868450395E-4</v>
      </c>
      <c r="N39" s="6">
        <f t="shared" si="5"/>
        <v>6.5433675220098362E-4</v>
      </c>
    </row>
    <row r="40" spans="1:14" x14ac:dyDescent="0.25">
      <c r="A40" t="s">
        <v>34</v>
      </c>
      <c r="B40">
        <v>7.25</v>
      </c>
      <c r="C40">
        <v>7.375</v>
      </c>
      <c r="D40">
        <v>7.29</v>
      </c>
      <c r="F40" s="5">
        <v>1968443797.5999899</v>
      </c>
      <c r="G40" s="5">
        <v>1941787778.9849701</v>
      </c>
      <c r="H40" s="5">
        <v>1915093221.7176099</v>
      </c>
      <c r="I40" s="5">
        <v>1891808914.1498301</v>
      </c>
      <c r="J40">
        <v>7.375</v>
      </c>
      <c r="K40" s="6">
        <f t="shared" si="2"/>
        <v>6.5707540115208195E-4</v>
      </c>
      <c r="L40" s="6">
        <f t="shared" si="3"/>
        <v>6.4817750213869011E-4</v>
      </c>
      <c r="M40" s="6">
        <f t="shared" si="4"/>
        <v>6.3926673874965464E-4</v>
      </c>
      <c r="N40" s="6">
        <f t="shared" si="5"/>
        <v>6.3149433206255445E-4</v>
      </c>
    </row>
    <row r="41" spans="1:14" x14ac:dyDescent="0.25">
      <c r="A41" t="s">
        <v>35</v>
      </c>
      <c r="B41">
        <v>7.375</v>
      </c>
      <c r="C41">
        <v>7.5</v>
      </c>
      <c r="D41">
        <v>7.4199999999999902</v>
      </c>
      <c r="F41" s="5">
        <v>2102589154.4100001</v>
      </c>
      <c r="G41" s="5">
        <v>2075054262.70193</v>
      </c>
      <c r="H41" s="5">
        <v>2047504889.1029</v>
      </c>
      <c r="I41" s="5">
        <v>2023484273.94028</v>
      </c>
      <c r="J41">
        <v>7.5</v>
      </c>
      <c r="K41" s="6">
        <f t="shared" si="2"/>
        <v>7.0185372514898503E-4</v>
      </c>
      <c r="L41" s="6">
        <f t="shared" si="3"/>
        <v>6.9266245434063426E-4</v>
      </c>
      <c r="M41" s="6">
        <f t="shared" si="4"/>
        <v>6.8346634941188688E-4</v>
      </c>
      <c r="N41" s="6">
        <f t="shared" si="5"/>
        <v>6.7544815993492971E-4</v>
      </c>
    </row>
    <row r="42" spans="1:14" x14ac:dyDescent="0.25">
      <c r="A42" t="s">
        <v>36</v>
      </c>
      <c r="B42">
        <v>7.5</v>
      </c>
      <c r="C42">
        <v>7.625</v>
      </c>
      <c r="D42">
        <v>7.54</v>
      </c>
      <c r="F42" s="5">
        <v>1614678382.8499899</v>
      </c>
      <c r="G42" s="5">
        <v>1593982903.6208899</v>
      </c>
      <c r="H42" s="5">
        <v>1573307357.5143499</v>
      </c>
      <c r="I42" s="5">
        <v>1555288899.99792</v>
      </c>
      <c r="J42">
        <v>7.625</v>
      </c>
      <c r="K42" s="6">
        <f t="shared" si="2"/>
        <v>5.3898691313225512E-4</v>
      </c>
      <c r="L42" s="6">
        <f t="shared" si="3"/>
        <v>5.3207866899895764E-4</v>
      </c>
      <c r="M42" s="6">
        <f t="shared" si="4"/>
        <v>5.2517707863170547E-4</v>
      </c>
      <c r="N42" s="6">
        <f t="shared" si="5"/>
        <v>5.1916243639747717E-4</v>
      </c>
    </row>
    <row r="43" spans="1:14" x14ac:dyDescent="0.25">
      <c r="A43" t="s">
        <v>37</v>
      </c>
      <c r="B43">
        <v>7.625</v>
      </c>
      <c r="C43">
        <v>7.75</v>
      </c>
      <c r="D43">
        <v>7.6699999999999902</v>
      </c>
      <c r="F43" s="5">
        <v>1234808725.5899899</v>
      </c>
      <c r="G43" s="5">
        <v>1217791341.2356701</v>
      </c>
      <c r="H43" s="5">
        <v>1200777828.30968</v>
      </c>
      <c r="I43" s="5">
        <v>1185943334.99669</v>
      </c>
      <c r="J43">
        <v>7.75</v>
      </c>
      <c r="K43" s="6">
        <f t="shared" si="2"/>
        <v>4.1218471144687045E-4</v>
      </c>
      <c r="L43" s="6">
        <f t="shared" si="3"/>
        <v>4.0650423194077152E-4</v>
      </c>
      <c r="M43" s="6">
        <f t="shared" si="4"/>
        <v>4.0082504473487758E-4</v>
      </c>
      <c r="N43" s="6">
        <f t="shared" si="5"/>
        <v>3.9587322408528379E-4</v>
      </c>
    </row>
    <row r="44" spans="1:14" x14ac:dyDescent="0.25">
      <c r="A44" t="s">
        <v>38</v>
      </c>
      <c r="B44">
        <v>7.75</v>
      </c>
      <c r="C44">
        <v>7.875</v>
      </c>
      <c r="D44">
        <v>7.7999999999999901</v>
      </c>
      <c r="F44" s="5">
        <v>989403735.52999902</v>
      </c>
      <c r="G44" s="5">
        <v>976554875.32327998</v>
      </c>
      <c r="H44" s="5">
        <v>963722294.10386002</v>
      </c>
      <c r="I44" s="5">
        <v>952533975.86680102</v>
      </c>
      <c r="J44">
        <v>7.875</v>
      </c>
      <c r="K44" s="6">
        <f t="shared" si="2"/>
        <v>3.3026742100403765E-4</v>
      </c>
      <c r="L44" s="6">
        <f t="shared" si="3"/>
        <v>3.2597841362421256E-4</v>
      </c>
      <c r="M44" s="6">
        <f t="shared" si="4"/>
        <v>3.2169484024363257E-4</v>
      </c>
      <c r="N44" s="6">
        <f t="shared" si="5"/>
        <v>3.1796012924868527E-4</v>
      </c>
    </row>
    <row r="45" spans="1:14" x14ac:dyDescent="0.25">
      <c r="A45" t="s">
        <v>39</v>
      </c>
      <c r="B45">
        <v>7.875</v>
      </c>
      <c r="C45">
        <v>100</v>
      </c>
      <c r="D45">
        <v>8.3499999999999908</v>
      </c>
      <c r="F45" s="5">
        <v>3099127821.6399899</v>
      </c>
      <c r="G45" s="5">
        <v>3061796727.8597002</v>
      </c>
      <c r="H45" s="5">
        <v>3024436128.87746</v>
      </c>
      <c r="I45" s="5">
        <v>2991622911.8039098</v>
      </c>
      <c r="J45">
        <v>100</v>
      </c>
      <c r="K45" s="6">
        <f t="shared" si="2"/>
        <v>1.034502818474417E-3</v>
      </c>
      <c r="L45" s="6">
        <f t="shared" si="3"/>
        <v>1.0220415313139514E-3</v>
      </c>
      <c r="M45" s="6">
        <f t="shared" si="4"/>
        <v>1.009570395184249E-3</v>
      </c>
      <c r="N45" s="6">
        <f t="shared" si="5"/>
        <v>9.9861719560700914E-4</v>
      </c>
    </row>
    <row r="46" spans="1:14" x14ac:dyDescent="0.25">
      <c r="F46" s="5"/>
      <c r="G46" s="5"/>
      <c r="H46" s="5"/>
      <c r="I46" s="5"/>
    </row>
    <row r="47" spans="1:14" x14ac:dyDescent="0.25">
      <c r="E47" t="s">
        <v>45</v>
      </c>
      <c r="F47" s="5">
        <f>SUM(F7:F45)</f>
        <v>2995765469455.4424</v>
      </c>
      <c r="G47" s="5">
        <f t="shared" ref="G47:I47" si="6">SUM(G7:G45)</f>
        <v>2995765469455.4438</v>
      </c>
      <c r="H47" s="5">
        <f t="shared" si="6"/>
        <v>2995765469455.4443</v>
      </c>
      <c r="I47" s="5">
        <f t="shared" si="6"/>
        <v>2995765469455.4434</v>
      </c>
      <c r="K47" s="8">
        <f>SUM(K17:K45)</f>
        <v>0.36485034573212027</v>
      </c>
      <c r="L47" s="8">
        <f>SUM(L18:L45)</f>
        <v>0.2791520364449771</v>
      </c>
      <c r="M47" s="8">
        <f>SUM(M17:M45)</f>
        <v>0.35419146194926138</v>
      </c>
      <c r="N47" s="8">
        <f>SUM(N16:N45)</f>
        <v>0.3843473168118503</v>
      </c>
    </row>
    <row r="48" spans="1:14" x14ac:dyDescent="0.25">
      <c r="K48" s="10">
        <f>K16*0.3</f>
        <v>1.0932582636136206E-2</v>
      </c>
      <c r="L48" s="10">
        <f>L17*0.4</f>
        <v>3.2117355682405577E-2</v>
      </c>
    </row>
    <row r="49" spans="11:12" x14ac:dyDescent="0.25">
      <c r="K49" s="11">
        <f>K48+K47</f>
        <v>0.3757829283682565</v>
      </c>
      <c r="L49" s="10">
        <f>L47+L48</f>
        <v>0.31126939212738269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2017-08-10T21:21:38Z</dcterms:created>
  <dcterms:modified xsi:type="dcterms:W3CDTF">2017-08-11T21:28:31Z</dcterms:modified>
</cp:coreProperties>
</file>