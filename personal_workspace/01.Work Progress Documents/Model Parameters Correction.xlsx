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ien.chen\Desktop\"/>
    </mc:Choice>
  </mc:AlternateContent>
  <bookViews>
    <workbookView xWindow="0" yWindow="0" windowWidth="21255" windowHeight="6210" activeTab="3"/>
  </bookViews>
  <sheets>
    <sheet name="Curt" sheetId="1" r:id="rId1"/>
    <sheet name="Dflt" sheetId="2" r:id="rId2"/>
    <sheet name="Turn" sheetId="3" r:id="rId3"/>
    <sheet name="Refi" sheetId="4" r:id="rId4"/>
  </sheets>
  <definedNames>
    <definedName name="aa" localSheetId="0">Curt!#REF!</definedName>
    <definedName name="aa" localSheetId="1">Dflt!#REF!</definedName>
    <definedName name="aa" localSheetId="2">Turn!#REF!</definedName>
    <definedName name="aa_1" localSheetId="0">Curt!$A$4:$S$5</definedName>
    <definedName name="aa_1" localSheetId="1">Dflt!$C$4:$W$9</definedName>
    <definedName name="aa_1" localSheetId="3">Refi!#REF!</definedName>
    <definedName name="aa_1" localSheetId="2">Turn!$C$4:$K$9</definedName>
    <definedName name="aa_2" localSheetId="0">Curt!$C$34:$U$34</definedName>
    <definedName name="aa_2" localSheetId="1">Dflt!#REF!</definedName>
    <definedName name="aa_2" localSheetId="2">Turn!$H$15:$N$18</definedName>
    <definedName name="aa_3" localSheetId="1">Dflt!#REF!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" i="2" l="1"/>
  <c r="J9" i="2"/>
  <c r="J8" i="2"/>
  <c r="J6" i="2"/>
  <c r="J5" i="2"/>
  <c r="J4" i="2"/>
  <c r="J7" i="2"/>
</calcChain>
</file>

<file path=xl/connections.xml><?xml version="1.0" encoding="utf-8"?>
<connections xmlns="http://schemas.openxmlformats.org/spreadsheetml/2006/main">
  <connection id="1" name="aa1" type="6" refreshedVersion="5" background="1" saveData="1">
    <textPr codePage="437" sourceFile="C:\Users\lien.chen\Desktop\aa.txt" space="1" consecutive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aa2" type="6" refreshedVersion="5" background="1" saveData="1">
    <textPr codePage="437" sourceFile="C:\Users\lien.chen\Desktop\aa.txt" space="1" consecutive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aa31" type="6" refreshedVersion="5" background="1">
    <textPr codePage="437" sourceFile="C:\Users\lien.chen\Desktop\aa.txt" space="1" comma="1" consecutive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aa32" type="6" refreshedVersion="5" background="1" saveData="1">
    <textPr codePage="437" sourceFile="C:\Users\lien.chen\Desktop\aa.txt" space="1" comma="1" consecutive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aa51" type="6" refreshedVersion="5" background="1">
    <textPr codePage="437" sourceFile="C:\Users\lien.chen\Desktop\aa.txt" space="1" comma="1" consecutive="1">
      <textFields count="7">
        <textField/>
        <textField/>
        <textField/>
        <textField/>
        <textField/>
        <textField/>
        <textField/>
      </textFields>
    </textPr>
  </connection>
  <connection id="6" name="aa52" type="6" refreshedVersion="5" background="1" saveData="1">
    <textPr codePage="437" sourceFile="C:\Users\lien.chen\Desktop\aa.txt" space="1" comma="1" consecutive="1">
      <textFields count="7">
        <textField/>
        <textField/>
        <textField/>
        <textField/>
        <textField/>
        <textField/>
        <textField/>
      </textFields>
    </textPr>
  </connection>
  <connection id="7" name="aa6" type="6" refreshedVersion="5" background="1" saveData="1">
    <textPr codePage="437" sourceFile="C:\Users\lien.chen\Desktop\aa.txt" space="1" consecutive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<sst xmlns="http://schemas.openxmlformats.org/spreadsheetml/2006/main" count="59" uniqueCount="15">
  <si>
    <t>knots</t>
  </si>
  <si>
    <t>const</t>
  </si>
  <si>
    <t>cltv</t>
  </si>
  <si>
    <t>wala</t>
  </si>
  <si>
    <t>fico</t>
  </si>
  <si>
    <t>incentive</t>
  </si>
  <si>
    <t>burnout</t>
  </si>
  <si>
    <t>acls</t>
  </si>
  <si>
    <t>Previous</t>
  </si>
  <si>
    <t>New</t>
  </si>
  <si>
    <t>-</t>
  </si>
  <si>
    <t>Default Model</t>
  </si>
  <si>
    <t>Curtailment Model</t>
  </si>
  <si>
    <t>Turnover Model</t>
  </si>
  <si>
    <t>Refinancing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</si>
</sst>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/>
    <xf numFmtId="0" fontId="1" fillId="0" borderId="7" xfId="0" quotePrefix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aa_2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aa_1" connectionId="1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aa_1" connectionId="4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aa_2" connectionId="7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aa_1" connectionId="6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selection sqref="A1:C23"/>
    </sheetView>
  </sheetViews>
  <sheetFormatPr defaultRowHeight="15" x14ac:dyDescent="0.25"/>
  <cols>
    <col min="1" max="14" width="12" bestFit="1" customWidth="1"/>
    <col min="15" max="15" width="10" customWidth="1"/>
    <col min="16" max="18" width="12" bestFit="1" customWidth="1"/>
    <col min="19" max="19" width="11" customWidth="1"/>
    <col min="20" max="20" width="11" bestFit="1" customWidth="1"/>
    <col min="21" max="21" width="12" bestFit="1" customWidth="1"/>
  </cols>
  <sheetData>
    <row r="1" spans="1:3" x14ac:dyDescent="0.25">
      <c r="A1" s="16" t="s">
        <v>12</v>
      </c>
      <c r="B1" s="16"/>
      <c r="C1" s="16"/>
    </row>
    <row r="2" spans="1:3" x14ac:dyDescent="0.25">
      <c r="A2" s="17" t="s">
        <v>3</v>
      </c>
      <c r="B2" s="17"/>
      <c r="C2" s="17"/>
    </row>
    <row r="3" spans="1:3" x14ac:dyDescent="0.25">
      <c r="A3" s="2" t="s">
        <v>0</v>
      </c>
      <c r="B3" s="2" t="s">
        <v>8</v>
      </c>
      <c r="C3" s="2" t="s">
        <v>9</v>
      </c>
    </row>
    <row r="4" spans="1:3" x14ac:dyDescent="0.25">
      <c r="A4" s="2">
        <v>0</v>
      </c>
      <c r="B4" s="9">
        <v>1.0729769999999999E-3</v>
      </c>
      <c r="C4" s="2">
        <v>2.6085409999999998E-3</v>
      </c>
    </row>
    <row r="5" spans="1:3" x14ac:dyDescent="0.25">
      <c r="A5" s="2">
        <v>12</v>
      </c>
      <c r="B5" s="9">
        <v>4.4360839999999999E-3</v>
      </c>
      <c r="C5" s="2">
        <v>4.3841699999999997E-3</v>
      </c>
    </row>
    <row r="6" spans="1:3" x14ac:dyDescent="0.25">
      <c r="A6" s="2">
        <v>24</v>
      </c>
      <c r="B6" s="9">
        <v>7.0510429999999999E-3</v>
      </c>
      <c r="C6" s="2">
        <v>8.6651260000000004E-3</v>
      </c>
    </row>
    <row r="7" spans="1:3" x14ac:dyDescent="0.25">
      <c r="A7" s="2">
        <v>36</v>
      </c>
      <c r="B7" s="9">
        <v>8.4888749999999999E-3</v>
      </c>
      <c r="C7" s="2">
        <v>8.0016719999999996E-3</v>
      </c>
    </row>
    <row r="8" spans="1:3" x14ac:dyDescent="0.25">
      <c r="A8" s="2">
        <v>48</v>
      </c>
      <c r="B8" s="9">
        <v>8.5460390000000001E-3</v>
      </c>
      <c r="C8" s="2">
        <v>1.6312075999999998E-2</v>
      </c>
    </row>
    <row r="9" spans="1:3" x14ac:dyDescent="0.25">
      <c r="A9" s="2">
        <v>60</v>
      </c>
      <c r="B9" s="9">
        <v>7.406602E-3</v>
      </c>
      <c r="C9" s="2">
        <v>5.660053E-3</v>
      </c>
    </row>
    <row r="10" spans="1:3" x14ac:dyDescent="0.25">
      <c r="A10" s="2">
        <v>72</v>
      </c>
      <c r="B10" s="9">
        <v>6.1371189999999999E-3</v>
      </c>
      <c r="C10" s="2">
        <v>1.0441379000000001E-2</v>
      </c>
    </row>
    <row r="11" spans="1:3" x14ac:dyDescent="0.25">
      <c r="A11" s="2">
        <v>84</v>
      </c>
      <c r="B11" s="9">
        <v>5.4326770000000003E-3</v>
      </c>
      <c r="C11" s="2">
        <v>8.7196930000000006E-3</v>
      </c>
    </row>
    <row r="12" spans="1:3" x14ac:dyDescent="0.25">
      <c r="A12" s="2">
        <v>96</v>
      </c>
      <c r="B12" s="9">
        <v>5.493614E-3</v>
      </c>
      <c r="C12" s="2">
        <v>5.8566119999999998E-3</v>
      </c>
    </row>
    <row r="13" spans="1:3" x14ac:dyDescent="0.25">
      <c r="A13" s="2">
        <v>108</v>
      </c>
      <c r="B13" s="9">
        <v>5.9135619999999998E-3</v>
      </c>
      <c r="C13" s="2">
        <v>9.1143119999999994E-3</v>
      </c>
    </row>
    <row r="14" spans="1:3" x14ac:dyDescent="0.25">
      <c r="A14" s="2">
        <v>132</v>
      </c>
      <c r="B14" s="9">
        <v>6.5963209999999996E-3</v>
      </c>
      <c r="C14" s="2">
        <v>5.2668089999999999E-3</v>
      </c>
    </row>
    <row r="15" spans="1:3" x14ac:dyDescent="0.25">
      <c r="A15" s="2">
        <v>156</v>
      </c>
      <c r="B15" s="9">
        <v>1.191362E-2</v>
      </c>
      <c r="C15" s="2">
        <v>1.3111275E-2</v>
      </c>
    </row>
    <row r="16" spans="1:3" x14ac:dyDescent="0.25">
      <c r="A16" s="2">
        <v>180</v>
      </c>
      <c r="B16" s="9">
        <v>1.8108289999999999E-2</v>
      </c>
      <c r="C16" s="2">
        <v>2.1319937000000001E-2</v>
      </c>
    </row>
    <row r="17" spans="1:3" x14ac:dyDescent="0.25">
      <c r="A17" s="2">
        <v>204</v>
      </c>
      <c r="B17" s="9">
        <v>1.824974E-2</v>
      </c>
      <c r="C17" s="2">
        <v>1.69068E-2</v>
      </c>
    </row>
    <row r="18" spans="1:3" x14ac:dyDescent="0.25">
      <c r="A18" s="2">
        <v>228</v>
      </c>
      <c r="B18" s="9">
        <v>2.055075E-2</v>
      </c>
      <c r="C18" s="2">
        <v>2.1977757000000001E-2</v>
      </c>
    </row>
    <row r="19" spans="1:3" x14ac:dyDescent="0.25">
      <c r="A19" s="2">
        <v>252</v>
      </c>
      <c r="B19" s="9">
        <v>2.051099E-2</v>
      </c>
      <c r="C19" s="2">
        <v>2.5824336E-2</v>
      </c>
    </row>
    <row r="20" spans="1:3" x14ac:dyDescent="0.25">
      <c r="A20" s="2">
        <v>276</v>
      </c>
      <c r="B20" s="9">
        <v>2.1876980000000001E-2</v>
      </c>
      <c r="C20" s="2">
        <v>2.1181531999999999E-2</v>
      </c>
    </row>
    <row r="21" spans="1:3" x14ac:dyDescent="0.25">
      <c r="A21" s="2">
        <v>300</v>
      </c>
      <c r="B21" s="9">
        <v>7.9320059999999998E-2</v>
      </c>
      <c r="C21" s="2">
        <v>6.8068249999999997E-2</v>
      </c>
    </row>
    <row r="22" spans="1:3" x14ac:dyDescent="0.25">
      <c r="A22" s="2">
        <v>324</v>
      </c>
      <c r="B22" s="9">
        <v>0.2033845</v>
      </c>
      <c r="C22" s="2">
        <v>0.22232697000000001</v>
      </c>
    </row>
    <row r="23" spans="1:3" x14ac:dyDescent="0.25">
      <c r="A23" s="2">
        <v>348</v>
      </c>
      <c r="B23" s="9">
        <v>0.305867</v>
      </c>
      <c r="C23" s="2">
        <v>0.299436021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selection sqref="A1:K18"/>
    </sheetView>
  </sheetViews>
  <sheetFormatPr defaultRowHeight="15" x14ac:dyDescent="0.25"/>
  <cols>
    <col min="3" max="10" width="10" customWidth="1"/>
    <col min="11" max="12" width="9" customWidth="1"/>
    <col min="13" max="14" width="11" customWidth="1"/>
    <col min="15" max="16" width="11" bestFit="1" customWidth="1"/>
    <col min="17" max="17" width="11" customWidth="1"/>
    <col min="18" max="19" width="11" bestFit="1" customWidth="1"/>
    <col min="20" max="20" width="11" customWidth="1"/>
    <col min="21" max="22" width="11" bestFit="1" customWidth="1"/>
    <col min="23" max="23" width="9" bestFit="1" customWidth="1"/>
  </cols>
  <sheetData>
    <row r="1" spans="1:11" ht="15.75" thickBot="1" x14ac:dyDescent="0.3">
      <c r="A1" s="18" t="s">
        <v>11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9" t="s">
        <v>1</v>
      </c>
      <c r="B2" s="20"/>
      <c r="C2" s="19" t="s">
        <v>2</v>
      </c>
      <c r="D2" s="21"/>
      <c r="E2" s="20"/>
      <c r="F2" s="19" t="s">
        <v>3</v>
      </c>
      <c r="G2" s="21"/>
      <c r="H2" s="20"/>
      <c r="I2" s="19" t="s">
        <v>4</v>
      </c>
      <c r="J2" s="21"/>
      <c r="K2" s="20"/>
    </row>
    <row r="3" spans="1:11" x14ac:dyDescent="0.25">
      <c r="A3" s="4" t="s">
        <v>8</v>
      </c>
      <c r="B3" s="3" t="s">
        <v>9</v>
      </c>
      <c r="C3" s="4" t="s">
        <v>0</v>
      </c>
      <c r="D3" s="2" t="s">
        <v>8</v>
      </c>
      <c r="E3" s="3" t="s">
        <v>9</v>
      </c>
      <c r="F3" s="4" t="s">
        <v>0</v>
      </c>
      <c r="G3" s="2" t="s">
        <v>8</v>
      </c>
      <c r="H3" s="5" t="s">
        <v>9</v>
      </c>
      <c r="I3" s="4" t="s">
        <v>0</v>
      </c>
      <c r="J3" s="2" t="s">
        <v>8</v>
      </c>
      <c r="K3" s="5" t="s">
        <v>9</v>
      </c>
    </row>
    <row r="4" spans="1:11" ht="15.75" thickBot="1" x14ac:dyDescent="0.3">
      <c r="A4" s="10">
        <v>0.15190119999999999</v>
      </c>
      <c r="B4" s="8">
        <v>1.4981300000000001E-3</v>
      </c>
      <c r="C4" s="4">
        <v>20</v>
      </c>
      <c r="D4" s="9">
        <v>0.36218889999999998</v>
      </c>
      <c r="E4" s="3">
        <v>0.14410690000000001</v>
      </c>
      <c r="F4" s="4">
        <v>10</v>
      </c>
      <c r="G4" s="9">
        <v>9.0861430000000007E-2</v>
      </c>
      <c r="H4" s="5">
        <v>0.1061642</v>
      </c>
      <c r="I4" s="4">
        <v>500</v>
      </c>
      <c r="J4" s="9">
        <f>K4*0.5</f>
        <v>0.70572414999999999</v>
      </c>
      <c r="K4" s="5">
        <v>1.4114483</v>
      </c>
    </row>
    <row r="5" spans="1:11" x14ac:dyDescent="0.25">
      <c r="A5" s="1"/>
      <c r="B5" s="1"/>
      <c r="C5" s="4">
        <v>40</v>
      </c>
      <c r="D5" s="9">
        <v>0.6420439</v>
      </c>
      <c r="E5" s="3">
        <v>0.71845300000000001</v>
      </c>
      <c r="F5" s="4">
        <v>20</v>
      </c>
      <c r="G5" s="9">
        <v>0.27426460000000003</v>
      </c>
      <c r="H5" s="5">
        <v>0.28646769999999999</v>
      </c>
      <c r="I5" s="4">
        <v>550</v>
      </c>
      <c r="J5" s="9">
        <f t="shared" ref="J5:J9" si="0">K5*0.5</f>
        <v>1.009259425</v>
      </c>
      <c r="K5" s="5">
        <v>2.01851885</v>
      </c>
    </row>
    <row r="6" spans="1:11" x14ac:dyDescent="0.25">
      <c r="A6" s="1"/>
      <c r="B6" s="1"/>
      <c r="C6" s="4">
        <v>60</v>
      </c>
      <c r="D6" s="9">
        <v>0.43351000000000001</v>
      </c>
      <c r="E6" s="3">
        <v>0.40717429999999999</v>
      </c>
      <c r="F6" s="4">
        <v>30</v>
      </c>
      <c r="G6" s="9">
        <v>0.53813420000000001</v>
      </c>
      <c r="H6" s="5">
        <v>0.55506120000000003</v>
      </c>
      <c r="I6" s="4">
        <v>600</v>
      </c>
      <c r="J6" s="9">
        <f t="shared" si="0"/>
        <v>0.70094935000000003</v>
      </c>
      <c r="K6" s="5">
        <v>1.4018987000000001</v>
      </c>
    </row>
    <row r="7" spans="1:11" x14ac:dyDescent="0.25">
      <c r="A7" s="1"/>
      <c r="B7" s="1"/>
      <c r="C7" s="4">
        <v>80</v>
      </c>
      <c r="D7" s="9">
        <v>1.3476379999999999</v>
      </c>
      <c r="E7" s="3">
        <v>1.3108302999999999</v>
      </c>
      <c r="F7" s="4">
        <v>40</v>
      </c>
      <c r="G7" s="9">
        <v>0.86759209999999998</v>
      </c>
      <c r="H7" s="5">
        <v>0.95535190000000003</v>
      </c>
      <c r="I7" s="4">
        <v>650</v>
      </c>
      <c r="J7" s="9">
        <f t="shared" si="0"/>
        <v>0.610702525</v>
      </c>
      <c r="K7" s="5">
        <v>1.22140505</v>
      </c>
    </row>
    <row r="8" spans="1:11" ht="15.75" thickBot="1" x14ac:dyDescent="0.3">
      <c r="A8" s="1"/>
      <c r="B8" s="1"/>
      <c r="C8" s="6">
        <v>100</v>
      </c>
      <c r="D8" s="11">
        <v>3.863264</v>
      </c>
      <c r="E8" s="8">
        <v>4.0442026000000002</v>
      </c>
      <c r="F8" s="4">
        <v>50</v>
      </c>
      <c r="G8" s="9">
        <v>1.186118</v>
      </c>
      <c r="H8" s="5">
        <v>1.1911219</v>
      </c>
      <c r="I8" s="4">
        <v>700</v>
      </c>
      <c r="J8" s="9">
        <f t="shared" si="0"/>
        <v>0.38339742500000001</v>
      </c>
      <c r="K8" s="5">
        <v>0.76679485000000003</v>
      </c>
    </row>
    <row r="9" spans="1:11" x14ac:dyDescent="0.25">
      <c r="A9" s="1"/>
      <c r="B9" s="1"/>
      <c r="C9" s="1"/>
      <c r="D9" s="1"/>
      <c r="E9" s="1"/>
      <c r="F9" s="4">
        <v>60</v>
      </c>
      <c r="G9" s="9">
        <v>1.471085</v>
      </c>
      <c r="H9" s="5">
        <v>1.5625416999999999</v>
      </c>
      <c r="I9" s="4">
        <v>750</v>
      </c>
      <c r="J9" s="9">
        <f t="shared" si="0"/>
        <v>0.199344875</v>
      </c>
      <c r="K9" s="5">
        <v>0.39868975000000001</v>
      </c>
    </row>
    <row r="10" spans="1:11" ht="15.75" thickBot="1" x14ac:dyDescent="0.3">
      <c r="A10" s="1"/>
      <c r="B10" s="1"/>
      <c r="C10" s="1"/>
      <c r="D10" s="1"/>
      <c r="E10" s="1"/>
      <c r="F10" s="4">
        <v>70</v>
      </c>
      <c r="G10" s="9">
        <v>1.6882159999999999</v>
      </c>
      <c r="H10" s="5">
        <v>1.7193388999999999</v>
      </c>
      <c r="I10" s="6">
        <v>800</v>
      </c>
      <c r="J10" s="11">
        <f>K10*0.5</f>
        <v>0.35233557500000001</v>
      </c>
      <c r="K10" s="7">
        <v>0.70467115000000002</v>
      </c>
    </row>
    <row r="11" spans="1:11" x14ac:dyDescent="0.25">
      <c r="A11" s="1"/>
      <c r="B11" s="1"/>
      <c r="C11" s="1"/>
      <c r="D11" s="1"/>
      <c r="E11" s="1"/>
      <c r="F11" s="4">
        <v>80</v>
      </c>
      <c r="G11" s="9">
        <v>1.905473</v>
      </c>
      <c r="H11" s="5">
        <v>2.0237162</v>
      </c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4">
        <v>90</v>
      </c>
      <c r="G12" s="9">
        <v>2.1462870000000001</v>
      </c>
      <c r="H12" s="5">
        <v>2.329663</v>
      </c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4">
        <v>100</v>
      </c>
      <c r="G13" s="9">
        <v>2.3219479999999999</v>
      </c>
      <c r="H13" s="5">
        <v>2.5370699999999999</v>
      </c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4">
        <v>110</v>
      </c>
      <c r="G14" s="9">
        <v>2.320875</v>
      </c>
      <c r="H14" s="5">
        <v>2.4705539999999999</v>
      </c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4">
        <v>120</v>
      </c>
      <c r="G15" s="9">
        <v>2.149114</v>
      </c>
      <c r="H15" s="5">
        <v>2.0640800000000001</v>
      </c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4">
        <v>130</v>
      </c>
      <c r="G16" s="9">
        <v>1.9821029999999999</v>
      </c>
      <c r="H16" s="5">
        <v>1.8238772000000001</v>
      </c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4">
        <v>140</v>
      </c>
      <c r="G17" s="9">
        <v>1.860989</v>
      </c>
      <c r="H17" s="5">
        <v>1.7252274999999999</v>
      </c>
      <c r="I17" s="1"/>
      <c r="J17" s="1"/>
      <c r="K17" s="1"/>
    </row>
    <row r="18" spans="1:11" ht="15.75" thickBot="1" x14ac:dyDescent="0.3">
      <c r="A18" s="1"/>
      <c r="B18" s="1"/>
      <c r="C18" s="1"/>
      <c r="D18" s="1"/>
      <c r="E18" s="1"/>
      <c r="F18" s="6">
        <v>150</v>
      </c>
      <c r="G18" s="11">
        <v>1.7596179999999999</v>
      </c>
      <c r="H18" s="7">
        <v>1.6362323999999999</v>
      </c>
      <c r="I18" s="1"/>
      <c r="J18" s="1"/>
      <c r="K18" s="1"/>
    </row>
  </sheetData>
  <mergeCells count="5">
    <mergeCell ref="A1:K1"/>
    <mergeCell ref="A2:B2"/>
    <mergeCell ref="C2:E2"/>
    <mergeCell ref="F2:H2"/>
    <mergeCell ref="I2:K2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H21" sqref="H21"/>
    </sheetView>
  </sheetViews>
  <sheetFormatPr defaultRowHeight="15" x14ac:dyDescent="0.25"/>
  <cols>
    <col min="4" max="4" width="10" bestFit="1" customWidth="1"/>
    <col min="5" max="5" width="10" customWidth="1"/>
    <col min="6" max="7" width="10" bestFit="1" customWidth="1"/>
    <col min="8" max="8" width="11" customWidth="1"/>
    <col min="9" max="13" width="11" bestFit="1" customWidth="1"/>
    <col min="14" max="14" width="10.7109375" bestFit="1" customWidth="1"/>
  </cols>
  <sheetData>
    <row r="1" spans="1:11" ht="15.75" thickBot="1" x14ac:dyDescent="0.3">
      <c r="A1" s="18" t="s">
        <v>13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22" t="s">
        <v>1</v>
      </c>
      <c r="B2" s="23"/>
      <c r="C2" s="22" t="s">
        <v>3</v>
      </c>
      <c r="D2" s="24"/>
      <c r="E2" s="23"/>
      <c r="F2" s="22" t="s">
        <v>2</v>
      </c>
      <c r="G2" s="24"/>
      <c r="H2" s="25"/>
      <c r="I2" s="22" t="s">
        <v>5</v>
      </c>
      <c r="J2" s="24"/>
      <c r="K2" s="25"/>
    </row>
    <row r="3" spans="1:11" x14ac:dyDescent="0.25">
      <c r="A3" s="4" t="s">
        <v>8</v>
      </c>
      <c r="B3" s="3" t="s">
        <v>9</v>
      </c>
      <c r="C3" s="4" t="s">
        <v>0</v>
      </c>
      <c r="D3" s="2" t="s">
        <v>8</v>
      </c>
      <c r="E3" s="3" t="s">
        <v>9</v>
      </c>
      <c r="F3" s="4" t="s">
        <v>0</v>
      </c>
      <c r="G3" s="2" t="s">
        <v>8</v>
      </c>
      <c r="H3" s="5" t="s">
        <v>9</v>
      </c>
      <c r="I3" s="4" t="s">
        <v>0</v>
      </c>
      <c r="J3" s="2" t="s">
        <v>8</v>
      </c>
      <c r="K3" s="5" t="s">
        <v>9</v>
      </c>
    </row>
    <row r="4" spans="1:11" ht="15.75" thickBot="1" x14ac:dyDescent="0.3">
      <c r="A4" s="10">
        <v>4.9961670000000001E-3</v>
      </c>
      <c r="B4" s="8">
        <v>4.6367789999999997E-3</v>
      </c>
      <c r="C4" s="4">
        <v>5</v>
      </c>
      <c r="D4" s="9">
        <v>0.4446174</v>
      </c>
      <c r="E4" s="3">
        <v>0.41454949705363298</v>
      </c>
      <c r="F4" s="4">
        <v>50</v>
      </c>
      <c r="G4" s="9">
        <v>0.99904510000000002</v>
      </c>
      <c r="H4" s="5">
        <v>1.0090011699999999</v>
      </c>
      <c r="I4" s="4">
        <v>-250</v>
      </c>
      <c r="J4" s="9">
        <v>6.6084258232601806E-2</v>
      </c>
      <c r="K4" s="5">
        <v>6.6084258232601806E-2</v>
      </c>
    </row>
    <row r="5" spans="1:11" x14ac:dyDescent="0.25">
      <c r="A5" s="1"/>
      <c r="B5" s="1"/>
      <c r="C5" s="4">
        <v>10</v>
      </c>
      <c r="D5" s="9">
        <v>0.75065329999999997</v>
      </c>
      <c r="E5" s="3">
        <v>0.80027593286273802</v>
      </c>
      <c r="F5" s="4">
        <v>60</v>
      </c>
      <c r="G5" s="9">
        <v>1.0291600000000001</v>
      </c>
      <c r="H5" s="5">
        <v>1.0779064220000001</v>
      </c>
      <c r="I5" s="4">
        <v>-200</v>
      </c>
      <c r="J5" s="9">
        <v>0.24314995420486801</v>
      </c>
      <c r="K5" s="5">
        <v>0.24314995420486801</v>
      </c>
    </row>
    <row r="6" spans="1:11" x14ac:dyDescent="0.25">
      <c r="A6" s="1"/>
      <c r="B6" s="1"/>
      <c r="C6" s="4">
        <v>15</v>
      </c>
      <c r="D6" s="9">
        <v>1.00048</v>
      </c>
      <c r="E6" s="3">
        <v>1.0281548330532699</v>
      </c>
      <c r="F6" s="4">
        <v>70</v>
      </c>
      <c r="G6" s="9">
        <v>0.88972340000000005</v>
      </c>
      <c r="H6" s="5">
        <v>0.90963366700000003</v>
      </c>
      <c r="I6" s="4">
        <v>-150</v>
      </c>
      <c r="J6" s="9">
        <v>0.609060647564723</v>
      </c>
      <c r="K6" s="5">
        <v>0.609060647564723</v>
      </c>
    </row>
    <row r="7" spans="1:11" x14ac:dyDescent="0.25">
      <c r="A7" s="1"/>
      <c r="B7" s="1"/>
      <c r="C7" s="4">
        <v>20</v>
      </c>
      <c r="D7" s="9">
        <v>1.1903189999999999</v>
      </c>
      <c r="E7" s="3">
        <v>1.2293384628669399</v>
      </c>
      <c r="F7" s="4">
        <v>80</v>
      </c>
      <c r="G7" s="9">
        <v>0.71843849999999998</v>
      </c>
      <c r="H7" s="5">
        <v>0.73228083300000002</v>
      </c>
      <c r="I7" s="4">
        <v>-100</v>
      </c>
      <c r="J7" s="9">
        <v>0.73449543911042103</v>
      </c>
      <c r="K7" s="5">
        <v>0.73449543911042103</v>
      </c>
    </row>
    <row r="8" spans="1:11" ht="15.75" thickBot="1" x14ac:dyDescent="0.3">
      <c r="A8" s="1"/>
      <c r="B8" s="1"/>
      <c r="C8" s="6">
        <v>25</v>
      </c>
      <c r="D8" s="11">
        <v>1.3313820000000001</v>
      </c>
      <c r="E8" s="8">
        <v>1.3689576375396799</v>
      </c>
      <c r="F8" s="4">
        <v>90</v>
      </c>
      <c r="G8" s="9">
        <v>0.64206169999999996</v>
      </c>
      <c r="H8" s="5">
        <v>0.70300887599999995</v>
      </c>
      <c r="I8" s="4">
        <v>-50</v>
      </c>
      <c r="J8" s="9">
        <v>1.0274338313701501</v>
      </c>
      <c r="K8" s="5">
        <v>1.0274338313701501</v>
      </c>
    </row>
    <row r="9" spans="1:11" x14ac:dyDescent="0.25">
      <c r="A9" s="1"/>
      <c r="B9" s="1"/>
      <c r="C9" s="1"/>
      <c r="D9" s="1"/>
      <c r="E9" s="1"/>
      <c r="F9" s="4">
        <v>100</v>
      </c>
      <c r="G9" s="9">
        <v>0.37274990000000002</v>
      </c>
      <c r="H9" s="5">
        <v>0.65370019499999998</v>
      </c>
      <c r="I9" s="4">
        <v>0</v>
      </c>
      <c r="J9" s="9">
        <v>1.35675995732726</v>
      </c>
      <c r="K9" s="5">
        <v>1.35675995732726</v>
      </c>
    </row>
    <row r="10" spans="1:11" ht="15.75" thickBot="1" x14ac:dyDescent="0.3">
      <c r="A10" s="1"/>
      <c r="B10" s="1"/>
      <c r="C10" s="1"/>
      <c r="D10" s="1"/>
      <c r="E10" s="1"/>
      <c r="F10" s="6">
        <v>110</v>
      </c>
      <c r="G10" s="11">
        <v>-0.13172780000000001</v>
      </c>
      <c r="H10" s="7">
        <v>0.57633447900000001</v>
      </c>
      <c r="I10" s="6">
        <v>50</v>
      </c>
      <c r="J10" s="11">
        <v>1.3946920406211201</v>
      </c>
      <c r="K10" s="7">
        <v>1.3946920406211201</v>
      </c>
    </row>
    <row r="11" spans="1:11" x14ac:dyDescent="0.25">
      <c r="G11" s="12"/>
    </row>
  </sheetData>
  <mergeCells count="5">
    <mergeCell ref="A1:K1"/>
    <mergeCell ref="A2:B2"/>
    <mergeCell ref="C2:E2"/>
    <mergeCell ref="F2:H2"/>
    <mergeCell ref="I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>
      <selection activeCell="Q14" sqref="Q14"/>
    </sheetView>
  </sheetViews>
  <sheetFormatPr defaultRowHeight="15" x14ac:dyDescent="0.25"/>
  <cols>
    <col min="3" max="9" width="12" bestFit="1" customWidth="1"/>
    <col min="10" max="10" width="12" customWidth="1"/>
    <col min="11" max="11" width="11" bestFit="1" customWidth="1"/>
  </cols>
  <sheetData>
    <row r="1" spans="1:14" ht="15.75" thickBot="1" x14ac:dyDescent="0.3">
      <c r="A1" s="18" t="s">
        <v>14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x14ac:dyDescent="0.25">
      <c r="A2" s="19" t="s">
        <v>1</v>
      </c>
      <c r="B2" s="21"/>
      <c r="C2" s="19" t="s">
        <v>5</v>
      </c>
      <c r="D2" s="21"/>
      <c r="E2" s="20"/>
      <c r="F2" s="19" t="s">
        <v>3</v>
      </c>
      <c r="G2" s="21"/>
      <c r="H2" s="21"/>
      <c r="I2" s="19" t="s">
        <v>6</v>
      </c>
      <c r="J2" s="21"/>
      <c r="K2" s="20"/>
      <c r="L2" s="19" t="s">
        <v>7</v>
      </c>
      <c r="M2" s="21"/>
      <c r="N2" s="20"/>
    </row>
    <row r="3" spans="1:14" x14ac:dyDescent="0.25">
      <c r="A3" s="4" t="s">
        <v>8</v>
      </c>
      <c r="B3" s="3" t="s">
        <v>9</v>
      </c>
      <c r="C3" s="4" t="s">
        <v>0</v>
      </c>
      <c r="D3" s="2" t="s">
        <v>8</v>
      </c>
      <c r="E3" s="5" t="s">
        <v>9</v>
      </c>
      <c r="F3" s="4" t="s">
        <v>0</v>
      </c>
      <c r="G3" s="2" t="s">
        <v>8</v>
      </c>
      <c r="H3" s="3" t="s">
        <v>9</v>
      </c>
      <c r="I3" s="4" t="s">
        <v>0</v>
      </c>
      <c r="J3" s="2" t="s">
        <v>8</v>
      </c>
      <c r="K3" s="5" t="s">
        <v>9</v>
      </c>
      <c r="L3" s="4" t="s">
        <v>0</v>
      </c>
      <c r="M3" s="2" t="s">
        <v>8</v>
      </c>
      <c r="N3" s="5" t="s">
        <v>9</v>
      </c>
    </row>
    <row r="4" spans="1:14" ht="15.75" thickBot="1" x14ac:dyDescent="0.3">
      <c r="A4" s="13" t="s">
        <v>10</v>
      </c>
      <c r="B4" s="15">
        <v>1.6703407999999999E-2</v>
      </c>
      <c r="C4" s="4">
        <v>-100</v>
      </c>
      <c r="D4" s="9">
        <v>8.1037609999999995E-4</v>
      </c>
      <c r="E4" s="5">
        <v>6.9227149372088096E-3</v>
      </c>
      <c r="F4" s="4">
        <v>2</v>
      </c>
      <c r="G4" s="9">
        <v>0.25205760300000002</v>
      </c>
      <c r="H4" s="3">
        <v>4.1132617466122E-3</v>
      </c>
      <c r="I4" s="4">
        <v>0.1</v>
      </c>
      <c r="J4" s="9">
        <v>0.27483930000000001</v>
      </c>
      <c r="K4" s="5">
        <v>0.83769523300000004</v>
      </c>
      <c r="L4" s="4">
        <v>50000</v>
      </c>
      <c r="M4" s="9">
        <v>0.6926949</v>
      </c>
      <c r="N4" s="5">
        <v>43.800738809999999</v>
      </c>
    </row>
    <row r="5" spans="1:14" x14ac:dyDescent="0.25">
      <c r="A5" s="1"/>
      <c r="B5" s="1"/>
      <c r="C5" s="4">
        <v>-50</v>
      </c>
      <c r="D5" s="9">
        <v>1.080424E-3</v>
      </c>
      <c r="E5" s="5">
        <v>8.2992418896631007E-3</v>
      </c>
      <c r="F5" s="4">
        <v>4</v>
      </c>
      <c r="G5" s="9">
        <v>0.46869343099999999</v>
      </c>
      <c r="H5" s="3">
        <v>7.6571225135430299E-3</v>
      </c>
      <c r="I5" s="4">
        <v>0.2</v>
      </c>
      <c r="J5" s="14" t="s">
        <v>10</v>
      </c>
      <c r="K5" s="5">
        <v>1.0429859450000001</v>
      </c>
      <c r="L5" s="4">
        <v>100000</v>
      </c>
      <c r="M5" s="9">
        <v>0.86584510000000003</v>
      </c>
      <c r="N5" s="5">
        <v>54.142466540000001</v>
      </c>
    </row>
    <row r="6" spans="1:14" x14ac:dyDescent="0.25">
      <c r="A6" s="1"/>
      <c r="B6" s="1"/>
      <c r="C6" s="4">
        <v>0</v>
      </c>
      <c r="D6" s="9">
        <v>4.1355039999999999E-3</v>
      </c>
      <c r="E6" s="5">
        <v>1.1245701504269E-2</v>
      </c>
      <c r="F6" s="4">
        <v>6</v>
      </c>
      <c r="G6" s="9">
        <v>0.69489023400000005</v>
      </c>
      <c r="H6" s="3">
        <v>1.1628870211616E-2</v>
      </c>
      <c r="I6" s="4">
        <v>0.3</v>
      </c>
      <c r="J6" s="9">
        <v>0.54601169999999999</v>
      </c>
      <c r="K6" s="5">
        <v>1.2084752540000001</v>
      </c>
      <c r="L6" s="4">
        <v>150000</v>
      </c>
      <c r="M6" s="9">
        <v>1.3405309999999999</v>
      </c>
      <c r="N6" s="5">
        <v>64.900276410000004</v>
      </c>
    </row>
    <row r="7" spans="1:14" x14ac:dyDescent="0.25">
      <c r="A7" s="1"/>
      <c r="B7" s="1"/>
      <c r="C7" s="4">
        <v>50</v>
      </c>
      <c r="D7" s="9">
        <v>1.2774519999999999E-2</v>
      </c>
      <c r="E7" s="5">
        <v>1.7864693732014301E-2</v>
      </c>
      <c r="F7" s="4">
        <v>8</v>
      </c>
      <c r="G7" s="9">
        <v>0.86205042099999996</v>
      </c>
      <c r="H7" s="3">
        <v>1.4386698209974E-2</v>
      </c>
      <c r="I7" s="4">
        <v>0.4</v>
      </c>
      <c r="J7" s="9">
        <v>0.60720669999999999</v>
      </c>
      <c r="K7" s="5">
        <v>1.2700508100000001</v>
      </c>
      <c r="L7" s="4">
        <v>200000</v>
      </c>
      <c r="M7" s="9">
        <v>1.338239</v>
      </c>
      <c r="N7" s="5">
        <v>63.805356230000001</v>
      </c>
    </row>
    <row r="8" spans="1:14" ht="15.75" thickBot="1" x14ac:dyDescent="0.3">
      <c r="A8" s="1"/>
      <c r="B8" s="1"/>
      <c r="C8" s="4">
        <v>100</v>
      </c>
      <c r="D8" s="9">
        <v>2.802638E-2</v>
      </c>
      <c r="E8" s="5">
        <v>3.4021339794591501E-2</v>
      </c>
      <c r="F8" s="4">
        <v>10</v>
      </c>
      <c r="G8" s="9">
        <v>0.98545797999999996</v>
      </c>
      <c r="H8" s="3">
        <v>1.6369632078289301E-2</v>
      </c>
      <c r="I8" s="4">
        <v>0.5</v>
      </c>
      <c r="J8" s="9">
        <v>0.63850629999999997</v>
      </c>
      <c r="K8" s="5">
        <v>1.293138256</v>
      </c>
      <c r="L8" s="4">
        <v>250000</v>
      </c>
      <c r="M8" s="11">
        <v>0.9260661</v>
      </c>
      <c r="N8" s="7">
        <v>58.424022620000002</v>
      </c>
    </row>
    <row r="9" spans="1:14" ht="15.75" thickBot="1" x14ac:dyDescent="0.3">
      <c r="A9" s="1"/>
      <c r="B9" s="1"/>
      <c r="C9" s="4">
        <v>150</v>
      </c>
      <c r="D9" s="9">
        <v>4.358049E-2</v>
      </c>
      <c r="E9" s="5">
        <v>4.41977124090552E-2</v>
      </c>
      <c r="F9" s="6">
        <v>12</v>
      </c>
      <c r="G9" s="11">
        <v>1.017486761</v>
      </c>
      <c r="H9" s="8">
        <v>1.6895408676068299E-2</v>
      </c>
      <c r="I9" s="4">
        <v>0.6</v>
      </c>
      <c r="J9" s="9">
        <v>0.66288959999999997</v>
      </c>
      <c r="K9" s="5">
        <v>1.2750136750000001</v>
      </c>
      <c r="L9" s="1"/>
      <c r="M9" s="1"/>
      <c r="N9" s="1"/>
    </row>
    <row r="10" spans="1:14" x14ac:dyDescent="0.25">
      <c r="A10" s="1"/>
      <c r="B10" s="1"/>
      <c r="C10" s="4">
        <v>200</v>
      </c>
      <c r="D10" s="9">
        <v>4.9981299999999999E-2</v>
      </c>
      <c r="E10" s="5">
        <v>4.1514152102388499E-2</v>
      </c>
      <c r="F10" s="1"/>
      <c r="G10" s="1"/>
      <c r="H10" s="1"/>
      <c r="I10" s="4">
        <v>0.7</v>
      </c>
      <c r="J10" s="9">
        <v>0.6991366</v>
      </c>
      <c r="K10" s="5">
        <v>1.3519669809999999</v>
      </c>
      <c r="L10" s="1"/>
      <c r="M10" s="1"/>
      <c r="N10" s="1"/>
    </row>
    <row r="11" spans="1:14" ht="15.75" thickBot="1" x14ac:dyDescent="0.3">
      <c r="A11" s="1"/>
      <c r="B11" s="1"/>
      <c r="C11" s="6">
        <v>250</v>
      </c>
      <c r="D11" s="11">
        <v>4.1886E-2</v>
      </c>
      <c r="E11" s="7">
        <v>3.69722417522979E-2</v>
      </c>
      <c r="F11" s="1"/>
      <c r="G11" s="1"/>
      <c r="H11" s="1"/>
      <c r="I11" s="6">
        <v>0.8</v>
      </c>
      <c r="J11" s="11">
        <v>0.74611769999999999</v>
      </c>
      <c r="K11" s="7">
        <v>1.148504448</v>
      </c>
      <c r="L11" s="1"/>
      <c r="M11" s="1"/>
      <c r="N11" s="1"/>
    </row>
  </sheetData>
  <mergeCells count="6">
    <mergeCell ref="A1:N1"/>
    <mergeCell ref="A2:B2"/>
    <mergeCell ref="C2:E2"/>
    <mergeCell ref="F2:H2"/>
    <mergeCell ref="I2:K2"/>
    <mergeCell ref="L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Curt</vt:lpstr>
      <vt:lpstr>Dflt</vt:lpstr>
      <vt:lpstr>Turn</vt:lpstr>
      <vt:lpstr>Refi</vt:lpstr>
      <vt:lpstr>Curt!aa_1</vt:lpstr>
      <vt:lpstr>Dflt!aa_1</vt:lpstr>
      <vt:lpstr>Turn!aa_1</vt:lpstr>
      <vt:lpstr>Curt!aa_2</vt:lpstr>
      <vt:lpstr>Turn!aa_2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2014-07-01T17:32:57Z</dcterms:created>
  <dcterms:modified xsi:type="dcterms:W3CDTF">2014-07-03T19:46:19Z</dcterms:modified>
</cp:coreProperties>
</file>