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pivotCache/pivotCacheDefinition4.xml" ContentType="application/vnd.openxmlformats-officedocument.spreadsheetml.pivotCacheDefinition+xml"/>
  <Override PartName="/xl/pivotCache/pivotCacheRecords4.xml" ContentType="application/vnd.openxmlformats-officedocument.spreadsheetml.pivotCacheRecords+xml"/>
  <Override PartName="/xl/pivotCache/pivotCacheDefinition5.xml" ContentType="application/vnd.openxmlformats-officedocument.spreadsheetml.pivotCacheDefinition+xml"/>
  <Override PartName="/xl/pivotCache/pivotCacheRecords5.xml" ContentType="application/vnd.openxmlformats-officedocument.spreadsheetml.pivotCacheRecords+xml"/>
  <Override PartName="/xl/pivotCache/pivotCacheDefinition6.xml" ContentType="application/vnd.openxmlformats-officedocument.spreadsheetml.pivotCacheDefinition+xml"/>
  <Override PartName="/xl/pivotCache/pivotCacheRecords6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4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150" windowWidth="20175" windowHeight="10005" activeTab="3"/>
  </bookViews>
  <sheets>
    <sheet name="fhl_example" sheetId="5" r:id="rId1"/>
    <sheet name="Sheet7" sheetId="7" r:id="rId2"/>
    <sheet name="fhl_pool" sheetId="8" r:id="rId3"/>
    <sheet name="fnm_pool" sheetId="9" r:id="rId4"/>
    <sheet name="fnm_loan" sheetId="10" r:id="rId5"/>
  </sheets>
  <calcPr calcId="145621"/>
  <pivotCaches>
    <pivotCache cacheId="250" r:id="rId6"/>
    <pivotCache cacheId="254" r:id="rId7"/>
    <pivotCache cacheId="277" r:id="rId8"/>
    <pivotCache cacheId="284" r:id="rId9"/>
    <pivotCache cacheId="292" r:id="rId10"/>
    <pivotCache cacheId="296" r:id="rId11"/>
  </pivotCaches>
</workbook>
</file>

<file path=xl/calcChain.xml><?xml version="1.0" encoding="utf-8"?>
<calcChain xmlns="http://schemas.openxmlformats.org/spreadsheetml/2006/main">
  <c r="AH144" i="9" l="1"/>
  <c r="AH145" i="9"/>
  <c r="AH146" i="9"/>
  <c r="AH147" i="9"/>
  <c r="AH148" i="9"/>
  <c r="AH149" i="9"/>
  <c r="AH150" i="9"/>
  <c r="AH151" i="9"/>
  <c r="AH152" i="9"/>
  <c r="AH153" i="9"/>
  <c r="AH154" i="9"/>
  <c r="AH155" i="9"/>
  <c r="AH156" i="9"/>
  <c r="AH157" i="9"/>
  <c r="AH158" i="9"/>
  <c r="AH159" i="9"/>
  <c r="AH160" i="9"/>
  <c r="AH161" i="9"/>
  <c r="AH162" i="9"/>
  <c r="AH163" i="9"/>
  <c r="AH164" i="9"/>
  <c r="AH165" i="9"/>
  <c r="AH166" i="9"/>
  <c r="AH167" i="9"/>
  <c r="AH168" i="9"/>
  <c r="AH169" i="9"/>
  <c r="AH170" i="9"/>
  <c r="AH171" i="9"/>
  <c r="AH172" i="9"/>
  <c r="AH173" i="9"/>
  <c r="AH174" i="9"/>
  <c r="AH175" i="9"/>
  <c r="AH176" i="9"/>
  <c r="AH177" i="9"/>
  <c r="AH178" i="9"/>
  <c r="AH179" i="9"/>
  <c r="AH180" i="9"/>
  <c r="AH181" i="9"/>
  <c r="AH182" i="9"/>
  <c r="AH183" i="9"/>
  <c r="AH184" i="9"/>
  <c r="AH185" i="9"/>
  <c r="AH186" i="9"/>
  <c r="AH187" i="9"/>
  <c r="AH188" i="9"/>
  <c r="AH189" i="9"/>
  <c r="AH190" i="9"/>
  <c r="AH191" i="9"/>
  <c r="AH192" i="9"/>
  <c r="AH193" i="9"/>
  <c r="AH194" i="9"/>
  <c r="AH195" i="9"/>
  <c r="AH196" i="9"/>
  <c r="AH197" i="9"/>
  <c r="AH198" i="9"/>
  <c r="AH199" i="9"/>
  <c r="AH200" i="9"/>
  <c r="AH201" i="9"/>
  <c r="AH202" i="9"/>
  <c r="AH203" i="9"/>
  <c r="AH204" i="9"/>
  <c r="AH205" i="9"/>
  <c r="AH206" i="9"/>
  <c r="AH207" i="9"/>
  <c r="AH208" i="9"/>
  <c r="AH209" i="9"/>
  <c r="AH210" i="9"/>
  <c r="AH211" i="9"/>
  <c r="AH212" i="9"/>
  <c r="AH213" i="9"/>
  <c r="AH214" i="9"/>
  <c r="AH215" i="9"/>
  <c r="AH216" i="9"/>
  <c r="AH217" i="9"/>
  <c r="AH218" i="9"/>
  <c r="AH219" i="9"/>
  <c r="AH220" i="9"/>
  <c r="AH221" i="9"/>
  <c r="AH222" i="9"/>
  <c r="AH223" i="9"/>
  <c r="AH224" i="9"/>
  <c r="AH225" i="9"/>
  <c r="AH226" i="9"/>
  <c r="AH227" i="9"/>
  <c r="AH228" i="9"/>
  <c r="AH229" i="9"/>
  <c r="AH230" i="9"/>
  <c r="AH231" i="9"/>
  <c r="AH232" i="9"/>
  <c r="AH233" i="9"/>
  <c r="AH234" i="9"/>
  <c r="AH235" i="9"/>
  <c r="AH236" i="9"/>
  <c r="AH237" i="9"/>
  <c r="AH238" i="9"/>
  <c r="AH239" i="9"/>
  <c r="AH240" i="9"/>
  <c r="AH241" i="9"/>
  <c r="AH242" i="9"/>
  <c r="AH243" i="9"/>
  <c r="AH244" i="9"/>
  <c r="AH245" i="9"/>
  <c r="AH246" i="9"/>
  <c r="AH247" i="9"/>
  <c r="AH248" i="9"/>
  <c r="AH249" i="9"/>
  <c r="AH250" i="9"/>
  <c r="AH251" i="9"/>
  <c r="AH252" i="9"/>
  <c r="AH253" i="9"/>
  <c r="AH254" i="9"/>
  <c r="AH255" i="9"/>
  <c r="AH256" i="9"/>
  <c r="AH257" i="9"/>
  <c r="AH258" i="9"/>
  <c r="AH259" i="9"/>
  <c r="AH260" i="9"/>
  <c r="AH261" i="9"/>
  <c r="AH262" i="9"/>
  <c r="AH263" i="9"/>
  <c r="AH264" i="9"/>
  <c r="AH265" i="9"/>
  <c r="AH266" i="9"/>
  <c r="AH267" i="9"/>
  <c r="AH268" i="9"/>
  <c r="AH269" i="9"/>
  <c r="AH270" i="9"/>
  <c r="AH271" i="9"/>
  <c r="AH272" i="9"/>
  <c r="AH273" i="9"/>
  <c r="AH274" i="9"/>
  <c r="AH275" i="9"/>
  <c r="AH276" i="9"/>
  <c r="AH277" i="9"/>
  <c r="AH5" i="9"/>
  <c r="AH6" i="9"/>
  <c r="AH7" i="9"/>
  <c r="AH8" i="9"/>
  <c r="AH9" i="9"/>
  <c r="AH10" i="9"/>
  <c r="AH11" i="9"/>
  <c r="AH12" i="9"/>
  <c r="AH13" i="9"/>
  <c r="AH14" i="9"/>
  <c r="AH15" i="9"/>
  <c r="AH16" i="9"/>
  <c r="AH17" i="9"/>
  <c r="AH18" i="9"/>
  <c r="AH19" i="9"/>
  <c r="AH20" i="9"/>
  <c r="AH21" i="9"/>
  <c r="AH22" i="9"/>
  <c r="AH23" i="9"/>
  <c r="AH24" i="9"/>
  <c r="AH25" i="9"/>
  <c r="AH26" i="9"/>
  <c r="AH27" i="9"/>
  <c r="AH28" i="9"/>
  <c r="AH29" i="9"/>
  <c r="AH30" i="9"/>
  <c r="AH31" i="9"/>
  <c r="AH32" i="9"/>
  <c r="AH33" i="9"/>
  <c r="AH34" i="9"/>
  <c r="AH35" i="9"/>
  <c r="AH36" i="9"/>
  <c r="AH37" i="9"/>
  <c r="AH38" i="9"/>
  <c r="AH39" i="9"/>
  <c r="AH40" i="9"/>
  <c r="AH41" i="9"/>
  <c r="AH42" i="9"/>
  <c r="AH43" i="9"/>
  <c r="AH44" i="9"/>
  <c r="AH45" i="9"/>
  <c r="AH46" i="9"/>
  <c r="AH47" i="9"/>
  <c r="AH48" i="9"/>
  <c r="AH49" i="9"/>
  <c r="AH50" i="9"/>
  <c r="AH51" i="9"/>
  <c r="AH52" i="9"/>
  <c r="AH53" i="9"/>
  <c r="AH54" i="9"/>
  <c r="AH55" i="9"/>
  <c r="AH56" i="9"/>
  <c r="AH57" i="9"/>
  <c r="AH58" i="9"/>
  <c r="AH59" i="9"/>
  <c r="AH60" i="9"/>
  <c r="AH61" i="9"/>
  <c r="AH62" i="9"/>
  <c r="AH63" i="9"/>
  <c r="AH64" i="9"/>
  <c r="AH65" i="9"/>
  <c r="AH66" i="9"/>
  <c r="AH67" i="9"/>
  <c r="AH68" i="9"/>
  <c r="AH69" i="9"/>
  <c r="AH70" i="9"/>
  <c r="AH71" i="9"/>
  <c r="AH72" i="9"/>
  <c r="AH73" i="9"/>
  <c r="AH74" i="9"/>
  <c r="AH75" i="9"/>
  <c r="AH76" i="9"/>
  <c r="AH77" i="9"/>
  <c r="AH78" i="9"/>
  <c r="AH79" i="9"/>
  <c r="AH80" i="9"/>
  <c r="AH81" i="9"/>
  <c r="AH82" i="9"/>
  <c r="AH83" i="9"/>
  <c r="AH84" i="9"/>
  <c r="AH85" i="9"/>
  <c r="AH86" i="9"/>
  <c r="AH87" i="9"/>
  <c r="AH88" i="9"/>
  <c r="AH89" i="9"/>
  <c r="AH90" i="9"/>
  <c r="AH91" i="9"/>
  <c r="AH92" i="9"/>
  <c r="AH93" i="9"/>
  <c r="AH94" i="9"/>
  <c r="AH95" i="9"/>
  <c r="AH96" i="9"/>
  <c r="AH97" i="9"/>
  <c r="AH98" i="9"/>
  <c r="AH99" i="9"/>
  <c r="AH100" i="9"/>
  <c r="AH101" i="9"/>
  <c r="AH102" i="9"/>
  <c r="AH103" i="9"/>
  <c r="AH104" i="9"/>
  <c r="AH105" i="9"/>
  <c r="AH106" i="9"/>
  <c r="AH107" i="9"/>
  <c r="AH108" i="9"/>
  <c r="AH109" i="9"/>
  <c r="AH110" i="9"/>
  <c r="AH111" i="9"/>
  <c r="AH112" i="9"/>
  <c r="AH113" i="9"/>
  <c r="AH114" i="9"/>
  <c r="AH115" i="9"/>
  <c r="AH116" i="9"/>
  <c r="AH117" i="9"/>
  <c r="AH118" i="9"/>
  <c r="AH119" i="9"/>
  <c r="AH120" i="9"/>
  <c r="AH121" i="9"/>
  <c r="AH122" i="9"/>
  <c r="AH123" i="9"/>
  <c r="AH124" i="9"/>
  <c r="AH125" i="9"/>
  <c r="AH126" i="9"/>
  <c r="AH127" i="9"/>
  <c r="AH128" i="9"/>
  <c r="AH129" i="9"/>
  <c r="AH130" i="9"/>
  <c r="AH131" i="9"/>
  <c r="AH132" i="9"/>
  <c r="AH133" i="9"/>
  <c r="AH134" i="9"/>
  <c r="AH135" i="9"/>
  <c r="AH136" i="9"/>
  <c r="AH137" i="9"/>
  <c r="AH138" i="9"/>
  <c r="AH139" i="9"/>
  <c r="AH140" i="9"/>
  <c r="AH141" i="9"/>
  <c r="AH142" i="9"/>
  <c r="AH143" i="9"/>
  <c r="AH4" i="9"/>
  <c r="AN57" i="8"/>
  <c r="AM52" i="8"/>
  <c r="AM50" i="8"/>
</calcChain>
</file>

<file path=xl/sharedStrings.xml><?xml version="1.0" encoding="utf-8"?>
<sst xmlns="http://schemas.openxmlformats.org/spreadsheetml/2006/main" count="2412" uniqueCount="30">
  <si>
    <t>incentive</t>
  </si>
  <si>
    <t>burnout</t>
  </si>
  <si>
    <t>asOf</t>
  </si>
  <si>
    <t>eligible</t>
  </si>
  <si>
    <t>conventional_refi_incentive</t>
  </si>
  <si>
    <t>burnout_230</t>
  </si>
  <si>
    <t>burnout_220</t>
  </si>
  <si>
    <t>issueId</t>
  </si>
  <si>
    <t>marketTicker</t>
  </si>
  <si>
    <t>count(1)</t>
  </si>
  <si>
    <t>sum(sph.schamBalance)</t>
  </si>
  <si>
    <t>wavg_burnout</t>
  </si>
  <si>
    <t>FGLMC</t>
  </si>
  <si>
    <t>FGT6</t>
  </si>
  <si>
    <t>FGU6</t>
  </si>
  <si>
    <t>FGU9</t>
  </si>
  <si>
    <t>Row Labels</t>
  </si>
  <si>
    <t>Grand Total</t>
  </si>
  <si>
    <t>Sum of wavg_burnout</t>
  </si>
  <si>
    <t>v2.00</t>
  </si>
  <si>
    <t>v2.30</t>
  </si>
  <si>
    <t>sum(slh.schamBalance)</t>
  </si>
  <si>
    <t>FNCK</t>
  </si>
  <si>
    <t>FNCL</t>
  </si>
  <si>
    <t>FNCQ30</t>
  </si>
  <si>
    <t>FNCR</t>
  </si>
  <si>
    <t>sum(p.schamBalance)</t>
  </si>
  <si>
    <t>Sum of burnout</t>
  </si>
  <si>
    <t>FNMA</t>
  </si>
  <si>
    <t>FHL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</si>
</sst>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73" formatCode="_(* #,##0_);_(* \(#,##0\);_(* &quot;-&quot;??_);_(@_)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14" fontId="0" fillId="0" borderId="0" xfId="0" applyNumberFormat="1" applyAlignment="1">
      <alignment horizontal="left"/>
    </xf>
    <xf numFmtId="0" fontId="0" fillId="0" borderId="0" xfId="0" applyAlignment="1">
      <alignment horizontal="left"/>
    </xf>
    <xf numFmtId="0" fontId="0" fillId="0" borderId="0" xfId="0" applyNumberFormat="1"/>
    <xf numFmtId="173" fontId="0" fillId="0" borderId="0" xfId="1" applyNumberFormat="1" applyFont="1"/>
    <xf numFmtId="9" fontId="0" fillId="0" borderId="0" xfId="2" applyFont="1"/>
  </cellXfs>
  <cellStyles count="3">
    <cellStyle name="Comma" xfId="1" builtinId="3"/>
    <cellStyle name="Normal" xfId="0" builtinId="0"/>
    <cellStyle name="Percent" xfId="2" builtinId="5"/>
  </cellStyles>
  <dxfs count="2">
    <dxf>
      <fill>
        <patternFill>
          <bgColor theme="9" tint="0.79998168889431442"/>
        </patternFill>
      </fill>
    </dxf>
    <dxf>
      <fill>
        <patternFill>
          <bgColor theme="6" tint="0.7999816888943144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pivotCacheDefinition" Target="pivotCache/pivotCacheDefinition6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FGU6 Loan Example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fhl_example!$K$1</c:f>
              <c:strCache>
                <c:ptCount val="1"/>
                <c:pt idx="0">
                  <c:v>burnout_220</c:v>
                </c:pt>
              </c:strCache>
            </c:strRef>
          </c:tx>
          <c:marker>
            <c:symbol val="none"/>
          </c:marker>
          <c:cat>
            <c:numRef>
              <c:f>fhl_example!$H$2:$H$124</c:f>
              <c:numCache>
                <c:formatCode>m/d/yyyy</c:formatCode>
                <c:ptCount val="123"/>
                <c:pt idx="0">
                  <c:v>40269</c:v>
                </c:pt>
                <c:pt idx="1">
                  <c:v>40299</c:v>
                </c:pt>
                <c:pt idx="2">
                  <c:v>40330</c:v>
                </c:pt>
                <c:pt idx="3">
                  <c:v>40360</c:v>
                </c:pt>
                <c:pt idx="4">
                  <c:v>40391</c:v>
                </c:pt>
                <c:pt idx="5">
                  <c:v>40422</c:v>
                </c:pt>
                <c:pt idx="6">
                  <c:v>40452</c:v>
                </c:pt>
                <c:pt idx="7">
                  <c:v>40483</c:v>
                </c:pt>
                <c:pt idx="8">
                  <c:v>40513</c:v>
                </c:pt>
                <c:pt idx="9">
                  <c:v>40544</c:v>
                </c:pt>
                <c:pt idx="10">
                  <c:v>40575</c:v>
                </c:pt>
                <c:pt idx="11">
                  <c:v>40603</c:v>
                </c:pt>
                <c:pt idx="12">
                  <c:v>40634</c:v>
                </c:pt>
                <c:pt idx="13">
                  <c:v>40664</c:v>
                </c:pt>
                <c:pt idx="14">
                  <c:v>40695</c:v>
                </c:pt>
                <c:pt idx="15">
                  <c:v>40725</c:v>
                </c:pt>
                <c:pt idx="16">
                  <c:v>40756</c:v>
                </c:pt>
                <c:pt idx="17">
                  <c:v>40787</c:v>
                </c:pt>
                <c:pt idx="18">
                  <c:v>40817</c:v>
                </c:pt>
                <c:pt idx="19">
                  <c:v>40848</c:v>
                </c:pt>
                <c:pt idx="20">
                  <c:v>40878</c:v>
                </c:pt>
                <c:pt idx="21">
                  <c:v>40909</c:v>
                </c:pt>
                <c:pt idx="22">
                  <c:v>40940</c:v>
                </c:pt>
                <c:pt idx="23">
                  <c:v>40969</c:v>
                </c:pt>
                <c:pt idx="24">
                  <c:v>41000</c:v>
                </c:pt>
                <c:pt idx="25">
                  <c:v>41030</c:v>
                </c:pt>
                <c:pt idx="26">
                  <c:v>41061</c:v>
                </c:pt>
                <c:pt idx="27">
                  <c:v>41091</c:v>
                </c:pt>
                <c:pt idx="28">
                  <c:v>41122</c:v>
                </c:pt>
                <c:pt idx="29">
                  <c:v>41153</c:v>
                </c:pt>
                <c:pt idx="30">
                  <c:v>41183</c:v>
                </c:pt>
                <c:pt idx="31">
                  <c:v>41214</c:v>
                </c:pt>
                <c:pt idx="32">
                  <c:v>41244</c:v>
                </c:pt>
                <c:pt idx="33">
                  <c:v>41275</c:v>
                </c:pt>
                <c:pt idx="34">
                  <c:v>41306</c:v>
                </c:pt>
                <c:pt idx="35">
                  <c:v>41334</c:v>
                </c:pt>
                <c:pt idx="36">
                  <c:v>41365</c:v>
                </c:pt>
                <c:pt idx="37">
                  <c:v>41395</c:v>
                </c:pt>
                <c:pt idx="38">
                  <c:v>41426</c:v>
                </c:pt>
                <c:pt idx="39">
                  <c:v>41456</c:v>
                </c:pt>
                <c:pt idx="40">
                  <c:v>41487</c:v>
                </c:pt>
                <c:pt idx="41">
                  <c:v>41518</c:v>
                </c:pt>
                <c:pt idx="42">
                  <c:v>41548</c:v>
                </c:pt>
                <c:pt idx="43">
                  <c:v>41579</c:v>
                </c:pt>
                <c:pt idx="44">
                  <c:v>41609</c:v>
                </c:pt>
                <c:pt idx="45">
                  <c:v>41640</c:v>
                </c:pt>
                <c:pt idx="46">
                  <c:v>41671</c:v>
                </c:pt>
                <c:pt idx="47">
                  <c:v>41699</c:v>
                </c:pt>
                <c:pt idx="48">
                  <c:v>41730</c:v>
                </c:pt>
                <c:pt idx="49">
                  <c:v>41760</c:v>
                </c:pt>
                <c:pt idx="50">
                  <c:v>41791</c:v>
                </c:pt>
                <c:pt idx="51">
                  <c:v>41821</c:v>
                </c:pt>
                <c:pt idx="52">
                  <c:v>41852</c:v>
                </c:pt>
                <c:pt idx="53">
                  <c:v>41883</c:v>
                </c:pt>
                <c:pt idx="54">
                  <c:v>41913</c:v>
                </c:pt>
                <c:pt idx="55">
                  <c:v>41944</c:v>
                </c:pt>
                <c:pt idx="56">
                  <c:v>41974</c:v>
                </c:pt>
                <c:pt idx="57">
                  <c:v>42005</c:v>
                </c:pt>
                <c:pt idx="58">
                  <c:v>42036</c:v>
                </c:pt>
                <c:pt idx="59">
                  <c:v>42064</c:v>
                </c:pt>
                <c:pt idx="60">
                  <c:v>42095</c:v>
                </c:pt>
                <c:pt idx="61">
                  <c:v>42125</c:v>
                </c:pt>
                <c:pt idx="62">
                  <c:v>42156</c:v>
                </c:pt>
                <c:pt idx="63">
                  <c:v>42186</c:v>
                </c:pt>
                <c:pt idx="64">
                  <c:v>42217</c:v>
                </c:pt>
                <c:pt idx="65">
                  <c:v>42248</c:v>
                </c:pt>
                <c:pt idx="66">
                  <c:v>42278</c:v>
                </c:pt>
                <c:pt idx="67">
                  <c:v>42309</c:v>
                </c:pt>
                <c:pt idx="68">
                  <c:v>42339</c:v>
                </c:pt>
                <c:pt idx="69">
                  <c:v>42370</c:v>
                </c:pt>
                <c:pt idx="70">
                  <c:v>42401</c:v>
                </c:pt>
                <c:pt idx="71">
                  <c:v>42430</c:v>
                </c:pt>
                <c:pt idx="72">
                  <c:v>42461</c:v>
                </c:pt>
                <c:pt idx="73">
                  <c:v>42491</c:v>
                </c:pt>
                <c:pt idx="74">
                  <c:v>42522</c:v>
                </c:pt>
                <c:pt idx="75">
                  <c:v>42552</c:v>
                </c:pt>
                <c:pt idx="76">
                  <c:v>42583</c:v>
                </c:pt>
                <c:pt idx="77">
                  <c:v>42614</c:v>
                </c:pt>
                <c:pt idx="78">
                  <c:v>42644</c:v>
                </c:pt>
                <c:pt idx="79">
                  <c:v>42675</c:v>
                </c:pt>
              </c:numCache>
            </c:numRef>
          </c:cat>
          <c:val>
            <c:numRef>
              <c:f>fhl_example!$K$2:$K$124</c:f>
              <c:numCache>
                <c:formatCode>General</c:formatCode>
                <c:ptCount val="123"/>
                <c:pt idx="0">
                  <c:v>33.593200000000003</c:v>
                </c:pt>
                <c:pt idx="1">
                  <c:v>33.593200000000003</c:v>
                </c:pt>
                <c:pt idx="2">
                  <c:v>33.593200000000003</c:v>
                </c:pt>
                <c:pt idx="3">
                  <c:v>35.030099999999997</c:v>
                </c:pt>
                <c:pt idx="4">
                  <c:v>38.590699999999998</c:v>
                </c:pt>
                <c:pt idx="5">
                  <c:v>44.052700000000002</c:v>
                </c:pt>
                <c:pt idx="6">
                  <c:v>50.629100000000001</c:v>
                </c:pt>
                <c:pt idx="7">
                  <c:v>58.696300000000001</c:v>
                </c:pt>
                <c:pt idx="8">
                  <c:v>65.5625</c:v>
                </c:pt>
                <c:pt idx="9">
                  <c:v>66.818700000000007</c:v>
                </c:pt>
                <c:pt idx="10">
                  <c:v>67.386099999999999</c:v>
                </c:pt>
                <c:pt idx="11">
                  <c:v>67.386099999999999</c:v>
                </c:pt>
                <c:pt idx="12">
                  <c:v>67.386099999999999</c:v>
                </c:pt>
                <c:pt idx="13">
                  <c:v>67.386099999999999</c:v>
                </c:pt>
                <c:pt idx="14">
                  <c:v>69.851100000000002</c:v>
                </c:pt>
                <c:pt idx="15">
                  <c:v>74.124899999999997</c:v>
                </c:pt>
                <c:pt idx="16">
                  <c:v>82.173500000000004</c:v>
                </c:pt>
                <c:pt idx="17">
                  <c:v>94.570999999999998</c:v>
                </c:pt>
                <c:pt idx="18">
                  <c:v>109.92319999999999</c:v>
                </c:pt>
                <c:pt idx="19">
                  <c:v>125.03579999999999</c:v>
                </c:pt>
                <c:pt idx="20">
                  <c:v>141.73249999999999</c:v>
                </c:pt>
                <c:pt idx="21">
                  <c:v>159.0838</c:v>
                </c:pt>
                <c:pt idx="22">
                  <c:v>176.86429999999999</c:v>
                </c:pt>
                <c:pt idx="23">
                  <c:v>190.79519999999999</c:v>
                </c:pt>
                <c:pt idx="24">
                  <c:v>203.64009999999999</c:v>
                </c:pt>
                <c:pt idx="25">
                  <c:v>217.5829</c:v>
                </c:pt>
                <c:pt idx="26">
                  <c:v>233.16730000000001</c:v>
                </c:pt>
                <c:pt idx="27">
                  <c:v>250.9888</c:v>
                </c:pt>
                <c:pt idx="28">
                  <c:v>270.77620000000002</c:v>
                </c:pt>
                <c:pt idx="29">
                  <c:v>290.05079999999998</c:v>
                </c:pt>
                <c:pt idx="30">
                  <c:v>311.14240000000001</c:v>
                </c:pt>
                <c:pt idx="31">
                  <c:v>333.93799999999999</c:v>
                </c:pt>
                <c:pt idx="32">
                  <c:v>357.25619999999998</c:v>
                </c:pt>
                <c:pt idx="33">
                  <c:v>380.63929999999999</c:v>
                </c:pt>
                <c:pt idx="34">
                  <c:v>402.83370000000002</c:v>
                </c:pt>
                <c:pt idx="35">
                  <c:v>422.60019999999997</c:v>
                </c:pt>
                <c:pt idx="36">
                  <c:v>441.9289</c:v>
                </c:pt>
                <c:pt idx="37">
                  <c:v>463.10520000000002</c:v>
                </c:pt>
                <c:pt idx="38">
                  <c:v>482.98039999999997</c:v>
                </c:pt>
                <c:pt idx="39">
                  <c:v>494.18169999999998</c:v>
                </c:pt>
                <c:pt idx="40">
                  <c:v>496.27480000000003</c:v>
                </c:pt>
                <c:pt idx="41">
                  <c:v>497.04939999999999</c:v>
                </c:pt>
                <c:pt idx="42">
                  <c:v>497.58229999999998</c:v>
                </c:pt>
                <c:pt idx="43">
                  <c:v>502.3297</c:v>
                </c:pt>
                <c:pt idx="44">
                  <c:v>506.15719999999999</c:v>
                </c:pt>
                <c:pt idx="45">
                  <c:v>507.39949999999999</c:v>
                </c:pt>
                <c:pt idx="46">
                  <c:v>508.75290000000001</c:v>
                </c:pt>
                <c:pt idx="47">
                  <c:v>511.9941</c:v>
                </c:pt>
                <c:pt idx="48">
                  <c:v>514.9348</c:v>
                </c:pt>
                <c:pt idx="49">
                  <c:v>518.59490000000005</c:v>
                </c:pt>
                <c:pt idx="50">
                  <c:v>524.8569</c:v>
                </c:pt>
                <c:pt idx="51">
                  <c:v>531.37480000000005</c:v>
                </c:pt>
                <c:pt idx="52">
                  <c:v>538.18589999999995</c:v>
                </c:pt>
                <c:pt idx="53">
                  <c:v>545.30960000000005</c:v>
                </c:pt>
                <c:pt idx="54">
                  <c:v>552.01070000000004</c:v>
                </c:pt>
                <c:pt idx="55">
                  <c:v>560.65940000000001</c:v>
                </c:pt>
                <c:pt idx="56">
                  <c:v>569.81050000000005</c:v>
                </c:pt>
                <c:pt idx="57">
                  <c:v>580.75900000000001</c:v>
                </c:pt>
                <c:pt idx="58">
                  <c:v>594.46550000000002</c:v>
                </c:pt>
                <c:pt idx="59">
                  <c:v>607.54459999999995</c:v>
                </c:pt>
                <c:pt idx="60">
                  <c:v>619.78700000000003</c:v>
                </c:pt>
                <c:pt idx="61">
                  <c:v>633.48170000000005</c:v>
                </c:pt>
                <c:pt idx="62">
                  <c:v>669.28150000000005</c:v>
                </c:pt>
                <c:pt idx="63">
                  <c:v>702.20429999999999</c:v>
                </c:pt>
                <c:pt idx="64">
                  <c:v>734.15949999999998</c:v>
                </c:pt>
                <c:pt idx="65">
                  <c:v>783.35109999999997</c:v>
                </c:pt>
                <c:pt idx="66">
                  <c:v>832.94719999999995</c:v>
                </c:pt>
                <c:pt idx="67">
                  <c:v>884.92539999999997</c:v>
                </c:pt>
                <c:pt idx="68">
                  <c:v>933.14030000000002</c:v>
                </c:pt>
                <c:pt idx="69">
                  <c:v>981.01689999999996</c:v>
                </c:pt>
                <c:pt idx="70">
                  <c:v>1030.9402</c:v>
                </c:pt>
                <c:pt idx="71">
                  <c:v>1086.0821000000001</c:v>
                </c:pt>
                <c:pt idx="72">
                  <c:v>1146.4159999999999</c:v>
                </c:pt>
                <c:pt idx="73">
                  <c:v>1207.3158000000001</c:v>
                </c:pt>
                <c:pt idx="74">
                  <c:v>1268.3417999999999</c:v>
                </c:pt>
                <c:pt idx="75">
                  <c:v>1330.3702000000001</c:v>
                </c:pt>
                <c:pt idx="76">
                  <c:v>1398.7972</c:v>
                </c:pt>
                <c:pt idx="77">
                  <c:v>1467.0884000000001</c:v>
                </c:pt>
                <c:pt idx="78">
                  <c:v>1534.6356000000001</c:v>
                </c:pt>
                <c:pt idx="79">
                  <c:v>1601.9135000000001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fhl_example!$L$1</c:f>
              <c:strCache>
                <c:ptCount val="1"/>
                <c:pt idx="0">
                  <c:v>burnout_230</c:v>
                </c:pt>
              </c:strCache>
            </c:strRef>
          </c:tx>
          <c:marker>
            <c:symbol val="none"/>
          </c:marker>
          <c:cat>
            <c:numRef>
              <c:f>fhl_example!$H$2:$H$124</c:f>
              <c:numCache>
                <c:formatCode>m/d/yyyy</c:formatCode>
                <c:ptCount val="123"/>
                <c:pt idx="0">
                  <c:v>40269</c:v>
                </c:pt>
                <c:pt idx="1">
                  <c:v>40299</c:v>
                </c:pt>
                <c:pt idx="2">
                  <c:v>40330</c:v>
                </c:pt>
                <c:pt idx="3">
                  <c:v>40360</c:v>
                </c:pt>
                <c:pt idx="4">
                  <c:v>40391</c:v>
                </c:pt>
                <c:pt idx="5">
                  <c:v>40422</c:v>
                </c:pt>
                <c:pt idx="6">
                  <c:v>40452</c:v>
                </c:pt>
                <c:pt idx="7">
                  <c:v>40483</c:v>
                </c:pt>
                <c:pt idx="8">
                  <c:v>40513</c:v>
                </c:pt>
                <c:pt idx="9">
                  <c:v>40544</c:v>
                </c:pt>
                <c:pt idx="10">
                  <c:v>40575</c:v>
                </c:pt>
                <c:pt idx="11">
                  <c:v>40603</c:v>
                </c:pt>
                <c:pt idx="12">
                  <c:v>40634</c:v>
                </c:pt>
                <c:pt idx="13">
                  <c:v>40664</c:v>
                </c:pt>
                <c:pt idx="14">
                  <c:v>40695</c:v>
                </c:pt>
                <c:pt idx="15">
                  <c:v>40725</c:v>
                </c:pt>
                <c:pt idx="16">
                  <c:v>40756</c:v>
                </c:pt>
                <c:pt idx="17">
                  <c:v>40787</c:v>
                </c:pt>
                <c:pt idx="18">
                  <c:v>40817</c:v>
                </c:pt>
                <c:pt idx="19">
                  <c:v>40848</c:v>
                </c:pt>
                <c:pt idx="20">
                  <c:v>40878</c:v>
                </c:pt>
                <c:pt idx="21">
                  <c:v>40909</c:v>
                </c:pt>
                <c:pt idx="22">
                  <c:v>40940</c:v>
                </c:pt>
                <c:pt idx="23">
                  <c:v>40969</c:v>
                </c:pt>
                <c:pt idx="24">
                  <c:v>41000</c:v>
                </c:pt>
                <c:pt idx="25">
                  <c:v>41030</c:v>
                </c:pt>
                <c:pt idx="26">
                  <c:v>41061</c:v>
                </c:pt>
                <c:pt idx="27">
                  <c:v>41091</c:v>
                </c:pt>
                <c:pt idx="28">
                  <c:v>41122</c:v>
                </c:pt>
                <c:pt idx="29">
                  <c:v>41153</c:v>
                </c:pt>
                <c:pt idx="30">
                  <c:v>41183</c:v>
                </c:pt>
                <c:pt idx="31">
                  <c:v>41214</c:v>
                </c:pt>
                <c:pt idx="32">
                  <c:v>41244</c:v>
                </c:pt>
                <c:pt idx="33">
                  <c:v>41275</c:v>
                </c:pt>
                <c:pt idx="34">
                  <c:v>41306</c:v>
                </c:pt>
                <c:pt idx="35">
                  <c:v>41334</c:v>
                </c:pt>
                <c:pt idx="36">
                  <c:v>41365</c:v>
                </c:pt>
                <c:pt idx="37">
                  <c:v>41395</c:v>
                </c:pt>
                <c:pt idx="38">
                  <c:v>41426</c:v>
                </c:pt>
                <c:pt idx="39">
                  <c:v>41456</c:v>
                </c:pt>
                <c:pt idx="40">
                  <c:v>41487</c:v>
                </c:pt>
                <c:pt idx="41">
                  <c:v>41518</c:v>
                </c:pt>
                <c:pt idx="42">
                  <c:v>41548</c:v>
                </c:pt>
                <c:pt idx="43">
                  <c:v>41579</c:v>
                </c:pt>
                <c:pt idx="44">
                  <c:v>41609</c:v>
                </c:pt>
                <c:pt idx="45">
                  <c:v>41640</c:v>
                </c:pt>
                <c:pt idx="46">
                  <c:v>41671</c:v>
                </c:pt>
                <c:pt idx="47">
                  <c:v>41699</c:v>
                </c:pt>
                <c:pt idx="48">
                  <c:v>41730</c:v>
                </c:pt>
                <c:pt idx="49">
                  <c:v>41760</c:v>
                </c:pt>
                <c:pt idx="50">
                  <c:v>41791</c:v>
                </c:pt>
                <c:pt idx="51">
                  <c:v>41821</c:v>
                </c:pt>
                <c:pt idx="52">
                  <c:v>41852</c:v>
                </c:pt>
                <c:pt idx="53">
                  <c:v>41883</c:v>
                </c:pt>
                <c:pt idx="54">
                  <c:v>41913</c:v>
                </c:pt>
                <c:pt idx="55">
                  <c:v>41944</c:v>
                </c:pt>
                <c:pt idx="56">
                  <c:v>41974</c:v>
                </c:pt>
                <c:pt idx="57">
                  <c:v>42005</c:v>
                </c:pt>
                <c:pt idx="58">
                  <c:v>42036</c:v>
                </c:pt>
                <c:pt idx="59">
                  <c:v>42064</c:v>
                </c:pt>
                <c:pt idx="60">
                  <c:v>42095</c:v>
                </c:pt>
                <c:pt idx="61">
                  <c:v>42125</c:v>
                </c:pt>
                <c:pt idx="62">
                  <c:v>42156</c:v>
                </c:pt>
                <c:pt idx="63">
                  <c:v>42186</c:v>
                </c:pt>
                <c:pt idx="64">
                  <c:v>42217</c:v>
                </c:pt>
                <c:pt idx="65">
                  <c:v>42248</c:v>
                </c:pt>
                <c:pt idx="66">
                  <c:v>42278</c:v>
                </c:pt>
                <c:pt idx="67">
                  <c:v>42309</c:v>
                </c:pt>
                <c:pt idx="68">
                  <c:v>42339</c:v>
                </c:pt>
                <c:pt idx="69">
                  <c:v>42370</c:v>
                </c:pt>
                <c:pt idx="70">
                  <c:v>42401</c:v>
                </c:pt>
                <c:pt idx="71">
                  <c:v>42430</c:v>
                </c:pt>
                <c:pt idx="72">
                  <c:v>42461</c:v>
                </c:pt>
                <c:pt idx="73">
                  <c:v>42491</c:v>
                </c:pt>
                <c:pt idx="74">
                  <c:v>42522</c:v>
                </c:pt>
                <c:pt idx="75">
                  <c:v>42552</c:v>
                </c:pt>
                <c:pt idx="76">
                  <c:v>42583</c:v>
                </c:pt>
                <c:pt idx="77">
                  <c:v>42614</c:v>
                </c:pt>
                <c:pt idx="78">
                  <c:v>42644</c:v>
                </c:pt>
                <c:pt idx="79">
                  <c:v>42675</c:v>
                </c:pt>
              </c:numCache>
            </c:numRef>
          </c:cat>
          <c:val>
            <c:numRef>
              <c:f>fhl_example!$L$2:$L$124</c:f>
              <c:numCache>
                <c:formatCode>General</c:formatCode>
                <c:ptCount val="123"/>
                <c:pt idx="0">
                  <c:v>27.95</c:v>
                </c:pt>
                <c:pt idx="1">
                  <c:v>27.95</c:v>
                </c:pt>
                <c:pt idx="2">
                  <c:v>27.95</c:v>
                </c:pt>
                <c:pt idx="3">
                  <c:v>27.95</c:v>
                </c:pt>
                <c:pt idx="4">
                  <c:v>27.95</c:v>
                </c:pt>
                <c:pt idx="5">
                  <c:v>27.95</c:v>
                </c:pt>
                <c:pt idx="6">
                  <c:v>27.95</c:v>
                </c:pt>
                <c:pt idx="7">
                  <c:v>27.95</c:v>
                </c:pt>
                <c:pt idx="8">
                  <c:v>27.95</c:v>
                </c:pt>
                <c:pt idx="9">
                  <c:v>27.95</c:v>
                </c:pt>
                <c:pt idx="10">
                  <c:v>27.95</c:v>
                </c:pt>
                <c:pt idx="11">
                  <c:v>27.95</c:v>
                </c:pt>
                <c:pt idx="12">
                  <c:v>27.95</c:v>
                </c:pt>
                <c:pt idx="13">
                  <c:v>27.95</c:v>
                </c:pt>
                <c:pt idx="14">
                  <c:v>27.95</c:v>
                </c:pt>
                <c:pt idx="15">
                  <c:v>27.95</c:v>
                </c:pt>
                <c:pt idx="16">
                  <c:v>27.95</c:v>
                </c:pt>
                <c:pt idx="17">
                  <c:v>27.95</c:v>
                </c:pt>
                <c:pt idx="18">
                  <c:v>27.95</c:v>
                </c:pt>
                <c:pt idx="19">
                  <c:v>27.95</c:v>
                </c:pt>
                <c:pt idx="20">
                  <c:v>27.95</c:v>
                </c:pt>
                <c:pt idx="21">
                  <c:v>27.95</c:v>
                </c:pt>
                <c:pt idx="22">
                  <c:v>27.95</c:v>
                </c:pt>
                <c:pt idx="23">
                  <c:v>27.95</c:v>
                </c:pt>
                <c:pt idx="24">
                  <c:v>27.95</c:v>
                </c:pt>
                <c:pt idx="25">
                  <c:v>27.95</c:v>
                </c:pt>
                <c:pt idx="26">
                  <c:v>27.95</c:v>
                </c:pt>
                <c:pt idx="27">
                  <c:v>27.95</c:v>
                </c:pt>
                <c:pt idx="28">
                  <c:v>27.95</c:v>
                </c:pt>
                <c:pt idx="29">
                  <c:v>27.95</c:v>
                </c:pt>
                <c:pt idx="30">
                  <c:v>27.95</c:v>
                </c:pt>
                <c:pt idx="31">
                  <c:v>27.95</c:v>
                </c:pt>
                <c:pt idx="32">
                  <c:v>27.95</c:v>
                </c:pt>
                <c:pt idx="33">
                  <c:v>27.95</c:v>
                </c:pt>
                <c:pt idx="34">
                  <c:v>27.95</c:v>
                </c:pt>
                <c:pt idx="35">
                  <c:v>27.95</c:v>
                </c:pt>
                <c:pt idx="36">
                  <c:v>27.95</c:v>
                </c:pt>
                <c:pt idx="37">
                  <c:v>27.95</c:v>
                </c:pt>
                <c:pt idx="38">
                  <c:v>27.95</c:v>
                </c:pt>
                <c:pt idx="39">
                  <c:v>27.95</c:v>
                </c:pt>
                <c:pt idx="40">
                  <c:v>27.95</c:v>
                </c:pt>
                <c:pt idx="41">
                  <c:v>27.95</c:v>
                </c:pt>
                <c:pt idx="42">
                  <c:v>27.95</c:v>
                </c:pt>
                <c:pt idx="43">
                  <c:v>27.95</c:v>
                </c:pt>
                <c:pt idx="44">
                  <c:v>27.95</c:v>
                </c:pt>
                <c:pt idx="45">
                  <c:v>27.95</c:v>
                </c:pt>
                <c:pt idx="46">
                  <c:v>27.95</c:v>
                </c:pt>
                <c:pt idx="47">
                  <c:v>27.95</c:v>
                </c:pt>
                <c:pt idx="48">
                  <c:v>27.95</c:v>
                </c:pt>
                <c:pt idx="49">
                  <c:v>27.95</c:v>
                </c:pt>
                <c:pt idx="50">
                  <c:v>27.95</c:v>
                </c:pt>
                <c:pt idx="51">
                  <c:v>27.95</c:v>
                </c:pt>
                <c:pt idx="52">
                  <c:v>27.95</c:v>
                </c:pt>
                <c:pt idx="53">
                  <c:v>27.95</c:v>
                </c:pt>
                <c:pt idx="54">
                  <c:v>27.95</c:v>
                </c:pt>
                <c:pt idx="55">
                  <c:v>27.95</c:v>
                </c:pt>
                <c:pt idx="56">
                  <c:v>27.95</c:v>
                </c:pt>
                <c:pt idx="57">
                  <c:v>27.95</c:v>
                </c:pt>
                <c:pt idx="58">
                  <c:v>27.95</c:v>
                </c:pt>
                <c:pt idx="59">
                  <c:v>27.95</c:v>
                </c:pt>
                <c:pt idx="60">
                  <c:v>27.95</c:v>
                </c:pt>
                <c:pt idx="61">
                  <c:v>27.95</c:v>
                </c:pt>
                <c:pt idx="62">
                  <c:v>70.9534014358711</c:v>
                </c:pt>
                <c:pt idx="63">
                  <c:v>110.868167109138</c:v>
                </c:pt>
                <c:pt idx="64">
                  <c:v>149.74555798099999</c:v>
                </c:pt>
                <c:pt idx="65">
                  <c:v>198.93710550754099</c:v>
                </c:pt>
                <c:pt idx="66">
                  <c:v>248.53328436057299</c:v>
                </c:pt>
                <c:pt idx="67">
                  <c:v>300.51147793937997</c:v>
                </c:pt>
                <c:pt idx="68">
                  <c:v>348.72631894334103</c:v>
                </c:pt>
                <c:pt idx="69">
                  <c:v>396.60293778462199</c:v>
                </c:pt>
                <c:pt idx="70">
                  <c:v>446.526264540689</c:v>
                </c:pt>
                <c:pt idx="71">
                  <c:v>501.66816661381398</c:v>
                </c:pt>
                <c:pt idx="72">
                  <c:v>562.00207440477402</c:v>
                </c:pt>
                <c:pt idx="73">
                  <c:v>622.90184349815001</c:v>
                </c:pt>
                <c:pt idx="74">
                  <c:v>683.92779557356698</c:v>
                </c:pt>
                <c:pt idx="75">
                  <c:v>745.95623050673998</c:v>
                </c:pt>
                <c:pt idx="76">
                  <c:v>814.38326775945097</c:v>
                </c:pt>
                <c:pt idx="77">
                  <c:v>882.67443542604303</c:v>
                </c:pt>
                <c:pt idx="78">
                  <c:v>950.22160236616605</c:v>
                </c:pt>
                <c:pt idx="79">
                  <c:v>1017.49959013971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4245632"/>
        <c:axId val="434249728"/>
      </c:lineChart>
      <c:dateAx>
        <c:axId val="434245632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34249728"/>
        <c:crosses val="autoZero"/>
        <c:auto val="1"/>
        <c:lblOffset val="100"/>
        <c:baseTimeUnit val="months"/>
      </c:dateAx>
      <c:valAx>
        <c:axId val="4342497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4342456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FGLMC</a:t>
            </a:r>
            <a:r>
              <a:rPr lang="en-US" baseline="0"/>
              <a:t> Loan Example</a:t>
            </a:r>
          </a:p>
        </c:rich>
      </c:tx>
      <c:layout/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fhl_example!$D$1</c:f>
              <c:strCache>
                <c:ptCount val="1"/>
                <c:pt idx="0">
                  <c:v>burnout_220</c:v>
                </c:pt>
              </c:strCache>
            </c:strRef>
          </c:tx>
          <c:marker>
            <c:symbol val="none"/>
          </c:marker>
          <c:cat>
            <c:numRef>
              <c:f>fhl_example!$A$2:$A$124</c:f>
              <c:numCache>
                <c:formatCode>m/d/yyyy</c:formatCode>
                <c:ptCount val="123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  <c:pt idx="115">
                  <c:v>42461</c:v>
                </c:pt>
                <c:pt idx="116">
                  <c:v>42491</c:v>
                </c:pt>
                <c:pt idx="117">
                  <c:v>42522</c:v>
                </c:pt>
                <c:pt idx="118">
                  <c:v>42552</c:v>
                </c:pt>
                <c:pt idx="119">
                  <c:v>42583</c:v>
                </c:pt>
                <c:pt idx="120">
                  <c:v>42614</c:v>
                </c:pt>
                <c:pt idx="121">
                  <c:v>42644</c:v>
                </c:pt>
                <c:pt idx="122">
                  <c:v>42675</c:v>
                </c:pt>
              </c:numCache>
            </c:numRef>
          </c:cat>
          <c:val>
            <c:numRef>
              <c:f>fhl_example!$D$2:$D$124</c:f>
              <c:numCache>
                <c:formatCode>General</c:formatCode>
                <c:ptCount val="123"/>
                <c:pt idx="0">
                  <c:v>37.458500000000001</c:v>
                </c:pt>
                <c:pt idx="1">
                  <c:v>44.914900000000003</c:v>
                </c:pt>
                <c:pt idx="2">
                  <c:v>53.192700000000002</c:v>
                </c:pt>
                <c:pt idx="3">
                  <c:v>63.154200000000003</c:v>
                </c:pt>
                <c:pt idx="4">
                  <c:v>75.078500000000005</c:v>
                </c:pt>
                <c:pt idx="5">
                  <c:v>85.335099999999997</c:v>
                </c:pt>
                <c:pt idx="6">
                  <c:v>95.542500000000004</c:v>
                </c:pt>
                <c:pt idx="7">
                  <c:v>107.2167</c:v>
                </c:pt>
                <c:pt idx="8">
                  <c:v>118.2891</c:v>
                </c:pt>
                <c:pt idx="9">
                  <c:v>128.05449999999999</c:v>
                </c:pt>
                <c:pt idx="10">
                  <c:v>131.6172</c:v>
                </c:pt>
                <c:pt idx="11">
                  <c:v>134.7013</c:v>
                </c:pt>
                <c:pt idx="12">
                  <c:v>139.68260000000001</c:v>
                </c:pt>
                <c:pt idx="13">
                  <c:v>147.25880000000001</c:v>
                </c:pt>
                <c:pt idx="14">
                  <c:v>155.48429999999999</c:v>
                </c:pt>
                <c:pt idx="15">
                  <c:v>166.30879999999999</c:v>
                </c:pt>
                <c:pt idx="16">
                  <c:v>178.798</c:v>
                </c:pt>
                <c:pt idx="17">
                  <c:v>197.15469999999999</c:v>
                </c:pt>
                <c:pt idx="18">
                  <c:v>211.48609999999999</c:v>
                </c:pt>
                <c:pt idx="19">
                  <c:v>224.9239</c:v>
                </c:pt>
                <c:pt idx="20">
                  <c:v>239.0035</c:v>
                </c:pt>
                <c:pt idx="21">
                  <c:v>251.32499999999999</c:v>
                </c:pt>
                <c:pt idx="22">
                  <c:v>258.30369999999999</c:v>
                </c:pt>
                <c:pt idx="23">
                  <c:v>263.72969999999998</c:v>
                </c:pt>
                <c:pt idx="24">
                  <c:v>268.1404</c:v>
                </c:pt>
                <c:pt idx="25">
                  <c:v>279.60669999999999</c:v>
                </c:pt>
                <c:pt idx="26">
                  <c:v>288.63159999999999</c:v>
                </c:pt>
                <c:pt idx="27">
                  <c:v>299.16759999999999</c:v>
                </c:pt>
                <c:pt idx="28">
                  <c:v>323.7577</c:v>
                </c:pt>
                <c:pt idx="29">
                  <c:v>353.19479999999999</c:v>
                </c:pt>
                <c:pt idx="30">
                  <c:v>380.7604</c:v>
                </c:pt>
                <c:pt idx="31">
                  <c:v>410.971</c:v>
                </c:pt>
                <c:pt idx="32">
                  <c:v>445.2201</c:v>
                </c:pt>
                <c:pt idx="33">
                  <c:v>478.50869999999998</c:v>
                </c:pt>
                <c:pt idx="34">
                  <c:v>500.68419999999998</c:v>
                </c:pt>
                <c:pt idx="35">
                  <c:v>524.21900000000005</c:v>
                </c:pt>
                <c:pt idx="36">
                  <c:v>548.42610000000002</c:v>
                </c:pt>
                <c:pt idx="37">
                  <c:v>575.64589999999998</c:v>
                </c:pt>
                <c:pt idx="38">
                  <c:v>604.31539999999995</c:v>
                </c:pt>
                <c:pt idx="39">
                  <c:v>634.57619999999997</c:v>
                </c:pt>
                <c:pt idx="40">
                  <c:v>663.74019999999996</c:v>
                </c:pt>
                <c:pt idx="41">
                  <c:v>691.06209999999999</c:v>
                </c:pt>
                <c:pt idx="42">
                  <c:v>719.04330000000004</c:v>
                </c:pt>
                <c:pt idx="43">
                  <c:v>747.12260000000003</c:v>
                </c:pt>
                <c:pt idx="44">
                  <c:v>773.16290000000004</c:v>
                </c:pt>
                <c:pt idx="45">
                  <c:v>803.17330000000004</c:v>
                </c:pt>
                <c:pt idx="46">
                  <c:v>836.77760000000001</c:v>
                </c:pt>
                <c:pt idx="47">
                  <c:v>873.56240000000003</c:v>
                </c:pt>
                <c:pt idx="48">
                  <c:v>913.22400000000005</c:v>
                </c:pt>
                <c:pt idx="49">
                  <c:v>954.58489999999995</c:v>
                </c:pt>
                <c:pt idx="50">
                  <c:v>998.2346</c:v>
                </c:pt>
                <c:pt idx="51">
                  <c:v>1040.039</c:v>
                </c:pt>
                <c:pt idx="52">
                  <c:v>1073.3741</c:v>
                </c:pt>
                <c:pt idx="53">
                  <c:v>1105.6858999999999</c:v>
                </c:pt>
                <c:pt idx="54">
                  <c:v>1134.4047</c:v>
                </c:pt>
                <c:pt idx="55">
                  <c:v>1165.4504999999999</c:v>
                </c:pt>
                <c:pt idx="56">
                  <c:v>1196.5418</c:v>
                </c:pt>
                <c:pt idx="57">
                  <c:v>1231.6815999999999</c:v>
                </c:pt>
                <c:pt idx="58">
                  <c:v>1269.5423000000001</c:v>
                </c:pt>
                <c:pt idx="59">
                  <c:v>1306.5145</c:v>
                </c:pt>
                <c:pt idx="60">
                  <c:v>1349.8209999999999</c:v>
                </c:pt>
                <c:pt idx="61">
                  <c:v>1397.5052000000001</c:v>
                </c:pt>
                <c:pt idx="62">
                  <c:v>1444.8320000000001</c:v>
                </c:pt>
                <c:pt idx="63">
                  <c:v>1494.5291</c:v>
                </c:pt>
                <c:pt idx="64">
                  <c:v>1545.2112999999999</c:v>
                </c:pt>
                <c:pt idx="65">
                  <c:v>1596.5409999999999</c:v>
                </c:pt>
                <c:pt idx="66">
                  <c:v>1648.1311000000001</c:v>
                </c:pt>
                <c:pt idx="67">
                  <c:v>1698.0171</c:v>
                </c:pt>
                <c:pt idx="68">
                  <c:v>1749.6258</c:v>
                </c:pt>
                <c:pt idx="69">
                  <c:v>1803.8306</c:v>
                </c:pt>
                <c:pt idx="70">
                  <c:v>1861.6143</c:v>
                </c:pt>
                <c:pt idx="71">
                  <c:v>1922.5834</c:v>
                </c:pt>
                <c:pt idx="72">
                  <c:v>1982.7179000000001</c:v>
                </c:pt>
                <c:pt idx="73">
                  <c:v>2045.8221000000001</c:v>
                </c:pt>
                <c:pt idx="74">
                  <c:v>2111.7431999999999</c:v>
                </c:pt>
                <c:pt idx="75">
                  <c:v>2178.5345000000002</c:v>
                </c:pt>
                <c:pt idx="76">
                  <c:v>2249.1165000000001</c:v>
                </c:pt>
                <c:pt idx="77">
                  <c:v>2317.6491000000001</c:v>
                </c:pt>
                <c:pt idx="78">
                  <c:v>2382.0495000000001</c:v>
                </c:pt>
                <c:pt idx="79">
                  <c:v>2445.7121999999999</c:v>
                </c:pt>
                <c:pt idx="80">
                  <c:v>2512.7928000000002</c:v>
                </c:pt>
                <c:pt idx="81">
                  <c:v>2577.6597000000002</c:v>
                </c:pt>
                <c:pt idx="82">
                  <c:v>2628.2496999999998</c:v>
                </c:pt>
                <c:pt idx="83">
                  <c:v>2671.6932999999999</c:v>
                </c:pt>
                <c:pt idx="84">
                  <c:v>2712.9926999999998</c:v>
                </c:pt>
                <c:pt idx="85">
                  <c:v>2753.9009000000001</c:v>
                </c:pt>
                <c:pt idx="86">
                  <c:v>2801.7165</c:v>
                </c:pt>
                <c:pt idx="87">
                  <c:v>2848.0082000000002</c:v>
                </c:pt>
                <c:pt idx="88">
                  <c:v>2890.0661</c:v>
                </c:pt>
                <c:pt idx="89">
                  <c:v>2932.3045999999999</c:v>
                </c:pt>
                <c:pt idx="90">
                  <c:v>2977.6302000000001</c:v>
                </c:pt>
                <c:pt idx="91">
                  <c:v>3019.6035000000002</c:v>
                </c:pt>
                <c:pt idx="92">
                  <c:v>3061.5936999999999</c:v>
                </c:pt>
                <c:pt idx="93">
                  <c:v>3107.7384999999999</c:v>
                </c:pt>
                <c:pt idx="94">
                  <c:v>3154.2954</c:v>
                </c:pt>
                <c:pt idx="95">
                  <c:v>3201.3254000000002</c:v>
                </c:pt>
                <c:pt idx="96">
                  <c:v>3248.8604999999998</c:v>
                </c:pt>
                <c:pt idx="97">
                  <c:v>3295.7129</c:v>
                </c:pt>
                <c:pt idx="98">
                  <c:v>3345.7271000000001</c:v>
                </c:pt>
                <c:pt idx="99">
                  <c:v>3396.5630000000001</c:v>
                </c:pt>
                <c:pt idx="100">
                  <c:v>3453.5839000000001</c:v>
                </c:pt>
                <c:pt idx="101">
                  <c:v>3515.3741</c:v>
                </c:pt>
                <c:pt idx="102">
                  <c:v>3576.0711000000001</c:v>
                </c:pt>
                <c:pt idx="103">
                  <c:v>3635.3175000000001</c:v>
                </c:pt>
                <c:pt idx="104">
                  <c:v>3697.0871000000002</c:v>
                </c:pt>
                <c:pt idx="105">
                  <c:v>3754.3112999999998</c:v>
                </c:pt>
                <c:pt idx="106">
                  <c:v>3807.7042999999999</c:v>
                </c:pt>
                <c:pt idx="107">
                  <c:v>3859.8168000000001</c:v>
                </c:pt>
                <c:pt idx="108">
                  <c:v>3917.1395000000002</c:v>
                </c:pt>
                <c:pt idx="109">
                  <c:v>3974.9362999999998</c:v>
                </c:pt>
                <c:pt idx="110">
                  <c:v>4035.5313999999998</c:v>
                </c:pt>
                <c:pt idx="111">
                  <c:v>4091.7107999999998</c:v>
                </c:pt>
                <c:pt idx="112">
                  <c:v>4147.4947000000002</c:v>
                </c:pt>
                <c:pt idx="113">
                  <c:v>4205.6751999999997</c:v>
                </c:pt>
                <c:pt idx="114">
                  <c:v>4270.0051000000003</c:v>
                </c:pt>
                <c:pt idx="115">
                  <c:v>4335.2554</c:v>
                </c:pt>
                <c:pt idx="116">
                  <c:v>4401.1478999999999</c:v>
                </c:pt>
                <c:pt idx="117">
                  <c:v>4467.1836000000003</c:v>
                </c:pt>
                <c:pt idx="118">
                  <c:v>4534.3584000000001</c:v>
                </c:pt>
                <c:pt idx="119">
                  <c:v>4605.4669000000004</c:v>
                </c:pt>
                <c:pt idx="120">
                  <c:v>4676.4246999999996</c:v>
                </c:pt>
                <c:pt idx="121">
                  <c:v>4746.5576000000001</c:v>
                </c:pt>
                <c:pt idx="122">
                  <c:v>4816.3922000000002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fhl_example!$E$1</c:f>
              <c:strCache>
                <c:ptCount val="1"/>
                <c:pt idx="0">
                  <c:v>burnout_230</c:v>
                </c:pt>
              </c:strCache>
            </c:strRef>
          </c:tx>
          <c:marker>
            <c:symbol val="none"/>
          </c:marker>
          <c:cat>
            <c:numRef>
              <c:f>fhl_example!$A$2:$A$124</c:f>
              <c:numCache>
                <c:formatCode>m/d/yyyy</c:formatCode>
                <c:ptCount val="123"/>
                <c:pt idx="0">
                  <c:v>38961</c:v>
                </c:pt>
                <c:pt idx="1">
                  <c:v>38991</c:v>
                </c:pt>
                <c:pt idx="2">
                  <c:v>39022</c:v>
                </c:pt>
                <c:pt idx="3">
                  <c:v>39052</c:v>
                </c:pt>
                <c:pt idx="4">
                  <c:v>39083</c:v>
                </c:pt>
                <c:pt idx="5">
                  <c:v>39114</c:v>
                </c:pt>
                <c:pt idx="6">
                  <c:v>39142</c:v>
                </c:pt>
                <c:pt idx="7">
                  <c:v>39173</c:v>
                </c:pt>
                <c:pt idx="8">
                  <c:v>39203</c:v>
                </c:pt>
                <c:pt idx="9">
                  <c:v>39234</c:v>
                </c:pt>
                <c:pt idx="10">
                  <c:v>39264</c:v>
                </c:pt>
                <c:pt idx="11">
                  <c:v>39295</c:v>
                </c:pt>
                <c:pt idx="12">
                  <c:v>39326</c:v>
                </c:pt>
                <c:pt idx="13">
                  <c:v>39356</c:v>
                </c:pt>
                <c:pt idx="14">
                  <c:v>39387</c:v>
                </c:pt>
                <c:pt idx="15">
                  <c:v>39417</c:v>
                </c:pt>
                <c:pt idx="16">
                  <c:v>39448</c:v>
                </c:pt>
                <c:pt idx="17">
                  <c:v>39479</c:v>
                </c:pt>
                <c:pt idx="18">
                  <c:v>39508</c:v>
                </c:pt>
                <c:pt idx="19">
                  <c:v>39539</c:v>
                </c:pt>
                <c:pt idx="20">
                  <c:v>39569</c:v>
                </c:pt>
                <c:pt idx="21">
                  <c:v>39600</c:v>
                </c:pt>
                <c:pt idx="22">
                  <c:v>39630</c:v>
                </c:pt>
                <c:pt idx="23">
                  <c:v>39661</c:v>
                </c:pt>
                <c:pt idx="24">
                  <c:v>39692</c:v>
                </c:pt>
                <c:pt idx="25">
                  <c:v>39722</c:v>
                </c:pt>
                <c:pt idx="26">
                  <c:v>39753</c:v>
                </c:pt>
                <c:pt idx="27">
                  <c:v>39783</c:v>
                </c:pt>
                <c:pt idx="28">
                  <c:v>39814</c:v>
                </c:pt>
                <c:pt idx="29">
                  <c:v>39845</c:v>
                </c:pt>
                <c:pt idx="30">
                  <c:v>39873</c:v>
                </c:pt>
                <c:pt idx="31">
                  <c:v>39904</c:v>
                </c:pt>
                <c:pt idx="32">
                  <c:v>39934</c:v>
                </c:pt>
                <c:pt idx="33">
                  <c:v>39965</c:v>
                </c:pt>
                <c:pt idx="34">
                  <c:v>39995</c:v>
                </c:pt>
                <c:pt idx="35">
                  <c:v>40026</c:v>
                </c:pt>
                <c:pt idx="36">
                  <c:v>40057</c:v>
                </c:pt>
                <c:pt idx="37">
                  <c:v>40087</c:v>
                </c:pt>
                <c:pt idx="38">
                  <c:v>40118</c:v>
                </c:pt>
                <c:pt idx="39">
                  <c:v>40148</c:v>
                </c:pt>
                <c:pt idx="40">
                  <c:v>40179</c:v>
                </c:pt>
                <c:pt idx="41">
                  <c:v>40210</c:v>
                </c:pt>
                <c:pt idx="42">
                  <c:v>40238</c:v>
                </c:pt>
                <c:pt idx="43">
                  <c:v>40269</c:v>
                </c:pt>
                <c:pt idx="44">
                  <c:v>40299</c:v>
                </c:pt>
                <c:pt idx="45">
                  <c:v>40330</c:v>
                </c:pt>
                <c:pt idx="46">
                  <c:v>40360</c:v>
                </c:pt>
                <c:pt idx="47">
                  <c:v>40391</c:v>
                </c:pt>
                <c:pt idx="48">
                  <c:v>40422</c:v>
                </c:pt>
                <c:pt idx="49">
                  <c:v>40452</c:v>
                </c:pt>
                <c:pt idx="50">
                  <c:v>40483</c:v>
                </c:pt>
                <c:pt idx="51">
                  <c:v>40513</c:v>
                </c:pt>
                <c:pt idx="52">
                  <c:v>40544</c:v>
                </c:pt>
                <c:pt idx="53">
                  <c:v>40575</c:v>
                </c:pt>
                <c:pt idx="54">
                  <c:v>40603</c:v>
                </c:pt>
                <c:pt idx="55">
                  <c:v>40634</c:v>
                </c:pt>
                <c:pt idx="56">
                  <c:v>40664</c:v>
                </c:pt>
                <c:pt idx="57">
                  <c:v>40695</c:v>
                </c:pt>
                <c:pt idx="58">
                  <c:v>40725</c:v>
                </c:pt>
                <c:pt idx="59">
                  <c:v>40756</c:v>
                </c:pt>
                <c:pt idx="60">
                  <c:v>40787</c:v>
                </c:pt>
                <c:pt idx="61">
                  <c:v>40817</c:v>
                </c:pt>
                <c:pt idx="62">
                  <c:v>40848</c:v>
                </c:pt>
                <c:pt idx="63">
                  <c:v>40878</c:v>
                </c:pt>
                <c:pt idx="64">
                  <c:v>40909</c:v>
                </c:pt>
                <c:pt idx="65">
                  <c:v>40940</c:v>
                </c:pt>
                <c:pt idx="66">
                  <c:v>40969</c:v>
                </c:pt>
                <c:pt idx="67">
                  <c:v>41000</c:v>
                </c:pt>
                <c:pt idx="68">
                  <c:v>41030</c:v>
                </c:pt>
                <c:pt idx="69">
                  <c:v>41061</c:v>
                </c:pt>
                <c:pt idx="70">
                  <c:v>41091</c:v>
                </c:pt>
                <c:pt idx="71">
                  <c:v>41122</c:v>
                </c:pt>
                <c:pt idx="72">
                  <c:v>41153</c:v>
                </c:pt>
                <c:pt idx="73">
                  <c:v>41183</c:v>
                </c:pt>
                <c:pt idx="74">
                  <c:v>41214</c:v>
                </c:pt>
                <c:pt idx="75">
                  <c:v>41244</c:v>
                </c:pt>
                <c:pt idx="76">
                  <c:v>41275</c:v>
                </c:pt>
                <c:pt idx="77">
                  <c:v>41306</c:v>
                </c:pt>
                <c:pt idx="78">
                  <c:v>41334</c:v>
                </c:pt>
                <c:pt idx="79">
                  <c:v>41365</c:v>
                </c:pt>
                <c:pt idx="80">
                  <c:v>41395</c:v>
                </c:pt>
                <c:pt idx="81">
                  <c:v>41426</c:v>
                </c:pt>
                <c:pt idx="82">
                  <c:v>41456</c:v>
                </c:pt>
                <c:pt idx="83">
                  <c:v>41487</c:v>
                </c:pt>
                <c:pt idx="84">
                  <c:v>41518</c:v>
                </c:pt>
                <c:pt idx="85">
                  <c:v>41548</c:v>
                </c:pt>
                <c:pt idx="86">
                  <c:v>41579</c:v>
                </c:pt>
                <c:pt idx="87">
                  <c:v>41609</c:v>
                </c:pt>
                <c:pt idx="88">
                  <c:v>41640</c:v>
                </c:pt>
                <c:pt idx="89">
                  <c:v>41671</c:v>
                </c:pt>
                <c:pt idx="90">
                  <c:v>41699</c:v>
                </c:pt>
                <c:pt idx="91">
                  <c:v>41730</c:v>
                </c:pt>
                <c:pt idx="92">
                  <c:v>41760</c:v>
                </c:pt>
                <c:pt idx="93">
                  <c:v>41791</c:v>
                </c:pt>
                <c:pt idx="94">
                  <c:v>41821</c:v>
                </c:pt>
                <c:pt idx="95">
                  <c:v>41852</c:v>
                </c:pt>
                <c:pt idx="96">
                  <c:v>41883</c:v>
                </c:pt>
                <c:pt idx="97">
                  <c:v>41913</c:v>
                </c:pt>
                <c:pt idx="98">
                  <c:v>41944</c:v>
                </c:pt>
                <c:pt idx="99">
                  <c:v>41974</c:v>
                </c:pt>
                <c:pt idx="100">
                  <c:v>42005</c:v>
                </c:pt>
                <c:pt idx="101">
                  <c:v>42036</c:v>
                </c:pt>
                <c:pt idx="102">
                  <c:v>42064</c:v>
                </c:pt>
                <c:pt idx="103">
                  <c:v>42095</c:v>
                </c:pt>
                <c:pt idx="104">
                  <c:v>42125</c:v>
                </c:pt>
                <c:pt idx="105">
                  <c:v>42156</c:v>
                </c:pt>
                <c:pt idx="106">
                  <c:v>42186</c:v>
                </c:pt>
                <c:pt idx="107">
                  <c:v>42217</c:v>
                </c:pt>
                <c:pt idx="108">
                  <c:v>42248</c:v>
                </c:pt>
                <c:pt idx="109">
                  <c:v>42278</c:v>
                </c:pt>
                <c:pt idx="110">
                  <c:v>42309</c:v>
                </c:pt>
                <c:pt idx="111">
                  <c:v>42339</c:v>
                </c:pt>
                <c:pt idx="112">
                  <c:v>42370</c:v>
                </c:pt>
                <c:pt idx="113">
                  <c:v>42401</c:v>
                </c:pt>
                <c:pt idx="114">
                  <c:v>42430</c:v>
                </c:pt>
                <c:pt idx="115">
                  <c:v>42461</c:v>
                </c:pt>
                <c:pt idx="116">
                  <c:v>42491</c:v>
                </c:pt>
                <c:pt idx="117">
                  <c:v>42522</c:v>
                </c:pt>
                <c:pt idx="118">
                  <c:v>42552</c:v>
                </c:pt>
                <c:pt idx="119">
                  <c:v>42583</c:v>
                </c:pt>
                <c:pt idx="120">
                  <c:v>42614</c:v>
                </c:pt>
                <c:pt idx="121">
                  <c:v>42644</c:v>
                </c:pt>
                <c:pt idx="122">
                  <c:v>42675</c:v>
                </c:pt>
              </c:numCache>
            </c:numRef>
          </c:cat>
          <c:val>
            <c:numRef>
              <c:f>fhl_example!$E$2:$E$124</c:f>
              <c:numCache>
                <c:formatCode>General</c:formatCode>
                <c:ptCount val="123"/>
                <c:pt idx="0">
                  <c:v>31.569999999999901</c:v>
                </c:pt>
                <c:pt idx="1">
                  <c:v>31.569999999999901</c:v>
                </c:pt>
                <c:pt idx="2">
                  <c:v>31.569999999999901</c:v>
                </c:pt>
                <c:pt idx="3">
                  <c:v>31.569999999999901</c:v>
                </c:pt>
                <c:pt idx="4">
                  <c:v>31.569999999999901</c:v>
                </c:pt>
                <c:pt idx="5">
                  <c:v>31.569999999999901</c:v>
                </c:pt>
                <c:pt idx="6">
                  <c:v>31.569999999999901</c:v>
                </c:pt>
                <c:pt idx="7">
                  <c:v>31.569999999999901</c:v>
                </c:pt>
                <c:pt idx="8">
                  <c:v>31.569999999999901</c:v>
                </c:pt>
                <c:pt idx="9">
                  <c:v>31.569999999999901</c:v>
                </c:pt>
                <c:pt idx="10">
                  <c:v>31.569999999999901</c:v>
                </c:pt>
                <c:pt idx="11">
                  <c:v>31.569999999999901</c:v>
                </c:pt>
                <c:pt idx="12">
                  <c:v>31.569999999999901</c:v>
                </c:pt>
                <c:pt idx="13">
                  <c:v>31.569999999999901</c:v>
                </c:pt>
                <c:pt idx="14">
                  <c:v>31.569999999999901</c:v>
                </c:pt>
                <c:pt idx="15">
                  <c:v>31.569999999999901</c:v>
                </c:pt>
                <c:pt idx="16">
                  <c:v>31.569999999999901</c:v>
                </c:pt>
                <c:pt idx="17">
                  <c:v>31.569999999999901</c:v>
                </c:pt>
                <c:pt idx="18">
                  <c:v>31.569999999999901</c:v>
                </c:pt>
                <c:pt idx="19">
                  <c:v>31.569999999999901</c:v>
                </c:pt>
                <c:pt idx="20">
                  <c:v>31.569999999999901</c:v>
                </c:pt>
                <c:pt idx="21">
                  <c:v>31.569999999999901</c:v>
                </c:pt>
                <c:pt idx="22">
                  <c:v>31.569999999999901</c:v>
                </c:pt>
                <c:pt idx="23">
                  <c:v>31.569999999999901</c:v>
                </c:pt>
                <c:pt idx="24">
                  <c:v>31.569999999999901</c:v>
                </c:pt>
                <c:pt idx="25">
                  <c:v>31.569999999999901</c:v>
                </c:pt>
                <c:pt idx="26">
                  <c:v>31.569999999999901</c:v>
                </c:pt>
                <c:pt idx="27">
                  <c:v>31.569999999999901</c:v>
                </c:pt>
                <c:pt idx="28">
                  <c:v>31.569999999999901</c:v>
                </c:pt>
                <c:pt idx="29">
                  <c:v>31.569999999999901</c:v>
                </c:pt>
                <c:pt idx="30">
                  <c:v>31.569999999999901</c:v>
                </c:pt>
                <c:pt idx="31">
                  <c:v>31.569999999999901</c:v>
                </c:pt>
                <c:pt idx="32">
                  <c:v>31.569999999999901</c:v>
                </c:pt>
                <c:pt idx="33">
                  <c:v>64.858608197471696</c:v>
                </c:pt>
                <c:pt idx="34">
                  <c:v>87.034170801407896</c:v>
                </c:pt>
                <c:pt idx="35">
                  <c:v>110.568905324913</c:v>
                </c:pt>
                <c:pt idx="36">
                  <c:v>134.77606144488601</c:v>
                </c:pt>
                <c:pt idx="37">
                  <c:v>161.99582536461901</c:v>
                </c:pt>
                <c:pt idx="38">
                  <c:v>190.66531591866101</c:v>
                </c:pt>
                <c:pt idx="39">
                  <c:v>220.92608818550701</c:v>
                </c:pt>
                <c:pt idx="40">
                  <c:v>250.090139589328</c:v>
                </c:pt>
                <c:pt idx="41">
                  <c:v>277.41206595622299</c:v>
                </c:pt>
                <c:pt idx="42">
                  <c:v>305.39325487448099</c:v>
                </c:pt>
                <c:pt idx="43">
                  <c:v>333.47248301627701</c:v>
                </c:pt>
                <c:pt idx="44">
                  <c:v>359.51280557615598</c:v>
                </c:pt>
                <c:pt idx="45">
                  <c:v>389.52326482119003</c:v>
                </c:pt>
                <c:pt idx="46">
                  <c:v>423.12753474678698</c:v>
                </c:pt>
                <c:pt idx="47">
                  <c:v>459.912359200472</c:v>
                </c:pt>
                <c:pt idx="48">
                  <c:v>499.57390848359103</c:v>
                </c:pt>
                <c:pt idx="49">
                  <c:v>540.93483780830695</c:v>
                </c:pt>
                <c:pt idx="50">
                  <c:v>584.58455954389603</c:v>
                </c:pt>
                <c:pt idx="51">
                  <c:v>626.38894857539799</c:v>
                </c:pt>
                <c:pt idx="52">
                  <c:v>659.72406719979597</c:v>
                </c:pt>
                <c:pt idx="53">
                  <c:v>692.03580387573697</c:v>
                </c:pt>
                <c:pt idx="54">
                  <c:v>720.75464059411604</c:v>
                </c:pt>
                <c:pt idx="55">
                  <c:v>751.80044104709896</c:v>
                </c:pt>
                <c:pt idx="56">
                  <c:v>782.89172016379302</c:v>
                </c:pt>
                <c:pt idx="57">
                  <c:v>818.03150884758202</c:v>
                </c:pt>
                <c:pt idx="58">
                  <c:v>855.89219090811196</c:v>
                </c:pt>
                <c:pt idx="59">
                  <c:v>892.86445684123203</c:v>
                </c:pt>
                <c:pt idx="60">
                  <c:v>936.17092881188898</c:v>
                </c:pt>
                <c:pt idx="61">
                  <c:v>983.85510590692797</c:v>
                </c:pt>
                <c:pt idx="62">
                  <c:v>1031.1819270528799</c:v>
                </c:pt>
                <c:pt idx="63">
                  <c:v>1080.8790691215099</c:v>
                </c:pt>
                <c:pt idx="64">
                  <c:v>1131.56119972941</c:v>
                </c:pt>
                <c:pt idx="65">
                  <c:v>1182.89098102055</c:v>
                </c:pt>
                <c:pt idx="66">
                  <c:v>1234.4810016307499</c:v>
                </c:pt>
                <c:pt idx="67">
                  <c:v>1284.3670472015201</c:v>
                </c:pt>
                <c:pt idx="68">
                  <c:v>1335.9756822752099</c:v>
                </c:pt>
                <c:pt idx="69">
                  <c:v>1390.18055959804</c:v>
                </c:pt>
                <c:pt idx="70">
                  <c:v>1447.96419300294</c:v>
                </c:pt>
                <c:pt idx="71">
                  <c:v>1508.93334303195</c:v>
                </c:pt>
                <c:pt idx="72">
                  <c:v>1569.06782598205</c:v>
                </c:pt>
                <c:pt idx="73">
                  <c:v>1632.17204333936</c:v>
                </c:pt>
                <c:pt idx="74">
                  <c:v>1698.09314949741</c:v>
                </c:pt>
                <c:pt idx="75">
                  <c:v>1764.8844204355501</c:v>
                </c:pt>
                <c:pt idx="76">
                  <c:v>1835.46639361692</c:v>
                </c:pt>
                <c:pt idx="77">
                  <c:v>1903.9989930250599</c:v>
                </c:pt>
                <c:pt idx="78">
                  <c:v>1968.3994275150999</c:v>
                </c:pt>
                <c:pt idx="79">
                  <c:v>2032.0621105472601</c:v>
                </c:pt>
                <c:pt idx="80">
                  <c:v>2099.14271260948</c:v>
                </c:pt>
                <c:pt idx="81">
                  <c:v>2164.00967795205</c:v>
                </c:pt>
                <c:pt idx="82">
                  <c:v>2214.5996284950402</c:v>
                </c:pt>
                <c:pt idx="83">
                  <c:v>2258.0432590196001</c:v>
                </c:pt>
                <c:pt idx="84">
                  <c:v>2299.3425964725002</c:v>
                </c:pt>
                <c:pt idx="85">
                  <c:v>2340.2508719745101</c:v>
                </c:pt>
                <c:pt idx="86">
                  <c:v>2388.0664002138701</c:v>
                </c:pt>
                <c:pt idx="87">
                  <c:v>2434.3581684995002</c:v>
                </c:pt>
                <c:pt idx="88">
                  <c:v>2476.4160430913198</c:v>
                </c:pt>
                <c:pt idx="89">
                  <c:v>2518.65456580724</c:v>
                </c:pt>
                <c:pt idx="90">
                  <c:v>2563.9801430016901</c:v>
                </c:pt>
                <c:pt idx="91">
                  <c:v>2605.9534509922701</c:v>
                </c:pt>
                <c:pt idx="92">
                  <c:v>2647.9436665828698</c:v>
                </c:pt>
                <c:pt idx="93">
                  <c:v>2694.0884408687798</c:v>
                </c:pt>
                <c:pt idx="94">
                  <c:v>2740.6453440865698</c:v>
                </c:pt>
                <c:pt idx="95">
                  <c:v>2787.6753410312099</c:v>
                </c:pt>
                <c:pt idx="96">
                  <c:v>2835.2104645884401</c:v>
                </c:pt>
                <c:pt idx="97">
                  <c:v>2882.0627889959701</c:v>
                </c:pt>
                <c:pt idx="98">
                  <c:v>2932.0770045009799</c:v>
                </c:pt>
                <c:pt idx="99">
                  <c:v>2982.9129576280602</c:v>
                </c:pt>
                <c:pt idx="100">
                  <c:v>3039.93383089087</c:v>
                </c:pt>
                <c:pt idx="101">
                  <c:v>3101.7240597715399</c:v>
                </c:pt>
                <c:pt idx="102">
                  <c:v>3162.4210082034301</c:v>
                </c:pt>
                <c:pt idx="103">
                  <c:v>3221.6674336487499</c:v>
                </c:pt>
                <c:pt idx="104">
                  <c:v>3283.4370531795798</c:v>
                </c:pt>
                <c:pt idx="105">
                  <c:v>3340.6611985362401</c:v>
                </c:pt>
                <c:pt idx="106">
                  <c:v>3394.0541977473799</c:v>
                </c:pt>
                <c:pt idx="107">
                  <c:v>3446.1667375857401</c:v>
                </c:pt>
                <c:pt idx="108">
                  <c:v>3503.4893889428199</c:v>
                </c:pt>
                <c:pt idx="109">
                  <c:v>3561.2862245392998</c:v>
                </c:pt>
                <c:pt idx="110">
                  <c:v>3621.8812880922801</c:v>
                </c:pt>
                <c:pt idx="111">
                  <c:v>3678.0606965550601</c:v>
                </c:pt>
                <c:pt idx="112">
                  <c:v>3733.8446554084799</c:v>
                </c:pt>
                <c:pt idx="113">
                  <c:v>3792.02511473094</c:v>
                </c:pt>
                <c:pt idx="114">
                  <c:v>3856.35505221418</c:v>
                </c:pt>
                <c:pt idx="115">
                  <c:v>3921.6053501763599</c:v>
                </c:pt>
                <c:pt idx="116">
                  <c:v>3987.4978194498999</c:v>
                </c:pt>
                <c:pt idx="117">
                  <c:v>4053.5335552236002</c:v>
                </c:pt>
                <c:pt idx="118">
                  <c:v>4120.7083704319002</c:v>
                </c:pt>
                <c:pt idx="119">
                  <c:v>4191.81685855656</c:v>
                </c:pt>
                <c:pt idx="120">
                  <c:v>4262.7746307521602</c:v>
                </c:pt>
                <c:pt idx="121">
                  <c:v>4332.9075013822903</c:v>
                </c:pt>
                <c:pt idx="122">
                  <c:v>4402.7420869292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13623424"/>
        <c:axId val="413625728"/>
      </c:lineChart>
      <c:dateAx>
        <c:axId val="413623424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13625728"/>
        <c:crosses val="autoZero"/>
        <c:auto val="1"/>
        <c:lblOffset val="100"/>
        <c:baseTimeUnit val="months"/>
      </c:dateAx>
      <c:valAx>
        <c:axId val="413625728"/>
        <c:scaling>
          <c:orientation val="minMax"/>
        </c:scaling>
        <c:delete val="0"/>
        <c:axPos val="l"/>
        <c:numFmt formatCode="General" sourceLinked="1"/>
        <c:majorTickMark val="out"/>
        <c:minorTickMark val="none"/>
        <c:tickLblPos val="nextTo"/>
        <c:crossAx val="4136234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Sheet7!$E$1</c:f>
              <c:strCache>
                <c:ptCount val="1"/>
                <c:pt idx="0">
                  <c:v>burnout_220</c:v>
                </c:pt>
              </c:strCache>
            </c:strRef>
          </c:tx>
          <c:marker>
            <c:symbol val="none"/>
          </c:marker>
          <c:cat>
            <c:numRef>
              <c:f>Sheet7!$A$2:$A$255</c:f>
              <c:numCache>
                <c:formatCode>m/d/yyyy</c:formatCode>
                <c:ptCount val="254"/>
                <c:pt idx="0">
                  <c:v>34912</c:v>
                </c:pt>
                <c:pt idx="1">
                  <c:v>34943</c:v>
                </c:pt>
                <c:pt idx="2">
                  <c:v>34973</c:v>
                </c:pt>
                <c:pt idx="3">
                  <c:v>35004</c:v>
                </c:pt>
                <c:pt idx="4">
                  <c:v>35034</c:v>
                </c:pt>
                <c:pt idx="5">
                  <c:v>35065</c:v>
                </c:pt>
                <c:pt idx="6">
                  <c:v>35096</c:v>
                </c:pt>
                <c:pt idx="7">
                  <c:v>35125</c:v>
                </c:pt>
                <c:pt idx="8">
                  <c:v>35156</c:v>
                </c:pt>
                <c:pt idx="9">
                  <c:v>35186</c:v>
                </c:pt>
                <c:pt idx="10">
                  <c:v>35217</c:v>
                </c:pt>
                <c:pt idx="11">
                  <c:v>35247</c:v>
                </c:pt>
                <c:pt idx="12">
                  <c:v>35278</c:v>
                </c:pt>
                <c:pt idx="13">
                  <c:v>35309</c:v>
                </c:pt>
                <c:pt idx="14">
                  <c:v>35339</c:v>
                </c:pt>
                <c:pt idx="15">
                  <c:v>35370</c:v>
                </c:pt>
                <c:pt idx="16">
                  <c:v>35400</c:v>
                </c:pt>
                <c:pt idx="17">
                  <c:v>35490</c:v>
                </c:pt>
                <c:pt idx="18">
                  <c:v>35521</c:v>
                </c:pt>
                <c:pt idx="19">
                  <c:v>35551</c:v>
                </c:pt>
                <c:pt idx="20">
                  <c:v>35582</c:v>
                </c:pt>
                <c:pt idx="21">
                  <c:v>35612</c:v>
                </c:pt>
                <c:pt idx="22">
                  <c:v>35643</c:v>
                </c:pt>
                <c:pt idx="23">
                  <c:v>35674</c:v>
                </c:pt>
                <c:pt idx="24">
                  <c:v>35704</c:v>
                </c:pt>
                <c:pt idx="25">
                  <c:v>35735</c:v>
                </c:pt>
                <c:pt idx="26">
                  <c:v>35765</c:v>
                </c:pt>
                <c:pt idx="27">
                  <c:v>35796</c:v>
                </c:pt>
                <c:pt idx="28">
                  <c:v>35827</c:v>
                </c:pt>
                <c:pt idx="29">
                  <c:v>35855</c:v>
                </c:pt>
                <c:pt idx="30">
                  <c:v>35886</c:v>
                </c:pt>
                <c:pt idx="31">
                  <c:v>35916</c:v>
                </c:pt>
                <c:pt idx="32">
                  <c:v>35947</c:v>
                </c:pt>
                <c:pt idx="33">
                  <c:v>35977</c:v>
                </c:pt>
                <c:pt idx="34">
                  <c:v>36008</c:v>
                </c:pt>
                <c:pt idx="35">
                  <c:v>36039</c:v>
                </c:pt>
                <c:pt idx="36">
                  <c:v>36069</c:v>
                </c:pt>
                <c:pt idx="37">
                  <c:v>36100</c:v>
                </c:pt>
                <c:pt idx="38">
                  <c:v>36130</c:v>
                </c:pt>
                <c:pt idx="39">
                  <c:v>36161</c:v>
                </c:pt>
                <c:pt idx="40">
                  <c:v>36192</c:v>
                </c:pt>
                <c:pt idx="41">
                  <c:v>36220</c:v>
                </c:pt>
                <c:pt idx="42">
                  <c:v>36251</c:v>
                </c:pt>
                <c:pt idx="43">
                  <c:v>36281</c:v>
                </c:pt>
                <c:pt idx="44">
                  <c:v>36312</c:v>
                </c:pt>
                <c:pt idx="45">
                  <c:v>36342</c:v>
                </c:pt>
                <c:pt idx="46">
                  <c:v>36373</c:v>
                </c:pt>
                <c:pt idx="47">
                  <c:v>36404</c:v>
                </c:pt>
                <c:pt idx="48">
                  <c:v>36434</c:v>
                </c:pt>
                <c:pt idx="49">
                  <c:v>36465</c:v>
                </c:pt>
                <c:pt idx="50">
                  <c:v>36495</c:v>
                </c:pt>
                <c:pt idx="51">
                  <c:v>36526</c:v>
                </c:pt>
                <c:pt idx="52">
                  <c:v>36557</c:v>
                </c:pt>
                <c:pt idx="53">
                  <c:v>36586</c:v>
                </c:pt>
                <c:pt idx="54">
                  <c:v>36617</c:v>
                </c:pt>
                <c:pt idx="55">
                  <c:v>36647</c:v>
                </c:pt>
                <c:pt idx="56">
                  <c:v>36678</c:v>
                </c:pt>
                <c:pt idx="57">
                  <c:v>36708</c:v>
                </c:pt>
                <c:pt idx="58">
                  <c:v>36739</c:v>
                </c:pt>
                <c:pt idx="59">
                  <c:v>36770</c:v>
                </c:pt>
                <c:pt idx="60">
                  <c:v>36800</c:v>
                </c:pt>
                <c:pt idx="61">
                  <c:v>36831</c:v>
                </c:pt>
                <c:pt idx="62">
                  <c:v>36861</c:v>
                </c:pt>
                <c:pt idx="63">
                  <c:v>36892</c:v>
                </c:pt>
                <c:pt idx="64">
                  <c:v>36923</c:v>
                </c:pt>
                <c:pt idx="65">
                  <c:v>36951</c:v>
                </c:pt>
                <c:pt idx="66">
                  <c:v>36982</c:v>
                </c:pt>
                <c:pt idx="67">
                  <c:v>37012</c:v>
                </c:pt>
                <c:pt idx="68">
                  <c:v>37043</c:v>
                </c:pt>
                <c:pt idx="69">
                  <c:v>37073</c:v>
                </c:pt>
                <c:pt idx="70">
                  <c:v>37104</c:v>
                </c:pt>
                <c:pt idx="71">
                  <c:v>37135</c:v>
                </c:pt>
                <c:pt idx="72">
                  <c:v>37165</c:v>
                </c:pt>
                <c:pt idx="73">
                  <c:v>37196</c:v>
                </c:pt>
                <c:pt idx="74">
                  <c:v>37226</c:v>
                </c:pt>
                <c:pt idx="75">
                  <c:v>37257</c:v>
                </c:pt>
                <c:pt idx="76">
                  <c:v>37288</c:v>
                </c:pt>
                <c:pt idx="77">
                  <c:v>37316</c:v>
                </c:pt>
                <c:pt idx="78">
                  <c:v>37347</c:v>
                </c:pt>
                <c:pt idx="79">
                  <c:v>37377</c:v>
                </c:pt>
                <c:pt idx="80">
                  <c:v>37408</c:v>
                </c:pt>
                <c:pt idx="81">
                  <c:v>37438</c:v>
                </c:pt>
                <c:pt idx="82">
                  <c:v>37469</c:v>
                </c:pt>
                <c:pt idx="83">
                  <c:v>37500</c:v>
                </c:pt>
                <c:pt idx="84">
                  <c:v>37530</c:v>
                </c:pt>
                <c:pt idx="85">
                  <c:v>37561</c:v>
                </c:pt>
                <c:pt idx="86">
                  <c:v>37591</c:v>
                </c:pt>
                <c:pt idx="87">
                  <c:v>37622</c:v>
                </c:pt>
                <c:pt idx="88">
                  <c:v>37653</c:v>
                </c:pt>
                <c:pt idx="89">
                  <c:v>37681</c:v>
                </c:pt>
                <c:pt idx="90">
                  <c:v>37712</c:v>
                </c:pt>
                <c:pt idx="91">
                  <c:v>37742</c:v>
                </c:pt>
                <c:pt idx="92">
                  <c:v>37773</c:v>
                </c:pt>
                <c:pt idx="93">
                  <c:v>37803</c:v>
                </c:pt>
                <c:pt idx="94">
                  <c:v>37834</c:v>
                </c:pt>
                <c:pt idx="95">
                  <c:v>37865</c:v>
                </c:pt>
                <c:pt idx="96">
                  <c:v>37895</c:v>
                </c:pt>
                <c:pt idx="97">
                  <c:v>37926</c:v>
                </c:pt>
                <c:pt idx="98">
                  <c:v>37956</c:v>
                </c:pt>
                <c:pt idx="99">
                  <c:v>37987</c:v>
                </c:pt>
                <c:pt idx="100">
                  <c:v>38018</c:v>
                </c:pt>
                <c:pt idx="101">
                  <c:v>38047</c:v>
                </c:pt>
                <c:pt idx="102">
                  <c:v>38078</c:v>
                </c:pt>
                <c:pt idx="103">
                  <c:v>38108</c:v>
                </c:pt>
                <c:pt idx="104">
                  <c:v>38139</c:v>
                </c:pt>
                <c:pt idx="105">
                  <c:v>38169</c:v>
                </c:pt>
                <c:pt idx="106">
                  <c:v>38200</c:v>
                </c:pt>
                <c:pt idx="107">
                  <c:v>38231</c:v>
                </c:pt>
                <c:pt idx="108">
                  <c:v>38261</c:v>
                </c:pt>
                <c:pt idx="109">
                  <c:v>38292</c:v>
                </c:pt>
                <c:pt idx="110">
                  <c:v>38322</c:v>
                </c:pt>
                <c:pt idx="111">
                  <c:v>38353</c:v>
                </c:pt>
                <c:pt idx="112">
                  <c:v>38384</c:v>
                </c:pt>
                <c:pt idx="113">
                  <c:v>38412</c:v>
                </c:pt>
                <c:pt idx="114">
                  <c:v>38443</c:v>
                </c:pt>
                <c:pt idx="115">
                  <c:v>38473</c:v>
                </c:pt>
                <c:pt idx="116">
                  <c:v>38504</c:v>
                </c:pt>
                <c:pt idx="117">
                  <c:v>38534</c:v>
                </c:pt>
                <c:pt idx="118">
                  <c:v>38565</c:v>
                </c:pt>
                <c:pt idx="119">
                  <c:v>38596</c:v>
                </c:pt>
                <c:pt idx="120">
                  <c:v>38626</c:v>
                </c:pt>
                <c:pt idx="121">
                  <c:v>38657</c:v>
                </c:pt>
                <c:pt idx="122">
                  <c:v>38687</c:v>
                </c:pt>
                <c:pt idx="123">
                  <c:v>38718</c:v>
                </c:pt>
                <c:pt idx="124">
                  <c:v>38749</c:v>
                </c:pt>
                <c:pt idx="125">
                  <c:v>38777</c:v>
                </c:pt>
                <c:pt idx="126">
                  <c:v>38808</c:v>
                </c:pt>
                <c:pt idx="127">
                  <c:v>38838</c:v>
                </c:pt>
                <c:pt idx="128">
                  <c:v>38869</c:v>
                </c:pt>
                <c:pt idx="129">
                  <c:v>38899</c:v>
                </c:pt>
                <c:pt idx="130">
                  <c:v>38930</c:v>
                </c:pt>
                <c:pt idx="131">
                  <c:v>38961</c:v>
                </c:pt>
                <c:pt idx="132">
                  <c:v>38991</c:v>
                </c:pt>
                <c:pt idx="133">
                  <c:v>39022</c:v>
                </c:pt>
                <c:pt idx="134">
                  <c:v>39052</c:v>
                </c:pt>
                <c:pt idx="135">
                  <c:v>39083</c:v>
                </c:pt>
                <c:pt idx="136">
                  <c:v>39114</c:v>
                </c:pt>
                <c:pt idx="137">
                  <c:v>39142</c:v>
                </c:pt>
                <c:pt idx="138">
                  <c:v>39173</c:v>
                </c:pt>
                <c:pt idx="139">
                  <c:v>39203</c:v>
                </c:pt>
                <c:pt idx="140">
                  <c:v>39234</c:v>
                </c:pt>
                <c:pt idx="141">
                  <c:v>39264</c:v>
                </c:pt>
                <c:pt idx="142">
                  <c:v>39295</c:v>
                </c:pt>
                <c:pt idx="143">
                  <c:v>39326</c:v>
                </c:pt>
                <c:pt idx="144">
                  <c:v>39356</c:v>
                </c:pt>
                <c:pt idx="145">
                  <c:v>39387</c:v>
                </c:pt>
                <c:pt idx="146">
                  <c:v>39417</c:v>
                </c:pt>
                <c:pt idx="147">
                  <c:v>39448</c:v>
                </c:pt>
                <c:pt idx="148">
                  <c:v>39479</c:v>
                </c:pt>
                <c:pt idx="149">
                  <c:v>39508</c:v>
                </c:pt>
                <c:pt idx="150">
                  <c:v>39539</c:v>
                </c:pt>
                <c:pt idx="151">
                  <c:v>39569</c:v>
                </c:pt>
                <c:pt idx="152">
                  <c:v>39600</c:v>
                </c:pt>
                <c:pt idx="153">
                  <c:v>39630</c:v>
                </c:pt>
                <c:pt idx="154">
                  <c:v>39661</c:v>
                </c:pt>
                <c:pt idx="155">
                  <c:v>39692</c:v>
                </c:pt>
                <c:pt idx="156">
                  <c:v>39722</c:v>
                </c:pt>
                <c:pt idx="157">
                  <c:v>39753</c:v>
                </c:pt>
                <c:pt idx="158">
                  <c:v>39783</c:v>
                </c:pt>
                <c:pt idx="159">
                  <c:v>39814</c:v>
                </c:pt>
                <c:pt idx="160">
                  <c:v>39845</c:v>
                </c:pt>
                <c:pt idx="161">
                  <c:v>39873</c:v>
                </c:pt>
                <c:pt idx="162">
                  <c:v>39904</c:v>
                </c:pt>
                <c:pt idx="163">
                  <c:v>39934</c:v>
                </c:pt>
                <c:pt idx="164">
                  <c:v>39965</c:v>
                </c:pt>
                <c:pt idx="165">
                  <c:v>39995</c:v>
                </c:pt>
                <c:pt idx="166">
                  <c:v>40026</c:v>
                </c:pt>
                <c:pt idx="167">
                  <c:v>40057</c:v>
                </c:pt>
                <c:pt idx="168">
                  <c:v>40087</c:v>
                </c:pt>
                <c:pt idx="169">
                  <c:v>40118</c:v>
                </c:pt>
                <c:pt idx="170">
                  <c:v>40148</c:v>
                </c:pt>
                <c:pt idx="171">
                  <c:v>40179</c:v>
                </c:pt>
                <c:pt idx="172">
                  <c:v>40210</c:v>
                </c:pt>
                <c:pt idx="173">
                  <c:v>40238</c:v>
                </c:pt>
                <c:pt idx="174">
                  <c:v>40269</c:v>
                </c:pt>
                <c:pt idx="175">
                  <c:v>40299</c:v>
                </c:pt>
                <c:pt idx="176">
                  <c:v>40330</c:v>
                </c:pt>
                <c:pt idx="177">
                  <c:v>40360</c:v>
                </c:pt>
                <c:pt idx="178">
                  <c:v>40391</c:v>
                </c:pt>
                <c:pt idx="179">
                  <c:v>40422</c:v>
                </c:pt>
                <c:pt idx="180">
                  <c:v>40452</c:v>
                </c:pt>
                <c:pt idx="181">
                  <c:v>40483</c:v>
                </c:pt>
                <c:pt idx="182">
                  <c:v>40513</c:v>
                </c:pt>
                <c:pt idx="183">
                  <c:v>40544</c:v>
                </c:pt>
                <c:pt idx="184">
                  <c:v>40575</c:v>
                </c:pt>
                <c:pt idx="185">
                  <c:v>40603</c:v>
                </c:pt>
                <c:pt idx="186">
                  <c:v>40634</c:v>
                </c:pt>
                <c:pt idx="187">
                  <c:v>40664</c:v>
                </c:pt>
                <c:pt idx="188">
                  <c:v>40695</c:v>
                </c:pt>
                <c:pt idx="189">
                  <c:v>40725</c:v>
                </c:pt>
                <c:pt idx="190">
                  <c:v>40756</c:v>
                </c:pt>
                <c:pt idx="191">
                  <c:v>40787</c:v>
                </c:pt>
                <c:pt idx="192">
                  <c:v>40817</c:v>
                </c:pt>
                <c:pt idx="193">
                  <c:v>40848</c:v>
                </c:pt>
                <c:pt idx="194">
                  <c:v>40878</c:v>
                </c:pt>
                <c:pt idx="195">
                  <c:v>40909</c:v>
                </c:pt>
                <c:pt idx="196">
                  <c:v>40940</c:v>
                </c:pt>
                <c:pt idx="197">
                  <c:v>40969</c:v>
                </c:pt>
                <c:pt idx="198">
                  <c:v>41000</c:v>
                </c:pt>
                <c:pt idx="199">
                  <c:v>41030</c:v>
                </c:pt>
                <c:pt idx="200">
                  <c:v>41061</c:v>
                </c:pt>
                <c:pt idx="201">
                  <c:v>41091</c:v>
                </c:pt>
                <c:pt idx="202">
                  <c:v>41122</c:v>
                </c:pt>
                <c:pt idx="203">
                  <c:v>41153</c:v>
                </c:pt>
                <c:pt idx="204">
                  <c:v>41183</c:v>
                </c:pt>
                <c:pt idx="205">
                  <c:v>41214</c:v>
                </c:pt>
                <c:pt idx="206">
                  <c:v>41244</c:v>
                </c:pt>
                <c:pt idx="207">
                  <c:v>41275</c:v>
                </c:pt>
                <c:pt idx="208">
                  <c:v>41306</c:v>
                </c:pt>
                <c:pt idx="209">
                  <c:v>41334</c:v>
                </c:pt>
                <c:pt idx="210">
                  <c:v>41365</c:v>
                </c:pt>
                <c:pt idx="211">
                  <c:v>41395</c:v>
                </c:pt>
                <c:pt idx="212">
                  <c:v>41426</c:v>
                </c:pt>
                <c:pt idx="213">
                  <c:v>41456</c:v>
                </c:pt>
                <c:pt idx="214">
                  <c:v>41487</c:v>
                </c:pt>
                <c:pt idx="215">
                  <c:v>41518</c:v>
                </c:pt>
                <c:pt idx="216">
                  <c:v>41548</c:v>
                </c:pt>
                <c:pt idx="217">
                  <c:v>41579</c:v>
                </c:pt>
                <c:pt idx="218">
                  <c:v>41609</c:v>
                </c:pt>
                <c:pt idx="219">
                  <c:v>41640</c:v>
                </c:pt>
                <c:pt idx="220">
                  <c:v>41671</c:v>
                </c:pt>
                <c:pt idx="221">
                  <c:v>41699</c:v>
                </c:pt>
                <c:pt idx="222">
                  <c:v>41730</c:v>
                </c:pt>
                <c:pt idx="223">
                  <c:v>41760</c:v>
                </c:pt>
                <c:pt idx="224">
                  <c:v>41791</c:v>
                </c:pt>
                <c:pt idx="225">
                  <c:v>41821</c:v>
                </c:pt>
                <c:pt idx="226">
                  <c:v>41852</c:v>
                </c:pt>
                <c:pt idx="227">
                  <c:v>41883</c:v>
                </c:pt>
                <c:pt idx="228">
                  <c:v>41913</c:v>
                </c:pt>
                <c:pt idx="229">
                  <c:v>41944</c:v>
                </c:pt>
                <c:pt idx="230">
                  <c:v>41974</c:v>
                </c:pt>
                <c:pt idx="231">
                  <c:v>42005</c:v>
                </c:pt>
                <c:pt idx="232">
                  <c:v>42036</c:v>
                </c:pt>
                <c:pt idx="233">
                  <c:v>42064</c:v>
                </c:pt>
                <c:pt idx="234">
                  <c:v>42095</c:v>
                </c:pt>
                <c:pt idx="235">
                  <c:v>42125</c:v>
                </c:pt>
                <c:pt idx="236">
                  <c:v>42156</c:v>
                </c:pt>
                <c:pt idx="237">
                  <c:v>42186</c:v>
                </c:pt>
                <c:pt idx="238">
                  <c:v>42217</c:v>
                </c:pt>
                <c:pt idx="239">
                  <c:v>42248</c:v>
                </c:pt>
                <c:pt idx="240">
                  <c:v>42278</c:v>
                </c:pt>
                <c:pt idx="241">
                  <c:v>42309</c:v>
                </c:pt>
                <c:pt idx="242">
                  <c:v>42339</c:v>
                </c:pt>
                <c:pt idx="243">
                  <c:v>42370</c:v>
                </c:pt>
                <c:pt idx="244">
                  <c:v>42401</c:v>
                </c:pt>
                <c:pt idx="245">
                  <c:v>42430</c:v>
                </c:pt>
                <c:pt idx="246">
                  <c:v>42461</c:v>
                </c:pt>
                <c:pt idx="247">
                  <c:v>42491</c:v>
                </c:pt>
                <c:pt idx="248">
                  <c:v>42522</c:v>
                </c:pt>
                <c:pt idx="249">
                  <c:v>42552</c:v>
                </c:pt>
                <c:pt idx="250">
                  <c:v>42583</c:v>
                </c:pt>
                <c:pt idx="251">
                  <c:v>42614</c:v>
                </c:pt>
                <c:pt idx="252">
                  <c:v>42644</c:v>
                </c:pt>
                <c:pt idx="253">
                  <c:v>42675</c:v>
                </c:pt>
              </c:numCache>
            </c:numRef>
          </c:cat>
          <c:val>
            <c:numRef>
              <c:f>Sheet7!$E$2:$E$255</c:f>
              <c:numCache>
                <c:formatCode>General</c:formatCode>
                <c:ptCount val="254"/>
                <c:pt idx="0">
                  <c:v>11.2811</c:v>
                </c:pt>
                <c:pt idx="1">
                  <c:v>11.2811</c:v>
                </c:pt>
                <c:pt idx="2">
                  <c:v>11.8277</c:v>
                </c:pt>
                <c:pt idx="3">
                  <c:v>13.6088</c:v>
                </c:pt>
                <c:pt idx="4">
                  <c:v>16.607700000000001</c:v>
                </c:pt>
                <c:pt idx="5">
                  <c:v>21.898299999999999</c:v>
                </c:pt>
                <c:pt idx="6">
                  <c:v>28.775400000000001</c:v>
                </c:pt>
                <c:pt idx="7">
                  <c:v>34.441800000000001</c:v>
                </c:pt>
                <c:pt idx="8">
                  <c:v>34.674900000000001</c:v>
                </c:pt>
                <c:pt idx="9">
                  <c:v>34.674900000000001</c:v>
                </c:pt>
                <c:pt idx="10">
                  <c:v>34.674900000000001</c:v>
                </c:pt>
                <c:pt idx="11">
                  <c:v>34.674900000000001</c:v>
                </c:pt>
                <c:pt idx="12">
                  <c:v>34.674900000000001</c:v>
                </c:pt>
                <c:pt idx="13">
                  <c:v>34.674900000000001</c:v>
                </c:pt>
                <c:pt idx="14">
                  <c:v>34.674900000000001</c:v>
                </c:pt>
                <c:pt idx="15">
                  <c:v>34.674900000000001</c:v>
                </c:pt>
                <c:pt idx="16">
                  <c:v>35.8857</c:v>
                </c:pt>
                <c:pt idx="17">
                  <c:v>36.534799999999997</c:v>
                </c:pt>
                <c:pt idx="18">
                  <c:v>36.534799999999997</c:v>
                </c:pt>
                <c:pt idx="19">
                  <c:v>36.534799999999997</c:v>
                </c:pt>
                <c:pt idx="20">
                  <c:v>36.534799999999997</c:v>
                </c:pt>
                <c:pt idx="21">
                  <c:v>36.534799999999997</c:v>
                </c:pt>
                <c:pt idx="22">
                  <c:v>38.503100000000003</c:v>
                </c:pt>
                <c:pt idx="23">
                  <c:v>40.244500000000002</c:v>
                </c:pt>
                <c:pt idx="24">
                  <c:v>42.901499999999999</c:v>
                </c:pt>
                <c:pt idx="25">
                  <c:v>46.965299999999999</c:v>
                </c:pt>
                <c:pt idx="26">
                  <c:v>51.982700000000001</c:v>
                </c:pt>
                <c:pt idx="27">
                  <c:v>69.192099999999996</c:v>
                </c:pt>
                <c:pt idx="28">
                  <c:v>88.975099999999998</c:v>
                </c:pt>
                <c:pt idx="29">
                  <c:v>108.6349</c:v>
                </c:pt>
                <c:pt idx="30">
                  <c:v>127.4607</c:v>
                </c:pt>
                <c:pt idx="31">
                  <c:v>146.3777</c:v>
                </c:pt>
                <c:pt idx="32">
                  <c:v>165.65270000000001</c:v>
                </c:pt>
                <c:pt idx="33">
                  <c:v>186.91149999999999</c:v>
                </c:pt>
                <c:pt idx="34">
                  <c:v>208.4974</c:v>
                </c:pt>
                <c:pt idx="35">
                  <c:v>230.39859999999999</c:v>
                </c:pt>
                <c:pt idx="36">
                  <c:v>255.32499999999999</c:v>
                </c:pt>
                <c:pt idx="37">
                  <c:v>280.53410000000002</c:v>
                </c:pt>
                <c:pt idx="38">
                  <c:v>305.1875</c:v>
                </c:pt>
                <c:pt idx="39">
                  <c:v>331.39690000000002</c:v>
                </c:pt>
                <c:pt idx="40">
                  <c:v>357.1003</c:v>
                </c:pt>
                <c:pt idx="41">
                  <c:v>382.26089999999999</c:v>
                </c:pt>
                <c:pt idx="42">
                  <c:v>404.73480000000001</c:v>
                </c:pt>
                <c:pt idx="43">
                  <c:v>428.54629999999997</c:v>
                </c:pt>
                <c:pt idx="44">
                  <c:v>449.37310000000002</c:v>
                </c:pt>
                <c:pt idx="45">
                  <c:v>465.13350000000003</c:v>
                </c:pt>
                <c:pt idx="46">
                  <c:v>479.91809999999998</c:v>
                </c:pt>
                <c:pt idx="47">
                  <c:v>491.0917</c:v>
                </c:pt>
                <c:pt idx="48">
                  <c:v>503.98770000000002</c:v>
                </c:pt>
                <c:pt idx="49">
                  <c:v>514.94230000000005</c:v>
                </c:pt>
                <c:pt idx="50">
                  <c:v>527.66480000000001</c:v>
                </c:pt>
                <c:pt idx="51">
                  <c:v>538.36689999999999</c:v>
                </c:pt>
                <c:pt idx="52">
                  <c:v>545.71040000000005</c:v>
                </c:pt>
                <c:pt idx="53">
                  <c:v>551.85580000000004</c:v>
                </c:pt>
                <c:pt idx="54">
                  <c:v>558.92250000000001</c:v>
                </c:pt>
                <c:pt idx="55">
                  <c:v>566.9751</c:v>
                </c:pt>
                <c:pt idx="56">
                  <c:v>570.99400000000003</c:v>
                </c:pt>
                <c:pt idx="57">
                  <c:v>577.64170000000001</c:v>
                </c:pt>
                <c:pt idx="58">
                  <c:v>585.88980000000004</c:v>
                </c:pt>
                <c:pt idx="59">
                  <c:v>595.48620000000005</c:v>
                </c:pt>
                <c:pt idx="60">
                  <c:v>606.32600000000002</c:v>
                </c:pt>
                <c:pt idx="61">
                  <c:v>618.45079999999996</c:v>
                </c:pt>
                <c:pt idx="62">
                  <c:v>631.60109999999997</c:v>
                </c:pt>
                <c:pt idx="63">
                  <c:v>660.0095</c:v>
                </c:pt>
                <c:pt idx="64">
                  <c:v>692.62710000000004</c:v>
                </c:pt>
                <c:pt idx="65">
                  <c:v>724.81740000000002</c:v>
                </c:pt>
                <c:pt idx="66">
                  <c:v>758.51819999999998</c:v>
                </c:pt>
                <c:pt idx="67">
                  <c:v>790.49559999999997</c:v>
                </c:pt>
                <c:pt idx="68">
                  <c:v>821.11400000000003</c:v>
                </c:pt>
                <c:pt idx="69">
                  <c:v>851.94590000000005</c:v>
                </c:pt>
                <c:pt idx="70">
                  <c:v>883.21690000000001</c:v>
                </c:pt>
                <c:pt idx="71">
                  <c:v>917.01869999999997</c:v>
                </c:pt>
                <c:pt idx="72">
                  <c:v>952.75239999999997</c:v>
                </c:pt>
                <c:pt idx="73">
                  <c:v>991.66459999999995</c:v>
                </c:pt>
                <c:pt idx="74">
                  <c:v>1030.1521</c:v>
                </c:pt>
                <c:pt idx="75">
                  <c:v>1062.8409999999999</c:v>
                </c:pt>
                <c:pt idx="76">
                  <c:v>1096.4697000000001</c:v>
                </c:pt>
                <c:pt idx="77">
                  <c:v>1132.646</c:v>
                </c:pt>
                <c:pt idx="78">
                  <c:v>1165.4779000000001</c:v>
                </c:pt>
                <c:pt idx="79">
                  <c:v>1199.4060999999999</c:v>
                </c:pt>
                <c:pt idx="80">
                  <c:v>1235.9751000000001</c:v>
                </c:pt>
                <c:pt idx="81">
                  <c:v>1275.3442</c:v>
                </c:pt>
                <c:pt idx="82">
                  <c:v>1317.4607000000001</c:v>
                </c:pt>
                <c:pt idx="83">
                  <c:v>1362.3214</c:v>
                </c:pt>
                <c:pt idx="84">
                  <c:v>1410.4819</c:v>
                </c:pt>
                <c:pt idx="85">
                  <c:v>1458.5216</c:v>
                </c:pt>
                <c:pt idx="86">
                  <c:v>1507.4561000000001</c:v>
                </c:pt>
                <c:pt idx="87">
                  <c:v>1556.6849999999999</c:v>
                </c:pt>
                <c:pt idx="88">
                  <c:v>1608.0254</c:v>
                </c:pt>
                <c:pt idx="89">
                  <c:v>1660.4428</c:v>
                </c:pt>
                <c:pt idx="90">
                  <c:v>1714.6813999999999</c:v>
                </c:pt>
                <c:pt idx="91">
                  <c:v>1767.7313999999999</c:v>
                </c:pt>
                <c:pt idx="92">
                  <c:v>1826.5183</c:v>
                </c:pt>
                <c:pt idx="93">
                  <c:v>1890.5672999999999</c:v>
                </c:pt>
                <c:pt idx="94">
                  <c:v>1945.4457</c:v>
                </c:pt>
                <c:pt idx="95">
                  <c:v>1989.8839</c:v>
                </c:pt>
                <c:pt idx="96">
                  <c:v>2037.3384000000001</c:v>
                </c:pt>
                <c:pt idx="97">
                  <c:v>2087.9757</c:v>
                </c:pt>
                <c:pt idx="98">
                  <c:v>2138.8395999999998</c:v>
                </c:pt>
                <c:pt idx="99">
                  <c:v>2190.4385000000002</c:v>
                </c:pt>
                <c:pt idx="100">
                  <c:v>2245.0320000000002</c:v>
                </c:pt>
                <c:pt idx="101">
                  <c:v>2301.0129000000002</c:v>
                </c:pt>
                <c:pt idx="102">
                  <c:v>2360.1527000000001</c:v>
                </c:pt>
                <c:pt idx="103">
                  <c:v>2411.2309</c:v>
                </c:pt>
                <c:pt idx="104">
                  <c:v>2456.2732000000001</c:v>
                </c:pt>
                <c:pt idx="105">
                  <c:v>2501.5056</c:v>
                </c:pt>
                <c:pt idx="106">
                  <c:v>2551.0297999999998</c:v>
                </c:pt>
                <c:pt idx="107">
                  <c:v>2602.797</c:v>
                </c:pt>
                <c:pt idx="108">
                  <c:v>2656.2592</c:v>
                </c:pt>
                <c:pt idx="109">
                  <c:v>2710.6750999999999</c:v>
                </c:pt>
                <c:pt idx="110">
                  <c:v>2765.0688</c:v>
                </c:pt>
                <c:pt idx="111">
                  <c:v>2819.0951</c:v>
                </c:pt>
                <c:pt idx="112">
                  <c:v>2873.7330999999999</c:v>
                </c:pt>
                <c:pt idx="113">
                  <c:v>2929.5113999999999</c:v>
                </c:pt>
                <c:pt idx="114">
                  <c:v>2980.2170000000001</c:v>
                </c:pt>
                <c:pt idx="115">
                  <c:v>3032.4171999999999</c:v>
                </c:pt>
                <c:pt idx="116">
                  <c:v>3087.0997000000002</c:v>
                </c:pt>
                <c:pt idx="117">
                  <c:v>3144.3595999999998</c:v>
                </c:pt>
                <c:pt idx="118">
                  <c:v>3199.8235</c:v>
                </c:pt>
                <c:pt idx="119">
                  <c:v>3253.3912</c:v>
                </c:pt>
                <c:pt idx="120">
                  <c:v>3306.9457000000002</c:v>
                </c:pt>
                <c:pt idx="121">
                  <c:v>3355.9852999999998</c:v>
                </c:pt>
                <c:pt idx="122">
                  <c:v>3400.8299000000002</c:v>
                </c:pt>
                <c:pt idx="123">
                  <c:v>3446.2972</c:v>
                </c:pt>
                <c:pt idx="124">
                  <c:v>3494.0003999999999</c:v>
                </c:pt>
                <c:pt idx="125">
                  <c:v>3539.8335000000002</c:v>
                </c:pt>
                <c:pt idx="126">
                  <c:v>3584.3078999999998</c:v>
                </c:pt>
                <c:pt idx="127">
                  <c:v>3625.9742000000001</c:v>
                </c:pt>
                <c:pt idx="128">
                  <c:v>3666.3869</c:v>
                </c:pt>
                <c:pt idx="129">
                  <c:v>3705.6035000000002</c:v>
                </c:pt>
                <c:pt idx="130">
                  <c:v>3743.7397999999998</c:v>
                </c:pt>
                <c:pt idx="131">
                  <c:v>3785.9897000000001</c:v>
                </c:pt>
                <c:pt idx="132">
                  <c:v>3829.8074999999999</c:v>
                </c:pt>
                <c:pt idx="133">
                  <c:v>3874.4466000000002</c:v>
                </c:pt>
                <c:pt idx="134">
                  <c:v>3920.7696000000001</c:v>
                </c:pt>
                <c:pt idx="135">
                  <c:v>3969.0551999999998</c:v>
                </c:pt>
                <c:pt idx="136">
                  <c:v>4015.6732000000002</c:v>
                </c:pt>
                <c:pt idx="137">
                  <c:v>4062.2419</c:v>
                </c:pt>
                <c:pt idx="138">
                  <c:v>4110.2775000000001</c:v>
                </c:pt>
                <c:pt idx="139">
                  <c:v>4157.7112999999999</c:v>
                </c:pt>
                <c:pt idx="140">
                  <c:v>4203.8380999999999</c:v>
                </c:pt>
                <c:pt idx="141">
                  <c:v>4243.7622000000001</c:v>
                </c:pt>
                <c:pt idx="142">
                  <c:v>4283.2076999999999</c:v>
                </c:pt>
                <c:pt idx="143">
                  <c:v>4324.5502999999999</c:v>
                </c:pt>
                <c:pt idx="144">
                  <c:v>4368.4879000000001</c:v>
                </c:pt>
                <c:pt idx="145">
                  <c:v>4413.0748000000003</c:v>
                </c:pt>
                <c:pt idx="146">
                  <c:v>4460.2606999999998</c:v>
                </c:pt>
                <c:pt idx="147">
                  <c:v>4509.1112000000003</c:v>
                </c:pt>
                <c:pt idx="148">
                  <c:v>4563.8293000000003</c:v>
                </c:pt>
                <c:pt idx="149">
                  <c:v>4614.5221000000001</c:v>
                </c:pt>
                <c:pt idx="150">
                  <c:v>4664.3212999999996</c:v>
                </c:pt>
                <c:pt idx="151">
                  <c:v>4714.7623000000003</c:v>
                </c:pt>
                <c:pt idx="152">
                  <c:v>4763.4450999999999</c:v>
                </c:pt>
                <c:pt idx="153">
                  <c:v>4806.7852000000003</c:v>
                </c:pt>
                <c:pt idx="154">
                  <c:v>4848.5726000000004</c:v>
                </c:pt>
                <c:pt idx="155">
                  <c:v>4889.3446000000004</c:v>
                </c:pt>
                <c:pt idx="156">
                  <c:v>4937.1723000000002</c:v>
                </c:pt>
                <c:pt idx="157">
                  <c:v>4982.5586000000003</c:v>
                </c:pt>
                <c:pt idx="158">
                  <c:v>5029.4560000000001</c:v>
                </c:pt>
                <c:pt idx="159">
                  <c:v>5090.4074000000001</c:v>
                </c:pt>
                <c:pt idx="160">
                  <c:v>5156.2058999999999</c:v>
                </c:pt>
                <c:pt idx="161">
                  <c:v>5220.1328999999996</c:v>
                </c:pt>
                <c:pt idx="162">
                  <c:v>5286.7048999999997</c:v>
                </c:pt>
                <c:pt idx="163">
                  <c:v>5357.3153000000002</c:v>
                </c:pt>
                <c:pt idx="164">
                  <c:v>5426.9652999999998</c:v>
                </c:pt>
                <c:pt idx="165">
                  <c:v>5485.5023000000001</c:v>
                </c:pt>
                <c:pt idx="166">
                  <c:v>5547.7695000000003</c:v>
                </c:pt>
                <c:pt idx="167">
                  <c:v>5610.7254000000003</c:v>
                </c:pt>
                <c:pt idx="168">
                  <c:v>5676.7677000000003</c:v>
                </c:pt>
                <c:pt idx="169">
                  <c:v>5744.2961999999998</c:v>
                </c:pt>
                <c:pt idx="170">
                  <c:v>5813.4566000000004</c:v>
                </c:pt>
                <c:pt idx="171">
                  <c:v>5881.4921999999997</c:v>
                </c:pt>
                <c:pt idx="172">
                  <c:v>5947.6392999999998</c:v>
                </c:pt>
                <c:pt idx="173">
                  <c:v>6014.4620999999997</c:v>
                </c:pt>
                <c:pt idx="174">
                  <c:v>6081.3855000000003</c:v>
                </c:pt>
                <c:pt idx="175">
                  <c:v>6146.2191999999995</c:v>
                </c:pt>
                <c:pt idx="176">
                  <c:v>6215.1228000000001</c:v>
                </c:pt>
                <c:pt idx="177">
                  <c:v>6287.7141000000001</c:v>
                </c:pt>
                <c:pt idx="178">
                  <c:v>6363.5720000000001</c:v>
                </c:pt>
                <c:pt idx="179">
                  <c:v>6442.3869000000004</c:v>
                </c:pt>
                <c:pt idx="180">
                  <c:v>6522.9495999999999</c:v>
                </c:pt>
                <c:pt idx="181">
                  <c:v>6605.8679000000002</c:v>
                </c:pt>
                <c:pt idx="182">
                  <c:v>6686.8869000000004</c:v>
                </c:pt>
                <c:pt idx="183">
                  <c:v>6759.2019</c:v>
                </c:pt>
                <c:pt idx="184">
                  <c:v>6830.4665000000005</c:v>
                </c:pt>
                <c:pt idx="185">
                  <c:v>6898.0456000000004</c:v>
                </c:pt>
                <c:pt idx="186">
                  <c:v>6968.0113000000001</c:v>
                </c:pt>
                <c:pt idx="187">
                  <c:v>7038.0236000000004</c:v>
                </c:pt>
                <c:pt idx="188">
                  <c:v>7112.1916000000001</c:v>
                </c:pt>
                <c:pt idx="189">
                  <c:v>7189.1549999999997</c:v>
                </c:pt>
                <c:pt idx="190">
                  <c:v>7265.2055</c:v>
                </c:pt>
                <c:pt idx="191">
                  <c:v>7347.7704000000003</c:v>
                </c:pt>
                <c:pt idx="192">
                  <c:v>7434.8446999999996</c:v>
                </c:pt>
                <c:pt idx="193">
                  <c:v>7521.5505999999996</c:v>
                </c:pt>
                <c:pt idx="194">
                  <c:v>7610.7003999999997</c:v>
                </c:pt>
                <c:pt idx="195">
                  <c:v>7700.8662000000004</c:v>
                </c:pt>
                <c:pt idx="196">
                  <c:v>7791.7003000000004</c:v>
                </c:pt>
                <c:pt idx="197">
                  <c:v>7882.8028999999997</c:v>
                </c:pt>
                <c:pt idx="198">
                  <c:v>7972.1475</c:v>
                </c:pt>
                <c:pt idx="199">
                  <c:v>8063.2694000000001</c:v>
                </c:pt>
                <c:pt idx="200">
                  <c:v>8157.0717999999997</c:v>
                </c:pt>
                <c:pt idx="201">
                  <c:v>8254.5727999999999</c:v>
                </c:pt>
                <c:pt idx="202">
                  <c:v>8355.3698999999997</c:v>
                </c:pt>
                <c:pt idx="203">
                  <c:v>8455.3029999999999</c:v>
                </c:pt>
                <c:pt idx="204">
                  <c:v>8558.3112999999994</c:v>
                </c:pt>
                <c:pt idx="205">
                  <c:v>8664.2394999999997</c:v>
                </c:pt>
                <c:pt idx="206">
                  <c:v>8771.0704000000005</c:v>
                </c:pt>
                <c:pt idx="207">
                  <c:v>8878.0138000000006</c:v>
                </c:pt>
                <c:pt idx="208">
                  <c:v>8982.9078000000009</c:v>
                </c:pt>
                <c:pt idx="209">
                  <c:v>9083.6695999999993</c:v>
                </c:pt>
                <c:pt idx="210">
                  <c:v>9183.6936000000005</c:v>
                </c:pt>
                <c:pt idx="211">
                  <c:v>9287.1355999999996</c:v>
                </c:pt>
                <c:pt idx="212">
                  <c:v>9388.3639999999996</c:v>
                </c:pt>
                <c:pt idx="213">
                  <c:v>9475.3153000000002</c:v>
                </c:pt>
                <c:pt idx="214">
                  <c:v>9555.1203000000005</c:v>
                </c:pt>
                <c:pt idx="215">
                  <c:v>9632.7810000000009</c:v>
                </c:pt>
                <c:pt idx="216">
                  <c:v>9710.0506999999998</c:v>
                </c:pt>
                <c:pt idx="217">
                  <c:v>9794.2276000000002</c:v>
                </c:pt>
                <c:pt idx="218">
                  <c:v>9876.8806999999997</c:v>
                </c:pt>
                <c:pt idx="219">
                  <c:v>9955.2999999999993</c:v>
                </c:pt>
                <c:pt idx="220">
                  <c:v>10033.8999</c:v>
                </c:pt>
                <c:pt idx="221">
                  <c:v>10115.586799999999</c:v>
                </c:pt>
                <c:pt idx="222">
                  <c:v>10193.9215</c:v>
                </c:pt>
                <c:pt idx="223">
                  <c:v>10272.2731</c:v>
                </c:pt>
                <c:pt idx="224">
                  <c:v>10354.7793</c:v>
                </c:pt>
                <c:pt idx="225">
                  <c:v>10437.6975</c:v>
                </c:pt>
                <c:pt idx="226">
                  <c:v>10521.088900000001</c:v>
                </c:pt>
                <c:pt idx="227">
                  <c:v>10604.9854</c:v>
                </c:pt>
                <c:pt idx="228">
                  <c:v>10688.1991</c:v>
                </c:pt>
                <c:pt idx="229">
                  <c:v>10774.574699999999</c:v>
                </c:pt>
                <c:pt idx="230">
                  <c:v>10861.772000000001</c:v>
                </c:pt>
                <c:pt idx="231">
                  <c:v>10955.1543</c:v>
                </c:pt>
                <c:pt idx="232">
                  <c:v>11053.305899999999</c:v>
                </c:pt>
                <c:pt idx="233">
                  <c:v>11150.3642</c:v>
                </c:pt>
                <c:pt idx="234">
                  <c:v>11245.972</c:v>
                </c:pt>
                <c:pt idx="235">
                  <c:v>11344.102999999999</c:v>
                </c:pt>
                <c:pt idx="236">
                  <c:v>11437.6885</c:v>
                </c:pt>
                <c:pt idx="237">
                  <c:v>11527.4429</c:v>
                </c:pt>
                <c:pt idx="238">
                  <c:v>11615.916800000001</c:v>
                </c:pt>
                <c:pt idx="239">
                  <c:v>11709.600899999999</c:v>
                </c:pt>
                <c:pt idx="240">
                  <c:v>11803.759099999999</c:v>
                </c:pt>
                <c:pt idx="241">
                  <c:v>11900.7155</c:v>
                </c:pt>
                <c:pt idx="242">
                  <c:v>11993.256299999999</c:v>
                </c:pt>
                <c:pt idx="243">
                  <c:v>12085.401599999999</c:v>
                </c:pt>
                <c:pt idx="244">
                  <c:v>12179.943499999999</c:v>
                </c:pt>
                <c:pt idx="245">
                  <c:v>12280.6348</c:v>
                </c:pt>
                <c:pt idx="246">
                  <c:v>12382.246499999999</c:v>
                </c:pt>
                <c:pt idx="247">
                  <c:v>12484.5003</c:v>
                </c:pt>
                <c:pt idx="248">
                  <c:v>12586.8974</c:v>
                </c:pt>
                <c:pt idx="249">
                  <c:v>12690.4336</c:v>
                </c:pt>
                <c:pt idx="250">
                  <c:v>12797.9035</c:v>
                </c:pt>
                <c:pt idx="251">
                  <c:v>12905.222599999999</c:v>
                </c:pt>
                <c:pt idx="252">
                  <c:v>13011.716899999999</c:v>
                </c:pt>
                <c:pt idx="253">
                  <c:v>13117.912899999999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Sheet7!$F$1</c:f>
              <c:strCache>
                <c:ptCount val="1"/>
                <c:pt idx="0">
                  <c:v>burnout_230</c:v>
                </c:pt>
              </c:strCache>
            </c:strRef>
          </c:tx>
          <c:marker>
            <c:symbol val="none"/>
          </c:marker>
          <c:cat>
            <c:numRef>
              <c:f>Sheet7!$A$2:$A$255</c:f>
              <c:numCache>
                <c:formatCode>m/d/yyyy</c:formatCode>
                <c:ptCount val="254"/>
                <c:pt idx="0">
                  <c:v>34912</c:v>
                </c:pt>
                <c:pt idx="1">
                  <c:v>34943</c:v>
                </c:pt>
                <c:pt idx="2">
                  <c:v>34973</c:v>
                </c:pt>
                <c:pt idx="3">
                  <c:v>35004</c:v>
                </c:pt>
                <c:pt idx="4">
                  <c:v>35034</c:v>
                </c:pt>
                <c:pt idx="5">
                  <c:v>35065</c:v>
                </c:pt>
                <c:pt idx="6">
                  <c:v>35096</c:v>
                </c:pt>
                <c:pt idx="7">
                  <c:v>35125</c:v>
                </c:pt>
                <c:pt idx="8">
                  <c:v>35156</c:v>
                </c:pt>
                <c:pt idx="9">
                  <c:v>35186</c:v>
                </c:pt>
                <c:pt idx="10">
                  <c:v>35217</c:v>
                </c:pt>
                <c:pt idx="11">
                  <c:v>35247</c:v>
                </c:pt>
                <c:pt idx="12">
                  <c:v>35278</c:v>
                </c:pt>
                <c:pt idx="13">
                  <c:v>35309</c:v>
                </c:pt>
                <c:pt idx="14">
                  <c:v>35339</c:v>
                </c:pt>
                <c:pt idx="15">
                  <c:v>35370</c:v>
                </c:pt>
                <c:pt idx="16">
                  <c:v>35400</c:v>
                </c:pt>
                <c:pt idx="17">
                  <c:v>35490</c:v>
                </c:pt>
                <c:pt idx="18">
                  <c:v>35521</c:v>
                </c:pt>
                <c:pt idx="19">
                  <c:v>35551</c:v>
                </c:pt>
                <c:pt idx="20">
                  <c:v>35582</c:v>
                </c:pt>
                <c:pt idx="21">
                  <c:v>35612</c:v>
                </c:pt>
                <c:pt idx="22">
                  <c:v>35643</c:v>
                </c:pt>
                <c:pt idx="23">
                  <c:v>35674</c:v>
                </c:pt>
                <c:pt idx="24">
                  <c:v>35704</c:v>
                </c:pt>
                <c:pt idx="25">
                  <c:v>35735</c:v>
                </c:pt>
                <c:pt idx="26">
                  <c:v>35765</c:v>
                </c:pt>
                <c:pt idx="27">
                  <c:v>35796</c:v>
                </c:pt>
                <c:pt idx="28">
                  <c:v>35827</c:v>
                </c:pt>
                <c:pt idx="29">
                  <c:v>35855</c:v>
                </c:pt>
                <c:pt idx="30">
                  <c:v>35886</c:v>
                </c:pt>
                <c:pt idx="31">
                  <c:v>35916</c:v>
                </c:pt>
                <c:pt idx="32">
                  <c:v>35947</c:v>
                </c:pt>
                <c:pt idx="33">
                  <c:v>35977</c:v>
                </c:pt>
                <c:pt idx="34">
                  <c:v>36008</c:v>
                </c:pt>
                <c:pt idx="35">
                  <c:v>36039</c:v>
                </c:pt>
                <c:pt idx="36">
                  <c:v>36069</c:v>
                </c:pt>
                <c:pt idx="37">
                  <c:v>36100</c:v>
                </c:pt>
                <c:pt idx="38">
                  <c:v>36130</c:v>
                </c:pt>
                <c:pt idx="39">
                  <c:v>36161</c:v>
                </c:pt>
                <c:pt idx="40">
                  <c:v>36192</c:v>
                </c:pt>
                <c:pt idx="41">
                  <c:v>36220</c:v>
                </c:pt>
                <c:pt idx="42">
                  <c:v>36251</c:v>
                </c:pt>
                <c:pt idx="43">
                  <c:v>36281</c:v>
                </c:pt>
                <c:pt idx="44">
                  <c:v>36312</c:v>
                </c:pt>
                <c:pt idx="45">
                  <c:v>36342</c:v>
                </c:pt>
                <c:pt idx="46">
                  <c:v>36373</c:v>
                </c:pt>
                <c:pt idx="47">
                  <c:v>36404</c:v>
                </c:pt>
                <c:pt idx="48">
                  <c:v>36434</c:v>
                </c:pt>
                <c:pt idx="49">
                  <c:v>36465</c:v>
                </c:pt>
                <c:pt idx="50">
                  <c:v>36495</c:v>
                </c:pt>
                <c:pt idx="51">
                  <c:v>36526</c:v>
                </c:pt>
                <c:pt idx="52">
                  <c:v>36557</c:v>
                </c:pt>
                <c:pt idx="53">
                  <c:v>36586</c:v>
                </c:pt>
                <c:pt idx="54">
                  <c:v>36617</c:v>
                </c:pt>
                <c:pt idx="55">
                  <c:v>36647</c:v>
                </c:pt>
                <c:pt idx="56">
                  <c:v>36678</c:v>
                </c:pt>
                <c:pt idx="57">
                  <c:v>36708</c:v>
                </c:pt>
                <c:pt idx="58">
                  <c:v>36739</c:v>
                </c:pt>
                <c:pt idx="59">
                  <c:v>36770</c:v>
                </c:pt>
                <c:pt idx="60">
                  <c:v>36800</c:v>
                </c:pt>
                <c:pt idx="61">
                  <c:v>36831</c:v>
                </c:pt>
                <c:pt idx="62">
                  <c:v>36861</c:v>
                </c:pt>
                <c:pt idx="63">
                  <c:v>36892</c:v>
                </c:pt>
                <c:pt idx="64">
                  <c:v>36923</c:v>
                </c:pt>
                <c:pt idx="65">
                  <c:v>36951</c:v>
                </c:pt>
                <c:pt idx="66">
                  <c:v>36982</c:v>
                </c:pt>
                <c:pt idx="67">
                  <c:v>37012</c:v>
                </c:pt>
                <c:pt idx="68">
                  <c:v>37043</c:v>
                </c:pt>
                <c:pt idx="69">
                  <c:v>37073</c:v>
                </c:pt>
                <c:pt idx="70">
                  <c:v>37104</c:v>
                </c:pt>
                <c:pt idx="71">
                  <c:v>37135</c:v>
                </c:pt>
                <c:pt idx="72">
                  <c:v>37165</c:v>
                </c:pt>
                <c:pt idx="73">
                  <c:v>37196</c:v>
                </c:pt>
                <c:pt idx="74">
                  <c:v>37226</c:v>
                </c:pt>
                <c:pt idx="75">
                  <c:v>37257</c:v>
                </c:pt>
                <c:pt idx="76">
                  <c:v>37288</c:v>
                </c:pt>
                <c:pt idx="77">
                  <c:v>37316</c:v>
                </c:pt>
                <c:pt idx="78">
                  <c:v>37347</c:v>
                </c:pt>
                <c:pt idx="79">
                  <c:v>37377</c:v>
                </c:pt>
                <c:pt idx="80">
                  <c:v>37408</c:v>
                </c:pt>
                <c:pt idx="81">
                  <c:v>37438</c:v>
                </c:pt>
                <c:pt idx="82">
                  <c:v>37469</c:v>
                </c:pt>
                <c:pt idx="83">
                  <c:v>37500</c:v>
                </c:pt>
                <c:pt idx="84">
                  <c:v>37530</c:v>
                </c:pt>
                <c:pt idx="85">
                  <c:v>37561</c:v>
                </c:pt>
                <c:pt idx="86">
                  <c:v>37591</c:v>
                </c:pt>
                <c:pt idx="87">
                  <c:v>37622</c:v>
                </c:pt>
                <c:pt idx="88">
                  <c:v>37653</c:v>
                </c:pt>
                <c:pt idx="89">
                  <c:v>37681</c:v>
                </c:pt>
                <c:pt idx="90">
                  <c:v>37712</c:v>
                </c:pt>
                <c:pt idx="91">
                  <c:v>37742</c:v>
                </c:pt>
                <c:pt idx="92">
                  <c:v>37773</c:v>
                </c:pt>
                <c:pt idx="93">
                  <c:v>37803</c:v>
                </c:pt>
                <c:pt idx="94">
                  <c:v>37834</c:v>
                </c:pt>
                <c:pt idx="95">
                  <c:v>37865</c:v>
                </c:pt>
                <c:pt idx="96">
                  <c:v>37895</c:v>
                </c:pt>
                <c:pt idx="97">
                  <c:v>37926</c:v>
                </c:pt>
                <c:pt idx="98">
                  <c:v>37956</c:v>
                </c:pt>
                <c:pt idx="99">
                  <c:v>37987</c:v>
                </c:pt>
                <c:pt idx="100">
                  <c:v>38018</c:v>
                </c:pt>
                <c:pt idx="101">
                  <c:v>38047</c:v>
                </c:pt>
                <c:pt idx="102">
                  <c:v>38078</c:v>
                </c:pt>
                <c:pt idx="103">
                  <c:v>38108</c:v>
                </c:pt>
                <c:pt idx="104">
                  <c:v>38139</c:v>
                </c:pt>
                <c:pt idx="105">
                  <c:v>38169</c:v>
                </c:pt>
                <c:pt idx="106">
                  <c:v>38200</c:v>
                </c:pt>
                <c:pt idx="107">
                  <c:v>38231</c:v>
                </c:pt>
                <c:pt idx="108">
                  <c:v>38261</c:v>
                </c:pt>
                <c:pt idx="109">
                  <c:v>38292</c:v>
                </c:pt>
                <c:pt idx="110">
                  <c:v>38322</c:v>
                </c:pt>
                <c:pt idx="111">
                  <c:v>38353</c:v>
                </c:pt>
                <c:pt idx="112">
                  <c:v>38384</c:v>
                </c:pt>
                <c:pt idx="113">
                  <c:v>38412</c:v>
                </c:pt>
                <c:pt idx="114">
                  <c:v>38443</c:v>
                </c:pt>
                <c:pt idx="115">
                  <c:v>38473</c:v>
                </c:pt>
                <c:pt idx="116">
                  <c:v>38504</c:v>
                </c:pt>
                <c:pt idx="117">
                  <c:v>38534</c:v>
                </c:pt>
                <c:pt idx="118">
                  <c:v>38565</c:v>
                </c:pt>
                <c:pt idx="119">
                  <c:v>38596</c:v>
                </c:pt>
                <c:pt idx="120">
                  <c:v>38626</c:v>
                </c:pt>
                <c:pt idx="121">
                  <c:v>38657</c:v>
                </c:pt>
                <c:pt idx="122">
                  <c:v>38687</c:v>
                </c:pt>
                <c:pt idx="123">
                  <c:v>38718</c:v>
                </c:pt>
                <c:pt idx="124">
                  <c:v>38749</c:v>
                </c:pt>
                <c:pt idx="125">
                  <c:v>38777</c:v>
                </c:pt>
                <c:pt idx="126">
                  <c:v>38808</c:v>
                </c:pt>
                <c:pt idx="127">
                  <c:v>38838</c:v>
                </c:pt>
                <c:pt idx="128">
                  <c:v>38869</c:v>
                </c:pt>
                <c:pt idx="129">
                  <c:v>38899</c:v>
                </c:pt>
                <c:pt idx="130">
                  <c:v>38930</c:v>
                </c:pt>
                <c:pt idx="131">
                  <c:v>38961</c:v>
                </c:pt>
                <c:pt idx="132">
                  <c:v>38991</c:v>
                </c:pt>
                <c:pt idx="133">
                  <c:v>39022</c:v>
                </c:pt>
                <c:pt idx="134">
                  <c:v>39052</c:v>
                </c:pt>
                <c:pt idx="135">
                  <c:v>39083</c:v>
                </c:pt>
                <c:pt idx="136">
                  <c:v>39114</c:v>
                </c:pt>
                <c:pt idx="137">
                  <c:v>39142</c:v>
                </c:pt>
                <c:pt idx="138">
                  <c:v>39173</c:v>
                </c:pt>
                <c:pt idx="139">
                  <c:v>39203</c:v>
                </c:pt>
                <c:pt idx="140">
                  <c:v>39234</c:v>
                </c:pt>
                <c:pt idx="141">
                  <c:v>39264</c:v>
                </c:pt>
                <c:pt idx="142">
                  <c:v>39295</c:v>
                </c:pt>
                <c:pt idx="143">
                  <c:v>39326</c:v>
                </c:pt>
                <c:pt idx="144">
                  <c:v>39356</c:v>
                </c:pt>
                <c:pt idx="145">
                  <c:v>39387</c:v>
                </c:pt>
                <c:pt idx="146">
                  <c:v>39417</c:v>
                </c:pt>
                <c:pt idx="147">
                  <c:v>39448</c:v>
                </c:pt>
                <c:pt idx="148">
                  <c:v>39479</c:v>
                </c:pt>
                <c:pt idx="149">
                  <c:v>39508</c:v>
                </c:pt>
                <c:pt idx="150">
                  <c:v>39539</c:v>
                </c:pt>
                <c:pt idx="151">
                  <c:v>39569</c:v>
                </c:pt>
                <c:pt idx="152">
                  <c:v>39600</c:v>
                </c:pt>
                <c:pt idx="153">
                  <c:v>39630</c:v>
                </c:pt>
                <c:pt idx="154">
                  <c:v>39661</c:v>
                </c:pt>
                <c:pt idx="155">
                  <c:v>39692</c:v>
                </c:pt>
                <c:pt idx="156">
                  <c:v>39722</c:v>
                </c:pt>
                <c:pt idx="157">
                  <c:v>39753</c:v>
                </c:pt>
                <c:pt idx="158">
                  <c:v>39783</c:v>
                </c:pt>
                <c:pt idx="159">
                  <c:v>39814</c:v>
                </c:pt>
                <c:pt idx="160">
                  <c:v>39845</c:v>
                </c:pt>
                <c:pt idx="161">
                  <c:v>39873</c:v>
                </c:pt>
                <c:pt idx="162">
                  <c:v>39904</c:v>
                </c:pt>
                <c:pt idx="163">
                  <c:v>39934</c:v>
                </c:pt>
                <c:pt idx="164">
                  <c:v>39965</c:v>
                </c:pt>
                <c:pt idx="165">
                  <c:v>39995</c:v>
                </c:pt>
                <c:pt idx="166">
                  <c:v>40026</c:v>
                </c:pt>
                <c:pt idx="167">
                  <c:v>40057</c:v>
                </c:pt>
                <c:pt idx="168">
                  <c:v>40087</c:v>
                </c:pt>
                <c:pt idx="169">
                  <c:v>40118</c:v>
                </c:pt>
                <c:pt idx="170">
                  <c:v>40148</c:v>
                </c:pt>
                <c:pt idx="171">
                  <c:v>40179</c:v>
                </c:pt>
                <c:pt idx="172">
                  <c:v>40210</c:v>
                </c:pt>
                <c:pt idx="173">
                  <c:v>40238</c:v>
                </c:pt>
                <c:pt idx="174">
                  <c:v>40269</c:v>
                </c:pt>
                <c:pt idx="175">
                  <c:v>40299</c:v>
                </c:pt>
                <c:pt idx="176">
                  <c:v>40330</c:v>
                </c:pt>
                <c:pt idx="177">
                  <c:v>40360</c:v>
                </c:pt>
                <c:pt idx="178">
                  <c:v>40391</c:v>
                </c:pt>
                <c:pt idx="179">
                  <c:v>40422</c:v>
                </c:pt>
                <c:pt idx="180">
                  <c:v>40452</c:v>
                </c:pt>
                <c:pt idx="181">
                  <c:v>40483</c:v>
                </c:pt>
                <c:pt idx="182">
                  <c:v>40513</c:v>
                </c:pt>
                <c:pt idx="183">
                  <c:v>40544</c:v>
                </c:pt>
                <c:pt idx="184">
                  <c:v>40575</c:v>
                </c:pt>
                <c:pt idx="185">
                  <c:v>40603</c:v>
                </c:pt>
                <c:pt idx="186">
                  <c:v>40634</c:v>
                </c:pt>
                <c:pt idx="187">
                  <c:v>40664</c:v>
                </c:pt>
                <c:pt idx="188">
                  <c:v>40695</c:v>
                </c:pt>
                <c:pt idx="189">
                  <c:v>40725</c:v>
                </c:pt>
                <c:pt idx="190">
                  <c:v>40756</c:v>
                </c:pt>
                <c:pt idx="191">
                  <c:v>40787</c:v>
                </c:pt>
                <c:pt idx="192">
                  <c:v>40817</c:v>
                </c:pt>
                <c:pt idx="193">
                  <c:v>40848</c:v>
                </c:pt>
                <c:pt idx="194">
                  <c:v>40878</c:v>
                </c:pt>
                <c:pt idx="195">
                  <c:v>40909</c:v>
                </c:pt>
                <c:pt idx="196">
                  <c:v>40940</c:v>
                </c:pt>
                <c:pt idx="197">
                  <c:v>40969</c:v>
                </c:pt>
                <c:pt idx="198">
                  <c:v>41000</c:v>
                </c:pt>
                <c:pt idx="199">
                  <c:v>41030</c:v>
                </c:pt>
                <c:pt idx="200">
                  <c:v>41061</c:v>
                </c:pt>
                <c:pt idx="201">
                  <c:v>41091</c:v>
                </c:pt>
                <c:pt idx="202">
                  <c:v>41122</c:v>
                </c:pt>
                <c:pt idx="203">
                  <c:v>41153</c:v>
                </c:pt>
                <c:pt idx="204">
                  <c:v>41183</c:v>
                </c:pt>
                <c:pt idx="205">
                  <c:v>41214</c:v>
                </c:pt>
                <c:pt idx="206">
                  <c:v>41244</c:v>
                </c:pt>
                <c:pt idx="207">
                  <c:v>41275</c:v>
                </c:pt>
                <c:pt idx="208">
                  <c:v>41306</c:v>
                </c:pt>
                <c:pt idx="209">
                  <c:v>41334</c:v>
                </c:pt>
                <c:pt idx="210">
                  <c:v>41365</c:v>
                </c:pt>
                <c:pt idx="211">
                  <c:v>41395</c:v>
                </c:pt>
                <c:pt idx="212">
                  <c:v>41426</c:v>
                </c:pt>
                <c:pt idx="213">
                  <c:v>41456</c:v>
                </c:pt>
                <c:pt idx="214">
                  <c:v>41487</c:v>
                </c:pt>
                <c:pt idx="215">
                  <c:v>41518</c:v>
                </c:pt>
                <c:pt idx="216">
                  <c:v>41548</c:v>
                </c:pt>
                <c:pt idx="217">
                  <c:v>41579</c:v>
                </c:pt>
                <c:pt idx="218">
                  <c:v>41609</c:v>
                </c:pt>
                <c:pt idx="219">
                  <c:v>41640</c:v>
                </c:pt>
                <c:pt idx="220">
                  <c:v>41671</c:v>
                </c:pt>
                <c:pt idx="221">
                  <c:v>41699</c:v>
                </c:pt>
                <c:pt idx="222">
                  <c:v>41730</c:v>
                </c:pt>
                <c:pt idx="223">
                  <c:v>41760</c:v>
                </c:pt>
                <c:pt idx="224">
                  <c:v>41791</c:v>
                </c:pt>
                <c:pt idx="225">
                  <c:v>41821</c:v>
                </c:pt>
                <c:pt idx="226">
                  <c:v>41852</c:v>
                </c:pt>
                <c:pt idx="227">
                  <c:v>41883</c:v>
                </c:pt>
                <c:pt idx="228">
                  <c:v>41913</c:v>
                </c:pt>
                <c:pt idx="229">
                  <c:v>41944</c:v>
                </c:pt>
                <c:pt idx="230">
                  <c:v>41974</c:v>
                </c:pt>
                <c:pt idx="231">
                  <c:v>42005</c:v>
                </c:pt>
                <c:pt idx="232">
                  <c:v>42036</c:v>
                </c:pt>
                <c:pt idx="233">
                  <c:v>42064</c:v>
                </c:pt>
                <c:pt idx="234">
                  <c:v>42095</c:v>
                </c:pt>
                <c:pt idx="235">
                  <c:v>42125</c:v>
                </c:pt>
                <c:pt idx="236">
                  <c:v>42156</c:v>
                </c:pt>
                <c:pt idx="237">
                  <c:v>42186</c:v>
                </c:pt>
                <c:pt idx="238">
                  <c:v>42217</c:v>
                </c:pt>
                <c:pt idx="239">
                  <c:v>42248</c:v>
                </c:pt>
                <c:pt idx="240">
                  <c:v>42278</c:v>
                </c:pt>
                <c:pt idx="241">
                  <c:v>42309</c:v>
                </c:pt>
                <c:pt idx="242">
                  <c:v>42339</c:v>
                </c:pt>
                <c:pt idx="243">
                  <c:v>42370</c:v>
                </c:pt>
                <c:pt idx="244">
                  <c:v>42401</c:v>
                </c:pt>
                <c:pt idx="245">
                  <c:v>42430</c:v>
                </c:pt>
                <c:pt idx="246">
                  <c:v>42461</c:v>
                </c:pt>
                <c:pt idx="247">
                  <c:v>42491</c:v>
                </c:pt>
                <c:pt idx="248">
                  <c:v>42522</c:v>
                </c:pt>
                <c:pt idx="249">
                  <c:v>42552</c:v>
                </c:pt>
                <c:pt idx="250">
                  <c:v>42583</c:v>
                </c:pt>
                <c:pt idx="251">
                  <c:v>42614</c:v>
                </c:pt>
                <c:pt idx="252">
                  <c:v>42644</c:v>
                </c:pt>
                <c:pt idx="253">
                  <c:v>42675</c:v>
                </c:pt>
              </c:numCache>
            </c:numRef>
          </c:cat>
          <c:val>
            <c:numRef>
              <c:f>Sheet7!$F$2:$F$255</c:f>
              <c:numCache>
                <c:formatCode>General</c:formatCode>
                <c:ptCount val="254"/>
                <c:pt idx="0">
                  <c:v>10.63</c:v>
                </c:pt>
                <c:pt idx="1">
                  <c:v>10.63</c:v>
                </c:pt>
                <c:pt idx="2">
                  <c:v>10.63</c:v>
                </c:pt>
                <c:pt idx="3">
                  <c:v>10.63</c:v>
                </c:pt>
                <c:pt idx="4">
                  <c:v>10.63</c:v>
                </c:pt>
                <c:pt idx="5">
                  <c:v>10.63</c:v>
                </c:pt>
                <c:pt idx="6">
                  <c:v>10.63</c:v>
                </c:pt>
                <c:pt idx="7">
                  <c:v>10.63</c:v>
                </c:pt>
                <c:pt idx="8">
                  <c:v>10.63</c:v>
                </c:pt>
                <c:pt idx="9">
                  <c:v>10.63</c:v>
                </c:pt>
                <c:pt idx="10">
                  <c:v>10.63</c:v>
                </c:pt>
                <c:pt idx="11">
                  <c:v>10.63</c:v>
                </c:pt>
                <c:pt idx="12">
                  <c:v>10.63</c:v>
                </c:pt>
                <c:pt idx="13">
                  <c:v>10.63</c:v>
                </c:pt>
                <c:pt idx="14">
                  <c:v>10.63</c:v>
                </c:pt>
                <c:pt idx="15">
                  <c:v>10.63</c:v>
                </c:pt>
                <c:pt idx="16">
                  <c:v>10.63</c:v>
                </c:pt>
                <c:pt idx="17">
                  <c:v>10.63</c:v>
                </c:pt>
                <c:pt idx="18">
                  <c:v>10.63</c:v>
                </c:pt>
                <c:pt idx="19">
                  <c:v>10.63</c:v>
                </c:pt>
                <c:pt idx="20">
                  <c:v>10.63</c:v>
                </c:pt>
                <c:pt idx="21">
                  <c:v>10.63</c:v>
                </c:pt>
                <c:pt idx="22">
                  <c:v>10.63</c:v>
                </c:pt>
                <c:pt idx="23">
                  <c:v>10.63</c:v>
                </c:pt>
                <c:pt idx="24">
                  <c:v>10.63</c:v>
                </c:pt>
                <c:pt idx="25">
                  <c:v>10.63</c:v>
                </c:pt>
                <c:pt idx="26">
                  <c:v>10.63</c:v>
                </c:pt>
                <c:pt idx="27">
                  <c:v>10.63</c:v>
                </c:pt>
                <c:pt idx="28">
                  <c:v>10.63</c:v>
                </c:pt>
                <c:pt idx="29">
                  <c:v>10.63</c:v>
                </c:pt>
                <c:pt idx="30">
                  <c:v>10.63</c:v>
                </c:pt>
                <c:pt idx="31">
                  <c:v>10.63</c:v>
                </c:pt>
                <c:pt idx="32">
                  <c:v>10.63</c:v>
                </c:pt>
                <c:pt idx="33">
                  <c:v>10.63</c:v>
                </c:pt>
                <c:pt idx="34">
                  <c:v>10.63</c:v>
                </c:pt>
                <c:pt idx="35">
                  <c:v>10.63</c:v>
                </c:pt>
                <c:pt idx="36">
                  <c:v>10.63</c:v>
                </c:pt>
                <c:pt idx="37">
                  <c:v>10.63</c:v>
                </c:pt>
                <c:pt idx="38">
                  <c:v>10.63</c:v>
                </c:pt>
                <c:pt idx="39">
                  <c:v>10.63</c:v>
                </c:pt>
                <c:pt idx="40">
                  <c:v>10.63</c:v>
                </c:pt>
                <c:pt idx="41">
                  <c:v>10.63</c:v>
                </c:pt>
                <c:pt idx="42">
                  <c:v>10.63</c:v>
                </c:pt>
                <c:pt idx="43">
                  <c:v>10.63</c:v>
                </c:pt>
                <c:pt idx="44">
                  <c:v>10.63</c:v>
                </c:pt>
                <c:pt idx="45">
                  <c:v>10.63</c:v>
                </c:pt>
                <c:pt idx="46">
                  <c:v>10.63</c:v>
                </c:pt>
                <c:pt idx="47">
                  <c:v>10.63</c:v>
                </c:pt>
                <c:pt idx="48">
                  <c:v>10.63</c:v>
                </c:pt>
                <c:pt idx="49">
                  <c:v>10.63</c:v>
                </c:pt>
                <c:pt idx="50">
                  <c:v>10.63</c:v>
                </c:pt>
                <c:pt idx="51">
                  <c:v>10.63</c:v>
                </c:pt>
                <c:pt idx="52">
                  <c:v>10.63</c:v>
                </c:pt>
                <c:pt idx="53">
                  <c:v>10.63</c:v>
                </c:pt>
                <c:pt idx="54">
                  <c:v>10.63</c:v>
                </c:pt>
                <c:pt idx="55">
                  <c:v>10.63</c:v>
                </c:pt>
                <c:pt idx="56">
                  <c:v>10.63</c:v>
                </c:pt>
                <c:pt idx="57">
                  <c:v>10.63</c:v>
                </c:pt>
                <c:pt idx="58">
                  <c:v>10.63</c:v>
                </c:pt>
                <c:pt idx="59">
                  <c:v>10.63</c:v>
                </c:pt>
                <c:pt idx="60">
                  <c:v>10.63</c:v>
                </c:pt>
                <c:pt idx="61">
                  <c:v>10.63</c:v>
                </c:pt>
                <c:pt idx="62">
                  <c:v>10.63</c:v>
                </c:pt>
                <c:pt idx="63">
                  <c:v>10.63</c:v>
                </c:pt>
                <c:pt idx="64">
                  <c:v>10.63</c:v>
                </c:pt>
                <c:pt idx="65">
                  <c:v>10.63</c:v>
                </c:pt>
                <c:pt idx="66">
                  <c:v>10.63</c:v>
                </c:pt>
                <c:pt idx="67">
                  <c:v>10.63</c:v>
                </c:pt>
                <c:pt idx="68">
                  <c:v>10.63</c:v>
                </c:pt>
                <c:pt idx="69">
                  <c:v>10.63</c:v>
                </c:pt>
                <c:pt idx="70">
                  <c:v>10.63</c:v>
                </c:pt>
                <c:pt idx="71">
                  <c:v>10.63</c:v>
                </c:pt>
                <c:pt idx="72">
                  <c:v>10.63</c:v>
                </c:pt>
                <c:pt idx="73">
                  <c:v>10.63</c:v>
                </c:pt>
                <c:pt idx="74">
                  <c:v>10.63</c:v>
                </c:pt>
                <c:pt idx="75">
                  <c:v>10.63</c:v>
                </c:pt>
                <c:pt idx="76">
                  <c:v>10.63</c:v>
                </c:pt>
                <c:pt idx="77">
                  <c:v>10.63</c:v>
                </c:pt>
                <c:pt idx="78">
                  <c:v>10.63</c:v>
                </c:pt>
                <c:pt idx="79">
                  <c:v>10.63</c:v>
                </c:pt>
                <c:pt idx="80">
                  <c:v>10.63</c:v>
                </c:pt>
                <c:pt idx="81">
                  <c:v>10.63</c:v>
                </c:pt>
                <c:pt idx="82">
                  <c:v>10.63</c:v>
                </c:pt>
                <c:pt idx="83">
                  <c:v>10.63</c:v>
                </c:pt>
                <c:pt idx="84">
                  <c:v>10.63</c:v>
                </c:pt>
                <c:pt idx="85">
                  <c:v>10.63</c:v>
                </c:pt>
                <c:pt idx="86">
                  <c:v>10.63</c:v>
                </c:pt>
                <c:pt idx="87">
                  <c:v>10.63</c:v>
                </c:pt>
                <c:pt idx="88">
                  <c:v>10.63</c:v>
                </c:pt>
                <c:pt idx="89">
                  <c:v>10.63</c:v>
                </c:pt>
                <c:pt idx="90">
                  <c:v>10.63</c:v>
                </c:pt>
                <c:pt idx="91">
                  <c:v>10.63</c:v>
                </c:pt>
                <c:pt idx="92">
                  <c:v>10.63</c:v>
                </c:pt>
                <c:pt idx="93">
                  <c:v>10.63</c:v>
                </c:pt>
                <c:pt idx="94">
                  <c:v>10.63</c:v>
                </c:pt>
                <c:pt idx="95">
                  <c:v>10.63</c:v>
                </c:pt>
                <c:pt idx="96">
                  <c:v>10.63</c:v>
                </c:pt>
                <c:pt idx="97">
                  <c:v>10.63</c:v>
                </c:pt>
                <c:pt idx="98">
                  <c:v>10.63</c:v>
                </c:pt>
                <c:pt idx="99">
                  <c:v>10.63</c:v>
                </c:pt>
                <c:pt idx="100">
                  <c:v>10.63</c:v>
                </c:pt>
                <c:pt idx="101">
                  <c:v>10.63</c:v>
                </c:pt>
                <c:pt idx="102">
                  <c:v>10.63</c:v>
                </c:pt>
                <c:pt idx="103">
                  <c:v>10.63</c:v>
                </c:pt>
                <c:pt idx="104">
                  <c:v>10.63</c:v>
                </c:pt>
                <c:pt idx="105">
                  <c:v>10.63</c:v>
                </c:pt>
                <c:pt idx="106">
                  <c:v>10.63</c:v>
                </c:pt>
                <c:pt idx="107">
                  <c:v>10.63</c:v>
                </c:pt>
                <c:pt idx="108">
                  <c:v>10.63</c:v>
                </c:pt>
                <c:pt idx="109">
                  <c:v>10.63</c:v>
                </c:pt>
                <c:pt idx="110">
                  <c:v>10.63</c:v>
                </c:pt>
                <c:pt idx="111">
                  <c:v>10.63</c:v>
                </c:pt>
                <c:pt idx="112">
                  <c:v>10.63</c:v>
                </c:pt>
                <c:pt idx="113">
                  <c:v>10.63</c:v>
                </c:pt>
                <c:pt idx="114">
                  <c:v>10.63</c:v>
                </c:pt>
                <c:pt idx="115">
                  <c:v>10.63</c:v>
                </c:pt>
                <c:pt idx="116">
                  <c:v>10.63</c:v>
                </c:pt>
                <c:pt idx="117">
                  <c:v>10.63</c:v>
                </c:pt>
                <c:pt idx="118">
                  <c:v>10.63</c:v>
                </c:pt>
                <c:pt idx="119">
                  <c:v>10.63</c:v>
                </c:pt>
                <c:pt idx="120">
                  <c:v>10.63</c:v>
                </c:pt>
                <c:pt idx="121">
                  <c:v>10.63</c:v>
                </c:pt>
                <c:pt idx="122">
                  <c:v>10.63</c:v>
                </c:pt>
                <c:pt idx="123">
                  <c:v>10.63</c:v>
                </c:pt>
                <c:pt idx="124">
                  <c:v>10.63</c:v>
                </c:pt>
                <c:pt idx="125">
                  <c:v>10.63</c:v>
                </c:pt>
                <c:pt idx="126">
                  <c:v>10.63</c:v>
                </c:pt>
                <c:pt idx="127">
                  <c:v>10.63</c:v>
                </c:pt>
                <c:pt idx="128">
                  <c:v>10.63</c:v>
                </c:pt>
                <c:pt idx="129">
                  <c:v>10.63</c:v>
                </c:pt>
                <c:pt idx="130">
                  <c:v>10.63</c:v>
                </c:pt>
                <c:pt idx="131">
                  <c:v>10.63</c:v>
                </c:pt>
                <c:pt idx="132">
                  <c:v>10.63</c:v>
                </c:pt>
                <c:pt idx="133">
                  <c:v>10.63</c:v>
                </c:pt>
                <c:pt idx="134">
                  <c:v>10.63</c:v>
                </c:pt>
                <c:pt idx="135">
                  <c:v>10.63</c:v>
                </c:pt>
                <c:pt idx="136">
                  <c:v>10.63</c:v>
                </c:pt>
                <c:pt idx="137">
                  <c:v>10.63</c:v>
                </c:pt>
                <c:pt idx="138">
                  <c:v>10.63</c:v>
                </c:pt>
                <c:pt idx="139">
                  <c:v>10.63</c:v>
                </c:pt>
                <c:pt idx="140">
                  <c:v>10.63</c:v>
                </c:pt>
                <c:pt idx="141">
                  <c:v>10.63</c:v>
                </c:pt>
                <c:pt idx="142">
                  <c:v>10.63</c:v>
                </c:pt>
                <c:pt idx="143">
                  <c:v>10.63</c:v>
                </c:pt>
                <c:pt idx="144">
                  <c:v>10.63</c:v>
                </c:pt>
                <c:pt idx="145">
                  <c:v>10.63</c:v>
                </c:pt>
                <c:pt idx="146">
                  <c:v>10.63</c:v>
                </c:pt>
                <c:pt idx="147">
                  <c:v>10.63</c:v>
                </c:pt>
                <c:pt idx="148">
                  <c:v>10.63</c:v>
                </c:pt>
                <c:pt idx="149">
                  <c:v>10.63</c:v>
                </c:pt>
                <c:pt idx="150">
                  <c:v>10.63</c:v>
                </c:pt>
                <c:pt idx="151">
                  <c:v>10.63</c:v>
                </c:pt>
                <c:pt idx="152">
                  <c:v>10.63</c:v>
                </c:pt>
                <c:pt idx="153">
                  <c:v>10.63</c:v>
                </c:pt>
                <c:pt idx="154">
                  <c:v>10.63</c:v>
                </c:pt>
                <c:pt idx="155">
                  <c:v>10.63</c:v>
                </c:pt>
                <c:pt idx="156">
                  <c:v>10.63</c:v>
                </c:pt>
                <c:pt idx="157">
                  <c:v>10.63</c:v>
                </c:pt>
                <c:pt idx="158">
                  <c:v>10.63</c:v>
                </c:pt>
                <c:pt idx="159">
                  <c:v>10.63</c:v>
                </c:pt>
                <c:pt idx="160">
                  <c:v>10.63</c:v>
                </c:pt>
                <c:pt idx="161">
                  <c:v>10.63</c:v>
                </c:pt>
                <c:pt idx="162">
                  <c:v>10.63</c:v>
                </c:pt>
                <c:pt idx="163">
                  <c:v>10.63</c:v>
                </c:pt>
                <c:pt idx="164">
                  <c:v>80.279899999999998</c:v>
                </c:pt>
                <c:pt idx="165">
                  <c:v>138.8169</c:v>
                </c:pt>
                <c:pt idx="166">
                  <c:v>201.08410000000001</c:v>
                </c:pt>
                <c:pt idx="167">
                  <c:v>264.04000000000002</c:v>
                </c:pt>
                <c:pt idx="168">
                  <c:v>330.08229999999998</c:v>
                </c:pt>
                <c:pt idx="169">
                  <c:v>397.61079999999998</c:v>
                </c:pt>
                <c:pt idx="170">
                  <c:v>466.77120000000002</c:v>
                </c:pt>
                <c:pt idx="171">
                  <c:v>534.80679999999995</c:v>
                </c:pt>
                <c:pt idx="172">
                  <c:v>600.95389999999998</c:v>
                </c:pt>
                <c:pt idx="173">
                  <c:v>667.77670000000001</c:v>
                </c:pt>
                <c:pt idx="174">
                  <c:v>734.70010000000002</c:v>
                </c:pt>
                <c:pt idx="175">
                  <c:v>799.53380000000004</c:v>
                </c:pt>
                <c:pt idx="176">
                  <c:v>868.43740000000003</c:v>
                </c:pt>
                <c:pt idx="177">
                  <c:v>941.02869999999996</c:v>
                </c:pt>
                <c:pt idx="178">
                  <c:v>1016.8866</c:v>
                </c:pt>
                <c:pt idx="179">
                  <c:v>1095.7014999999999</c:v>
                </c:pt>
                <c:pt idx="180">
                  <c:v>1176.2642000000001</c:v>
                </c:pt>
                <c:pt idx="181">
                  <c:v>1259.1824999999999</c:v>
                </c:pt>
                <c:pt idx="182">
                  <c:v>1340.2014999999999</c:v>
                </c:pt>
                <c:pt idx="183">
                  <c:v>1412.5165</c:v>
                </c:pt>
                <c:pt idx="184">
                  <c:v>1483.7810999999999</c:v>
                </c:pt>
                <c:pt idx="185">
                  <c:v>1551.3602000000001</c:v>
                </c:pt>
                <c:pt idx="186">
                  <c:v>1621.3259</c:v>
                </c:pt>
                <c:pt idx="187">
                  <c:v>1691.3381999999999</c:v>
                </c:pt>
                <c:pt idx="188">
                  <c:v>1765.5062</c:v>
                </c:pt>
                <c:pt idx="189">
                  <c:v>1842.4695999999999</c:v>
                </c:pt>
                <c:pt idx="190">
                  <c:v>1918.5201</c:v>
                </c:pt>
                <c:pt idx="191">
                  <c:v>2001.085</c:v>
                </c:pt>
                <c:pt idx="192">
                  <c:v>2088.1592999999998</c:v>
                </c:pt>
                <c:pt idx="193">
                  <c:v>2174.8652000000002</c:v>
                </c:pt>
                <c:pt idx="194">
                  <c:v>2264.0149999999999</c:v>
                </c:pt>
                <c:pt idx="195">
                  <c:v>2354.1808000000001</c:v>
                </c:pt>
                <c:pt idx="196">
                  <c:v>2445.0149000000001</c:v>
                </c:pt>
                <c:pt idx="197">
                  <c:v>2536.1174999999998</c:v>
                </c:pt>
                <c:pt idx="198">
                  <c:v>2625.4621999999999</c:v>
                </c:pt>
                <c:pt idx="199">
                  <c:v>2716.5839999999998</c:v>
                </c:pt>
                <c:pt idx="200">
                  <c:v>2810.3863999999999</c:v>
                </c:pt>
                <c:pt idx="201">
                  <c:v>2907.8874000000001</c:v>
                </c:pt>
                <c:pt idx="202">
                  <c:v>3008.6844999999998</c:v>
                </c:pt>
                <c:pt idx="203">
                  <c:v>3108.6176</c:v>
                </c:pt>
                <c:pt idx="204">
                  <c:v>3211.6259</c:v>
                </c:pt>
                <c:pt idx="205">
                  <c:v>3317.5542</c:v>
                </c:pt>
                <c:pt idx="206">
                  <c:v>3424.3850000000002</c:v>
                </c:pt>
                <c:pt idx="207">
                  <c:v>3531.3283999999999</c:v>
                </c:pt>
                <c:pt idx="208">
                  <c:v>3636.2224000000001</c:v>
                </c:pt>
                <c:pt idx="209">
                  <c:v>3736.9841999999999</c:v>
                </c:pt>
                <c:pt idx="210">
                  <c:v>3837.0082000000002</c:v>
                </c:pt>
                <c:pt idx="211">
                  <c:v>3940.4502000000002</c:v>
                </c:pt>
                <c:pt idx="212">
                  <c:v>4041.6786000000002</c:v>
                </c:pt>
                <c:pt idx="213">
                  <c:v>4128.6298999999999</c:v>
                </c:pt>
                <c:pt idx="214">
                  <c:v>4208.4349000000002</c:v>
                </c:pt>
                <c:pt idx="215">
                  <c:v>4286.0955999999996</c:v>
                </c:pt>
                <c:pt idx="216">
                  <c:v>4363.3653000000004</c:v>
                </c:pt>
                <c:pt idx="217">
                  <c:v>4447.5421999999999</c:v>
                </c:pt>
                <c:pt idx="218">
                  <c:v>4530.1953000000003</c:v>
                </c:pt>
                <c:pt idx="219">
                  <c:v>4608.6145999999999</c:v>
                </c:pt>
                <c:pt idx="220">
                  <c:v>4687.2145</c:v>
                </c:pt>
                <c:pt idx="221">
                  <c:v>4768.9013999999997</c:v>
                </c:pt>
                <c:pt idx="222">
                  <c:v>4847.2361000000001</c:v>
                </c:pt>
                <c:pt idx="223">
                  <c:v>4925.5877</c:v>
                </c:pt>
                <c:pt idx="224">
                  <c:v>5008.0938999999998</c:v>
                </c:pt>
                <c:pt idx="225">
                  <c:v>5091.0120999999999</c:v>
                </c:pt>
                <c:pt idx="226">
                  <c:v>5174.4035000000003</c:v>
                </c:pt>
                <c:pt idx="227">
                  <c:v>5258.3</c:v>
                </c:pt>
                <c:pt idx="228">
                  <c:v>5341.5137000000004</c:v>
                </c:pt>
                <c:pt idx="229">
                  <c:v>5427.8892999999998</c:v>
                </c:pt>
                <c:pt idx="230">
                  <c:v>5515.0865999999996</c:v>
                </c:pt>
                <c:pt idx="231">
                  <c:v>5608.4688999999998</c:v>
                </c:pt>
                <c:pt idx="232">
                  <c:v>5706.6205</c:v>
                </c:pt>
                <c:pt idx="233">
                  <c:v>5803.6787999999997</c:v>
                </c:pt>
                <c:pt idx="234">
                  <c:v>5899.2866000000004</c:v>
                </c:pt>
                <c:pt idx="235">
                  <c:v>5997.4175999999998</c:v>
                </c:pt>
                <c:pt idx="236">
                  <c:v>6091.0030999999999</c:v>
                </c:pt>
                <c:pt idx="237">
                  <c:v>6180.7574999999997</c:v>
                </c:pt>
                <c:pt idx="238">
                  <c:v>6269.2313999999997</c:v>
                </c:pt>
                <c:pt idx="239">
                  <c:v>6362.9155000000001</c:v>
                </c:pt>
                <c:pt idx="240">
                  <c:v>6457.0736999999999</c:v>
                </c:pt>
                <c:pt idx="241">
                  <c:v>6554.0300999999999</c:v>
                </c:pt>
                <c:pt idx="242">
                  <c:v>6646.5708999999997</c:v>
                </c:pt>
                <c:pt idx="243">
                  <c:v>6738.7161999999998</c:v>
                </c:pt>
                <c:pt idx="244">
                  <c:v>6833.2581</c:v>
                </c:pt>
                <c:pt idx="245">
                  <c:v>6933.9494000000004</c:v>
                </c:pt>
                <c:pt idx="246">
                  <c:v>7035.5610999999999</c:v>
                </c:pt>
                <c:pt idx="247">
                  <c:v>7137.8149000000003</c:v>
                </c:pt>
                <c:pt idx="248">
                  <c:v>7240.2120000000004</c:v>
                </c:pt>
                <c:pt idx="249">
                  <c:v>7343.7482</c:v>
                </c:pt>
                <c:pt idx="250">
                  <c:v>7451.2181</c:v>
                </c:pt>
                <c:pt idx="251">
                  <c:v>7558.5371999999998</c:v>
                </c:pt>
                <c:pt idx="252">
                  <c:v>7665.0315000000001</c:v>
                </c:pt>
                <c:pt idx="253">
                  <c:v>7771.2275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6131968"/>
        <c:axId val="356133504"/>
      </c:lineChart>
      <c:dateAx>
        <c:axId val="356131968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356133504"/>
        <c:crosses val="autoZero"/>
        <c:auto val="1"/>
        <c:lblOffset val="100"/>
        <c:baseTimeUnit val="months"/>
      </c:dateAx>
      <c:valAx>
        <c:axId val="3561335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56131968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[burnout v2.30 with refi_eligibility.xlsx]fhl_pool!PivotTable1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fhl_pool!$H$3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fhl_pool!$G$4:$G$88</c:f>
              <c:strCache>
                <c:ptCount val="84"/>
                <c:pt idx="0">
                  <c:v>12/1/2009</c:v>
                </c:pt>
                <c:pt idx="1">
                  <c:v>1/1/2010</c:v>
                </c:pt>
                <c:pt idx="2">
                  <c:v>2/1/2010</c:v>
                </c:pt>
                <c:pt idx="3">
                  <c:v>3/1/2010</c:v>
                </c:pt>
                <c:pt idx="4">
                  <c:v>4/1/2010</c:v>
                </c:pt>
                <c:pt idx="5">
                  <c:v>5/1/2010</c:v>
                </c:pt>
                <c:pt idx="6">
                  <c:v>6/1/2010</c:v>
                </c:pt>
                <c:pt idx="7">
                  <c:v>7/1/2010</c:v>
                </c:pt>
                <c:pt idx="8">
                  <c:v>8/1/2010</c:v>
                </c:pt>
                <c:pt idx="9">
                  <c:v>9/1/2010</c:v>
                </c:pt>
                <c:pt idx="10">
                  <c:v>10/1/2010</c:v>
                </c:pt>
                <c:pt idx="11">
                  <c:v>11/1/2010</c:v>
                </c:pt>
                <c:pt idx="12">
                  <c:v>12/1/2010</c:v>
                </c:pt>
                <c:pt idx="13">
                  <c:v>1/1/2011</c:v>
                </c:pt>
                <c:pt idx="14">
                  <c:v>2/1/2011</c:v>
                </c:pt>
                <c:pt idx="15">
                  <c:v>3/1/2011</c:v>
                </c:pt>
                <c:pt idx="16">
                  <c:v>4/1/2011</c:v>
                </c:pt>
                <c:pt idx="17">
                  <c:v>5/1/2011</c:v>
                </c:pt>
                <c:pt idx="18">
                  <c:v>6/1/2011</c:v>
                </c:pt>
                <c:pt idx="19">
                  <c:v>7/1/2011</c:v>
                </c:pt>
                <c:pt idx="20">
                  <c:v>8/1/2011</c:v>
                </c:pt>
                <c:pt idx="21">
                  <c:v>9/1/2011</c:v>
                </c:pt>
                <c:pt idx="22">
                  <c:v>10/1/2011</c:v>
                </c:pt>
                <c:pt idx="23">
                  <c:v>11/1/2011</c:v>
                </c:pt>
                <c:pt idx="24">
                  <c:v>12/1/2011</c:v>
                </c:pt>
                <c:pt idx="25">
                  <c:v>1/1/2012</c:v>
                </c:pt>
                <c:pt idx="26">
                  <c:v>2/1/2012</c:v>
                </c:pt>
                <c:pt idx="27">
                  <c:v>3/1/2012</c:v>
                </c:pt>
                <c:pt idx="28">
                  <c:v>4/1/2012</c:v>
                </c:pt>
                <c:pt idx="29">
                  <c:v>5/1/2012</c:v>
                </c:pt>
                <c:pt idx="30">
                  <c:v>6/1/2012</c:v>
                </c:pt>
                <c:pt idx="31">
                  <c:v>7/1/2012</c:v>
                </c:pt>
                <c:pt idx="32">
                  <c:v>8/1/2012</c:v>
                </c:pt>
                <c:pt idx="33">
                  <c:v>9/1/2012</c:v>
                </c:pt>
                <c:pt idx="34">
                  <c:v>10/1/2012</c:v>
                </c:pt>
                <c:pt idx="35">
                  <c:v>11/1/2012</c:v>
                </c:pt>
                <c:pt idx="36">
                  <c:v>12/1/2012</c:v>
                </c:pt>
                <c:pt idx="37">
                  <c:v>1/1/2013</c:v>
                </c:pt>
                <c:pt idx="38">
                  <c:v>2/1/2013</c:v>
                </c:pt>
                <c:pt idx="39">
                  <c:v>3/1/2013</c:v>
                </c:pt>
                <c:pt idx="40">
                  <c:v>4/1/2013</c:v>
                </c:pt>
                <c:pt idx="41">
                  <c:v>5/1/2013</c:v>
                </c:pt>
                <c:pt idx="42">
                  <c:v>6/1/2013</c:v>
                </c:pt>
                <c:pt idx="43">
                  <c:v>7/1/2013</c:v>
                </c:pt>
                <c:pt idx="44">
                  <c:v>8/1/2013</c:v>
                </c:pt>
                <c:pt idx="45">
                  <c:v>9/1/2013</c:v>
                </c:pt>
                <c:pt idx="46">
                  <c:v>10/1/2013</c:v>
                </c:pt>
                <c:pt idx="47">
                  <c:v>11/1/2013</c:v>
                </c:pt>
                <c:pt idx="48">
                  <c:v>12/1/2013</c:v>
                </c:pt>
                <c:pt idx="49">
                  <c:v>1/1/2014</c:v>
                </c:pt>
                <c:pt idx="50">
                  <c:v>2/1/2014</c:v>
                </c:pt>
                <c:pt idx="51">
                  <c:v>3/1/2014</c:v>
                </c:pt>
                <c:pt idx="52">
                  <c:v>4/1/2014</c:v>
                </c:pt>
                <c:pt idx="53">
                  <c:v>5/1/2014</c:v>
                </c:pt>
                <c:pt idx="54">
                  <c:v>6/1/2014</c:v>
                </c:pt>
                <c:pt idx="55">
                  <c:v>7/1/2014</c:v>
                </c:pt>
                <c:pt idx="56">
                  <c:v>8/1/2014</c:v>
                </c:pt>
                <c:pt idx="57">
                  <c:v>9/1/2014</c:v>
                </c:pt>
                <c:pt idx="58">
                  <c:v>10/1/2014</c:v>
                </c:pt>
                <c:pt idx="59">
                  <c:v>11/1/2014</c:v>
                </c:pt>
                <c:pt idx="60">
                  <c:v>12/1/2014</c:v>
                </c:pt>
                <c:pt idx="61">
                  <c:v>1/1/2015</c:v>
                </c:pt>
                <c:pt idx="62">
                  <c:v>2/1/2015</c:v>
                </c:pt>
                <c:pt idx="63">
                  <c:v>3/1/2015</c:v>
                </c:pt>
                <c:pt idx="64">
                  <c:v>4/1/2015</c:v>
                </c:pt>
                <c:pt idx="65">
                  <c:v>5/1/2015</c:v>
                </c:pt>
                <c:pt idx="66">
                  <c:v>6/1/2015</c:v>
                </c:pt>
                <c:pt idx="67">
                  <c:v>7/1/2015</c:v>
                </c:pt>
                <c:pt idx="68">
                  <c:v>8/1/2015</c:v>
                </c:pt>
                <c:pt idx="69">
                  <c:v>9/1/2015</c:v>
                </c:pt>
                <c:pt idx="70">
                  <c:v>10/1/2015</c:v>
                </c:pt>
                <c:pt idx="71">
                  <c:v>11/1/2015</c:v>
                </c:pt>
                <c:pt idx="72">
                  <c:v>12/1/2015</c:v>
                </c:pt>
                <c:pt idx="73">
                  <c:v>1/1/2016</c:v>
                </c:pt>
                <c:pt idx="74">
                  <c:v>2/1/2016</c:v>
                </c:pt>
                <c:pt idx="75">
                  <c:v>3/1/2016</c:v>
                </c:pt>
                <c:pt idx="76">
                  <c:v>4/1/2016</c:v>
                </c:pt>
                <c:pt idx="77">
                  <c:v>5/1/2016</c:v>
                </c:pt>
                <c:pt idx="78">
                  <c:v>6/1/2016</c:v>
                </c:pt>
                <c:pt idx="79">
                  <c:v>7/1/2016</c:v>
                </c:pt>
                <c:pt idx="80">
                  <c:v>8/1/2016</c:v>
                </c:pt>
                <c:pt idx="81">
                  <c:v>9/1/2016</c:v>
                </c:pt>
                <c:pt idx="82">
                  <c:v>10/1/2016</c:v>
                </c:pt>
                <c:pt idx="83">
                  <c:v>11/1/2016</c:v>
                </c:pt>
              </c:strCache>
            </c:strRef>
          </c:cat>
          <c:val>
            <c:numRef>
              <c:f>fhl_pool!$H$4:$H$88</c:f>
              <c:numCache>
                <c:formatCode>General</c:formatCode>
                <c:ptCount val="84"/>
                <c:pt idx="0">
                  <c:v>0</c:v>
                </c:pt>
                <c:pt idx="1">
                  <c:v>4.9170626787384197</c:v>
                </c:pt>
                <c:pt idx="2">
                  <c:v>9.8069640597297703</c:v>
                </c:pt>
                <c:pt idx="3">
                  <c:v>11.9612827970894</c:v>
                </c:pt>
                <c:pt idx="4">
                  <c:v>13.703566581464401</c:v>
                </c:pt>
                <c:pt idx="5">
                  <c:v>13.9398630809885</c:v>
                </c:pt>
                <c:pt idx="6">
                  <c:v>14.0631964173631</c:v>
                </c:pt>
                <c:pt idx="7">
                  <c:v>14.8240779652439</c:v>
                </c:pt>
                <c:pt idx="8">
                  <c:v>15.6939965239687</c:v>
                </c:pt>
                <c:pt idx="9">
                  <c:v>14.5539394261315</c:v>
                </c:pt>
                <c:pt idx="10">
                  <c:v>13.262777253858401</c:v>
                </c:pt>
                <c:pt idx="11">
                  <c:v>12.7444347987265</c:v>
                </c:pt>
                <c:pt idx="12">
                  <c:v>28.766009774220699</c:v>
                </c:pt>
                <c:pt idx="13">
                  <c:v>25.5325537515645</c:v>
                </c:pt>
                <c:pt idx="14">
                  <c:v>22.865090826513001</c:v>
                </c:pt>
                <c:pt idx="15">
                  <c:v>19.619897262471898</c:v>
                </c:pt>
                <c:pt idx="16">
                  <c:v>17.040314844784</c:v>
                </c:pt>
                <c:pt idx="17">
                  <c:v>15.6050907673668</c:v>
                </c:pt>
                <c:pt idx="18">
                  <c:v>14.7769811479094</c:v>
                </c:pt>
                <c:pt idx="19">
                  <c:v>14.1064302832522</c:v>
                </c:pt>
                <c:pt idx="20">
                  <c:v>13.7652026291443</c:v>
                </c:pt>
                <c:pt idx="21">
                  <c:v>13.3696481969102</c:v>
                </c:pt>
                <c:pt idx="22">
                  <c:v>13.3601939218502</c:v>
                </c:pt>
                <c:pt idx="23">
                  <c:v>13.3614274513297</c:v>
                </c:pt>
                <c:pt idx="24">
                  <c:v>13.52222322712</c:v>
                </c:pt>
                <c:pt idx="25">
                  <c:v>14.014417443357599</c:v>
                </c:pt>
                <c:pt idx="26">
                  <c:v>14.616688738229101</c:v>
                </c:pt>
                <c:pt idx="27">
                  <c:v>14.27617773925</c:v>
                </c:pt>
                <c:pt idx="28">
                  <c:v>13.1432510859491</c:v>
                </c:pt>
                <c:pt idx="29">
                  <c:v>12.3094164620495</c:v>
                </c:pt>
                <c:pt idx="30">
                  <c:v>12.0094890209967</c:v>
                </c:pt>
                <c:pt idx="31">
                  <c:v>13.870116940774</c:v>
                </c:pt>
                <c:pt idx="32">
                  <c:v>14.047496939410699</c:v>
                </c:pt>
                <c:pt idx="33">
                  <c:v>14.2073139090921</c:v>
                </c:pt>
                <c:pt idx="34">
                  <c:v>14.553131213696799</c:v>
                </c:pt>
                <c:pt idx="35">
                  <c:v>15.3510295012335</c:v>
                </c:pt>
                <c:pt idx="36">
                  <c:v>16.1014641108886</c:v>
                </c:pt>
                <c:pt idx="37">
                  <c:v>17.082345462050299</c:v>
                </c:pt>
                <c:pt idx="38">
                  <c:v>18.053924266756599</c:v>
                </c:pt>
                <c:pt idx="39">
                  <c:v>18.711541859573799</c:v>
                </c:pt>
                <c:pt idx="40">
                  <c:v>22.694087251344499</c:v>
                </c:pt>
                <c:pt idx="41">
                  <c:v>24.062314792280201</c:v>
                </c:pt>
                <c:pt idx="42">
                  <c:v>25.745123971811601</c:v>
                </c:pt>
                <c:pt idx="43">
                  <c:v>25.846635559731901</c:v>
                </c:pt>
                <c:pt idx="44">
                  <c:v>25.6207576308441</c:v>
                </c:pt>
                <c:pt idx="45">
                  <c:v>25.460693289497101</c:v>
                </c:pt>
                <c:pt idx="46">
                  <c:v>25.388491260989099</c:v>
                </c:pt>
                <c:pt idx="47">
                  <c:v>26.104351991233099</c:v>
                </c:pt>
                <c:pt idx="48">
                  <c:v>28.0016202904221</c:v>
                </c:pt>
                <c:pt idx="49">
                  <c:v>28.2706165205716</c:v>
                </c:pt>
                <c:pt idx="50">
                  <c:v>28.530449846843101</c:v>
                </c:pt>
                <c:pt idx="51">
                  <c:v>29.126171784128498</c:v>
                </c:pt>
                <c:pt idx="52">
                  <c:v>29.7170672796451</c:v>
                </c:pt>
                <c:pt idx="53">
                  <c:v>30.470501192258901</c:v>
                </c:pt>
                <c:pt idx="54">
                  <c:v>31.9185082540655</c:v>
                </c:pt>
                <c:pt idx="55">
                  <c:v>33.538792078762903</c:v>
                </c:pt>
                <c:pt idx="56">
                  <c:v>35.315271854528199</c:v>
                </c:pt>
                <c:pt idx="57">
                  <c:v>37.2393220738549</c:v>
                </c:pt>
                <c:pt idx="58">
                  <c:v>39.033590206259802</c:v>
                </c:pt>
                <c:pt idx="59">
                  <c:v>41.334032059073898</c:v>
                </c:pt>
                <c:pt idx="60">
                  <c:v>43.800109159129804</c:v>
                </c:pt>
                <c:pt idx="61">
                  <c:v>47.555385131562801</c:v>
                </c:pt>
                <c:pt idx="62">
                  <c:v>52.540639665874401</c:v>
                </c:pt>
                <c:pt idx="63">
                  <c:v>57.444293419825001</c:v>
                </c:pt>
                <c:pt idx="64">
                  <c:v>62.226306924437097</c:v>
                </c:pt>
                <c:pt idx="65">
                  <c:v>67.950641362553199</c:v>
                </c:pt>
                <c:pt idx="66">
                  <c:v>72.714269608910897</c:v>
                </c:pt>
                <c:pt idx="67">
                  <c:v>76.533861433394904</c:v>
                </c:pt>
                <c:pt idx="68">
                  <c:v>79.818333784383697</c:v>
                </c:pt>
                <c:pt idx="69">
                  <c:v>84.757331726423203</c:v>
                </c:pt>
                <c:pt idx="70">
                  <c:v>89.849443309928006</c:v>
                </c:pt>
                <c:pt idx="71">
                  <c:v>96.043975802781105</c:v>
                </c:pt>
                <c:pt idx="72">
                  <c:v>100.750321012968</c:v>
                </c:pt>
                <c:pt idx="73">
                  <c:v>105.57354413035701</c:v>
                </c:pt>
                <c:pt idx="74">
                  <c:v>111.02657349937</c:v>
                </c:pt>
                <c:pt idx="75">
                  <c:v>119.311513820781</c:v>
                </c:pt>
                <c:pt idx="76">
                  <c:v>129.213215687396</c:v>
                </c:pt>
                <c:pt idx="77">
                  <c:v>139.91761879338</c:v>
                </c:pt>
                <c:pt idx="78">
                  <c:v>150.98985776010099</c:v>
                </c:pt>
                <c:pt idx="79">
                  <c:v>162.52788936444699</c:v>
                </c:pt>
                <c:pt idx="80">
                  <c:v>176.18903420951699</c:v>
                </c:pt>
                <c:pt idx="81">
                  <c:v>189.854810700461</c:v>
                </c:pt>
                <c:pt idx="82">
                  <c:v>203.35440348091299</c:v>
                </c:pt>
                <c:pt idx="83">
                  <c:v>216.013611730528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5176832"/>
        <c:axId val="355178368"/>
      </c:barChart>
      <c:catAx>
        <c:axId val="355176832"/>
        <c:scaling>
          <c:orientation val="minMax"/>
        </c:scaling>
        <c:delete val="0"/>
        <c:axPos val="b"/>
        <c:majorTickMark val="out"/>
        <c:minorTickMark val="none"/>
        <c:tickLblPos val="nextTo"/>
        <c:crossAx val="355178368"/>
        <c:crosses val="autoZero"/>
        <c:auto val="1"/>
        <c:lblAlgn val="ctr"/>
        <c:lblOffset val="100"/>
        <c:noMultiLvlLbl val="0"/>
      </c:catAx>
      <c:valAx>
        <c:axId val="35517836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5517683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[burnout v2.30 with refi_eligibility.xlsx]fhl_pool!PivotTable2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fhl_pool!$AB$3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fhl_pool!$AA$4:$AA$88</c:f>
              <c:strCache>
                <c:ptCount val="84"/>
                <c:pt idx="0">
                  <c:v>12/1/2009</c:v>
                </c:pt>
                <c:pt idx="1">
                  <c:v>1/1/2010</c:v>
                </c:pt>
                <c:pt idx="2">
                  <c:v>2/1/2010</c:v>
                </c:pt>
                <c:pt idx="3">
                  <c:v>3/1/2010</c:v>
                </c:pt>
                <c:pt idx="4">
                  <c:v>4/1/2010</c:v>
                </c:pt>
                <c:pt idx="5">
                  <c:v>5/1/2010</c:v>
                </c:pt>
                <c:pt idx="6">
                  <c:v>6/1/2010</c:v>
                </c:pt>
                <c:pt idx="7">
                  <c:v>7/1/2010</c:v>
                </c:pt>
                <c:pt idx="8">
                  <c:v>8/1/2010</c:v>
                </c:pt>
                <c:pt idx="9">
                  <c:v>9/1/2010</c:v>
                </c:pt>
                <c:pt idx="10">
                  <c:v>10/1/2010</c:v>
                </c:pt>
                <c:pt idx="11">
                  <c:v>11/1/2010</c:v>
                </c:pt>
                <c:pt idx="12">
                  <c:v>12/1/2010</c:v>
                </c:pt>
                <c:pt idx="13">
                  <c:v>1/1/2011</c:v>
                </c:pt>
                <c:pt idx="14">
                  <c:v>2/1/2011</c:v>
                </c:pt>
                <c:pt idx="15">
                  <c:v>3/1/2011</c:v>
                </c:pt>
                <c:pt idx="16">
                  <c:v>4/1/2011</c:v>
                </c:pt>
                <c:pt idx="17">
                  <c:v>5/1/2011</c:v>
                </c:pt>
                <c:pt idx="18">
                  <c:v>6/1/2011</c:v>
                </c:pt>
                <c:pt idx="19">
                  <c:v>7/1/2011</c:v>
                </c:pt>
                <c:pt idx="20">
                  <c:v>8/1/2011</c:v>
                </c:pt>
                <c:pt idx="21">
                  <c:v>9/1/2011</c:v>
                </c:pt>
                <c:pt idx="22">
                  <c:v>10/1/2011</c:v>
                </c:pt>
                <c:pt idx="23">
                  <c:v>11/1/2011</c:v>
                </c:pt>
                <c:pt idx="24">
                  <c:v>12/1/2011</c:v>
                </c:pt>
                <c:pt idx="25">
                  <c:v>1/1/2012</c:v>
                </c:pt>
                <c:pt idx="26">
                  <c:v>2/1/2012</c:v>
                </c:pt>
                <c:pt idx="27">
                  <c:v>3/1/2012</c:v>
                </c:pt>
                <c:pt idx="28">
                  <c:v>4/1/2012</c:v>
                </c:pt>
                <c:pt idx="29">
                  <c:v>5/1/2012</c:v>
                </c:pt>
                <c:pt idx="30">
                  <c:v>6/1/2012</c:v>
                </c:pt>
                <c:pt idx="31">
                  <c:v>7/1/2012</c:v>
                </c:pt>
                <c:pt idx="32">
                  <c:v>8/1/2012</c:v>
                </c:pt>
                <c:pt idx="33">
                  <c:v>9/1/2012</c:v>
                </c:pt>
                <c:pt idx="34">
                  <c:v>10/1/2012</c:v>
                </c:pt>
                <c:pt idx="35">
                  <c:v>11/1/2012</c:v>
                </c:pt>
                <c:pt idx="36">
                  <c:v>12/1/2012</c:v>
                </c:pt>
                <c:pt idx="37">
                  <c:v>1/1/2013</c:v>
                </c:pt>
                <c:pt idx="38">
                  <c:v>2/1/2013</c:v>
                </c:pt>
                <c:pt idx="39">
                  <c:v>3/1/2013</c:v>
                </c:pt>
                <c:pt idx="40">
                  <c:v>4/1/2013</c:v>
                </c:pt>
                <c:pt idx="41">
                  <c:v>5/1/2013</c:v>
                </c:pt>
                <c:pt idx="42">
                  <c:v>6/1/2013</c:v>
                </c:pt>
                <c:pt idx="43">
                  <c:v>7/1/2013</c:v>
                </c:pt>
                <c:pt idx="44">
                  <c:v>8/1/2013</c:v>
                </c:pt>
                <c:pt idx="45">
                  <c:v>9/1/2013</c:v>
                </c:pt>
                <c:pt idx="46">
                  <c:v>10/1/2013</c:v>
                </c:pt>
                <c:pt idx="47">
                  <c:v>11/1/2013</c:v>
                </c:pt>
                <c:pt idx="48">
                  <c:v>12/1/2013</c:v>
                </c:pt>
                <c:pt idx="49">
                  <c:v>1/1/2014</c:v>
                </c:pt>
                <c:pt idx="50">
                  <c:v>2/1/2014</c:v>
                </c:pt>
                <c:pt idx="51">
                  <c:v>3/1/2014</c:v>
                </c:pt>
                <c:pt idx="52">
                  <c:v>4/1/2014</c:v>
                </c:pt>
                <c:pt idx="53">
                  <c:v>5/1/2014</c:v>
                </c:pt>
                <c:pt idx="54">
                  <c:v>6/1/2014</c:v>
                </c:pt>
                <c:pt idx="55">
                  <c:v>7/1/2014</c:v>
                </c:pt>
                <c:pt idx="56">
                  <c:v>8/1/2014</c:v>
                </c:pt>
                <c:pt idx="57">
                  <c:v>9/1/2014</c:v>
                </c:pt>
                <c:pt idx="58">
                  <c:v>10/1/2014</c:v>
                </c:pt>
                <c:pt idx="59">
                  <c:v>11/1/2014</c:v>
                </c:pt>
                <c:pt idx="60">
                  <c:v>12/1/2014</c:v>
                </c:pt>
                <c:pt idx="61">
                  <c:v>1/1/2015</c:v>
                </c:pt>
                <c:pt idx="62">
                  <c:v>2/1/2015</c:v>
                </c:pt>
                <c:pt idx="63">
                  <c:v>3/1/2015</c:v>
                </c:pt>
                <c:pt idx="64">
                  <c:v>4/1/2015</c:v>
                </c:pt>
                <c:pt idx="65">
                  <c:v>5/1/2015</c:v>
                </c:pt>
                <c:pt idx="66">
                  <c:v>6/1/2015</c:v>
                </c:pt>
                <c:pt idx="67">
                  <c:v>7/1/2015</c:v>
                </c:pt>
                <c:pt idx="68">
                  <c:v>8/1/2015</c:v>
                </c:pt>
                <c:pt idx="69">
                  <c:v>9/1/2015</c:v>
                </c:pt>
                <c:pt idx="70">
                  <c:v>10/1/2015</c:v>
                </c:pt>
                <c:pt idx="71">
                  <c:v>11/1/2015</c:v>
                </c:pt>
                <c:pt idx="72">
                  <c:v>12/1/2015</c:v>
                </c:pt>
                <c:pt idx="73">
                  <c:v>1/1/2016</c:v>
                </c:pt>
                <c:pt idx="74">
                  <c:v>2/1/2016</c:v>
                </c:pt>
                <c:pt idx="75">
                  <c:v>3/1/2016</c:v>
                </c:pt>
                <c:pt idx="76">
                  <c:v>4/1/2016</c:v>
                </c:pt>
                <c:pt idx="77">
                  <c:v>5/1/2016</c:v>
                </c:pt>
                <c:pt idx="78">
                  <c:v>6/1/2016</c:v>
                </c:pt>
                <c:pt idx="79">
                  <c:v>7/1/2016</c:v>
                </c:pt>
                <c:pt idx="80">
                  <c:v>8/1/2016</c:v>
                </c:pt>
                <c:pt idx="81">
                  <c:v>9/1/2016</c:v>
                </c:pt>
                <c:pt idx="82">
                  <c:v>10/1/2016</c:v>
                </c:pt>
                <c:pt idx="83">
                  <c:v>11/1/2016</c:v>
                </c:pt>
              </c:strCache>
            </c:strRef>
          </c:cat>
          <c:val>
            <c:numRef>
              <c:f>fhl_pool!$AB$4:$AB$88</c:f>
              <c:numCache>
                <c:formatCode>General</c:formatCode>
                <c:ptCount val="84"/>
                <c:pt idx="0">
                  <c:v>0</c:v>
                </c:pt>
                <c:pt idx="1">
                  <c:v>4.9101575475738004</c:v>
                </c:pt>
                <c:pt idx="2">
                  <c:v>9.7749711690498096</c:v>
                </c:pt>
                <c:pt idx="3">
                  <c:v>11.885009456029699</c:v>
                </c:pt>
                <c:pt idx="4">
                  <c:v>13.567566757186</c:v>
                </c:pt>
                <c:pt idx="5">
                  <c:v>13.8387655962221</c:v>
                </c:pt>
                <c:pt idx="6">
                  <c:v>13.9774289139351</c:v>
                </c:pt>
                <c:pt idx="7">
                  <c:v>14.739431887865999</c:v>
                </c:pt>
                <c:pt idx="8">
                  <c:v>15.5872725689958</c:v>
                </c:pt>
                <c:pt idx="9">
                  <c:v>14.3906513512242</c:v>
                </c:pt>
                <c:pt idx="10">
                  <c:v>13.048453579782199</c:v>
                </c:pt>
                <c:pt idx="11">
                  <c:v>12.410375187935401</c:v>
                </c:pt>
                <c:pt idx="12">
                  <c:v>28.4069798540588</c:v>
                </c:pt>
                <c:pt idx="13">
                  <c:v>25.2412916665794</c:v>
                </c:pt>
                <c:pt idx="14">
                  <c:v>22.604925290555901</c:v>
                </c:pt>
                <c:pt idx="15">
                  <c:v>19.403535571222498</c:v>
                </c:pt>
                <c:pt idx="16">
                  <c:v>16.854083761241899</c:v>
                </c:pt>
                <c:pt idx="17">
                  <c:v>15.4357134360333</c:v>
                </c:pt>
                <c:pt idx="18">
                  <c:v>14.6147529214412</c:v>
                </c:pt>
                <c:pt idx="19">
                  <c:v>13.9428627918183</c:v>
                </c:pt>
                <c:pt idx="20">
                  <c:v>13.553947929827601</c:v>
                </c:pt>
                <c:pt idx="21">
                  <c:v>12.940698116902899</c:v>
                </c:pt>
                <c:pt idx="22">
                  <c:v>12.496094051763199</c:v>
                </c:pt>
                <c:pt idx="23">
                  <c:v>12.124983332422399</c:v>
                </c:pt>
                <c:pt idx="24">
                  <c:v>11.7867357001497</c:v>
                </c:pt>
                <c:pt idx="25">
                  <c:v>11.680142291010201</c:v>
                </c:pt>
                <c:pt idx="26">
                  <c:v>11.8482168904465</c:v>
                </c:pt>
                <c:pt idx="27">
                  <c:v>11.433356919226901</c:v>
                </c:pt>
                <c:pt idx="28">
                  <c:v>10.477260317991099</c:v>
                </c:pt>
                <c:pt idx="29">
                  <c:v>9.6782593393960905</c:v>
                </c:pt>
                <c:pt idx="30">
                  <c:v>9.3168821806495199</c:v>
                </c:pt>
                <c:pt idx="31">
                  <c:v>11.1506027427496</c:v>
                </c:pt>
                <c:pt idx="32">
                  <c:v>11.0996924141016</c:v>
                </c:pt>
                <c:pt idx="33">
                  <c:v>11.1201143188073</c:v>
                </c:pt>
                <c:pt idx="34">
                  <c:v>11.2276921834245</c:v>
                </c:pt>
                <c:pt idx="35">
                  <c:v>11.670048504713099</c:v>
                </c:pt>
                <c:pt idx="36">
                  <c:v>12.171441481452399</c:v>
                </c:pt>
                <c:pt idx="37">
                  <c:v>12.8433962368275</c:v>
                </c:pt>
                <c:pt idx="38">
                  <c:v>13.7160348564295</c:v>
                </c:pt>
                <c:pt idx="39">
                  <c:v>14.4573957343503</c:v>
                </c:pt>
                <c:pt idx="40">
                  <c:v>18.644694986992299</c:v>
                </c:pt>
                <c:pt idx="41">
                  <c:v>20.1596377921644</c:v>
                </c:pt>
                <c:pt idx="42">
                  <c:v>22.052160718516301</c:v>
                </c:pt>
                <c:pt idx="43">
                  <c:v>22.366702545936999</c:v>
                </c:pt>
                <c:pt idx="44">
                  <c:v>22.310220851696201</c:v>
                </c:pt>
                <c:pt idx="45">
                  <c:v>22.282471229704399</c:v>
                </c:pt>
                <c:pt idx="46">
                  <c:v>22.314512778277301</c:v>
                </c:pt>
                <c:pt idx="47">
                  <c:v>23.171148707512302</c:v>
                </c:pt>
                <c:pt idx="48">
                  <c:v>25.1821082855406</c:v>
                </c:pt>
                <c:pt idx="49">
                  <c:v>25.528937634929701</c:v>
                </c:pt>
                <c:pt idx="50">
                  <c:v>25.8721270851496</c:v>
                </c:pt>
                <c:pt idx="51">
                  <c:v>26.5593554467643</c:v>
                </c:pt>
                <c:pt idx="52">
                  <c:v>27.2455544825497</c:v>
                </c:pt>
                <c:pt idx="53">
                  <c:v>28.090606167894201</c:v>
                </c:pt>
                <c:pt idx="54">
                  <c:v>29.659581908848001</c:v>
                </c:pt>
                <c:pt idx="55">
                  <c:v>31.409324347051001</c:v>
                </c:pt>
                <c:pt idx="56">
                  <c:v>33.316267605425601</c:v>
                </c:pt>
                <c:pt idx="57">
                  <c:v>35.384918902620598</c:v>
                </c:pt>
                <c:pt idx="58">
                  <c:v>37.309648789492599</c:v>
                </c:pt>
                <c:pt idx="59">
                  <c:v>39.766729639748</c:v>
                </c:pt>
                <c:pt idx="60">
                  <c:v>42.387614649660499</c:v>
                </c:pt>
                <c:pt idx="61">
                  <c:v>46.3099687411543</c:v>
                </c:pt>
                <c:pt idx="62">
                  <c:v>52.373224350536901</c:v>
                </c:pt>
                <c:pt idx="63">
                  <c:v>58.299268613102001</c:v>
                </c:pt>
                <c:pt idx="64">
                  <c:v>64.069724948031705</c:v>
                </c:pt>
                <c:pt idx="65">
                  <c:v>70.985030197913602</c:v>
                </c:pt>
                <c:pt idx="66">
                  <c:v>76.706867342544797</c:v>
                </c:pt>
                <c:pt idx="67">
                  <c:v>81.263811608769004</c:v>
                </c:pt>
                <c:pt idx="68">
                  <c:v>85.242041140274694</c:v>
                </c:pt>
                <c:pt idx="69">
                  <c:v>91.078579102985699</c:v>
                </c:pt>
                <c:pt idx="70">
                  <c:v>97.063138516555895</c:v>
                </c:pt>
                <c:pt idx="71">
                  <c:v>104.305441499149</c:v>
                </c:pt>
                <c:pt idx="72">
                  <c:v>109.791985074568</c:v>
                </c:pt>
                <c:pt idx="73">
                  <c:v>115.35749610512001</c:v>
                </c:pt>
                <c:pt idx="74">
                  <c:v>121.67850664517201</c:v>
                </c:pt>
                <c:pt idx="75">
                  <c:v>131.22804906668199</c:v>
                </c:pt>
                <c:pt idx="76">
                  <c:v>142.430999768324</c:v>
                </c:pt>
                <c:pt idx="77">
                  <c:v>154.51196260111499</c:v>
                </c:pt>
                <c:pt idx="78">
                  <c:v>166.98620583652601</c:v>
                </c:pt>
                <c:pt idx="79">
                  <c:v>180.04480411282799</c:v>
                </c:pt>
                <c:pt idx="80">
                  <c:v>195.54587642704499</c:v>
                </c:pt>
                <c:pt idx="81">
                  <c:v>211.01631225808299</c:v>
                </c:pt>
                <c:pt idx="82">
                  <c:v>226.25322462991701</c:v>
                </c:pt>
                <c:pt idx="83">
                  <c:v>240.69797180399499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55742080"/>
        <c:axId val="355743616"/>
      </c:barChart>
      <c:catAx>
        <c:axId val="355742080"/>
        <c:scaling>
          <c:orientation val="minMax"/>
        </c:scaling>
        <c:delete val="0"/>
        <c:axPos val="b"/>
        <c:majorTickMark val="out"/>
        <c:minorTickMark val="none"/>
        <c:tickLblPos val="nextTo"/>
        <c:crossAx val="355743616"/>
        <c:crosses val="autoZero"/>
        <c:auto val="1"/>
        <c:lblAlgn val="ctr"/>
        <c:lblOffset val="100"/>
        <c:noMultiLvlLbl val="0"/>
      </c:catAx>
      <c:valAx>
        <c:axId val="3557436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557420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fhl_pool!$AF$1</c:f>
              <c:strCache>
                <c:ptCount val="1"/>
                <c:pt idx="0">
                  <c:v>v2.00</c:v>
                </c:pt>
              </c:strCache>
            </c:strRef>
          </c:tx>
          <c:marker>
            <c:symbol val="none"/>
          </c:marker>
          <c:cat>
            <c:numRef>
              <c:f>fhl_pool!$AE$2:$AE$510</c:f>
              <c:numCache>
                <c:formatCode>m/d/yyyy</c:formatCode>
                <c:ptCount val="509"/>
                <c:pt idx="0">
                  <c:v>34366</c:v>
                </c:pt>
                <c:pt idx="1">
                  <c:v>34394</c:v>
                </c:pt>
                <c:pt idx="2">
                  <c:v>34425</c:v>
                </c:pt>
                <c:pt idx="3">
                  <c:v>34516</c:v>
                </c:pt>
                <c:pt idx="4">
                  <c:v>34547</c:v>
                </c:pt>
                <c:pt idx="5">
                  <c:v>34578</c:v>
                </c:pt>
                <c:pt idx="6">
                  <c:v>34608</c:v>
                </c:pt>
                <c:pt idx="7">
                  <c:v>34639</c:v>
                </c:pt>
                <c:pt idx="8">
                  <c:v>34669</c:v>
                </c:pt>
                <c:pt idx="9">
                  <c:v>34700</c:v>
                </c:pt>
                <c:pt idx="10">
                  <c:v>34731</c:v>
                </c:pt>
                <c:pt idx="11">
                  <c:v>34759</c:v>
                </c:pt>
                <c:pt idx="12">
                  <c:v>34790</c:v>
                </c:pt>
                <c:pt idx="13">
                  <c:v>34820</c:v>
                </c:pt>
                <c:pt idx="14">
                  <c:v>34851</c:v>
                </c:pt>
                <c:pt idx="15">
                  <c:v>34881</c:v>
                </c:pt>
                <c:pt idx="16">
                  <c:v>34912</c:v>
                </c:pt>
                <c:pt idx="17">
                  <c:v>34943</c:v>
                </c:pt>
                <c:pt idx="18">
                  <c:v>34973</c:v>
                </c:pt>
                <c:pt idx="19">
                  <c:v>35004</c:v>
                </c:pt>
                <c:pt idx="20">
                  <c:v>35034</c:v>
                </c:pt>
                <c:pt idx="21">
                  <c:v>35065</c:v>
                </c:pt>
                <c:pt idx="22">
                  <c:v>35096</c:v>
                </c:pt>
                <c:pt idx="23">
                  <c:v>35125</c:v>
                </c:pt>
                <c:pt idx="24">
                  <c:v>35156</c:v>
                </c:pt>
                <c:pt idx="25">
                  <c:v>35186</c:v>
                </c:pt>
                <c:pt idx="26">
                  <c:v>35217</c:v>
                </c:pt>
                <c:pt idx="27">
                  <c:v>35247</c:v>
                </c:pt>
                <c:pt idx="28">
                  <c:v>35278</c:v>
                </c:pt>
                <c:pt idx="29">
                  <c:v>35309</c:v>
                </c:pt>
                <c:pt idx="30">
                  <c:v>35339</c:v>
                </c:pt>
                <c:pt idx="31">
                  <c:v>35370</c:v>
                </c:pt>
                <c:pt idx="32">
                  <c:v>35400</c:v>
                </c:pt>
                <c:pt idx="33">
                  <c:v>35490</c:v>
                </c:pt>
                <c:pt idx="34">
                  <c:v>35521</c:v>
                </c:pt>
                <c:pt idx="35">
                  <c:v>35551</c:v>
                </c:pt>
                <c:pt idx="36">
                  <c:v>35582</c:v>
                </c:pt>
                <c:pt idx="37">
                  <c:v>35612</c:v>
                </c:pt>
                <c:pt idx="38">
                  <c:v>35643</c:v>
                </c:pt>
                <c:pt idx="39">
                  <c:v>35674</c:v>
                </c:pt>
                <c:pt idx="40">
                  <c:v>35704</c:v>
                </c:pt>
                <c:pt idx="41">
                  <c:v>35735</c:v>
                </c:pt>
                <c:pt idx="42">
                  <c:v>35765</c:v>
                </c:pt>
                <c:pt idx="43">
                  <c:v>35796</c:v>
                </c:pt>
                <c:pt idx="44">
                  <c:v>35827</c:v>
                </c:pt>
                <c:pt idx="45">
                  <c:v>35855</c:v>
                </c:pt>
                <c:pt idx="46">
                  <c:v>35886</c:v>
                </c:pt>
                <c:pt idx="47">
                  <c:v>35916</c:v>
                </c:pt>
                <c:pt idx="48">
                  <c:v>35947</c:v>
                </c:pt>
                <c:pt idx="49">
                  <c:v>35977</c:v>
                </c:pt>
                <c:pt idx="50">
                  <c:v>36008</c:v>
                </c:pt>
                <c:pt idx="51">
                  <c:v>36039</c:v>
                </c:pt>
                <c:pt idx="52">
                  <c:v>36069</c:v>
                </c:pt>
                <c:pt idx="53">
                  <c:v>36100</c:v>
                </c:pt>
                <c:pt idx="54">
                  <c:v>36130</c:v>
                </c:pt>
                <c:pt idx="55">
                  <c:v>36161</c:v>
                </c:pt>
                <c:pt idx="56">
                  <c:v>36192</c:v>
                </c:pt>
                <c:pt idx="57">
                  <c:v>36220</c:v>
                </c:pt>
                <c:pt idx="58">
                  <c:v>36251</c:v>
                </c:pt>
                <c:pt idx="59">
                  <c:v>36281</c:v>
                </c:pt>
                <c:pt idx="60">
                  <c:v>36312</c:v>
                </c:pt>
                <c:pt idx="61">
                  <c:v>36342</c:v>
                </c:pt>
                <c:pt idx="62">
                  <c:v>36373</c:v>
                </c:pt>
                <c:pt idx="63">
                  <c:v>36404</c:v>
                </c:pt>
                <c:pt idx="64">
                  <c:v>36434</c:v>
                </c:pt>
                <c:pt idx="65">
                  <c:v>36465</c:v>
                </c:pt>
                <c:pt idx="66">
                  <c:v>36495</c:v>
                </c:pt>
                <c:pt idx="67">
                  <c:v>36526</c:v>
                </c:pt>
                <c:pt idx="68">
                  <c:v>36557</c:v>
                </c:pt>
                <c:pt idx="69">
                  <c:v>36586</c:v>
                </c:pt>
                <c:pt idx="70">
                  <c:v>36617</c:v>
                </c:pt>
                <c:pt idx="71">
                  <c:v>36647</c:v>
                </c:pt>
                <c:pt idx="72">
                  <c:v>36678</c:v>
                </c:pt>
                <c:pt idx="73">
                  <c:v>36708</c:v>
                </c:pt>
                <c:pt idx="74">
                  <c:v>36739</c:v>
                </c:pt>
                <c:pt idx="75">
                  <c:v>36770</c:v>
                </c:pt>
                <c:pt idx="76">
                  <c:v>36800</c:v>
                </c:pt>
                <c:pt idx="77">
                  <c:v>36831</c:v>
                </c:pt>
                <c:pt idx="78">
                  <c:v>36861</c:v>
                </c:pt>
                <c:pt idx="79">
                  <c:v>36892</c:v>
                </c:pt>
                <c:pt idx="80">
                  <c:v>36923</c:v>
                </c:pt>
                <c:pt idx="81">
                  <c:v>36951</c:v>
                </c:pt>
                <c:pt idx="82">
                  <c:v>36982</c:v>
                </c:pt>
                <c:pt idx="83">
                  <c:v>37012</c:v>
                </c:pt>
                <c:pt idx="84">
                  <c:v>37043</c:v>
                </c:pt>
                <c:pt idx="85">
                  <c:v>37073</c:v>
                </c:pt>
                <c:pt idx="86">
                  <c:v>37104</c:v>
                </c:pt>
                <c:pt idx="87">
                  <c:v>37135</c:v>
                </c:pt>
                <c:pt idx="88">
                  <c:v>37165</c:v>
                </c:pt>
                <c:pt idx="89">
                  <c:v>37196</c:v>
                </c:pt>
                <c:pt idx="90">
                  <c:v>37226</c:v>
                </c:pt>
                <c:pt idx="91">
                  <c:v>37257</c:v>
                </c:pt>
                <c:pt idx="92">
                  <c:v>37288</c:v>
                </c:pt>
                <c:pt idx="93">
                  <c:v>37316</c:v>
                </c:pt>
                <c:pt idx="94">
                  <c:v>37347</c:v>
                </c:pt>
                <c:pt idx="95">
                  <c:v>37377</c:v>
                </c:pt>
                <c:pt idx="96">
                  <c:v>37408</c:v>
                </c:pt>
                <c:pt idx="97">
                  <c:v>37438</c:v>
                </c:pt>
                <c:pt idx="98">
                  <c:v>37469</c:v>
                </c:pt>
                <c:pt idx="99">
                  <c:v>37500</c:v>
                </c:pt>
                <c:pt idx="100">
                  <c:v>37530</c:v>
                </c:pt>
                <c:pt idx="101">
                  <c:v>37561</c:v>
                </c:pt>
                <c:pt idx="102">
                  <c:v>37591</c:v>
                </c:pt>
                <c:pt idx="103">
                  <c:v>37622</c:v>
                </c:pt>
                <c:pt idx="104">
                  <c:v>37653</c:v>
                </c:pt>
                <c:pt idx="105">
                  <c:v>37681</c:v>
                </c:pt>
                <c:pt idx="106">
                  <c:v>37712</c:v>
                </c:pt>
                <c:pt idx="107">
                  <c:v>37742</c:v>
                </c:pt>
                <c:pt idx="108">
                  <c:v>37773</c:v>
                </c:pt>
                <c:pt idx="109">
                  <c:v>37803</c:v>
                </c:pt>
                <c:pt idx="110">
                  <c:v>37834</c:v>
                </c:pt>
                <c:pt idx="111">
                  <c:v>37865</c:v>
                </c:pt>
                <c:pt idx="112">
                  <c:v>37895</c:v>
                </c:pt>
                <c:pt idx="113">
                  <c:v>37926</c:v>
                </c:pt>
                <c:pt idx="114">
                  <c:v>37956</c:v>
                </c:pt>
                <c:pt idx="115">
                  <c:v>37987</c:v>
                </c:pt>
                <c:pt idx="116">
                  <c:v>38018</c:v>
                </c:pt>
                <c:pt idx="117">
                  <c:v>38047</c:v>
                </c:pt>
                <c:pt idx="118">
                  <c:v>38078</c:v>
                </c:pt>
                <c:pt idx="119">
                  <c:v>38108</c:v>
                </c:pt>
                <c:pt idx="120">
                  <c:v>38139</c:v>
                </c:pt>
                <c:pt idx="121">
                  <c:v>38169</c:v>
                </c:pt>
                <c:pt idx="122">
                  <c:v>38200</c:v>
                </c:pt>
                <c:pt idx="123">
                  <c:v>38231</c:v>
                </c:pt>
                <c:pt idx="124">
                  <c:v>38261</c:v>
                </c:pt>
                <c:pt idx="125">
                  <c:v>38292</c:v>
                </c:pt>
                <c:pt idx="126">
                  <c:v>38322</c:v>
                </c:pt>
                <c:pt idx="127">
                  <c:v>38353</c:v>
                </c:pt>
                <c:pt idx="128">
                  <c:v>38384</c:v>
                </c:pt>
                <c:pt idx="129">
                  <c:v>38412</c:v>
                </c:pt>
                <c:pt idx="130">
                  <c:v>38443</c:v>
                </c:pt>
                <c:pt idx="131">
                  <c:v>38473</c:v>
                </c:pt>
                <c:pt idx="132">
                  <c:v>38504</c:v>
                </c:pt>
                <c:pt idx="133">
                  <c:v>38534</c:v>
                </c:pt>
                <c:pt idx="134">
                  <c:v>38565</c:v>
                </c:pt>
                <c:pt idx="135">
                  <c:v>38596</c:v>
                </c:pt>
                <c:pt idx="136">
                  <c:v>38626</c:v>
                </c:pt>
                <c:pt idx="137">
                  <c:v>38657</c:v>
                </c:pt>
                <c:pt idx="138">
                  <c:v>38687</c:v>
                </c:pt>
                <c:pt idx="139">
                  <c:v>38718</c:v>
                </c:pt>
                <c:pt idx="140">
                  <c:v>38749</c:v>
                </c:pt>
                <c:pt idx="141">
                  <c:v>38777</c:v>
                </c:pt>
                <c:pt idx="142">
                  <c:v>38808</c:v>
                </c:pt>
                <c:pt idx="143">
                  <c:v>38838</c:v>
                </c:pt>
                <c:pt idx="144">
                  <c:v>38869</c:v>
                </c:pt>
                <c:pt idx="145">
                  <c:v>38899</c:v>
                </c:pt>
                <c:pt idx="146">
                  <c:v>38930</c:v>
                </c:pt>
                <c:pt idx="147">
                  <c:v>38961</c:v>
                </c:pt>
                <c:pt idx="148">
                  <c:v>38991</c:v>
                </c:pt>
                <c:pt idx="149">
                  <c:v>39022</c:v>
                </c:pt>
                <c:pt idx="150">
                  <c:v>39052</c:v>
                </c:pt>
                <c:pt idx="151">
                  <c:v>39083</c:v>
                </c:pt>
                <c:pt idx="152">
                  <c:v>39114</c:v>
                </c:pt>
                <c:pt idx="153">
                  <c:v>39142</c:v>
                </c:pt>
                <c:pt idx="154">
                  <c:v>39173</c:v>
                </c:pt>
                <c:pt idx="155">
                  <c:v>39203</c:v>
                </c:pt>
                <c:pt idx="156">
                  <c:v>39234</c:v>
                </c:pt>
                <c:pt idx="157">
                  <c:v>39264</c:v>
                </c:pt>
                <c:pt idx="158">
                  <c:v>39295</c:v>
                </c:pt>
                <c:pt idx="159">
                  <c:v>39326</c:v>
                </c:pt>
                <c:pt idx="160">
                  <c:v>39356</c:v>
                </c:pt>
                <c:pt idx="161">
                  <c:v>39387</c:v>
                </c:pt>
                <c:pt idx="162">
                  <c:v>39417</c:v>
                </c:pt>
                <c:pt idx="163">
                  <c:v>39448</c:v>
                </c:pt>
                <c:pt idx="164">
                  <c:v>39479</c:v>
                </c:pt>
                <c:pt idx="165">
                  <c:v>39508</c:v>
                </c:pt>
                <c:pt idx="166">
                  <c:v>39539</c:v>
                </c:pt>
                <c:pt idx="167">
                  <c:v>39569</c:v>
                </c:pt>
                <c:pt idx="168">
                  <c:v>39600</c:v>
                </c:pt>
                <c:pt idx="169">
                  <c:v>39630</c:v>
                </c:pt>
                <c:pt idx="170">
                  <c:v>39661</c:v>
                </c:pt>
                <c:pt idx="171">
                  <c:v>39692</c:v>
                </c:pt>
                <c:pt idx="172">
                  <c:v>39722</c:v>
                </c:pt>
                <c:pt idx="173">
                  <c:v>39753</c:v>
                </c:pt>
                <c:pt idx="174">
                  <c:v>39783</c:v>
                </c:pt>
                <c:pt idx="175">
                  <c:v>39814</c:v>
                </c:pt>
                <c:pt idx="176">
                  <c:v>39845</c:v>
                </c:pt>
                <c:pt idx="177">
                  <c:v>39873</c:v>
                </c:pt>
                <c:pt idx="178">
                  <c:v>39904</c:v>
                </c:pt>
                <c:pt idx="179">
                  <c:v>39934</c:v>
                </c:pt>
                <c:pt idx="180">
                  <c:v>39965</c:v>
                </c:pt>
                <c:pt idx="181">
                  <c:v>39995</c:v>
                </c:pt>
                <c:pt idx="182">
                  <c:v>40026</c:v>
                </c:pt>
                <c:pt idx="183">
                  <c:v>40057</c:v>
                </c:pt>
                <c:pt idx="184">
                  <c:v>40087</c:v>
                </c:pt>
                <c:pt idx="185">
                  <c:v>40118</c:v>
                </c:pt>
                <c:pt idx="186">
                  <c:v>40148</c:v>
                </c:pt>
                <c:pt idx="187">
                  <c:v>40179</c:v>
                </c:pt>
                <c:pt idx="188">
                  <c:v>40210</c:v>
                </c:pt>
                <c:pt idx="189">
                  <c:v>40238</c:v>
                </c:pt>
                <c:pt idx="190">
                  <c:v>40269</c:v>
                </c:pt>
                <c:pt idx="191">
                  <c:v>40299</c:v>
                </c:pt>
                <c:pt idx="192">
                  <c:v>40330</c:v>
                </c:pt>
                <c:pt idx="193">
                  <c:v>40360</c:v>
                </c:pt>
                <c:pt idx="194">
                  <c:v>40391</c:v>
                </c:pt>
                <c:pt idx="195">
                  <c:v>40422</c:v>
                </c:pt>
                <c:pt idx="196">
                  <c:v>40452</c:v>
                </c:pt>
                <c:pt idx="197">
                  <c:v>40483</c:v>
                </c:pt>
                <c:pt idx="198">
                  <c:v>40513</c:v>
                </c:pt>
                <c:pt idx="199">
                  <c:v>40544</c:v>
                </c:pt>
                <c:pt idx="200">
                  <c:v>40575</c:v>
                </c:pt>
                <c:pt idx="201">
                  <c:v>40603</c:v>
                </c:pt>
                <c:pt idx="202">
                  <c:v>40634</c:v>
                </c:pt>
                <c:pt idx="203">
                  <c:v>40664</c:v>
                </c:pt>
                <c:pt idx="204">
                  <c:v>40695</c:v>
                </c:pt>
                <c:pt idx="205">
                  <c:v>40725</c:v>
                </c:pt>
                <c:pt idx="206">
                  <c:v>40756</c:v>
                </c:pt>
                <c:pt idx="207">
                  <c:v>40787</c:v>
                </c:pt>
                <c:pt idx="208">
                  <c:v>40817</c:v>
                </c:pt>
                <c:pt idx="209">
                  <c:v>40848</c:v>
                </c:pt>
                <c:pt idx="210">
                  <c:v>40878</c:v>
                </c:pt>
                <c:pt idx="211">
                  <c:v>40909</c:v>
                </c:pt>
                <c:pt idx="212">
                  <c:v>40940</c:v>
                </c:pt>
                <c:pt idx="213">
                  <c:v>40969</c:v>
                </c:pt>
                <c:pt idx="214">
                  <c:v>41000</c:v>
                </c:pt>
                <c:pt idx="215">
                  <c:v>41030</c:v>
                </c:pt>
                <c:pt idx="216">
                  <c:v>41061</c:v>
                </c:pt>
                <c:pt idx="217">
                  <c:v>41091</c:v>
                </c:pt>
                <c:pt idx="218">
                  <c:v>41122</c:v>
                </c:pt>
                <c:pt idx="219">
                  <c:v>41153</c:v>
                </c:pt>
                <c:pt idx="220">
                  <c:v>41183</c:v>
                </c:pt>
                <c:pt idx="221">
                  <c:v>41214</c:v>
                </c:pt>
                <c:pt idx="222">
                  <c:v>41244</c:v>
                </c:pt>
                <c:pt idx="223">
                  <c:v>41275</c:v>
                </c:pt>
                <c:pt idx="224">
                  <c:v>41306</c:v>
                </c:pt>
                <c:pt idx="225">
                  <c:v>41334</c:v>
                </c:pt>
                <c:pt idx="226">
                  <c:v>41365</c:v>
                </c:pt>
                <c:pt idx="227">
                  <c:v>41395</c:v>
                </c:pt>
                <c:pt idx="228">
                  <c:v>41426</c:v>
                </c:pt>
                <c:pt idx="229">
                  <c:v>41456</c:v>
                </c:pt>
                <c:pt idx="230">
                  <c:v>41487</c:v>
                </c:pt>
                <c:pt idx="231">
                  <c:v>41518</c:v>
                </c:pt>
                <c:pt idx="232">
                  <c:v>41548</c:v>
                </c:pt>
                <c:pt idx="233">
                  <c:v>41579</c:v>
                </c:pt>
                <c:pt idx="234">
                  <c:v>41609</c:v>
                </c:pt>
                <c:pt idx="235">
                  <c:v>41640</c:v>
                </c:pt>
                <c:pt idx="236">
                  <c:v>41671</c:v>
                </c:pt>
                <c:pt idx="237">
                  <c:v>41699</c:v>
                </c:pt>
                <c:pt idx="238">
                  <c:v>41730</c:v>
                </c:pt>
                <c:pt idx="239">
                  <c:v>41760</c:v>
                </c:pt>
                <c:pt idx="240">
                  <c:v>41791</c:v>
                </c:pt>
                <c:pt idx="241">
                  <c:v>41821</c:v>
                </c:pt>
                <c:pt idx="242">
                  <c:v>41852</c:v>
                </c:pt>
                <c:pt idx="243">
                  <c:v>41883</c:v>
                </c:pt>
                <c:pt idx="244">
                  <c:v>41913</c:v>
                </c:pt>
                <c:pt idx="245">
                  <c:v>41944</c:v>
                </c:pt>
                <c:pt idx="246">
                  <c:v>41974</c:v>
                </c:pt>
                <c:pt idx="247">
                  <c:v>42005</c:v>
                </c:pt>
                <c:pt idx="248">
                  <c:v>42036</c:v>
                </c:pt>
                <c:pt idx="249">
                  <c:v>42064</c:v>
                </c:pt>
                <c:pt idx="250">
                  <c:v>42095</c:v>
                </c:pt>
                <c:pt idx="251">
                  <c:v>42125</c:v>
                </c:pt>
                <c:pt idx="252">
                  <c:v>42156</c:v>
                </c:pt>
                <c:pt idx="253">
                  <c:v>42186</c:v>
                </c:pt>
                <c:pt idx="254">
                  <c:v>42217</c:v>
                </c:pt>
                <c:pt idx="255">
                  <c:v>42248</c:v>
                </c:pt>
                <c:pt idx="256">
                  <c:v>42278</c:v>
                </c:pt>
                <c:pt idx="257">
                  <c:v>42309</c:v>
                </c:pt>
                <c:pt idx="258">
                  <c:v>42339</c:v>
                </c:pt>
                <c:pt idx="259">
                  <c:v>42370</c:v>
                </c:pt>
                <c:pt idx="260">
                  <c:v>42401</c:v>
                </c:pt>
                <c:pt idx="261">
                  <c:v>42430</c:v>
                </c:pt>
                <c:pt idx="262">
                  <c:v>42461</c:v>
                </c:pt>
                <c:pt idx="263">
                  <c:v>42491</c:v>
                </c:pt>
                <c:pt idx="264">
                  <c:v>42522</c:v>
                </c:pt>
                <c:pt idx="265">
                  <c:v>42552</c:v>
                </c:pt>
                <c:pt idx="266">
                  <c:v>42583</c:v>
                </c:pt>
                <c:pt idx="267">
                  <c:v>42614</c:v>
                </c:pt>
                <c:pt idx="268">
                  <c:v>42644</c:v>
                </c:pt>
                <c:pt idx="269">
                  <c:v>42675</c:v>
                </c:pt>
              </c:numCache>
            </c:numRef>
          </c:cat>
          <c:val>
            <c:numRef>
              <c:f>fhl_pool!$AF$2:$AF$510</c:f>
              <c:numCache>
                <c:formatCode>General</c:formatCode>
                <c:ptCount val="509"/>
                <c:pt idx="0">
                  <c:v>145.28415275439301</c:v>
                </c:pt>
                <c:pt idx="1">
                  <c:v>143.04177464678699</c:v>
                </c:pt>
                <c:pt idx="2">
                  <c:v>137.08415312611999</c:v>
                </c:pt>
                <c:pt idx="3">
                  <c:v>118.361236377689</c:v>
                </c:pt>
                <c:pt idx="4">
                  <c:v>115.593474578317</c:v>
                </c:pt>
                <c:pt idx="5">
                  <c:v>113.644602142484</c:v>
                </c:pt>
                <c:pt idx="6">
                  <c:v>111.809854913113</c:v>
                </c:pt>
                <c:pt idx="7">
                  <c:v>110.082387334646</c:v>
                </c:pt>
                <c:pt idx="8">
                  <c:v>108.86373426885299</c:v>
                </c:pt>
                <c:pt idx="9">
                  <c:v>107.782197472264</c:v>
                </c:pt>
                <c:pt idx="10">
                  <c:v>106.64500475215399</c:v>
                </c:pt>
                <c:pt idx="11">
                  <c:v>105.832721769697</c:v>
                </c:pt>
                <c:pt idx="12">
                  <c:v>105.423167579902</c:v>
                </c:pt>
                <c:pt idx="13">
                  <c:v>105.179075165234</c:v>
                </c:pt>
                <c:pt idx="14">
                  <c:v>106.29004193672</c:v>
                </c:pt>
                <c:pt idx="15">
                  <c:v>109.309795312174</c:v>
                </c:pt>
                <c:pt idx="16">
                  <c:v>112.19873097892599</c:v>
                </c:pt>
                <c:pt idx="17">
                  <c:v>112.826612103101</c:v>
                </c:pt>
                <c:pt idx="18">
                  <c:v>113.092130993463</c:v>
                </c:pt>
                <c:pt idx="19">
                  <c:v>114.05281884386901</c:v>
                </c:pt>
                <c:pt idx="20">
                  <c:v>116.795858165087</c:v>
                </c:pt>
                <c:pt idx="21">
                  <c:v>121.339728096408</c:v>
                </c:pt>
                <c:pt idx="22">
                  <c:v>126.62002216885701</c:v>
                </c:pt>
                <c:pt idx="23">
                  <c:v>130.597709509841</c:v>
                </c:pt>
                <c:pt idx="24">
                  <c:v>128.90275943329399</c:v>
                </c:pt>
                <c:pt idx="25">
                  <c:v>126.01026421499</c:v>
                </c:pt>
                <c:pt idx="26">
                  <c:v>123.78486558456601</c:v>
                </c:pt>
                <c:pt idx="27">
                  <c:v>121.035213330334</c:v>
                </c:pt>
                <c:pt idx="28">
                  <c:v>118.15428891089999</c:v>
                </c:pt>
                <c:pt idx="29">
                  <c:v>117.092865038168</c:v>
                </c:pt>
                <c:pt idx="30">
                  <c:v>115.50644734110401</c:v>
                </c:pt>
                <c:pt idx="31">
                  <c:v>114.944005021509</c:v>
                </c:pt>
                <c:pt idx="32">
                  <c:v>116.510912602308</c:v>
                </c:pt>
                <c:pt idx="33">
                  <c:v>110.346511039988</c:v>
                </c:pt>
                <c:pt idx="34">
                  <c:v>110.267991958297</c:v>
                </c:pt>
                <c:pt idx="35">
                  <c:v>109.561817548192</c:v>
                </c:pt>
                <c:pt idx="36">
                  <c:v>109.496784249725</c:v>
                </c:pt>
                <c:pt idx="37">
                  <c:v>110.169093653071</c:v>
                </c:pt>
                <c:pt idx="38">
                  <c:v>112.096149760087</c:v>
                </c:pt>
                <c:pt idx="39">
                  <c:v>113.55313712480201</c:v>
                </c:pt>
                <c:pt idx="40">
                  <c:v>115.576072211273</c:v>
                </c:pt>
                <c:pt idx="41">
                  <c:v>117.82551503657101</c:v>
                </c:pt>
                <c:pt idx="42">
                  <c:v>120.97942183629399</c:v>
                </c:pt>
                <c:pt idx="43">
                  <c:v>124.52219833617301</c:v>
                </c:pt>
                <c:pt idx="44">
                  <c:v>131.45641940396999</c:v>
                </c:pt>
                <c:pt idx="45">
                  <c:v>136.795559521748</c:v>
                </c:pt>
                <c:pt idx="46">
                  <c:v>137.90437843970301</c:v>
                </c:pt>
                <c:pt idx="47">
                  <c:v>137.62607658271401</c:v>
                </c:pt>
                <c:pt idx="48">
                  <c:v>137.199329846198</c:v>
                </c:pt>
                <c:pt idx="49">
                  <c:v>138.63479646786601</c:v>
                </c:pt>
                <c:pt idx="50">
                  <c:v>140.24654298033801</c:v>
                </c:pt>
                <c:pt idx="51">
                  <c:v>143.13299549912099</c:v>
                </c:pt>
                <c:pt idx="52">
                  <c:v>148.92795279742401</c:v>
                </c:pt>
                <c:pt idx="53">
                  <c:v>152.633519949277</c:v>
                </c:pt>
                <c:pt idx="54">
                  <c:v>152.419785145948</c:v>
                </c:pt>
                <c:pt idx="55">
                  <c:v>153.51673971357999</c:v>
                </c:pt>
                <c:pt idx="56">
                  <c:v>153.20913172776901</c:v>
                </c:pt>
                <c:pt idx="57">
                  <c:v>152.57972212448999</c:v>
                </c:pt>
                <c:pt idx="58">
                  <c:v>149.32753454951799</c:v>
                </c:pt>
                <c:pt idx="59">
                  <c:v>147.57084878156499</c:v>
                </c:pt>
                <c:pt idx="60">
                  <c:v>144.128230852283</c:v>
                </c:pt>
                <c:pt idx="61">
                  <c:v>139.84931282612499</c:v>
                </c:pt>
                <c:pt idx="62">
                  <c:v>135.91788975382499</c:v>
                </c:pt>
                <c:pt idx="63">
                  <c:v>132.05920712816399</c:v>
                </c:pt>
                <c:pt idx="64">
                  <c:v>129.199191929059</c:v>
                </c:pt>
                <c:pt idx="65">
                  <c:v>127.19192718598001</c:v>
                </c:pt>
                <c:pt idx="66">
                  <c:v>125.879190558094</c:v>
                </c:pt>
                <c:pt idx="67">
                  <c:v>124.60948365755701</c:v>
                </c:pt>
                <c:pt idx="68">
                  <c:v>121.953903335977</c:v>
                </c:pt>
                <c:pt idx="69">
                  <c:v>120.523552638224</c:v>
                </c:pt>
                <c:pt idx="70">
                  <c:v>119.12508074740801</c:v>
                </c:pt>
                <c:pt idx="71">
                  <c:v>118.027578234768</c:v>
                </c:pt>
                <c:pt idx="72">
                  <c:v>115.651963654048</c:v>
                </c:pt>
                <c:pt idx="73">
                  <c:v>113.810278644958</c:v>
                </c:pt>
                <c:pt idx="74">
                  <c:v>112.377674195979</c:v>
                </c:pt>
                <c:pt idx="75">
                  <c:v>110.453771969404</c:v>
                </c:pt>
                <c:pt idx="76">
                  <c:v>108.803621443296</c:v>
                </c:pt>
                <c:pt idx="77">
                  <c:v>107.63757592574299</c:v>
                </c:pt>
                <c:pt idx="78">
                  <c:v>106.93046709581699</c:v>
                </c:pt>
                <c:pt idx="79">
                  <c:v>108.277701004704</c:v>
                </c:pt>
                <c:pt idx="80">
                  <c:v>112.885731638148</c:v>
                </c:pt>
                <c:pt idx="81">
                  <c:v>117.17361859148301</c:v>
                </c:pt>
                <c:pt idx="82">
                  <c:v>121.953107254489</c:v>
                </c:pt>
                <c:pt idx="83">
                  <c:v>123.80266431314899</c:v>
                </c:pt>
                <c:pt idx="84">
                  <c:v>123.465424249919</c:v>
                </c:pt>
                <c:pt idx="85">
                  <c:v>121.897706684805</c:v>
                </c:pt>
                <c:pt idx="86">
                  <c:v>120.036164802234</c:v>
                </c:pt>
                <c:pt idx="87">
                  <c:v>121.148170368265</c:v>
                </c:pt>
                <c:pt idx="88">
                  <c:v>123.280317139836</c:v>
                </c:pt>
                <c:pt idx="89">
                  <c:v>128.744717959078</c:v>
                </c:pt>
                <c:pt idx="90">
                  <c:v>132.56423289769199</c:v>
                </c:pt>
                <c:pt idx="91">
                  <c:v>130.06559526883299</c:v>
                </c:pt>
                <c:pt idx="92">
                  <c:v>127.548382260995</c:v>
                </c:pt>
                <c:pt idx="93">
                  <c:v>126.43465176296399</c:v>
                </c:pt>
                <c:pt idx="94">
                  <c:v>123.78984472734599</c:v>
                </c:pt>
                <c:pt idx="95">
                  <c:v>121.722594180009</c:v>
                </c:pt>
                <c:pt idx="96">
                  <c:v>122.71051812111899</c:v>
                </c:pt>
                <c:pt idx="97">
                  <c:v>125.92833076899301</c:v>
                </c:pt>
                <c:pt idx="98">
                  <c:v>131.74044378131401</c:v>
                </c:pt>
                <c:pt idx="99">
                  <c:v>139.77489932971599</c:v>
                </c:pt>
                <c:pt idx="100">
                  <c:v>149.64396050023501</c:v>
                </c:pt>
                <c:pt idx="101">
                  <c:v>157.161455644607</c:v>
                </c:pt>
                <c:pt idx="102">
                  <c:v>164.25262576074499</c:v>
                </c:pt>
                <c:pt idx="103">
                  <c:v>169.22365244006701</c:v>
                </c:pt>
                <c:pt idx="104">
                  <c:v>178.24367114453801</c:v>
                </c:pt>
                <c:pt idx="105">
                  <c:v>187.94573545909401</c:v>
                </c:pt>
                <c:pt idx="106">
                  <c:v>195.258001449576</c:v>
                </c:pt>
                <c:pt idx="107">
                  <c:v>202.245444263369</c:v>
                </c:pt>
                <c:pt idx="108">
                  <c:v>212.126102709734</c:v>
                </c:pt>
                <c:pt idx="109">
                  <c:v>225.17284904919899</c:v>
                </c:pt>
                <c:pt idx="110">
                  <c:v>226.29197957409599</c:v>
                </c:pt>
                <c:pt idx="111">
                  <c:v>213.58354294145099</c:v>
                </c:pt>
                <c:pt idx="112">
                  <c:v>203.333465959497</c:v>
                </c:pt>
                <c:pt idx="113">
                  <c:v>194.51048245941899</c:v>
                </c:pt>
                <c:pt idx="114">
                  <c:v>191.098587362567</c:v>
                </c:pt>
                <c:pt idx="115">
                  <c:v>189.55344576496</c:v>
                </c:pt>
                <c:pt idx="116">
                  <c:v>191.39478800164599</c:v>
                </c:pt>
                <c:pt idx="117">
                  <c:v>195.75408136341099</c:v>
                </c:pt>
                <c:pt idx="118">
                  <c:v>201.57990522944201</c:v>
                </c:pt>
                <c:pt idx="119">
                  <c:v>198.68579980699701</c:v>
                </c:pt>
                <c:pt idx="120">
                  <c:v>192.419181120551</c:v>
                </c:pt>
                <c:pt idx="121">
                  <c:v>185.946198716536</c:v>
                </c:pt>
                <c:pt idx="122">
                  <c:v>182.85217175163399</c:v>
                </c:pt>
                <c:pt idx="123">
                  <c:v>182.724667175809</c:v>
                </c:pt>
                <c:pt idx="124">
                  <c:v>183.87872259247101</c:v>
                </c:pt>
                <c:pt idx="125">
                  <c:v>185.545319216975</c:v>
                </c:pt>
                <c:pt idx="126">
                  <c:v>187.44035492901699</c:v>
                </c:pt>
                <c:pt idx="127">
                  <c:v>187.463914918597</c:v>
                </c:pt>
                <c:pt idx="128">
                  <c:v>188.330240043564</c:v>
                </c:pt>
                <c:pt idx="129">
                  <c:v>191.73533831465301</c:v>
                </c:pt>
                <c:pt idx="130">
                  <c:v>190.53253319181701</c:v>
                </c:pt>
                <c:pt idx="131">
                  <c:v>188.25359982829801</c:v>
                </c:pt>
                <c:pt idx="132">
                  <c:v>187.975555972764</c:v>
                </c:pt>
                <c:pt idx="133">
                  <c:v>189.90727345001201</c:v>
                </c:pt>
                <c:pt idx="134">
                  <c:v>190.21675366191499</c:v>
                </c:pt>
                <c:pt idx="135">
                  <c:v>187.72402214039599</c:v>
                </c:pt>
                <c:pt idx="136">
                  <c:v>183.62774174316601</c:v>
                </c:pt>
                <c:pt idx="137">
                  <c:v>178.464279731201</c:v>
                </c:pt>
                <c:pt idx="138">
                  <c:v>172.72736967535801</c:v>
                </c:pt>
                <c:pt idx="139">
                  <c:v>167.64355704504499</c:v>
                </c:pt>
                <c:pt idx="140">
                  <c:v>163.76437772883901</c:v>
                </c:pt>
                <c:pt idx="141">
                  <c:v>160.729447813951</c:v>
                </c:pt>
                <c:pt idx="142">
                  <c:v>157.638023836852</c:v>
                </c:pt>
                <c:pt idx="143">
                  <c:v>153.78445257746401</c:v>
                </c:pt>
                <c:pt idx="144">
                  <c:v>150.46120579636101</c:v>
                </c:pt>
                <c:pt idx="145">
                  <c:v>146.74398907907701</c:v>
                </c:pt>
                <c:pt idx="146">
                  <c:v>142.901703712065</c:v>
                </c:pt>
                <c:pt idx="147">
                  <c:v>141.256219534786</c:v>
                </c:pt>
                <c:pt idx="148">
                  <c:v>138.76621015524401</c:v>
                </c:pt>
                <c:pt idx="149">
                  <c:v>137.151867324329</c:v>
                </c:pt>
                <c:pt idx="150">
                  <c:v>136.2075066964</c:v>
                </c:pt>
                <c:pt idx="151">
                  <c:v>135.10170251987699</c:v>
                </c:pt>
                <c:pt idx="152">
                  <c:v>134.08449295560001</c:v>
                </c:pt>
                <c:pt idx="153">
                  <c:v>132.39695563561</c:v>
                </c:pt>
                <c:pt idx="154">
                  <c:v>131.52027445364499</c:v>
                </c:pt>
                <c:pt idx="155">
                  <c:v>130.65545762885401</c:v>
                </c:pt>
                <c:pt idx="156">
                  <c:v>129.08514607478301</c:v>
                </c:pt>
                <c:pt idx="157">
                  <c:v>126.27304087489</c:v>
                </c:pt>
                <c:pt idx="158">
                  <c:v>123.749582787666</c:v>
                </c:pt>
                <c:pt idx="159">
                  <c:v>121.18881304202201</c:v>
                </c:pt>
                <c:pt idx="160">
                  <c:v>119.042852132504</c:v>
                </c:pt>
                <c:pt idx="161">
                  <c:v>118.00348309687701</c:v>
                </c:pt>
                <c:pt idx="162">
                  <c:v>117.031838649853</c:v>
                </c:pt>
                <c:pt idx="163">
                  <c:v>117.135849471702</c:v>
                </c:pt>
                <c:pt idx="164">
                  <c:v>120.75880447903</c:v>
                </c:pt>
                <c:pt idx="165">
                  <c:v>120.67619617126</c:v>
                </c:pt>
                <c:pt idx="166">
                  <c:v>120.49593686679199</c:v>
                </c:pt>
                <c:pt idx="167">
                  <c:v>120.32776133911599</c:v>
                </c:pt>
                <c:pt idx="168">
                  <c:v>118.843785889079</c:v>
                </c:pt>
                <c:pt idx="169">
                  <c:v>116.62751683845499</c:v>
                </c:pt>
                <c:pt idx="170">
                  <c:v>115.666437596351</c:v>
                </c:pt>
                <c:pt idx="171">
                  <c:v>114.2587071908</c:v>
                </c:pt>
                <c:pt idx="172">
                  <c:v>114.26993133321599</c:v>
                </c:pt>
                <c:pt idx="173">
                  <c:v>114.32155636174301</c:v>
                </c:pt>
                <c:pt idx="174">
                  <c:v>114.281917197754</c:v>
                </c:pt>
                <c:pt idx="175">
                  <c:v>121.501546721772</c:v>
                </c:pt>
                <c:pt idx="176">
                  <c:v>132.66570728693699</c:v>
                </c:pt>
                <c:pt idx="177">
                  <c:v>140.40335229351501</c:v>
                </c:pt>
                <c:pt idx="178">
                  <c:v>147.11698894796299</c:v>
                </c:pt>
                <c:pt idx="179">
                  <c:v>156.518848536549</c:v>
                </c:pt>
                <c:pt idx="180">
                  <c:v>172.032492004711</c:v>
                </c:pt>
                <c:pt idx="181">
                  <c:v>175.25276261882999</c:v>
                </c:pt>
                <c:pt idx="182">
                  <c:v>182.654656309079</c:v>
                </c:pt>
                <c:pt idx="183">
                  <c:v>189.592543030911</c:v>
                </c:pt>
                <c:pt idx="184">
                  <c:v>200.23168800257</c:v>
                </c:pt>
                <c:pt idx="185">
                  <c:v>212.60255787677599</c:v>
                </c:pt>
                <c:pt idx="186">
                  <c:v>225.904790316674</c:v>
                </c:pt>
                <c:pt idx="187">
                  <c:v>236.47243729526301</c:v>
                </c:pt>
                <c:pt idx="188">
                  <c:v>245.95155327319199</c:v>
                </c:pt>
                <c:pt idx="189">
                  <c:v>255.59143576441099</c:v>
                </c:pt>
                <c:pt idx="190">
                  <c:v>259.86662235461802</c:v>
                </c:pt>
                <c:pt idx="191">
                  <c:v>266.93689966858699</c:v>
                </c:pt>
                <c:pt idx="192">
                  <c:v>276.966786084783</c:v>
                </c:pt>
                <c:pt idx="193">
                  <c:v>289.18605920206198</c:v>
                </c:pt>
                <c:pt idx="194">
                  <c:v>304.27784768155101</c:v>
                </c:pt>
                <c:pt idx="195">
                  <c:v>322.17579149750702</c:v>
                </c:pt>
                <c:pt idx="196">
                  <c:v>339.509362166578</c:v>
                </c:pt>
                <c:pt idx="197">
                  <c:v>358.76835599520399</c:v>
                </c:pt>
                <c:pt idx="198">
                  <c:v>375.07101181590002</c:v>
                </c:pt>
                <c:pt idx="199">
                  <c:v>382.44246133391999</c:v>
                </c:pt>
                <c:pt idx="200">
                  <c:v>387.96058363639997</c:v>
                </c:pt>
                <c:pt idx="201">
                  <c:v>389.98884101852701</c:v>
                </c:pt>
                <c:pt idx="202">
                  <c:v>397.06056780196599</c:v>
                </c:pt>
                <c:pt idx="203">
                  <c:v>402.95365168642098</c:v>
                </c:pt>
                <c:pt idx="204">
                  <c:v>412.36004942913701</c:v>
                </c:pt>
                <c:pt idx="205">
                  <c:v>423.56099857394702</c:v>
                </c:pt>
                <c:pt idx="206">
                  <c:v>434.79807764408798</c:v>
                </c:pt>
                <c:pt idx="207">
                  <c:v>450.198699668828</c:v>
                </c:pt>
                <c:pt idx="208">
                  <c:v>468.70826224111897</c:v>
                </c:pt>
                <c:pt idx="209">
                  <c:v>487.75750921597199</c:v>
                </c:pt>
                <c:pt idx="210">
                  <c:v>508.87235068410399</c:v>
                </c:pt>
                <c:pt idx="211">
                  <c:v>531.91416706844996</c:v>
                </c:pt>
                <c:pt idx="212">
                  <c:v>551.295311210872</c:v>
                </c:pt>
                <c:pt idx="213">
                  <c:v>566.81589241041502</c:v>
                </c:pt>
                <c:pt idx="214">
                  <c:v>582.56776759953596</c:v>
                </c:pt>
                <c:pt idx="215">
                  <c:v>599.34122865952804</c:v>
                </c:pt>
                <c:pt idx="216">
                  <c:v>618.83459910105103</c:v>
                </c:pt>
                <c:pt idx="217">
                  <c:v>634.44374688916696</c:v>
                </c:pt>
                <c:pt idx="218">
                  <c:v>656.98525579002603</c:v>
                </c:pt>
                <c:pt idx="219">
                  <c:v>674.51724532197204</c:v>
                </c:pt>
                <c:pt idx="220">
                  <c:v>695.97023140349802</c:v>
                </c:pt>
                <c:pt idx="221">
                  <c:v>713.536096710685</c:v>
                </c:pt>
                <c:pt idx="222">
                  <c:v>724.78207567621803</c:v>
                </c:pt>
                <c:pt idx="223">
                  <c:v>747.05464298151401</c:v>
                </c:pt>
                <c:pt idx="224">
                  <c:v>759.61460964686796</c:v>
                </c:pt>
                <c:pt idx="225">
                  <c:v>765.56967244850705</c:v>
                </c:pt>
                <c:pt idx="226">
                  <c:v>764.10078327109102</c:v>
                </c:pt>
                <c:pt idx="227">
                  <c:v>764.99685066312099</c:v>
                </c:pt>
                <c:pt idx="228">
                  <c:v>765.94570702590795</c:v>
                </c:pt>
                <c:pt idx="229">
                  <c:v>751.14390528662705</c:v>
                </c:pt>
                <c:pt idx="230">
                  <c:v>735.52028110538902</c:v>
                </c:pt>
                <c:pt idx="231">
                  <c:v>716.841770575091</c:v>
                </c:pt>
                <c:pt idx="232">
                  <c:v>703.76561108239105</c:v>
                </c:pt>
                <c:pt idx="233">
                  <c:v>698.34414694911004</c:v>
                </c:pt>
                <c:pt idx="234">
                  <c:v>692.28957406291499</c:v>
                </c:pt>
                <c:pt idx="235">
                  <c:v>684.48256454748696</c:v>
                </c:pt>
                <c:pt idx="236">
                  <c:v>676.66801530276598</c:v>
                </c:pt>
                <c:pt idx="237">
                  <c:v>672.17232859710805</c:v>
                </c:pt>
                <c:pt idx="238">
                  <c:v>670.384491717061</c:v>
                </c:pt>
                <c:pt idx="239">
                  <c:v>666.43286400783302</c:v>
                </c:pt>
                <c:pt idx="240">
                  <c:v>664.69980563757599</c:v>
                </c:pt>
                <c:pt idx="241">
                  <c:v>662.075403877383</c:v>
                </c:pt>
                <c:pt idx="242">
                  <c:v>659.71024280803999</c:v>
                </c:pt>
                <c:pt idx="243">
                  <c:v>654.15727526874605</c:v>
                </c:pt>
                <c:pt idx="244">
                  <c:v>649.49729153355804</c:v>
                </c:pt>
                <c:pt idx="245">
                  <c:v>646.21962683922595</c:v>
                </c:pt>
                <c:pt idx="246">
                  <c:v>644.23745909282195</c:v>
                </c:pt>
                <c:pt idx="247">
                  <c:v>647.41495682305595</c:v>
                </c:pt>
                <c:pt idx="248">
                  <c:v>653.24988446499697</c:v>
                </c:pt>
                <c:pt idx="249">
                  <c:v>656.56218752353698</c:v>
                </c:pt>
                <c:pt idx="250">
                  <c:v>662.36673240305197</c:v>
                </c:pt>
                <c:pt idx="251">
                  <c:v>664.17191217349796</c:v>
                </c:pt>
                <c:pt idx="252">
                  <c:v>661.32392022301099</c:v>
                </c:pt>
                <c:pt idx="253">
                  <c:v>654.43698267178399</c:v>
                </c:pt>
                <c:pt idx="254">
                  <c:v>646.87389067944696</c:v>
                </c:pt>
                <c:pt idx="255">
                  <c:v>643.82448734262402</c:v>
                </c:pt>
                <c:pt idx="256">
                  <c:v>639.98383388572699</c:v>
                </c:pt>
                <c:pt idx="257">
                  <c:v>639.36412548450096</c:v>
                </c:pt>
                <c:pt idx="258">
                  <c:v>637.31831129475597</c:v>
                </c:pt>
                <c:pt idx="259">
                  <c:v>636.06150829973797</c:v>
                </c:pt>
                <c:pt idx="260">
                  <c:v>635.72725812532201</c:v>
                </c:pt>
                <c:pt idx="261">
                  <c:v>641.05199043084201</c:v>
                </c:pt>
                <c:pt idx="262">
                  <c:v>646.13716997658798</c:v>
                </c:pt>
                <c:pt idx="263">
                  <c:v>652.08162898713601</c:v>
                </c:pt>
                <c:pt idx="264">
                  <c:v>655.78438859935795</c:v>
                </c:pt>
                <c:pt idx="265">
                  <c:v>659.60578974607495</c:v>
                </c:pt>
                <c:pt idx="266">
                  <c:v>664.220479628259</c:v>
                </c:pt>
                <c:pt idx="267">
                  <c:v>667.74549805829201</c:v>
                </c:pt>
                <c:pt idx="268">
                  <c:v>669.389418513603</c:v>
                </c:pt>
                <c:pt idx="269">
                  <c:v>673.33270063044495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fhl_pool!$AG$1</c:f>
              <c:strCache>
                <c:ptCount val="1"/>
                <c:pt idx="0">
                  <c:v>v2.30</c:v>
                </c:pt>
              </c:strCache>
            </c:strRef>
          </c:tx>
          <c:marker>
            <c:symbol val="none"/>
          </c:marker>
          <c:cat>
            <c:numRef>
              <c:f>fhl_pool!$AE$2:$AE$510</c:f>
              <c:numCache>
                <c:formatCode>m/d/yyyy</c:formatCode>
                <c:ptCount val="509"/>
                <c:pt idx="0">
                  <c:v>34366</c:v>
                </c:pt>
                <c:pt idx="1">
                  <c:v>34394</c:v>
                </c:pt>
                <c:pt idx="2">
                  <c:v>34425</c:v>
                </c:pt>
                <c:pt idx="3">
                  <c:v>34516</c:v>
                </c:pt>
                <c:pt idx="4">
                  <c:v>34547</c:v>
                </c:pt>
                <c:pt idx="5">
                  <c:v>34578</c:v>
                </c:pt>
                <c:pt idx="6">
                  <c:v>34608</c:v>
                </c:pt>
                <c:pt idx="7">
                  <c:v>34639</c:v>
                </c:pt>
                <c:pt idx="8">
                  <c:v>34669</c:v>
                </c:pt>
                <c:pt idx="9">
                  <c:v>34700</c:v>
                </c:pt>
                <c:pt idx="10">
                  <c:v>34731</c:v>
                </c:pt>
                <c:pt idx="11">
                  <c:v>34759</c:v>
                </c:pt>
                <c:pt idx="12">
                  <c:v>34790</c:v>
                </c:pt>
                <c:pt idx="13">
                  <c:v>34820</c:v>
                </c:pt>
                <c:pt idx="14">
                  <c:v>34851</c:v>
                </c:pt>
                <c:pt idx="15">
                  <c:v>34881</c:v>
                </c:pt>
                <c:pt idx="16">
                  <c:v>34912</c:v>
                </c:pt>
                <c:pt idx="17">
                  <c:v>34943</c:v>
                </c:pt>
                <c:pt idx="18">
                  <c:v>34973</c:v>
                </c:pt>
                <c:pt idx="19">
                  <c:v>35004</c:v>
                </c:pt>
                <c:pt idx="20">
                  <c:v>35034</c:v>
                </c:pt>
                <c:pt idx="21">
                  <c:v>35065</c:v>
                </c:pt>
                <c:pt idx="22">
                  <c:v>35096</c:v>
                </c:pt>
                <c:pt idx="23">
                  <c:v>35125</c:v>
                </c:pt>
                <c:pt idx="24">
                  <c:v>35156</c:v>
                </c:pt>
                <c:pt idx="25">
                  <c:v>35186</c:v>
                </c:pt>
                <c:pt idx="26">
                  <c:v>35217</c:v>
                </c:pt>
                <c:pt idx="27">
                  <c:v>35247</c:v>
                </c:pt>
                <c:pt idx="28">
                  <c:v>35278</c:v>
                </c:pt>
                <c:pt idx="29">
                  <c:v>35309</c:v>
                </c:pt>
                <c:pt idx="30">
                  <c:v>35339</c:v>
                </c:pt>
                <c:pt idx="31">
                  <c:v>35370</c:v>
                </c:pt>
                <c:pt idx="32">
                  <c:v>35400</c:v>
                </c:pt>
                <c:pt idx="33">
                  <c:v>35490</c:v>
                </c:pt>
                <c:pt idx="34">
                  <c:v>35521</c:v>
                </c:pt>
                <c:pt idx="35">
                  <c:v>35551</c:v>
                </c:pt>
                <c:pt idx="36">
                  <c:v>35582</c:v>
                </c:pt>
                <c:pt idx="37">
                  <c:v>35612</c:v>
                </c:pt>
                <c:pt idx="38">
                  <c:v>35643</c:v>
                </c:pt>
                <c:pt idx="39">
                  <c:v>35674</c:v>
                </c:pt>
                <c:pt idx="40">
                  <c:v>35704</c:v>
                </c:pt>
                <c:pt idx="41">
                  <c:v>35735</c:v>
                </c:pt>
                <c:pt idx="42">
                  <c:v>35765</c:v>
                </c:pt>
                <c:pt idx="43">
                  <c:v>35796</c:v>
                </c:pt>
                <c:pt idx="44">
                  <c:v>35827</c:v>
                </c:pt>
                <c:pt idx="45">
                  <c:v>35855</c:v>
                </c:pt>
                <c:pt idx="46">
                  <c:v>35886</c:v>
                </c:pt>
                <c:pt idx="47">
                  <c:v>35916</c:v>
                </c:pt>
                <c:pt idx="48">
                  <c:v>35947</c:v>
                </c:pt>
                <c:pt idx="49">
                  <c:v>35977</c:v>
                </c:pt>
                <c:pt idx="50">
                  <c:v>36008</c:v>
                </c:pt>
                <c:pt idx="51">
                  <c:v>36039</c:v>
                </c:pt>
                <c:pt idx="52">
                  <c:v>36069</c:v>
                </c:pt>
                <c:pt idx="53">
                  <c:v>36100</c:v>
                </c:pt>
                <c:pt idx="54">
                  <c:v>36130</c:v>
                </c:pt>
                <c:pt idx="55">
                  <c:v>36161</c:v>
                </c:pt>
                <c:pt idx="56">
                  <c:v>36192</c:v>
                </c:pt>
                <c:pt idx="57">
                  <c:v>36220</c:v>
                </c:pt>
                <c:pt idx="58">
                  <c:v>36251</c:v>
                </c:pt>
                <c:pt idx="59">
                  <c:v>36281</c:v>
                </c:pt>
                <c:pt idx="60">
                  <c:v>36312</c:v>
                </c:pt>
                <c:pt idx="61">
                  <c:v>36342</c:v>
                </c:pt>
                <c:pt idx="62">
                  <c:v>36373</c:v>
                </c:pt>
                <c:pt idx="63">
                  <c:v>36404</c:v>
                </c:pt>
                <c:pt idx="64">
                  <c:v>36434</c:v>
                </c:pt>
                <c:pt idx="65">
                  <c:v>36465</c:v>
                </c:pt>
                <c:pt idx="66">
                  <c:v>36495</c:v>
                </c:pt>
                <c:pt idx="67">
                  <c:v>36526</c:v>
                </c:pt>
                <c:pt idx="68">
                  <c:v>36557</c:v>
                </c:pt>
                <c:pt idx="69">
                  <c:v>36586</c:v>
                </c:pt>
                <c:pt idx="70">
                  <c:v>36617</c:v>
                </c:pt>
                <c:pt idx="71">
                  <c:v>36647</c:v>
                </c:pt>
                <c:pt idx="72">
                  <c:v>36678</c:v>
                </c:pt>
                <c:pt idx="73">
                  <c:v>36708</c:v>
                </c:pt>
                <c:pt idx="74">
                  <c:v>36739</c:v>
                </c:pt>
                <c:pt idx="75">
                  <c:v>36770</c:v>
                </c:pt>
                <c:pt idx="76">
                  <c:v>36800</c:v>
                </c:pt>
                <c:pt idx="77">
                  <c:v>36831</c:v>
                </c:pt>
                <c:pt idx="78">
                  <c:v>36861</c:v>
                </c:pt>
                <c:pt idx="79">
                  <c:v>36892</c:v>
                </c:pt>
                <c:pt idx="80">
                  <c:v>36923</c:v>
                </c:pt>
                <c:pt idx="81">
                  <c:v>36951</c:v>
                </c:pt>
                <c:pt idx="82">
                  <c:v>36982</c:v>
                </c:pt>
                <c:pt idx="83">
                  <c:v>37012</c:v>
                </c:pt>
                <c:pt idx="84">
                  <c:v>37043</c:v>
                </c:pt>
                <c:pt idx="85">
                  <c:v>37073</c:v>
                </c:pt>
                <c:pt idx="86">
                  <c:v>37104</c:v>
                </c:pt>
                <c:pt idx="87">
                  <c:v>37135</c:v>
                </c:pt>
                <c:pt idx="88">
                  <c:v>37165</c:v>
                </c:pt>
                <c:pt idx="89">
                  <c:v>37196</c:v>
                </c:pt>
                <c:pt idx="90">
                  <c:v>37226</c:v>
                </c:pt>
                <c:pt idx="91">
                  <c:v>37257</c:v>
                </c:pt>
                <c:pt idx="92">
                  <c:v>37288</c:v>
                </c:pt>
                <c:pt idx="93">
                  <c:v>37316</c:v>
                </c:pt>
                <c:pt idx="94">
                  <c:v>37347</c:v>
                </c:pt>
                <c:pt idx="95">
                  <c:v>37377</c:v>
                </c:pt>
                <c:pt idx="96">
                  <c:v>37408</c:v>
                </c:pt>
                <c:pt idx="97">
                  <c:v>37438</c:v>
                </c:pt>
                <c:pt idx="98">
                  <c:v>37469</c:v>
                </c:pt>
                <c:pt idx="99">
                  <c:v>37500</c:v>
                </c:pt>
                <c:pt idx="100">
                  <c:v>37530</c:v>
                </c:pt>
                <c:pt idx="101">
                  <c:v>37561</c:v>
                </c:pt>
                <c:pt idx="102">
                  <c:v>37591</c:v>
                </c:pt>
                <c:pt idx="103">
                  <c:v>37622</c:v>
                </c:pt>
                <c:pt idx="104">
                  <c:v>37653</c:v>
                </c:pt>
                <c:pt idx="105">
                  <c:v>37681</c:v>
                </c:pt>
                <c:pt idx="106">
                  <c:v>37712</c:v>
                </c:pt>
                <c:pt idx="107">
                  <c:v>37742</c:v>
                </c:pt>
                <c:pt idx="108">
                  <c:v>37773</c:v>
                </c:pt>
                <c:pt idx="109">
                  <c:v>37803</c:v>
                </c:pt>
                <c:pt idx="110">
                  <c:v>37834</c:v>
                </c:pt>
                <c:pt idx="111">
                  <c:v>37865</c:v>
                </c:pt>
                <c:pt idx="112">
                  <c:v>37895</c:v>
                </c:pt>
                <c:pt idx="113">
                  <c:v>37926</c:v>
                </c:pt>
                <c:pt idx="114">
                  <c:v>37956</c:v>
                </c:pt>
                <c:pt idx="115">
                  <c:v>37987</c:v>
                </c:pt>
                <c:pt idx="116">
                  <c:v>38018</c:v>
                </c:pt>
                <c:pt idx="117">
                  <c:v>38047</c:v>
                </c:pt>
                <c:pt idx="118">
                  <c:v>38078</c:v>
                </c:pt>
                <c:pt idx="119">
                  <c:v>38108</c:v>
                </c:pt>
                <c:pt idx="120">
                  <c:v>38139</c:v>
                </c:pt>
                <c:pt idx="121">
                  <c:v>38169</c:v>
                </c:pt>
                <c:pt idx="122">
                  <c:v>38200</c:v>
                </c:pt>
                <c:pt idx="123">
                  <c:v>38231</c:v>
                </c:pt>
                <c:pt idx="124">
                  <c:v>38261</c:v>
                </c:pt>
                <c:pt idx="125">
                  <c:v>38292</c:v>
                </c:pt>
                <c:pt idx="126">
                  <c:v>38322</c:v>
                </c:pt>
                <c:pt idx="127">
                  <c:v>38353</c:v>
                </c:pt>
                <c:pt idx="128">
                  <c:v>38384</c:v>
                </c:pt>
                <c:pt idx="129">
                  <c:v>38412</c:v>
                </c:pt>
                <c:pt idx="130">
                  <c:v>38443</c:v>
                </c:pt>
                <c:pt idx="131">
                  <c:v>38473</c:v>
                </c:pt>
                <c:pt idx="132">
                  <c:v>38504</c:v>
                </c:pt>
                <c:pt idx="133">
                  <c:v>38534</c:v>
                </c:pt>
                <c:pt idx="134">
                  <c:v>38565</c:v>
                </c:pt>
                <c:pt idx="135">
                  <c:v>38596</c:v>
                </c:pt>
                <c:pt idx="136">
                  <c:v>38626</c:v>
                </c:pt>
                <c:pt idx="137">
                  <c:v>38657</c:v>
                </c:pt>
                <c:pt idx="138">
                  <c:v>38687</c:v>
                </c:pt>
                <c:pt idx="139">
                  <c:v>38718</c:v>
                </c:pt>
                <c:pt idx="140">
                  <c:v>38749</c:v>
                </c:pt>
                <c:pt idx="141">
                  <c:v>38777</c:v>
                </c:pt>
                <c:pt idx="142">
                  <c:v>38808</c:v>
                </c:pt>
                <c:pt idx="143">
                  <c:v>38838</c:v>
                </c:pt>
                <c:pt idx="144">
                  <c:v>38869</c:v>
                </c:pt>
                <c:pt idx="145">
                  <c:v>38899</c:v>
                </c:pt>
                <c:pt idx="146">
                  <c:v>38930</c:v>
                </c:pt>
                <c:pt idx="147">
                  <c:v>38961</c:v>
                </c:pt>
                <c:pt idx="148">
                  <c:v>38991</c:v>
                </c:pt>
                <c:pt idx="149">
                  <c:v>39022</c:v>
                </c:pt>
                <c:pt idx="150">
                  <c:v>39052</c:v>
                </c:pt>
                <c:pt idx="151">
                  <c:v>39083</c:v>
                </c:pt>
                <c:pt idx="152">
                  <c:v>39114</c:v>
                </c:pt>
                <c:pt idx="153">
                  <c:v>39142</c:v>
                </c:pt>
                <c:pt idx="154">
                  <c:v>39173</c:v>
                </c:pt>
                <c:pt idx="155">
                  <c:v>39203</c:v>
                </c:pt>
                <c:pt idx="156">
                  <c:v>39234</c:v>
                </c:pt>
                <c:pt idx="157">
                  <c:v>39264</c:v>
                </c:pt>
                <c:pt idx="158">
                  <c:v>39295</c:v>
                </c:pt>
                <c:pt idx="159">
                  <c:v>39326</c:v>
                </c:pt>
                <c:pt idx="160">
                  <c:v>39356</c:v>
                </c:pt>
                <c:pt idx="161">
                  <c:v>39387</c:v>
                </c:pt>
                <c:pt idx="162">
                  <c:v>39417</c:v>
                </c:pt>
                <c:pt idx="163">
                  <c:v>39448</c:v>
                </c:pt>
                <c:pt idx="164">
                  <c:v>39479</c:v>
                </c:pt>
                <c:pt idx="165">
                  <c:v>39508</c:v>
                </c:pt>
                <c:pt idx="166">
                  <c:v>39539</c:v>
                </c:pt>
                <c:pt idx="167">
                  <c:v>39569</c:v>
                </c:pt>
                <c:pt idx="168">
                  <c:v>39600</c:v>
                </c:pt>
                <c:pt idx="169">
                  <c:v>39630</c:v>
                </c:pt>
                <c:pt idx="170">
                  <c:v>39661</c:v>
                </c:pt>
                <c:pt idx="171">
                  <c:v>39692</c:v>
                </c:pt>
                <c:pt idx="172">
                  <c:v>39722</c:v>
                </c:pt>
                <c:pt idx="173">
                  <c:v>39753</c:v>
                </c:pt>
                <c:pt idx="174">
                  <c:v>39783</c:v>
                </c:pt>
                <c:pt idx="175">
                  <c:v>39814</c:v>
                </c:pt>
                <c:pt idx="176">
                  <c:v>39845</c:v>
                </c:pt>
                <c:pt idx="177">
                  <c:v>39873</c:v>
                </c:pt>
                <c:pt idx="178">
                  <c:v>39904</c:v>
                </c:pt>
                <c:pt idx="179">
                  <c:v>39934</c:v>
                </c:pt>
                <c:pt idx="180">
                  <c:v>39965</c:v>
                </c:pt>
                <c:pt idx="181">
                  <c:v>39995</c:v>
                </c:pt>
                <c:pt idx="182">
                  <c:v>40026</c:v>
                </c:pt>
                <c:pt idx="183">
                  <c:v>40057</c:v>
                </c:pt>
                <c:pt idx="184">
                  <c:v>40087</c:v>
                </c:pt>
                <c:pt idx="185">
                  <c:v>40118</c:v>
                </c:pt>
                <c:pt idx="186">
                  <c:v>40148</c:v>
                </c:pt>
                <c:pt idx="187">
                  <c:v>40179</c:v>
                </c:pt>
                <c:pt idx="188">
                  <c:v>40210</c:v>
                </c:pt>
                <c:pt idx="189">
                  <c:v>40238</c:v>
                </c:pt>
                <c:pt idx="190">
                  <c:v>40269</c:v>
                </c:pt>
                <c:pt idx="191">
                  <c:v>40299</c:v>
                </c:pt>
                <c:pt idx="192">
                  <c:v>40330</c:v>
                </c:pt>
                <c:pt idx="193">
                  <c:v>40360</c:v>
                </c:pt>
                <c:pt idx="194">
                  <c:v>40391</c:v>
                </c:pt>
                <c:pt idx="195">
                  <c:v>40422</c:v>
                </c:pt>
                <c:pt idx="196">
                  <c:v>40452</c:v>
                </c:pt>
                <c:pt idx="197">
                  <c:v>40483</c:v>
                </c:pt>
                <c:pt idx="198">
                  <c:v>40513</c:v>
                </c:pt>
                <c:pt idx="199">
                  <c:v>40544</c:v>
                </c:pt>
                <c:pt idx="200">
                  <c:v>40575</c:v>
                </c:pt>
                <c:pt idx="201">
                  <c:v>40603</c:v>
                </c:pt>
                <c:pt idx="202">
                  <c:v>40634</c:v>
                </c:pt>
                <c:pt idx="203">
                  <c:v>40664</c:v>
                </c:pt>
                <c:pt idx="204">
                  <c:v>40695</c:v>
                </c:pt>
                <c:pt idx="205">
                  <c:v>40725</c:v>
                </c:pt>
                <c:pt idx="206">
                  <c:v>40756</c:v>
                </c:pt>
                <c:pt idx="207">
                  <c:v>40787</c:v>
                </c:pt>
                <c:pt idx="208">
                  <c:v>40817</c:v>
                </c:pt>
                <c:pt idx="209">
                  <c:v>40848</c:v>
                </c:pt>
                <c:pt idx="210">
                  <c:v>40878</c:v>
                </c:pt>
                <c:pt idx="211">
                  <c:v>40909</c:v>
                </c:pt>
                <c:pt idx="212">
                  <c:v>40940</c:v>
                </c:pt>
                <c:pt idx="213">
                  <c:v>40969</c:v>
                </c:pt>
                <c:pt idx="214">
                  <c:v>41000</c:v>
                </c:pt>
                <c:pt idx="215">
                  <c:v>41030</c:v>
                </c:pt>
                <c:pt idx="216">
                  <c:v>41061</c:v>
                </c:pt>
                <c:pt idx="217">
                  <c:v>41091</c:v>
                </c:pt>
                <c:pt idx="218">
                  <c:v>41122</c:v>
                </c:pt>
                <c:pt idx="219">
                  <c:v>41153</c:v>
                </c:pt>
                <c:pt idx="220">
                  <c:v>41183</c:v>
                </c:pt>
                <c:pt idx="221">
                  <c:v>41214</c:v>
                </c:pt>
                <c:pt idx="222">
                  <c:v>41244</c:v>
                </c:pt>
                <c:pt idx="223">
                  <c:v>41275</c:v>
                </c:pt>
                <c:pt idx="224">
                  <c:v>41306</c:v>
                </c:pt>
                <c:pt idx="225">
                  <c:v>41334</c:v>
                </c:pt>
                <c:pt idx="226">
                  <c:v>41365</c:v>
                </c:pt>
                <c:pt idx="227">
                  <c:v>41395</c:v>
                </c:pt>
                <c:pt idx="228">
                  <c:v>41426</c:v>
                </c:pt>
                <c:pt idx="229">
                  <c:v>41456</c:v>
                </c:pt>
                <c:pt idx="230">
                  <c:v>41487</c:v>
                </c:pt>
                <c:pt idx="231">
                  <c:v>41518</c:v>
                </c:pt>
                <c:pt idx="232">
                  <c:v>41548</c:v>
                </c:pt>
                <c:pt idx="233">
                  <c:v>41579</c:v>
                </c:pt>
                <c:pt idx="234">
                  <c:v>41609</c:v>
                </c:pt>
                <c:pt idx="235">
                  <c:v>41640</c:v>
                </c:pt>
                <c:pt idx="236">
                  <c:v>41671</c:v>
                </c:pt>
                <c:pt idx="237">
                  <c:v>41699</c:v>
                </c:pt>
                <c:pt idx="238">
                  <c:v>41730</c:v>
                </c:pt>
                <c:pt idx="239">
                  <c:v>41760</c:v>
                </c:pt>
                <c:pt idx="240">
                  <c:v>41791</c:v>
                </c:pt>
                <c:pt idx="241">
                  <c:v>41821</c:v>
                </c:pt>
                <c:pt idx="242">
                  <c:v>41852</c:v>
                </c:pt>
                <c:pt idx="243">
                  <c:v>41883</c:v>
                </c:pt>
                <c:pt idx="244">
                  <c:v>41913</c:v>
                </c:pt>
                <c:pt idx="245">
                  <c:v>41944</c:v>
                </c:pt>
                <c:pt idx="246">
                  <c:v>41974</c:v>
                </c:pt>
                <c:pt idx="247">
                  <c:v>42005</c:v>
                </c:pt>
                <c:pt idx="248">
                  <c:v>42036</c:v>
                </c:pt>
                <c:pt idx="249">
                  <c:v>42064</c:v>
                </c:pt>
                <c:pt idx="250">
                  <c:v>42095</c:v>
                </c:pt>
                <c:pt idx="251">
                  <c:v>42125</c:v>
                </c:pt>
                <c:pt idx="252">
                  <c:v>42156</c:v>
                </c:pt>
                <c:pt idx="253">
                  <c:v>42186</c:v>
                </c:pt>
                <c:pt idx="254">
                  <c:v>42217</c:v>
                </c:pt>
                <c:pt idx="255">
                  <c:v>42248</c:v>
                </c:pt>
                <c:pt idx="256">
                  <c:v>42278</c:v>
                </c:pt>
                <c:pt idx="257">
                  <c:v>42309</c:v>
                </c:pt>
                <c:pt idx="258">
                  <c:v>42339</c:v>
                </c:pt>
                <c:pt idx="259">
                  <c:v>42370</c:v>
                </c:pt>
                <c:pt idx="260">
                  <c:v>42401</c:v>
                </c:pt>
                <c:pt idx="261">
                  <c:v>42430</c:v>
                </c:pt>
                <c:pt idx="262">
                  <c:v>42461</c:v>
                </c:pt>
                <c:pt idx="263">
                  <c:v>42491</c:v>
                </c:pt>
                <c:pt idx="264">
                  <c:v>42522</c:v>
                </c:pt>
                <c:pt idx="265">
                  <c:v>42552</c:v>
                </c:pt>
                <c:pt idx="266">
                  <c:v>42583</c:v>
                </c:pt>
                <c:pt idx="267">
                  <c:v>42614</c:v>
                </c:pt>
                <c:pt idx="268">
                  <c:v>42644</c:v>
                </c:pt>
                <c:pt idx="269">
                  <c:v>42675</c:v>
                </c:pt>
              </c:numCache>
            </c:numRef>
          </c:cat>
          <c:val>
            <c:numRef>
              <c:f>fhl_pool!$AG$2:$AG$510</c:f>
              <c:numCache>
                <c:formatCode>General</c:formatCode>
                <c:ptCount val="509"/>
                <c:pt idx="0">
                  <c:v>145.22714241190499</c:v>
                </c:pt>
                <c:pt idx="1">
                  <c:v>142.93933441880901</c:v>
                </c:pt>
                <c:pt idx="2">
                  <c:v>136.982734237833</c:v>
                </c:pt>
                <c:pt idx="3">
                  <c:v>118.26681724606399</c:v>
                </c:pt>
                <c:pt idx="4">
                  <c:v>115.500464726109</c:v>
                </c:pt>
                <c:pt idx="5">
                  <c:v>113.555203409497</c:v>
                </c:pt>
                <c:pt idx="6">
                  <c:v>111.724101042027</c:v>
                </c:pt>
                <c:pt idx="7">
                  <c:v>109.998313813271</c:v>
                </c:pt>
                <c:pt idx="8">
                  <c:v>108.780107205902</c:v>
                </c:pt>
                <c:pt idx="9">
                  <c:v>107.69863796528701</c:v>
                </c:pt>
                <c:pt idx="10">
                  <c:v>106.56285531869101</c:v>
                </c:pt>
                <c:pt idx="11">
                  <c:v>105.759303756319</c:v>
                </c:pt>
                <c:pt idx="12">
                  <c:v>105.356295735144</c:v>
                </c:pt>
                <c:pt idx="13">
                  <c:v>105.11470912805299</c:v>
                </c:pt>
                <c:pt idx="14">
                  <c:v>106.153578166342</c:v>
                </c:pt>
                <c:pt idx="15">
                  <c:v>109.00335454113601</c:v>
                </c:pt>
                <c:pt idx="16">
                  <c:v>111.70004860990601</c:v>
                </c:pt>
                <c:pt idx="17">
                  <c:v>112.182615400253</c:v>
                </c:pt>
                <c:pt idx="18">
                  <c:v>112.258729580463</c:v>
                </c:pt>
                <c:pt idx="19">
                  <c:v>112.995012075003</c:v>
                </c:pt>
                <c:pt idx="20">
                  <c:v>115.455074241858</c:v>
                </c:pt>
                <c:pt idx="21">
                  <c:v>119.554078330637</c:v>
                </c:pt>
                <c:pt idx="22">
                  <c:v>124.223142270187</c:v>
                </c:pt>
                <c:pt idx="23">
                  <c:v>127.68056692537399</c:v>
                </c:pt>
                <c:pt idx="24">
                  <c:v>125.877133823458</c:v>
                </c:pt>
                <c:pt idx="25">
                  <c:v>122.965177395469</c:v>
                </c:pt>
                <c:pt idx="26">
                  <c:v>120.717816533806</c:v>
                </c:pt>
                <c:pt idx="27">
                  <c:v>117.980407450776</c:v>
                </c:pt>
                <c:pt idx="28">
                  <c:v>115.11080516480099</c:v>
                </c:pt>
                <c:pt idx="29">
                  <c:v>113.98107923073501</c:v>
                </c:pt>
                <c:pt idx="30">
                  <c:v>112.377098223855</c:v>
                </c:pt>
                <c:pt idx="31">
                  <c:v>111.728073542286</c:v>
                </c:pt>
                <c:pt idx="32">
                  <c:v>113.046566284851</c:v>
                </c:pt>
                <c:pt idx="33">
                  <c:v>106.811535064571</c:v>
                </c:pt>
                <c:pt idx="34">
                  <c:v>106.58156622012601</c:v>
                </c:pt>
                <c:pt idx="35">
                  <c:v>105.815777332387</c:v>
                </c:pt>
                <c:pt idx="36">
                  <c:v>105.604404917929</c:v>
                </c:pt>
                <c:pt idx="37">
                  <c:v>105.975002164592</c:v>
                </c:pt>
                <c:pt idx="38">
                  <c:v>107.373284139796</c:v>
                </c:pt>
                <c:pt idx="39">
                  <c:v>108.32287616411401</c:v>
                </c:pt>
                <c:pt idx="40">
                  <c:v>109.725811176973</c:v>
                </c:pt>
                <c:pt idx="41">
                  <c:v>111.151487790414</c:v>
                </c:pt>
                <c:pt idx="42">
                  <c:v>113.322066718155</c:v>
                </c:pt>
                <c:pt idx="43">
                  <c:v>115.713666005742</c:v>
                </c:pt>
                <c:pt idx="44">
                  <c:v>120.963903050448</c:v>
                </c:pt>
                <c:pt idx="45">
                  <c:v>124.748842364672</c:v>
                </c:pt>
                <c:pt idx="46">
                  <c:v>124.873654508049</c:v>
                </c:pt>
                <c:pt idx="47">
                  <c:v>123.768555160582</c:v>
                </c:pt>
                <c:pt idx="48">
                  <c:v>122.449490559195</c:v>
                </c:pt>
                <c:pt idx="49">
                  <c:v>122.619513214699</c:v>
                </c:pt>
                <c:pt idx="50">
                  <c:v>122.937958270274</c:v>
                </c:pt>
                <c:pt idx="51">
                  <c:v>124.36769757394001</c:v>
                </c:pt>
                <c:pt idx="52">
                  <c:v>128.09009301328601</c:v>
                </c:pt>
                <c:pt idx="53">
                  <c:v>130.00716538370401</c:v>
                </c:pt>
                <c:pt idx="54">
                  <c:v>128.85590587937099</c:v>
                </c:pt>
                <c:pt idx="55">
                  <c:v>128.83128881637899</c:v>
                </c:pt>
                <c:pt idx="56">
                  <c:v>127.593900116656</c:v>
                </c:pt>
                <c:pt idx="57">
                  <c:v>126.133819748504</c:v>
                </c:pt>
                <c:pt idx="58">
                  <c:v>122.767130407889</c:v>
                </c:pt>
                <c:pt idx="59">
                  <c:v>120.586085304837</c:v>
                </c:pt>
                <c:pt idx="60">
                  <c:v>117.19438650965</c:v>
                </c:pt>
                <c:pt idx="61">
                  <c:v>113.397929777839</c:v>
                </c:pt>
                <c:pt idx="62">
                  <c:v>109.932746106251</c:v>
                </c:pt>
                <c:pt idx="63">
                  <c:v>106.60845530112999</c:v>
                </c:pt>
                <c:pt idx="64">
                  <c:v>104.099319229911</c:v>
                </c:pt>
                <c:pt idx="65">
                  <c:v>102.32739854203</c:v>
                </c:pt>
                <c:pt idx="66">
                  <c:v>101.113443512465</c:v>
                </c:pt>
                <c:pt idx="67">
                  <c:v>99.994290318529394</c:v>
                </c:pt>
                <c:pt idx="68">
                  <c:v>97.791357181578704</c:v>
                </c:pt>
                <c:pt idx="69">
                  <c:v>96.589745847264695</c:v>
                </c:pt>
                <c:pt idx="70">
                  <c:v>95.419778229635099</c:v>
                </c:pt>
                <c:pt idx="71">
                  <c:v>94.501844203616201</c:v>
                </c:pt>
                <c:pt idx="72">
                  <c:v>92.577035500187307</c:v>
                </c:pt>
                <c:pt idx="73">
                  <c:v>91.0828057942865</c:v>
                </c:pt>
                <c:pt idx="74">
                  <c:v>89.936120400100407</c:v>
                </c:pt>
                <c:pt idx="75">
                  <c:v>88.422669315273893</c:v>
                </c:pt>
                <c:pt idx="76">
                  <c:v>87.097977481442499</c:v>
                </c:pt>
                <c:pt idx="77">
                  <c:v>86.131850997725493</c:v>
                </c:pt>
                <c:pt idx="78">
                  <c:v>85.510156601519995</c:v>
                </c:pt>
                <c:pt idx="79">
                  <c:v>86.284664559545902</c:v>
                </c:pt>
                <c:pt idx="80">
                  <c:v>89.415505640199996</c:v>
                </c:pt>
                <c:pt idx="81">
                  <c:v>92.253571252137405</c:v>
                </c:pt>
                <c:pt idx="82">
                  <c:v>95.321891672072496</c:v>
                </c:pt>
                <c:pt idx="83">
                  <c:v>96.166104538294405</c:v>
                </c:pt>
                <c:pt idx="84">
                  <c:v>95.376088610164999</c:v>
                </c:pt>
                <c:pt idx="85">
                  <c:v>93.665263081747696</c:v>
                </c:pt>
                <c:pt idx="86">
                  <c:v>91.753493775179194</c:v>
                </c:pt>
                <c:pt idx="87">
                  <c:v>91.933215746564599</c:v>
                </c:pt>
                <c:pt idx="88">
                  <c:v>92.681527955357893</c:v>
                </c:pt>
                <c:pt idx="89">
                  <c:v>95.583271914520495</c:v>
                </c:pt>
                <c:pt idx="90">
                  <c:v>97.383150120363496</c:v>
                </c:pt>
                <c:pt idx="91">
                  <c:v>95.226516014155607</c:v>
                </c:pt>
                <c:pt idx="92">
                  <c:v>93.068807682921801</c:v>
                </c:pt>
                <c:pt idx="93">
                  <c:v>91.534247192069202</c:v>
                </c:pt>
                <c:pt idx="94">
                  <c:v>89.079077337619694</c:v>
                </c:pt>
                <c:pt idx="95">
                  <c:v>87.051781840592099</c:v>
                </c:pt>
                <c:pt idx="96">
                  <c:v>86.940415052869795</c:v>
                </c:pt>
                <c:pt idx="97">
                  <c:v>88.043154730294802</c:v>
                </c:pt>
                <c:pt idx="98">
                  <c:v>90.620033285779698</c:v>
                </c:pt>
                <c:pt idx="99">
                  <c:v>94.679489085049994</c:v>
                </c:pt>
                <c:pt idx="100">
                  <c:v>100.37007951502</c:v>
                </c:pt>
                <c:pt idx="101">
                  <c:v>104.46508388162</c:v>
                </c:pt>
                <c:pt idx="102">
                  <c:v>108.500211895855</c:v>
                </c:pt>
                <c:pt idx="103">
                  <c:v>111.005720780335</c:v>
                </c:pt>
                <c:pt idx="104">
                  <c:v>116.457596474494</c:v>
                </c:pt>
                <c:pt idx="105">
                  <c:v>122.227755574323</c:v>
                </c:pt>
                <c:pt idx="106">
                  <c:v>126.6820220497</c:v>
                </c:pt>
                <c:pt idx="107">
                  <c:v>130.82297875520899</c:v>
                </c:pt>
                <c:pt idx="108">
                  <c:v>137.625399795753</c:v>
                </c:pt>
                <c:pt idx="109">
                  <c:v>147.152280193255</c:v>
                </c:pt>
                <c:pt idx="110">
                  <c:v>147.60721163728499</c:v>
                </c:pt>
                <c:pt idx="111">
                  <c:v>139.80749569965201</c:v>
                </c:pt>
                <c:pt idx="112">
                  <c:v>133.08402351159799</c:v>
                </c:pt>
                <c:pt idx="113">
                  <c:v>126.76690686134801</c:v>
                </c:pt>
                <c:pt idx="114">
                  <c:v>123.824530761714</c:v>
                </c:pt>
                <c:pt idx="115">
                  <c:v>122.144296437951</c:v>
                </c:pt>
                <c:pt idx="116">
                  <c:v>122.626887583596</c:v>
                </c:pt>
                <c:pt idx="117">
                  <c:v>124.653866796578</c:v>
                </c:pt>
                <c:pt idx="118">
                  <c:v>127.67003499027101</c:v>
                </c:pt>
                <c:pt idx="119">
                  <c:v>125.53852491660901</c:v>
                </c:pt>
                <c:pt idx="120">
                  <c:v>121.560823775964</c:v>
                </c:pt>
                <c:pt idx="121">
                  <c:v>117.168668121614</c:v>
                </c:pt>
                <c:pt idx="122">
                  <c:v>114.739397412041</c:v>
                </c:pt>
                <c:pt idx="123">
                  <c:v>114.040394175806</c:v>
                </c:pt>
                <c:pt idx="124">
                  <c:v>114.07430181275799</c:v>
                </c:pt>
                <c:pt idx="125">
                  <c:v>114.354005937458</c:v>
                </c:pt>
                <c:pt idx="126">
                  <c:v>114.805482407273</c:v>
                </c:pt>
                <c:pt idx="127">
                  <c:v>114.21008398583101</c:v>
                </c:pt>
                <c:pt idx="128">
                  <c:v>114.09171786622299</c:v>
                </c:pt>
                <c:pt idx="129">
                  <c:v>115.37215190294199</c:v>
                </c:pt>
                <c:pt idx="130">
                  <c:v>114.282427550687</c:v>
                </c:pt>
                <c:pt idx="131">
                  <c:v>112.495996448084</c:v>
                </c:pt>
                <c:pt idx="132">
                  <c:v>111.64425253102</c:v>
                </c:pt>
                <c:pt idx="133">
                  <c:v>111.903294066839</c:v>
                </c:pt>
                <c:pt idx="134">
                  <c:v>111.387017735814</c:v>
                </c:pt>
                <c:pt idx="135">
                  <c:v>109.48667645662201</c:v>
                </c:pt>
                <c:pt idx="136">
                  <c:v>106.66834889307199</c:v>
                </c:pt>
                <c:pt idx="137">
                  <c:v>103.495666124509</c:v>
                </c:pt>
                <c:pt idx="138">
                  <c:v>100.03699023495599</c:v>
                </c:pt>
                <c:pt idx="139">
                  <c:v>96.929749892631307</c:v>
                </c:pt>
                <c:pt idx="140">
                  <c:v>94.511898082201597</c:v>
                </c:pt>
                <c:pt idx="141">
                  <c:v>92.6124450304156</c:v>
                </c:pt>
                <c:pt idx="142">
                  <c:v>90.708118089139802</c:v>
                </c:pt>
                <c:pt idx="143">
                  <c:v>88.390080019625401</c:v>
                </c:pt>
                <c:pt idx="144">
                  <c:v>86.371302231219005</c:v>
                </c:pt>
                <c:pt idx="145">
                  <c:v>84.149202088753</c:v>
                </c:pt>
                <c:pt idx="146">
                  <c:v>81.858411901879094</c:v>
                </c:pt>
                <c:pt idx="147">
                  <c:v>81.626861546278306</c:v>
                </c:pt>
                <c:pt idx="148">
                  <c:v>80.343387193599995</c:v>
                </c:pt>
                <c:pt idx="149">
                  <c:v>79.711594520123299</c:v>
                </c:pt>
                <c:pt idx="150">
                  <c:v>79.554388581580199</c:v>
                </c:pt>
                <c:pt idx="151">
                  <c:v>79.403999680220295</c:v>
                </c:pt>
                <c:pt idx="152">
                  <c:v>79.325698316596103</c:v>
                </c:pt>
                <c:pt idx="153">
                  <c:v>78.770778222774695</c:v>
                </c:pt>
                <c:pt idx="154">
                  <c:v>78.820209581965798</c:v>
                </c:pt>
                <c:pt idx="155">
                  <c:v>78.908112932278797</c:v>
                </c:pt>
                <c:pt idx="156">
                  <c:v>78.445092859628105</c:v>
                </c:pt>
                <c:pt idx="157">
                  <c:v>76.897982892668793</c:v>
                </c:pt>
                <c:pt idx="158">
                  <c:v>75.480985543243193</c:v>
                </c:pt>
                <c:pt idx="159">
                  <c:v>74.101103790798803</c:v>
                </c:pt>
                <c:pt idx="160">
                  <c:v>73.141335891848598</c:v>
                </c:pt>
                <c:pt idx="161">
                  <c:v>72.971966129973495</c:v>
                </c:pt>
                <c:pt idx="162">
                  <c:v>73.034395136915194</c:v>
                </c:pt>
                <c:pt idx="163">
                  <c:v>73.927500603899503</c:v>
                </c:pt>
                <c:pt idx="164">
                  <c:v>77.529248505587404</c:v>
                </c:pt>
                <c:pt idx="165">
                  <c:v>78.536478303618196</c:v>
                </c:pt>
                <c:pt idx="166">
                  <c:v>79.399225455212701</c:v>
                </c:pt>
                <c:pt idx="167">
                  <c:v>80.245144027124297</c:v>
                </c:pt>
                <c:pt idx="168">
                  <c:v>80.035723378384603</c:v>
                </c:pt>
                <c:pt idx="169">
                  <c:v>78.8975493090756</c:v>
                </c:pt>
                <c:pt idx="170">
                  <c:v>78.605814103648996</c:v>
                </c:pt>
                <c:pt idx="171">
                  <c:v>77.837886555896603</c:v>
                </c:pt>
                <c:pt idx="172">
                  <c:v>78.429564400749797</c:v>
                </c:pt>
                <c:pt idx="173">
                  <c:v>78.876855802182405</c:v>
                </c:pt>
                <c:pt idx="174">
                  <c:v>79.284068002090095</c:v>
                </c:pt>
                <c:pt idx="175">
                  <c:v>85.608324574413601</c:v>
                </c:pt>
                <c:pt idx="176">
                  <c:v>95.200529415360506</c:v>
                </c:pt>
                <c:pt idx="177">
                  <c:v>102.31471373420599</c:v>
                </c:pt>
                <c:pt idx="178">
                  <c:v>108.847706227868</c:v>
                </c:pt>
                <c:pt idx="179">
                  <c:v>117.80742443313601</c:v>
                </c:pt>
                <c:pt idx="180">
                  <c:v>134.67127902460001</c:v>
                </c:pt>
                <c:pt idx="181">
                  <c:v>139.57290022888401</c:v>
                </c:pt>
                <c:pt idx="182">
                  <c:v>148.23432581576699</c:v>
                </c:pt>
                <c:pt idx="183">
                  <c:v>156.38448064298501</c:v>
                </c:pt>
                <c:pt idx="184">
                  <c:v>167.86973595464099</c:v>
                </c:pt>
                <c:pt idx="185">
                  <c:v>180.92905535228999</c:v>
                </c:pt>
                <c:pt idx="186">
                  <c:v>194.901663695781</c:v>
                </c:pt>
                <c:pt idx="187">
                  <c:v>206.30192897398601</c:v>
                </c:pt>
                <c:pt idx="188">
                  <c:v>216.43023429463</c:v>
                </c:pt>
                <c:pt idx="189">
                  <c:v>226.69528927584599</c:v>
                </c:pt>
                <c:pt idx="190">
                  <c:v>230.86922382364099</c:v>
                </c:pt>
                <c:pt idx="191">
                  <c:v>238.41875111459001</c:v>
                </c:pt>
                <c:pt idx="192">
                  <c:v>248.94212149262299</c:v>
                </c:pt>
                <c:pt idx="193">
                  <c:v>261.727658039669</c:v>
                </c:pt>
                <c:pt idx="194">
                  <c:v>277.42506919795898</c:v>
                </c:pt>
                <c:pt idx="195">
                  <c:v>295.87878156334602</c:v>
                </c:pt>
                <c:pt idx="196">
                  <c:v>313.89928910530398</c:v>
                </c:pt>
                <c:pt idx="197">
                  <c:v>333.68759744787098</c:v>
                </c:pt>
                <c:pt idx="198">
                  <c:v>350.53772033319598</c:v>
                </c:pt>
                <c:pt idx="199">
                  <c:v>358.426827953832</c:v>
                </c:pt>
                <c:pt idx="200">
                  <c:v>364.46715383647501</c:v>
                </c:pt>
                <c:pt idx="201">
                  <c:v>367.08195062699002</c:v>
                </c:pt>
                <c:pt idx="202">
                  <c:v>374.54973485581098</c:v>
                </c:pt>
                <c:pt idx="203">
                  <c:v>380.81887777678702</c:v>
                </c:pt>
                <c:pt idx="204">
                  <c:v>390.56468045331599</c:v>
                </c:pt>
                <c:pt idx="205">
                  <c:v>402.10195514477698</c:v>
                </c:pt>
                <c:pt idx="206">
                  <c:v>413.59174371674499</c:v>
                </c:pt>
                <c:pt idx="207">
                  <c:v>429.32773990664299</c:v>
                </c:pt>
                <c:pt idx="208">
                  <c:v>448.215981072273</c:v>
                </c:pt>
                <c:pt idx="209">
                  <c:v>467.54545832834202</c:v>
                </c:pt>
                <c:pt idx="210">
                  <c:v>488.919415136277</c:v>
                </c:pt>
                <c:pt idx="211">
                  <c:v>512.17431205599598</c:v>
                </c:pt>
                <c:pt idx="212">
                  <c:v>531.91385767459803</c:v>
                </c:pt>
                <c:pt idx="213">
                  <c:v>547.88976554188605</c:v>
                </c:pt>
                <c:pt idx="214">
                  <c:v>563.96306647850497</c:v>
                </c:pt>
                <c:pt idx="215">
                  <c:v>580.99856875094997</c:v>
                </c:pt>
                <c:pt idx="216">
                  <c:v>600.71688944682899</c:v>
                </c:pt>
                <c:pt idx="217">
                  <c:v>616.00009083640305</c:v>
                </c:pt>
                <c:pt idx="218">
                  <c:v>638.03791882340602</c:v>
                </c:pt>
                <c:pt idx="219">
                  <c:v>655.21551546296905</c:v>
                </c:pt>
                <c:pt idx="220">
                  <c:v>676.226498477223</c:v>
                </c:pt>
                <c:pt idx="221">
                  <c:v>693.54144260590795</c:v>
                </c:pt>
                <c:pt idx="222">
                  <c:v>704.73243867024996</c:v>
                </c:pt>
                <c:pt idx="223">
                  <c:v>726.61925535578303</c:v>
                </c:pt>
                <c:pt idx="224">
                  <c:v>739.06007603560397</c:v>
                </c:pt>
                <c:pt idx="225">
                  <c:v>745.05382132692102</c:v>
                </c:pt>
                <c:pt idx="226">
                  <c:v>743.739762592494</c:v>
                </c:pt>
                <c:pt idx="227">
                  <c:v>744.67121658412304</c:v>
                </c:pt>
                <c:pt idx="228">
                  <c:v>745.610924066454</c:v>
                </c:pt>
                <c:pt idx="229">
                  <c:v>731.27187367586896</c:v>
                </c:pt>
                <c:pt idx="230">
                  <c:v>716.16864058289502</c:v>
                </c:pt>
                <c:pt idx="231">
                  <c:v>698.05641702828495</c:v>
                </c:pt>
                <c:pt idx="232">
                  <c:v>685.36414873509</c:v>
                </c:pt>
                <c:pt idx="233">
                  <c:v>680.07648772960601</c:v>
                </c:pt>
                <c:pt idx="234">
                  <c:v>674.40781469614603</c:v>
                </c:pt>
                <c:pt idx="235">
                  <c:v>667.01982260955003</c:v>
                </c:pt>
                <c:pt idx="236">
                  <c:v>659.56092025686905</c:v>
                </c:pt>
                <c:pt idx="237">
                  <c:v>655.34296464728595</c:v>
                </c:pt>
                <c:pt idx="238">
                  <c:v>653.58111716835697</c:v>
                </c:pt>
                <c:pt idx="239">
                  <c:v>649.68410469425601</c:v>
                </c:pt>
                <c:pt idx="240">
                  <c:v>647.879089848082</c:v>
                </c:pt>
                <c:pt idx="241">
                  <c:v>645.210909291711</c:v>
                </c:pt>
                <c:pt idx="242">
                  <c:v>642.76902569574804</c:v>
                </c:pt>
                <c:pt idx="243">
                  <c:v>637.23237313323</c:v>
                </c:pt>
                <c:pt idx="244">
                  <c:v>632.57356396276498</c:v>
                </c:pt>
                <c:pt idx="245">
                  <c:v>629.24248594360597</c:v>
                </c:pt>
                <c:pt idx="246">
                  <c:v>627.175782626515</c:v>
                </c:pt>
                <c:pt idx="247">
                  <c:v>630.09389627889698</c:v>
                </c:pt>
                <c:pt idx="248">
                  <c:v>635.82888644838602</c:v>
                </c:pt>
                <c:pt idx="249">
                  <c:v>639.16127896912496</c:v>
                </c:pt>
                <c:pt idx="250">
                  <c:v>644.82146556106204</c:v>
                </c:pt>
                <c:pt idx="251">
                  <c:v>646.55646301511797</c:v>
                </c:pt>
                <c:pt idx="252">
                  <c:v>643.70062543102699</c:v>
                </c:pt>
                <c:pt idx="253">
                  <c:v>636.906754672788</c:v>
                </c:pt>
                <c:pt idx="254">
                  <c:v>629.45496636714699</c:v>
                </c:pt>
                <c:pt idx="255">
                  <c:v>626.09512299882704</c:v>
                </c:pt>
                <c:pt idx="256">
                  <c:v>621.97046728061696</c:v>
                </c:pt>
                <c:pt idx="257">
                  <c:v>621.01821855342905</c:v>
                </c:pt>
                <c:pt idx="258">
                  <c:v>618.69121121969295</c:v>
                </c:pt>
                <c:pt idx="259">
                  <c:v>617.13466274150096</c:v>
                </c:pt>
                <c:pt idx="260">
                  <c:v>616.50526343668798</c:v>
                </c:pt>
                <c:pt idx="261">
                  <c:v>621.40523994562602</c:v>
                </c:pt>
                <c:pt idx="262">
                  <c:v>625.99994313622506</c:v>
                </c:pt>
                <c:pt idx="263">
                  <c:v>631.38287267109195</c:v>
                </c:pt>
                <c:pt idx="264">
                  <c:v>634.56144491735404</c:v>
                </c:pt>
                <c:pt idx="265">
                  <c:v>637.89670513216197</c:v>
                </c:pt>
                <c:pt idx="266">
                  <c:v>642.05309637272796</c:v>
                </c:pt>
                <c:pt idx="267">
                  <c:v>645.20654956741203</c:v>
                </c:pt>
                <c:pt idx="268">
                  <c:v>646.56014305045198</c:v>
                </c:pt>
                <c:pt idx="269">
                  <c:v>650.15620133660104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2706176"/>
        <c:axId val="443035648"/>
      </c:lineChart>
      <c:dateAx>
        <c:axId val="44270617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43035648"/>
        <c:crosses val="autoZero"/>
        <c:auto val="1"/>
        <c:lblOffset val="100"/>
        <c:baseTimeUnit val="months"/>
      </c:dateAx>
      <c:valAx>
        <c:axId val="44303564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270617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fhl_pool!$AJ$1</c:f>
              <c:strCache>
                <c:ptCount val="1"/>
                <c:pt idx="0">
                  <c:v>v2.00</c:v>
                </c:pt>
              </c:strCache>
            </c:strRef>
          </c:tx>
          <c:marker>
            <c:symbol val="none"/>
          </c:marker>
          <c:cat>
            <c:numRef>
              <c:f>fhl_pool!$AI$2:$AI$510</c:f>
              <c:numCache>
                <c:formatCode>m/d/yyyy</c:formatCode>
                <c:ptCount val="509"/>
                <c:pt idx="0">
                  <c:v>40148</c:v>
                </c:pt>
                <c:pt idx="1">
                  <c:v>40179</c:v>
                </c:pt>
                <c:pt idx="2">
                  <c:v>40210</c:v>
                </c:pt>
                <c:pt idx="3">
                  <c:v>40238</c:v>
                </c:pt>
                <c:pt idx="4">
                  <c:v>40269</c:v>
                </c:pt>
                <c:pt idx="5">
                  <c:v>40299</c:v>
                </c:pt>
                <c:pt idx="6">
                  <c:v>40330</c:v>
                </c:pt>
                <c:pt idx="7">
                  <c:v>40360</c:v>
                </c:pt>
                <c:pt idx="8">
                  <c:v>40391</c:v>
                </c:pt>
                <c:pt idx="9">
                  <c:v>40422</c:v>
                </c:pt>
                <c:pt idx="10">
                  <c:v>40452</c:v>
                </c:pt>
                <c:pt idx="11">
                  <c:v>40483</c:v>
                </c:pt>
                <c:pt idx="12">
                  <c:v>40513</c:v>
                </c:pt>
                <c:pt idx="13">
                  <c:v>40544</c:v>
                </c:pt>
                <c:pt idx="14">
                  <c:v>40575</c:v>
                </c:pt>
                <c:pt idx="15">
                  <c:v>40603</c:v>
                </c:pt>
                <c:pt idx="16">
                  <c:v>40634</c:v>
                </c:pt>
                <c:pt idx="17">
                  <c:v>40664</c:v>
                </c:pt>
                <c:pt idx="18">
                  <c:v>40695</c:v>
                </c:pt>
                <c:pt idx="19">
                  <c:v>40725</c:v>
                </c:pt>
                <c:pt idx="20">
                  <c:v>40756</c:v>
                </c:pt>
                <c:pt idx="21">
                  <c:v>40787</c:v>
                </c:pt>
                <c:pt idx="22">
                  <c:v>40817</c:v>
                </c:pt>
                <c:pt idx="23">
                  <c:v>40848</c:v>
                </c:pt>
                <c:pt idx="24">
                  <c:v>40878</c:v>
                </c:pt>
                <c:pt idx="25">
                  <c:v>40909</c:v>
                </c:pt>
                <c:pt idx="26">
                  <c:v>40940</c:v>
                </c:pt>
                <c:pt idx="27">
                  <c:v>40969</c:v>
                </c:pt>
                <c:pt idx="28">
                  <c:v>41000</c:v>
                </c:pt>
                <c:pt idx="29">
                  <c:v>41030</c:v>
                </c:pt>
                <c:pt idx="30">
                  <c:v>41061</c:v>
                </c:pt>
                <c:pt idx="31">
                  <c:v>41091</c:v>
                </c:pt>
                <c:pt idx="32">
                  <c:v>41122</c:v>
                </c:pt>
                <c:pt idx="33">
                  <c:v>41153</c:v>
                </c:pt>
                <c:pt idx="34">
                  <c:v>41183</c:v>
                </c:pt>
                <c:pt idx="35">
                  <c:v>41214</c:v>
                </c:pt>
                <c:pt idx="36">
                  <c:v>41244</c:v>
                </c:pt>
                <c:pt idx="37">
                  <c:v>41275</c:v>
                </c:pt>
                <c:pt idx="38">
                  <c:v>41306</c:v>
                </c:pt>
                <c:pt idx="39">
                  <c:v>41334</c:v>
                </c:pt>
                <c:pt idx="40">
                  <c:v>41365</c:v>
                </c:pt>
                <c:pt idx="41">
                  <c:v>41395</c:v>
                </c:pt>
                <c:pt idx="42">
                  <c:v>41426</c:v>
                </c:pt>
                <c:pt idx="43">
                  <c:v>41456</c:v>
                </c:pt>
                <c:pt idx="44">
                  <c:v>41487</c:v>
                </c:pt>
                <c:pt idx="45">
                  <c:v>41518</c:v>
                </c:pt>
                <c:pt idx="46">
                  <c:v>41548</c:v>
                </c:pt>
                <c:pt idx="47">
                  <c:v>41579</c:v>
                </c:pt>
                <c:pt idx="48">
                  <c:v>41609</c:v>
                </c:pt>
                <c:pt idx="49">
                  <c:v>41640</c:v>
                </c:pt>
                <c:pt idx="50">
                  <c:v>41671</c:v>
                </c:pt>
                <c:pt idx="51">
                  <c:v>41699</c:v>
                </c:pt>
                <c:pt idx="52">
                  <c:v>41730</c:v>
                </c:pt>
                <c:pt idx="53">
                  <c:v>41760</c:v>
                </c:pt>
                <c:pt idx="54">
                  <c:v>41791</c:v>
                </c:pt>
                <c:pt idx="55">
                  <c:v>41821</c:v>
                </c:pt>
                <c:pt idx="56">
                  <c:v>41852</c:v>
                </c:pt>
                <c:pt idx="57">
                  <c:v>41883</c:v>
                </c:pt>
                <c:pt idx="58">
                  <c:v>41913</c:v>
                </c:pt>
                <c:pt idx="59">
                  <c:v>41944</c:v>
                </c:pt>
                <c:pt idx="60">
                  <c:v>41974</c:v>
                </c:pt>
                <c:pt idx="61">
                  <c:v>42005</c:v>
                </c:pt>
                <c:pt idx="62">
                  <c:v>42036</c:v>
                </c:pt>
                <c:pt idx="63">
                  <c:v>42064</c:v>
                </c:pt>
                <c:pt idx="64">
                  <c:v>42095</c:v>
                </c:pt>
                <c:pt idx="65">
                  <c:v>42125</c:v>
                </c:pt>
                <c:pt idx="66">
                  <c:v>42156</c:v>
                </c:pt>
                <c:pt idx="67">
                  <c:v>42186</c:v>
                </c:pt>
                <c:pt idx="68">
                  <c:v>42217</c:v>
                </c:pt>
                <c:pt idx="69">
                  <c:v>42248</c:v>
                </c:pt>
                <c:pt idx="70">
                  <c:v>42278</c:v>
                </c:pt>
                <c:pt idx="71">
                  <c:v>42309</c:v>
                </c:pt>
                <c:pt idx="72">
                  <c:v>42339</c:v>
                </c:pt>
                <c:pt idx="73">
                  <c:v>42370</c:v>
                </c:pt>
                <c:pt idx="74">
                  <c:v>42401</c:v>
                </c:pt>
                <c:pt idx="75">
                  <c:v>42430</c:v>
                </c:pt>
                <c:pt idx="76">
                  <c:v>42461</c:v>
                </c:pt>
                <c:pt idx="77">
                  <c:v>42491</c:v>
                </c:pt>
                <c:pt idx="78">
                  <c:v>42522</c:v>
                </c:pt>
                <c:pt idx="79">
                  <c:v>42552</c:v>
                </c:pt>
                <c:pt idx="80">
                  <c:v>42583</c:v>
                </c:pt>
                <c:pt idx="81">
                  <c:v>42614</c:v>
                </c:pt>
                <c:pt idx="82">
                  <c:v>42644</c:v>
                </c:pt>
                <c:pt idx="83">
                  <c:v>42675</c:v>
                </c:pt>
              </c:numCache>
            </c:numRef>
          </c:cat>
          <c:val>
            <c:numRef>
              <c:f>fhl_pool!$AJ$2:$AJ$510</c:f>
              <c:numCache>
                <c:formatCode>General</c:formatCode>
                <c:ptCount val="509"/>
                <c:pt idx="0">
                  <c:v>0</c:v>
                </c:pt>
                <c:pt idx="1">
                  <c:v>4.9101575475738004</c:v>
                </c:pt>
                <c:pt idx="2">
                  <c:v>9.7749711690498096</c:v>
                </c:pt>
                <c:pt idx="3">
                  <c:v>11.885009456029699</c:v>
                </c:pt>
                <c:pt idx="4">
                  <c:v>13.567566757186</c:v>
                </c:pt>
                <c:pt idx="5">
                  <c:v>13.8387655962221</c:v>
                </c:pt>
                <c:pt idx="6">
                  <c:v>13.9774289139351</c:v>
                </c:pt>
                <c:pt idx="7">
                  <c:v>14.739431887865999</c:v>
                </c:pt>
                <c:pt idx="8">
                  <c:v>15.5872725689958</c:v>
                </c:pt>
                <c:pt idx="9">
                  <c:v>14.3906513512242</c:v>
                </c:pt>
                <c:pt idx="10">
                  <c:v>13.048453579782199</c:v>
                </c:pt>
                <c:pt idx="11">
                  <c:v>12.410375187935401</c:v>
                </c:pt>
                <c:pt idx="12">
                  <c:v>28.4069798540588</c:v>
                </c:pt>
                <c:pt idx="13">
                  <c:v>25.2412916665794</c:v>
                </c:pt>
                <c:pt idx="14">
                  <c:v>22.604925290555901</c:v>
                </c:pt>
                <c:pt idx="15">
                  <c:v>19.403535571222498</c:v>
                </c:pt>
                <c:pt idx="16">
                  <c:v>16.854083761241899</c:v>
                </c:pt>
                <c:pt idx="17">
                  <c:v>15.4357134360333</c:v>
                </c:pt>
                <c:pt idx="18">
                  <c:v>14.6147529214412</c:v>
                </c:pt>
                <c:pt idx="19">
                  <c:v>13.9428627918183</c:v>
                </c:pt>
                <c:pt idx="20">
                  <c:v>13.553947929827601</c:v>
                </c:pt>
                <c:pt idx="21">
                  <c:v>12.940698116902899</c:v>
                </c:pt>
                <c:pt idx="22">
                  <c:v>12.496094051763199</c:v>
                </c:pt>
                <c:pt idx="23">
                  <c:v>12.124983332422399</c:v>
                </c:pt>
                <c:pt idx="24">
                  <c:v>11.7867357001497</c:v>
                </c:pt>
                <c:pt idx="25">
                  <c:v>11.680142291010201</c:v>
                </c:pt>
                <c:pt idx="26">
                  <c:v>11.8482168904465</c:v>
                </c:pt>
                <c:pt idx="27">
                  <c:v>11.433356919226901</c:v>
                </c:pt>
                <c:pt idx="28">
                  <c:v>10.477260317991099</c:v>
                </c:pt>
                <c:pt idx="29">
                  <c:v>9.6782593393960905</c:v>
                </c:pt>
                <c:pt idx="30">
                  <c:v>9.3168821806495199</c:v>
                </c:pt>
                <c:pt idx="31">
                  <c:v>11.1506027427496</c:v>
                </c:pt>
                <c:pt idx="32">
                  <c:v>11.0996924141016</c:v>
                </c:pt>
                <c:pt idx="33">
                  <c:v>11.1201143188073</c:v>
                </c:pt>
                <c:pt idx="34">
                  <c:v>11.2276921834245</c:v>
                </c:pt>
                <c:pt idx="35">
                  <c:v>11.670048504713099</c:v>
                </c:pt>
                <c:pt idx="36">
                  <c:v>12.171441481452399</c:v>
                </c:pt>
                <c:pt idx="37">
                  <c:v>12.8433962368275</c:v>
                </c:pt>
                <c:pt idx="38">
                  <c:v>13.7160348564295</c:v>
                </c:pt>
                <c:pt idx="39">
                  <c:v>14.4573957343503</c:v>
                </c:pt>
                <c:pt idx="40">
                  <c:v>18.644694986992299</c:v>
                </c:pt>
                <c:pt idx="41">
                  <c:v>20.1596377921644</c:v>
                </c:pt>
                <c:pt idx="42">
                  <c:v>22.052160718516301</c:v>
                </c:pt>
                <c:pt idx="43">
                  <c:v>22.366702545936999</c:v>
                </c:pt>
                <c:pt idx="44">
                  <c:v>22.310220851696201</c:v>
                </c:pt>
                <c:pt idx="45">
                  <c:v>22.282471229704399</c:v>
                </c:pt>
                <c:pt idx="46">
                  <c:v>22.314512778277301</c:v>
                </c:pt>
                <c:pt idx="47">
                  <c:v>23.171148707512302</c:v>
                </c:pt>
                <c:pt idx="48">
                  <c:v>25.1821082855406</c:v>
                </c:pt>
                <c:pt idx="49">
                  <c:v>25.528937634929701</c:v>
                </c:pt>
                <c:pt idx="50">
                  <c:v>25.8721270851496</c:v>
                </c:pt>
                <c:pt idx="51">
                  <c:v>26.5593554467643</c:v>
                </c:pt>
                <c:pt idx="52">
                  <c:v>27.2455544825497</c:v>
                </c:pt>
                <c:pt idx="53">
                  <c:v>28.090606167894201</c:v>
                </c:pt>
                <c:pt idx="54">
                  <c:v>29.659581908848001</c:v>
                </c:pt>
                <c:pt idx="55">
                  <c:v>31.409324347051001</c:v>
                </c:pt>
                <c:pt idx="56">
                  <c:v>33.316267605425601</c:v>
                </c:pt>
                <c:pt idx="57">
                  <c:v>35.384918902620598</c:v>
                </c:pt>
                <c:pt idx="58">
                  <c:v>37.309648789492599</c:v>
                </c:pt>
                <c:pt idx="59">
                  <c:v>39.766729639748</c:v>
                </c:pt>
                <c:pt idx="60">
                  <c:v>42.387614649660499</c:v>
                </c:pt>
                <c:pt idx="61">
                  <c:v>46.3099687411543</c:v>
                </c:pt>
                <c:pt idx="62">
                  <c:v>52.373224350536901</c:v>
                </c:pt>
                <c:pt idx="63">
                  <c:v>58.299268613102001</c:v>
                </c:pt>
                <c:pt idx="64">
                  <c:v>64.069724948031705</c:v>
                </c:pt>
                <c:pt idx="65">
                  <c:v>70.985030197913602</c:v>
                </c:pt>
                <c:pt idx="66">
                  <c:v>76.706867342544797</c:v>
                </c:pt>
                <c:pt idx="67">
                  <c:v>81.263811608769004</c:v>
                </c:pt>
                <c:pt idx="68">
                  <c:v>85.242041140274694</c:v>
                </c:pt>
                <c:pt idx="69">
                  <c:v>91.078579102985699</c:v>
                </c:pt>
                <c:pt idx="70">
                  <c:v>97.063138516555895</c:v>
                </c:pt>
                <c:pt idx="71">
                  <c:v>104.305441499149</c:v>
                </c:pt>
                <c:pt idx="72">
                  <c:v>109.791985074568</c:v>
                </c:pt>
                <c:pt idx="73">
                  <c:v>115.35749610512001</c:v>
                </c:pt>
                <c:pt idx="74">
                  <c:v>121.67850664517201</c:v>
                </c:pt>
                <c:pt idx="75">
                  <c:v>131.22804906668199</c:v>
                </c:pt>
                <c:pt idx="76">
                  <c:v>142.430999768324</c:v>
                </c:pt>
                <c:pt idx="77">
                  <c:v>154.51196260111499</c:v>
                </c:pt>
                <c:pt idx="78">
                  <c:v>166.98620583652601</c:v>
                </c:pt>
                <c:pt idx="79">
                  <c:v>180.04480411282799</c:v>
                </c:pt>
                <c:pt idx="80">
                  <c:v>195.54587642704499</c:v>
                </c:pt>
                <c:pt idx="81">
                  <c:v>211.01631225808299</c:v>
                </c:pt>
                <c:pt idx="82">
                  <c:v>226.25322462991701</c:v>
                </c:pt>
                <c:pt idx="83">
                  <c:v>240.69797180399499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fhl_pool!$AK$1</c:f>
              <c:strCache>
                <c:ptCount val="1"/>
                <c:pt idx="0">
                  <c:v>v2.30</c:v>
                </c:pt>
              </c:strCache>
            </c:strRef>
          </c:tx>
          <c:marker>
            <c:symbol val="none"/>
          </c:marker>
          <c:cat>
            <c:numRef>
              <c:f>fhl_pool!$AI$2:$AI$510</c:f>
              <c:numCache>
                <c:formatCode>m/d/yyyy</c:formatCode>
                <c:ptCount val="509"/>
                <c:pt idx="0">
                  <c:v>40148</c:v>
                </c:pt>
                <c:pt idx="1">
                  <c:v>40179</c:v>
                </c:pt>
                <c:pt idx="2">
                  <c:v>40210</c:v>
                </c:pt>
                <c:pt idx="3">
                  <c:v>40238</c:v>
                </c:pt>
                <c:pt idx="4">
                  <c:v>40269</c:v>
                </c:pt>
                <c:pt idx="5">
                  <c:v>40299</c:v>
                </c:pt>
                <c:pt idx="6">
                  <c:v>40330</c:v>
                </c:pt>
                <c:pt idx="7">
                  <c:v>40360</c:v>
                </c:pt>
                <c:pt idx="8">
                  <c:v>40391</c:v>
                </c:pt>
                <c:pt idx="9">
                  <c:v>40422</c:v>
                </c:pt>
                <c:pt idx="10">
                  <c:v>40452</c:v>
                </c:pt>
                <c:pt idx="11">
                  <c:v>40483</c:v>
                </c:pt>
                <c:pt idx="12">
                  <c:v>40513</c:v>
                </c:pt>
                <c:pt idx="13">
                  <c:v>40544</c:v>
                </c:pt>
                <c:pt idx="14">
                  <c:v>40575</c:v>
                </c:pt>
                <c:pt idx="15">
                  <c:v>40603</c:v>
                </c:pt>
                <c:pt idx="16">
                  <c:v>40634</c:v>
                </c:pt>
                <c:pt idx="17">
                  <c:v>40664</c:v>
                </c:pt>
                <c:pt idx="18">
                  <c:v>40695</c:v>
                </c:pt>
                <c:pt idx="19">
                  <c:v>40725</c:v>
                </c:pt>
                <c:pt idx="20">
                  <c:v>40756</c:v>
                </c:pt>
                <c:pt idx="21">
                  <c:v>40787</c:v>
                </c:pt>
                <c:pt idx="22">
                  <c:v>40817</c:v>
                </c:pt>
                <c:pt idx="23">
                  <c:v>40848</c:v>
                </c:pt>
                <c:pt idx="24">
                  <c:v>40878</c:v>
                </c:pt>
                <c:pt idx="25">
                  <c:v>40909</c:v>
                </c:pt>
                <c:pt idx="26">
                  <c:v>40940</c:v>
                </c:pt>
                <c:pt idx="27">
                  <c:v>40969</c:v>
                </c:pt>
                <c:pt idx="28">
                  <c:v>41000</c:v>
                </c:pt>
                <c:pt idx="29">
                  <c:v>41030</c:v>
                </c:pt>
                <c:pt idx="30">
                  <c:v>41061</c:v>
                </c:pt>
                <c:pt idx="31">
                  <c:v>41091</c:v>
                </c:pt>
                <c:pt idx="32">
                  <c:v>41122</c:v>
                </c:pt>
                <c:pt idx="33">
                  <c:v>41153</c:v>
                </c:pt>
                <c:pt idx="34">
                  <c:v>41183</c:v>
                </c:pt>
                <c:pt idx="35">
                  <c:v>41214</c:v>
                </c:pt>
                <c:pt idx="36">
                  <c:v>41244</c:v>
                </c:pt>
                <c:pt idx="37">
                  <c:v>41275</c:v>
                </c:pt>
                <c:pt idx="38">
                  <c:v>41306</c:v>
                </c:pt>
                <c:pt idx="39">
                  <c:v>41334</c:v>
                </c:pt>
                <c:pt idx="40">
                  <c:v>41365</c:v>
                </c:pt>
                <c:pt idx="41">
                  <c:v>41395</c:v>
                </c:pt>
                <c:pt idx="42">
                  <c:v>41426</c:v>
                </c:pt>
                <c:pt idx="43">
                  <c:v>41456</c:v>
                </c:pt>
                <c:pt idx="44">
                  <c:v>41487</c:v>
                </c:pt>
                <c:pt idx="45">
                  <c:v>41518</c:v>
                </c:pt>
                <c:pt idx="46">
                  <c:v>41548</c:v>
                </c:pt>
                <c:pt idx="47">
                  <c:v>41579</c:v>
                </c:pt>
                <c:pt idx="48">
                  <c:v>41609</c:v>
                </c:pt>
                <c:pt idx="49">
                  <c:v>41640</c:v>
                </c:pt>
                <c:pt idx="50">
                  <c:v>41671</c:v>
                </c:pt>
                <c:pt idx="51">
                  <c:v>41699</c:v>
                </c:pt>
                <c:pt idx="52">
                  <c:v>41730</c:v>
                </c:pt>
                <c:pt idx="53">
                  <c:v>41760</c:v>
                </c:pt>
                <c:pt idx="54">
                  <c:v>41791</c:v>
                </c:pt>
                <c:pt idx="55">
                  <c:v>41821</c:v>
                </c:pt>
                <c:pt idx="56">
                  <c:v>41852</c:v>
                </c:pt>
                <c:pt idx="57">
                  <c:v>41883</c:v>
                </c:pt>
                <c:pt idx="58">
                  <c:v>41913</c:v>
                </c:pt>
                <c:pt idx="59">
                  <c:v>41944</c:v>
                </c:pt>
                <c:pt idx="60">
                  <c:v>41974</c:v>
                </c:pt>
                <c:pt idx="61">
                  <c:v>42005</c:v>
                </c:pt>
                <c:pt idx="62">
                  <c:v>42036</c:v>
                </c:pt>
                <c:pt idx="63">
                  <c:v>42064</c:v>
                </c:pt>
                <c:pt idx="64">
                  <c:v>42095</c:v>
                </c:pt>
                <c:pt idx="65">
                  <c:v>42125</c:v>
                </c:pt>
                <c:pt idx="66">
                  <c:v>42156</c:v>
                </c:pt>
                <c:pt idx="67">
                  <c:v>42186</c:v>
                </c:pt>
                <c:pt idx="68">
                  <c:v>42217</c:v>
                </c:pt>
                <c:pt idx="69">
                  <c:v>42248</c:v>
                </c:pt>
                <c:pt idx="70">
                  <c:v>42278</c:v>
                </c:pt>
                <c:pt idx="71">
                  <c:v>42309</c:v>
                </c:pt>
                <c:pt idx="72">
                  <c:v>42339</c:v>
                </c:pt>
                <c:pt idx="73">
                  <c:v>42370</c:v>
                </c:pt>
                <c:pt idx="74">
                  <c:v>42401</c:v>
                </c:pt>
                <c:pt idx="75">
                  <c:v>42430</c:v>
                </c:pt>
                <c:pt idx="76">
                  <c:v>42461</c:v>
                </c:pt>
                <c:pt idx="77">
                  <c:v>42491</c:v>
                </c:pt>
                <c:pt idx="78">
                  <c:v>42522</c:v>
                </c:pt>
                <c:pt idx="79">
                  <c:v>42552</c:v>
                </c:pt>
                <c:pt idx="80">
                  <c:v>42583</c:v>
                </c:pt>
                <c:pt idx="81">
                  <c:v>42614</c:v>
                </c:pt>
                <c:pt idx="82">
                  <c:v>42644</c:v>
                </c:pt>
                <c:pt idx="83">
                  <c:v>42675</c:v>
                </c:pt>
              </c:numCache>
            </c:numRef>
          </c:cat>
          <c:val>
            <c:numRef>
              <c:f>fhl_pool!$AK$2:$AK$510</c:f>
              <c:numCache>
                <c:formatCode>General</c:formatCode>
                <c:ptCount val="509"/>
                <c:pt idx="0">
                  <c:v>0</c:v>
                </c:pt>
                <c:pt idx="1">
                  <c:v>4.9170626787384197</c:v>
                </c:pt>
                <c:pt idx="2">
                  <c:v>9.8069640597297703</c:v>
                </c:pt>
                <c:pt idx="3">
                  <c:v>11.9612827970894</c:v>
                </c:pt>
                <c:pt idx="4">
                  <c:v>13.703566581464401</c:v>
                </c:pt>
                <c:pt idx="5">
                  <c:v>13.9398630809885</c:v>
                </c:pt>
                <c:pt idx="6">
                  <c:v>14.0631964173631</c:v>
                </c:pt>
                <c:pt idx="7">
                  <c:v>14.8240779652439</c:v>
                </c:pt>
                <c:pt idx="8">
                  <c:v>15.6939965239687</c:v>
                </c:pt>
                <c:pt idx="9">
                  <c:v>14.5539394261315</c:v>
                </c:pt>
                <c:pt idx="10">
                  <c:v>13.262777253858401</c:v>
                </c:pt>
                <c:pt idx="11">
                  <c:v>12.7444347987265</c:v>
                </c:pt>
                <c:pt idx="12">
                  <c:v>28.766009774220699</c:v>
                </c:pt>
                <c:pt idx="13">
                  <c:v>25.5325537515645</c:v>
                </c:pt>
                <c:pt idx="14">
                  <c:v>22.865090826513001</c:v>
                </c:pt>
                <c:pt idx="15">
                  <c:v>19.619897262471898</c:v>
                </c:pt>
                <c:pt idx="16">
                  <c:v>17.040314844784</c:v>
                </c:pt>
                <c:pt idx="17">
                  <c:v>15.6050907673668</c:v>
                </c:pt>
                <c:pt idx="18">
                  <c:v>14.7769811479094</c:v>
                </c:pt>
                <c:pt idx="19">
                  <c:v>14.1064302832522</c:v>
                </c:pt>
                <c:pt idx="20">
                  <c:v>13.7652026291443</c:v>
                </c:pt>
                <c:pt idx="21">
                  <c:v>13.3696481969102</c:v>
                </c:pt>
                <c:pt idx="22">
                  <c:v>13.3601939218502</c:v>
                </c:pt>
                <c:pt idx="23">
                  <c:v>13.3614274513297</c:v>
                </c:pt>
                <c:pt idx="24">
                  <c:v>13.52222322712</c:v>
                </c:pt>
                <c:pt idx="25">
                  <c:v>14.014417443357599</c:v>
                </c:pt>
                <c:pt idx="26">
                  <c:v>14.616688738229101</c:v>
                </c:pt>
                <c:pt idx="27">
                  <c:v>14.27617773925</c:v>
                </c:pt>
                <c:pt idx="28">
                  <c:v>13.1432510859491</c:v>
                </c:pt>
                <c:pt idx="29">
                  <c:v>12.3094164620495</c:v>
                </c:pt>
                <c:pt idx="30">
                  <c:v>12.0094890209967</c:v>
                </c:pt>
                <c:pt idx="31">
                  <c:v>13.870116940774</c:v>
                </c:pt>
                <c:pt idx="32">
                  <c:v>14.047496939410699</c:v>
                </c:pt>
                <c:pt idx="33">
                  <c:v>14.2073139090921</c:v>
                </c:pt>
                <c:pt idx="34">
                  <c:v>14.553131213696799</c:v>
                </c:pt>
                <c:pt idx="35">
                  <c:v>15.3510295012335</c:v>
                </c:pt>
                <c:pt idx="36">
                  <c:v>16.1014641108886</c:v>
                </c:pt>
                <c:pt idx="37">
                  <c:v>17.082345462050299</c:v>
                </c:pt>
                <c:pt idx="38">
                  <c:v>18.053924266756599</c:v>
                </c:pt>
                <c:pt idx="39">
                  <c:v>18.711541859573799</c:v>
                </c:pt>
                <c:pt idx="40">
                  <c:v>22.694087251344499</c:v>
                </c:pt>
                <c:pt idx="41">
                  <c:v>24.062314792280201</c:v>
                </c:pt>
                <c:pt idx="42">
                  <c:v>25.745123971811601</c:v>
                </c:pt>
                <c:pt idx="43">
                  <c:v>25.846635559731901</c:v>
                </c:pt>
                <c:pt idx="44">
                  <c:v>25.6207576308441</c:v>
                </c:pt>
                <c:pt idx="45">
                  <c:v>25.460693289497101</c:v>
                </c:pt>
                <c:pt idx="46">
                  <c:v>25.388491260989099</c:v>
                </c:pt>
                <c:pt idx="47">
                  <c:v>26.104351991233099</c:v>
                </c:pt>
                <c:pt idx="48">
                  <c:v>28.0016202904221</c:v>
                </c:pt>
                <c:pt idx="49">
                  <c:v>28.2706165205716</c:v>
                </c:pt>
                <c:pt idx="50">
                  <c:v>28.530449846843101</c:v>
                </c:pt>
                <c:pt idx="51">
                  <c:v>29.126171784128498</c:v>
                </c:pt>
                <c:pt idx="52">
                  <c:v>29.7170672796451</c:v>
                </c:pt>
                <c:pt idx="53">
                  <c:v>30.470501192258901</c:v>
                </c:pt>
                <c:pt idx="54">
                  <c:v>31.9185082540655</c:v>
                </c:pt>
                <c:pt idx="55">
                  <c:v>33.538792078762903</c:v>
                </c:pt>
                <c:pt idx="56">
                  <c:v>35.315271854528199</c:v>
                </c:pt>
                <c:pt idx="57">
                  <c:v>37.2393220738549</c:v>
                </c:pt>
                <c:pt idx="58">
                  <c:v>39.033590206259802</c:v>
                </c:pt>
                <c:pt idx="59">
                  <c:v>41.334032059073898</c:v>
                </c:pt>
                <c:pt idx="60">
                  <c:v>43.800109159129804</c:v>
                </c:pt>
                <c:pt idx="61">
                  <c:v>47.555385131562801</c:v>
                </c:pt>
                <c:pt idx="62">
                  <c:v>52.540639665874401</c:v>
                </c:pt>
                <c:pt idx="63">
                  <c:v>57.444293419825001</c:v>
                </c:pt>
                <c:pt idx="64">
                  <c:v>62.226306924437097</c:v>
                </c:pt>
                <c:pt idx="65">
                  <c:v>67.950641362553199</c:v>
                </c:pt>
                <c:pt idx="66">
                  <c:v>72.714269608910897</c:v>
                </c:pt>
                <c:pt idx="67">
                  <c:v>76.533861433394904</c:v>
                </c:pt>
                <c:pt idx="68">
                  <c:v>79.818333784383697</c:v>
                </c:pt>
                <c:pt idx="69">
                  <c:v>84.757331726423203</c:v>
                </c:pt>
                <c:pt idx="70">
                  <c:v>89.849443309928006</c:v>
                </c:pt>
                <c:pt idx="71">
                  <c:v>96.043975802781105</c:v>
                </c:pt>
                <c:pt idx="72">
                  <c:v>100.750321012968</c:v>
                </c:pt>
                <c:pt idx="73">
                  <c:v>105.57354413035701</c:v>
                </c:pt>
                <c:pt idx="74">
                  <c:v>111.02657349937</c:v>
                </c:pt>
                <c:pt idx="75">
                  <c:v>119.311513820781</c:v>
                </c:pt>
                <c:pt idx="76">
                  <c:v>129.213215687396</c:v>
                </c:pt>
                <c:pt idx="77">
                  <c:v>139.91761879338</c:v>
                </c:pt>
                <c:pt idx="78">
                  <c:v>150.98985776010099</c:v>
                </c:pt>
                <c:pt idx="79">
                  <c:v>162.52788936444699</c:v>
                </c:pt>
                <c:pt idx="80">
                  <c:v>176.18903420951699</c:v>
                </c:pt>
                <c:pt idx="81">
                  <c:v>189.854810700461</c:v>
                </c:pt>
                <c:pt idx="82">
                  <c:v>203.35440348091299</c:v>
                </c:pt>
                <c:pt idx="83">
                  <c:v>216.013611730528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54295936"/>
        <c:axId val="454297472"/>
      </c:lineChart>
      <c:dateAx>
        <c:axId val="454295936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54297472"/>
        <c:crosses val="autoZero"/>
        <c:auto val="1"/>
        <c:lblOffset val="100"/>
        <c:baseTimeUnit val="months"/>
      </c:dateAx>
      <c:valAx>
        <c:axId val="454297472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54295936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[burnout v2.30 with refi_eligibility.xlsx]fnm_pool!PivotTable3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fnm_pool!$H$3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fnm_pool!$G$4:$G$89</c:f>
              <c:strCache>
                <c:ptCount val="85"/>
                <c:pt idx="0">
                  <c:v>11/1/2009</c:v>
                </c:pt>
                <c:pt idx="1">
                  <c:v>12/1/2009</c:v>
                </c:pt>
                <c:pt idx="2">
                  <c:v>1/1/2010</c:v>
                </c:pt>
                <c:pt idx="3">
                  <c:v>2/1/2010</c:v>
                </c:pt>
                <c:pt idx="4">
                  <c:v>3/1/2010</c:v>
                </c:pt>
                <c:pt idx="5">
                  <c:v>4/1/2010</c:v>
                </c:pt>
                <c:pt idx="6">
                  <c:v>5/1/2010</c:v>
                </c:pt>
                <c:pt idx="7">
                  <c:v>6/1/2010</c:v>
                </c:pt>
                <c:pt idx="8">
                  <c:v>7/1/2010</c:v>
                </c:pt>
                <c:pt idx="9">
                  <c:v>8/1/2010</c:v>
                </c:pt>
                <c:pt idx="10">
                  <c:v>9/1/2010</c:v>
                </c:pt>
                <c:pt idx="11">
                  <c:v>10/1/2010</c:v>
                </c:pt>
                <c:pt idx="12">
                  <c:v>11/1/2010</c:v>
                </c:pt>
                <c:pt idx="13">
                  <c:v>12/1/2010</c:v>
                </c:pt>
                <c:pt idx="14">
                  <c:v>1/1/2011</c:v>
                </c:pt>
                <c:pt idx="15">
                  <c:v>2/1/2011</c:v>
                </c:pt>
                <c:pt idx="16">
                  <c:v>3/1/2011</c:v>
                </c:pt>
                <c:pt idx="17">
                  <c:v>4/1/2011</c:v>
                </c:pt>
                <c:pt idx="18">
                  <c:v>5/1/2011</c:v>
                </c:pt>
                <c:pt idx="19">
                  <c:v>6/1/2011</c:v>
                </c:pt>
                <c:pt idx="20">
                  <c:v>7/1/2011</c:v>
                </c:pt>
                <c:pt idx="21">
                  <c:v>8/1/2011</c:v>
                </c:pt>
                <c:pt idx="22">
                  <c:v>9/1/2011</c:v>
                </c:pt>
                <c:pt idx="23">
                  <c:v>10/1/2011</c:v>
                </c:pt>
                <c:pt idx="24">
                  <c:v>11/1/2011</c:v>
                </c:pt>
                <c:pt idx="25">
                  <c:v>12/1/2011</c:v>
                </c:pt>
                <c:pt idx="26">
                  <c:v>1/1/2012</c:v>
                </c:pt>
                <c:pt idx="27">
                  <c:v>2/1/2012</c:v>
                </c:pt>
                <c:pt idx="28">
                  <c:v>3/1/2012</c:v>
                </c:pt>
                <c:pt idx="29">
                  <c:v>4/1/2012</c:v>
                </c:pt>
                <c:pt idx="30">
                  <c:v>5/1/2012</c:v>
                </c:pt>
                <c:pt idx="31">
                  <c:v>6/1/2012</c:v>
                </c:pt>
                <c:pt idx="32">
                  <c:v>7/1/2012</c:v>
                </c:pt>
                <c:pt idx="33">
                  <c:v>8/1/2012</c:v>
                </c:pt>
                <c:pt idx="34">
                  <c:v>9/1/2012</c:v>
                </c:pt>
                <c:pt idx="35">
                  <c:v>10/1/2012</c:v>
                </c:pt>
                <c:pt idx="36">
                  <c:v>11/1/2012</c:v>
                </c:pt>
                <c:pt idx="37">
                  <c:v>12/1/2012</c:v>
                </c:pt>
                <c:pt idx="38">
                  <c:v>1/1/2013</c:v>
                </c:pt>
                <c:pt idx="39">
                  <c:v>2/1/2013</c:v>
                </c:pt>
                <c:pt idx="40">
                  <c:v>3/1/2013</c:v>
                </c:pt>
                <c:pt idx="41">
                  <c:v>4/1/2013</c:v>
                </c:pt>
                <c:pt idx="42">
                  <c:v>5/1/2013</c:v>
                </c:pt>
                <c:pt idx="43">
                  <c:v>6/1/2013</c:v>
                </c:pt>
                <c:pt idx="44">
                  <c:v>7/1/2013</c:v>
                </c:pt>
                <c:pt idx="45">
                  <c:v>8/1/2013</c:v>
                </c:pt>
                <c:pt idx="46">
                  <c:v>9/1/2013</c:v>
                </c:pt>
                <c:pt idx="47">
                  <c:v>10/1/2013</c:v>
                </c:pt>
                <c:pt idx="48">
                  <c:v>11/1/2013</c:v>
                </c:pt>
                <c:pt idx="49">
                  <c:v>12/1/2013</c:v>
                </c:pt>
                <c:pt idx="50">
                  <c:v>1/1/2014</c:v>
                </c:pt>
                <c:pt idx="51">
                  <c:v>2/1/2014</c:v>
                </c:pt>
                <c:pt idx="52">
                  <c:v>3/1/2014</c:v>
                </c:pt>
                <c:pt idx="53">
                  <c:v>4/1/2014</c:v>
                </c:pt>
                <c:pt idx="54">
                  <c:v>5/1/2014</c:v>
                </c:pt>
                <c:pt idx="55">
                  <c:v>6/1/2014</c:v>
                </c:pt>
                <c:pt idx="56">
                  <c:v>7/1/2014</c:v>
                </c:pt>
                <c:pt idx="57">
                  <c:v>8/1/2014</c:v>
                </c:pt>
                <c:pt idx="58">
                  <c:v>9/1/2014</c:v>
                </c:pt>
                <c:pt idx="59">
                  <c:v>10/1/2014</c:v>
                </c:pt>
                <c:pt idx="60">
                  <c:v>11/1/2014</c:v>
                </c:pt>
                <c:pt idx="61">
                  <c:v>12/1/2014</c:v>
                </c:pt>
                <c:pt idx="62">
                  <c:v>1/1/2015</c:v>
                </c:pt>
                <c:pt idx="63">
                  <c:v>2/1/2015</c:v>
                </c:pt>
                <c:pt idx="64">
                  <c:v>3/1/2015</c:v>
                </c:pt>
                <c:pt idx="65">
                  <c:v>4/1/2015</c:v>
                </c:pt>
                <c:pt idx="66">
                  <c:v>5/1/2015</c:v>
                </c:pt>
                <c:pt idx="67">
                  <c:v>6/1/2015</c:v>
                </c:pt>
                <c:pt idx="68">
                  <c:v>7/1/2015</c:v>
                </c:pt>
                <c:pt idx="69">
                  <c:v>8/1/2015</c:v>
                </c:pt>
                <c:pt idx="70">
                  <c:v>9/1/2015</c:v>
                </c:pt>
                <c:pt idx="71">
                  <c:v>10/1/2015</c:v>
                </c:pt>
                <c:pt idx="72">
                  <c:v>11/1/2015</c:v>
                </c:pt>
                <c:pt idx="73">
                  <c:v>12/1/2015</c:v>
                </c:pt>
                <c:pt idx="74">
                  <c:v>1/1/2016</c:v>
                </c:pt>
                <c:pt idx="75">
                  <c:v>2/1/2016</c:v>
                </c:pt>
                <c:pt idx="76">
                  <c:v>3/1/2016</c:v>
                </c:pt>
                <c:pt idx="77">
                  <c:v>4/1/2016</c:v>
                </c:pt>
                <c:pt idx="78">
                  <c:v>5/1/2016</c:v>
                </c:pt>
                <c:pt idx="79">
                  <c:v>6/1/2016</c:v>
                </c:pt>
                <c:pt idx="80">
                  <c:v>7/1/2016</c:v>
                </c:pt>
                <c:pt idx="81">
                  <c:v>8/1/2016</c:v>
                </c:pt>
                <c:pt idx="82">
                  <c:v>9/1/2016</c:v>
                </c:pt>
                <c:pt idx="83">
                  <c:v>10/1/2016</c:v>
                </c:pt>
                <c:pt idx="84">
                  <c:v>11/1/2016</c:v>
                </c:pt>
              </c:strCache>
            </c:strRef>
          </c:cat>
          <c:val>
            <c:numRef>
              <c:f>fnm_pool!$H$4:$H$89</c:f>
              <c:numCache>
                <c:formatCode>General</c:formatCode>
                <c:ptCount val="85"/>
                <c:pt idx="0">
                  <c:v>1.4505423323001101</c:v>
                </c:pt>
                <c:pt idx="1">
                  <c:v>0.48012526158338997</c:v>
                </c:pt>
                <c:pt idx="2">
                  <c:v>0.32101831082899901</c:v>
                </c:pt>
                <c:pt idx="3">
                  <c:v>0.225581910670488</c:v>
                </c:pt>
                <c:pt idx="4">
                  <c:v>0.18571924640176299</c:v>
                </c:pt>
                <c:pt idx="5">
                  <c:v>0.16611416990135999</c:v>
                </c:pt>
                <c:pt idx="6">
                  <c:v>0.13075737104861501</c:v>
                </c:pt>
                <c:pt idx="7">
                  <c:v>0.104667908976119</c:v>
                </c:pt>
                <c:pt idx="8">
                  <c:v>8.7774893331117307E-2</c:v>
                </c:pt>
                <c:pt idx="9">
                  <c:v>8.2587727447575296E-2</c:v>
                </c:pt>
                <c:pt idx="10">
                  <c:v>8.3798517381121998E-2</c:v>
                </c:pt>
                <c:pt idx="11">
                  <c:v>8.1063263805223995E-2</c:v>
                </c:pt>
                <c:pt idx="12">
                  <c:v>8.8173911752106704E-2</c:v>
                </c:pt>
                <c:pt idx="13">
                  <c:v>8.8252045109364505E-2</c:v>
                </c:pt>
                <c:pt idx="14">
                  <c:v>7.6971531877015303E-2</c:v>
                </c:pt>
                <c:pt idx="15">
                  <c:v>6.7492856884783306E-2</c:v>
                </c:pt>
                <c:pt idx="16">
                  <c:v>5.9694932427499403E-2</c:v>
                </c:pt>
                <c:pt idx="17">
                  <c:v>5.2583262240604597E-2</c:v>
                </c:pt>
                <c:pt idx="18">
                  <c:v>4.7251523728875602E-2</c:v>
                </c:pt>
                <c:pt idx="19">
                  <c:v>4.4019407053417899E-2</c:v>
                </c:pt>
                <c:pt idx="20">
                  <c:v>4.2265865016984101E-2</c:v>
                </c:pt>
                <c:pt idx="21">
                  <c:v>4.65725180473886E-2</c:v>
                </c:pt>
                <c:pt idx="22">
                  <c:v>6.8889209513225899E-2</c:v>
                </c:pt>
                <c:pt idx="23">
                  <c:v>0.117437341444491</c:v>
                </c:pt>
                <c:pt idx="24">
                  <c:v>0.15559635969707</c:v>
                </c:pt>
                <c:pt idx="25">
                  <c:v>0.22726623749574301</c:v>
                </c:pt>
                <c:pt idx="26">
                  <c:v>0.32223042180827</c:v>
                </c:pt>
                <c:pt idx="27">
                  <c:v>0.39524335858127702</c:v>
                </c:pt>
                <c:pt idx="28">
                  <c:v>0.38642925774120401</c:v>
                </c:pt>
                <c:pt idx="29">
                  <c:v>0.34650454796276298</c:v>
                </c:pt>
                <c:pt idx="30">
                  <c:v>0.32050085279919499</c:v>
                </c:pt>
                <c:pt idx="31">
                  <c:v>0.30315293562642898</c:v>
                </c:pt>
                <c:pt idx="32">
                  <c:v>0.31978601492615</c:v>
                </c:pt>
                <c:pt idx="33">
                  <c:v>0.36071016661187</c:v>
                </c:pt>
                <c:pt idx="34">
                  <c:v>0.38300337159104397</c:v>
                </c:pt>
                <c:pt idx="35">
                  <c:v>0.44391159246575901</c:v>
                </c:pt>
                <c:pt idx="36">
                  <c:v>0.57488644329570104</c:v>
                </c:pt>
                <c:pt idx="37">
                  <c:v>0.68356833645499604</c:v>
                </c:pt>
                <c:pt idx="38">
                  <c:v>0.79595638546278502</c:v>
                </c:pt>
                <c:pt idx="39">
                  <c:v>0.84420618322463303</c:v>
                </c:pt>
                <c:pt idx="40">
                  <c:v>0.83879467331671198</c:v>
                </c:pt>
                <c:pt idx="41">
                  <c:v>0.88038042045642095</c:v>
                </c:pt>
                <c:pt idx="42">
                  <c:v>1.2000134333821</c:v>
                </c:pt>
                <c:pt idx="43">
                  <c:v>1.99134553180713</c:v>
                </c:pt>
                <c:pt idx="44">
                  <c:v>2.37553315179925</c:v>
                </c:pt>
                <c:pt idx="45">
                  <c:v>2.5159947521202</c:v>
                </c:pt>
                <c:pt idx="46">
                  <c:v>2.6203590480539098</c:v>
                </c:pt>
                <c:pt idx="47">
                  <c:v>2.7321088151864799</c:v>
                </c:pt>
                <c:pt idx="48">
                  <c:v>3.2868839886737602</c:v>
                </c:pt>
                <c:pt idx="49">
                  <c:v>3.5642966789331001</c:v>
                </c:pt>
                <c:pt idx="50">
                  <c:v>3.7179778437659698</c:v>
                </c:pt>
                <c:pt idx="51">
                  <c:v>2.6061217727272199</c:v>
                </c:pt>
                <c:pt idx="52">
                  <c:v>5.8742340058851399</c:v>
                </c:pt>
                <c:pt idx="53">
                  <c:v>9.0169565703567898</c:v>
                </c:pt>
                <c:pt idx="54">
                  <c:v>12.257541496999099</c:v>
                </c:pt>
                <c:pt idx="55">
                  <c:v>16.7671467431833</c:v>
                </c:pt>
                <c:pt idx="56">
                  <c:v>21.453039240674201</c:v>
                </c:pt>
                <c:pt idx="57">
                  <c:v>26.404603196462499</c:v>
                </c:pt>
                <c:pt idx="58">
                  <c:v>31.579670124205801</c:v>
                </c:pt>
                <c:pt idx="59">
                  <c:v>36.604018655583097</c:v>
                </c:pt>
                <c:pt idx="60">
                  <c:v>42.8785418505366</c:v>
                </c:pt>
                <c:pt idx="61">
                  <c:v>49.567342817077197</c:v>
                </c:pt>
                <c:pt idx="62">
                  <c:v>58.313612630421403</c:v>
                </c:pt>
                <c:pt idx="63">
                  <c:v>69.527040437762906</c:v>
                </c:pt>
                <c:pt idx="64">
                  <c:v>80.302982268172698</c:v>
                </c:pt>
                <c:pt idx="65">
                  <c:v>90.312533011892995</c:v>
                </c:pt>
                <c:pt idx="66">
                  <c:v>101.56548285712999</c:v>
                </c:pt>
                <c:pt idx="67">
                  <c:v>110.603406640489</c:v>
                </c:pt>
                <c:pt idx="68">
                  <c:v>117.794189448691</c:v>
                </c:pt>
                <c:pt idx="69">
                  <c:v>124.452292231852</c:v>
                </c:pt>
                <c:pt idx="70">
                  <c:v>133.147844022264</c:v>
                </c:pt>
                <c:pt idx="71">
                  <c:v>142.14426015464201</c:v>
                </c:pt>
                <c:pt idx="72">
                  <c:v>152.44624319272501</c:v>
                </c:pt>
                <c:pt idx="73">
                  <c:v>160.65141365334401</c:v>
                </c:pt>
                <c:pt idx="74">
                  <c:v>168.879130213465</c:v>
                </c:pt>
                <c:pt idx="75">
                  <c:v>178.258986031749</c:v>
                </c:pt>
                <c:pt idx="76">
                  <c:v>191.29597315982599</c:v>
                </c:pt>
                <c:pt idx="77">
                  <c:v>205.32849320778601</c:v>
                </c:pt>
                <c:pt idx="78">
                  <c:v>219.429131989903</c:v>
                </c:pt>
                <c:pt idx="79">
                  <c:v>233.85363465938599</c:v>
                </c:pt>
                <c:pt idx="80">
                  <c:v>249.024681118828</c:v>
                </c:pt>
                <c:pt idx="81">
                  <c:v>266.44865609146501</c:v>
                </c:pt>
                <c:pt idx="82">
                  <c:v>284.41472839766902</c:v>
                </c:pt>
                <c:pt idx="83">
                  <c:v>301.26467144614497</c:v>
                </c:pt>
                <c:pt idx="84">
                  <c:v>318.05702810192099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50257280"/>
        <c:axId val="450258816"/>
      </c:barChart>
      <c:catAx>
        <c:axId val="450257280"/>
        <c:scaling>
          <c:orientation val="minMax"/>
        </c:scaling>
        <c:delete val="0"/>
        <c:axPos val="b"/>
        <c:majorTickMark val="out"/>
        <c:minorTickMark val="none"/>
        <c:tickLblPos val="nextTo"/>
        <c:crossAx val="450258816"/>
        <c:crosses val="autoZero"/>
        <c:auto val="1"/>
        <c:lblAlgn val="ctr"/>
        <c:lblOffset val="100"/>
        <c:noMultiLvlLbl val="0"/>
      </c:catAx>
      <c:valAx>
        <c:axId val="45025881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502572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[burnout v2.30 with refi_eligibility.xlsx]fnm_pool!PivotTable4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  <c:pivotFmt>
        <c:idx val="1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fnm_pool!$AA$3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fnm_pool!$Z$4:$Z$89</c:f>
              <c:strCache>
                <c:ptCount val="85"/>
                <c:pt idx="0">
                  <c:v>11/1/2009</c:v>
                </c:pt>
                <c:pt idx="1">
                  <c:v>12/1/2009</c:v>
                </c:pt>
                <c:pt idx="2">
                  <c:v>1/1/2010</c:v>
                </c:pt>
                <c:pt idx="3">
                  <c:v>2/1/2010</c:v>
                </c:pt>
                <c:pt idx="4">
                  <c:v>3/1/2010</c:v>
                </c:pt>
                <c:pt idx="5">
                  <c:v>4/1/2010</c:v>
                </c:pt>
                <c:pt idx="6">
                  <c:v>5/1/2010</c:v>
                </c:pt>
                <c:pt idx="7">
                  <c:v>6/1/2010</c:v>
                </c:pt>
                <c:pt idx="8">
                  <c:v>7/1/2010</c:v>
                </c:pt>
                <c:pt idx="9">
                  <c:v>8/1/2010</c:v>
                </c:pt>
                <c:pt idx="10">
                  <c:v>9/1/2010</c:v>
                </c:pt>
                <c:pt idx="11">
                  <c:v>10/1/2010</c:v>
                </c:pt>
                <c:pt idx="12">
                  <c:v>11/1/2010</c:v>
                </c:pt>
                <c:pt idx="13">
                  <c:v>12/1/2010</c:v>
                </c:pt>
                <c:pt idx="14">
                  <c:v>1/1/2011</c:v>
                </c:pt>
                <c:pt idx="15">
                  <c:v>2/1/2011</c:v>
                </c:pt>
                <c:pt idx="16">
                  <c:v>3/1/2011</c:v>
                </c:pt>
                <c:pt idx="17">
                  <c:v>4/1/2011</c:v>
                </c:pt>
                <c:pt idx="18">
                  <c:v>5/1/2011</c:v>
                </c:pt>
                <c:pt idx="19">
                  <c:v>6/1/2011</c:v>
                </c:pt>
                <c:pt idx="20">
                  <c:v>7/1/2011</c:v>
                </c:pt>
                <c:pt idx="21">
                  <c:v>8/1/2011</c:v>
                </c:pt>
                <c:pt idx="22">
                  <c:v>9/1/2011</c:v>
                </c:pt>
                <c:pt idx="23">
                  <c:v>10/1/2011</c:v>
                </c:pt>
                <c:pt idx="24">
                  <c:v>11/1/2011</c:v>
                </c:pt>
                <c:pt idx="25">
                  <c:v>12/1/2011</c:v>
                </c:pt>
                <c:pt idx="26">
                  <c:v>1/1/2012</c:v>
                </c:pt>
                <c:pt idx="27">
                  <c:v>2/1/2012</c:v>
                </c:pt>
                <c:pt idx="28">
                  <c:v>3/1/2012</c:v>
                </c:pt>
                <c:pt idx="29">
                  <c:v>4/1/2012</c:v>
                </c:pt>
                <c:pt idx="30">
                  <c:v>5/1/2012</c:v>
                </c:pt>
                <c:pt idx="31">
                  <c:v>6/1/2012</c:v>
                </c:pt>
                <c:pt idx="32">
                  <c:v>7/1/2012</c:v>
                </c:pt>
                <c:pt idx="33">
                  <c:v>8/1/2012</c:v>
                </c:pt>
                <c:pt idx="34">
                  <c:v>9/1/2012</c:v>
                </c:pt>
                <c:pt idx="35">
                  <c:v>10/1/2012</c:v>
                </c:pt>
                <c:pt idx="36">
                  <c:v>11/1/2012</c:v>
                </c:pt>
                <c:pt idx="37">
                  <c:v>12/1/2012</c:v>
                </c:pt>
                <c:pt idx="38">
                  <c:v>1/1/2013</c:v>
                </c:pt>
                <c:pt idx="39">
                  <c:v>2/1/2013</c:v>
                </c:pt>
                <c:pt idx="40">
                  <c:v>3/1/2013</c:v>
                </c:pt>
                <c:pt idx="41">
                  <c:v>4/1/2013</c:v>
                </c:pt>
                <c:pt idx="42">
                  <c:v>5/1/2013</c:v>
                </c:pt>
                <c:pt idx="43">
                  <c:v>6/1/2013</c:v>
                </c:pt>
                <c:pt idx="44">
                  <c:v>7/1/2013</c:v>
                </c:pt>
                <c:pt idx="45">
                  <c:v>8/1/2013</c:v>
                </c:pt>
                <c:pt idx="46">
                  <c:v>9/1/2013</c:v>
                </c:pt>
                <c:pt idx="47">
                  <c:v>10/1/2013</c:v>
                </c:pt>
                <c:pt idx="48">
                  <c:v>11/1/2013</c:v>
                </c:pt>
                <c:pt idx="49">
                  <c:v>12/1/2013</c:v>
                </c:pt>
                <c:pt idx="50">
                  <c:v>1/1/2014</c:v>
                </c:pt>
                <c:pt idx="51">
                  <c:v>2/1/2014</c:v>
                </c:pt>
                <c:pt idx="52">
                  <c:v>3/1/2014</c:v>
                </c:pt>
                <c:pt idx="53">
                  <c:v>4/1/2014</c:v>
                </c:pt>
                <c:pt idx="54">
                  <c:v>5/1/2014</c:v>
                </c:pt>
                <c:pt idx="55">
                  <c:v>6/1/2014</c:v>
                </c:pt>
                <c:pt idx="56">
                  <c:v>7/1/2014</c:v>
                </c:pt>
                <c:pt idx="57">
                  <c:v>8/1/2014</c:v>
                </c:pt>
                <c:pt idx="58">
                  <c:v>9/1/2014</c:v>
                </c:pt>
                <c:pt idx="59">
                  <c:v>10/1/2014</c:v>
                </c:pt>
                <c:pt idx="60">
                  <c:v>11/1/2014</c:v>
                </c:pt>
                <c:pt idx="61">
                  <c:v>12/1/2014</c:v>
                </c:pt>
                <c:pt idx="62">
                  <c:v>1/1/2015</c:v>
                </c:pt>
                <c:pt idx="63">
                  <c:v>2/1/2015</c:v>
                </c:pt>
                <c:pt idx="64">
                  <c:v>3/1/2015</c:v>
                </c:pt>
                <c:pt idx="65">
                  <c:v>4/1/2015</c:v>
                </c:pt>
                <c:pt idx="66">
                  <c:v>5/1/2015</c:v>
                </c:pt>
                <c:pt idx="67">
                  <c:v>6/1/2015</c:v>
                </c:pt>
                <c:pt idx="68">
                  <c:v>7/1/2015</c:v>
                </c:pt>
                <c:pt idx="69">
                  <c:v>8/1/2015</c:v>
                </c:pt>
                <c:pt idx="70">
                  <c:v>9/1/2015</c:v>
                </c:pt>
                <c:pt idx="71">
                  <c:v>10/1/2015</c:v>
                </c:pt>
                <c:pt idx="72">
                  <c:v>11/1/2015</c:v>
                </c:pt>
                <c:pt idx="73">
                  <c:v>12/1/2015</c:v>
                </c:pt>
                <c:pt idx="74">
                  <c:v>1/1/2016</c:v>
                </c:pt>
                <c:pt idx="75">
                  <c:v>2/1/2016</c:v>
                </c:pt>
                <c:pt idx="76">
                  <c:v>3/1/2016</c:v>
                </c:pt>
                <c:pt idx="77">
                  <c:v>4/1/2016</c:v>
                </c:pt>
                <c:pt idx="78">
                  <c:v>5/1/2016</c:v>
                </c:pt>
                <c:pt idx="79">
                  <c:v>6/1/2016</c:v>
                </c:pt>
                <c:pt idx="80">
                  <c:v>7/1/2016</c:v>
                </c:pt>
                <c:pt idx="81">
                  <c:v>8/1/2016</c:v>
                </c:pt>
                <c:pt idx="82">
                  <c:v>9/1/2016</c:v>
                </c:pt>
                <c:pt idx="83">
                  <c:v>10/1/2016</c:v>
                </c:pt>
                <c:pt idx="84">
                  <c:v>11/1/2016</c:v>
                </c:pt>
              </c:strCache>
            </c:strRef>
          </c:cat>
          <c:val>
            <c:numRef>
              <c:f>fnm_pool!$AA$4:$AA$89</c:f>
              <c:numCache>
                <c:formatCode>General</c:formatCode>
                <c:ptCount val="8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1.3765990560683501E-3</c:v>
                </c:pt>
                <c:pt idx="33">
                  <c:v>7.4211834335013104E-4</c:v>
                </c:pt>
                <c:pt idx="34">
                  <c:v>6.6212219275727196E-4</c:v>
                </c:pt>
                <c:pt idx="35">
                  <c:v>6.0157192912084901E-4</c:v>
                </c:pt>
                <c:pt idx="36">
                  <c:v>3.4242463600533801E-3</c:v>
                </c:pt>
                <c:pt idx="37">
                  <c:v>2.2882325504355499E-3</c:v>
                </c:pt>
                <c:pt idx="38">
                  <c:v>2.14775656873323E-3</c:v>
                </c:pt>
                <c:pt idx="39">
                  <c:v>2.82313660585782E-3</c:v>
                </c:pt>
                <c:pt idx="40">
                  <c:v>3.7808411821423698E-3</c:v>
                </c:pt>
                <c:pt idx="41">
                  <c:v>5.2648400349945097E-3</c:v>
                </c:pt>
                <c:pt idx="42">
                  <c:v>9.5927891626630402E-3</c:v>
                </c:pt>
                <c:pt idx="43">
                  <c:v>1.99957546878019E-2</c:v>
                </c:pt>
                <c:pt idx="44">
                  <c:v>2.2204230372227001E-2</c:v>
                </c:pt>
                <c:pt idx="45">
                  <c:v>2.20960682715006E-2</c:v>
                </c:pt>
                <c:pt idx="46">
                  <c:v>2.3120276766625401E-2</c:v>
                </c:pt>
                <c:pt idx="47">
                  <c:v>2.2109806592352298E-2</c:v>
                </c:pt>
                <c:pt idx="48">
                  <c:v>2.6993667235697599E-2</c:v>
                </c:pt>
                <c:pt idx="49">
                  <c:v>3.1534857380747398E-2</c:v>
                </c:pt>
                <c:pt idx="50">
                  <c:v>0.11200400279485501</c:v>
                </c:pt>
                <c:pt idx="51">
                  <c:v>2.6330640991372798</c:v>
                </c:pt>
                <c:pt idx="52">
                  <c:v>5.9309292138913499</c:v>
                </c:pt>
                <c:pt idx="53">
                  <c:v>9.0911741291327992</c:v>
                </c:pt>
                <c:pt idx="54">
                  <c:v>12.3469701053466</c:v>
                </c:pt>
                <c:pt idx="55">
                  <c:v>16.892570197804101</c:v>
                </c:pt>
                <c:pt idx="56">
                  <c:v>21.6136384490678</c:v>
                </c:pt>
                <c:pt idx="57">
                  <c:v>26.5984945485271</c:v>
                </c:pt>
                <c:pt idx="58">
                  <c:v>31.804130271195501</c:v>
                </c:pt>
                <c:pt idx="59">
                  <c:v>36.8499378419869</c:v>
                </c:pt>
                <c:pt idx="60">
                  <c:v>43.1642839441988</c:v>
                </c:pt>
                <c:pt idx="61">
                  <c:v>49.896714734482202</c:v>
                </c:pt>
                <c:pt idx="62">
                  <c:v>58.723529052872699</c:v>
                </c:pt>
                <c:pt idx="63">
                  <c:v>71.094953130222805</c:v>
                </c:pt>
                <c:pt idx="64">
                  <c:v>82.922225590864301</c:v>
                </c:pt>
                <c:pt idx="65">
                  <c:v>93.853723547359195</c:v>
                </c:pt>
                <c:pt idx="66">
                  <c:v>106.197906558182</c:v>
                </c:pt>
                <c:pt idx="67">
                  <c:v>115.98993486574101</c:v>
                </c:pt>
                <c:pt idx="68">
                  <c:v>123.677988092034</c:v>
                </c:pt>
                <c:pt idx="69">
                  <c:v>130.756244406306</c:v>
                </c:pt>
                <c:pt idx="70">
                  <c:v>140.031484378729</c:v>
                </c:pt>
                <c:pt idx="71">
                  <c:v>149.621624357222</c:v>
                </c:pt>
                <c:pt idx="72">
                  <c:v>160.638193977594</c:v>
                </c:pt>
                <c:pt idx="73">
                  <c:v>169.32231866556401</c:v>
                </c:pt>
                <c:pt idx="74">
                  <c:v>177.99107436696599</c:v>
                </c:pt>
                <c:pt idx="75">
                  <c:v>187.937123287812</c:v>
                </c:pt>
                <c:pt idx="76">
                  <c:v>201.87353719229799</c:v>
                </c:pt>
                <c:pt idx="77">
                  <c:v>216.75980522150499</c:v>
                </c:pt>
                <c:pt idx="78">
                  <c:v>231.739816430546</c:v>
                </c:pt>
                <c:pt idx="79">
                  <c:v>247.03218916321799</c:v>
                </c:pt>
                <c:pt idx="80">
                  <c:v>263.10201350098299</c:v>
                </c:pt>
                <c:pt idx="81">
                  <c:v>281.67336170247899</c:v>
                </c:pt>
                <c:pt idx="82">
                  <c:v>300.69494599573898</c:v>
                </c:pt>
                <c:pt idx="83">
                  <c:v>318.57619372843902</c:v>
                </c:pt>
                <c:pt idx="84">
                  <c:v>336.35771665200201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2602624"/>
        <c:axId val="142604160"/>
      </c:barChart>
      <c:catAx>
        <c:axId val="142602624"/>
        <c:scaling>
          <c:orientation val="minMax"/>
        </c:scaling>
        <c:delete val="0"/>
        <c:axPos val="b"/>
        <c:majorTickMark val="out"/>
        <c:minorTickMark val="none"/>
        <c:tickLblPos val="nextTo"/>
        <c:crossAx val="142604160"/>
        <c:crosses val="autoZero"/>
        <c:auto val="1"/>
        <c:lblAlgn val="ctr"/>
        <c:lblOffset val="100"/>
        <c:noMultiLvlLbl val="0"/>
      </c:catAx>
      <c:valAx>
        <c:axId val="1426041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260262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fnm_pool!$AF$3</c:f>
              <c:strCache>
                <c:ptCount val="1"/>
                <c:pt idx="0">
                  <c:v>v2.00</c:v>
                </c:pt>
              </c:strCache>
            </c:strRef>
          </c:tx>
          <c:marker>
            <c:symbol val="none"/>
          </c:marker>
          <c:cat>
            <c:numRef>
              <c:f>fnm_pool!$AE$4:$AE$38</c:f>
              <c:numCache>
                <c:formatCode>m/d/yyyy</c:formatCode>
                <c:ptCount val="35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</c:numCache>
            </c:numRef>
          </c:cat>
          <c:val>
            <c:numRef>
              <c:f>fnm_pool!$AF$4:$AF$38</c:f>
              <c:numCache>
                <c:formatCode>General</c:formatCode>
                <c:ptCount val="35"/>
                <c:pt idx="0">
                  <c:v>650.314789073052</c:v>
                </c:pt>
                <c:pt idx="1">
                  <c:v>728.03734240114397</c:v>
                </c:pt>
                <c:pt idx="2">
                  <c:v>725.03162263204797</c:v>
                </c:pt>
                <c:pt idx="3">
                  <c:v>723.51470141795005</c:v>
                </c:pt>
                <c:pt idx="4">
                  <c:v>720.66428889465203</c:v>
                </c:pt>
                <c:pt idx="5">
                  <c:v>720.38954603078605</c:v>
                </c:pt>
                <c:pt idx="6">
                  <c:v>719.25916398962397</c:v>
                </c:pt>
                <c:pt idx="7">
                  <c:v>717.04918523835897</c:v>
                </c:pt>
                <c:pt idx="8">
                  <c:v>715.75889187760004</c:v>
                </c:pt>
                <c:pt idx="9">
                  <c:v>713.38885099312495</c:v>
                </c:pt>
                <c:pt idx="10">
                  <c:v>712.52330189223505</c:v>
                </c:pt>
                <c:pt idx="11">
                  <c:v>715.525167507638</c:v>
                </c:pt>
                <c:pt idx="12">
                  <c:v>718.02254606309702</c:v>
                </c:pt>
                <c:pt idx="13">
                  <c:v>724.66393467468504</c:v>
                </c:pt>
                <c:pt idx="14">
                  <c:v>731.92162131265195</c:v>
                </c:pt>
                <c:pt idx="15">
                  <c:v>736.15502423953205</c:v>
                </c:pt>
                <c:pt idx="16">
                  <c:v>739.843484185237</c:v>
                </c:pt>
                <c:pt idx="17">
                  <c:v>739.89458743314901</c:v>
                </c:pt>
                <c:pt idx="18">
                  <c:v>736.90207589170598</c:v>
                </c:pt>
                <c:pt idx="19">
                  <c:v>731.10198483309705</c:v>
                </c:pt>
                <c:pt idx="20">
                  <c:v>729.83072647828703</c:v>
                </c:pt>
                <c:pt idx="21">
                  <c:v>726.43885318386401</c:v>
                </c:pt>
                <c:pt idx="22">
                  <c:v>726.79546602168602</c:v>
                </c:pt>
                <c:pt idx="23">
                  <c:v>727.92157862905106</c:v>
                </c:pt>
                <c:pt idx="24">
                  <c:v>725.98373192266001</c:v>
                </c:pt>
                <c:pt idx="25">
                  <c:v>725.82682059398803</c:v>
                </c:pt>
                <c:pt idx="26">
                  <c:v>733.02400168316103</c:v>
                </c:pt>
                <c:pt idx="27">
                  <c:v>738.15946315201495</c:v>
                </c:pt>
                <c:pt idx="28">
                  <c:v>742.78805268502299</c:v>
                </c:pt>
                <c:pt idx="29">
                  <c:v>747.73647010487298</c:v>
                </c:pt>
                <c:pt idx="30">
                  <c:v>751.72116677758299</c:v>
                </c:pt>
                <c:pt idx="31">
                  <c:v>758.90170349882305</c:v>
                </c:pt>
                <c:pt idx="32">
                  <c:v>763.546675781006</c:v>
                </c:pt>
                <c:pt idx="33">
                  <c:v>766.01392175292006</c:v>
                </c:pt>
                <c:pt idx="34">
                  <c:v>767.75810999898897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fnm_pool!$AG$3</c:f>
              <c:strCache>
                <c:ptCount val="1"/>
                <c:pt idx="0">
                  <c:v>v2.30</c:v>
                </c:pt>
              </c:strCache>
            </c:strRef>
          </c:tx>
          <c:marker>
            <c:symbol val="none"/>
          </c:marker>
          <c:cat>
            <c:numRef>
              <c:f>fnm_pool!$AE$4:$AE$38</c:f>
              <c:numCache>
                <c:formatCode>m/d/yyyy</c:formatCode>
                <c:ptCount val="35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</c:numCache>
            </c:numRef>
          </c:cat>
          <c:val>
            <c:numRef>
              <c:f>fnm_pool!$AG$4:$AG$38</c:f>
              <c:numCache>
                <c:formatCode>General</c:formatCode>
                <c:ptCount val="35"/>
                <c:pt idx="0">
                  <c:v>559.75469552969196</c:v>
                </c:pt>
                <c:pt idx="1">
                  <c:v>716.28152810165398</c:v>
                </c:pt>
                <c:pt idx="2">
                  <c:v>711.27184434424396</c:v>
                </c:pt>
                <c:pt idx="3">
                  <c:v>706.94895303444798</c:v>
                </c:pt>
                <c:pt idx="4">
                  <c:v>701.44283545124699</c:v>
                </c:pt>
                <c:pt idx="5">
                  <c:v>698.17537510802697</c:v>
                </c:pt>
                <c:pt idx="6">
                  <c:v>694.17895465660797</c:v>
                </c:pt>
                <c:pt idx="7">
                  <c:v>689.23541896763902</c:v>
                </c:pt>
                <c:pt idx="8">
                  <c:v>685.27728701231501</c:v>
                </c:pt>
                <c:pt idx="9">
                  <c:v>680.52767170773495</c:v>
                </c:pt>
                <c:pt idx="10">
                  <c:v>677.13700121548004</c:v>
                </c:pt>
                <c:pt idx="11">
                  <c:v>677.549544068194</c:v>
                </c:pt>
                <c:pt idx="12">
                  <c:v>677.36599727868895</c:v>
                </c:pt>
                <c:pt idx="13">
                  <c:v>681.12360102473303</c:v>
                </c:pt>
                <c:pt idx="14">
                  <c:v>685.62519758541805</c:v>
                </c:pt>
                <c:pt idx="15">
                  <c:v>687.41900371137899</c:v>
                </c:pt>
                <c:pt idx="16">
                  <c:v>688.76268795994997</c:v>
                </c:pt>
                <c:pt idx="17">
                  <c:v>686.98293896624102</c:v>
                </c:pt>
                <c:pt idx="18">
                  <c:v>682.54791417108402</c:v>
                </c:pt>
                <c:pt idx="19">
                  <c:v>675.66321474967401</c:v>
                </c:pt>
                <c:pt idx="20">
                  <c:v>671.82851647818802</c:v>
                </c:pt>
                <c:pt idx="21">
                  <c:v>666.21701564884904</c:v>
                </c:pt>
                <c:pt idx="22">
                  <c:v>664.14840555317096</c:v>
                </c:pt>
                <c:pt idx="23">
                  <c:v>662.98512189021301</c:v>
                </c:pt>
                <c:pt idx="24">
                  <c:v>659.13132301569703</c:v>
                </c:pt>
                <c:pt idx="25">
                  <c:v>657.01209122663101</c:v>
                </c:pt>
                <c:pt idx="26">
                  <c:v>661.64800832421997</c:v>
                </c:pt>
                <c:pt idx="27">
                  <c:v>664.61762785527799</c:v>
                </c:pt>
                <c:pt idx="28">
                  <c:v>667.12941718162995</c:v>
                </c:pt>
                <c:pt idx="29">
                  <c:v>670.04034855362397</c:v>
                </c:pt>
                <c:pt idx="30">
                  <c:v>672.19014624758699</c:v>
                </c:pt>
                <c:pt idx="31">
                  <c:v>677.39050069334201</c:v>
                </c:pt>
                <c:pt idx="32">
                  <c:v>680.42264988361899</c:v>
                </c:pt>
                <c:pt idx="33">
                  <c:v>681.46777242359803</c:v>
                </c:pt>
                <c:pt idx="34">
                  <c:v>681.91536630773101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49428480"/>
        <c:axId val="459574656"/>
      </c:lineChart>
      <c:dateAx>
        <c:axId val="44942848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459574656"/>
        <c:crosses val="autoZero"/>
        <c:auto val="1"/>
        <c:lblOffset val="100"/>
        <c:baseTimeUnit val="months"/>
      </c:dateAx>
      <c:valAx>
        <c:axId val="4595746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44942848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fnm_pool!$AG$1:$AG$3</c:f>
              <c:strCache>
                <c:ptCount val="1"/>
                <c:pt idx="0">
                  <c:v>FNCQ30 FNMA v2.30</c:v>
                </c:pt>
              </c:strCache>
            </c:strRef>
          </c:tx>
          <c:marker>
            <c:symbol val="none"/>
          </c:marker>
          <c:cat>
            <c:numRef>
              <c:f>fnm_pool!$AE$4:$AE$515</c:f>
              <c:numCache>
                <c:formatCode>m/d/yyyy</c:formatCode>
                <c:ptCount val="512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34366</c:v>
                </c:pt>
                <c:pt idx="36">
                  <c:v>34394</c:v>
                </c:pt>
                <c:pt idx="37">
                  <c:v>34425</c:v>
                </c:pt>
                <c:pt idx="38">
                  <c:v>34455</c:v>
                </c:pt>
                <c:pt idx="39">
                  <c:v>34486</c:v>
                </c:pt>
                <c:pt idx="40">
                  <c:v>34516</c:v>
                </c:pt>
                <c:pt idx="41">
                  <c:v>34547</c:v>
                </c:pt>
                <c:pt idx="42">
                  <c:v>34578</c:v>
                </c:pt>
                <c:pt idx="43">
                  <c:v>34608</c:v>
                </c:pt>
                <c:pt idx="44">
                  <c:v>34639</c:v>
                </c:pt>
                <c:pt idx="45">
                  <c:v>34669</c:v>
                </c:pt>
                <c:pt idx="46">
                  <c:v>34700</c:v>
                </c:pt>
                <c:pt idx="47">
                  <c:v>34731</c:v>
                </c:pt>
                <c:pt idx="48">
                  <c:v>34759</c:v>
                </c:pt>
                <c:pt idx="49">
                  <c:v>34790</c:v>
                </c:pt>
                <c:pt idx="50">
                  <c:v>34820</c:v>
                </c:pt>
                <c:pt idx="51">
                  <c:v>34851</c:v>
                </c:pt>
                <c:pt idx="52">
                  <c:v>34881</c:v>
                </c:pt>
                <c:pt idx="53">
                  <c:v>34912</c:v>
                </c:pt>
                <c:pt idx="54">
                  <c:v>34943</c:v>
                </c:pt>
                <c:pt idx="55">
                  <c:v>34973</c:v>
                </c:pt>
                <c:pt idx="56">
                  <c:v>35004</c:v>
                </c:pt>
                <c:pt idx="57">
                  <c:v>35034</c:v>
                </c:pt>
                <c:pt idx="58">
                  <c:v>35065</c:v>
                </c:pt>
                <c:pt idx="59">
                  <c:v>35096</c:v>
                </c:pt>
                <c:pt idx="60">
                  <c:v>35125</c:v>
                </c:pt>
                <c:pt idx="61">
                  <c:v>35156</c:v>
                </c:pt>
                <c:pt idx="62">
                  <c:v>35186</c:v>
                </c:pt>
                <c:pt idx="63">
                  <c:v>35217</c:v>
                </c:pt>
                <c:pt idx="64">
                  <c:v>35247</c:v>
                </c:pt>
                <c:pt idx="65">
                  <c:v>35278</c:v>
                </c:pt>
                <c:pt idx="66">
                  <c:v>35309</c:v>
                </c:pt>
                <c:pt idx="67">
                  <c:v>35339</c:v>
                </c:pt>
                <c:pt idx="68">
                  <c:v>35370</c:v>
                </c:pt>
                <c:pt idx="69">
                  <c:v>35400</c:v>
                </c:pt>
                <c:pt idx="70">
                  <c:v>35431</c:v>
                </c:pt>
                <c:pt idx="71">
                  <c:v>35462</c:v>
                </c:pt>
                <c:pt idx="72">
                  <c:v>35490</c:v>
                </c:pt>
                <c:pt idx="73">
                  <c:v>35521</c:v>
                </c:pt>
                <c:pt idx="74">
                  <c:v>35551</c:v>
                </c:pt>
                <c:pt idx="75">
                  <c:v>35582</c:v>
                </c:pt>
                <c:pt idx="76">
                  <c:v>35612</c:v>
                </c:pt>
                <c:pt idx="77">
                  <c:v>35643</c:v>
                </c:pt>
                <c:pt idx="78">
                  <c:v>35674</c:v>
                </c:pt>
                <c:pt idx="79">
                  <c:v>35704</c:v>
                </c:pt>
                <c:pt idx="80">
                  <c:v>35735</c:v>
                </c:pt>
                <c:pt idx="81">
                  <c:v>35765</c:v>
                </c:pt>
                <c:pt idx="82">
                  <c:v>35796</c:v>
                </c:pt>
                <c:pt idx="83">
                  <c:v>35827</c:v>
                </c:pt>
                <c:pt idx="84">
                  <c:v>35855</c:v>
                </c:pt>
                <c:pt idx="85">
                  <c:v>35886</c:v>
                </c:pt>
                <c:pt idx="86">
                  <c:v>35916</c:v>
                </c:pt>
                <c:pt idx="87">
                  <c:v>35947</c:v>
                </c:pt>
                <c:pt idx="88">
                  <c:v>35977</c:v>
                </c:pt>
                <c:pt idx="89">
                  <c:v>36008</c:v>
                </c:pt>
                <c:pt idx="90">
                  <c:v>36039</c:v>
                </c:pt>
                <c:pt idx="91">
                  <c:v>36069</c:v>
                </c:pt>
                <c:pt idx="92">
                  <c:v>36100</c:v>
                </c:pt>
                <c:pt idx="93">
                  <c:v>36130</c:v>
                </c:pt>
                <c:pt idx="94">
                  <c:v>36161</c:v>
                </c:pt>
                <c:pt idx="95">
                  <c:v>36192</c:v>
                </c:pt>
                <c:pt idx="96">
                  <c:v>36220</c:v>
                </c:pt>
                <c:pt idx="97">
                  <c:v>36251</c:v>
                </c:pt>
                <c:pt idx="98">
                  <c:v>36281</c:v>
                </c:pt>
                <c:pt idx="99">
                  <c:v>36312</c:v>
                </c:pt>
                <c:pt idx="100">
                  <c:v>36342</c:v>
                </c:pt>
                <c:pt idx="101">
                  <c:v>36373</c:v>
                </c:pt>
                <c:pt idx="102">
                  <c:v>36404</c:v>
                </c:pt>
                <c:pt idx="103">
                  <c:v>36434</c:v>
                </c:pt>
                <c:pt idx="104">
                  <c:v>36465</c:v>
                </c:pt>
                <c:pt idx="105">
                  <c:v>36495</c:v>
                </c:pt>
                <c:pt idx="106">
                  <c:v>36526</c:v>
                </c:pt>
                <c:pt idx="107">
                  <c:v>36557</c:v>
                </c:pt>
                <c:pt idx="108">
                  <c:v>36586</c:v>
                </c:pt>
                <c:pt idx="109">
                  <c:v>36617</c:v>
                </c:pt>
                <c:pt idx="110">
                  <c:v>36647</c:v>
                </c:pt>
                <c:pt idx="111">
                  <c:v>36678</c:v>
                </c:pt>
                <c:pt idx="112">
                  <c:v>36708</c:v>
                </c:pt>
                <c:pt idx="113">
                  <c:v>36739</c:v>
                </c:pt>
                <c:pt idx="114">
                  <c:v>36770</c:v>
                </c:pt>
                <c:pt idx="115">
                  <c:v>36800</c:v>
                </c:pt>
                <c:pt idx="116">
                  <c:v>36831</c:v>
                </c:pt>
                <c:pt idx="117">
                  <c:v>36861</c:v>
                </c:pt>
                <c:pt idx="118">
                  <c:v>36892</c:v>
                </c:pt>
                <c:pt idx="119">
                  <c:v>36923</c:v>
                </c:pt>
                <c:pt idx="120">
                  <c:v>36951</c:v>
                </c:pt>
                <c:pt idx="121">
                  <c:v>36982</c:v>
                </c:pt>
                <c:pt idx="122">
                  <c:v>37012</c:v>
                </c:pt>
                <c:pt idx="123">
                  <c:v>37043</c:v>
                </c:pt>
                <c:pt idx="124">
                  <c:v>37073</c:v>
                </c:pt>
                <c:pt idx="125">
                  <c:v>37104</c:v>
                </c:pt>
                <c:pt idx="126">
                  <c:v>37135</c:v>
                </c:pt>
                <c:pt idx="127">
                  <c:v>37165</c:v>
                </c:pt>
                <c:pt idx="128">
                  <c:v>37196</c:v>
                </c:pt>
                <c:pt idx="129">
                  <c:v>37226</c:v>
                </c:pt>
                <c:pt idx="130">
                  <c:v>37257</c:v>
                </c:pt>
                <c:pt idx="131">
                  <c:v>37288</c:v>
                </c:pt>
                <c:pt idx="132">
                  <c:v>37316</c:v>
                </c:pt>
                <c:pt idx="133">
                  <c:v>37347</c:v>
                </c:pt>
                <c:pt idx="134">
                  <c:v>37377</c:v>
                </c:pt>
                <c:pt idx="135">
                  <c:v>37408</c:v>
                </c:pt>
                <c:pt idx="136">
                  <c:v>37438</c:v>
                </c:pt>
                <c:pt idx="137">
                  <c:v>37469</c:v>
                </c:pt>
                <c:pt idx="138">
                  <c:v>37500</c:v>
                </c:pt>
                <c:pt idx="139">
                  <c:v>37530</c:v>
                </c:pt>
                <c:pt idx="140">
                  <c:v>37561</c:v>
                </c:pt>
                <c:pt idx="141">
                  <c:v>37591</c:v>
                </c:pt>
                <c:pt idx="142">
                  <c:v>37622</c:v>
                </c:pt>
                <c:pt idx="143">
                  <c:v>37653</c:v>
                </c:pt>
                <c:pt idx="144">
                  <c:v>37681</c:v>
                </c:pt>
                <c:pt idx="145">
                  <c:v>37712</c:v>
                </c:pt>
                <c:pt idx="146">
                  <c:v>37742</c:v>
                </c:pt>
                <c:pt idx="147">
                  <c:v>37773</c:v>
                </c:pt>
                <c:pt idx="148">
                  <c:v>37803</c:v>
                </c:pt>
                <c:pt idx="149">
                  <c:v>37834</c:v>
                </c:pt>
                <c:pt idx="150">
                  <c:v>37865</c:v>
                </c:pt>
                <c:pt idx="151">
                  <c:v>37895</c:v>
                </c:pt>
                <c:pt idx="152">
                  <c:v>37926</c:v>
                </c:pt>
                <c:pt idx="153">
                  <c:v>37956</c:v>
                </c:pt>
                <c:pt idx="154">
                  <c:v>37987</c:v>
                </c:pt>
                <c:pt idx="155">
                  <c:v>38018</c:v>
                </c:pt>
                <c:pt idx="156">
                  <c:v>38047</c:v>
                </c:pt>
                <c:pt idx="157">
                  <c:v>38078</c:v>
                </c:pt>
                <c:pt idx="158">
                  <c:v>38108</c:v>
                </c:pt>
                <c:pt idx="159">
                  <c:v>38139</c:v>
                </c:pt>
                <c:pt idx="160">
                  <c:v>38169</c:v>
                </c:pt>
                <c:pt idx="161">
                  <c:v>38200</c:v>
                </c:pt>
                <c:pt idx="162">
                  <c:v>38231</c:v>
                </c:pt>
                <c:pt idx="163">
                  <c:v>38261</c:v>
                </c:pt>
                <c:pt idx="164">
                  <c:v>38292</c:v>
                </c:pt>
                <c:pt idx="165">
                  <c:v>38322</c:v>
                </c:pt>
                <c:pt idx="166">
                  <c:v>38353</c:v>
                </c:pt>
                <c:pt idx="167">
                  <c:v>38384</c:v>
                </c:pt>
                <c:pt idx="168">
                  <c:v>38412</c:v>
                </c:pt>
                <c:pt idx="169">
                  <c:v>38443</c:v>
                </c:pt>
                <c:pt idx="170">
                  <c:v>38473</c:v>
                </c:pt>
                <c:pt idx="171">
                  <c:v>38504</c:v>
                </c:pt>
                <c:pt idx="172">
                  <c:v>38534</c:v>
                </c:pt>
                <c:pt idx="173">
                  <c:v>38565</c:v>
                </c:pt>
                <c:pt idx="174">
                  <c:v>38596</c:v>
                </c:pt>
                <c:pt idx="175">
                  <c:v>38626</c:v>
                </c:pt>
                <c:pt idx="176">
                  <c:v>38657</c:v>
                </c:pt>
                <c:pt idx="177">
                  <c:v>38687</c:v>
                </c:pt>
                <c:pt idx="178">
                  <c:v>38718</c:v>
                </c:pt>
                <c:pt idx="179">
                  <c:v>38749</c:v>
                </c:pt>
                <c:pt idx="180">
                  <c:v>38777</c:v>
                </c:pt>
                <c:pt idx="181">
                  <c:v>38808</c:v>
                </c:pt>
                <c:pt idx="182">
                  <c:v>38838</c:v>
                </c:pt>
                <c:pt idx="183">
                  <c:v>38869</c:v>
                </c:pt>
                <c:pt idx="184">
                  <c:v>38899</c:v>
                </c:pt>
                <c:pt idx="185">
                  <c:v>38930</c:v>
                </c:pt>
                <c:pt idx="186">
                  <c:v>38961</c:v>
                </c:pt>
                <c:pt idx="187">
                  <c:v>38991</c:v>
                </c:pt>
                <c:pt idx="188">
                  <c:v>39022</c:v>
                </c:pt>
                <c:pt idx="189">
                  <c:v>39052</c:v>
                </c:pt>
                <c:pt idx="190">
                  <c:v>39083</c:v>
                </c:pt>
                <c:pt idx="191">
                  <c:v>39114</c:v>
                </c:pt>
                <c:pt idx="192">
                  <c:v>39142</c:v>
                </c:pt>
                <c:pt idx="193">
                  <c:v>39173</c:v>
                </c:pt>
                <c:pt idx="194">
                  <c:v>39203</c:v>
                </c:pt>
                <c:pt idx="195">
                  <c:v>39234</c:v>
                </c:pt>
                <c:pt idx="196">
                  <c:v>39264</c:v>
                </c:pt>
                <c:pt idx="197">
                  <c:v>39295</c:v>
                </c:pt>
                <c:pt idx="198">
                  <c:v>39326</c:v>
                </c:pt>
                <c:pt idx="199">
                  <c:v>39356</c:v>
                </c:pt>
                <c:pt idx="200">
                  <c:v>39387</c:v>
                </c:pt>
                <c:pt idx="201">
                  <c:v>39417</c:v>
                </c:pt>
                <c:pt idx="202">
                  <c:v>39448</c:v>
                </c:pt>
                <c:pt idx="203">
                  <c:v>39479</c:v>
                </c:pt>
                <c:pt idx="204">
                  <c:v>39508</c:v>
                </c:pt>
                <c:pt idx="205">
                  <c:v>39539</c:v>
                </c:pt>
                <c:pt idx="206">
                  <c:v>39569</c:v>
                </c:pt>
                <c:pt idx="207">
                  <c:v>39600</c:v>
                </c:pt>
                <c:pt idx="208">
                  <c:v>39630</c:v>
                </c:pt>
                <c:pt idx="209">
                  <c:v>39661</c:v>
                </c:pt>
                <c:pt idx="210">
                  <c:v>39692</c:v>
                </c:pt>
                <c:pt idx="211">
                  <c:v>39722</c:v>
                </c:pt>
                <c:pt idx="212">
                  <c:v>39753</c:v>
                </c:pt>
                <c:pt idx="213">
                  <c:v>39783</c:v>
                </c:pt>
                <c:pt idx="214">
                  <c:v>39814</c:v>
                </c:pt>
                <c:pt idx="215">
                  <c:v>39845</c:v>
                </c:pt>
                <c:pt idx="216">
                  <c:v>39873</c:v>
                </c:pt>
                <c:pt idx="217">
                  <c:v>39904</c:v>
                </c:pt>
                <c:pt idx="218">
                  <c:v>39934</c:v>
                </c:pt>
                <c:pt idx="219">
                  <c:v>39965</c:v>
                </c:pt>
                <c:pt idx="220">
                  <c:v>39995</c:v>
                </c:pt>
                <c:pt idx="221">
                  <c:v>40026</c:v>
                </c:pt>
                <c:pt idx="222">
                  <c:v>40057</c:v>
                </c:pt>
                <c:pt idx="223">
                  <c:v>40087</c:v>
                </c:pt>
                <c:pt idx="224">
                  <c:v>40118</c:v>
                </c:pt>
                <c:pt idx="225">
                  <c:v>40148</c:v>
                </c:pt>
                <c:pt idx="226">
                  <c:v>40179</c:v>
                </c:pt>
                <c:pt idx="227">
                  <c:v>40210</c:v>
                </c:pt>
                <c:pt idx="228">
                  <c:v>40238</c:v>
                </c:pt>
                <c:pt idx="229">
                  <c:v>40269</c:v>
                </c:pt>
                <c:pt idx="230">
                  <c:v>40299</c:v>
                </c:pt>
                <c:pt idx="231">
                  <c:v>40330</c:v>
                </c:pt>
                <c:pt idx="232">
                  <c:v>40360</c:v>
                </c:pt>
                <c:pt idx="233">
                  <c:v>40391</c:v>
                </c:pt>
                <c:pt idx="234">
                  <c:v>40422</c:v>
                </c:pt>
                <c:pt idx="235">
                  <c:v>40452</c:v>
                </c:pt>
                <c:pt idx="236">
                  <c:v>40483</c:v>
                </c:pt>
                <c:pt idx="237">
                  <c:v>40513</c:v>
                </c:pt>
                <c:pt idx="238">
                  <c:v>40544</c:v>
                </c:pt>
                <c:pt idx="239">
                  <c:v>40575</c:v>
                </c:pt>
                <c:pt idx="240">
                  <c:v>40603</c:v>
                </c:pt>
                <c:pt idx="241">
                  <c:v>40634</c:v>
                </c:pt>
                <c:pt idx="242">
                  <c:v>40664</c:v>
                </c:pt>
                <c:pt idx="243">
                  <c:v>40695</c:v>
                </c:pt>
                <c:pt idx="244">
                  <c:v>40725</c:v>
                </c:pt>
                <c:pt idx="245">
                  <c:v>40756</c:v>
                </c:pt>
                <c:pt idx="246">
                  <c:v>40787</c:v>
                </c:pt>
                <c:pt idx="247">
                  <c:v>40817</c:v>
                </c:pt>
                <c:pt idx="248">
                  <c:v>40848</c:v>
                </c:pt>
                <c:pt idx="249">
                  <c:v>40878</c:v>
                </c:pt>
                <c:pt idx="250">
                  <c:v>40909</c:v>
                </c:pt>
                <c:pt idx="251">
                  <c:v>40940</c:v>
                </c:pt>
                <c:pt idx="252">
                  <c:v>40969</c:v>
                </c:pt>
                <c:pt idx="253">
                  <c:v>41000</c:v>
                </c:pt>
                <c:pt idx="254">
                  <c:v>41030</c:v>
                </c:pt>
                <c:pt idx="255">
                  <c:v>41061</c:v>
                </c:pt>
                <c:pt idx="256">
                  <c:v>41091</c:v>
                </c:pt>
                <c:pt idx="257">
                  <c:v>41122</c:v>
                </c:pt>
                <c:pt idx="258">
                  <c:v>41153</c:v>
                </c:pt>
                <c:pt idx="259">
                  <c:v>41183</c:v>
                </c:pt>
                <c:pt idx="260">
                  <c:v>41214</c:v>
                </c:pt>
                <c:pt idx="261">
                  <c:v>41244</c:v>
                </c:pt>
                <c:pt idx="262">
                  <c:v>41275</c:v>
                </c:pt>
                <c:pt idx="263">
                  <c:v>41306</c:v>
                </c:pt>
                <c:pt idx="264">
                  <c:v>41334</c:v>
                </c:pt>
                <c:pt idx="265">
                  <c:v>41365</c:v>
                </c:pt>
                <c:pt idx="266">
                  <c:v>41395</c:v>
                </c:pt>
                <c:pt idx="267">
                  <c:v>41426</c:v>
                </c:pt>
                <c:pt idx="268">
                  <c:v>41456</c:v>
                </c:pt>
                <c:pt idx="269">
                  <c:v>41487</c:v>
                </c:pt>
                <c:pt idx="270">
                  <c:v>41518</c:v>
                </c:pt>
                <c:pt idx="271">
                  <c:v>41548</c:v>
                </c:pt>
                <c:pt idx="272">
                  <c:v>41579</c:v>
                </c:pt>
                <c:pt idx="273">
                  <c:v>41609</c:v>
                </c:pt>
              </c:numCache>
            </c:numRef>
          </c:cat>
          <c:val>
            <c:numRef>
              <c:f>fnm_pool!$AG$4:$AG$515</c:f>
              <c:numCache>
                <c:formatCode>General</c:formatCode>
                <c:ptCount val="512"/>
                <c:pt idx="0">
                  <c:v>559.75469552969196</c:v>
                </c:pt>
                <c:pt idx="1">
                  <c:v>716.28152810165398</c:v>
                </c:pt>
                <c:pt idx="2">
                  <c:v>711.27184434424396</c:v>
                </c:pt>
                <c:pt idx="3">
                  <c:v>706.94895303444798</c:v>
                </c:pt>
                <c:pt idx="4">
                  <c:v>701.44283545124699</c:v>
                </c:pt>
                <c:pt idx="5">
                  <c:v>698.17537510802697</c:v>
                </c:pt>
                <c:pt idx="6">
                  <c:v>694.17895465660797</c:v>
                </c:pt>
                <c:pt idx="7">
                  <c:v>689.23541896763902</c:v>
                </c:pt>
                <c:pt idx="8">
                  <c:v>685.27728701231501</c:v>
                </c:pt>
                <c:pt idx="9">
                  <c:v>680.52767170773495</c:v>
                </c:pt>
                <c:pt idx="10">
                  <c:v>677.13700121548004</c:v>
                </c:pt>
                <c:pt idx="11">
                  <c:v>677.549544068194</c:v>
                </c:pt>
                <c:pt idx="12">
                  <c:v>677.36599727868895</c:v>
                </c:pt>
                <c:pt idx="13">
                  <c:v>681.12360102473303</c:v>
                </c:pt>
                <c:pt idx="14">
                  <c:v>685.62519758541805</c:v>
                </c:pt>
                <c:pt idx="15">
                  <c:v>687.41900371137899</c:v>
                </c:pt>
                <c:pt idx="16">
                  <c:v>688.76268795994997</c:v>
                </c:pt>
                <c:pt idx="17">
                  <c:v>686.98293896624102</c:v>
                </c:pt>
                <c:pt idx="18">
                  <c:v>682.54791417108402</c:v>
                </c:pt>
                <c:pt idx="19">
                  <c:v>675.66321474967401</c:v>
                </c:pt>
                <c:pt idx="20">
                  <c:v>671.82851647818802</c:v>
                </c:pt>
                <c:pt idx="21">
                  <c:v>666.21701564884904</c:v>
                </c:pt>
                <c:pt idx="22">
                  <c:v>664.14840555317096</c:v>
                </c:pt>
                <c:pt idx="23">
                  <c:v>662.98512189021301</c:v>
                </c:pt>
                <c:pt idx="24">
                  <c:v>659.13132301569703</c:v>
                </c:pt>
                <c:pt idx="25">
                  <c:v>657.01209122663101</c:v>
                </c:pt>
                <c:pt idx="26">
                  <c:v>661.64800832421997</c:v>
                </c:pt>
                <c:pt idx="27">
                  <c:v>664.61762785527799</c:v>
                </c:pt>
                <c:pt idx="28">
                  <c:v>667.12941718162995</c:v>
                </c:pt>
                <c:pt idx="29">
                  <c:v>670.04034855362397</c:v>
                </c:pt>
                <c:pt idx="30">
                  <c:v>672.19014624758699</c:v>
                </c:pt>
                <c:pt idx="31">
                  <c:v>677.39050069334201</c:v>
                </c:pt>
                <c:pt idx="32">
                  <c:v>680.42264988361899</c:v>
                </c:pt>
                <c:pt idx="33">
                  <c:v>681.46777242359803</c:v>
                </c:pt>
                <c:pt idx="34">
                  <c:v>681.91536630773101</c:v>
                </c:pt>
                <c:pt idx="35">
                  <c:v>243.782375455493</c:v>
                </c:pt>
                <c:pt idx="36">
                  <c:v>234.482687009149</c:v>
                </c:pt>
                <c:pt idx="37">
                  <c:v>226.24896811246401</c:v>
                </c:pt>
                <c:pt idx="38">
                  <c:v>215.93708971184401</c:v>
                </c:pt>
                <c:pt idx="39">
                  <c:v>207.26682714751999</c:v>
                </c:pt>
                <c:pt idx="40">
                  <c:v>200.515806902729</c:v>
                </c:pt>
                <c:pt idx="41">
                  <c:v>195.02974978119801</c:v>
                </c:pt>
                <c:pt idx="42">
                  <c:v>190.96620723217401</c:v>
                </c:pt>
                <c:pt idx="43">
                  <c:v>186.68367058190401</c:v>
                </c:pt>
                <c:pt idx="44">
                  <c:v>182.83427916822001</c:v>
                </c:pt>
                <c:pt idx="45">
                  <c:v>179.05827160571499</c:v>
                </c:pt>
                <c:pt idx="46">
                  <c:v>175.39961494973099</c:v>
                </c:pt>
                <c:pt idx="47">
                  <c:v>172.841893458219</c:v>
                </c:pt>
                <c:pt idx="48">
                  <c:v>170.83836976066701</c:v>
                </c:pt>
                <c:pt idx="49">
                  <c:v>169.50120363527199</c:v>
                </c:pt>
                <c:pt idx="50">
                  <c:v>167.78811251201299</c:v>
                </c:pt>
                <c:pt idx="51">
                  <c:v>166.239580669068</c:v>
                </c:pt>
                <c:pt idx="52">
                  <c:v>164.542027020159</c:v>
                </c:pt>
                <c:pt idx="53">
                  <c:v>161.865960699543</c:v>
                </c:pt>
                <c:pt idx="54">
                  <c:v>158.41334845742</c:v>
                </c:pt>
                <c:pt idx="55">
                  <c:v>155.33338900609499</c:v>
                </c:pt>
                <c:pt idx="56">
                  <c:v>152.708613474212</c:v>
                </c:pt>
                <c:pt idx="57">
                  <c:v>150.11310249176901</c:v>
                </c:pt>
                <c:pt idx="58">
                  <c:v>148.51778275939401</c:v>
                </c:pt>
                <c:pt idx="59">
                  <c:v>147.93026716552799</c:v>
                </c:pt>
                <c:pt idx="60">
                  <c:v>146.64803471968801</c:v>
                </c:pt>
                <c:pt idx="61">
                  <c:v>143.53682306920101</c:v>
                </c:pt>
                <c:pt idx="62">
                  <c:v>139.43813571705701</c:v>
                </c:pt>
                <c:pt idx="63">
                  <c:v>135.04357861035899</c:v>
                </c:pt>
                <c:pt idx="64">
                  <c:v>130.69940064471299</c:v>
                </c:pt>
                <c:pt idx="65">
                  <c:v>127.649006362907</c:v>
                </c:pt>
                <c:pt idx="66">
                  <c:v>125.360095878652</c:v>
                </c:pt>
                <c:pt idx="67">
                  <c:v>122.37547907439</c:v>
                </c:pt>
                <c:pt idx="68">
                  <c:v>120.61534173073299</c:v>
                </c:pt>
                <c:pt idx="69">
                  <c:v>119.645863826474</c:v>
                </c:pt>
                <c:pt idx="70">
                  <c:v>118.62403927027999</c:v>
                </c:pt>
                <c:pt idx="71">
                  <c:v>117.12886207116399</c:v>
                </c:pt>
                <c:pt idx="72">
                  <c:v>115.880286998255</c:v>
                </c:pt>
                <c:pt idx="73">
                  <c:v>114.319603868936</c:v>
                </c:pt>
                <c:pt idx="74">
                  <c:v>112.430490172321</c:v>
                </c:pt>
                <c:pt idx="75">
                  <c:v>110.488697800867</c:v>
                </c:pt>
                <c:pt idx="76">
                  <c:v>109.537451549664</c:v>
                </c:pt>
                <c:pt idx="77">
                  <c:v>108.93832100365501</c:v>
                </c:pt>
                <c:pt idx="78">
                  <c:v>107.69994260707399</c:v>
                </c:pt>
                <c:pt idx="79">
                  <c:v>107.023726591773</c:v>
                </c:pt>
                <c:pt idx="80">
                  <c:v>106.486785123072</c:v>
                </c:pt>
                <c:pt idx="81">
                  <c:v>106.19939574244</c:v>
                </c:pt>
                <c:pt idx="82">
                  <c:v>106.442110821803</c:v>
                </c:pt>
                <c:pt idx="83">
                  <c:v>107.744773386007</c:v>
                </c:pt>
                <c:pt idx="84">
                  <c:v>108.86837011368701</c:v>
                </c:pt>
                <c:pt idx="85">
                  <c:v>108.572133122525</c:v>
                </c:pt>
                <c:pt idx="86">
                  <c:v>106.361928439392</c:v>
                </c:pt>
                <c:pt idx="87">
                  <c:v>104.512916257984</c:v>
                </c:pt>
                <c:pt idx="88">
                  <c:v>103.56650003183501</c:v>
                </c:pt>
                <c:pt idx="89">
                  <c:v>102.246255205677</c:v>
                </c:pt>
                <c:pt idx="90">
                  <c:v>101.53557658064901</c:v>
                </c:pt>
                <c:pt idx="91">
                  <c:v>102.528495041151</c:v>
                </c:pt>
                <c:pt idx="92">
                  <c:v>103.641119399283</c:v>
                </c:pt>
                <c:pt idx="93">
                  <c:v>103.091121125494</c:v>
                </c:pt>
                <c:pt idx="94">
                  <c:v>102.048044730559</c:v>
                </c:pt>
                <c:pt idx="95">
                  <c:v>99.879058553505601</c:v>
                </c:pt>
                <c:pt idx="96">
                  <c:v>98.344402875783203</c:v>
                </c:pt>
                <c:pt idx="97">
                  <c:v>95.850705461469005</c:v>
                </c:pt>
                <c:pt idx="98">
                  <c:v>93.975757874369293</c:v>
                </c:pt>
                <c:pt idx="99">
                  <c:v>91.464153377115494</c:v>
                </c:pt>
                <c:pt idx="100">
                  <c:v>87.976605332424498</c:v>
                </c:pt>
                <c:pt idx="101">
                  <c:v>84.662193462768101</c:v>
                </c:pt>
                <c:pt idx="102">
                  <c:v>81.522421554829506</c:v>
                </c:pt>
                <c:pt idx="103">
                  <c:v>78.904335184212698</c:v>
                </c:pt>
                <c:pt idx="104">
                  <c:v>76.698135590656307</c:v>
                </c:pt>
                <c:pt idx="105">
                  <c:v>75.259367849190994</c:v>
                </c:pt>
                <c:pt idx="106">
                  <c:v>73.652902815295107</c:v>
                </c:pt>
                <c:pt idx="107">
                  <c:v>71.953222489577399</c:v>
                </c:pt>
                <c:pt idx="108">
                  <c:v>70.574938241084197</c:v>
                </c:pt>
                <c:pt idx="109">
                  <c:v>69.458926193563997</c:v>
                </c:pt>
                <c:pt idx="110">
                  <c:v>68.240872672880798</c:v>
                </c:pt>
                <c:pt idx="111">
                  <c:v>66.901707920605006</c:v>
                </c:pt>
                <c:pt idx="112">
                  <c:v>65.566456058745501</c:v>
                </c:pt>
                <c:pt idx="113">
                  <c:v>64.416007472304699</c:v>
                </c:pt>
                <c:pt idx="114">
                  <c:v>63.277951695894799</c:v>
                </c:pt>
                <c:pt idx="115">
                  <c:v>62.3010158228603</c:v>
                </c:pt>
                <c:pt idx="116">
                  <c:v>61.5214786675364</c:v>
                </c:pt>
                <c:pt idx="117">
                  <c:v>60.944628622395697</c:v>
                </c:pt>
                <c:pt idx="118">
                  <c:v>61.888735758352098</c:v>
                </c:pt>
                <c:pt idx="119">
                  <c:v>64.597834227597502</c:v>
                </c:pt>
                <c:pt idx="120">
                  <c:v>66.739753064070101</c:v>
                </c:pt>
                <c:pt idx="121">
                  <c:v>69.0288844915803</c:v>
                </c:pt>
                <c:pt idx="122">
                  <c:v>69.370882185601801</c:v>
                </c:pt>
                <c:pt idx="123">
                  <c:v>68.774158468952294</c:v>
                </c:pt>
                <c:pt idx="124">
                  <c:v>67.892273172240607</c:v>
                </c:pt>
                <c:pt idx="125">
                  <c:v>67.243559080277606</c:v>
                </c:pt>
                <c:pt idx="126">
                  <c:v>67.694556948754396</c:v>
                </c:pt>
                <c:pt idx="127">
                  <c:v>68.980556333710297</c:v>
                </c:pt>
                <c:pt idx="128">
                  <c:v>72.268007048960101</c:v>
                </c:pt>
                <c:pt idx="129">
                  <c:v>73.862006812546596</c:v>
                </c:pt>
                <c:pt idx="130">
                  <c:v>71.922823410928999</c:v>
                </c:pt>
                <c:pt idx="131">
                  <c:v>70.367193994003202</c:v>
                </c:pt>
                <c:pt idx="132">
                  <c:v>69.693794887416004</c:v>
                </c:pt>
                <c:pt idx="133">
                  <c:v>67.972181113768798</c:v>
                </c:pt>
                <c:pt idx="134">
                  <c:v>66.968664843559694</c:v>
                </c:pt>
                <c:pt idx="135">
                  <c:v>67.143544071000306</c:v>
                </c:pt>
                <c:pt idx="136">
                  <c:v>68.691159746604598</c:v>
                </c:pt>
                <c:pt idx="137">
                  <c:v>71.845727725272596</c:v>
                </c:pt>
                <c:pt idx="138">
                  <c:v>76.124453655321702</c:v>
                </c:pt>
                <c:pt idx="139">
                  <c:v>82.132236205062796</c:v>
                </c:pt>
                <c:pt idx="140">
                  <c:v>86.310090236327397</c:v>
                </c:pt>
                <c:pt idx="141">
                  <c:v>90.305458712504404</c:v>
                </c:pt>
                <c:pt idx="142">
                  <c:v>93.4734413173381</c:v>
                </c:pt>
                <c:pt idx="143">
                  <c:v>96.340036782699002</c:v>
                </c:pt>
                <c:pt idx="144">
                  <c:v>99.673129073822295</c:v>
                </c:pt>
                <c:pt idx="145">
                  <c:v>103.676244852417</c:v>
                </c:pt>
                <c:pt idx="146">
                  <c:v>103.829085227447</c:v>
                </c:pt>
                <c:pt idx="147">
                  <c:v>107.852270367323</c:v>
                </c:pt>
                <c:pt idx="148">
                  <c:v>113.660666369404</c:v>
                </c:pt>
                <c:pt idx="149">
                  <c:v>112.317567488181</c:v>
                </c:pt>
                <c:pt idx="150">
                  <c:v>106.55162724334799</c:v>
                </c:pt>
                <c:pt idx="151">
                  <c:v>100.40586290837101</c:v>
                </c:pt>
                <c:pt idx="152">
                  <c:v>96.969704426976307</c:v>
                </c:pt>
                <c:pt idx="153">
                  <c:v>94.829636513974705</c:v>
                </c:pt>
                <c:pt idx="154">
                  <c:v>93.876027563744501</c:v>
                </c:pt>
                <c:pt idx="155">
                  <c:v>94.604546361960701</c:v>
                </c:pt>
                <c:pt idx="156">
                  <c:v>96.468368053784999</c:v>
                </c:pt>
                <c:pt idx="157">
                  <c:v>99.763865144393193</c:v>
                </c:pt>
                <c:pt idx="158">
                  <c:v>98.251821898209101</c:v>
                </c:pt>
                <c:pt idx="159">
                  <c:v>95.860614239825097</c:v>
                </c:pt>
                <c:pt idx="160">
                  <c:v>93.0628580856132</c:v>
                </c:pt>
                <c:pt idx="161">
                  <c:v>91.786675218524095</c:v>
                </c:pt>
                <c:pt idx="162">
                  <c:v>91.794455331314197</c:v>
                </c:pt>
                <c:pt idx="163">
                  <c:v>92.080277512902398</c:v>
                </c:pt>
                <c:pt idx="164">
                  <c:v>93.208025228603603</c:v>
                </c:pt>
                <c:pt idx="165">
                  <c:v>94.259217930168106</c:v>
                </c:pt>
                <c:pt idx="166">
                  <c:v>94.984140534387194</c:v>
                </c:pt>
                <c:pt idx="167">
                  <c:v>95.687432824185606</c:v>
                </c:pt>
                <c:pt idx="168">
                  <c:v>97.372626077828997</c:v>
                </c:pt>
                <c:pt idx="169">
                  <c:v>96.986833963780597</c:v>
                </c:pt>
                <c:pt idx="170">
                  <c:v>96.469422084142295</c:v>
                </c:pt>
                <c:pt idx="171">
                  <c:v>96.623328845006</c:v>
                </c:pt>
                <c:pt idx="172">
                  <c:v>98.105338108117806</c:v>
                </c:pt>
                <c:pt idx="173">
                  <c:v>98.2563373103646</c:v>
                </c:pt>
                <c:pt idx="174">
                  <c:v>97.6126132973924</c:v>
                </c:pt>
                <c:pt idx="175">
                  <c:v>96.2748471760261</c:v>
                </c:pt>
                <c:pt idx="176">
                  <c:v>94.4904178266287</c:v>
                </c:pt>
                <c:pt idx="177">
                  <c:v>92.125891532202999</c:v>
                </c:pt>
                <c:pt idx="178">
                  <c:v>90.187952137422997</c:v>
                </c:pt>
                <c:pt idx="179">
                  <c:v>88.682579573235799</c:v>
                </c:pt>
                <c:pt idx="180">
                  <c:v>87.4881575882074</c:v>
                </c:pt>
                <c:pt idx="181">
                  <c:v>86.165527929335497</c:v>
                </c:pt>
                <c:pt idx="182">
                  <c:v>84.032827286979099</c:v>
                </c:pt>
                <c:pt idx="183">
                  <c:v>82.191683934155506</c:v>
                </c:pt>
                <c:pt idx="184">
                  <c:v>80.112057972432595</c:v>
                </c:pt>
                <c:pt idx="185">
                  <c:v>78.304525949301905</c:v>
                </c:pt>
                <c:pt idx="186">
                  <c:v>76.8743361996506</c:v>
                </c:pt>
                <c:pt idx="187">
                  <c:v>75.603773963589205</c:v>
                </c:pt>
                <c:pt idx="188">
                  <c:v>74.233351011369805</c:v>
                </c:pt>
                <c:pt idx="189">
                  <c:v>73.505457075352993</c:v>
                </c:pt>
                <c:pt idx="190">
                  <c:v>73.143515138607299</c:v>
                </c:pt>
                <c:pt idx="191">
                  <c:v>72.484289280288607</c:v>
                </c:pt>
                <c:pt idx="192">
                  <c:v>71.847200133787396</c:v>
                </c:pt>
                <c:pt idx="193">
                  <c:v>71.538485464989606</c:v>
                </c:pt>
                <c:pt idx="194">
                  <c:v>71.063345815094493</c:v>
                </c:pt>
                <c:pt idx="195">
                  <c:v>70.065721891723797</c:v>
                </c:pt>
                <c:pt idx="196">
                  <c:v>68.313708236519005</c:v>
                </c:pt>
                <c:pt idx="197">
                  <c:v>66.500571306589094</c:v>
                </c:pt>
                <c:pt idx="198">
                  <c:v>64.9077026539901</c:v>
                </c:pt>
                <c:pt idx="199">
                  <c:v>63.654480696013302</c:v>
                </c:pt>
                <c:pt idx="200">
                  <c:v>62.650643710645497</c:v>
                </c:pt>
                <c:pt idx="201">
                  <c:v>61.635080387323399</c:v>
                </c:pt>
                <c:pt idx="202">
                  <c:v>60.8090371781446</c:v>
                </c:pt>
                <c:pt idx="203">
                  <c:v>61.548497943947801</c:v>
                </c:pt>
                <c:pt idx="204">
                  <c:v>60.864628007882501</c:v>
                </c:pt>
                <c:pt idx="205">
                  <c:v>60.664300505385498</c:v>
                </c:pt>
                <c:pt idx="206">
                  <c:v>60.343611792930702</c:v>
                </c:pt>
                <c:pt idx="207">
                  <c:v>59.515489131084799</c:v>
                </c:pt>
                <c:pt idx="208">
                  <c:v>58.315813476096899</c:v>
                </c:pt>
                <c:pt idx="209">
                  <c:v>57.570238039559598</c:v>
                </c:pt>
                <c:pt idx="210">
                  <c:v>56.929971544460798</c:v>
                </c:pt>
                <c:pt idx="211">
                  <c:v>56.590043091997501</c:v>
                </c:pt>
                <c:pt idx="212">
                  <c:v>56.309250616390699</c:v>
                </c:pt>
                <c:pt idx="213">
                  <c:v>56.139045583828498</c:v>
                </c:pt>
                <c:pt idx="214">
                  <c:v>58.176542228304498</c:v>
                </c:pt>
                <c:pt idx="215">
                  <c:v>62.479729063371103</c:v>
                </c:pt>
                <c:pt idx="216">
                  <c:v>65.554843239431406</c:v>
                </c:pt>
                <c:pt idx="217">
                  <c:v>68.268746934619799</c:v>
                </c:pt>
                <c:pt idx="218">
                  <c:v>73.315152208214499</c:v>
                </c:pt>
                <c:pt idx="219">
                  <c:v>90.424679800777696</c:v>
                </c:pt>
                <c:pt idx="220">
                  <c:v>97.190728006618102</c:v>
                </c:pt>
                <c:pt idx="221">
                  <c:v>107.386334731619</c:v>
                </c:pt>
                <c:pt idx="222">
                  <c:v>118.111894572864</c:v>
                </c:pt>
                <c:pt idx="223">
                  <c:v>130.82481008693799</c:v>
                </c:pt>
                <c:pt idx="224">
                  <c:v>145.339401379203</c:v>
                </c:pt>
                <c:pt idx="225">
                  <c:v>160.63402468849301</c:v>
                </c:pt>
                <c:pt idx="226">
                  <c:v>174.07338216993901</c:v>
                </c:pt>
                <c:pt idx="227">
                  <c:v>185.825144423388</c:v>
                </c:pt>
                <c:pt idx="228">
                  <c:v>197.55213357036499</c:v>
                </c:pt>
                <c:pt idx="229">
                  <c:v>209.25876291568099</c:v>
                </c:pt>
                <c:pt idx="230">
                  <c:v>214.23698631557801</c:v>
                </c:pt>
                <c:pt idx="231">
                  <c:v>223.85068377816401</c:v>
                </c:pt>
                <c:pt idx="232">
                  <c:v>237.246791594207</c:v>
                </c:pt>
                <c:pt idx="233">
                  <c:v>253.234953100279</c:v>
                </c:pt>
                <c:pt idx="234">
                  <c:v>270.94507749243201</c:v>
                </c:pt>
                <c:pt idx="235">
                  <c:v>287.523224174446</c:v>
                </c:pt>
                <c:pt idx="236">
                  <c:v>305.41082595754699</c:v>
                </c:pt>
                <c:pt idx="237">
                  <c:v>320.62388440472103</c:v>
                </c:pt>
                <c:pt idx="238">
                  <c:v>327.48338431042498</c:v>
                </c:pt>
                <c:pt idx="239">
                  <c:v>334.11514017885003</c:v>
                </c:pt>
                <c:pt idx="240">
                  <c:v>338.280309980992</c:v>
                </c:pt>
                <c:pt idx="241">
                  <c:v>342.85883582360498</c:v>
                </c:pt>
                <c:pt idx="242">
                  <c:v>348.90195461920899</c:v>
                </c:pt>
                <c:pt idx="243">
                  <c:v>357.95294976351198</c:v>
                </c:pt>
                <c:pt idx="244">
                  <c:v>368.08830653055298</c:v>
                </c:pt>
                <c:pt idx="245">
                  <c:v>378.43051447262701</c:v>
                </c:pt>
                <c:pt idx="246">
                  <c:v>392.57297836115202</c:v>
                </c:pt>
                <c:pt idx="247">
                  <c:v>408.85795114946302</c:v>
                </c:pt>
                <c:pt idx="248">
                  <c:v>425.968912579495</c:v>
                </c:pt>
                <c:pt idx="249">
                  <c:v>442.88219266934198</c:v>
                </c:pt>
                <c:pt idx="250">
                  <c:v>456.38912042155198</c:v>
                </c:pt>
                <c:pt idx="251">
                  <c:v>471.86853414432102</c:v>
                </c:pt>
                <c:pt idx="252">
                  <c:v>486.47569614838602</c:v>
                </c:pt>
                <c:pt idx="253">
                  <c:v>493.40071780423301</c:v>
                </c:pt>
                <c:pt idx="254">
                  <c:v>507.53313789267497</c:v>
                </c:pt>
                <c:pt idx="255">
                  <c:v>518.69179042698704</c:v>
                </c:pt>
                <c:pt idx="256">
                  <c:v>534.38959518644901</c:v>
                </c:pt>
                <c:pt idx="257">
                  <c:v>550.61592956228503</c:v>
                </c:pt>
                <c:pt idx="258">
                  <c:v>564.03394458094601</c:v>
                </c:pt>
                <c:pt idx="259">
                  <c:v>577.96787966310205</c:v>
                </c:pt>
                <c:pt idx="260">
                  <c:v>599.20982463912503</c:v>
                </c:pt>
                <c:pt idx="261">
                  <c:v>607.50726816404995</c:v>
                </c:pt>
                <c:pt idx="262">
                  <c:v>622.033666668872</c:v>
                </c:pt>
                <c:pt idx="263">
                  <c:v>628.62106908960902</c:v>
                </c:pt>
                <c:pt idx="264">
                  <c:v>630.16829176683802</c:v>
                </c:pt>
                <c:pt idx="265">
                  <c:v>633.86008212267996</c:v>
                </c:pt>
                <c:pt idx="266">
                  <c:v>636.39248731055898</c:v>
                </c:pt>
                <c:pt idx="267">
                  <c:v>633.55465323159603</c:v>
                </c:pt>
                <c:pt idx="268">
                  <c:v>622.09356513536204</c:v>
                </c:pt>
                <c:pt idx="269">
                  <c:v>605.75441068210398</c:v>
                </c:pt>
                <c:pt idx="270">
                  <c:v>589.033879196783</c:v>
                </c:pt>
                <c:pt idx="271">
                  <c:v>574.92400237441996</c:v>
                </c:pt>
                <c:pt idx="272">
                  <c:v>566.77917523128099</c:v>
                </c:pt>
                <c:pt idx="273">
                  <c:v>559.94922089150896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fnm_pool!$AH$1:$AH$3</c:f>
              <c:strCache>
                <c:ptCount val="1"/>
                <c:pt idx="0">
                  <c:v>FNCQ30 FHL v2.30</c:v>
                </c:pt>
              </c:strCache>
            </c:strRef>
          </c:tx>
          <c:marker>
            <c:symbol val="none"/>
          </c:marker>
          <c:cat>
            <c:numRef>
              <c:f>fnm_pool!$AE$4:$AE$515</c:f>
              <c:numCache>
                <c:formatCode>m/d/yyyy</c:formatCode>
                <c:ptCount val="512"/>
                <c:pt idx="0">
                  <c:v>41640</c:v>
                </c:pt>
                <c:pt idx="1">
                  <c:v>41671</c:v>
                </c:pt>
                <c:pt idx="2">
                  <c:v>41699</c:v>
                </c:pt>
                <c:pt idx="3">
                  <c:v>41730</c:v>
                </c:pt>
                <c:pt idx="4">
                  <c:v>41760</c:v>
                </c:pt>
                <c:pt idx="5">
                  <c:v>41791</c:v>
                </c:pt>
                <c:pt idx="6">
                  <c:v>41821</c:v>
                </c:pt>
                <c:pt idx="7">
                  <c:v>41852</c:v>
                </c:pt>
                <c:pt idx="8">
                  <c:v>41883</c:v>
                </c:pt>
                <c:pt idx="9">
                  <c:v>41913</c:v>
                </c:pt>
                <c:pt idx="10">
                  <c:v>41944</c:v>
                </c:pt>
                <c:pt idx="11">
                  <c:v>41974</c:v>
                </c:pt>
                <c:pt idx="12">
                  <c:v>42005</c:v>
                </c:pt>
                <c:pt idx="13">
                  <c:v>42036</c:v>
                </c:pt>
                <c:pt idx="14">
                  <c:v>42064</c:v>
                </c:pt>
                <c:pt idx="15">
                  <c:v>42095</c:v>
                </c:pt>
                <c:pt idx="16">
                  <c:v>42125</c:v>
                </c:pt>
                <c:pt idx="17">
                  <c:v>42156</c:v>
                </c:pt>
                <c:pt idx="18">
                  <c:v>42186</c:v>
                </c:pt>
                <c:pt idx="19">
                  <c:v>42217</c:v>
                </c:pt>
                <c:pt idx="20">
                  <c:v>42248</c:v>
                </c:pt>
                <c:pt idx="21">
                  <c:v>42278</c:v>
                </c:pt>
                <c:pt idx="22">
                  <c:v>42309</c:v>
                </c:pt>
                <c:pt idx="23">
                  <c:v>42339</c:v>
                </c:pt>
                <c:pt idx="24">
                  <c:v>42370</c:v>
                </c:pt>
                <c:pt idx="25">
                  <c:v>42401</c:v>
                </c:pt>
                <c:pt idx="26">
                  <c:v>42430</c:v>
                </c:pt>
                <c:pt idx="27">
                  <c:v>42461</c:v>
                </c:pt>
                <c:pt idx="28">
                  <c:v>42491</c:v>
                </c:pt>
                <c:pt idx="29">
                  <c:v>42522</c:v>
                </c:pt>
                <c:pt idx="30">
                  <c:v>42552</c:v>
                </c:pt>
                <c:pt idx="31">
                  <c:v>42583</c:v>
                </c:pt>
                <c:pt idx="32">
                  <c:v>42614</c:v>
                </c:pt>
                <c:pt idx="33">
                  <c:v>42644</c:v>
                </c:pt>
                <c:pt idx="34">
                  <c:v>42675</c:v>
                </c:pt>
                <c:pt idx="35">
                  <c:v>34366</c:v>
                </c:pt>
                <c:pt idx="36">
                  <c:v>34394</c:v>
                </c:pt>
                <c:pt idx="37">
                  <c:v>34425</c:v>
                </c:pt>
                <c:pt idx="38">
                  <c:v>34455</c:v>
                </c:pt>
                <c:pt idx="39">
                  <c:v>34486</c:v>
                </c:pt>
                <c:pt idx="40">
                  <c:v>34516</c:v>
                </c:pt>
                <c:pt idx="41">
                  <c:v>34547</c:v>
                </c:pt>
                <c:pt idx="42">
                  <c:v>34578</c:v>
                </c:pt>
                <c:pt idx="43">
                  <c:v>34608</c:v>
                </c:pt>
                <c:pt idx="44">
                  <c:v>34639</c:v>
                </c:pt>
                <c:pt idx="45">
                  <c:v>34669</c:v>
                </c:pt>
                <c:pt idx="46">
                  <c:v>34700</c:v>
                </c:pt>
                <c:pt idx="47">
                  <c:v>34731</c:v>
                </c:pt>
                <c:pt idx="48">
                  <c:v>34759</c:v>
                </c:pt>
                <c:pt idx="49">
                  <c:v>34790</c:v>
                </c:pt>
                <c:pt idx="50">
                  <c:v>34820</c:v>
                </c:pt>
                <c:pt idx="51">
                  <c:v>34851</c:v>
                </c:pt>
                <c:pt idx="52">
                  <c:v>34881</c:v>
                </c:pt>
                <c:pt idx="53">
                  <c:v>34912</c:v>
                </c:pt>
                <c:pt idx="54">
                  <c:v>34943</c:v>
                </c:pt>
                <c:pt idx="55">
                  <c:v>34973</c:v>
                </c:pt>
                <c:pt idx="56">
                  <c:v>35004</c:v>
                </c:pt>
                <c:pt idx="57">
                  <c:v>35034</c:v>
                </c:pt>
                <c:pt idx="58">
                  <c:v>35065</c:v>
                </c:pt>
                <c:pt idx="59">
                  <c:v>35096</c:v>
                </c:pt>
                <c:pt idx="60">
                  <c:v>35125</c:v>
                </c:pt>
                <c:pt idx="61">
                  <c:v>35156</c:v>
                </c:pt>
                <c:pt idx="62">
                  <c:v>35186</c:v>
                </c:pt>
                <c:pt idx="63">
                  <c:v>35217</c:v>
                </c:pt>
                <c:pt idx="64">
                  <c:v>35247</c:v>
                </c:pt>
                <c:pt idx="65">
                  <c:v>35278</c:v>
                </c:pt>
                <c:pt idx="66">
                  <c:v>35309</c:v>
                </c:pt>
                <c:pt idx="67">
                  <c:v>35339</c:v>
                </c:pt>
                <c:pt idx="68">
                  <c:v>35370</c:v>
                </c:pt>
                <c:pt idx="69">
                  <c:v>35400</c:v>
                </c:pt>
                <c:pt idx="70">
                  <c:v>35431</c:v>
                </c:pt>
                <c:pt idx="71">
                  <c:v>35462</c:v>
                </c:pt>
                <c:pt idx="72">
                  <c:v>35490</c:v>
                </c:pt>
                <c:pt idx="73">
                  <c:v>35521</c:v>
                </c:pt>
                <c:pt idx="74">
                  <c:v>35551</c:v>
                </c:pt>
                <c:pt idx="75">
                  <c:v>35582</c:v>
                </c:pt>
                <c:pt idx="76">
                  <c:v>35612</c:v>
                </c:pt>
                <c:pt idx="77">
                  <c:v>35643</c:v>
                </c:pt>
                <c:pt idx="78">
                  <c:v>35674</c:v>
                </c:pt>
                <c:pt idx="79">
                  <c:v>35704</c:v>
                </c:pt>
                <c:pt idx="80">
                  <c:v>35735</c:v>
                </c:pt>
                <c:pt idx="81">
                  <c:v>35765</c:v>
                </c:pt>
                <c:pt idx="82">
                  <c:v>35796</c:v>
                </c:pt>
                <c:pt idx="83">
                  <c:v>35827</c:v>
                </c:pt>
                <c:pt idx="84">
                  <c:v>35855</c:v>
                </c:pt>
                <c:pt idx="85">
                  <c:v>35886</c:v>
                </c:pt>
                <c:pt idx="86">
                  <c:v>35916</c:v>
                </c:pt>
                <c:pt idx="87">
                  <c:v>35947</c:v>
                </c:pt>
                <c:pt idx="88">
                  <c:v>35977</c:v>
                </c:pt>
                <c:pt idx="89">
                  <c:v>36008</c:v>
                </c:pt>
                <c:pt idx="90">
                  <c:v>36039</c:v>
                </c:pt>
                <c:pt idx="91">
                  <c:v>36069</c:v>
                </c:pt>
                <c:pt idx="92">
                  <c:v>36100</c:v>
                </c:pt>
                <c:pt idx="93">
                  <c:v>36130</c:v>
                </c:pt>
                <c:pt idx="94">
                  <c:v>36161</c:v>
                </c:pt>
                <c:pt idx="95">
                  <c:v>36192</c:v>
                </c:pt>
                <c:pt idx="96">
                  <c:v>36220</c:v>
                </c:pt>
                <c:pt idx="97">
                  <c:v>36251</c:v>
                </c:pt>
                <c:pt idx="98">
                  <c:v>36281</c:v>
                </c:pt>
                <c:pt idx="99">
                  <c:v>36312</c:v>
                </c:pt>
                <c:pt idx="100">
                  <c:v>36342</c:v>
                </c:pt>
                <c:pt idx="101">
                  <c:v>36373</c:v>
                </c:pt>
                <c:pt idx="102">
                  <c:v>36404</c:v>
                </c:pt>
                <c:pt idx="103">
                  <c:v>36434</c:v>
                </c:pt>
                <c:pt idx="104">
                  <c:v>36465</c:v>
                </c:pt>
                <c:pt idx="105">
                  <c:v>36495</c:v>
                </c:pt>
                <c:pt idx="106">
                  <c:v>36526</c:v>
                </c:pt>
                <c:pt idx="107">
                  <c:v>36557</c:v>
                </c:pt>
                <c:pt idx="108">
                  <c:v>36586</c:v>
                </c:pt>
                <c:pt idx="109">
                  <c:v>36617</c:v>
                </c:pt>
                <c:pt idx="110">
                  <c:v>36647</c:v>
                </c:pt>
                <c:pt idx="111">
                  <c:v>36678</c:v>
                </c:pt>
                <c:pt idx="112">
                  <c:v>36708</c:v>
                </c:pt>
                <c:pt idx="113">
                  <c:v>36739</c:v>
                </c:pt>
                <c:pt idx="114">
                  <c:v>36770</c:v>
                </c:pt>
                <c:pt idx="115">
                  <c:v>36800</c:v>
                </c:pt>
                <c:pt idx="116">
                  <c:v>36831</c:v>
                </c:pt>
                <c:pt idx="117">
                  <c:v>36861</c:v>
                </c:pt>
                <c:pt idx="118">
                  <c:v>36892</c:v>
                </c:pt>
                <c:pt idx="119">
                  <c:v>36923</c:v>
                </c:pt>
                <c:pt idx="120">
                  <c:v>36951</c:v>
                </c:pt>
                <c:pt idx="121">
                  <c:v>36982</c:v>
                </c:pt>
                <c:pt idx="122">
                  <c:v>37012</c:v>
                </c:pt>
                <c:pt idx="123">
                  <c:v>37043</c:v>
                </c:pt>
                <c:pt idx="124">
                  <c:v>37073</c:v>
                </c:pt>
                <c:pt idx="125">
                  <c:v>37104</c:v>
                </c:pt>
                <c:pt idx="126">
                  <c:v>37135</c:v>
                </c:pt>
                <c:pt idx="127">
                  <c:v>37165</c:v>
                </c:pt>
                <c:pt idx="128">
                  <c:v>37196</c:v>
                </c:pt>
                <c:pt idx="129">
                  <c:v>37226</c:v>
                </c:pt>
                <c:pt idx="130">
                  <c:v>37257</c:v>
                </c:pt>
                <c:pt idx="131">
                  <c:v>37288</c:v>
                </c:pt>
                <c:pt idx="132">
                  <c:v>37316</c:v>
                </c:pt>
                <c:pt idx="133">
                  <c:v>37347</c:v>
                </c:pt>
                <c:pt idx="134">
                  <c:v>37377</c:v>
                </c:pt>
                <c:pt idx="135">
                  <c:v>37408</c:v>
                </c:pt>
                <c:pt idx="136">
                  <c:v>37438</c:v>
                </c:pt>
                <c:pt idx="137">
                  <c:v>37469</c:v>
                </c:pt>
                <c:pt idx="138">
                  <c:v>37500</c:v>
                </c:pt>
                <c:pt idx="139">
                  <c:v>37530</c:v>
                </c:pt>
                <c:pt idx="140">
                  <c:v>37561</c:v>
                </c:pt>
                <c:pt idx="141">
                  <c:v>37591</c:v>
                </c:pt>
                <c:pt idx="142">
                  <c:v>37622</c:v>
                </c:pt>
                <c:pt idx="143">
                  <c:v>37653</c:v>
                </c:pt>
                <c:pt idx="144">
                  <c:v>37681</c:v>
                </c:pt>
                <c:pt idx="145">
                  <c:v>37712</c:v>
                </c:pt>
                <c:pt idx="146">
                  <c:v>37742</c:v>
                </c:pt>
                <c:pt idx="147">
                  <c:v>37773</c:v>
                </c:pt>
                <c:pt idx="148">
                  <c:v>37803</c:v>
                </c:pt>
                <c:pt idx="149">
                  <c:v>37834</c:v>
                </c:pt>
                <c:pt idx="150">
                  <c:v>37865</c:v>
                </c:pt>
                <c:pt idx="151">
                  <c:v>37895</c:v>
                </c:pt>
                <c:pt idx="152">
                  <c:v>37926</c:v>
                </c:pt>
                <c:pt idx="153">
                  <c:v>37956</c:v>
                </c:pt>
                <c:pt idx="154">
                  <c:v>37987</c:v>
                </c:pt>
                <c:pt idx="155">
                  <c:v>38018</c:v>
                </c:pt>
                <c:pt idx="156">
                  <c:v>38047</c:v>
                </c:pt>
                <c:pt idx="157">
                  <c:v>38078</c:v>
                </c:pt>
                <c:pt idx="158">
                  <c:v>38108</c:v>
                </c:pt>
                <c:pt idx="159">
                  <c:v>38139</c:v>
                </c:pt>
                <c:pt idx="160">
                  <c:v>38169</c:v>
                </c:pt>
                <c:pt idx="161">
                  <c:v>38200</c:v>
                </c:pt>
                <c:pt idx="162">
                  <c:v>38231</c:v>
                </c:pt>
                <c:pt idx="163">
                  <c:v>38261</c:v>
                </c:pt>
                <c:pt idx="164">
                  <c:v>38292</c:v>
                </c:pt>
                <c:pt idx="165">
                  <c:v>38322</c:v>
                </c:pt>
                <c:pt idx="166">
                  <c:v>38353</c:v>
                </c:pt>
                <c:pt idx="167">
                  <c:v>38384</c:v>
                </c:pt>
                <c:pt idx="168">
                  <c:v>38412</c:v>
                </c:pt>
                <c:pt idx="169">
                  <c:v>38443</c:v>
                </c:pt>
                <c:pt idx="170">
                  <c:v>38473</c:v>
                </c:pt>
                <c:pt idx="171">
                  <c:v>38504</c:v>
                </c:pt>
                <c:pt idx="172">
                  <c:v>38534</c:v>
                </c:pt>
                <c:pt idx="173">
                  <c:v>38565</c:v>
                </c:pt>
                <c:pt idx="174">
                  <c:v>38596</c:v>
                </c:pt>
                <c:pt idx="175">
                  <c:v>38626</c:v>
                </c:pt>
                <c:pt idx="176">
                  <c:v>38657</c:v>
                </c:pt>
                <c:pt idx="177">
                  <c:v>38687</c:v>
                </c:pt>
                <c:pt idx="178">
                  <c:v>38718</c:v>
                </c:pt>
                <c:pt idx="179">
                  <c:v>38749</c:v>
                </c:pt>
                <c:pt idx="180">
                  <c:v>38777</c:v>
                </c:pt>
                <c:pt idx="181">
                  <c:v>38808</c:v>
                </c:pt>
                <c:pt idx="182">
                  <c:v>38838</c:v>
                </c:pt>
                <c:pt idx="183">
                  <c:v>38869</c:v>
                </c:pt>
                <c:pt idx="184">
                  <c:v>38899</c:v>
                </c:pt>
                <c:pt idx="185">
                  <c:v>38930</c:v>
                </c:pt>
                <c:pt idx="186">
                  <c:v>38961</c:v>
                </c:pt>
                <c:pt idx="187">
                  <c:v>38991</c:v>
                </c:pt>
                <c:pt idx="188">
                  <c:v>39022</c:v>
                </c:pt>
                <c:pt idx="189">
                  <c:v>39052</c:v>
                </c:pt>
                <c:pt idx="190">
                  <c:v>39083</c:v>
                </c:pt>
                <c:pt idx="191">
                  <c:v>39114</c:v>
                </c:pt>
                <c:pt idx="192">
                  <c:v>39142</c:v>
                </c:pt>
                <c:pt idx="193">
                  <c:v>39173</c:v>
                </c:pt>
                <c:pt idx="194">
                  <c:v>39203</c:v>
                </c:pt>
                <c:pt idx="195">
                  <c:v>39234</c:v>
                </c:pt>
                <c:pt idx="196">
                  <c:v>39264</c:v>
                </c:pt>
                <c:pt idx="197">
                  <c:v>39295</c:v>
                </c:pt>
                <c:pt idx="198">
                  <c:v>39326</c:v>
                </c:pt>
                <c:pt idx="199">
                  <c:v>39356</c:v>
                </c:pt>
                <c:pt idx="200">
                  <c:v>39387</c:v>
                </c:pt>
                <c:pt idx="201">
                  <c:v>39417</c:v>
                </c:pt>
                <c:pt idx="202">
                  <c:v>39448</c:v>
                </c:pt>
                <c:pt idx="203">
                  <c:v>39479</c:v>
                </c:pt>
                <c:pt idx="204">
                  <c:v>39508</c:v>
                </c:pt>
                <c:pt idx="205">
                  <c:v>39539</c:v>
                </c:pt>
                <c:pt idx="206">
                  <c:v>39569</c:v>
                </c:pt>
                <c:pt idx="207">
                  <c:v>39600</c:v>
                </c:pt>
                <c:pt idx="208">
                  <c:v>39630</c:v>
                </c:pt>
                <c:pt idx="209">
                  <c:v>39661</c:v>
                </c:pt>
                <c:pt idx="210">
                  <c:v>39692</c:v>
                </c:pt>
                <c:pt idx="211">
                  <c:v>39722</c:v>
                </c:pt>
                <c:pt idx="212">
                  <c:v>39753</c:v>
                </c:pt>
                <c:pt idx="213">
                  <c:v>39783</c:v>
                </c:pt>
                <c:pt idx="214">
                  <c:v>39814</c:v>
                </c:pt>
                <c:pt idx="215">
                  <c:v>39845</c:v>
                </c:pt>
                <c:pt idx="216">
                  <c:v>39873</c:v>
                </c:pt>
                <c:pt idx="217">
                  <c:v>39904</c:v>
                </c:pt>
                <c:pt idx="218">
                  <c:v>39934</c:v>
                </c:pt>
                <c:pt idx="219">
                  <c:v>39965</c:v>
                </c:pt>
                <c:pt idx="220">
                  <c:v>39995</c:v>
                </c:pt>
                <c:pt idx="221">
                  <c:v>40026</c:v>
                </c:pt>
                <c:pt idx="222">
                  <c:v>40057</c:v>
                </c:pt>
                <c:pt idx="223">
                  <c:v>40087</c:v>
                </c:pt>
                <c:pt idx="224">
                  <c:v>40118</c:v>
                </c:pt>
                <c:pt idx="225">
                  <c:v>40148</c:v>
                </c:pt>
                <c:pt idx="226">
                  <c:v>40179</c:v>
                </c:pt>
                <c:pt idx="227">
                  <c:v>40210</c:v>
                </c:pt>
                <c:pt idx="228">
                  <c:v>40238</c:v>
                </c:pt>
                <c:pt idx="229">
                  <c:v>40269</c:v>
                </c:pt>
                <c:pt idx="230">
                  <c:v>40299</c:v>
                </c:pt>
                <c:pt idx="231">
                  <c:v>40330</c:v>
                </c:pt>
                <c:pt idx="232">
                  <c:v>40360</c:v>
                </c:pt>
                <c:pt idx="233">
                  <c:v>40391</c:v>
                </c:pt>
                <c:pt idx="234">
                  <c:v>40422</c:v>
                </c:pt>
                <c:pt idx="235">
                  <c:v>40452</c:v>
                </c:pt>
                <c:pt idx="236">
                  <c:v>40483</c:v>
                </c:pt>
                <c:pt idx="237">
                  <c:v>40513</c:v>
                </c:pt>
                <c:pt idx="238">
                  <c:v>40544</c:v>
                </c:pt>
                <c:pt idx="239">
                  <c:v>40575</c:v>
                </c:pt>
                <c:pt idx="240">
                  <c:v>40603</c:v>
                </c:pt>
                <c:pt idx="241">
                  <c:v>40634</c:v>
                </c:pt>
                <c:pt idx="242">
                  <c:v>40664</c:v>
                </c:pt>
                <c:pt idx="243">
                  <c:v>40695</c:v>
                </c:pt>
                <c:pt idx="244">
                  <c:v>40725</c:v>
                </c:pt>
                <c:pt idx="245">
                  <c:v>40756</c:v>
                </c:pt>
                <c:pt idx="246">
                  <c:v>40787</c:v>
                </c:pt>
                <c:pt idx="247">
                  <c:v>40817</c:v>
                </c:pt>
                <c:pt idx="248">
                  <c:v>40848</c:v>
                </c:pt>
                <c:pt idx="249">
                  <c:v>40878</c:v>
                </c:pt>
                <c:pt idx="250">
                  <c:v>40909</c:v>
                </c:pt>
                <c:pt idx="251">
                  <c:v>40940</c:v>
                </c:pt>
                <c:pt idx="252">
                  <c:v>40969</c:v>
                </c:pt>
                <c:pt idx="253">
                  <c:v>41000</c:v>
                </c:pt>
                <c:pt idx="254">
                  <c:v>41030</c:v>
                </c:pt>
                <c:pt idx="255">
                  <c:v>41061</c:v>
                </c:pt>
                <c:pt idx="256">
                  <c:v>41091</c:v>
                </c:pt>
                <c:pt idx="257">
                  <c:v>41122</c:v>
                </c:pt>
                <c:pt idx="258">
                  <c:v>41153</c:v>
                </c:pt>
                <c:pt idx="259">
                  <c:v>41183</c:v>
                </c:pt>
                <c:pt idx="260">
                  <c:v>41214</c:v>
                </c:pt>
                <c:pt idx="261">
                  <c:v>41244</c:v>
                </c:pt>
                <c:pt idx="262">
                  <c:v>41275</c:v>
                </c:pt>
                <c:pt idx="263">
                  <c:v>41306</c:v>
                </c:pt>
                <c:pt idx="264">
                  <c:v>41334</c:v>
                </c:pt>
                <c:pt idx="265">
                  <c:v>41365</c:v>
                </c:pt>
                <c:pt idx="266">
                  <c:v>41395</c:v>
                </c:pt>
                <c:pt idx="267">
                  <c:v>41426</c:v>
                </c:pt>
                <c:pt idx="268">
                  <c:v>41456</c:v>
                </c:pt>
                <c:pt idx="269">
                  <c:v>41487</c:v>
                </c:pt>
                <c:pt idx="270">
                  <c:v>41518</c:v>
                </c:pt>
                <c:pt idx="271">
                  <c:v>41548</c:v>
                </c:pt>
                <c:pt idx="272">
                  <c:v>41579</c:v>
                </c:pt>
                <c:pt idx="273">
                  <c:v>41609</c:v>
                </c:pt>
              </c:numCache>
            </c:numRef>
          </c:cat>
          <c:val>
            <c:numRef>
              <c:f>fnm_pool!$AH$4:$AH$515</c:f>
              <c:numCache>
                <c:formatCode>General</c:formatCode>
                <c:ptCount val="512"/>
                <c:pt idx="0">
                  <c:v>667.01982260955003</c:v>
                </c:pt>
                <c:pt idx="1">
                  <c:v>659.56092025686905</c:v>
                </c:pt>
                <c:pt idx="2">
                  <c:v>655.34296464728595</c:v>
                </c:pt>
                <c:pt idx="3">
                  <c:v>653.58111716835697</c:v>
                </c:pt>
                <c:pt idx="4">
                  <c:v>649.68410469425601</c:v>
                </c:pt>
                <c:pt idx="5">
                  <c:v>647.879089848082</c:v>
                </c:pt>
                <c:pt idx="6">
                  <c:v>645.210909291711</c:v>
                </c:pt>
                <c:pt idx="7">
                  <c:v>642.76902569574804</c:v>
                </c:pt>
                <c:pt idx="8">
                  <c:v>637.23237313323</c:v>
                </c:pt>
                <c:pt idx="9">
                  <c:v>632.57356396276498</c:v>
                </c:pt>
                <c:pt idx="10">
                  <c:v>629.24248594360597</c:v>
                </c:pt>
                <c:pt idx="11">
                  <c:v>627.175782626515</c:v>
                </c:pt>
                <c:pt idx="12">
                  <c:v>630.09389627889698</c:v>
                </c:pt>
                <c:pt idx="13">
                  <c:v>635.82888644838602</c:v>
                </c:pt>
                <c:pt idx="14">
                  <c:v>639.16127896912496</c:v>
                </c:pt>
                <c:pt idx="15">
                  <c:v>644.82146556106204</c:v>
                </c:pt>
                <c:pt idx="16">
                  <c:v>646.55646301511797</c:v>
                </c:pt>
                <c:pt idx="17">
                  <c:v>643.70062543102699</c:v>
                </c:pt>
                <c:pt idx="18">
                  <c:v>636.906754672788</c:v>
                </c:pt>
                <c:pt idx="19">
                  <c:v>629.45496636714699</c:v>
                </c:pt>
                <c:pt idx="20">
                  <c:v>626.09512299882704</c:v>
                </c:pt>
                <c:pt idx="21">
                  <c:v>621.97046728061696</c:v>
                </c:pt>
                <c:pt idx="22">
                  <c:v>621.01821855342905</c:v>
                </c:pt>
                <c:pt idx="23">
                  <c:v>618.69121121969295</c:v>
                </c:pt>
                <c:pt idx="24">
                  <c:v>617.13466274150096</c:v>
                </c:pt>
                <c:pt idx="25">
                  <c:v>616.50526343668798</c:v>
                </c:pt>
                <c:pt idx="26">
                  <c:v>621.40523994562602</c:v>
                </c:pt>
                <c:pt idx="27">
                  <c:v>625.99994313622506</c:v>
                </c:pt>
                <c:pt idx="28">
                  <c:v>631.38287267109195</c:v>
                </c:pt>
                <c:pt idx="29">
                  <c:v>634.56144491735404</c:v>
                </c:pt>
                <c:pt idx="30">
                  <c:v>637.89670513216197</c:v>
                </c:pt>
                <c:pt idx="31">
                  <c:v>642.05309637272796</c:v>
                </c:pt>
                <c:pt idx="32">
                  <c:v>645.20654956741203</c:v>
                </c:pt>
                <c:pt idx="33">
                  <c:v>646.56014305045198</c:v>
                </c:pt>
                <c:pt idx="34">
                  <c:v>650.15620133660104</c:v>
                </c:pt>
                <c:pt idx="35">
                  <c:v>145.22714241190499</c:v>
                </c:pt>
                <c:pt idx="36">
                  <c:v>142.93933441880901</c:v>
                </c:pt>
                <c:pt idx="37">
                  <c:v>136.982734237833</c:v>
                </c:pt>
                <c:pt idx="38">
                  <c:v>#N/A</c:v>
                </c:pt>
                <c:pt idx="39">
                  <c:v>#N/A</c:v>
                </c:pt>
                <c:pt idx="40">
                  <c:v>118.26681724606399</c:v>
                </c:pt>
                <c:pt idx="41">
                  <c:v>115.500464726109</c:v>
                </c:pt>
                <c:pt idx="42">
                  <c:v>113.555203409497</c:v>
                </c:pt>
                <c:pt idx="43">
                  <c:v>111.724101042027</c:v>
                </c:pt>
                <c:pt idx="44">
                  <c:v>109.998313813271</c:v>
                </c:pt>
                <c:pt idx="45">
                  <c:v>108.780107205902</c:v>
                </c:pt>
                <c:pt idx="46">
                  <c:v>107.69863796528701</c:v>
                </c:pt>
                <c:pt idx="47">
                  <c:v>106.56285531869101</c:v>
                </c:pt>
                <c:pt idx="48">
                  <c:v>105.759303756319</c:v>
                </c:pt>
                <c:pt idx="49">
                  <c:v>105.356295735144</c:v>
                </c:pt>
                <c:pt idx="50">
                  <c:v>105.11470912805299</c:v>
                </c:pt>
                <c:pt idx="51">
                  <c:v>106.153578166342</c:v>
                </c:pt>
                <c:pt idx="52">
                  <c:v>109.00335454113601</c:v>
                </c:pt>
                <c:pt idx="53">
                  <c:v>111.70004860990601</c:v>
                </c:pt>
                <c:pt idx="54">
                  <c:v>112.182615400253</c:v>
                </c:pt>
                <c:pt idx="55">
                  <c:v>112.258729580463</c:v>
                </c:pt>
                <c:pt idx="56">
                  <c:v>112.995012075003</c:v>
                </c:pt>
                <c:pt idx="57">
                  <c:v>115.455074241858</c:v>
                </c:pt>
                <c:pt idx="58">
                  <c:v>119.554078330637</c:v>
                </c:pt>
                <c:pt idx="59">
                  <c:v>124.223142270187</c:v>
                </c:pt>
                <c:pt idx="60">
                  <c:v>127.68056692537399</c:v>
                </c:pt>
                <c:pt idx="61">
                  <c:v>125.877133823458</c:v>
                </c:pt>
                <c:pt idx="62">
                  <c:v>122.965177395469</c:v>
                </c:pt>
                <c:pt idx="63">
                  <c:v>120.717816533806</c:v>
                </c:pt>
                <c:pt idx="64">
                  <c:v>117.980407450776</c:v>
                </c:pt>
                <c:pt idx="65">
                  <c:v>115.11080516480099</c:v>
                </c:pt>
                <c:pt idx="66">
                  <c:v>113.98107923073501</c:v>
                </c:pt>
                <c:pt idx="67">
                  <c:v>112.377098223855</c:v>
                </c:pt>
                <c:pt idx="68">
                  <c:v>111.728073542286</c:v>
                </c:pt>
                <c:pt idx="69">
                  <c:v>113.046566284851</c:v>
                </c:pt>
                <c:pt idx="70">
                  <c:v>#N/A</c:v>
                </c:pt>
                <c:pt idx="71">
                  <c:v>#N/A</c:v>
                </c:pt>
                <c:pt idx="72">
                  <c:v>106.811535064571</c:v>
                </c:pt>
                <c:pt idx="73">
                  <c:v>106.58156622012601</c:v>
                </c:pt>
                <c:pt idx="74">
                  <c:v>105.815777332387</c:v>
                </c:pt>
                <c:pt idx="75">
                  <c:v>105.604404917929</c:v>
                </c:pt>
                <c:pt idx="76">
                  <c:v>105.975002164592</c:v>
                </c:pt>
                <c:pt idx="77">
                  <c:v>107.373284139796</c:v>
                </c:pt>
                <c:pt idx="78">
                  <c:v>108.32287616411401</c:v>
                </c:pt>
                <c:pt idx="79">
                  <c:v>109.725811176973</c:v>
                </c:pt>
                <c:pt idx="80">
                  <c:v>111.151487790414</c:v>
                </c:pt>
                <c:pt idx="81">
                  <c:v>113.322066718155</c:v>
                </c:pt>
                <c:pt idx="82">
                  <c:v>115.713666005742</c:v>
                </c:pt>
                <c:pt idx="83">
                  <c:v>120.963903050448</c:v>
                </c:pt>
                <c:pt idx="84">
                  <c:v>124.748842364672</c:v>
                </c:pt>
                <c:pt idx="85">
                  <c:v>124.873654508049</c:v>
                </c:pt>
                <c:pt idx="86">
                  <c:v>123.768555160582</c:v>
                </c:pt>
                <c:pt idx="87">
                  <c:v>122.449490559195</c:v>
                </c:pt>
                <c:pt idx="88">
                  <c:v>122.619513214699</c:v>
                </c:pt>
                <c:pt idx="89">
                  <c:v>122.937958270274</c:v>
                </c:pt>
                <c:pt idx="90">
                  <c:v>124.36769757394001</c:v>
                </c:pt>
                <c:pt idx="91">
                  <c:v>128.09009301328601</c:v>
                </c:pt>
                <c:pt idx="92">
                  <c:v>130.00716538370401</c:v>
                </c:pt>
                <c:pt idx="93">
                  <c:v>128.85590587937099</c:v>
                </c:pt>
                <c:pt idx="94">
                  <c:v>128.83128881637899</c:v>
                </c:pt>
                <c:pt idx="95">
                  <c:v>127.593900116656</c:v>
                </c:pt>
                <c:pt idx="96">
                  <c:v>126.133819748504</c:v>
                </c:pt>
                <c:pt idx="97">
                  <c:v>122.767130407889</c:v>
                </c:pt>
                <c:pt idx="98">
                  <c:v>120.586085304837</c:v>
                </c:pt>
                <c:pt idx="99">
                  <c:v>117.19438650965</c:v>
                </c:pt>
                <c:pt idx="100">
                  <c:v>113.397929777839</c:v>
                </c:pt>
                <c:pt idx="101">
                  <c:v>109.932746106251</c:v>
                </c:pt>
                <c:pt idx="102">
                  <c:v>106.60845530112999</c:v>
                </c:pt>
                <c:pt idx="103">
                  <c:v>104.099319229911</c:v>
                </c:pt>
                <c:pt idx="104">
                  <c:v>102.32739854203</c:v>
                </c:pt>
                <c:pt idx="105">
                  <c:v>101.113443512465</c:v>
                </c:pt>
                <c:pt idx="106">
                  <c:v>99.994290318529394</c:v>
                </c:pt>
                <c:pt idx="107">
                  <c:v>97.791357181578704</c:v>
                </c:pt>
                <c:pt idx="108">
                  <c:v>96.589745847264695</c:v>
                </c:pt>
                <c:pt idx="109">
                  <c:v>95.419778229635099</c:v>
                </c:pt>
                <c:pt idx="110">
                  <c:v>94.501844203616201</c:v>
                </c:pt>
                <c:pt idx="111">
                  <c:v>92.577035500187307</c:v>
                </c:pt>
                <c:pt idx="112">
                  <c:v>91.0828057942865</c:v>
                </c:pt>
                <c:pt idx="113">
                  <c:v>89.936120400100407</c:v>
                </c:pt>
                <c:pt idx="114">
                  <c:v>88.422669315273893</c:v>
                </c:pt>
                <c:pt idx="115">
                  <c:v>87.097977481442499</c:v>
                </c:pt>
                <c:pt idx="116">
                  <c:v>86.131850997725493</c:v>
                </c:pt>
                <c:pt idx="117">
                  <c:v>85.510156601519995</c:v>
                </c:pt>
                <c:pt idx="118">
                  <c:v>86.284664559545902</c:v>
                </c:pt>
                <c:pt idx="119">
                  <c:v>89.415505640199996</c:v>
                </c:pt>
                <c:pt idx="120">
                  <c:v>92.253571252137405</c:v>
                </c:pt>
                <c:pt idx="121">
                  <c:v>95.321891672072496</c:v>
                </c:pt>
                <c:pt idx="122">
                  <c:v>96.166104538294405</c:v>
                </c:pt>
                <c:pt idx="123">
                  <c:v>95.376088610164999</c:v>
                </c:pt>
                <c:pt idx="124">
                  <c:v>93.665263081747696</c:v>
                </c:pt>
                <c:pt idx="125">
                  <c:v>91.753493775179194</c:v>
                </c:pt>
                <c:pt idx="126">
                  <c:v>91.933215746564599</c:v>
                </c:pt>
                <c:pt idx="127">
                  <c:v>92.681527955357893</c:v>
                </c:pt>
                <c:pt idx="128">
                  <c:v>95.583271914520495</c:v>
                </c:pt>
                <c:pt idx="129">
                  <c:v>97.383150120363496</c:v>
                </c:pt>
                <c:pt idx="130">
                  <c:v>95.226516014155607</c:v>
                </c:pt>
                <c:pt idx="131">
                  <c:v>93.068807682921801</c:v>
                </c:pt>
                <c:pt idx="132">
                  <c:v>91.534247192069202</c:v>
                </c:pt>
                <c:pt idx="133">
                  <c:v>89.079077337619694</c:v>
                </c:pt>
                <c:pt idx="134">
                  <c:v>87.051781840592099</c:v>
                </c:pt>
                <c:pt idx="135">
                  <c:v>86.940415052869795</c:v>
                </c:pt>
                <c:pt idx="136">
                  <c:v>88.043154730294802</c:v>
                </c:pt>
                <c:pt idx="137">
                  <c:v>90.620033285779698</c:v>
                </c:pt>
                <c:pt idx="138">
                  <c:v>94.679489085049994</c:v>
                </c:pt>
                <c:pt idx="139">
                  <c:v>100.37007951502</c:v>
                </c:pt>
                <c:pt idx="140">
                  <c:v>104.46508388162</c:v>
                </c:pt>
                <c:pt idx="141">
                  <c:v>108.500211895855</c:v>
                </c:pt>
                <c:pt idx="142">
                  <c:v>111.005720780335</c:v>
                </c:pt>
                <c:pt idx="143">
                  <c:v>116.457596474494</c:v>
                </c:pt>
                <c:pt idx="144">
                  <c:v>122.227755574323</c:v>
                </c:pt>
                <c:pt idx="145">
                  <c:v>126.6820220497</c:v>
                </c:pt>
                <c:pt idx="146">
                  <c:v>130.82297875520899</c:v>
                </c:pt>
                <c:pt idx="147">
                  <c:v>137.625399795753</c:v>
                </c:pt>
                <c:pt idx="148">
                  <c:v>147.152280193255</c:v>
                </c:pt>
                <c:pt idx="149">
                  <c:v>147.60721163728499</c:v>
                </c:pt>
                <c:pt idx="150">
                  <c:v>139.80749569965201</c:v>
                </c:pt>
                <c:pt idx="151">
                  <c:v>133.08402351159799</c:v>
                </c:pt>
                <c:pt idx="152">
                  <c:v>126.76690686134801</c:v>
                </c:pt>
                <c:pt idx="153">
                  <c:v>123.824530761714</c:v>
                </c:pt>
                <c:pt idx="154">
                  <c:v>122.144296437951</c:v>
                </c:pt>
                <c:pt idx="155">
                  <c:v>122.626887583596</c:v>
                </c:pt>
                <c:pt idx="156">
                  <c:v>124.653866796578</c:v>
                </c:pt>
                <c:pt idx="157">
                  <c:v>127.67003499027101</c:v>
                </c:pt>
                <c:pt idx="158">
                  <c:v>125.53852491660901</c:v>
                </c:pt>
                <c:pt idx="159">
                  <c:v>121.560823775964</c:v>
                </c:pt>
                <c:pt idx="160">
                  <c:v>117.168668121614</c:v>
                </c:pt>
                <c:pt idx="161">
                  <c:v>114.739397412041</c:v>
                </c:pt>
                <c:pt idx="162">
                  <c:v>114.040394175806</c:v>
                </c:pt>
                <c:pt idx="163">
                  <c:v>114.07430181275799</c:v>
                </c:pt>
                <c:pt idx="164">
                  <c:v>114.354005937458</c:v>
                </c:pt>
                <c:pt idx="165">
                  <c:v>114.805482407273</c:v>
                </c:pt>
                <c:pt idx="166">
                  <c:v>114.21008398583101</c:v>
                </c:pt>
                <c:pt idx="167">
                  <c:v>114.09171786622299</c:v>
                </c:pt>
                <c:pt idx="168">
                  <c:v>115.37215190294199</c:v>
                </c:pt>
                <c:pt idx="169">
                  <c:v>114.282427550687</c:v>
                </c:pt>
                <c:pt idx="170">
                  <c:v>112.495996448084</c:v>
                </c:pt>
                <c:pt idx="171">
                  <c:v>111.64425253102</c:v>
                </c:pt>
                <c:pt idx="172">
                  <c:v>111.903294066839</c:v>
                </c:pt>
                <c:pt idx="173">
                  <c:v>111.387017735814</c:v>
                </c:pt>
                <c:pt idx="174">
                  <c:v>109.48667645662201</c:v>
                </c:pt>
                <c:pt idx="175">
                  <c:v>106.66834889307199</c:v>
                </c:pt>
                <c:pt idx="176">
                  <c:v>103.495666124509</c:v>
                </c:pt>
                <c:pt idx="177">
                  <c:v>100.03699023495599</c:v>
                </c:pt>
                <c:pt idx="178">
                  <c:v>96.929749892631307</c:v>
                </c:pt>
                <c:pt idx="179">
                  <c:v>94.511898082201597</c:v>
                </c:pt>
                <c:pt idx="180">
                  <c:v>92.6124450304156</c:v>
                </c:pt>
                <c:pt idx="181">
                  <c:v>90.708118089139802</c:v>
                </c:pt>
                <c:pt idx="182">
                  <c:v>88.390080019625401</c:v>
                </c:pt>
                <c:pt idx="183">
                  <c:v>86.371302231219005</c:v>
                </c:pt>
                <c:pt idx="184">
                  <c:v>84.149202088753</c:v>
                </c:pt>
                <c:pt idx="185">
                  <c:v>81.858411901879094</c:v>
                </c:pt>
                <c:pt idx="186">
                  <c:v>81.626861546278306</c:v>
                </c:pt>
                <c:pt idx="187">
                  <c:v>80.343387193599995</c:v>
                </c:pt>
                <c:pt idx="188">
                  <c:v>79.711594520123299</c:v>
                </c:pt>
                <c:pt idx="189">
                  <c:v>79.554388581580199</c:v>
                </c:pt>
                <c:pt idx="190">
                  <c:v>79.403999680220295</c:v>
                </c:pt>
                <c:pt idx="191">
                  <c:v>79.325698316596103</c:v>
                </c:pt>
                <c:pt idx="192">
                  <c:v>78.770778222774695</c:v>
                </c:pt>
                <c:pt idx="193">
                  <c:v>78.820209581965798</c:v>
                </c:pt>
                <c:pt idx="194">
                  <c:v>78.908112932278797</c:v>
                </c:pt>
                <c:pt idx="195">
                  <c:v>78.445092859628105</c:v>
                </c:pt>
                <c:pt idx="196">
                  <c:v>76.897982892668793</c:v>
                </c:pt>
                <c:pt idx="197">
                  <c:v>75.480985543243193</c:v>
                </c:pt>
                <c:pt idx="198">
                  <c:v>74.101103790798803</c:v>
                </c:pt>
                <c:pt idx="199">
                  <c:v>73.141335891848598</c:v>
                </c:pt>
                <c:pt idx="200">
                  <c:v>72.971966129973495</c:v>
                </c:pt>
                <c:pt idx="201">
                  <c:v>73.034395136915194</c:v>
                </c:pt>
                <c:pt idx="202">
                  <c:v>73.927500603899503</c:v>
                </c:pt>
                <c:pt idx="203">
                  <c:v>77.529248505587404</c:v>
                </c:pt>
                <c:pt idx="204">
                  <c:v>78.536478303618196</c:v>
                </c:pt>
                <c:pt idx="205">
                  <c:v>79.399225455212701</c:v>
                </c:pt>
                <c:pt idx="206">
                  <c:v>80.245144027124297</c:v>
                </c:pt>
                <c:pt idx="207">
                  <c:v>80.035723378384603</c:v>
                </c:pt>
                <c:pt idx="208">
                  <c:v>78.8975493090756</c:v>
                </c:pt>
                <c:pt idx="209">
                  <c:v>78.605814103648996</c:v>
                </c:pt>
                <c:pt idx="210">
                  <c:v>77.837886555896603</c:v>
                </c:pt>
                <c:pt idx="211">
                  <c:v>78.429564400749797</c:v>
                </c:pt>
                <c:pt idx="212">
                  <c:v>78.876855802182405</c:v>
                </c:pt>
                <c:pt idx="213">
                  <c:v>79.284068002090095</c:v>
                </c:pt>
                <c:pt idx="214">
                  <c:v>85.608324574413601</c:v>
                </c:pt>
                <c:pt idx="215">
                  <c:v>95.200529415360506</c:v>
                </c:pt>
                <c:pt idx="216">
                  <c:v>102.31471373420599</c:v>
                </c:pt>
                <c:pt idx="217">
                  <c:v>108.847706227868</c:v>
                </c:pt>
                <c:pt idx="218">
                  <c:v>117.80742443313601</c:v>
                </c:pt>
                <c:pt idx="219">
                  <c:v>134.67127902460001</c:v>
                </c:pt>
                <c:pt idx="220">
                  <c:v>139.57290022888401</c:v>
                </c:pt>
                <c:pt idx="221">
                  <c:v>148.23432581576699</c:v>
                </c:pt>
                <c:pt idx="222">
                  <c:v>156.38448064298501</c:v>
                </c:pt>
                <c:pt idx="223">
                  <c:v>167.86973595464099</c:v>
                </c:pt>
                <c:pt idx="224">
                  <c:v>180.92905535228999</c:v>
                </c:pt>
                <c:pt idx="225">
                  <c:v>194.901663695781</c:v>
                </c:pt>
                <c:pt idx="226">
                  <c:v>206.30192897398601</c:v>
                </c:pt>
                <c:pt idx="227">
                  <c:v>216.43023429463</c:v>
                </c:pt>
                <c:pt idx="228">
                  <c:v>226.69528927584599</c:v>
                </c:pt>
                <c:pt idx="229">
                  <c:v>230.86922382364099</c:v>
                </c:pt>
                <c:pt idx="230">
                  <c:v>238.41875111459001</c:v>
                </c:pt>
                <c:pt idx="231">
                  <c:v>248.94212149262299</c:v>
                </c:pt>
                <c:pt idx="232">
                  <c:v>261.727658039669</c:v>
                </c:pt>
                <c:pt idx="233">
                  <c:v>277.42506919795898</c:v>
                </c:pt>
                <c:pt idx="234">
                  <c:v>295.87878156334602</c:v>
                </c:pt>
                <c:pt idx="235">
                  <c:v>313.89928910530398</c:v>
                </c:pt>
                <c:pt idx="236">
                  <c:v>333.68759744787098</c:v>
                </c:pt>
                <c:pt idx="237">
                  <c:v>350.53772033319598</c:v>
                </c:pt>
                <c:pt idx="238">
                  <c:v>358.426827953832</c:v>
                </c:pt>
                <c:pt idx="239">
                  <c:v>364.46715383647501</c:v>
                </c:pt>
                <c:pt idx="240">
                  <c:v>367.08195062699002</c:v>
                </c:pt>
                <c:pt idx="241">
                  <c:v>374.54973485581098</c:v>
                </c:pt>
                <c:pt idx="242">
                  <c:v>380.81887777678702</c:v>
                </c:pt>
                <c:pt idx="243">
                  <c:v>390.56468045331599</c:v>
                </c:pt>
                <c:pt idx="244">
                  <c:v>402.10195514477698</c:v>
                </c:pt>
                <c:pt idx="245">
                  <c:v>413.59174371674499</c:v>
                </c:pt>
                <c:pt idx="246">
                  <c:v>429.32773990664299</c:v>
                </c:pt>
                <c:pt idx="247">
                  <c:v>448.215981072273</c:v>
                </c:pt>
                <c:pt idx="248">
                  <c:v>467.54545832834202</c:v>
                </c:pt>
                <c:pt idx="249">
                  <c:v>488.919415136277</c:v>
                </c:pt>
                <c:pt idx="250">
                  <c:v>512.17431205599598</c:v>
                </c:pt>
                <c:pt idx="251">
                  <c:v>531.91385767459803</c:v>
                </c:pt>
                <c:pt idx="252">
                  <c:v>547.88976554188605</c:v>
                </c:pt>
                <c:pt idx="253">
                  <c:v>563.96306647850497</c:v>
                </c:pt>
                <c:pt idx="254">
                  <c:v>580.99856875094997</c:v>
                </c:pt>
                <c:pt idx="255">
                  <c:v>600.71688944682899</c:v>
                </c:pt>
                <c:pt idx="256">
                  <c:v>616.00009083640305</c:v>
                </c:pt>
                <c:pt idx="257">
                  <c:v>638.03791882340602</c:v>
                </c:pt>
                <c:pt idx="258">
                  <c:v>655.21551546296905</c:v>
                </c:pt>
                <c:pt idx="259">
                  <c:v>676.226498477223</c:v>
                </c:pt>
                <c:pt idx="260">
                  <c:v>693.54144260590795</c:v>
                </c:pt>
                <c:pt idx="261">
                  <c:v>704.73243867024996</c:v>
                </c:pt>
                <c:pt idx="262">
                  <c:v>726.61925535578303</c:v>
                </c:pt>
                <c:pt idx="263">
                  <c:v>739.06007603560397</c:v>
                </c:pt>
                <c:pt idx="264">
                  <c:v>745.05382132692102</c:v>
                </c:pt>
                <c:pt idx="265">
                  <c:v>743.739762592494</c:v>
                </c:pt>
                <c:pt idx="266">
                  <c:v>744.67121658412304</c:v>
                </c:pt>
                <c:pt idx="267">
                  <c:v>745.610924066454</c:v>
                </c:pt>
                <c:pt idx="268">
                  <c:v>731.27187367586896</c:v>
                </c:pt>
                <c:pt idx="269">
                  <c:v>716.16864058289502</c:v>
                </c:pt>
                <c:pt idx="270">
                  <c:v>698.05641702828495</c:v>
                </c:pt>
                <c:pt idx="271">
                  <c:v>685.36414873509</c:v>
                </c:pt>
                <c:pt idx="272">
                  <c:v>680.07648772960601</c:v>
                </c:pt>
                <c:pt idx="273">
                  <c:v>674.40781469614603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00490240"/>
        <c:axId val="500491776"/>
      </c:lineChart>
      <c:dateAx>
        <c:axId val="500490240"/>
        <c:scaling>
          <c:orientation val="minMax"/>
        </c:scaling>
        <c:delete val="0"/>
        <c:axPos val="b"/>
        <c:numFmt formatCode="m/d/yyyy" sourceLinked="1"/>
        <c:majorTickMark val="out"/>
        <c:minorTickMark val="none"/>
        <c:tickLblPos val="nextTo"/>
        <c:crossAx val="500491776"/>
        <c:crosses val="autoZero"/>
        <c:auto val="1"/>
        <c:lblOffset val="100"/>
        <c:baseTimeUnit val="months"/>
      </c:dateAx>
      <c:valAx>
        <c:axId val="50049177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0490240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[burnout v2.30 with refi_eligibility.xlsx]fnm_loan!PivotTable5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fnm_loan!$H$3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fnm_loan!$G$4:$G$39</c:f>
              <c:strCache>
                <c:ptCount val="35"/>
                <c:pt idx="0">
                  <c:v>1/1/2014</c:v>
                </c:pt>
                <c:pt idx="1">
                  <c:v>2/1/2014</c:v>
                </c:pt>
                <c:pt idx="2">
                  <c:v>3/1/2014</c:v>
                </c:pt>
                <c:pt idx="3">
                  <c:v>4/1/2014</c:v>
                </c:pt>
                <c:pt idx="4">
                  <c:v>5/1/2014</c:v>
                </c:pt>
                <c:pt idx="5">
                  <c:v>6/1/2014</c:v>
                </c:pt>
                <c:pt idx="6">
                  <c:v>7/1/2014</c:v>
                </c:pt>
                <c:pt idx="7">
                  <c:v>8/1/2014</c:v>
                </c:pt>
                <c:pt idx="8">
                  <c:v>9/1/2014</c:v>
                </c:pt>
                <c:pt idx="9">
                  <c:v>10/1/2014</c:v>
                </c:pt>
                <c:pt idx="10">
                  <c:v>11/1/2014</c:v>
                </c:pt>
                <c:pt idx="11">
                  <c:v>12/1/2014</c:v>
                </c:pt>
                <c:pt idx="12">
                  <c:v>1/1/2015</c:v>
                </c:pt>
                <c:pt idx="13">
                  <c:v>2/1/2015</c:v>
                </c:pt>
                <c:pt idx="14">
                  <c:v>3/1/2015</c:v>
                </c:pt>
                <c:pt idx="15">
                  <c:v>4/1/2015</c:v>
                </c:pt>
                <c:pt idx="16">
                  <c:v>5/1/2015</c:v>
                </c:pt>
                <c:pt idx="17">
                  <c:v>6/1/2015</c:v>
                </c:pt>
                <c:pt idx="18">
                  <c:v>7/1/2015</c:v>
                </c:pt>
                <c:pt idx="19">
                  <c:v>8/1/2015</c:v>
                </c:pt>
                <c:pt idx="20">
                  <c:v>9/1/2015</c:v>
                </c:pt>
                <c:pt idx="21">
                  <c:v>10/1/2015</c:v>
                </c:pt>
                <c:pt idx="22">
                  <c:v>11/1/2015</c:v>
                </c:pt>
                <c:pt idx="23">
                  <c:v>12/1/2015</c:v>
                </c:pt>
                <c:pt idx="24">
                  <c:v>1/1/2016</c:v>
                </c:pt>
                <c:pt idx="25">
                  <c:v>2/1/2016</c:v>
                </c:pt>
                <c:pt idx="26">
                  <c:v>3/1/2016</c:v>
                </c:pt>
                <c:pt idx="27">
                  <c:v>4/1/2016</c:v>
                </c:pt>
                <c:pt idx="28">
                  <c:v>5/1/2016</c:v>
                </c:pt>
                <c:pt idx="29">
                  <c:v>6/1/2016</c:v>
                </c:pt>
                <c:pt idx="30">
                  <c:v>7/1/2016</c:v>
                </c:pt>
                <c:pt idx="31">
                  <c:v>8/1/2016</c:v>
                </c:pt>
                <c:pt idx="32">
                  <c:v>9/1/2016</c:v>
                </c:pt>
                <c:pt idx="33">
                  <c:v>10/1/2016</c:v>
                </c:pt>
                <c:pt idx="34">
                  <c:v>11/1/2016</c:v>
                </c:pt>
              </c:strCache>
            </c:strRef>
          </c:cat>
          <c:val>
            <c:numRef>
              <c:f>fnm_loan!$H$4:$H$39</c:f>
              <c:numCache>
                <c:formatCode>General</c:formatCode>
                <c:ptCount val="35"/>
                <c:pt idx="0">
                  <c:v>0.168753523533169</c:v>
                </c:pt>
                <c:pt idx="1">
                  <c:v>2.6065904246231999</c:v>
                </c:pt>
                <c:pt idx="2">
                  <c:v>5.8762523893936498</c:v>
                </c:pt>
                <c:pt idx="3">
                  <c:v>9.0205361898149903</c:v>
                </c:pt>
                <c:pt idx="4">
                  <c:v>12.2629204869394</c:v>
                </c:pt>
                <c:pt idx="5">
                  <c:v>16.776407465858998</c:v>
                </c:pt>
                <c:pt idx="6">
                  <c:v>21.466736442339499</c:v>
                </c:pt>
                <c:pt idx="7">
                  <c:v>26.4234260988503</c:v>
                </c:pt>
                <c:pt idx="8">
                  <c:v>31.604229635642501</c:v>
                </c:pt>
                <c:pt idx="9">
                  <c:v>36.634384126789101</c:v>
                </c:pt>
                <c:pt idx="10">
                  <c:v>42.916984449227897</c:v>
                </c:pt>
                <c:pt idx="11">
                  <c:v>49.614786229491699</c:v>
                </c:pt>
                <c:pt idx="12">
                  <c:v>58.372519437461101</c:v>
                </c:pt>
                <c:pt idx="13">
                  <c:v>69.600945344366494</c:v>
                </c:pt>
                <c:pt idx="14">
                  <c:v>80.391530215792599</c:v>
                </c:pt>
                <c:pt idx="15">
                  <c:v>90.415354510232802</c:v>
                </c:pt>
                <c:pt idx="16">
                  <c:v>101.685031000218</c:v>
                </c:pt>
                <c:pt idx="17">
                  <c:v>110.73699970408801</c:v>
                </c:pt>
                <c:pt idx="18">
                  <c:v>117.939772616786</c:v>
                </c:pt>
                <c:pt idx="19">
                  <c:v>124.60950717752699</c:v>
                </c:pt>
                <c:pt idx="20">
                  <c:v>133.31941672001699</c:v>
                </c:pt>
                <c:pt idx="21">
                  <c:v>142.32989675911799</c:v>
                </c:pt>
                <c:pt idx="22">
                  <c:v>152.64947521092299</c:v>
                </c:pt>
                <c:pt idx="23">
                  <c:v>160.86764881874001</c:v>
                </c:pt>
                <c:pt idx="24">
                  <c:v>169.10896479519201</c:v>
                </c:pt>
                <c:pt idx="25">
                  <c:v>178.50469265926699</c:v>
                </c:pt>
                <c:pt idx="26">
                  <c:v>191.556446624459</c:v>
                </c:pt>
                <c:pt idx="27">
                  <c:v>205.61623398203301</c:v>
                </c:pt>
                <c:pt idx="28">
                  <c:v>219.737786419586</c:v>
                </c:pt>
                <c:pt idx="29">
                  <c:v>234.18227255772999</c:v>
                </c:pt>
                <c:pt idx="30">
                  <c:v>249.37479291360401</c:v>
                </c:pt>
                <c:pt idx="31">
                  <c:v>266.82465468974198</c:v>
                </c:pt>
                <c:pt idx="32">
                  <c:v>284.81534645603699</c:v>
                </c:pt>
                <c:pt idx="33">
                  <c:v>301.68817035119503</c:v>
                </c:pt>
                <c:pt idx="34">
                  <c:v>318.504636968981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09878272"/>
        <c:axId val="532038400"/>
      </c:barChart>
      <c:catAx>
        <c:axId val="509878272"/>
        <c:scaling>
          <c:orientation val="minMax"/>
        </c:scaling>
        <c:delete val="0"/>
        <c:axPos val="b"/>
        <c:majorTickMark val="out"/>
        <c:minorTickMark val="none"/>
        <c:tickLblPos val="nextTo"/>
        <c:crossAx val="532038400"/>
        <c:crosses val="autoZero"/>
        <c:auto val="1"/>
        <c:lblAlgn val="ctr"/>
        <c:lblOffset val="100"/>
        <c:noMultiLvlLbl val="0"/>
      </c:catAx>
      <c:valAx>
        <c:axId val="53203840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09878272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[burnout v2.30 with refi_eligibility.xlsx]fnm_loan!PivotTable6</c:name>
    <c:fmtId val="0"/>
  </c:pivotSource>
  <c:chart>
    <c:title>
      <c:layout/>
      <c:overlay val="0"/>
    </c:title>
    <c:autoTitleDeleted val="0"/>
    <c:pivotFmts>
      <c:pivotFmt>
        <c:idx val="0"/>
        <c:marker>
          <c:symbol val="none"/>
        </c:marker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fnm_loan!$Y$3</c:f>
              <c:strCache>
                <c:ptCount val="1"/>
                <c:pt idx="0">
                  <c:v>Total</c:v>
                </c:pt>
              </c:strCache>
            </c:strRef>
          </c:tx>
          <c:invertIfNegative val="0"/>
          <c:cat>
            <c:strRef>
              <c:f>fnm_loan!$X$4:$X$39</c:f>
              <c:strCache>
                <c:ptCount val="35"/>
                <c:pt idx="0">
                  <c:v>1/1/2014</c:v>
                </c:pt>
                <c:pt idx="1">
                  <c:v>2/1/2014</c:v>
                </c:pt>
                <c:pt idx="2">
                  <c:v>3/1/2014</c:v>
                </c:pt>
                <c:pt idx="3">
                  <c:v>4/1/2014</c:v>
                </c:pt>
                <c:pt idx="4">
                  <c:v>5/1/2014</c:v>
                </c:pt>
                <c:pt idx="5">
                  <c:v>6/1/2014</c:v>
                </c:pt>
                <c:pt idx="6">
                  <c:v>7/1/2014</c:v>
                </c:pt>
                <c:pt idx="7">
                  <c:v>8/1/2014</c:v>
                </c:pt>
                <c:pt idx="8">
                  <c:v>9/1/2014</c:v>
                </c:pt>
                <c:pt idx="9">
                  <c:v>10/1/2014</c:v>
                </c:pt>
                <c:pt idx="10">
                  <c:v>11/1/2014</c:v>
                </c:pt>
                <c:pt idx="11">
                  <c:v>12/1/2014</c:v>
                </c:pt>
                <c:pt idx="12">
                  <c:v>1/1/2015</c:v>
                </c:pt>
                <c:pt idx="13">
                  <c:v>2/1/2015</c:v>
                </c:pt>
                <c:pt idx="14">
                  <c:v>3/1/2015</c:v>
                </c:pt>
                <c:pt idx="15">
                  <c:v>4/1/2015</c:v>
                </c:pt>
                <c:pt idx="16">
                  <c:v>5/1/2015</c:v>
                </c:pt>
                <c:pt idx="17">
                  <c:v>6/1/2015</c:v>
                </c:pt>
                <c:pt idx="18">
                  <c:v>7/1/2015</c:v>
                </c:pt>
                <c:pt idx="19">
                  <c:v>8/1/2015</c:v>
                </c:pt>
                <c:pt idx="20">
                  <c:v>9/1/2015</c:v>
                </c:pt>
                <c:pt idx="21">
                  <c:v>10/1/2015</c:v>
                </c:pt>
                <c:pt idx="22">
                  <c:v>11/1/2015</c:v>
                </c:pt>
                <c:pt idx="23">
                  <c:v>12/1/2015</c:v>
                </c:pt>
                <c:pt idx="24">
                  <c:v>1/1/2016</c:v>
                </c:pt>
                <c:pt idx="25">
                  <c:v>2/1/2016</c:v>
                </c:pt>
                <c:pt idx="26">
                  <c:v>3/1/2016</c:v>
                </c:pt>
                <c:pt idx="27">
                  <c:v>4/1/2016</c:v>
                </c:pt>
                <c:pt idx="28">
                  <c:v>5/1/2016</c:v>
                </c:pt>
                <c:pt idx="29">
                  <c:v>6/1/2016</c:v>
                </c:pt>
                <c:pt idx="30">
                  <c:v>7/1/2016</c:v>
                </c:pt>
                <c:pt idx="31">
                  <c:v>8/1/2016</c:v>
                </c:pt>
                <c:pt idx="32">
                  <c:v>9/1/2016</c:v>
                </c:pt>
                <c:pt idx="33">
                  <c:v>10/1/2016</c:v>
                </c:pt>
                <c:pt idx="34">
                  <c:v>11/1/2016</c:v>
                </c:pt>
              </c:strCache>
            </c:strRef>
          </c:cat>
          <c:val>
            <c:numRef>
              <c:f>fnm_loan!$Y$4:$Y$39</c:f>
              <c:numCache>
                <c:formatCode>General</c:formatCode>
                <c:ptCount val="35"/>
                <c:pt idx="0">
                  <c:v>0.193642646218533</c:v>
                </c:pt>
                <c:pt idx="1">
                  <c:v>2.63346219491592</c:v>
                </c:pt>
                <c:pt idx="2">
                  <c:v>5.9328141678661304</c:v>
                </c:pt>
                <c:pt idx="3">
                  <c:v>9.0945542206952901</c:v>
                </c:pt>
                <c:pt idx="4">
                  <c:v>12.352079792505</c:v>
                </c:pt>
                <c:pt idx="5">
                  <c:v>16.9014507690489</c:v>
                </c:pt>
                <c:pt idx="6">
                  <c:v>21.626839528363199</c:v>
                </c:pt>
                <c:pt idx="7">
                  <c:v>26.616690981363899</c:v>
                </c:pt>
                <c:pt idx="8">
                  <c:v>31.827901602171099</c:v>
                </c:pt>
                <c:pt idx="9">
                  <c:v>36.879342872683097</c:v>
                </c:pt>
                <c:pt idx="10">
                  <c:v>43.201527610449602</c:v>
                </c:pt>
                <c:pt idx="11">
                  <c:v>49.942686699046902</c:v>
                </c:pt>
                <c:pt idx="12">
                  <c:v>58.780679938356499</c:v>
                </c:pt>
                <c:pt idx="13">
                  <c:v>71.165701742703007</c:v>
                </c:pt>
                <c:pt idx="14">
                  <c:v>83.006254010880596</c:v>
                </c:pt>
                <c:pt idx="15">
                  <c:v>93.950732245311301</c:v>
                </c:pt>
                <c:pt idx="16">
                  <c:v>106.309984853168</c:v>
                </c:pt>
                <c:pt idx="17">
                  <c:v>116.11482910506901</c:v>
                </c:pt>
                <c:pt idx="18">
                  <c:v>123.81398873655201</c:v>
                </c:pt>
                <c:pt idx="19">
                  <c:v>130.90300572871899</c:v>
                </c:pt>
                <c:pt idx="20">
                  <c:v>140.19135524917201</c:v>
                </c:pt>
                <c:pt idx="21">
                  <c:v>149.794291106771</c:v>
                </c:pt>
                <c:pt idx="22">
                  <c:v>160.82686106133301</c:v>
                </c:pt>
                <c:pt idx="23">
                  <c:v>169.522911924147</c:v>
                </c:pt>
                <c:pt idx="24">
                  <c:v>178.20418118673501</c:v>
                </c:pt>
                <c:pt idx="25">
                  <c:v>188.16464847024801</c:v>
                </c:pt>
                <c:pt idx="26">
                  <c:v>202.113323640392</c:v>
                </c:pt>
                <c:pt idx="27">
                  <c:v>217.02485451410899</c:v>
                </c:pt>
                <c:pt idx="28">
                  <c:v>232.023538629764</c:v>
                </c:pt>
                <c:pt idx="29">
                  <c:v>247.3336156828</c:v>
                </c:pt>
                <c:pt idx="30">
                  <c:v>263.422432839885</c:v>
                </c:pt>
                <c:pt idx="31">
                  <c:v>282.01667332387598</c:v>
                </c:pt>
                <c:pt idx="32">
                  <c:v>301.05980133496701</c:v>
                </c:pt>
                <c:pt idx="33">
                  <c:v>318.96103167157401</c:v>
                </c:pt>
                <c:pt idx="34">
                  <c:v>336.76375463465899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514910464"/>
        <c:axId val="514912256"/>
      </c:barChart>
      <c:catAx>
        <c:axId val="514910464"/>
        <c:scaling>
          <c:orientation val="minMax"/>
        </c:scaling>
        <c:delete val="0"/>
        <c:axPos val="b"/>
        <c:majorTickMark val="out"/>
        <c:minorTickMark val="none"/>
        <c:tickLblPos val="nextTo"/>
        <c:crossAx val="514912256"/>
        <c:crosses val="autoZero"/>
        <c:auto val="1"/>
        <c:lblAlgn val="ctr"/>
        <c:lblOffset val="100"/>
        <c:noMultiLvlLbl val="0"/>
      </c:catAx>
      <c:valAx>
        <c:axId val="51491225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514910464"/>
        <c:crosses val="autoZero"/>
        <c:crossBetween val="between"/>
      </c:valAx>
    </c:plotArea>
    <c:legend>
      <c:legendPos val="r"/>
      <c:layout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</c:extLst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0.xml"/><Relationship Id="rId2" Type="http://schemas.openxmlformats.org/officeDocument/2006/relationships/chart" Target="../charts/chart9.xml"/><Relationship Id="rId1" Type="http://schemas.openxmlformats.org/officeDocument/2006/relationships/chart" Target="../charts/chart8.xml"/><Relationship Id="rId4" Type="http://schemas.openxmlformats.org/officeDocument/2006/relationships/chart" Target="../charts/chart11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477930</xdr:colOff>
      <xdr:row>7</xdr:row>
      <xdr:rowOff>182375</xdr:rowOff>
    </xdr:from>
    <xdr:to>
      <xdr:col>24</xdr:col>
      <xdr:colOff>208989</xdr:colOff>
      <xdr:row>22</xdr:row>
      <xdr:rowOff>68075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16</xdr:col>
      <xdr:colOff>515470</xdr:colOff>
      <xdr:row>26</xdr:row>
      <xdr:rowOff>135590</xdr:rowOff>
    </xdr:from>
    <xdr:to>
      <xdr:col>24</xdr:col>
      <xdr:colOff>246529</xdr:colOff>
      <xdr:row>41</xdr:row>
      <xdr:rowOff>21290</xdr:rowOff>
    </xdr:to>
    <xdr:graphicFrame macro="">
      <xdr:nvGraphicFramePr>
        <xdr:cNvPr id="10" name="Chart 9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433386</xdr:colOff>
      <xdr:row>8</xdr:row>
      <xdr:rowOff>4761</xdr:rowOff>
    </xdr:from>
    <xdr:to>
      <xdr:col>17</xdr:col>
      <xdr:colOff>495299</xdr:colOff>
      <xdr:row>27</xdr:row>
      <xdr:rowOff>28574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376237</xdr:colOff>
      <xdr:row>26</xdr:row>
      <xdr:rowOff>166687</xdr:rowOff>
    </xdr:from>
    <xdr:to>
      <xdr:col>18</xdr:col>
      <xdr:colOff>71437</xdr:colOff>
      <xdr:row>41</xdr:row>
      <xdr:rowOff>52387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385762</xdr:colOff>
      <xdr:row>42</xdr:row>
      <xdr:rowOff>147637</xdr:rowOff>
    </xdr:from>
    <xdr:to>
      <xdr:col>18</xdr:col>
      <xdr:colOff>80962</xdr:colOff>
      <xdr:row>57</xdr:row>
      <xdr:rowOff>33337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342900</xdr:colOff>
      <xdr:row>58</xdr:row>
      <xdr:rowOff>71437</xdr:rowOff>
    </xdr:from>
    <xdr:to>
      <xdr:col>18</xdr:col>
      <xdr:colOff>38100</xdr:colOff>
      <xdr:row>72</xdr:row>
      <xdr:rowOff>147637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285750</xdr:colOff>
      <xdr:row>74</xdr:row>
      <xdr:rowOff>14287</xdr:rowOff>
    </xdr:from>
    <xdr:to>
      <xdr:col>17</xdr:col>
      <xdr:colOff>590550</xdr:colOff>
      <xdr:row>88</xdr:row>
      <xdr:rowOff>90487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180975</xdr:colOff>
      <xdr:row>8</xdr:row>
      <xdr:rowOff>185737</xdr:rowOff>
    </xdr:from>
    <xdr:to>
      <xdr:col>17</xdr:col>
      <xdr:colOff>485775</xdr:colOff>
      <xdr:row>23</xdr:row>
      <xdr:rowOff>71437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219075</xdr:colOff>
      <xdr:row>26</xdr:row>
      <xdr:rowOff>80962</xdr:rowOff>
    </xdr:from>
    <xdr:to>
      <xdr:col>17</xdr:col>
      <xdr:colOff>523875</xdr:colOff>
      <xdr:row>40</xdr:row>
      <xdr:rowOff>157162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10</xdr:col>
      <xdr:colOff>171450</xdr:colOff>
      <xdr:row>42</xdr:row>
      <xdr:rowOff>109537</xdr:rowOff>
    </xdr:from>
    <xdr:to>
      <xdr:col>17</xdr:col>
      <xdr:colOff>476250</xdr:colOff>
      <xdr:row>56</xdr:row>
      <xdr:rowOff>185737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10</xdr:col>
      <xdr:colOff>314325</xdr:colOff>
      <xdr:row>60</xdr:row>
      <xdr:rowOff>138112</xdr:rowOff>
    </xdr:from>
    <xdr:to>
      <xdr:col>18</xdr:col>
      <xdr:colOff>9525</xdr:colOff>
      <xdr:row>75</xdr:row>
      <xdr:rowOff>23812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114300</xdr:colOff>
      <xdr:row>11</xdr:row>
      <xdr:rowOff>61912</xdr:rowOff>
    </xdr:from>
    <xdr:to>
      <xdr:col>16</xdr:col>
      <xdr:colOff>419100</xdr:colOff>
      <xdr:row>25</xdr:row>
      <xdr:rowOff>138112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114300</xdr:colOff>
      <xdr:row>27</xdr:row>
      <xdr:rowOff>42862</xdr:rowOff>
    </xdr:from>
    <xdr:to>
      <xdr:col>16</xdr:col>
      <xdr:colOff>419100</xdr:colOff>
      <xdr:row>41</xdr:row>
      <xdr:rowOff>119062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_rels/pivotCacheDefinition4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4.xml"/></Relationships>
</file>

<file path=xl/pivotCache/_rels/pivotCacheDefinition5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5.xml"/></Relationships>
</file>

<file path=xl/pivotCache/_rels/pivotCacheDefinition6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6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Lien Chen" refreshedDate="42713.58003715278" createdVersion="4" refreshedVersion="4" minRefreshableVersion="3" recordCount="510">
  <cacheSource type="worksheet">
    <worksheetSource ref="A1:E1048576" sheet="fhl_pool"/>
  </cacheSource>
  <cacheFields count="5">
    <cacheField name="marketTicker" numFmtId="0">
      <sharedItems containsBlank="1" count="5">
        <s v="FGLMC"/>
        <s v="FGT6"/>
        <s v="FGU6"/>
        <s v="FGU9"/>
        <m/>
      </sharedItems>
    </cacheField>
    <cacheField name="asOf" numFmtId="0">
      <sharedItems containsNonDate="0" containsDate="1" containsString="0" containsBlank="1" minDate="1994-02-01T00:00:00" maxDate="2016-11-02T00:00:00" count="271">
        <d v="1994-02-01T00:00:00"/>
        <d v="1994-03-01T00:00:00"/>
        <d v="1994-04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m/>
      </sharedItems>
    </cacheField>
    <cacheField name="count(1)" numFmtId="0">
      <sharedItems containsString="0" containsBlank="1" containsNumber="1" containsInteger="1" minValue="10" maxValue="168793"/>
    </cacheField>
    <cacheField name="sum(sph.schamBalance)" numFmtId="0">
      <sharedItems containsString="0" containsBlank="1" containsNumber="1" minValue="45118402.759999998" maxValue="1301137589406.99"/>
    </cacheField>
    <cacheField name="wavg_burnout" numFmtId="0">
      <sharedItems containsString="0" containsBlank="1" containsNumber="1" minValue="0" maxValue="765.9457070259079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r:id="rId1" refreshedBy="Lien Chen" refreshedDate="42713.580339004628" createdVersion="4" refreshedVersion="4" minRefreshableVersion="3" recordCount="510">
  <cacheSource type="worksheet">
    <worksheetSource ref="U1:Y1048576" sheet="fhl_pool"/>
  </cacheSource>
  <cacheFields count="5">
    <cacheField name="marketTicker" numFmtId="0">
      <sharedItems containsBlank="1" count="5">
        <s v="FGLMC"/>
        <s v="FGT6"/>
        <s v="FGU6"/>
        <s v="FGU9"/>
        <m/>
      </sharedItems>
    </cacheField>
    <cacheField name="asOf" numFmtId="0">
      <sharedItems containsNonDate="0" containsDate="1" containsString="0" containsBlank="1" minDate="1994-02-01T00:00:00" maxDate="2016-11-02T00:00:00" count="271">
        <d v="1994-02-01T00:00:00"/>
        <d v="1994-03-01T00:00:00"/>
        <d v="1994-04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m/>
      </sharedItems>
    </cacheField>
    <cacheField name="count(1)" numFmtId="0">
      <sharedItems containsString="0" containsBlank="1" containsNumber="1" containsInteger="1" minValue="10" maxValue="168793"/>
    </cacheField>
    <cacheField name="sum(sph.schamBalance)" numFmtId="0">
      <sharedItems containsString="0" containsBlank="1" containsNumber="1" minValue="45118402.759999998" maxValue="1301137589406.99"/>
    </cacheField>
    <cacheField name="wavg_burnout" numFmtId="0">
      <sharedItems containsString="0" containsBlank="1" containsNumber="1" minValue="0" maxValue="745.61092406645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r:id="rId1" refreshedBy="Lien Chen" refreshedDate="42713.683915393522" createdVersion="4" refreshedVersion="4" minRefreshableVersion="3" recordCount="515">
  <cacheSource type="worksheet">
    <worksheetSource ref="A1:E1048576" sheet="fnm_pool"/>
  </cacheSource>
  <cacheFields count="5">
    <cacheField name="marketTicker" numFmtId="0">
      <sharedItems containsBlank="1" count="5">
        <s v="FNCL"/>
        <s v="FNCK"/>
        <s v="FNCQ30"/>
        <s v="FNCR"/>
        <m/>
      </sharedItems>
    </cacheField>
    <cacheField name="asOf" numFmtId="0">
      <sharedItems containsNonDate="0" containsDate="1" containsString="0" containsBlank="1" minDate="1994-02-01T00:00:00" maxDate="2016-11-02T00:00:00" count="275">
        <d v="1994-02-01T00:00:00"/>
        <d v="1994-03-01T00:00:00"/>
        <d v="1994-04-01T00:00:00"/>
        <d v="1994-05-01T00:00:00"/>
        <d v="1994-06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m/>
      </sharedItems>
    </cacheField>
    <cacheField name="count(1)" numFmtId="0">
      <sharedItems containsString="0" containsBlank="1" containsNumber="1" containsInteger="1" minValue="3" maxValue="311865"/>
    </cacheField>
    <cacheField name="sum(p.schamBalance)" numFmtId="0">
      <sharedItems containsString="0" containsBlank="1" containsNumber="1" minValue="12238945.18" maxValue="1936230379188.45"/>
    </cacheField>
    <cacheField name="burnout" numFmtId="0">
      <sharedItems containsString="0" containsBlank="1" containsNumber="1" minValue="0" maxValue="767.7581099989889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r:id="rId1" refreshedBy="Lien Chen" refreshedDate="42713.691798611108" createdVersion="4" refreshedVersion="4" minRefreshableVersion="3" recordCount="141">
  <cacheSource type="worksheet">
    <worksheetSource ref="A1:E1048576" sheet="fnm_loan"/>
  </cacheSource>
  <cacheFields count="5">
    <cacheField name="marketTicker" numFmtId="0">
      <sharedItems containsBlank="1" count="5">
        <s v="FNCK"/>
        <s v="FNCL"/>
        <s v="FNCQ30"/>
        <s v="FNCR"/>
        <m/>
      </sharedItems>
    </cacheField>
    <cacheField name="asOf" numFmtId="0">
      <sharedItems containsNonDate="0" containsDate="1" containsString="0" containsBlank="1" minDate="2014-01-01T00:00:00" maxDate="2016-11-02T00:00:00" count="36"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m/>
      </sharedItems>
    </cacheField>
    <cacheField name="count(1)" numFmtId="0">
      <sharedItems containsString="0" containsBlank="1" containsNumber="1" containsInteger="1" minValue="37828" maxValue="14100552"/>
    </cacheField>
    <cacheField name="sum(slh.schamBalance)" numFmtId="0">
      <sharedItems containsString="0" containsBlank="1" containsNumber="1" minValue="17481057533.18" maxValue="1793713512360.6201"/>
    </cacheField>
    <cacheField name="wavg_burnout" numFmtId="0">
      <sharedItems containsString="0" containsBlank="1" containsNumber="1" minValue="4.4023449487047396E-3" maxValue="715.47347625089196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r:id="rId1" refreshedBy="Lien Chen" refreshedDate="42713.717101736111" createdVersion="4" refreshedVersion="4" minRefreshableVersion="3" recordCount="141">
  <cacheSource type="worksheet">
    <worksheetSource ref="R1:V1048576" sheet="fnm_loan"/>
  </cacheSource>
  <cacheFields count="5">
    <cacheField name="marketTicker" numFmtId="0">
      <sharedItems containsBlank="1" count="5">
        <s v="FNCK"/>
        <s v="FNCL"/>
        <s v="FNCQ30"/>
        <s v="FNCR"/>
        <m/>
      </sharedItems>
    </cacheField>
    <cacheField name="asOf" numFmtId="0">
      <sharedItems containsNonDate="0" containsDate="1" containsString="0" containsBlank="1" minDate="2014-01-01T00:00:00" maxDate="2016-11-02T00:00:00" count="36"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m/>
      </sharedItems>
    </cacheField>
    <cacheField name="count(1)" numFmtId="0">
      <sharedItems containsString="0" containsBlank="1" containsNumber="1" containsInteger="1" minValue="37828" maxValue="14100552"/>
    </cacheField>
    <cacheField name="sum(slh.schamBalance)" numFmtId="0">
      <sharedItems containsString="0" containsBlank="1" containsNumber="1" minValue="17481057533.18" maxValue="1793713512360.6201"/>
    </cacheField>
    <cacheField name="wavg_burnout" numFmtId="0">
      <sharedItems containsString="0" containsBlank="1" containsNumber="1" minValue="4.6227333639613398E-3" maxValue="657.1274504425590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6.xml><?xml version="1.0" encoding="utf-8"?>
<pivotCacheDefinition xmlns="http://schemas.openxmlformats.org/spreadsheetml/2006/main" xmlns:r="http://schemas.openxmlformats.org/officeDocument/2006/relationships" r:id="rId1" refreshedBy="Lien Chen" refreshedDate="42713.729019444443" createdVersion="4" refreshedVersion="4" minRefreshableVersion="3" recordCount="515">
  <cacheSource type="worksheet">
    <worksheetSource ref="T1:X1048576" sheet="fnm_pool"/>
  </cacheSource>
  <cacheFields count="5">
    <cacheField name="marketTicker" numFmtId="0">
      <sharedItems containsBlank="1" count="5">
        <s v="FNCL"/>
        <s v="FNCK"/>
        <s v="FNCQ30"/>
        <s v="FNCR"/>
        <m/>
      </sharedItems>
    </cacheField>
    <cacheField name="asOf" numFmtId="0">
      <sharedItems containsNonDate="0" containsDate="1" containsString="0" containsBlank="1" minDate="1994-02-01T00:00:00" maxDate="2016-11-02T00:00:00" count="275">
        <d v="1994-02-01T00:00:00"/>
        <d v="1994-03-01T00:00:00"/>
        <d v="1994-04-01T00:00:00"/>
        <d v="1994-05-01T00:00:00"/>
        <d v="1994-06-01T00:00:00"/>
        <d v="1994-07-01T00:00:00"/>
        <d v="1994-08-01T00:00:00"/>
        <d v="1994-09-01T00:00:00"/>
        <d v="1994-10-01T00:00:00"/>
        <d v="1994-11-01T00:00:00"/>
        <d v="1994-12-01T00:00:00"/>
        <d v="1995-01-01T00:00:00"/>
        <d v="1995-02-01T00:00:00"/>
        <d v="1995-03-01T00:00:00"/>
        <d v="1995-04-01T00:00:00"/>
        <d v="1995-05-01T00:00:00"/>
        <d v="1995-06-01T00:00:00"/>
        <d v="1995-07-01T00:00:00"/>
        <d v="1995-08-01T00:00:00"/>
        <d v="1995-09-01T00:00:00"/>
        <d v="1995-10-01T00:00:00"/>
        <d v="1995-11-01T00:00:00"/>
        <d v="1995-12-01T00:00:00"/>
        <d v="1996-01-01T00:00:00"/>
        <d v="1996-02-01T00:00:00"/>
        <d v="1996-03-01T00:00:00"/>
        <d v="1996-04-01T00:00:00"/>
        <d v="1996-05-01T00:00:00"/>
        <d v="1996-06-01T00:00:00"/>
        <d v="1996-07-01T00:00:00"/>
        <d v="1996-08-01T00:00:00"/>
        <d v="1996-09-01T00:00:00"/>
        <d v="1996-10-01T00:00:00"/>
        <d v="1996-11-01T00:00:00"/>
        <d v="1996-12-01T00:00:00"/>
        <d v="1997-01-01T00:00:00"/>
        <d v="1997-02-01T00:00:00"/>
        <d v="1997-03-01T00:00:00"/>
        <d v="1997-04-01T00:00:00"/>
        <d v="1997-05-01T00:00:00"/>
        <d v="1997-06-01T00:00:00"/>
        <d v="1997-07-01T00:00:00"/>
        <d v="1997-08-01T00:00:00"/>
        <d v="1997-09-01T00:00:00"/>
        <d v="1997-10-01T00:00:00"/>
        <d v="1997-11-01T00:00:00"/>
        <d v="1997-12-01T00:00:00"/>
        <d v="1998-01-01T00:00:00"/>
        <d v="1998-02-01T00:00:00"/>
        <d v="1998-03-01T00:00:00"/>
        <d v="1998-04-01T00:00:00"/>
        <d v="1998-05-01T00:00:00"/>
        <d v="1998-06-01T00:00:00"/>
        <d v="1998-07-01T00:00:00"/>
        <d v="1998-08-01T00:00:00"/>
        <d v="1998-09-01T00:00:00"/>
        <d v="1998-10-01T00:00:00"/>
        <d v="1998-11-01T00:00:00"/>
        <d v="1998-12-01T00:00:00"/>
        <d v="1999-01-01T00:00:00"/>
        <d v="1999-02-01T00:00:00"/>
        <d v="1999-03-01T00:00:00"/>
        <d v="1999-04-01T00:00:00"/>
        <d v="1999-05-01T00:00:00"/>
        <d v="1999-06-01T00:00:00"/>
        <d v="1999-07-01T00:00:00"/>
        <d v="1999-08-01T00:00:00"/>
        <d v="1999-09-01T00:00:00"/>
        <d v="1999-10-01T00:00:00"/>
        <d v="1999-11-01T00:00:00"/>
        <d v="1999-12-01T00:00:00"/>
        <d v="2000-01-01T00:00:00"/>
        <d v="2000-02-01T00:00:00"/>
        <d v="2000-03-01T00:00:00"/>
        <d v="2000-04-01T00:00:00"/>
        <d v="2000-05-01T00:00:00"/>
        <d v="2000-06-01T00:00:00"/>
        <d v="2000-07-01T00:00:00"/>
        <d v="2000-08-01T00:00:00"/>
        <d v="2000-09-01T00:00:00"/>
        <d v="2000-10-01T00:00:00"/>
        <d v="2000-11-01T00:00:00"/>
        <d v="2000-12-01T00:00:00"/>
        <d v="2001-01-01T00:00:00"/>
        <d v="2001-02-01T00:00:00"/>
        <d v="2001-03-01T00:00:00"/>
        <d v="2001-04-01T00:00:00"/>
        <d v="2001-05-01T00:00:00"/>
        <d v="2001-06-01T00:00:00"/>
        <d v="2001-07-01T00:00:00"/>
        <d v="2001-08-01T00:00:00"/>
        <d v="2001-09-01T00:00:00"/>
        <d v="2001-10-01T00:00:00"/>
        <d v="2001-11-01T00:00:00"/>
        <d v="2001-12-01T00:00:00"/>
        <d v="2002-01-01T00:00:00"/>
        <d v="2002-02-01T00:00:00"/>
        <d v="2002-03-01T00:00:00"/>
        <d v="2002-04-01T00:00:00"/>
        <d v="2002-05-01T00:00:00"/>
        <d v="2002-06-01T00:00:00"/>
        <d v="2002-07-01T00:00:00"/>
        <d v="2002-08-01T00:00:00"/>
        <d v="2002-09-01T00:00:00"/>
        <d v="2002-10-01T00:00:00"/>
        <d v="2002-11-01T00:00:00"/>
        <d v="2002-12-01T00:00:00"/>
        <d v="2003-01-01T00:00:00"/>
        <d v="2003-02-01T00:00:00"/>
        <d v="2003-03-01T00:00:00"/>
        <d v="2003-04-01T00:00:00"/>
        <d v="2003-05-01T00:00:00"/>
        <d v="2003-06-01T00:00:00"/>
        <d v="2003-07-01T00:00:00"/>
        <d v="2003-08-01T00:00:00"/>
        <d v="2003-09-01T00:00:00"/>
        <d v="2003-10-01T00:00:00"/>
        <d v="2003-11-01T00:00:00"/>
        <d v="2003-12-01T00:00:00"/>
        <d v="2004-01-01T00:00:00"/>
        <d v="2004-02-01T00:00:00"/>
        <d v="2004-03-01T00:00:00"/>
        <d v="2004-04-01T00:00:00"/>
        <d v="2004-05-01T00:00:00"/>
        <d v="2004-06-01T00:00:00"/>
        <d v="2004-07-01T00:00:00"/>
        <d v="2004-08-01T00:00:00"/>
        <d v="2004-09-01T00:00:00"/>
        <d v="2004-10-01T00:00:00"/>
        <d v="2004-11-01T00:00:00"/>
        <d v="2004-12-01T00:00:00"/>
        <d v="2005-01-01T00:00:00"/>
        <d v="2005-02-01T00:00:00"/>
        <d v="2005-03-01T00:00:00"/>
        <d v="2005-04-01T00:00:00"/>
        <d v="2005-05-01T00:00:00"/>
        <d v="2005-06-01T00:00:00"/>
        <d v="2005-07-01T00:00:00"/>
        <d v="2005-08-01T00:00:00"/>
        <d v="2005-09-01T00:00:00"/>
        <d v="2005-10-01T00:00:00"/>
        <d v="2005-11-01T00:00:00"/>
        <d v="2005-12-01T00:00:00"/>
        <d v="2006-01-01T00:00:00"/>
        <d v="2006-02-01T00:00:00"/>
        <d v="2006-03-01T00:00:00"/>
        <d v="2006-04-01T00:00:00"/>
        <d v="2006-05-01T00:00:00"/>
        <d v="2006-06-01T00:00:00"/>
        <d v="2006-07-01T00:00:00"/>
        <d v="2006-08-01T00:00:00"/>
        <d v="2006-09-01T00:00:00"/>
        <d v="2006-10-01T00:00:00"/>
        <d v="2006-11-01T00:00:00"/>
        <d v="2006-12-01T00:00:00"/>
        <d v="2007-01-01T00:00:00"/>
        <d v="2007-02-01T00:00:00"/>
        <d v="2007-03-01T00:00:00"/>
        <d v="2007-04-01T00:00:00"/>
        <d v="2007-05-01T00:00:00"/>
        <d v="2007-06-01T00:00:00"/>
        <d v="2007-07-01T00:00:00"/>
        <d v="2007-08-01T00:00:00"/>
        <d v="2007-09-01T00:00:00"/>
        <d v="2007-10-01T00:00:00"/>
        <d v="2007-11-01T00:00:00"/>
        <d v="2007-12-01T00:00:00"/>
        <d v="2008-01-01T00:00:00"/>
        <d v="2008-02-01T00:00:00"/>
        <d v="2008-03-01T00:00:00"/>
        <d v="2008-04-01T00:00:00"/>
        <d v="2008-05-01T00:00:00"/>
        <d v="2008-06-01T00:00:00"/>
        <d v="2008-07-01T00:00:00"/>
        <d v="2008-08-01T00:00:00"/>
        <d v="2008-09-01T00:00:00"/>
        <d v="2008-10-01T00:00:00"/>
        <d v="2008-11-01T00:00:00"/>
        <d v="2008-12-01T00:00:00"/>
        <d v="2009-01-01T00:00:00"/>
        <d v="2009-02-01T00:00:00"/>
        <d v="2009-03-01T00:00:00"/>
        <d v="2009-04-01T00:00:00"/>
        <d v="2009-05-01T00:00:00"/>
        <d v="2009-06-01T00:00:00"/>
        <d v="2009-07-01T00:00:00"/>
        <d v="2009-08-01T00:00:00"/>
        <d v="2009-09-01T00:00:00"/>
        <d v="2009-10-01T00:00:00"/>
        <d v="2009-11-01T00:00:00"/>
        <d v="2009-12-01T00:00:00"/>
        <d v="2010-01-01T00:00:00"/>
        <d v="2010-02-01T00:00:00"/>
        <d v="2010-03-01T00:00:00"/>
        <d v="2010-04-01T00:00:00"/>
        <d v="2010-05-01T00:00:00"/>
        <d v="2010-06-01T00:00:00"/>
        <d v="2010-07-01T00:00:00"/>
        <d v="2010-08-01T00:00:00"/>
        <d v="2010-09-01T00:00:00"/>
        <d v="2010-10-01T00:00:00"/>
        <d v="2010-11-01T00:00:00"/>
        <d v="2010-12-01T00:00:00"/>
        <d v="2011-01-01T00:00:00"/>
        <d v="2011-02-01T00:00:00"/>
        <d v="2011-03-01T00:00:00"/>
        <d v="2011-04-01T00:00:00"/>
        <d v="2011-05-01T00:00:00"/>
        <d v="2011-06-01T00:00:00"/>
        <d v="2011-07-01T00:00:00"/>
        <d v="2011-08-01T00:00:00"/>
        <d v="2011-09-01T00:00:00"/>
        <d v="2011-10-01T00:00:00"/>
        <d v="2011-11-01T00:00:00"/>
        <d v="2011-12-01T00:00:00"/>
        <d v="2012-01-01T00:00:00"/>
        <d v="2012-02-01T00:00:00"/>
        <d v="2012-03-01T00:00:00"/>
        <d v="2012-04-01T00:00:00"/>
        <d v="2012-05-01T00:00:00"/>
        <d v="2012-06-01T00:00:00"/>
        <d v="2012-07-01T00:00:00"/>
        <d v="2012-08-01T00:00:00"/>
        <d v="2012-09-01T00:00:00"/>
        <d v="2012-10-01T00:00:00"/>
        <d v="2012-11-01T00:00:00"/>
        <d v="2012-12-01T00:00:00"/>
        <d v="2013-01-01T00:00:00"/>
        <d v="2013-02-01T00:00:00"/>
        <d v="2013-03-01T00:00:00"/>
        <d v="2013-04-01T00:00:00"/>
        <d v="2013-05-01T00:00:00"/>
        <d v="2013-06-01T00:00:00"/>
        <d v="2013-07-01T00:00:00"/>
        <d v="2013-08-01T00:00:00"/>
        <d v="2013-09-01T00:00:00"/>
        <d v="2013-10-01T00:00:00"/>
        <d v="2013-11-01T00:00:00"/>
        <d v="2013-12-01T00:00:00"/>
        <d v="2014-01-01T00:00:00"/>
        <d v="2014-02-01T00:00:00"/>
        <d v="2014-03-01T00:00:00"/>
        <d v="2014-04-01T00:00:00"/>
        <d v="2014-05-01T00:00:00"/>
        <d v="2014-06-01T00:00:00"/>
        <d v="2014-07-01T00:00:00"/>
        <d v="2014-08-01T00:00:00"/>
        <d v="2014-09-01T00:00:00"/>
        <d v="2014-10-01T00:00:00"/>
        <d v="2014-11-01T00:00:00"/>
        <d v="2014-12-01T00:00:00"/>
        <d v="2015-01-01T00:00:00"/>
        <d v="2015-02-01T00:00:00"/>
        <d v="2015-03-01T00:00:00"/>
        <d v="2015-04-01T00:00:00"/>
        <d v="2015-05-01T00:00:00"/>
        <d v="2015-06-01T00:00:00"/>
        <d v="2015-07-01T00:00:00"/>
        <d v="2015-08-01T00:00:00"/>
        <d v="2015-09-01T00:00:00"/>
        <d v="2015-10-01T00:00:00"/>
        <d v="2015-11-01T00:00:00"/>
        <d v="2015-12-01T00:00:00"/>
        <d v="2016-01-01T00:00:00"/>
        <d v="2016-02-01T00:00:00"/>
        <d v="2016-03-01T00:00:00"/>
        <d v="2016-04-01T00:00:00"/>
        <d v="2016-05-01T00:00:00"/>
        <d v="2016-06-01T00:00:00"/>
        <d v="2016-07-01T00:00:00"/>
        <d v="2016-08-01T00:00:00"/>
        <d v="2016-09-01T00:00:00"/>
        <d v="2016-10-01T00:00:00"/>
        <d v="2016-11-01T00:00:00"/>
        <m/>
      </sharedItems>
    </cacheField>
    <cacheField name="count(1)" numFmtId="0">
      <sharedItems containsString="0" containsBlank="1" containsNumber="1" containsInteger="1" minValue="3" maxValue="311865"/>
    </cacheField>
    <cacheField name="sum(p.schamBalance)" numFmtId="0">
      <sharedItems containsString="0" containsBlank="1" containsNumber="1" minValue="12238945.18" maxValue="1936230379188.45"/>
    </cacheField>
    <cacheField name="burnout" numFmtId="0">
      <sharedItems containsString="0" containsBlank="1" containsNumber="1" minValue="0" maxValue="716.28152810165398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510">
  <r>
    <x v="0"/>
    <x v="0"/>
    <n v="47564"/>
    <n v="179363030607.07999"/>
    <n v="145.28415275439301"/>
  </r>
  <r>
    <x v="0"/>
    <x v="1"/>
    <n v="48770"/>
    <n v="182676426202.38"/>
    <n v="143.04177464678699"/>
  </r>
  <r>
    <x v="0"/>
    <x v="2"/>
    <n v="50054"/>
    <n v="187173844372.01001"/>
    <n v="137.08415312611999"/>
  </r>
  <r>
    <x v="0"/>
    <x v="3"/>
    <n v="53319"/>
    <n v="198257625256.20999"/>
    <n v="118.361236377689"/>
  </r>
  <r>
    <x v="0"/>
    <x v="4"/>
    <n v="54110"/>
    <n v="200679192483.73001"/>
    <n v="115.593474578317"/>
  </r>
  <r>
    <x v="0"/>
    <x v="5"/>
    <n v="54835"/>
    <n v="202941258365.22"/>
    <n v="113.644602142484"/>
  </r>
  <r>
    <x v="0"/>
    <x v="6"/>
    <n v="55530"/>
    <n v="205226671396.57999"/>
    <n v="111.809854913113"/>
  </r>
  <r>
    <x v="0"/>
    <x v="7"/>
    <n v="56108"/>
    <n v="206975112252.98001"/>
    <n v="110.082387334646"/>
  </r>
  <r>
    <x v="0"/>
    <x v="8"/>
    <n v="56529"/>
    <n v="207753709014.57999"/>
    <n v="108.86373426885299"/>
  </r>
  <r>
    <x v="0"/>
    <x v="9"/>
    <n v="56894"/>
    <n v="208406182510.07001"/>
    <n v="107.782197472264"/>
  </r>
  <r>
    <x v="0"/>
    <x v="10"/>
    <n v="57294"/>
    <n v="209359181505.28"/>
    <n v="106.64500475215399"/>
  </r>
  <r>
    <x v="0"/>
    <x v="11"/>
    <n v="57702"/>
    <n v="210444667091.82001"/>
    <n v="105.832721769697"/>
  </r>
  <r>
    <x v="0"/>
    <x v="12"/>
    <n v="58144"/>
    <n v="212078601432.42001"/>
    <n v="105.423167579902"/>
  </r>
  <r>
    <x v="0"/>
    <x v="13"/>
    <n v="58699"/>
    <n v="214086172771.07001"/>
    <n v="105.179075165234"/>
  </r>
  <r>
    <x v="0"/>
    <x v="14"/>
    <n v="59299"/>
    <n v="215985123514.95001"/>
    <n v="106.29004193672"/>
  </r>
  <r>
    <x v="0"/>
    <x v="15"/>
    <n v="59982"/>
    <n v="218637993872.20999"/>
    <n v="109.309795312174"/>
  </r>
  <r>
    <x v="0"/>
    <x v="16"/>
    <n v="60798"/>
    <n v="220537691305.53"/>
    <n v="112.19873097892599"/>
  </r>
  <r>
    <x v="0"/>
    <x v="17"/>
    <n v="61701"/>
    <n v="223537636405.35001"/>
    <n v="112.826612103101"/>
  </r>
  <r>
    <x v="0"/>
    <x v="18"/>
    <n v="62672"/>
    <n v="229405456728.67999"/>
    <n v="113.092130993463"/>
  </r>
  <r>
    <x v="0"/>
    <x v="19"/>
    <n v="63520"/>
    <n v="235258720640.07999"/>
    <n v="114.05281884386901"/>
  </r>
  <r>
    <x v="0"/>
    <x v="20"/>
    <n v="64356"/>
    <n v="239238384049.14999"/>
    <n v="116.795858165087"/>
  </r>
  <r>
    <x v="0"/>
    <x v="21"/>
    <n v="65235"/>
    <n v="242924225298.66"/>
    <n v="121.339728096408"/>
  </r>
  <r>
    <x v="0"/>
    <x v="22"/>
    <n v="66160"/>
    <n v="247706198611.98999"/>
    <n v="126.62002216885701"/>
  </r>
  <r>
    <x v="0"/>
    <x v="23"/>
    <n v="67083"/>
    <n v="252451222078.59"/>
    <n v="130.597709509841"/>
  </r>
  <r>
    <x v="0"/>
    <x v="24"/>
    <n v="68019"/>
    <n v="258576610453.45001"/>
    <n v="128.90275943329399"/>
  </r>
  <r>
    <x v="0"/>
    <x v="25"/>
    <n v="68897"/>
    <n v="263680566665.75"/>
    <n v="126.01026421499"/>
  </r>
  <r>
    <x v="0"/>
    <x v="26"/>
    <n v="69782"/>
    <n v="266531739812.85999"/>
    <n v="123.78486558456601"/>
  </r>
  <r>
    <x v="0"/>
    <x v="27"/>
    <n v="70524"/>
    <n v="269946338845.72"/>
    <n v="121.035213330334"/>
  </r>
  <r>
    <x v="0"/>
    <x v="28"/>
    <n v="71320"/>
    <n v="275359751202.96997"/>
    <n v="118.15428891089999"/>
  </r>
  <r>
    <x v="0"/>
    <x v="29"/>
    <n v="72068"/>
    <n v="279116219901"/>
    <n v="117.092865038168"/>
  </r>
  <r>
    <x v="0"/>
    <x v="30"/>
    <n v="72680"/>
    <n v="282696691198.75"/>
    <n v="115.50644734110401"/>
  </r>
  <r>
    <x v="0"/>
    <x v="31"/>
    <n v="73401"/>
    <n v="286599324454.46997"/>
    <n v="114.944005021509"/>
  </r>
  <r>
    <x v="0"/>
    <x v="32"/>
    <n v="74137"/>
    <n v="289245055308.17999"/>
    <n v="116.510912602308"/>
  </r>
  <r>
    <x v="0"/>
    <x v="33"/>
    <n v="76146"/>
    <n v="305558806072.76001"/>
    <n v="110.346511039988"/>
  </r>
  <r>
    <x v="0"/>
    <x v="34"/>
    <n v="76726"/>
    <n v="308203632776.14001"/>
    <n v="110.267991958297"/>
  </r>
  <r>
    <x v="0"/>
    <x v="35"/>
    <n v="77198"/>
    <n v="310466649017.64001"/>
    <n v="109.561817548192"/>
  </r>
  <r>
    <x v="0"/>
    <x v="36"/>
    <n v="77710"/>
    <n v="312256914058.41998"/>
    <n v="109.496784249725"/>
  </r>
  <r>
    <x v="0"/>
    <x v="37"/>
    <n v="78238"/>
    <n v="315317531887.77002"/>
    <n v="110.169093653071"/>
  </r>
  <r>
    <x v="0"/>
    <x v="38"/>
    <n v="78728"/>
    <n v="318968926684.46997"/>
    <n v="112.096149760087"/>
  </r>
  <r>
    <x v="0"/>
    <x v="39"/>
    <n v="79279"/>
    <n v="322889944513.82001"/>
    <n v="113.55313712480201"/>
  </r>
  <r>
    <x v="0"/>
    <x v="40"/>
    <n v="79818"/>
    <n v="326223233406.87"/>
    <n v="115.576072211273"/>
  </r>
  <r>
    <x v="0"/>
    <x v="41"/>
    <n v="80470"/>
    <n v="331462404329.59998"/>
    <n v="117.82551503657101"/>
  </r>
  <r>
    <x v="0"/>
    <x v="42"/>
    <n v="81105"/>
    <n v="335920440468.38"/>
    <n v="120.97942183629399"/>
  </r>
  <r>
    <x v="0"/>
    <x v="43"/>
    <n v="81826"/>
    <n v="341078292801.59998"/>
    <n v="124.52219833617301"/>
  </r>
  <r>
    <x v="0"/>
    <x v="44"/>
    <n v="82571"/>
    <n v="342377531652.5"/>
    <n v="131.45641940396999"/>
  </r>
  <r>
    <x v="0"/>
    <x v="45"/>
    <n v="83367"/>
    <n v="347235598262.58002"/>
    <n v="136.795559521748"/>
  </r>
  <r>
    <x v="0"/>
    <x v="46"/>
    <n v="84285"/>
    <n v="356844623340.15997"/>
    <n v="137.90437843970301"/>
  </r>
  <r>
    <x v="0"/>
    <x v="47"/>
    <n v="85347"/>
    <n v="363989269831.03998"/>
    <n v="137.62607658271401"/>
  </r>
  <r>
    <x v="0"/>
    <x v="48"/>
    <n v="86333"/>
    <n v="369967952529.34998"/>
    <n v="137.199329846198"/>
  </r>
  <r>
    <x v="0"/>
    <x v="49"/>
    <n v="87205"/>
    <n v="377339687889.40997"/>
    <n v="138.63479646786601"/>
  </r>
  <r>
    <x v="0"/>
    <x v="50"/>
    <n v="88347"/>
    <n v="386367453157.35999"/>
    <n v="140.24654298033801"/>
  </r>
  <r>
    <x v="0"/>
    <x v="51"/>
    <n v="89353"/>
    <n v="391655603963.95001"/>
    <n v="143.13299549912099"/>
  </r>
  <r>
    <x v="0"/>
    <x v="52"/>
    <n v="90394"/>
    <n v="395905188008.88"/>
    <n v="148.92795279742401"/>
  </r>
  <r>
    <x v="0"/>
    <x v="53"/>
    <n v="91404"/>
    <n v="405477226088.94"/>
    <n v="152.633519949277"/>
  </r>
  <r>
    <x v="0"/>
    <x v="54"/>
    <n v="92421"/>
    <n v="415987868538.75"/>
    <n v="152.419785145948"/>
  </r>
  <r>
    <x v="0"/>
    <x v="55"/>
    <n v="93582"/>
    <n v="423029711253.54999"/>
    <n v="153.51673971357999"/>
  </r>
  <r>
    <x v="0"/>
    <x v="56"/>
    <n v="94621"/>
    <n v="428789332116.60999"/>
    <n v="153.20913172776901"/>
  </r>
  <r>
    <x v="0"/>
    <x v="57"/>
    <n v="95673"/>
    <n v="435071002275.32001"/>
    <n v="152.57972212448999"/>
  </r>
  <r>
    <x v="0"/>
    <x v="58"/>
    <n v="96985"/>
    <n v="445844508849.51001"/>
    <n v="149.32753454951799"/>
  </r>
  <r>
    <x v="0"/>
    <x v="59"/>
    <n v="98319"/>
    <n v="454861367864.41998"/>
    <n v="147.57084878156499"/>
  </r>
  <r>
    <x v="0"/>
    <x v="60"/>
    <n v="99372"/>
    <n v="462596813374.56"/>
    <n v="144.128230852283"/>
  </r>
  <r>
    <x v="0"/>
    <x v="61"/>
    <n v="100290"/>
    <n v="469015767726"/>
    <n v="139.84931282612499"/>
  </r>
  <r>
    <x v="0"/>
    <x v="62"/>
    <n v="101048"/>
    <n v="474446604497.37"/>
    <n v="135.91788975382499"/>
  </r>
  <r>
    <x v="0"/>
    <x v="63"/>
    <n v="101791"/>
    <n v="478953183452.09003"/>
    <n v="132.05920712816399"/>
  </r>
  <r>
    <x v="0"/>
    <x v="64"/>
    <n v="102667"/>
    <n v="483684933728.44"/>
    <n v="129.199191929059"/>
  </r>
  <r>
    <x v="0"/>
    <x v="65"/>
    <n v="103263"/>
    <n v="486113274951.03003"/>
    <n v="127.19192718598001"/>
  </r>
  <r>
    <x v="0"/>
    <x v="66"/>
    <n v="103797"/>
    <n v="488977501585.98999"/>
    <n v="125.879190558094"/>
  </r>
  <r>
    <x v="0"/>
    <x v="67"/>
    <n v="104272"/>
    <n v="490954239429.84998"/>
    <n v="124.60948365755701"/>
  </r>
  <r>
    <x v="0"/>
    <x v="68"/>
    <n v="105024"/>
    <n v="496915801152.44"/>
    <n v="121.953903335977"/>
  </r>
  <r>
    <x v="0"/>
    <x v="69"/>
    <n v="105571"/>
    <n v="498826947779.83002"/>
    <n v="120.523552638224"/>
  </r>
  <r>
    <x v="0"/>
    <x v="70"/>
    <n v="106181"/>
    <n v="501711977650.15002"/>
    <n v="119.12508074740801"/>
  </r>
  <r>
    <x v="0"/>
    <x v="71"/>
    <n v="106663"/>
    <n v="503601588836.79999"/>
    <n v="118.027578234768"/>
  </r>
  <r>
    <x v="0"/>
    <x v="72"/>
    <n v="107411"/>
    <n v="509012244894.96002"/>
    <n v="115.651963654048"/>
  </r>
  <r>
    <x v="0"/>
    <x v="73"/>
    <n v="108179"/>
    <n v="513375798865.76001"/>
    <n v="113.810278644958"/>
  </r>
  <r>
    <x v="0"/>
    <x v="74"/>
    <n v="108954"/>
    <n v="516317525107.78998"/>
    <n v="112.377674195979"/>
  </r>
  <r>
    <x v="0"/>
    <x v="75"/>
    <n v="109821"/>
    <n v="523779386580.96997"/>
    <n v="110.453771969404"/>
  </r>
  <r>
    <x v="0"/>
    <x v="76"/>
    <n v="110829"/>
    <n v="531358236787.52002"/>
    <n v="108.803621443296"/>
  </r>
  <r>
    <x v="0"/>
    <x v="77"/>
    <n v="111769"/>
    <n v="538792043173.23999"/>
    <n v="107.63757592574299"/>
  </r>
  <r>
    <x v="0"/>
    <x v="78"/>
    <n v="112641"/>
    <n v="546830986491.85999"/>
    <n v="106.93046709581699"/>
  </r>
  <r>
    <x v="0"/>
    <x v="79"/>
    <n v="113546"/>
    <n v="556063952014.84998"/>
    <n v="108.277701004704"/>
  </r>
  <r>
    <x v="0"/>
    <x v="80"/>
    <n v="114380"/>
    <n v="562843528396.04004"/>
    <n v="112.885731638148"/>
  </r>
  <r>
    <x v="0"/>
    <x v="81"/>
    <n v="115148"/>
    <n v="569910496468.92004"/>
    <n v="117.17361859148301"/>
  </r>
  <r>
    <x v="0"/>
    <x v="82"/>
    <n v="116093"/>
    <n v="575566943003.72998"/>
    <n v="121.953107254489"/>
  </r>
  <r>
    <x v="0"/>
    <x v="83"/>
    <n v="117276"/>
    <n v="583139651340.71997"/>
    <n v="123.80266431314899"/>
  </r>
  <r>
    <x v="0"/>
    <x v="84"/>
    <n v="118503"/>
    <n v="593305418081.90002"/>
    <n v="123.465424249919"/>
  </r>
  <r>
    <x v="0"/>
    <x v="85"/>
    <n v="119870"/>
    <n v="606806060779.91003"/>
    <n v="121.897706684805"/>
  </r>
  <r>
    <x v="0"/>
    <x v="86"/>
    <n v="121166"/>
    <n v="618791756702.58997"/>
    <n v="120.036164802234"/>
  </r>
  <r>
    <x v="0"/>
    <x v="87"/>
    <n v="122179"/>
    <n v="628840911305.92004"/>
    <n v="121.148170368265"/>
  </r>
  <r>
    <x v="0"/>
    <x v="88"/>
    <n v="123141"/>
    <n v="638519275459.80005"/>
    <n v="123.280317139836"/>
  </r>
  <r>
    <x v="0"/>
    <x v="89"/>
    <n v="124004"/>
    <n v="646306647396.65002"/>
    <n v="128.744717959078"/>
  </r>
  <r>
    <x v="0"/>
    <x v="90"/>
    <n v="124910"/>
    <n v="652582097254.40002"/>
    <n v="132.56423289769199"/>
  </r>
  <r>
    <x v="0"/>
    <x v="91"/>
    <n v="125965"/>
    <n v="656486331011.75"/>
    <n v="130.06559526883299"/>
  </r>
  <r>
    <x v="0"/>
    <x v="92"/>
    <n v="126547"/>
    <n v="656253601310.68994"/>
    <n v="127.548382260995"/>
  </r>
  <r>
    <x v="0"/>
    <x v="93"/>
    <n v="127084"/>
    <n v="662578022060.97998"/>
    <n v="126.43465176296399"/>
  </r>
  <r>
    <x v="0"/>
    <x v="94"/>
    <n v="127647"/>
    <n v="667880223893.80005"/>
    <n v="123.78984472734599"/>
  </r>
  <r>
    <x v="0"/>
    <x v="95"/>
    <n v="128359"/>
    <n v="674907718124.70996"/>
    <n v="121.722594180009"/>
  </r>
  <r>
    <x v="0"/>
    <x v="96"/>
    <n v="128856"/>
    <n v="678129810095.63"/>
    <n v="122.71051812111899"/>
  </r>
  <r>
    <x v="0"/>
    <x v="97"/>
    <n v="129396"/>
    <n v="683017451835.34998"/>
    <n v="125.92833076899301"/>
  </r>
  <r>
    <x v="0"/>
    <x v="98"/>
    <n v="129977"/>
    <n v="688067618515.57996"/>
    <n v="131.74044378131401"/>
  </r>
  <r>
    <x v="0"/>
    <x v="99"/>
    <n v="130648"/>
    <n v="691159460575.51001"/>
    <n v="139.77489932971599"/>
  </r>
  <r>
    <x v="0"/>
    <x v="100"/>
    <n v="131306"/>
    <n v="688876296638.54004"/>
    <n v="149.64396050023501"/>
  </r>
  <r>
    <x v="0"/>
    <x v="101"/>
    <n v="131940"/>
    <n v="689249009215.40002"/>
    <n v="157.161455644607"/>
  </r>
  <r>
    <x v="0"/>
    <x v="102"/>
    <n v="132490"/>
    <n v="678094236394.04004"/>
    <n v="164.25262576074499"/>
  </r>
  <r>
    <x v="0"/>
    <x v="103"/>
    <n v="133138"/>
    <n v="672789187584.20996"/>
    <n v="169.22365244006701"/>
  </r>
  <r>
    <x v="0"/>
    <x v="104"/>
    <n v="133396"/>
    <n v="656320845922.16003"/>
    <n v="178.24367114453801"/>
  </r>
  <r>
    <x v="0"/>
    <x v="105"/>
    <n v="133498"/>
    <n v="640695606869.09998"/>
    <n v="187.94573545909401"/>
  </r>
  <r>
    <x v="0"/>
    <x v="106"/>
    <n v="133630"/>
    <n v="636170845578.67004"/>
    <n v="195.258001449576"/>
  </r>
  <r>
    <x v="0"/>
    <x v="107"/>
    <n v="133613"/>
    <n v="622258033060.27002"/>
    <n v="202.245444263369"/>
  </r>
  <r>
    <x v="0"/>
    <x v="108"/>
    <n v="133466"/>
    <n v="605902541798.10999"/>
    <n v="212.126102709734"/>
  </r>
  <r>
    <x v="0"/>
    <x v="109"/>
    <n v="133315"/>
    <n v="593660262525.88"/>
    <n v="225.17284904919899"/>
  </r>
  <r>
    <x v="0"/>
    <x v="110"/>
    <n v="133241"/>
    <n v="585591811850.32996"/>
    <n v="226.29197957409599"/>
  </r>
  <r>
    <x v="0"/>
    <x v="111"/>
    <n v="133058"/>
    <n v="578183747971.03003"/>
    <n v="213.58354294145099"/>
  </r>
  <r>
    <x v="0"/>
    <x v="112"/>
    <n v="132608"/>
    <n v="572845474136.19995"/>
    <n v="203.333465959497"/>
  </r>
  <r>
    <x v="0"/>
    <x v="113"/>
    <n v="132103"/>
    <n v="579941535512.03003"/>
    <n v="194.51048245941899"/>
  </r>
  <r>
    <x v="0"/>
    <x v="114"/>
    <n v="131762"/>
    <n v="581878790128.79004"/>
    <n v="191.098587362567"/>
  </r>
  <r>
    <x v="0"/>
    <x v="115"/>
    <n v="131673"/>
    <n v="587417750639.32996"/>
    <n v="189.55344576496"/>
  </r>
  <r>
    <x v="0"/>
    <x v="116"/>
    <n v="131593"/>
    <n v="590489964527.37"/>
    <n v="191.39478800164599"/>
  </r>
  <r>
    <x v="0"/>
    <x v="117"/>
    <n v="131656"/>
    <n v="593859136986.82996"/>
    <n v="195.75408136341099"/>
  </r>
  <r>
    <x v="0"/>
    <x v="118"/>
    <n v="131878"/>
    <n v="596475616648.46997"/>
    <n v="201.57990522944201"/>
  </r>
  <r>
    <x v="0"/>
    <x v="119"/>
    <n v="132083"/>
    <n v="597337065898.32996"/>
    <n v="198.68579980699701"/>
  </r>
  <r>
    <x v="0"/>
    <x v="120"/>
    <n v="132099"/>
    <n v="596273346302.71997"/>
    <n v="192.419181120551"/>
  </r>
  <r>
    <x v="0"/>
    <x v="121"/>
    <n v="131952"/>
    <n v="601439464147.39001"/>
    <n v="185.946198716536"/>
  </r>
  <r>
    <x v="0"/>
    <x v="122"/>
    <n v="131955"/>
    <n v="605197029837.21997"/>
    <n v="182.85217175163399"/>
  </r>
  <r>
    <x v="0"/>
    <x v="123"/>
    <n v="132161"/>
    <n v="608460652302.93994"/>
    <n v="182.724667175809"/>
  </r>
  <r>
    <x v="0"/>
    <x v="124"/>
    <n v="132303"/>
    <n v="611155921112.51001"/>
    <n v="183.87872259247101"/>
  </r>
  <r>
    <x v="0"/>
    <x v="125"/>
    <n v="132433"/>
    <n v="614809241512.60999"/>
    <n v="185.545319216975"/>
  </r>
  <r>
    <x v="0"/>
    <x v="126"/>
    <n v="132687"/>
    <n v="617441892380.83997"/>
    <n v="187.44035492901699"/>
  </r>
  <r>
    <x v="0"/>
    <x v="127"/>
    <n v="133092"/>
    <n v="623960122239.18994"/>
    <n v="187.463914918597"/>
  </r>
  <r>
    <x v="0"/>
    <x v="128"/>
    <n v="133292"/>
    <n v="627455382401.26001"/>
    <n v="188.330240043564"/>
  </r>
  <r>
    <x v="0"/>
    <x v="129"/>
    <n v="133606"/>
    <n v="630345840465.95996"/>
    <n v="191.73533831465301"/>
  </r>
  <r>
    <x v="0"/>
    <x v="130"/>
    <n v="133977"/>
    <n v="636404653411.88"/>
    <n v="190.53253319181701"/>
  </r>
  <r>
    <x v="0"/>
    <x v="131"/>
    <n v="134400"/>
    <n v="643943974637.40002"/>
    <n v="188.25359982829801"/>
  </r>
  <r>
    <x v="0"/>
    <x v="132"/>
    <n v="134739"/>
    <n v="653230277414.80005"/>
    <n v="187.975555972764"/>
  </r>
  <r>
    <x v="0"/>
    <x v="133"/>
    <n v="135194"/>
    <n v="662672623504.70996"/>
    <n v="189.90727345001201"/>
  </r>
  <r>
    <x v="0"/>
    <x v="134"/>
    <n v="135445"/>
    <n v="669529147077.09998"/>
    <n v="190.21675366191499"/>
  </r>
  <r>
    <x v="0"/>
    <x v="135"/>
    <n v="135930"/>
    <n v="681084316958.28003"/>
    <n v="187.72402214039599"/>
  </r>
  <r>
    <x v="0"/>
    <x v="136"/>
    <n v="136354"/>
    <n v="696083136095.84998"/>
    <n v="183.62774174316601"/>
  </r>
  <r>
    <x v="0"/>
    <x v="137"/>
    <n v="136807"/>
    <n v="709909508509.60999"/>
    <n v="178.464279731201"/>
  </r>
  <r>
    <x v="0"/>
    <x v="138"/>
    <n v="137306"/>
    <n v="723313661090.52002"/>
    <n v="172.72736967535801"/>
  </r>
  <r>
    <x v="0"/>
    <x v="139"/>
    <n v="137944"/>
    <n v="737066180148.85999"/>
    <n v="167.64355704504499"/>
  </r>
  <r>
    <x v="0"/>
    <x v="140"/>
    <n v="138515"/>
    <n v="750813136411.38"/>
    <n v="163.76437772883901"/>
  </r>
  <r>
    <x v="0"/>
    <x v="141"/>
    <n v="139200"/>
    <n v="762936156844.35999"/>
    <n v="160.729447813951"/>
  </r>
  <r>
    <x v="0"/>
    <x v="142"/>
    <n v="139672"/>
    <n v="773774501099.78003"/>
    <n v="157.638023836852"/>
  </r>
  <r>
    <x v="0"/>
    <x v="143"/>
    <n v="140122"/>
    <n v="784425698830.51001"/>
    <n v="153.78445257746401"/>
  </r>
  <r>
    <x v="0"/>
    <x v="144"/>
    <n v="140435"/>
    <n v="793859723461.93005"/>
    <n v="150.46120579636101"/>
  </r>
  <r>
    <x v="0"/>
    <x v="145"/>
    <n v="140872"/>
    <n v="804148796324.16003"/>
    <n v="146.74398907907701"/>
  </r>
  <r>
    <x v="0"/>
    <x v="146"/>
    <n v="141261"/>
    <n v="815623297124.84998"/>
    <n v="142.901703712065"/>
  </r>
  <r>
    <x v="0"/>
    <x v="147"/>
    <n v="141782"/>
    <n v="829173302149.54004"/>
    <n v="141.256219534786"/>
  </r>
  <r>
    <x v="0"/>
    <x v="148"/>
    <n v="142240"/>
    <n v="841370417123.65002"/>
    <n v="138.76621015524401"/>
  </r>
  <r>
    <x v="0"/>
    <x v="149"/>
    <n v="142710"/>
    <n v="852239587713.02002"/>
    <n v="137.151867324329"/>
  </r>
  <r>
    <x v="0"/>
    <x v="150"/>
    <n v="143157"/>
    <n v="860737627696.97998"/>
    <n v="136.2075066964"/>
  </r>
  <r>
    <x v="0"/>
    <x v="151"/>
    <n v="143792"/>
    <n v="875234917686.55005"/>
    <n v="135.10170251987699"/>
  </r>
  <r>
    <x v="0"/>
    <x v="152"/>
    <n v="144232"/>
    <n v="886289398566.56006"/>
    <n v="134.08449295560001"/>
  </r>
  <r>
    <x v="0"/>
    <x v="153"/>
    <n v="144924"/>
    <n v="902939742411.02002"/>
    <n v="132.39695563561"/>
  </r>
  <r>
    <x v="0"/>
    <x v="154"/>
    <n v="145734"/>
    <n v="918275700682.27002"/>
    <n v="131.52027445364499"/>
  </r>
  <r>
    <x v="0"/>
    <x v="155"/>
    <n v="146420"/>
    <n v="931301394201.87"/>
    <n v="130.65545762885401"/>
  </r>
  <r>
    <x v="0"/>
    <x v="156"/>
    <n v="147268"/>
    <n v="945955296949.02002"/>
    <n v="129.08514607478301"/>
  </r>
  <r>
    <x v="0"/>
    <x v="157"/>
    <n v="147991"/>
    <n v="959167890179.53003"/>
    <n v="126.27304087489"/>
  </r>
  <r>
    <x v="0"/>
    <x v="158"/>
    <n v="148654"/>
    <n v="970630930715.02002"/>
    <n v="123.749582787666"/>
  </r>
  <r>
    <x v="0"/>
    <x v="159"/>
    <n v="149639"/>
    <n v="986147711440.53003"/>
    <n v="121.18881304202201"/>
  </r>
  <r>
    <x v="0"/>
    <x v="160"/>
    <n v="150721"/>
    <n v="1004291168943.65"/>
    <n v="119.042852132504"/>
  </r>
  <r>
    <x v="0"/>
    <x v="161"/>
    <n v="151639"/>
    <n v="1018333619421.8199"/>
    <n v="118.00348309687701"/>
  </r>
  <r>
    <x v="0"/>
    <x v="162"/>
    <n v="152735"/>
    <n v="1036838440902.78"/>
    <n v="117.031838649853"/>
  </r>
  <r>
    <x v="0"/>
    <x v="163"/>
    <n v="153907"/>
    <n v="1052366455361.34"/>
    <n v="117.135849471702"/>
  </r>
  <r>
    <x v="0"/>
    <x v="164"/>
    <n v="155038"/>
    <n v="1067631591501.37"/>
    <n v="120.75880447903"/>
  </r>
  <r>
    <x v="0"/>
    <x v="165"/>
    <n v="156626"/>
    <n v="1090932032300.9399"/>
    <n v="120.67619617126"/>
  </r>
  <r>
    <x v="0"/>
    <x v="166"/>
    <n v="157658"/>
    <n v="1107233950410.77"/>
    <n v="120.49593686679199"/>
  </r>
  <r>
    <x v="0"/>
    <x v="167"/>
    <n v="158547"/>
    <n v="1121120060633.95"/>
    <n v="120.32776133911599"/>
  </r>
  <r>
    <x v="1"/>
    <x v="168"/>
    <n v="19"/>
    <n v="159670015.94"/>
    <n v="0.395116581298877"/>
  </r>
  <r>
    <x v="0"/>
    <x v="168"/>
    <n v="159524"/>
    <n v="1139760532494.3999"/>
    <n v="118.843785889079"/>
  </r>
  <r>
    <x v="0"/>
    <x v="169"/>
    <n v="160395"/>
    <n v="1155479201809.6499"/>
    <n v="116.62751683845499"/>
  </r>
  <r>
    <x v="1"/>
    <x v="169"/>
    <n v="45"/>
    <n v="377180050.56"/>
    <n v="2.0247765812051601"/>
  </r>
  <r>
    <x v="0"/>
    <x v="170"/>
    <n v="160920"/>
    <n v="1162237411975.8501"/>
    <n v="115.666437596351"/>
  </r>
  <r>
    <x v="1"/>
    <x v="170"/>
    <n v="64"/>
    <n v="621719851.95000005"/>
    <n v="2.6287884709752798"/>
  </r>
  <r>
    <x v="0"/>
    <x v="171"/>
    <n v="161444"/>
    <n v="1169648700447.6899"/>
    <n v="114.2587071908"/>
  </r>
  <r>
    <x v="1"/>
    <x v="171"/>
    <n v="67"/>
    <n v="763960929.25999999"/>
    <n v="2.8797586264550201"/>
  </r>
  <r>
    <x v="1"/>
    <x v="172"/>
    <n v="70"/>
    <n v="816348629.33000004"/>
    <n v="3.4234295590685"/>
  </r>
  <r>
    <x v="0"/>
    <x v="172"/>
    <n v="161942"/>
    <n v="1177642747130.49"/>
    <n v="114.26993133321599"/>
  </r>
  <r>
    <x v="1"/>
    <x v="173"/>
    <n v="77"/>
    <n v="962156457.99000001"/>
    <n v="3.7238856801359899"/>
  </r>
  <r>
    <x v="0"/>
    <x v="173"/>
    <n v="162223"/>
    <n v="1179818682767.8101"/>
    <n v="114.32155636174301"/>
  </r>
  <r>
    <x v="1"/>
    <x v="174"/>
    <n v="81"/>
    <n v="1017133767.9"/>
    <n v="5.7992899362936896"/>
  </r>
  <r>
    <x v="0"/>
    <x v="174"/>
    <n v="162431"/>
    <n v="1183521139367"/>
    <n v="114.281917197754"/>
  </r>
  <r>
    <x v="0"/>
    <x v="175"/>
    <n v="162775"/>
    <n v="1188990414254.24"/>
    <n v="121.501546721772"/>
  </r>
  <r>
    <x v="1"/>
    <x v="175"/>
    <n v="85"/>
    <n v="1108598255.4400001"/>
    <n v="15.472249807213499"/>
  </r>
  <r>
    <x v="1"/>
    <x v="176"/>
    <n v="91"/>
    <n v="1144655203.8699999"/>
    <n v="29.677198719252701"/>
  </r>
  <r>
    <x v="0"/>
    <x v="176"/>
    <n v="162938"/>
    <n v="1191848545477.6299"/>
    <n v="132.66570728693699"/>
  </r>
  <r>
    <x v="1"/>
    <x v="177"/>
    <n v="96"/>
    <n v="1143216587.29"/>
    <n v="39.216738165081701"/>
  </r>
  <r>
    <x v="0"/>
    <x v="177"/>
    <n v="163109"/>
    <n v="1197686583453.0601"/>
    <n v="140.40335229351501"/>
  </r>
  <r>
    <x v="1"/>
    <x v="178"/>
    <n v="98"/>
    <n v="1120084797.3399999"/>
    <n v="50.712949267165399"/>
  </r>
  <r>
    <x v="0"/>
    <x v="178"/>
    <n v="163376"/>
    <n v="1214626480567.3601"/>
    <n v="147.11698894796299"/>
  </r>
  <r>
    <x v="0"/>
    <x v="179"/>
    <n v="163443"/>
    <n v="1227123431334.01"/>
    <n v="156.518848536549"/>
  </r>
  <r>
    <x v="1"/>
    <x v="179"/>
    <n v="98"/>
    <n v="1078894527.97"/>
    <n v="64.296114282104796"/>
  </r>
  <r>
    <x v="0"/>
    <x v="180"/>
    <n v="163569"/>
    <n v="1234260438018.73"/>
    <n v="172.032492004711"/>
  </r>
  <r>
    <x v="1"/>
    <x v="180"/>
    <n v="97"/>
    <n v="1032952441.29"/>
    <n v="86.232426386544105"/>
  </r>
  <r>
    <x v="0"/>
    <x v="181"/>
    <n v="163728"/>
    <n v="1252730272086.4099"/>
    <n v="175.25276261882999"/>
  </r>
  <r>
    <x v="1"/>
    <x v="181"/>
    <n v="97"/>
    <n v="993378509.11000001"/>
    <n v="96.728685369093895"/>
  </r>
  <r>
    <x v="0"/>
    <x v="182"/>
    <n v="163836"/>
    <n v="1257643264164.9099"/>
    <n v="182.654656309079"/>
  </r>
  <r>
    <x v="1"/>
    <x v="182"/>
    <n v="96"/>
    <n v="946099456.75999999"/>
    <n v="110.425281627896"/>
  </r>
  <r>
    <x v="0"/>
    <x v="183"/>
    <n v="163936"/>
    <n v="1270454083140.21"/>
    <n v="189.592543030911"/>
  </r>
  <r>
    <x v="1"/>
    <x v="183"/>
    <n v="95"/>
    <n v="886300040.11000001"/>
    <n v="124.332768151697"/>
  </r>
  <r>
    <x v="0"/>
    <x v="184"/>
    <n v="164180"/>
    <n v="1279191968274.55"/>
    <n v="200.23168800257"/>
  </r>
  <r>
    <x v="1"/>
    <x v="184"/>
    <n v="95"/>
    <n v="853173864.62"/>
    <n v="142.756677888404"/>
  </r>
  <r>
    <x v="0"/>
    <x v="185"/>
    <n v="164194"/>
    <n v="1284380337007.78"/>
    <n v="212.60255787677599"/>
  </r>
  <r>
    <x v="1"/>
    <x v="185"/>
    <n v="95"/>
    <n v="819680231.34000003"/>
    <n v="161.80047808222301"/>
  </r>
  <r>
    <x v="0"/>
    <x v="186"/>
    <n v="164264"/>
    <n v="1288288962785.8999"/>
    <n v="225.904790316674"/>
  </r>
  <r>
    <x v="1"/>
    <x v="186"/>
    <n v="94"/>
    <n v="778771901.41999996"/>
    <n v="183.29262837118199"/>
  </r>
  <r>
    <x v="2"/>
    <x v="186"/>
    <n v="10"/>
    <n v="45118402.759999998"/>
    <n v="0"/>
  </r>
  <r>
    <x v="0"/>
    <x v="187"/>
    <n v="164394"/>
    <n v="1297203353258.1899"/>
    <n v="236.47243729526301"/>
  </r>
  <r>
    <x v="1"/>
    <x v="187"/>
    <n v="94"/>
    <n v="730740246.76999998"/>
    <n v="204.87528236527299"/>
  </r>
  <r>
    <x v="2"/>
    <x v="187"/>
    <n v="26"/>
    <n v="140467044.28999999"/>
    <n v="4.9170626787384197"/>
  </r>
  <r>
    <x v="0"/>
    <x v="188"/>
    <n v="164392"/>
    <n v="1297037709626.45"/>
    <n v="245.95155327319199"/>
  </r>
  <r>
    <x v="1"/>
    <x v="188"/>
    <n v="93"/>
    <n v="671519986.54999995"/>
    <n v="225.48644714899399"/>
  </r>
  <r>
    <x v="2"/>
    <x v="188"/>
    <n v="44"/>
    <n v="281456661.47000003"/>
    <n v="9.8069640597297703"/>
  </r>
  <r>
    <x v="0"/>
    <x v="189"/>
    <n v="164479"/>
    <n v="1301137589406.99"/>
    <n v="255.59143576441099"/>
  </r>
  <r>
    <x v="1"/>
    <x v="189"/>
    <n v="91"/>
    <n v="636390695.32000005"/>
    <n v="246.611105456085"/>
  </r>
  <r>
    <x v="2"/>
    <x v="189"/>
    <n v="70"/>
    <n v="451475286.89999998"/>
    <n v="11.9612827970894"/>
  </r>
  <r>
    <x v="0"/>
    <x v="190"/>
    <n v="163886"/>
    <n v="1262938911927.99"/>
    <n v="259.86662235461802"/>
  </r>
  <r>
    <x v="1"/>
    <x v="190"/>
    <n v="91"/>
    <n v="595742034.61000001"/>
    <n v="264.84405213536297"/>
  </r>
  <r>
    <x v="2"/>
    <x v="190"/>
    <n v="91"/>
    <n v="640592685.88999999"/>
    <n v="13.703566581464401"/>
  </r>
  <r>
    <x v="0"/>
    <x v="191"/>
    <n v="163874"/>
    <n v="1257357437789.02"/>
    <n v="266.93689966858699"/>
  </r>
  <r>
    <x v="1"/>
    <x v="191"/>
    <n v="89"/>
    <n v="561587271.51999998"/>
    <n v="283.239030059058"/>
  </r>
  <r>
    <x v="2"/>
    <x v="191"/>
    <n v="116"/>
    <n v="873082912.89999998"/>
    <n v="13.9398630809885"/>
  </r>
  <r>
    <x v="0"/>
    <x v="192"/>
    <n v="163779"/>
    <n v="1253270914369.1101"/>
    <n v="276.966786084783"/>
  </r>
  <r>
    <x v="1"/>
    <x v="192"/>
    <n v="88"/>
    <n v="531420686.00999999"/>
    <n v="304.33899683991598"/>
  </r>
  <r>
    <x v="2"/>
    <x v="192"/>
    <n v="138"/>
    <n v="1088381162.51"/>
    <n v="14.0631964173631"/>
  </r>
  <r>
    <x v="0"/>
    <x v="193"/>
    <n v="163766"/>
    <n v="1254208414913.27"/>
    <n v="289.18605920206198"/>
  </r>
  <r>
    <x v="1"/>
    <x v="193"/>
    <n v="88"/>
    <n v="501401912.05000001"/>
    <n v="328.58814045887499"/>
  </r>
  <r>
    <x v="2"/>
    <x v="193"/>
    <n v="164"/>
    <n v="1322702870.9300001"/>
    <n v="14.8240779652439"/>
  </r>
  <r>
    <x v="0"/>
    <x v="194"/>
    <n v="163753"/>
    <n v="1251134507397.9399"/>
    <n v="304.27784768155101"/>
  </r>
  <r>
    <x v="1"/>
    <x v="194"/>
    <n v="87"/>
    <n v="476695460.79000002"/>
    <n v="356.21192559109699"/>
  </r>
  <r>
    <x v="2"/>
    <x v="194"/>
    <n v="188"/>
    <n v="1562566788.21"/>
    <n v="15.6939965239687"/>
  </r>
  <r>
    <x v="0"/>
    <x v="195"/>
    <n v="163755"/>
    <n v="1244762156873.8799"/>
    <n v="322.17579149750702"/>
  </r>
  <r>
    <x v="1"/>
    <x v="195"/>
    <n v="86"/>
    <n v="436910763.93000001"/>
    <n v="390.06315521838701"/>
  </r>
  <r>
    <x v="2"/>
    <x v="195"/>
    <n v="209"/>
    <n v="1800028459.5"/>
    <n v="14.5539394261315"/>
  </r>
  <r>
    <x v="0"/>
    <x v="196"/>
    <n v="163816"/>
    <n v="1235982569471.3701"/>
    <n v="339.509362166578"/>
  </r>
  <r>
    <x v="1"/>
    <x v="196"/>
    <n v="86"/>
    <n v="406964949.51999998"/>
    <n v="427.44150247895601"/>
  </r>
  <r>
    <x v="2"/>
    <x v="196"/>
    <n v="241"/>
    <n v="2289490119.9400001"/>
    <n v="13.262777253858401"/>
  </r>
  <r>
    <x v="0"/>
    <x v="197"/>
    <n v="163859"/>
    <n v="1222216237246.51"/>
    <n v="358.76835599520399"/>
  </r>
  <r>
    <x v="1"/>
    <x v="197"/>
    <n v="84"/>
    <n v="376322526.51999998"/>
    <n v="468.44983470615898"/>
  </r>
  <r>
    <x v="2"/>
    <x v="197"/>
    <n v="276"/>
    <n v="2545033047.27"/>
    <n v="12.7444347987265"/>
  </r>
  <r>
    <x v="0"/>
    <x v="198"/>
    <n v="164017"/>
    <n v="1208603766164.51"/>
    <n v="375.07101181590002"/>
  </r>
  <r>
    <x v="1"/>
    <x v="198"/>
    <n v="83"/>
    <n v="351522994.73000002"/>
    <n v="504.246122141846"/>
  </r>
  <r>
    <x v="2"/>
    <x v="198"/>
    <n v="306"/>
    <n v="3126217292.7199998"/>
    <n v="28.766009774220699"/>
  </r>
  <r>
    <x v="0"/>
    <x v="199"/>
    <n v="164228"/>
    <n v="1194423645357.02"/>
    <n v="382.44246133391999"/>
  </r>
  <r>
    <x v="1"/>
    <x v="199"/>
    <n v="103"/>
    <n v="929665401.02999997"/>
    <n v="192.96425643683099"/>
  </r>
  <r>
    <x v="2"/>
    <x v="199"/>
    <n v="342"/>
    <n v="3903977995.2800002"/>
    <n v="25.5325537515645"/>
  </r>
  <r>
    <x v="0"/>
    <x v="200"/>
    <n v="164247"/>
    <n v="1182814575891.2"/>
    <n v="387.96058363639997"/>
  </r>
  <r>
    <x v="1"/>
    <x v="200"/>
    <n v="118"/>
    <n v="1352151537.6500001"/>
    <n v="132.330168976333"/>
  </r>
  <r>
    <x v="2"/>
    <x v="200"/>
    <n v="383"/>
    <n v="4392867761.4399996"/>
    <n v="22.865090826513001"/>
  </r>
  <r>
    <x v="0"/>
    <x v="201"/>
    <n v="164474"/>
    <n v="1179826829308.1899"/>
    <n v="389.98884101852701"/>
  </r>
  <r>
    <x v="1"/>
    <x v="201"/>
    <n v="150"/>
    <n v="2662811185.9000001"/>
    <n v="66.596783634387904"/>
  </r>
  <r>
    <x v="2"/>
    <x v="201"/>
    <n v="430"/>
    <n v="5236503457.5500002"/>
    <n v="19.619897262471898"/>
  </r>
  <r>
    <x v="0"/>
    <x v="202"/>
    <n v="164558"/>
    <n v="1171068568311.46"/>
    <n v="397.06056780196599"/>
  </r>
  <r>
    <x v="1"/>
    <x v="202"/>
    <n v="171"/>
    <n v="3016647647.4899998"/>
    <n v="57.798438989212599"/>
  </r>
  <r>
    <x v="2"/>
    <x v="202"/>
    <n v="478"/>
    <n v="6136502654.7399998"/>
    <n v="17.040314844784"/>
  </r>
  <r>
    <x v="0"/>
    <x v="203"/>
    <n v="164675"/>
    <n v="1165480717909.74"/>
    <n v="402.95365168642098"/>
  </r>
  <r>
    <x v="1"/>
    <x v="203"/>
    <n v="202"/>
    <n v="3576642912.5300002"/>
    <n v="49.3710855584564"/>
  </r>
  <r>
    <x v="2"/>
    <x v="203"/>
    <n v="523"/>
    <n v="6826056441.3299999"/>
    <n v="15.6050907673668"/>
  </r>
  <r>
    <x v="0"/>
    <x v="204"/>
    <n v="164807"/>
    <n v="1160574203603.98"/>
    <n v="412.36004942913701"/>
  </r>
  <r>
    <x v="1"/>
    <x v="204"/>
    <n v="231"/>
    <n v="4235834937.54"/>
    <n v="45.888930375783303"/>
  </r>
  <r>
    <x v="2"/>
    <x v="204"/>
    <n v="560"/>
    <n v="7337956247.75"/>
    <n v="14.7769811479094"/>
  </r>
  <r>
    <x v="0"/>
    <x v="205"/>
    <n v="164963"/>
    <n v="1157445015074.0801"/>
    <n v="423.56099857394702"/>
  </r>
  <r>
    <x v="1"/>
    <x v="205"/>
    <n v="269"/>
    <n v="5049498835.8699999"/>
    <n v="44.5732659972278"/>
  </r>
  <r>
    <x v="2"/>
    <x v="205"/>
    <n v="593"/>
    <n v="7947724964.54"/>
    <n v="14.1064302832522"/>
  </r>
  <r>
    <x v="0"/>
    <x v="206"/>
    <n v="165116"/>
    <n v="1150165536380.5701"/>
    <n v="434.79807764408798"/>
  </r>
  <r>
    <x v="1"/>
    <x v="206"/>
    <n v="308"/>
    <n v="5555396980.3400002"/>
    <n v="46.186117683408"/>
  </r>
  <r>
    <x v="2"/>
    <x v="206"/>
    <n v="626"/>
    <n v="8459759606.9799995"/>
    <n v="13.7652026291443"/>
  </r>
  <r>
    <x v="0"/>
    <x v="207"/>
    <n v="165297"/>
    <n v="1145704754479.45"/>
    <n v="450.198699668828"/>
  </r>
  <r>
    <x v="1"/>
    <x v="207"/>
    <n v="347"/>
    <n v="6013908013.3299999"/>
    <n v="53.650341573448003"/>
  </r>
  <r>
    <x v="2"/>
    <x v="207"/>
    <n v="659"/>
    <n v="9001686735.1800003"/>
    <n v="13.3696481969102"/>
  </r>
  <r>
    <x v="0"/>
    <x v="208"/>
    <n v="165496"/>
    <n v="1139539896703.1399"/>
    <n v="468.70826224111897"/>
  </r>
  <r>
    <x v="1"/>
    <x v="208"/>
    <n v="375"/>
    <n v="6542546587.2600002"/>
    <n v="62.986194104577102"/>
  </r>
  <r>
    <x v="2"/>
    <x v="208"/>
    <n v="691"/>
    <n v="9553441938.6800003"/>
    <n v="13.3601939218502"/>
  </r>
  <r>
    <x v="0"/>
    <x v="209"/>
    <n v="165673"/>
    <n v="1128758317047.3601"/>
    <n v="487.75750921597199"/>
  </r>
  <r>
    <x v="1"/>
    <x v="209"/>
    <n v="420"/>
    <n v="7247325924.1400003"/>
    <n v="66.112070922801095"/>
  </r>
  <r>
    <x v="2"/>
    <x v="209"/>
    <n v="724"/>
    <n v="10014880248.950001"/>
    <n v="13.3614274513297"/>
  </r>
  <r>
    <x v="0"/>
    <x v="210"/>
    <n v="165738"/>
    <n v="1112728336442.3301"/>
    <n v="508.87235068410399"/>
  </r>
  <r>
    <x v="1"/>
    <x v="210"/>
    <n v="454"/>
    <n v="7904105803.1999998"/>
    <n v="71.839434882802095"/>
  </r>
  <r>
    <x v="2"/>
    <x v="210"/>
    <n v="767"/>
    <n v="10531876819.25"/>
    <n v="13.52222322712"/>
  </r>
  <r>
    <x v="0"/>
    <x v="211"/>
    <n v="165766"/>
    <n v="1093080187579.58"/>
    <n v="531.91416706844996"/>
  </r>
  <r>
    <x v="1"/>
    <x v="211"/>
    <n v="477"/>
    <n v="8280081942.8999996"/>
    <n v="80.471066507420801"/>
  </r>
  <r>
    <x v="2"/>
    <x v="211"/>
    <n v="787"/>
    <n v="10704727601.450001"/>
    <n v="14.014417443357599"/>
  </r>
  <r>
    <x v="0"/>
    <x v="212"/>
    <n v="165773"/>
    <n v="1081410722063.79"/>
    <n v="551.295311210872"/>
  </r>
  <r>
    <x v="1"/>
    <x v="212"/>
    <n v="506"/>
    <n v="9177240853.75"/>
    <n v="84.186624465335498"/>
  </r>
  <r>
    <x v="2"/>
    <x v="212"/>
    <n v="834"/>
    <n v="11647194164.32"/>
    <n v="14.616688738229101"/>
  </r>
  <r>
    <x v="0"/>
    <x v="213"/>
    <n v="165846"/>
    <n v="1078176456162.38"/>
    <n v="566.81589241041502"/>
  </r>
  <r>
    <x v="1"/>
    <x v="213"/>
    <n v="540"/>
    <n v="9860695193.4599991"/>
    <n v="88.696277158778798"/>
  </r>
  <r>
    <x v="2"/>
    <x v="213"/>
    <n v="875"/>
    <n v="12353958514.68"/>
    <n v="14.27617773925"/>
  </r>
  <r>
    <x v="0"/>
    <x v="214"/>
    <n v="166147"/>
    <n v="1067086710288.16"/>
    <n v="582.56776759953596"/>
  </r>
  <r>
    <x v="1"/>
    <x v="214"/>
    <n v="588"/>
    <n v="10790895341.790001"/>
    <n v="87.901777791253906"/>
  </r>
  <r>
    <x v="2"/>
    <x v="214"/>
    <n v="946"/>
    <n v="13940030057.889999"/>
    <n v="13.1432510859491"/>
  </r>
  <r>
    <x v="0"/>
    <x v="215"/>
    <n v="166315"/>
    <n v="1052985823369.1899"/>
    <n v="599.34122865952804"/>
  </r>
  <r>
    <x v="1"/>
    <x v="215"/>
    <n v="623"/>
    <n v="11097007614.959999"/>
    <n v="92.625656727383301"/>
  </r>
  <r>
    <x v="2"/>
    <x v="215"/>
    <n v="1017"/>
    <n v="15124010719.23"/>
    <n v="12.3094164620495"/>
  </r>
  <r>
    <x v="0"/>
    <x v="216"/>
    <n v="166481"/>
    <n v="1037553728529.5699"/>
    <n v="618.83459910105103"/>
  </r>
  <r>
    <x v="1"/>
    <x v="216"/>
    <n v="657"/>
    <n v="11616731956.02"/>
    <n v="98.472299239449995"/>
  </r>
  <r>
    <x v="2"/>
    <x v="216"/>
    <n v="1083"/>
    <n v="16232317795.49"/>
    <n v="12.0094890209967"/>
  </r>
  <r>
    <x v="0"/>
    <x v="217"/>
    <n v="166552"/>
    <n v="1030696048023.48"/>
    <n v="634.44374688916696"/>
  </r>
  <r>
    <x v="1"/>
    <x v="217"/>
    <n v="691"/>
    <n v="12319469687.950001"/>
    <n v="106.31272512228099"/>
  </r>
  <r>
    <x v="2"/>
    <x v="217"/>
    <n v="1172"/>
    <n v="18410677468.970001"/>
    <n v="13.870116940774"/>
  </r>
  <r>
    <x v="3"/>
    <x v="217"/>
    <n v="127"/>
    <n v="6599126495.5600004"/>
    <n v="22.160620180142001"/>
  </r>
  <r>
    <x v="0"/>
    <x v="218"/>
    <n v="166715"/>
    <n v="1017753718361.05"/>
    <n v="656.98525579002603"/>
  </r>
  <r>
    <x v="1"/>
    <x v="218"/>
    <n v="712"/>
    <n v="12593084313.99"/>
    <n v="118.92771950119101"/>
  </r>
  <r>
    <x v="2"/>
    <x v="218"/>
    <n v="1275"/>
    <n v="20102928824.52"/>
    <n v="14.047496939410699"/>
  </r>
  <r>
    <x v="3"/>
    <x v="218"/>
    <n v="218"/>
    <n v="8799458195.2600002"/>
    <n v="18.2136784610849"/>
  </r>
  <r>
    <x v="0"/>
    <x v="219"/>
    <n v="166950"/>
    <n v="1009008459381.01"/>
    <n v="674.51724532197204"/>
  </r>
  <r>
    <x v="1"/>
    <x v="219"/>
    <n v="739"/>
    <n v="12913045386.299999"/>
    <n v="128.742654390235"/>
  </r>
  <r>
    <x v="2"/>
    <x v="219"/>
    <n v="1363"/>
    <n v="21601411805.599998"/>
    <n v="14.2073139090921"/>
  </r>
  <r>
    <x v="3"/>
    <x v="219"/>
    <n v="315"/>
    <n v="10777885227.879999"/>
    <n v="16.378809772493501"/>
  </r>
  <r>
    <x v="0"/>
    <x v="220"/>
    <n v="167134"/>
    <n v="993395215390.30005"/>
    <n v="695.97023140349802"/>
  </r>
  <r>
    <x v="1"/>
    <x v="220"/>
    <n v="773"/>
    <n v="13621608844.34"/>
    <n v="134.976887010512"/>
  </r>
  <r>
    <x v="2"/>
    <x v="220"/>
    <n v="1462"/>
    <n v="23066669892.529999"/>
    <n v="14.553131213696799"/>
  </r>
  <r>
    <x v="3"/>
    <x v="220"/>
    <n v="415"/>
    <n v="12488997687"/>
    <n v="15.1230381651747"/>
  </r>
  <r>
    <x v="0"/>
    <x v="221"/>
    <n v="167513"/>
    <n v="988480773477.10999"/>
    <n v="713.536096710685"/>
  </r>
  <r>
    <x v="1"/>
    <x v="221"/>
    <n v="804"/>
    <n v="14812827435.530001"/>
    <n v="139.27845823501801"/>
  </r>
  <r>
    <x v="2"/>
    <x v="221"/>
    <n v="1557"/>
    <n v="24335750350.360001"/>
    <n v="15.3510295012335"/>
  </r>
  <r>
    <x v="3"/>
    <x v="221"/>
    <n v="509"/>
    <n v="13991619224.620001"/>
    <n v="14.613487106689499"/>
  </r>
  <r>
    <x v="0"/>
    <x v="222"/>
    <n v="168029"/>
    <n v="987833006284.93005"/>
    <n v="724.78207567621803"/>
  </r>
  <r>
    <x v="1"/>
    <x v="222"/>
    <n v="842"/>
    <n v="16035308040.73"/>
    <n v="142.36140986523799"/>
  </r>
  <r>
    <x v="2"/>
    <x v="222"/>
    <n v="1683"/>
    <n v="26041761003.119999"/>
    <n v="16.1014641108886"/>
  </r>
  <r>
    <x v="3"/>
    <x v="222"/>
    <n v="623"/>
    <n v="15791782055.450001"/>
    <n v="14.0869971797836"/>
  </r>
  <r>
    <x v="0"/>
    <x v="223"/>
    <n v="167997"/>
    <n v="972565007892.05005"/>
    <n v="747.05464298151401"/>
  </r>
  <r>
    <x v="1"/>
    <x v="223"/>
    <n v="864"/>
    <n v="15909947419.549999"/>
    <n v="155.81989368652501"/>
  </r>
  <r>
    <x v="2"/>
    <x v="223"/>
    <n v="1772"/>
    <n v="26882479097.080002"/>
    <n v="17.082345462050299"/>
  </r>
  <r>
    <x v="3"/>
    <x v="223"/>
    <n v="707"/>
    <n v="16754712174.48"/>
    <n v="13.6607574267533"/>
  </r>
  <r>
    <x v="0"/>
    <x v="224"/>
    <n v="168243"/>
    <n v="964648010655.91003"/>
    <n v="759.61460964686796"/>
  </r>
  <r>
    <x v="1"/>
    <x v="224"/>
    <n v="887"/>
    <n v="16552519980.950001"/>
    <n v="158.90649312734999"/>
  </r>
  <r>
    <x v="2"/>
    <x v="224"/>
    <n v="1884"/>
    <n v="28077568751.43"/>
    <n v="18.053924266756599"/>
  </r>
  <r>
    <x v="3"/>
    <x v="224"/>
    <n v="803"/>
    <n v="17947136377.009998"/>
    <n v="13.357896071621299"/>
  </r>
  <r>
    <x v="0"/>
    <x v="225"/>
    <n v="168444"/>
    <n v="958178399344.89001"/>
    <n v="765.56967244850705"/>
  </r>
  <r>
    <x v="1"/>
    <x v="225"/>
    <n v="912"/>
    <n v="16936331787.6"/>
    <n v="159.41689283545901"/>
  </r>
  <r>
    <x v="2"/>
    <x v="225"/>
    <n v="2008"/>
    <n v="29255937245.25"/>
    <n v="18.711541859573799"/>
  </r>
  <r>
    <x v="3"/>
    <x v="225"/>
    <n v="924"/>
    <n v="19179632548.990002"/>
    <n v="13.0105850324285"/>
  </r>
  <r>
    <x v="0"/>
    <x v="226"/>
    <n v="168554"/>
    <n v="958767138252.81006"/>
    <n v="764.10078327109102"/>
  </r>
  <r>
    <x v="1"/>
    <x v="226"/>
    <n v="934"/>
    <n v="17827951977.950001"/>
    <n v="155.746816400727"/>
  </r>
  <r>
    <x v="2"/>
    <x v="226"/>
    <n v="2143"/>
    <n v="30765495579.349998"/>
    <n v="22.694087251344499"/>
  </r>
  <r>
    <x v="3"/>
    <x v="226"/>
    <n v="1042"/>
    <n v="20590650800.080002"/>
    <n v="12.528032226767801"/>
  </r>
  <r>
    <x v="0"/>
    <x v="227"/>
    <n v="168497"/>
    <n v="956989567273.20996"/>
    <n v="764.99685066312099"/>
  </r>
  <r>
    <x v="1"/>
    <x v="227"/>
    <n v="954"/>
    <n v="17960790708.68"/>
    <n v="160.28803940271399"/>
  </r>
  <r>
    <x v="2"/>
    <x v="227"/>
    <n v="2261"/>
    <n v="32051219221.419998"/>
    <n v="24.062314792280201"/>
  </r>
  <r>
    <x v="3"/>
    <x v="227"/>
    <n v="1149"/>
    <n v="21763931987.459999"/>
    <n v="12.0427054088592"/>
  </r>
  <r>
    <x v="0"/>
    <x v="228"/>
    <n v="168650"/>
    <n v="951379532622"/>
    <n v="765.94570702590795"/>
  </r>
  <r>
    <x v="1"/>
    <x v="228"/>
    <n v="976"/>
    <n v="18268825613.709999"/>
    <n v="161.788566553506"/>
  </r>
  <r>
    <x v="2"/>
    <x v="228"/>
    <n v="2381"/>
    <n v="33234605901.299999"/>
    <n v="25.745123971811601"/>
  </r>
  <r>
    <x v="3"/>
    <x v="228"/>
    <n v="1253"/>
    <n v="22743332810.720001"/>
    <n v="11.7527374132353"/>
  </r>
  <r>
    <x v="0"/>
    <x v="229"/>
    <n v="168793"/>
    <n v="951112315863.43994"/>
    <n v="751.14390528662705"/>
  </r>
  <r>
    <x v="1"/>
    <x v="229"/>
    <n v="998"/>
    <n v="18453239115.400002"/>
    <n v="155.23445086300799"/>
  </r>
  <r>
    <x v="2"/>
    <x v="229"/>
    <n v="2498"/>
    <n v="34235158583.599998"/>
    <n v="25.846635559731901"/>
  </r>
  <r>
    <x v="3"/>
    <x v="229"/>
    <n v="1350"/>
    <n v="23549228231.41"/>
    <n v="11.487224676237"/>
  </r>
  <r>
    <x v="0"/>
    <x v="230"/>
    <n v="168702"/>
    <n v="948978277212.25"/>
    <n v="735.52028110538902"/>
  </r>
  <r>
    <x v="1"/>
    <x v="230"/>
    <n v="1021"/>
    <n v="18743874307.419998"/>
    <n v="147.91083190691899"/>
  </r>
  <r>
    <x v="2"/>
    <x v="230"/>
    <n v="2594"/>
    <n v="34899645243.050003"/>
    <n v="25.6207576308441"/>
  </r>
  <r>
    <x v="3"/>
    <x v="230"/>
    <n v="1432"/>
    <n v="24174777291.66"/>
    <n v="11.218669316724901"/>
  </r>
  <r>
    <x v="0"/>
    <x v="231"/>
    <n v="168665"/>
    <n v="948811579876.78003"/>
    <n v="716.841770575091"/>
  </r>
  <r>
    <x v="1"/>
    <x v="231"/>
    <n v="1045"/>
    <n v="19092526206.200001"/>
    <n v="141.164854100502"/>
  </r>
  <r>
    <x v="2"/>
    <x v="231"/>
    <n v="2695"/>
    <n v="35367128013.260002"/>
    <n v="25.460693289497101"/>
  </r>
  <r>
    <x v="3"/>
    <x v="231"/>
    <n v="1517"/>
    <n v="24578473067.509998"/>
    <n v="11.003495734325"/>
  </r>
  <r>
    <x v="0"/>
    <x v="232"/>
    <n v="168535"/>
    <n v="946698650327.43005"/>
    <n v="703.76561108239105"/>
  </r>
  <r>
    <x v="1"/>
    <x v="232"/>
    <n v="1073"/>
    <n v="19336227803.259998"/>
    <n v="136.96351921862399"/>
  </r>
  <r>
    <x v="2"/>
    <x v="232"/>
    <n v="2780"/>
    <n v="35804756803.43"/>
    <n v="25.388491260989099"/>
  </r>
  <r>
    <x v="3"/>
    <x v="232"/>
    <n v="1605"/>
    <n v="24975426851.080002"/>
    <n v="10.8261217958648"/>
  </r>
  <r>
    <x v="0"/>
    <x v="233"/>
    <n v="168454"/>
    <n v="945526028023.66003"/>
    <n v="698.34414694911004"/>
  </r>
  <r>
    <x v="1"/>
    <x v="233"/>
    <n v="1088"/>
    <n v="19613126291.07"/>
    <n v="135.412024568741"/>
  </r>
  <r>
    <x v="2"/>
    <x v="233"/>
    <n v="2875"/>
    <n v="36128097823.209999"/>
    <n v="26.104351991233099"/>
  </r>
  <r>
    <x v="3"/>
    <x v="233"/>
    <n v="1688"/>
    <n v="25218431194.439999"/>
    <n v="10.7537785818126"/>
  </r>
  <r>
    <x v="0"/>
    <x v="234"/>
    <n v="168526"/>
    <n v="947567336728.01001"/>
    <n v="692.28957406291499"/>
  </r>
  <r>
    <x v="1"/>
    <x v="234"/>
    <n v="1109"/>
    <n v="19868500672.32"/>
    <n v="134.00600807258499"/>
  </r>
  <r>
    <x v="2"/>
    <x v="234"/>
    <n v="2973"/>
    <n v="36388443717.019997"/>
    <n v="28.0016202904221"/>
  </r>
  <r>
    <x v="3"/>
    <x v="234"/>
    <n v="1747"/>
    <n v="25372731243.630001"/>
    <n v="10.710535906985401"/>
  </r>
  <r>
    <x v="0"/>
    <x v="235"/>
    <n v="168522"/>
    <n v="950558420406.93994"/>
    <n v="684.48256454748696"/>
  </r>
  <r>
    <x v="1"/>
    <x v="235"/>
    <n v="1122"/>
    <n v="20235778716.240002"/>
    <n v="130.95898748737099"/>
  </r>
  <r>
    <x v="2"/>
    <x v="235"/>
    <n v="3038"/>
    <n v="36429713513.779999"/>
    <n v="28.2706165205716"/>
  </r>
  <r>
    <x v="3"/>
    <x v="235"/>
    <n v="1805"/>
    <n v="25476399173.720001"/>
    <n v="10.6844023552149"/>
  </r>
  <r>
    <x v="0"/>
    <x v="236"/>
    <n v="168389"/>
    <n v="951961756683.73999"/>
    <n v="676.66801530276598"/>
  </r>
  <r>
    <x v="1"/>
    <x v="236"/>
    <n v="1130"/>
    <n v="20424379265.459999"/>
    <n v="129.00083199656899"/>
  </r>
  <r>
    <x v="2"/>
    <x v="236"/>
    <n v="3094"/>
    <n v="36534296456.949997"/>
    <n v="28.530449846843101"/>
  </r>
  <r>
    <x v="3"/>
    <x v="236"/>
    <n v="1854"/>
    <n v="25558725588.619999"/>
    <n v="10.6451335892407"/>
  </r>
  <r>
    <x v="0"/>
    <x v="237"/>
    <n v="168241"/>
    <n v="954383832976.22998"/>
    <n v="672.17232859710805"/>
  </r>
  <r>
    <x v="1"/>
    <x v="237"/>
    <n v="1144"/>
    <n v="20512776387.459999"/>
    <n v="128.885355153078"/>
  </r>
  <r>
    <x v="2"/>
    <x v="237"/>
    <n v="3164"/>
    <n v="36655105321.75"/>
    <n v="29.126171784128498"/>
  </r>
  <r>
    <x v="3"/>
    <x v="237"/>
    <n v="1900"/>
    <n v="25637606597.049999"/>
    <n v="10.6045415552218"/>
  </r>
  <r>
    <x v="0"/>
    <x v="238"/>
    <n v="168138"/>
    <n v="954656179373.09998"/>
    <n v="670.384491717061"/>
  </r>
  <r>
    <x v="1"/>
    <x v="238"/>
    <n v="1155"/>
    <n v="20701049462.849998"/>
    <n v="128.569731494997"/>
  </r>
  <r>
    <x v="2"/>
    <x v="238"/>
    <n v="3214"/>
    <n v="36681497623.199997"/>
    <n v="29.7170672796451"/>
  </r>
  <r>
    <x v="3"/>
    <x v="238"/>
    <n v="1945"/>
    <n v="25659837687.27"/>
    <n v="10.6100754210928"/>
  </r>
  <r>
    <x v="0"/>
    <x v="239"/>
    <n v="168113"/>
    <n v="956139225086.04004"/>
    <n v="666.43286400783302"/>
  </r>
  <r>
    <x v="1"/>
    <x v="239"/>
    <n v="1161"/>
    <n v="20937825815.509998"/>
    <n v="127.80780338366"/>
  </r>
  <r>
    <x v="2"/>
    <x v="239"/>
    <n v="3259"/>
    <n v="36636435212.349998"/>
    <n v="30.470501192258901"/>
  </r>
  <r>
    <x v="3"/>
    <x v="239"/>
    <n v="1977"/>
    <n v="25645418956.459999"/>
    <n v="10.5862407817033"/>
  </r>
  <r>
    <x v="0"/>
    <x v="240"/>
    <n v="168001"/>
    <n v="957828328319.79004"/>
    <n v="664.69980563757599"/>
  </r>
  <r>
    <x v="1"/>
    <x v="240"/>
    <n v="1165"/>
    <n v="21143780863.959999"/>
    <n v="128.17193163764099"/>
  </r>
  <r>
    <x v="2"/>
    <x v="240"/>
    <n v="3302"/>
    <n v="36550076567.910004"/>
    <n v="31.9185082540655"/>
  </r>
  <r>
    <x v="3"/>
    <x v="240"/>
    <n v="2006"/>
    <n v="25616594460.360001"/>
    <n v="10.579119642659"/>
  </r>
  <r>
    <x v="0"/>
    <x v="241"/>
    <n v="167932"/>
    <n v="961134113453.43994"/>
    <n v="662.075403877383"/>
  </r>
  <r>
    <x v="1"/>
    <x v="241"/>
    <n v="1168"/>
    <n v="21346094720.060001"/>
    <n v="128.80089980215999"/>
  </r>
  <r>
    <x v="2"/>
    <x v="241"/>
    <n v="3342"/>
    <n v="36429625540.220001"/>
    <n v="33.538792078762903"/>
  </r>
  <r>
    <x v="3"/>
    <x v="241"/>
    <n v="2033"/>
    <n v="25567285813.18"/>
    <n v="10.590972834895499"/>
  </r>
  <r>
    <x v="0"/>
    <x v="242"/>
    <n v="167848"/>
    <n v="963933164722.85999"/>
    <n v="659.71024280803999"/>
  </r>
  <r>
    <x v="1"/>
    <x v="242"/>
    <n v="1172"/>
    <n v="21598307257.459999"/>
    <n v="129.34418441597199"/>
  </r>
  <r>
    <x v="2"/>
    <x v="242"/>
    <n v="3381"/>
    <n v="36252840693.470001"/>
    <n v="35.315271854528199"/>
  </r>
  <r>
    <x v="3"/>
    <x v="242"/>
    <n v="2058"/>
    <n v="25497572102.110001"/>
    <n v="10.6020986990889"/>
  </r>
  <r>
    <x v="0"/>
    <x v="243"/>
    <n v="167817"/>
    <n v="971985480145.08997"/>
    <n v="654.15727526874605"/>
  </r>
  <r>
    <x v="1"/>
    <x v="243"/>
    <n v="1181"/>
    <n v="21876660696.240002"/>
    <n v="129.98678365752099"/>
  </r>
  <r>
    <x v="2"/>
    <x v="243"/>
    <n v="3414"/>
    <n v="36064929252.449997"/>
    <n v="37.2393220738549"/>
  </r>
  <r>
    <x v="3"/>
    <x v="243"/>
    <n v="2081"/>
    <n v="25426007923.25"/>
    <n v="10.6360536690917"/>
  </r>
  <r>
    <x v="0"/>
    <x v="244"/>
    <n v="167776"/>
    <n v="977830257289.84998"/>
    <n v="649.49729153355804"/>
  </r>
  <r>
    <x v="1"/>
    <x v="244"/>
    <n v="1195"/>
    <n v="22145863654.419998"/>
    <n v="130.11680505944"/>
  </r>
  <r>
    <x v="2"/>
    <x v="244"/>
    <n v="3450"/>
    <n v="35877576846.68"/>
    <n v="39.033590206259802"/>
  </r>
  <r>
    <x v="3"/>
    <x v="244"/>
    <n v="2099"/>
    <n v="25334386957.700001"/>
    <n v="10.6587295842213"/>
  </r>
  <r>
    <x v="0"/>
    <x v="245"/>
    <n v="167725"/>
    <n v="984220465218.06006"/>
    <n v="646.21962683922595"/>
  </r>
  <r>
    <x v="1"/>
    <x v="245"/>
    <n v="1204"/>
    <n v="22469954705.310001"/>
    <n v="131.90840428627999"/>
  </r>
  <r>
    <x v="2"/>
    <x v="245"/>
    <n v="3481"/>
    <n v="35684652551.809998"/>
    <n v="41.334032059073898"/>
  </r>
  <r>
    <x v="3"/>
    <x v="245"/>
    <n v="2118"/>
    <n v="25256586100.18"/>
    <n v="10.6990628140734"/>
  </r>
  <r>
    <x v="0"/>
    <x v="246"/>
    <n v="167748"/>
    <n v="988907164368.56995"/>
    <n v="644.23745909282195"/>
  </r>
  <r>
    <x v="1"/>
    <x v="246"/>
    <n v="1215"/>
    <n v="22783477587.259998"/>
    <n v="133.993725178056"/>
  </r>
  <r>
    <x v="2"/>
    <x v="246"/>
    <n v="3515"/>
    <n v="35503193244.68"/>
    <n v="43.800109159129804"/>
  </r>
  <r>
    <x v="3"/>
    <x v="246"/>
    <n v="2137"/>
    <n v="25157857048.23"/>
    <n v="10.765804394819501"/>
  </r>
  <r>
    <x v="0"/>
    <x v="247"/>
    <n v="167726"/>
    <n v="991733333950.96997"/>
    <n v="647.41495682305595"/>
  </r>
  <r>
    <x v="1"/>
    <x v="247"/>
    <n v="1231"/>
    <n v="23102138271.23"/>
    <n v="138.031908854384"/>
  </r>
  <r>
    <x v="2"/>
    <x v="247"/>
    <n v="3548"/>
    <n v="35322618934.839996"/>
    <n v="47.555385131562801"/>
  </r>
  <r>
    <x v="3"/>
    <x v="247"/>
    <n v="2158"/>
    <n v="25084444553.189999"/>
    <n v="10.9002974630799"/>
  </r>
  <r>
    <x v="0"/>
    <x v="248"/>
    <n v="167645"/>
    <n v="993598228853.71997"/>
    <n v="653.24988446499697"/>
  </r>
  <r>
    <x v="1"/>
    <x v="248"/>
    <n v="1242"/>
    <n v="23306814326.459999"/>
    <n v="144.99773213393499"/>
  </r>
  <r>
    <x v="2"/>
    <x v="248"/>
    <n v="3575"/>
    <n v="35091353776.059998"/>
    <n v="52.540639665874401"/>
  </r>
  <r>
    <x v="3"/>
    <x v="248"/>
    <n v="2177"/>
    <n v="24979796045.34"/>
    <n v="11.168629515201401"/>
  </r>
  <r>
    <x v="0"/>
    <x v="249"/>
    <n v="167745"/>
    <n v="1002901485619.77"/>
    <n v="656.56218752353698"/>
  </r>
  <r>
    <x v="1"/>
    <x v="249"/>
    <n v="1254"/>
    <n v="23969868419.959999"/>
    <n v="148.8053244505"/>
  </r>
  <r>
    <x v="2"/>
    <x v="249"/>
    <n v="3608"/>
    <n v="34926354082.489998"/>
    <n v="57.444293419825001"/>
  </r>
  <r>
    <x v="3"/>
    <x v="249"/>
    <n v="2196"/>
    <n v="24896056870.400002"/>
    <n v="11.4431959674063"/>
  </r>
  <r>
    <x v="0"/>
    <x v="250"/>
    <n v="167791"/>
    <n v="1003389102237.77"/>
    <n v="662.36673240305197"/>
  </r>
  <r>
    <x v="1"/>
    <x v="250"/>
    <n v="1268"/>
    <n v="24432622348.700001"/>
    <n v="151.10757332937601"/>
  </r>
  <r>
    <x v="2"/>
    <x v="250"/>
    <n v="3636"/>
    <n v="34721259988.510002"/>
    <n v="62.226306924437097"/>
  </r>
  <r>
    <x v="3"/>
    <x v="250"/>
    <n v="2218"/>
    <n v="24790138675.59"/>
    <n v="11.734627978532499"/>
  </r>
  <r>
    <x v="0"/>
    <x v="251"/>
    <n v="167754"/>
    <n v="1005967140686.14"/>
    <n v="664.17191217349796"/>
  </r>
  <r>
    <x v="1"/>
    <x v="251"/>
    <n v="1281"/>
    <n v="24516848923.099998"/>
    <n v="155.58980041570501"/>
  </r>
  <r>
    <x v="2"/>
    <x v="251"/>
    <n v="3670"/>
    <n v="34432613377.599998"/>
    <n v="67.950641362553199"/>
  </r>
  <r>
    <x v="3"/>
    <x v="251"/>
    <n v="2238"/>
    <n v="24665061611.119999"/>
    <n v="12.163242003414"/>
  </r>
  <r>
    <x v="0"/>
    <x v="252"/>
    <n v="167761"/>
    <n v="1011353959842.98"/>
    <n v="661.32392022301099"/>
  </r>
  <r>
    <x v="1"/>
    <x v="252"/>
    <n v="1295"/>
    <n v="25168406921.459999"/>
    <n v="154.57573353043199"/>
  </r>
  <r>
    <x v="2"/>
    <x v="252"/>
    <n v="3696"/>
    <n v="34121910893.049999"/>
    <n v="72.714269608910897"/>
  </r>
  <r>
    <x v="3"/>
    <x v="252"/>
    <n v="2253"/>
    <n v="24529470414.07"/>
    <n v="12.497913056763"/>
  </r>
  <r>
    <x v="0"/>
    <x v="253"/>
    <n v="167798"/>
    <n v="1019562376098.83"/>
    <n v="654.43698267178399"/>
  </r>
  <r>
    <x v="1"/>
    <x v="253"/>
    <n v="1310"/>
    <n v="25818891940.32"/>
    <n v="152.16094921991299"/>
  </r>
  <r>
    <x v="2"/>
    <x v="253"/>
    <n v="3719"/>
    <n v="33796473274.419998"/>
    <n v="76.533861433394904"/>
  </r>
  <r>
    <x v="3"/>
    <x v="253"/>
    <n v="2270"/>
    <n v="24378497038.580002"/>
    <n v="12.7066424913356"/>
  </r>
  <r>
    <x v="0"/>
    <x v="254"/>
    <n v="167714"/>
    <n v="1026217511319.16"/>
    <n v="646.87389067944696"/>
  </r>
  <r>
    <x v="1"/>
    <x v="254"/>
    <n v="1325"/>
    <n v="26605889107.439999"/>
    <n v="151.83298175804001"/>
  </r>
  <r>
    <x v="2"/>
    <x v="254"/>
    <n v="3743"/>
    <n v="33433534762.73"/>
    <n v="79.818333784383697"/>
  </r>
  <r>
    <x v="3"/>
    <x v="254"/>
    <n v="2283"/>
    <n v="24214652965.389999"/>
    <n v="12.8987458830186"/>
  </r>
  <r>
    <x v="0"/>
    <x v="255"/>
    <n v="167792"/>
    <n v="1030442115796.87"/>
    <n v="643.82448734262402"/>
  </r>
  <r>
    <x v="1"/>
    <x v="255"/>
    <n v="1343"/>
    <n v="27200307893.240002"/>
    <n v="150.486324092102"/>
  </r>
  <r>
    <x v="2"/>
    <x v="255"/>
    <n v="3765"/>
    <n v="33062256579.619999"/>
    <n v="84.757331726423203"/>
  </r>
  <r>
    <x v="3"/>
    <x v="255"/>
    <n v="2300"/>
    <n v="24053767752.169998"/>
    <n v="13.3333461824501"/>
  </r>
  <r>
    <x v="0"/>
    <x v="256"/>
    <n v="167839"/>
    <n v="1038047281338.8101"/>
    <n v="639.98383388572699"/>
  </r>
  <r>
    <x v="1"/>
    <x v="256"/>
    <n v="1349"/>
    <n v="27438877892.049999"/>
    <n v="152.019224869585"/>
  </r>
  <r>
    <x v="2"/>
    <x v="256"/>
    <n v="3785"/>
    <n v="32745329977.57"/>
    <n v="89.849443309928006"/>
  </r>
  <r>
    <x v="3"/>
    <x v="256"/>
    <n v="2317"/>
    <n v="23899278644.869999"/>
    <n v="13.841712235909901"/>
  </r>
  <r>
    <x v="0"/>
    <x v="257"/>
    <n v="167892"/>
    <n v="1044720986839.0699"/>
    <n v="639.36412548450096"/>
  </r>
  <r>
    <x v="1"/>
    <x v="257"/>
    <n v="1359"/>
    <n v="27643915578"/>
    <n v="155.188663665165"/>
  </r>
  <r>
    <x v="2"/>
    <x v="257"/>
    <n v="3805"/>
    <n v="32422189268.450001"/>
    <n v="96.043975802781105"/>
  </r>
  <r>
    <x v="3"/>
    <x v="257"/>
    <n v="2330"/>
    <n v="23731834948.119999"/>
    <n v="14.5633694128831"/>
  </r>
  <r>
    <x v="0"/>
    <x v="258"/>
    <n v="167821"/>
    <n v="1048282599235.3199"/>
    <n v="637.31831129475597"/>
  </r>
  <r>
    <x v="1"/>
    <x v="258"/>
    <n v="1370"/>
    <n v="27590487841.060001"/>
    <n v="157.25453892572099"/>
  </r>
  <r>
    <x v="2"/>
    <x v="258"/>
    <n v="3826"/>
    <n v="32128512653.16"/>
    <n v="100.750321012968"/>
  </r>
  <r>
    <x v="3"/>
    <x v="258"/>
    <n v="2346"/>
    <n v="23575272898.580002"/>
    <n v="15.027267634079299"/>
  </r>
  <r>
    <x v="0"/>
    <x v="259"/>
    <n v="167786"/>
    <n v="1053135408462.49"/>
    <n v="636.06150829973797"/>
  </r>
  <r>
    <x v="1"/>
    <x v="259"/>
    <n v="1381"/>
    <n v="27568864683.950001"/>
    <n v="159.27709816264399"/>
  </r>
  <r>
    <x v="2"/>
    <x v="259"/>
    <n v="3844"/>
    <n v="31855645561.09"/>
    <n v="105.57354413035701"/>
  </r>
  <r>
    <x v="3"/>
    <x v="259"/>
    <n v="2356"/>
    <n v="23422747348.59"/>
    <n v="15.5544294112937"/>
  </r>
  <r>
    <x v="0"/>
    <x v="260"/>
    <n v="167674"/>
    <n v="1056501759559.97"/>
    <n v="635.72725812532201"/>
  </r>
  <r>
    <x v="1"/>
    <x v="260"/>
    <n v="1390"/>
    <n v="27574289474.23"/>
    <n v="162.22992166855599"/>
  </r>
  <r>
    <x v="2"/>
    <x v="260"/>
    <n v="3860"/>
    <n v="31546738579.189999"/>
    <n v="111.02657349937"/>
  </r>
  <r>
    <x v="3"/>
    <x v="260"/>
    <n v="2368"/>
    <n v="23264052426.27"/>
    <n v="16.2718955447111"/>
  </r>
  <r>
    <x v="0"/>
    <x v="261"/>
    <n v="167654"/>
    <n v="1061253383982.33"/>
    <n v="641.05199043084201"/>
  </r>
  <r>
    <x v="1"/>
    <x v="261"/>
    <n v="1399"/>
    <n v="27584171144.939999"/>
    <n v="170.30852536124999"/>
  </r>
  <r>
    <x v="2"/>
    <x v="261"/>
    <n v="3880"/>
    <n v="31316354843.400002"/>
    <n v="119.311513820781"/>
  </r>
  <r>
    <x v="3"/>
    <x v="261"/>
    <n v="2380"/>
    <n v="23130415817.330002"/>
    <n v="17.657624323877201"/>
  </r>
  <r>
    <x v="0"/>
    <x v="262"/>
    <n v="167751"/>
    <n v="1067579655967.17"/>
    <n v="646.13716997658798"/>
  </r>
  <r>
    <x v="1"/>
    <x v="262"/>
    <n v="1410"/>
    <n v="27476452096.830002"/>
    <n v="179.68182477963799"/>
  </r>
  <r>
    <x v="2"/>
    <x v="262"/>
    <n v="3899"/>
    <n v="31082070181.849998"/>
    <n v="129.213215687396"/>
  </r>
  <r>
    <x v="3"/>
    <x v="262"/>
    <n v="2389"/>
    <n v="22980966819.959999"/>
    <n v="19.8095524805182"/>
  </r>
  <r>
    <x v="0"/>
    <x v="263"/>
    <n v="167864"/>
    <n v="1070487060722.62"/>
    <n v="652.08162898713601"/>
  </r>
  <r>
    <x v="1"/>
    <x v="263"/>
    <n v="1421"/>
    <n v="27342767829.869999"/>
    <n v="187.899641777255"/>
  </r>
  <r>
    <x v="2"/>
    <x v="263"/>
    <n v="3913"/>
    <n v="30768767902.790001"/>
    <n v="139.91761879338"/>
  </r>
  <r>
    <x v="3"/>
    <x v="263"/>
    <n v="2400"/>
    <n v="22785497201.860001"/>
    <n v="22.253275891662302"/>
  </r>
  <r>
    <x v="0"/>
    <x v="264"/>
    <n v="167910"/>
    <n v="1077001935757.76"/>
    <n v="655.78438859935795"/>
  </r>
  <r>
    <x v="1"/>
    <x v="264"/>
    <n v="1438"/>
    <n v="27468235077.57"/>
    <n v="194.65479115404401"/>
  </r>
  <r>
    <x v="2"/>
    <x v="264"/>
    <n v="3929"/>
    <n v="30396299066.889999"/>
    <n v="150.98985776010099"/>
  </r>
  <r>
    <x v="3"/>
    <x v="264"/>
    <n v="2409"/>
    <n v="22590823732.130001"/>
    <n v="24.961854230278401"/>
  </r>
  <r>
    <x v="0"/>
    <x v="265"/>
    <n v="167921"/>
    <n v="1083261344979.64"/>
    <n v="659.60578974607495"/>
  </r>
  <r>
    <x v="1"/>
    <x v="265"/>
    <n v="1451"/>
    <n v="27606640319.299999"/>
    <n v="201.722884730521"/>
  </r>
  <r>
    <x v="2"/>
    <x v="265"/>
    <n v="3942"/>
    <n v="30003341063.389999"/>
    <n v="162.52788936444699"/>
  </r>
  <r>
    <x v="3"/>
    <x v="265"/>
    <n v="2418"/>
    <n v="22369714888.02"/>
    <n v="27.8834436524258"/>
  </r>
  <r>
    <x v="3"/>
    <x v="266"/>
    <n v="2424"/>
    <n v="22125367840.490002"/>
    <n v="31.587489720957301"/>
  </r>
  <r>
    <x v="2"/>
    <x v="266"/>
    <n v="3956"/>
    <n v="29549554388.610001"/>
    <n v="176.18903420951699"/>
  </r>
  <r>
    <x v="1"/>
    <x v="266"/>
    <n v="1457"/>
    <n v="27900162682.830002"/>
    <n v="210.249613100224"/>
  </r>
  <r>
    <x v="0"/>
    <x v="266"/>
    <n v="168004"/>
    <n v="1092091052362.51"/>
    <n v="664.220479628259"/>
  </r>
  <r>
    <x v="1"/>
    <x v="267"/>
    <n v="1466"/>
    <n v="27971451412.84"/>
    <n v="219.94019230538399"/>
  </r>
  <r>
    <x v="2"/>
    <x v="267"/>
    <n v="3969"/>
    <n v="29142169991.91"/>
    <n v="189.854810700461"/>
  </r>
  <r>
    <x v="3"/>
    <x v="267"/>
    <n v="2433"/>
    <n v="21895878252.380001"/>
    <n v="35.262914280273002"/>
  </r>
  <r>
    <x v="0"/>
    <x v="267"/>
    <n v="168203"/>
    <n v="1104025679684.96"/>
    <n v="667.74549805829201"/>
  </r>
  <r>
    <x v="3"/>
    <x v="268"/>
    <n v="2450"/>
    <n v="21624654083.630001"/>
    <n v="38.608916468452499"/>
  </r>
  <r>
    <x v="0"/>
    <x v="268"/>
    <n v="168323"/>
    <n v="1112361826284.4299"/>
    <n v="669.389418513603"/>
  </r>
  <r>
    <x v="1"/>
    <x v="268"/>
    <n v="1480"/>
    <n v="28869997063.16"/>
    <n v="219.792771245854"/>
  </r>
  <r>
    <x v="2"/>
    <x v="268"/>
    <n v="4021"/>
    <n v="28689194494.099998"/>
    <n v="203.35440348091299"/>
  </r>
  <r>
    <x v="2"/>
    <x v="269"/>
    <n v="4029"/>
    <n v="28226609271.43"/>
    <n v="216.013611730528"/>
  </r>
  <r>
    <x v="0"/>
    <x v="269"/>
    <n v="168424"/>
    <n v="1116503077854.0601"/>
    <n v="673.33270063044495"/>
  </r>
  <r>
    <x v="1"/>
    <x v="269"/>
    <n v="1500"/>
    <n v="29395439831.380001"/>
    <n v="221.83472334656099"/>
  </r>
  <r>
    <x v="3"/>
    <x v="269"/>
    <n v="2456"/>
    <n v="21369812649.189999"/>
    <n v="42.013950201748301"/>
  </r>
  <r>
    <x v="4"/>
    <x v="270"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count="510">
  <r>
    <x v="0"/>
    <x v="0"/>
    <n v="47564"/>
    <n v="179363030607.07999"/>
    <n v="145.22714241190499"/>
  </r>
  <r>
    <x v="0"/>
    <x v="1"/>
    <n v="48770"/>
    <n v="182676426202.38"/>
    <n v="142.93933441880901"/>
  </r>
  <r>
    <x v="0"/>
    <x v="2"/>
    <n v="50054"/>
    <n v="187173844372.01001"/>
    <n v="136.982734237833"/>
  </r>
  <r>
    <x v="0"/>
    <x v="3"/>
    <n v="53319"/>
    <n v="198257625256.20999"/>
    <n v="118.26681724606399"/>
  </r>
  <r>
    <x v="0"/>
    <x v="4"/>
    <n v="54110"/>
    <n v="200679192483.73001"/>
    <n v="115.500464726109"/>
  </r>
  <r>
    <x v="0"/>
    <x v="5"/>
    <n v="54835"/>
    <n v="202941258365.22"/>
    <n v="113.555203409497"/>
  </r>
  <r>
    <x v="0"/>
    <x v="6"/>
    <n v="55530"/>
    <n v="205226671396.57999"/>
    <n v="111.724101042027"/>
  </r>
  <r>
    <x v="0"/>
    <x v="7"/>
    <n v="56108"/>
    <n v="206975112252.98001"/>
    <n v="109.998313813271"/>
  </r>
  <r>
    <x v="0"/>
    <x v="8"/>
    <n v="56529"/>
    <n v="207753709014.57999"/>
    <n v="108.780107205902"/>
  </r>
  <r>
    <x v="0"/>
    <x v="9"/>
    <n v="56894"/>
    <n v="208406182510.07001"/>
    <n v="107.69863796528701"/>
  </r>
  <r>
    <x v="0"/>
    <x v="10"/>
    <n v="57294"/>
    <n v="209359181505.28"/>
    <n v="106.56285531869101"/>
  </r>
  <r>
    <x v="0"/>
    <x v="11"/>
    <n v="57702"/>
    <n v="210444667091.82001"/>
    <n v="105.759303756319"/>
  </r>
  <r>
    <x v="0"/>
    <x v="12"/>
    <n v="58144"/>
    <n v="212078601432.42001"/>
    <n v="105.356295735144"/>
  </r>
  <r>
    <x v="0"/>
    <x v="13"/>
    <n v="58699"/>
    <n v="214086172771.07001"/>
    <n v="105.11470912805299"/>
  </r>
  <r>
    <x v="0"/>
    <x v="14"/>
    <n v="59299"/>
    <n v="215985123514.95001"/>
    <n v="106.153578166342"/>
  </r>
  <r>
    <x v="0"/>
    <x v="15"/>
    <n v="59982"/>
    <n v="218637993872.20999"/>
    <n v="109.00335454113601"/>
  </r>
  <r>
    <x v="0"/>
    <x v="16"/>
    <n v="60798"/>
    <n v="220537691305.53"/>
    <n v="111.70004860990601"/>
  </r>
  <r>
    <x v="0"/>
    <x v="17"/>
    <n v="61701"/>
    <n v="223537636405.35001"/>
    <n v="112.182615400253"/>
  </r>
  <r>
    <x v="0"/>
    <x v="18"/>
    <n v="62672"/>
    <n v="229405456728.67999"/>
    <n v="112.258729580463"/>
  </r>
  <r>
    <x v="0"/>
    <x v="19"/>
    <n v="63520"/>
    <n v="235258720640.07999"/>
    <n v="112.995012075003"/>
  </r>
  <r>
    <x v="0"/>
    <x v="20"/>
    <n v="64356"/>
    <n v="239238384049.14999"/>
    <n v="115.455074241858"/>
  </r>
  <r>
    <x v="0"/>
    <x v="21"/>
    <n v="65235"/>
    <n v="242924225298.66"/>
    <n v="119.554078330637"/>
  </r>
  <r>
    <x v="0"/>
    <x v="22"/>
    <n v="66160"/>
    <n v="247706198611.98999"/>
    <n v="124.223142270187"/>
  </r>
  <r>
    <x v="0"/>
    <x v="23"/>
    <n v="67083"/>
    <n v="252451222078.59"/>
    <n v="127.68056692537399"/>
  </r>
  <r>
    <x v="0"/>
    <x v="24"/>
    <n v="68019"/>
    <n v="258576610453.45001"/>
    <n v="125.877133823458"/>
  </r>
  <r>
    <x v="0"/>
    <x v="25"/>
    <n v="68897"/>
    <n v="263680566665.75"/>
    <n v="122.965177395469"/>
  </r>
  <r>
    <x v="0"/>
    <x v="26"/>
    <n v="69782"/>
    <n v="266531739812.85999"/>
    <n v="120.717816533806"/>
  </r>
  <r>
    <x v="0"/>
    <x v="27"/>
    <n v="70524"/>
    <n v="269946338845.72"/>
    <n v="117.980407450776"/>
  </r>
  <r>
    <x v="0"/>
    <x v="28"/>
    <n v="71320"/>
    <n v="275359751202.96997"/>
    <n v="115.11080516480099"/>
  </r>
  <r>
    <x v="0"/>
    <x v="29"/>
    <n v="72068"/>
    <n v="279116219901"/>
    <n v="113.98107923073501"/>
  </r>
  <r>
    <x v="0"/>
    <x v="30"/>
    <n v="72680"/>
    <n v="282696691198.75"/>
    <n v="112.377098223855"/>
  </r>
  <r>
    <x v="0"/>
    <x v="31"/>
    <n v="73401"/>
    <n v="286599324454.46997"/>
    <n v="111.728073542286"/>
  </r>
  <r>
    <x v="0"/>
    <x v="32"/>
    <n v="74137"/>
    <n v="289245055308.17999"/>
    <n v="113.046566284851"/>
  </r>
  <r>
    <x v="0"/>
    <x v="33"/>
    <n v="76146"/>
    <n v="305558806072.76001"/>
    <n v="106.811535064571"/>
  </r>
  <r>
    <x v="0"/>
    <x v="34"/>
    <n v="76726"/>
    <n v="308203632776.14001"/>
    <n v="106.58156622012601"/>
  </r>
  <r>
    <x v="0"/>
    <x v="35"/>
    <n v="77198"/>
    <n v="310466649017.64001"/>
    <n v="105.815777332387"/>
  </r>
  <r>
    <x v="0"/>
    <x v="36"/>
    <n v="77710"/>
    <n v="312256914058.41998"/>
    <n v="105.604404917929"/>
  </r>
  <r>
    <x v="0"/>
    <x v="37"/>
    <n v="78238"/>
    <n v="315317531887.77002"/>
    <n v="105.975002164592"/>
  </r>
  <r>
    <x v="0"/>
    <x v="38"/>
    <n v="78728"/>
    <n v="318968926684.46997"/>
    <n v="107.373284139796"/>
  </r>
  <r>
    <x v="0"/>
    <x v="39"/>
    <n v="79279"/>
    <n v="322889944513.82001"/>
    <n v="108.32287616411401"/>
  </r>
  <r>
    <x v="0"/>
    <x v="40"/>
    <n v="79818"/>
    <n v="326223233406.87"/>
    <n v="109.725811176973"/>
  </r>
  <r>
    <x v="0"/>
    <x v="41"/>
    <n v="80470"/>
    <n v="331462404329.59998"/>
    <n v="111.151487790414"/>
  </r>
  <r>
    <x v="0"/>
    <x v="42"/>
    <n v="81105"/>
    <n v="335920440468.38"/>
    <n v="113.322066718155"/>
  </r>
  <r>
    <x v="0"/>
    <x v="43"/>
    <n v="81826"/>
    <n v="341078292801.59998"/>
    <n v="115.713666005742"/>
  </r>
  <r>
    <x v="0"/>
    <x v="44"/>
    <n v="82571"/>
    <n v="342377531652.5"/>
    <n v="120.963903050448"/>
  </r>
  <r>
    <x v="0"/>
    <x v="45"/>
    <n v="83367"/>
    <n v="347235598262.58002"/>
    <n v="124.748842364672"/>
  </r>
  <r>
    <x v="0"/>
    <x v="46"/>
    <n v="84285"/>
    <n v="356844623340.15997"/>
    <n v="124.873654508049"/>
  </r>
  <r>
    <x v="0"/>
    <x v="47"/>
    <n v="85347"/>
    <n v="363989269831.03998"/>
    <n v="123.768555160582"/>
  </r>
  <r>
    <x v="0"/>
    <x v="48"/>
    <n v="86333"/>
    <n v="369967952529.34998"/>
    <n v="122.449490559195"/>
  </r>
  <r>
    <x v="0"/>
    <x v="49"/>
    <n v="87205"/>
    <n v="377339687889.40997"/>
    <n v="122.619513214699"/>
  </r>
  <r>
    <x v="0"/>
    <x v="50"/>
    <n v="88347"/>
    <n v="386367453157.35999"/>
    <n v="122.937958270274"/>
  </r>
  <r>
    <x v="0"/>
    <x v="51"/>
    <n v="89353"/>
    <n v="391655603963.95001"/>
    <n v="124.36769757394001"/>
  </r>
  <r>
    <x v="0"/>
    <x v="52"/>
    <n v="90394"/>
    <n v="395905188008.88"/>
    <n v="128.09009301328601"/>
  </r>
  <r>
    <x v="0"/>
    <x v="53"/>
    <n v="91404"/>
    <n v="405477226088.94"/>
    <n v="130.00716538370401"/>
  </r>
  <r>
    <x v="0"/>
    <x v="54"/>
    <n v="92421"/>
    <n v="415987868538.75"/>
    <n v="128.85590587937099"/>
  </r>
  <r>
    <x v="0"/>
    <x v="55"/>
    <n v="93582"/>
    <n v="423029711253.54999"/>
    <n v="128.83128881637899"/>
  </r>
  <r>
    <x v="0"/>
    <x v="56"/>
    <n v="94621"/>
    <n v="428789332116.60999"/>
    <n v="127.593900116656"/>
  </r>
  <r>
    <x v="0"/>
    <x v="57"/>
    <n v="95673"/>
    <n v="435071002275.32001"/>
    <n v="126.133819748504"/>
  </r>
  <r>
    <x v="0"/>
    <x v="58"/>
    <n v="96985"/>
    <n v="445844508849.51001"/>
    <n v="122.767130407889"/>
  </r>
  <r>
    <x v="0"/>
    <x v="59"/>
    <n v="98319"/>
    <n v="454861367864.41998"/>
    <n v="120.586085304837"/>
  </r>
  <r>
    <x v="0"/>
    <x v="60"/>
    <n v="99372"/>
    <n v="462596813374.56"/>
    <n v="117.19438650965"/>
  </r>
  <r>
    <x v="0"/>
    <x v="61"/>
    <n v="100290"/>
    <n v="469015767726"/>
    <n v="113.397929777839"/>
  </r>
  <r>
    <x v="0"/>
    <x v="62"/>
    <n v="101048"/>
    <n v="474446604497.37"/>
    <n v="109.932746106251"/>
  </r>
  <r>
    <x v="0"/>
    <x v="63"/>
    <n v="101791"/>
    <n v="478953183452.09003"/>
    <n v="106.60845530112999"/>
  </r>
  <r>
    <x v="0"/>
    <x v="64"/>
    <n v="102667"/>
    <n v="483684933728.44"/>
    <n v="104.099319229911"/>
  </r>
  <r>
    <x v="0"/>
    <x v="65"/>
    <n v="103263"/>
    <n v="486113274951.03003"/>
    <n v="102.32739854203"/>
  </r>
  <r>
    <x v="0"/>
    <x v="66"/>
    <n v="103797"/>
    <n v="488977501585.98999"/>
    <n v="101.113443512465"/>
  </r>
  <r>
    <x v="0"/>
    <x v="67"/>
    <n v="104272"/>
    <n v="490954239429.84998"/>
    <n v="99.994290318529394"/>
  </r>
  <r>
    <x v="0"/>
    <x v="68"/>
    <n v="105024"/>
    <n v="496915801152.44"/>
    <n v="97.791357181578704"/>
  </r>
  <r>
    <x v="0"/>
    <x v="69"/>
    <n v="105571"/>
    <n v="498826947779.83002"/>
    <n v="96.589745847264695"/>
  </r>
  <r>
    <x v="0"/>
    <x v="70"/>
    <n v="106181"/>
    <n v="501711977650.15002"/>
    <n v="95.419778229635099"/>
  </r>
  <r>
    <x v="0"/>
    <x v="71"/>
    <n v="106663"/>
    <n v="503601588836.79999"/>
    <n v="94.501844203616201"/>
  </r>
  <r>
    <x v="0"/>
    <x v="72"/>
    <n v="107411"/>
    <n v="509012244894.96002"/>
    <n v="92.577035500187307"/>
  </r>
  <r>
    <x v="0"/>
    <x v="73"/>
    <n v="108179"/>
    <n v="513375798865.76001"/>
    <n v="91.0828057942865"/>
  </r>
  <r>
    <x v="0"/>
    <x v="74"/>
    <n v="108954"/>
    <n v="516317525107.78998"/>
    <n v="89.936120400100407"/>
  </r>
  <r>
    <x v="0"/>
    <x v="75"/>
    <n v="109821"/>
    <n v="523779386580.96997"/>
    <n v="88.422669315273893"/>
  </r>
  <r>
    <x v="0"/>
    <x v="76"/>
    <n v="110829"/>
    <n v="531358236787.52002"/>
    <n v="87.097977481442499"/>
  </r>
  <r>
    <x v="0"/>
    <x v="77"/>
    <n v="111769"/>
    <n v="538792043173.23999"/>
    <n v="86.131850997725493"/>
  </r>
  <r>
    <x v="0"/>
    <x v="78"/>
    <n v="112641"/>
    <n v="546830986491.85999"/>
    <n v="85.510156601519995"/>
  </r>
  <r>
    <x v="0"/>
    <x v="79"/>
    <n v="113546"/>
    <n v="556063952014.84998"/>
    <n v="86.284664559545902"/>
  </r>
  <r>
    <x v="0"/>
    <x v="80"/>
    <n v="114380"/>
    <n v="562843528396.04004"/>
    <n v="89.415505640199996"/>
  </r>
  <r>
    <x v="0"/>
    <x v="81"/>
    <n v="115148"/>
    <n v="569910496468.92004"/>
    <n v="92.253571252137405"/>
  </r>
  <r>
    <x v="0"/>
    <x v="82"/>
    <n v="116093"/>
    <n v="575566943003.72998"/>
    <n v="95.321891672072496"/>
  </r>
  <r>
    <x v="0"/>
    <x v="83"/>
    <n v="117276"/>
    <n v="583139651340.71997"/>
    <n v="96.166104538294405"/>
  </r>
  <r>
    <x v="0"/>
    <x v="84"/>
    <n v="118503"/>
    <n v="593305418081.90002"/>
    <n v="95.376088610164999"/>
  </r>
  <r>
    <x v="0"/>
    <x v="85"/>
    <n v="119870"/>
    <n v="606806060779.91003"/>
    <n v="93.665263081747696"/>
  </r>
  <r>
    <x v="0"/>
    <x v="86"/>
    <n v="121166"/>
    <n v="618791756702.58997"/>
    <n v="91.753493775179194"/>
  </r>
  <r>
    <x v="0"/>
    <x v="87"/>
    <n v="122179"/>
    <n v="628840911305.92004"/>
    <n v="91.933215746564599"/>
  </r>
  <r>
    <x v="0"/>
    <x v="88"/>
    <n v="123141"/>
    <n v="638519275459.80005"/>
    <n v="92.681527955357893"/>
  </r>
  <r>
    <x v="0"/>
    <x v="89"/>
    <n v="124004"/>
    <n v="646306647396.65002"/>
    <n v="95.583271914520495"/>
  </r>
  <r>
    <x v="0"/>
    <x v="90"/>
    <n v="124910"/>
    <n v="652582097254.40002"/>
    <n v="97.383150120363496"/>
  </r>
  <r>
    <x v="0"/>
    <x v="91"/>
    <n v="125965"/>
    <n v="656486331011.75"/>
    <n v="95.226516014155607"/>
  </r>
  <r>
    <x v="0"/>
    <x v="92"/>
    <n v="126547"/>
    <n v="656253601310.68994"/>
    <n v="93.068807682921801"/>
  </r>
  <r>
    <x v="0"/>
    <x v="93"/>
    <n v="127084"/>
    <n v="662578022060.97998"/>
    <n v="91.534247192069202"/>
  </r>
  <r>
    <x v="0"/>
    <x v="94"/>
    <n v="127647"/>
    <n v="667880223893.80005"/>
    <n v="89.079077337619694"/>
  </r>
  <r>
    <x v="0"/>
    <x v="95"/>
    <n v="128359"/>
    <n v="674907718124.70996"/>
    <n v="87.051781840592099"/>
  </r>
  <r>
    <x v="0"/>
    <x v="96"/>
    <n v="128856"/>
    <n v="678129810095.63"/>
    <n v="86.940415052869795"/>
  </r>
  <r>
    <x v="0"/>
    <x v="97"/>
    <n v="129396"/>
    <n v="683017451835.34998"/>
    <n v="88.043154730294802"/>
  </r>
  <r>
    <x v="0"/>
    <x v="98"/>
    <n v="129977"/>
    <n v="688067618515.57996"/>
    <n v="90.620033285779698"/>
  </r>
  <r>
    <x v="0"/>
    <x v="99"/>
    <n v="130648"/>
    <n v="691159460575.51001"/>
    <n v="94.679489085049994"/>
  </r>
  <r>
    <x v="0"/>
    <x v="100"/>
    <n v="131306"/>
    <n v="688876296638.54004"/>
    <n v="100.37007951502"/>
  </r>
  <r>
    <x v="0"/>
    <x v="101"/>
    <n v="131940"/>
    <n v="689249009215.40002"/>
    <n v="104.46508388162"/>
  </r>
  <r>
    <x v="0"/>
    <x v="102"/>
    <n v="132490"/>
    <n v="678094236394.04004"/>
    <n v="108.500211895855"/>
  </r>
  <r>
    <x v="0"/>
    <x v="103"/>
    <n v="133138"/>
    <n v="672789187584.20996"/>
    <n v="111.005720780335"/>
  </r>
  <r>
    <x v="0"/>
    <x v="104"/>
    <n v="133396"/>
    <n v="656320845922.16003"/>
    <n v="116.457596474494"/>
  </r>
  <r>
    <x v="0"/>
    <x v="105"/>
    <n v="133498"/>
    <n v="640695606869.09998"/>
    <n v="122.227755574323"/>
  </r>
  <r>
    <x v="0"/>
    <x v="106"/>
    <n v="133630"/>
    <n v="636170845578.67004"/>
    <n v="126.6820220497"/>
  </r>
  <r>
    <x v="0"/>
    <x v="107"/>
    <n v="133613"/>
    <n v="622258033060.27002"/>
    <n v="130.82297875520899"/>
  </r>
  <r>
    <x v="0"/>
    <x v="108"/>
    <n v="133466"/>
    <n v="605902541798.10999"/>
    <n v="137.625399795753"/>
  </r>
  <r>
    <x v="0"/>
    <x v="109"/>
    <n v="133315"/>
    <n v="593660262525.88"/>
    <n v="147.152280193255"/>
  </r>
  <r>
    <x v="0"/>
    <x v="110"/>
    <n v="133241"/>
    <n v="585591811850.32996"/>
    <n v="147.60721163728499"/>
  </r>
  <r>
    <x v="0"/>
    <x v="111"/>
    <n v="133058"/>
    <n v="578183747971.03003"/>
    <n v="139.80749569965201"/>
  </r>
  <r>
    <x v="0"/>
    <x v="112"/>
    <n v="132608"/>
    <n v="572845474136.19995"/>
    <n v="133.08402351159799"/>
  </r>
  <r>
    <x v="0"/>
    <x v="113"/>
    <n v="132103"/>
    <n v="579941535512.03003"/>
    <n v="126.76690686134801"/>
  </r>
  <r>
    <x v="0"/>
    <x v="114"/>
    <n v="131762"/>
    <n v="581878790128.79004"/>
    <n v="123.824530761714"/>
  </r>
  <r>
    <x v="0"/>
    <x v="115"/>
    <n v="131673"/>
    <n v="587417750639.32996"/>
    <n v="122.144296437951"/>
  </r>
  <r>
    <x v="0"/>
    <x v="116"/>
    <n v="131593"/>
    <n v="590489964527.37"/>
    <n v="122.626887583596"/>
  </r>
  <r>
    <x v="0"/>
    <x v="117"/>
    <n v="131656"/>
    <n v="593859136986.82996"/>
    <n v="124.653866796578"/>
  </r>
  <r>
    <x v="0"/>
    <x v="118"/>
    <n v="131878"/>
    <n v="596475616648.46997"/>
    <n v="127.67003499027101"/>
  </r>
  <r>
    <x v="0"/>
    <x v="119"/>
    <n v="132083"/>
    <n v="597337065898.32996"/>
    <n v="125.53852491660901"/>
  </r>
  <r>
    <x v="0"/>
    <x v="120"/>
    <n v="132099"/>
    <n v="596273346302.71997"/>
    <n v="121.560823775964"/>
  </r>
  <r>
    <x v="0"/>
    <x v="121"/>
    <n v="131952"/>
    <n v="601439464147.39001"/>
    <n v="117.168668121614"/>
  </r>
  <r>
    <x v="0"/>
    <x v="122"/>
    <n v="131955"/>
    <n v="605197029837.21997"/>
    <n v="114.739397412041"/>
  </r>
  <r>
    <x v="0"/>
    <x v="123"/>
    <n v="132161"/>
    <n v="608460652302.93994"/>
    <n v="114.040394175806"/>
  </r>
  <r>
    <x v="0"/>
    <x v="124"/>
    <n v="132303"/>
    <n v="611155921112.51001"/>
    <n v="114.07430181275799"/>
  </r>
  <r>
    <x v="0"/>
    <x v="125"/>
    <n v="132433"/>
    <n v="614809241512.60999"/>
    <n v="114.354005937458"/>
  </r>
  <r>
    <x v="0"/>
    <x v="126"/>
    <n v="132687"/>
    <n v="617441892380.83997"/>
    <n v="114.805482407273"/>
  </r>
  <r>
    <x v="0"/>
    <x v="127"/>
    <n v="133092"/>
    <n v="623960122239.18994"/>
    <n v="114.21008398583101"/>
  </r>
  <r>
    <x v="0"/>
    <x v="128"/>
    <n v="133292"/>
    <n v="627455382401.26001"/>
    <n v="114.09171786622299"/>
  </r>
  <r>
    <x v="0"/>
    <x v="129"/>
    <n v="133606"/>
    <n v="630345840465.95996"/>
    <n v="115.37215190294199"/>
  </r>
  <r>
    <x v="0"/>
    <x v="130"/>
    <n v="133977"/>
    <n v="636404653411.88"/>
    <n v="114.282427550687"/>
  </r>
  <r>
    <x v="0"/>
    <x v="131"/>
    <n v="134400"/>
    <n v="643943974637.40002"/>
    <n v="112.495996448084"/>
  </r>
  <r>
    <x v="0"/>
    <x v="132"/>
    <n v="134739"/>
    <n v="653230277414.80005"/>
    <n v="111.64425253102"/>
  </r>
  <r>
    <x v="0"/>
    <x v="133"/>
    <n v="135194"/>
    <n v="662672623504.70996"/>
    <n v="111.903294066839"/>
  </r>
  <r>
    <x v="0"/>
    <x v="134"/>
    <n v="135445"/>
    <n v="669529147077.09998"/>
    <n v="111.387017735814"/>
  </r>
  <r>
    <x v="0"/>
    <x v="135"/>
    <n v="135930"/>
    <n v="681084316958.28003"/>
    <n v="109.48667645662201"/>
  </r>
  <r>
    <x v="0"/>
    <x v="136"/>
    <n v="136354"/>
    <n v="696083136095.84998"/>
    <n v="106.66834889307199"/>
  </r>
  <r>
    <x v="0"/>
    <x v="137"/>
    <n v="136807"/>
    <n v="709909508509.60999"/>
    <n v="103.495666124509"/>
  </r>
  <r>
    <x v="0"/>
    <x v="138"/>
    <n v="137306"/>
    <n v="723313661090.52002"/>
    <n v="100.03699023495599"/>
  </r>
  <r>
    <x v="0"/>
    <x v="139"/>
    <n v="137944"/>
    <n v="737066180148.85999"/>
    <n v="96.929749892631307"/>
  </r>
  <r>
    <x v="0"/>
    <x v="140"/>
    <n v="138515"/>
    <n v="750813136411.38"/>
    <n v="94.511898082201597"/>
  </r>
  <r>
    <x v="0"/>
    <x v="141"/>
    <n v="139200"/>
    <n v="762936156844.35999"/>
    <n v="92.6124450304156"/>
  </r>
  <r>
    <x v="0"/>
    <x v="142"/>
    <n v="139672"/>
    <n v="773774501099.78003"/>
    <n v="90.708118089139802"/>
  </r>
  <r>
    <x v="0"/>
    <x v="143"/>
    <n v="140122"/>
    <n v="784425698830.51001"/>
    <n v="88.390080019625401"/>
  </r>
  <r>
    <x v="0"/>
    <x v="144"/>
    <n v="140435"/>
    <n v="793859723461.93005"/>
    <n v="86.371302231219005"/>
  </r>
  <r>
    <x v="0"/>
    <x v="145"/>
    <n v="140872"/>
    <n v="804148796324.16003"/>
    <n v="84.149202088753"/>
  </r>
  <r>
    <x v="0"/>
    <x v="146"/>
    <n v="141261"/>
    <n v="815623297124.84998"/>
    <n v="81.858411901879094"/>
  </r>
  <r>
    <x v="0"/>
    <x v="147"/>
    <n v="141782"/>
    <n v="829173302149.54004"/>
    <n v="81.626861546278306"/>
  </r>
  <r>
    <x v="0"/>
    <x v="148"/>
    <n v="142240"/>
    <n v="841370417123.65002"/>
    <n v="80.343387193599995"/>
  </r>
  <r>
    <x v="0"/>
    <x v="149"/>
    <n v="142710"/>
    <n v="852239587713.02002"/>
    <n v="79.711594520123299"/>
  </r>
  <r>
    <x v="0"/>
    <x v="150"/>
    <n v="143157"/>
    <n v="860737627696.97998"/>
    <n v="79.554388581580199"/>
  </r>
  <r>
    <x v="0"/>
    <x v="151"/>
    <n v="143792"/>
    <n v="875234917686.55005"/>
    <n v="79.403999680220295"/>
  </r>
  <r>
    <x v="0"/>
    <x v="152"/>
    <n v="144232"/>
    <n v="886289398566.56006"/>
    <n v="79.325698316596103"/>
  </r>
  <r>
    <x v="0"/>
    <x v="153"/>
    <n v="144924"/>
    <n v="902939742411.02002"/>
    <n v="78.770778222774695"/>
  </r>
  <r>
    <x v="0"/>
    <x v="154"/>
    <n v="145734"/>
    <n v="918275700682.27002"/>
    <n v="78.820209581965798"/>
  </r>
  <r>
    <x v="0"/>
    <x v="155"/>
    <n v="146420"/>
    <n v="931301394201.87"/>
    <n v="78.908112932278797"/>
  </r>
  <r>
    <x v="0"/>
    <x v="156"/>
    <n v="147268"/>
    <n v="945955296949.02002"/>
    <n v="78.445092859628105"/>
  </r>
  <r>
    <x v="0"/>
    <x v="157"/>
    <n v="147991"/>
    <n v="959167890179.53003"/>
    <n v="76.897982892668793"/>
  </r>
  <r>
    <x v="0"/>
    <x v="158"/>
    <n v="148654"/>
    <n v="970630930715.02002"/>
    <n v="75.480985543243193"/>
  </r>
  <r>
    <x v="0"/>
    <x v="159"/>
    <n v="149639"/>
    <n v="986147711440.53003"/>
    <n v="74.101103790798803"/>
  </r>
  <r>
    <x v="0"/>
    <x v="160"/>
    <n v="150721"/>
    <n v="1004291168943.65"/>
    <n v="73.141335891848598"/>
  </r>
  <r>
    <x v="0"/>
    <x v="161"/>
    <n v="151639"/>
    <n v="1018333619421.8199"/>
    <n v="72.971966129973495"/>
  </r>
  <r>
    <x v="0"/>
    <x v="162"/>
    <n v="152735"/>
    <n v="1036838440902.78"/>
    <n v="73.034395136915194"/>
  </r>
  <r>
    <x v="0"/>
    <x v="163"/>
    <n v="153907"/>
    <n v="1052366455361.34"/>
    <n v="73.927500603899503"/>
  </r>
  <r>
    <x v="0"/>
    <x v="164"/>
    <n v="155038"/>
    <n v="1067631591501.37"/>
    <n v="77.529248505587404"/>
  </r>
  <r>
    <x v="0"/>
    <x v="165"/>
    <n v="156626"/>
    <n v="1090932032300.9399"/>
    <n v="78.536478303618196"/>
  </r>
  <r>
    <x v="0"/>
    <x v="166"/>
    <n v="157658"/>
    <n v="1107233950410.77"/>
    <n v="79.399225455212701"/>
  </r>
  <r>
    <x v="0"/>
    <x v="167"/>
    <n v="158547"/>
    <n v="1121120060633.95"/>
    <n v="80.245144027124297"/>
  </r>
  <r>
    <x v="1"/>
    <x v="168"/>
    <n v="19"/>
    <n v="159670015.94"/>
    <n v="4.0891266100602598E-2"/>
  </r>
  <r>
    <x v="0"/>
    <x v="168"/>
    <n v="159524"/>
    <n v="1139760532494.3999"/>
    <n v="80.035723378384603"/>
  </r>
  <r>
    <x v="0"/>
    <x v="169"/>
    <n v="160395"/>
    <n v="1155479201809.6499"/>
    <n v="78.8975493090756"/>
  </r>
  <r>
    <x v="1"/>
    <x v="169"/>
    <n v="45"/>
    <n v="377180050.56"/>
    <n v="2.0191369563880799"/>
  </r>
  <r>
    <x v="0"/>
    <x v="170"/>
    <n v="160920"/>
    <n v="1162237411975.8501"/>
    <n v="78.605814103648996"/>
  </r>
  <r>
    <x v="1"/>
    <x v="170"/>
    <n v="64"/>
    <n v="621719851.95000005"/>
    <n v="2.6341382133106501"/>
  </r>
  <r>
    <x v="0"/>
    <x v="171"/>
    <n v="161444"/>
    <n v="1169648700447.6899"/>
    <n v="77.837886555896603"/>
  </r>
  <r>
    <x v="1"/>
    <x v="171"/>
    <n v="67"/>
    <n v="763960929.25999999"/>
    <n v="2.8883784163291701"/>
  </r>
  <r>
    <x v="1"/>
    <x v="172"/>
    <n v="70"/>
    <n v="816348629.33000004"/>
    <n v="3.4172474647297801"/>
  </r>
  <r>
    <x v="0"/>
    <x v="172"/>
    <n v="161942"/>
    <n v="1177642747130.49"/>
    <n v="78.429564400749797"/>
  </r>
  <r>
    <x v="1"/>
    <x v="173"/>
    <n v="77"/>
    <n v="962156457.99000001"/>
    <n v="3.7150418366493501"/>
  </r>
  <r>
    <x v="0"/>
    <x v="173"/>
    <n v="162223"/>
    <n v="1179818682767.8101"/>
    <n v="78.876855802182405"/>
  </r>
  <r>
    <x v="1"/>
    <x v="174"/>
    <n v="81"/>
    <n v="1017133767.9"/>
    <n v="5.9927442793319701"/>
  </r>
  <r>
    <x v="0"/>
    <x v="174"/>
    <n v="162431"/>
    <n v="1183521139367"/>
    <n v="79.284068002090095"/>
  </r>
  <r>
    <x v="0"/>
    <x v="175"/>
    <n v="162775"/>
    <n v="1188990414254.24"/>
    <n v="85.608324574413601"/>
  </r>
  <r>
    <x v="1"/>
    <x v="175"/>
    <n v="85"/>
    <n v="1108598255.4400001"/>
    <n v="16.049317964571099"/>
  </r>
  <r>
    <x v="1"/>
    <x v="176"/>
    <n v="91"/>
    <n v="1144655203.8699999"/>
    <n v="31.569318921782202"/>
  </r>
  <r>
    <x v="0"/>
    <x v="176"/>
    <n v="162938"/>
    <n v="1191848545477.6299"/>
    <n v="95.200529415360506"/>
  </r>
  <r>
    <x v="1"/>
    <x v="177"/>
    <n v="96"/>
    <n v="1143216587.29"/>
    <n v="44.031810553747903"/>
  </r>
  <r>
    <x v="0"/>
    <x v="177"/>
    <n v="163109"/>
    <n v="1197686583453.0601"/>
    <n v="102.31471373420599"/>
  </r>
  <r>
    <x v="1"/>
    <x v="178"/>
    <n v="98"/>
    <n v="1120084797.3399999"/>
    <n v="58.805913425086302"/>
  </r>
  <r>
    <x v="0"/>
    <x v="178"/>
    <n v="163376"/>
    <n v="1214626480567.3601"/>
    <n v="108.847706227868"/>
  </r>
  <r>
    <x v="0"/>
    <x v="179"/>
    <n v="163443"/>
    <n v="1227123431334.01"/>
    <n v="117.80742443313601"/>
  </r>
  <r>
    <x v="1"/>
    <x v="179"/>
    <n v="98"/>
    <n v="1078894527.97"/>
    <n v="76.010310109931794"/>
  </r>
  <r>
    <x v="0"/>
    <x v="180"/>
    <n v="163569"/>
    <n v="1234260438018.73"/>
    <n v="134.67127902460001"/>
  </r>
  <r>
    <x v="1"/>
    <x v="180"/>
    <n v="97"/>
    <n v="1032952441.29"/>
    <n v="98.028010266965794"/>
  </r>
  <r>
    <x v="0"/>
    <x v="181"/>
    <n v="163728"/>
    <n v="1252730272086.4099"/>
    <n v="139.57290022888401"/>
  </r>
  <r>
    <x v="1"/>
    <x v="181"/>
    <n v="97"/>
    <n v="993378509.11000001"/>
    <n v="108.724212261709"/>
  </r>
  <r>
    <x v="0"/>
    <x v="182"/>
    <n v="163836"/>
    <n v="1257643264164.9099"/>
    <n v="148.23432581576699"/>
  </r>
  <r>
    <x v="1"/>
    <x v="182"/>
    <n v="96"/>
    <n v="946099456.75999999"/>
    <n v="122.65393807078"/>
  </r>
  <r>
    <x v="0"/>
    <x v="183"/>
    <n v="163936"/>
    <n v="1270454083140.21"/>
    <n v="156.38448064298501"/>
  </r>
  <r>
    <x v="1"/>
    <x v="183"/>
    <n v="95"/>
    <n v="886300040.11000001"/>
    <n v="136.59350275940801"/>
  </r>
  <r>
    <x v="0"/>
    <x v="184"/>
    <n v="164180"/>
    <n v="1279191968274.55"/>
    <n v="167.86973595464099"/>
  </r>
  <r>
    <x v="1"/>
    <x v="184"/>
    <n v="95"/>
    <n v="853173864.62"/>
    <n v="154.88487208929399"/>
  </r>
  <r>
    <x v="0"/>
    <x v="185"/>
    <n v="164194"/>
    <n v="1284380337007.78"/>
    <n v="180.92905535228999"/>
  </r>
  <r>
    <x v="1"/>
    <x v="185"/>
    <n v="95"/>
    <n v="819680231.34000003"/>
    <n v="174.08090083135099"/>
  </r>
  <r>
    <x v="0"/>
    <x v="186"/>
    <n v="164264"/>
    <n v="1288288962785.8999"/>
    <n v="194.901663695781"/>
  </r>
  <r>
    <x v="1"/>
    <x v="186"/>
    <n v="94"/>
    <n v="778771901.41999996"/>
    <n v="195.40990114872301"/>
  </r>
  <r>
    <x v="2"/>
    <x v="186"/>
    <n v="10"/>
    <n v="45118402.759999998"/>
    <n v="0"/>
  </r>
  <r>
    <x v="0"/>
    <x v="187"/>
    <n v="164394"/>
    <n v="1297203353258.1899"/>
    <n v="206.30192897398601"/>
  </r>
  <r>
    <x v="1"/>
    <x v="187"/>
    <n v="94"/>
    <n v="730740246.76999998"/>
    <n v="217.19578089360999"/>
  </r>
  <r>
    <x v="2"/>
    <x v="187"/>
    <n v="26"/>
    <n v="140467044.28999999"/>
    <n v="4.9101575475738004"/>
  </r>
  <r>
    <x v="0"/>
    <x v="188"/>
    <n v="164392"/>
    <n v="1297037709626.45"/>
    <n v="216.43023429463"/>
  </r>
  <r>
    <x v="1"/>
    <x v="188"/>
    <n v="93"/>
    <n v="671519986.54999995"/>
    <n v="237.822391957896"/>
  </r>
  <r>
    <x v="2"/>
    <x v="188"/>
    <n v="44"/>
    <n v="281456661.47000003"/>
    <n v="9.7749711690498096"/>
  </r>
  <r>
    <x v="0"/>
    <x v="189"/>
    <n v="164479"/>
    <n v="1301137589406.99"/>
    <n v="226.69528927584599"/>
  </r>
  <r>
    <x v="1"/>
    <x v="189"/>
    <n v="91"/>
    <n v="636390695.32000005"/>
    <n v="259.10009504880298"/>
  </r>
  <r>
    <x v="2"/>
    <x v="189"/>
    <n v="70"/>
    <n v="451475286.89999998"/>
    <n v="11.885009456029699"/>
  </r>
  <r>
    <x v="0"/>
    <x v="190"/>
    <n v="163886"/>
    <n v="1262938911927.99"/>
    <n v="230.86922382364099"/>
  </r>
  <r>
    <x v="1"/>
    <x v="190"/>
    <n v="91"/>
    <n v="595742034.61000001"/>
    <n v="277.06238880215301"/>
  </r>
  <r>
    <x v="2"/>
    <x v="190"/>
    <n v="91"/>
    <n v="640592685.88999999"/>
    <n v="13.567566757186"/>
  </r>
  <r>
    <x v="0"/>
    <x v="191"/>
    <n v="163874"/>
    <n v="1257357437789.02"/>
    <n v="238.41875111459001"/>
  </r>
  <r>
    <x v="1"/>
    <x v="191"/>
    <n v="89"/>
    <n v="561587271.51999998"/>
    <n v="295.47512009479902"/>
  </r>
  <r>
    <x v="2"/>
    <x v="191"/>
    <n v="116"/>
    <n v="873082912.89999998"/>
    <n v="13.8387655962221"/>
  </r>
  <r>
    <x v="0"/>
    <x v="192"/>
    <n v="163779"/>
    <n v="1253270914369.1101"/>
    <n v="248.94212149262299"/>
  </r>
  <r>
    <x v="1"/>
    <x v="192"/>
    <n v="88"/>
    <n v="531420686.00999999"/>
    <n v="316.43760985344301"/>
  </r>
  <r>
    <x v="2"/>
    <x v="192"/>
    <n v="138"/>
    <n v="1088381162.51"/>
    <n v="13.9774289139351"/>
  </r>
  <r>
    <x v="0"/>
    <x v="193"/>
    <n v="163766"/>
    <n v="1254208414913.27"/>
    <n v="261.727658039669"/>
  </r>
  <r>
    <x v="1"/>
    <x v="193"/>
    <n v="88"/>
    <n v="501401912.05000001"/>
    <n v="340.93666774872901"/>
  </r>
  <r>
    <x v="2"/>
    <x v="193"/>
    <n v="164"/>
    <n v="1322702870.9300001"/>
    <n v="14.739431887865999"/>
  </r>
  <r>
    <x v="0"/>
    <x v="194"/>
    <n v="163753"/>
    <n v="1251134507397.9399"/>
    <n v="277.42506919795898"/>
  </r>
  <r>
    <x v="1"/>
    <x v="194"/>
    <n v="87"/>
    <n v="476695460.79000002"/>
    <n v="368.56952954911799"/>
  </r>
  <r>
    <x v="2"/>
    <x v="194"/>
    <n v="188"/>
    <n v="1562566788.21"/>
    <n v="15.5872725689958"/>
  </r>
  <r>
    <x v="0"/>
    <x v="195"/>
    <n v="163755"/>
    <n v="1244762156873.8799"/>
    <n v="295.87878156334602"/>
  </r>
  <r>
    <x v="1"/>
    <x v="195"/>
    <n v="86"/>
    <n v="436910763.93000001"/>
    <n v="402.27324086563698"/>
  </r>
  <r>
    <x v="2"/>
    <x v="195"/>
    <n v="209"/>
    <n v="1800028459.5"/>
    <n v="14.3906513512242"/>
  </r>
  <r>
    <x v="0"/>
    <x v="196"/>
    <n v="163816"/>
    <n v="1235982569471.3701"/>
    <n v="313.89928910530398"/>
  </r>
  <r>
    <x v="1"/>
    <x v="196"/>
    <n v="86"/>
    <n v="406964949.51999998"/>
    <n v="439.710343360617"/>
  </r>
  <r>
    <x v="2"/>
    <x v="196"/>
    <n v="241"/>
    <n v="2289490119.9400001"/>
    <n v="13.048453579782199"/>
  </r>
  <r>
    <x v="0"/>
    <x v="197"/>
    <n v="163859"/>
    <n v="1222216237246.51"/>
    <n v="333.68759744787098"/>
  </r>
  <r>
    <x v="1"/>
    <x v="197"/>
    <n v="84"/>
    <n v="376322526.51999998"/>
    <n v="480.78133056614598"/>
  </r>
  <r>
    <x v="2"/>
    <x v="197"/>
    <n v="276"/>
    <n v="2545033047.27"/>
    <n v="12.410375187935401"/>
  </r>
  <r>
    <x v="0"/>
    <x v="198"/>
    <n v="164017"/>
    <n v="1208603766164.51"/>
    <n v="350.53772033319598"/>
  </r>
  <r>
    <x v="1"/>
    <x v="198"/>
    <n v="83"/>
    <n v="351522994.73000002"/>
    <n v="516.32648896993896"/>
  </r>
  <r>
    <x v="2"/>
    <x v="198"/>
    <n v="306"/>
    <n v="3126217292.7199998"/>
    <n v="28.4069798540588"/>
  </r>
  <r>
    <x v="0"/>
    <x v="199"/>
    <n v="164228"/>
    <n v="1194423645357.02"/>
    <n v="358.426827953832"/>
  </r>
  <r>
    <x v="1"/>
    <x v="199"/>
    <n v="103"/>
    <n v="929665401.02999997"/>
    <n v="197.133968552379"/>
  </r>
  <r>
    <x v="2"/>
    <x v="199"/>
    <n v="342"/>
    <n v="3903977995.2800002"/>
    <n v="25.2412916665794"/>
  </r>
  <r>
    <x v="0"/>
    <x v="200"/>
    <n v="164247"/>
    <n v="1182814575891.2"/>
    <n v="364.46715383647501"/>
  </r>
  <r>
    <x v="1"/>
    <x v="200"/>
    <n v="118"/>
    <n v="1352151537.6500001"/>
    <n v="134.99843405211999"/>
  </r>
  <r>
    <x v="2"/>
    <x v="200"/>
    <n v="383"/>
    <n v="4392867761.4399996"/>
    <n v="22.604925290555901"/>
  </r>
  <r>
    <x v="0"/>
    <x v="201"/>
    <n v="164474"/>
    <n v="1179826829308.1899"/>
    <n v="367.08195062699002"/>
  </r>
  <r>
    <x v="1"/>
    <x v="201"/>
    <n v="150"/>
    <n v="2662811185.9000001"/>
    <n v="67.887838210730905"/>
  </r>
  <r>
    <x v="2"/>
    <x v="201"/>
    <n v="430"/>
    <n v="5236503457.5500002"/>
    <n v="19.403535571222498"/>
  </r>
  <r>
    <x v="0"/>
    <x v="202"/>
    <n v="164558"/>
    <n v="1171068568311.46"/>
    <n v="374.54973485581098"/>
  </r>
  <r>
    <x v="1"/>
    <x v="202"/>
    <n v="171"/>
    <n v="3016647647.4899998"/>
    <n v="58.894709284263101"/>
  </r>
  <r>
    <x v="2"/>
    <x v="202"/>
    <n v="478"/>
    <n v="6136502654.7399998"/>
    <n v="16.854083761241899"/>
  </r>
  <r>
    <x v="0"/>
    <x v="203"/>
    <n v="164675"/>
    <n v="1165480717909.74"/>
    <n v="380.81887777678702"/>
  </r>
  <r>
    <x v="1"/>
    <x v="203"/>
    <n v="202"/>
    <n v="3576642912.5300002"/>
    <n v="50.218098212507599"/>
  </r>
  <r>
    <x v="2"/>
    <x v="203"/>
    <n v="523"/>
    <n v="6826056441.3299999"/>
    <n v="15.4357134360333"/>
  </r>
  <r>
    <x v="0"/>
    <x v="204"/>
    <n v="164807"/>
    <n v="1160574203603.98"/>
    <n v="390.56468045331599"/>
  </r>
  <r>
    <x v="1"/>
    <x v="204"/>
    <n v="231"/>
    <n v="4235834937.54"/>
    <n v="46.574755761291598"/>
  </r>
  <r>
    <x v="2"/>
    <x v="204"/>
    <n v="560"/>
    <n v="7337956247.75"/>
    <n v="14.6147529214412"/>
  </r>
  <r>
    <x v="0"/>
    <x v="205"/>
    <n v="164963"/>
    <n v="1157445015074.0801"/>
    <n v="402.10195514477698"/>
  </r>
  <r>
    <x v="1"/>
    <x v="205"/>
    <n v="269"/>
    <n v="5049498835.8699999"/>
    <n v="45.108122290365998"/>
  </r>
  <r>
    <x v="2"/>
    <x v="205"/>
    <n v="593"/>
    <n v="7947724964.54"/>
    <n v="13.9428627918183"/>
  </r>
  <r>
    <x v="0"/>
    <x v="206"/>
    <n v="165116"/>
    <n v="1150165536380.5701"/>
    <n v="413.59174371674499"/>
  </r>
  <r>
    <x v="1"/>
    <x v="206"/>
    <n v="308"/>
    <n v="5555396980.3400002"/>
    <n v="46.655417778400398"/>
  </r>
  <r>
    <x v="2"/>
    <x v="206"/>
    <n v="626"/>
    <n v="8459759606.9799995"/>
    <n v="13.553947929827601"/>
  </r>
  <r>
    <x v="0"/>
    <x v="207"/>
    <n v="165297"/>
    <n v="1145704754479.45"/>
    <n v="429.32773990664299"/>
  </r>
  <r>
    <x v="1"/>
    <x v="207"/>
    <n v="347"/>
    <n v="6013908013.3299999"/>
    <n v="54.081609410710797"/>
  </r>
  <r>
    <x v="2"/>
    <x v="207"/>
    <n v="659"/>
    <n v="9001686735.1800003"/>
    <n v="12.940698116902899"/>
  </r>
  <r>
    <x v="0"/>
    <x v="208"/>
    <n v="165496"/>
    <n v="1139539896703.1399"/>
    <n v="448.215981072273"/>
  </r>
  <r>
    <x v="1"/>
    <x v="208"/>
    <n v="375"/>
    <n v="6542546587.2600002"/>
    <n v="63.374874924356902"/>
  </r>
  <r>
    <x v="2"/>
    <x v="208"/>
    <n v="691"/>
    <n v="9553441938.6800003"/>
    <n v="12.496094051763199"/>
  </r>
  <r>
    <x v="0"/>
    <x v="209"/>
    <n v="165673"/>
    <n v="1128758317047.3601"/>
    <n v="467.54545832834202"/>
  </r>
  <r>
    <x v="1"/>
    <x v="209"/>
    <n v="420"/>
    <n v="7247325924.1400003"/>
    <n v="66.487775343249297"/>
  </r>
  <r>
    <x v="2"/>
    <x v="209"/>
    <n v="724"/>
    <n v="10014880248.950001"/>
    <n v="12.124983332422399"/>
  </r>
  <r>
    <x v="0"/>
    <x v="210"/>
    <n v="165738"/>
    <n v="1112728336442.3301"/>
    <n v="488.919415136277"/>
  </r>
  <r>
    <x v="1"/>
    <x v="210"/>
    <n v="454"/>
    <n v="7904105803.1999998"/>
    <n v="72.215905258195093"/>
  </r>
  <r>
    <x v="2"/>
    <x v="210"/>
    <n v="767"/>
    <n v="10531876819.25"/>
    <n v="11.7867357001497"/>
  </r>
  <r>
    <x v="0"/>
    <x v="211"/>
    <n v="165766"/>
    <n v="1093080187579.58"/>
    <n v="512.17431205599598"/>
  </r>
  <r>
    <x v="1"/>
    <x v="211"/>
    <n v="477"/>
    <n v="8280081942.8999996"/>
    <n v="80.856519091548705"/>
  </r>
  <r>
    <x v="2"/>
    <x v="211"/>
    <n v="787"/>
    <n v="10704727601.450001"/>
    <n v="11.680142291010201"/>
  </r>
  <r>
    <x v="0"/>
    <x v="212"/>
    <n v="165773"/>
    <n v="1081410722063.79"/>
    <n v="531.91385767459803"/>
  </r>
  <r>
    <x v="1"/>
    <x v="212"/>
    <n v="506"/>
    <n v="9177240853.75"/>
    <n v="84.550834501807699"/>
  </r>
  <r>
    <x v="2"/>
    <x v="212"/>
    <n v="834"/>
    <n v="11647194164.32"/>
    <n v="11.8482168904465"/>
  </r>
  <r>
    <x v="0"/>
    <x v="213"/>
    <n v="165846"/>
    <n v="1078176456162.38"/>
    <n v="547.88976554188605"/>
  </r>
  <r>
    <x v="1"/>
    <x v="213"/>
    <n v="540"/>
    <n v="9860695193.4599991"/>
    <n v="89.049668355201405"/>
  </r>
  <r>
    <x v="2"/>
    <x v="213"/>
    <n v="875"/>
    <n v="12353958514.68"/>
    <n v="11.433356919226901"/>
  </r>
  <r>
    <x v="0"/>
    <x v="214"/>
    <n v="166147"/>
    <n v="1067086710288.16"/>
    <n v="563.96306647850497"/>
  </r>
  <r>
    <x v="1"/>
    <x v="214"/>
    <n v="588"/>
    <n v="10790895341.790001"/>
    <n v="88.232546959687298"/>
  </r>
  <r>
    <x v="2"/>
    <x v="214"/>
    <n v="946"/>
    <n v="13940030057.889999"/>
    <n v="10.477260317991099"/>
  </r>
  <r>
    <x v="0"/>
    <x v="215"/>
    <n v="166315"/>
    <n v="1052985823369.1899"/>
    <n v="580.99856875094997"/>
  </r>
  <r>
    <x v="1"/>
    <x v="215"/>
    <n v="623"/>
    <n v="11097007614.959999"/>
    <n v="92.943509531088395"/>
  </r>
  <r>
    <x v="2"/>
    <x v="215"/>
    <n v="1017"/>
    <n v="15124010719.23"/>
    <n v="9.6782593393960905"/>
  </r>
  <r>
    <x v="0"/>
    <x v="216"/>
    <n v="166481"/>
    <n v="1037553728529.5699"/>
    <n v="600.71688944682899"/>
  </r>
  <r>
    <x v="1"/>
    <x v="216"/>
    <n v="657"/>
    <n v="11616731956.02"/>
    <n v="98.774018279567898"/>
  </r>
  <r>
    <x v="2"/>
    <x v="216"/>
    <n v="1083"/>
    <n v="16232317795.49"/>
    <n v="9.3168821806495199"/>
  </r>
  <r>
    <x v="0"/>
    <x v="217"/>
    <n v="166552"/>
    <n v="1030696048023.48"/>
    <n v="616.00009083640305"/>
  </r>
  <r>
    <x v="1"/>
    <x v="217"/>
    <n v="691"/>
    <n v="12319469687.950001"/>
    <n v="106.535944719962"/>
  </r>
  <r>
    <x v="2"/>
    <x v="217"/>
    <n v="1172"/>
    <n v="18410677468.970001"/>
    <n v="11.1506027427496"/>
  </r>
  <r>
    <x v="3"/>
    <x v="217"/>
    <n v="127"/>
    <n v="6599126495.5600004"/>
    <n v="22.1556616431062"/>
  </r>
  <r>
    <x v="0"/>
    <x v="218"/>
    <n v="166715"/>
    <n v="1017753718361.05"/>
    <n v="638.03791882340602"/>
  </r>
  <r>
    <x v="1"/>
    <x v="218"/>
    <n v="712"/>
    <n v="12593084313.99"/>
    <n v="119.096521016821"/>
  </r>
  <r>
    <x v="2"/>
    <x v="218"/>
    <n v="1275"/>
    <n v="20102928824.52"/>
    <n v="11.0996924141016"/>
  </r>
  <r>
    <x v="3"/>
    <x v="218"/>
    <n v="218"/>
    <n v="8799458195.2600002"/>
    <n v="18.1989550284286"/>
  </r>
  <r>
    <x v="0"/>
    <x v="219"/>
    <n v="166950"/>
    <n v="1009008459381.01"/>
    <n v="655.21551546296905"/>
  </r>
  <r>
    <x v="1"/>
    <x v="219"/>
    <n v="739"/>
    <n v="12913045386.299999"/>
    <n v="128.85136707232701"/>
  </r>
  <r>
    <x v="2"/>
    <x v="219"/>
    <n v="1363"/>
    <n v="21601411805.599998"/>
    <n v="11.1201143188073"/>
  </r>
  <r>
    <x v="3"/>
    <x v="219"/>
    <n v="315"/>
    <n v="10777885227.879999"/>
    <n v="16.3584399810889"/>
  </r>
  <r>
    <x v="0"/>
    <x v="220"/>
    <n v="167134"/>
    <n v="993395215390.30005"/>
    <n v="676.226498477223"/>
  </r>
  <r>
    <x v="1"/>
    <x v="220"/>
    <n v="773"/>
    <n v="13621608844.34"/>
    <n v="135.01834910271501"/>
  </r>
  <r>
    <x v="2"/>
    <x v="220"/>
    <n v="1462"/>
    <n v="23066669892.529999"/>
    <n v="11.2276921834245"/>
  </r>
  <r>
    <x v="3"/>
    <x v="220"/>
    <n v="415"/>
    <n v="12488997687"/>
    <n v="15.0903296374804"/>
  </r>
  <r>
    <x v="0"/>
    <x v="221"/>
    <n v="167513"/>
    <n v="988480773477.10999"/>
    <n v="693.54144260590795"/>
  </r>
  <r>
    <x v="1"/>
    <x v="221"/>
    <n v="804"/>
    <n v="14812827435.530001"/>
    <n v="139.27931908924199"/>
  </r>
  <r>
    <x v="2"/>
    <x v="221"/>
    <n v="1557"/>
    <n v="24335750350.360001"/>
    <n v="11.670048504713099"/>
  </r>
  <r>
    <x v="3"/>
    <x v="221"/>
    <n v="509"/>
    <n v="13991619224.620001"/>
    <n v="14.5592968958625"/>
  </r>
  <r>
    <x v="0"/>
    <x v="222"/>
    <n v="168029"/>
    <n v="987833006284.93005"/>
    <n v="704.73243867024996"/>
  </r>
  <r>
    <x v="1"/>
    <x v="222"/>
    <n v="842"/>
    <n v="16035308040.73"/>
    <n v="142.25101728842799"/>
  </r>
  <r>
    <x v="2"/>
    <x v="222"/>
    <n v="1683"/>
    <n v="26041761003.119999"/>
    <n v="12.171441481452399"/>
  </r>
  <r>
    <x v="3"/>
    <x v="222"/>
    <n v="623"/>
    <n v="15791782055.450001"/>
    <n v="14.0126841255546"/>
  </r>
  <r>
    <x v="0"/>
    <x v="223"/>
    <n v="167997"/>
    <n v="972565007892.05005"/>
    <n v="726.61925535578303"/>
  </r>
  <r>
    <x v="1"/>
    <x v="223"/>
    <n v="864"/>
    <n v="15909947419.549999"/>
    <n v="155.71258441146699"/>
  </r>
  <r>
    <x v="2"/>
    <x v="223"/>
    <n v="1772"/>
    <n v="26882479097.080002"/>
    <n v="12.8433962368275"/>
  </r>
  <r>
    <x v="3"/>
    <x v="223"/>
    <n v="707"/>
    <n v="16754712174.48"/>
    <n v="13.5653555128206"/>
  </r>
  <r>
    <x v="0"/>
    <x v="224"/>
    <n v="168243"/>
    <n v="964648010655.91003"/>
    <n v="739.06007603560397"/>
  </r>
  <r>
    <x v="1"/>
    <x v="224"/>
    <n v="887"/>
    <n v="16552519980.950001"/>
    <n v="158.75356730121501"/>
  </r>
  <r>
    <x v="2"/>
    <x v="224"/>
    <n v="1884"/>
    <n v="28077568751.43"/>
    <n v="13.7160348564295"/>
  </r>
  <r>
    <x v="3"/>
    <x v="224"/>
    <n v="803"/>
    <n v="17947136377.009998"/>
    <n v="13.2529620777195"/>
  </r>
  <r>
    <x v="0"/>
    <x v="225"/>
    <n v="168444"/>
    <n v="958178399344.89001"/>
    <n v="745.05382132692102"/>
  </r>
  <r>
    <x v="1"/>
    <x v="225"/>
    <n v="912"/>
    <n v="16936331787.6"/>
    <n v="159.214611824429"/>
  </r>
  <r>
    <x v="2"/>
    <x v="225"/>
    <n v="2008"/>
    <n v="29255937245.25"/>
    <n v="14.4573957343503"/>
  </r>
  <r>
    <x v="3"/>
    <x v="225"/>
    <n v="924"/>
    <n v="19179632548.990002"/>
    <n v="12.9061369463244"/>
  </r>
  <r>
    <x v="0"/>
    <x v="226"/>
    <n v="168554"/>
    <n v="958767138252.81006"/>
    <n v="743.739762592494"/>
  </r>
  <r>
    <x v="1"/>
    <x v="226"/>
    <n v="934"/>
    <n v="17827951977.950001"/>
    <n v="155.53502195937401"/>
  </r>
  <r>
    <x v="2"/>
    <x v="226"/>
    <n v="2143"/>
    <n v="30765495579.349998"/>
    <n v="18.644694986992299"/>
  </r>
  <r>
    <x v="3"/>
    <x v="226"/>
    <n v="1042"/>
    <n v="20590650800.080002"/>
    <n v="12.4257265969663"/>
  </r>
  <r>
    <x v="0"/>
    <x v="227"/>
    <n v="168497"/>
    <n v="956989567273.20996"/>
    <n v="744.67121658412304"/>
  </r>
  <r>
    <x v="1"/>
    <x v="227"/>
    <n v="954"/>
    <n v="17960790708.68"/>
    <n v="160.070164011359"/>
  </r>
  <r>
    <x v="2"/>
    <x v="227"/>
    <n v="2261"/>
    <n v="32051219221.419998"/>
    <n v="20.1596377921644"/>
  </r>
  <r>
    <x v="3"/>
    <x v="227"/>
    <n v="1149"/>
    <n v="21763931987.459999"/>
    <n v="11.9366616372661"/>
  </r>
  <r>
    <x v="0"/>
    <x v="228"/>
    <n v="168650"/>
    <n v="951379532622"/>
    <n v="745.610924066454"/>
  </r>
  <r>
    <x v="1"/>
    <x v="228"/>
    <n v="976"/>
    <n v="18268825613.709999"/>
    <n v="161.53019200322501"/>
  </r>
  <r>
    <x v="2"/>
    <x v="228"/>
    <n v="2381"/>
    <n v="33234605901.299999"/>
    <n v="22.052160718516301"/>
  </r>
  <r>
    <x v="3"/>
    <x v="228"/>
    <n v="1253"/>
    <n v="22743332810.720001"/>
    <n v="11.645493394041299"/>
  </r>
  <r>
    <x v="0"/>
    <x v="229"/>
    <n v="168793"/>
    <n v="951112315863.43994"/>
    <n v="731.27187367586896"/>
  </r>
  <r>
    <x v="1"/>
    <x v="229"/>
    <n v="998"/>
    <n v="18453239115.400002"/>
    <n v="154.9896084284"/>
  </r>
  <r>
    <x v="2"/>
    <x v="229"/>
    <n v="2498"/>
    <n v="34235158583.599998"/>
    <n v="22.366702545936999"/>
  </r>
  <r>
    <x v="3"/>
    <x v="229"/>
    <n v="1350"/>
    <n v="23549228231.41"/>
    <n v="11.3837087184738"/>
  </r>
  <r>
    <x v="0"/>
    <x v="230"/>
    <n v="168702"/>
    <n v="948978277212.25"/>
    <n v="716.16864058289502"/>
  </r>
  <r>
    <x v="1"/>
    <x v="230"/>
    <n v="1021"/>
    <n v="18743874307.419998"/>
    <n v="147.63940382074799"/>
  </r>
  <r>
    <x v="2"/>
    <x v="230"/>
    <n v="2594"/>
    <n v="34899645243.050003"/>
    <n v="22.310220851696201"/>
  </r>
  <r>
    <x v="3"/>
    <x v="230"/>
    <n v="1432"/>
    <n v="24174777291.66"/>
    <n v="11.1189690941143"/>
  </r>
  <r>
    <x v="0"/>
    <x v="231"/>
    <n v="168665"/>
    <n v="948811579876.78003"/>
    <n v="698.05641702828495"/>
  </r>
  <r>
    <x v="1"/>
    <x v="231"/>
    <n v="1045"/>
    <n v="19092526206.200001"/>
    <n v="140.87825123634701"/>
  </r>
  <r>
    <x v="2"/>
    <x v="231"/>
    <n v="2695"/>
    <n v="35367128013.260002"/>
    <n v="22.282471229704399"/>
  </r>
  <r>
    <x v="3"/>
    <x v="231"/>
    <n v="1517"/>
    <n v="24578473067.509998"/>
    <n v="10.905868937369601"/>
  </r>
  <r>
    <x v="0"/>
    <x v="232"/>
    <n v="168535"/>
    <n v="946698650327.43005"/>
    <n v="685.36414873509"/>
  </r>
  <r>
    <x v="1"/>
    <x v="232"/>
    <n v="1073"/>
    <n v="19336227803.259998"/>
    <n v="136.71489672981301"/>
  </r>
  <r>
    <x v="2"/>
    <x v="232"/>
    <n v="2780"/>
    <n v="35804756803.43"/>
    <n v="22.314512778277301"/>
  </r>
  <r>
    <x v="3"/>
    <x v="232"/>
    <n v="1605"/>
    <n v="24975426851.080002"/>
    <n v="10.7307261656129"/>
  </r>
  <r>
    <x v="0"/>
    <x v="233"/>
    <n v="168454"/>
    <n v="945526028023.66003"/>
    <n v="680.07648772960601"/>
  </r>
  <r>
    <x v="1"/>
    <x v="233"/>
    <n v="1088"/>
    <n v="19613126291.07"/>
    <n v="135.19132422200099"/>
  </r>
  <r>
    <x v="2"/>
    <x v="233"/>
    <n v="2875"/>
    <n v="36128097823.209999"/>
    <n v="23.171148707512302"/>
  </r>
  <r>
    <x v="3"/>
    <x v="233"/>
    <n v="1688"/>
    <n v="25218431194.439999"/>
    <n v="10.659463168852399"/>
  </r>
  <r>
    <x v="0"/>
    <x v="234"/>
    <n v="168526"/>
    <n v="947567336728.01001"/>
    <n v="674.40781469614603"/>
  </r>
  <r>
    <x v="1"/>
    <x v="234"/>
    <n v="1109"/>
    <n v="19868500672.32"/>
    <n v="133.76394550958301"/>
  </r>
  <r>
    <x v="2"/>
    <x v="234"/>
    <n v="2973"/>
    <n v="36388443717.019997"/>
    <n v="25.1821082855406"/>
  </r>
  <r>
    <x v="3"/>
    <x v="234"/>
    <n v="1747"/>
    <n v="25372731243.630001"/>
    <n v="10.617569258721099"/>
  </r>
  <r>
    <x v="0"/>
    <x v="235"/>
    <n v="168522"/>
    <n v="950558420406.93994"/>
    <n v="667.01982260955003"/>
  </r>
  <r>
    <x v="1"/>
    <x v="235"/>
    <n v="1122"/>
    <n v="20235778716.240002"/>
    <n v="130.704449926747"/>
  </r>
  <r>
    <x v="2"/>
    <x v="235"/>
    <n v="3038"/>
    <n v="36429713513.779999"/>
    <n v="25.528937634929701"/>
  </r>
  <r>
    <x v="3"/>
    <x v="235"/>
    <n v="1805"/>
    <n v="25476399173.720001"/>
    <n v="10.5919185676076"/>
  </r>
  <r>
    <x v="0"/>
    <x v="236"/>
    <n v="168389"/>
    <n v="951961756683.73999"/>
    <n v="659.56092025686905"/>
  </r>
  <r>
    <x v="1"/>
    <x v="236"/>
    <n v="1130"/>
    <n v="20424379265.459999"/>
    <n v="128.743004793377"/>
  </r>
  <r>
    <x v="2"/>
    <x v="236"/>
    <n v="3094"/>
    <n v="36534296456.949997"/>
    <n v="25.8721270851496"/>
  </r>
  <r>
    <x v="3"/>
    <x v="236"/>
    <n v="1854"/>
    <n v="25558725588.619999"/>
    <n v="10.553906213416001"/>
  </r>
  <r>
    <x v="0"/>
    <x v="237"/>
    <n v="168241"/>
    <n v="954383832976.22998"/>
    <n v="655.34296464728595"/>
  </r>
  <r>
    <x v="1"/>
    <x v="237"/>
    <n v="1144"/>
    <n v="20512776387.459999"/>
    <n v="128.609625012571"/>
  </r>
  <r>
    <x v="2"/>
    <x v="237"/>
    <n v="3164"/>
    <n v="36655105321.75"/>
    <n v="26.5593554467643"/>
  </r>
  <r>
    <x v="3"/>
    <x v="237"/>
    <n v="1900"/>
    <n v="25637606597.049999"/>
    <n v="10.5147337965692"/>
  </r>
  <r>
    <x v="0"/>
    <x v="238"/>
    <n v="168138"/>
    <n v="954656179373.09998"/>
    <n v="653.58111716835697"/>
  </r>
  <r>
    <x v="1"/>
    <x v="238"/>
    <n v="1155"/>
    <n v="20701049462.849998"/>
    <n v="128.27593814508401"/>
  </r>
  <r>
    <x v="2"/>
    <x v="238"/>
    <n v="3214"/>
    <n v="36681497623.199997"/>
    <n v="27.2455544825497"/>
  </r>
  <r>
    <x v="3"/>
    <x v="238"/>
    <n v="1945"/>
    <n v="25659837687.27"/>
    <n v="10.5209123762984"/>
  </r>
  <r>
    <x v="0"/>
    <x v="239"/>
    <n v="168113"/>
    <n v="956139225086.04004"/>
    <n v="649.68410469425601"/>
  </r>
  <r>
    <x v="1"/>
    <x v="239"/>
    <n v="1161"/>
    <n v="20937825815.509998"/>
    <n v="127.49582853568199"/>
  </r>
  <r>
    <x v="2"/>
    <x v="239"/>
    <n v="3259"/>
    <n v="36636435212.349998"/>
    <n v="28.090606167894201"/>
  </r>
  <r>
    <x v="3"/>
    <x v="239"/>
    <n v="1977"/>
    <n v="25645418956.459999"/>
    <n v="10.497874297460701"/>
  </r>
  <r>
    <x v="0"/>
    <x v="240"/>
    <n v="168001"/>
    <n v="957828328319.79004"/>
    <n v="647.879089848082"/>
  </r>
  <r>
    <x v="1"/>
    <x v="240"/>
    <n v="1165"/>
    <n v="21143780863.959999"/>
    <n v="127.839151718346"/>
  </r>
  <r>
    <x v="2"/>
    <x v="240"/>
    <n v="3302"/>
    <n v="36550076567.910004"/>
    <n v="29.659581908848001"/>
  </r>
  <r>
    <x v="3"/>
    <x v="240"/>
    <n v="2006"/>
    <n v="25616594460.360001"/>
    <n v="10.4924712233882"/>
  </r>
  <r>
    <x v="0"/>
    <x v="241"/>
    <n v="167932"/>
    <n v="961134113453.43994"/>
    <n v="645.210909291711"/>
  </r>
  <r>
    <x v="1"/>
    <x v="241"/>
    <n v="1168"/>
    <n v="21346094720.060001"/>
    <n v="128.475754975678"/>
  </r>
  <r>
    <x v="2"/>
    <x v="241"/>
    <n v="3342"/>
    <n v="36429625540.220001"/>
    <n v="31.409324347051001"/>
  </r>
  <r>
    <x v="3"/>
    <x v="241"/>
    <n v="2033"/>
    <n v="25567285813.18"/>
    <n v="10.5062877450392"/>
  </r>
  <r>
    <x v="0"/>
    <x v="242"/>
    <n v="167848"/>
    <n v="963933164722.85999"/>
    <n v="642.76902569574804"/>
  </r>
  <r>
    <x v="1"/>
    <x v="242"/>
    <n v="1172"/>
    <n v="21598307257.459999"/>
    <n v="129.00002130886"/>
  </r>
  <r>
    <x v="2"/>
    <x v="242"/>
    <n v="3381"/>
    <n v="36252840693.470001"/>
    <n v="33.316267605425601"/>
  </r>
  <r>
    <x v="3"/>
    <x v="242"/>
    <n v="2058"/>
    <n v="25497572102.110001"/>
    <n v="10.519925852826701"/>
  </r>
  <r>
    <x v="0"/>
    <x v="243"/>
    <n v="167817"/>
    <n v="971985480145.08997"/>
    <n v="637.23237313323"/>
  </r>
  <r>
    <x v="1"/>
    <x v="243"/>
    <n v="1181"/>
    <n v="21876660696.240002"/>
    <n v="129.65993830327201"/>
  </r>
  <r>
    <x v="2"/>
    <x v="243"/>
    <n v="3414"/>
    <n v="36064929252.449997"/>
    <n v="35.384918902620598"/>
  </r>
  <r>
    <x v="3"/>
    <x v="243"/>
    <n v="2081"/>
    <n v="25426007923.25"/>
    <n v="10.555909930345999"/>
  </r>
  <r>
    <x v="0"/>
    <x v="244"/>
    <n v="167776"/>
    <n v="977830257289.84998"/>
    <n v="632.57356396276498"/>
  </r>
  <r>
    <x v="1"/>
    <x v="244"/>
    <n v="1195"/>
    <n v="22145863654.419998"/>
    <n v="129.783558571821"/>
  </r>
  <r>
    <x v="2"/>
    <x v="244"/>
    <n v="3450"/>
    <n v="35877576846.68"/>
    <n v="37.309648789492599"/>
  </r>
  <r>
    <x v="3"/>
    <x v="244"/>
    <n v="2099"/>
    <n v="25334386957.700001"/>
    <n v="10.5799941356647"/>
  </r>
  <r>
    <x v="0"/>
    <x v="245"/>
    <n v="167725"/>
    <n v="984220465218.06006"/>
    <n v="629.24248594360597"/>
  </r>
  <r>
    <x v="1"/>
    <x v="245"/>
    <n v="1204"/>
    <n v="22469954705.310001"/>
    <n v="131.56793367118499"/>
  </r>
  <r>
    <x v="2"/>
    <x v="245"/>
    <n v="3481"/>
    <n v="35684652551.809998"/>
    <n v="39.766729639748"/>
  </r>
  <r>
    <x v="3"/>
    <x v="245"/>
    <n v="2118"/>
    <n v="25256586100.18"/>
    <n v="10.624111533287101"/>
  </r>
  <r>
    <x v="0"/>
    <x v="246"/>
    <n v="167748"/>
    <n v="988907164368.56995"/>
    <n v="627.175782626515"/>
  </r>
  <r>
    <x v="1"/>
    <x v="246"/>
    <n v="1215"/>
    <n v="22783477587.259998"/>
    <n v="133.68748584159201"/>
  </r>
  <r>
    <x v="2"/>
    <x v="246"/>
    <n v="3515"/>
    <n v="35503193244.68"/>
    <n v="42.387614649660499"/>
  </r>
  <r>
    <x v="3"/>
    <x v="246"/>
    <n v="2137"/>
    <n v="25157857048.23"/>
    <n v="10.696809576597399"/>
  </r>
  <r>
    <x v="0"/>
    <x v="247"/>
    <n v="167726"/>
    <n v="991733333950.96997"/>
    <n v="630.09389627889698"/>
  </r>
  <r>
    <x v="1"/>
    <x v="247"/>
    <n v="1231"/>
    <n v="23102138271.23"/>
    <n v="137.72186360362301"/>
  </r>
  <r>
    <x v="2"/>
    <x v="247"/>
    <n v="3548"/>
    <n v="35322618934.839996"/>
    <n v="46.3099687411543"/>
  </r>
  <r>
    <x v="3"/>
    <x v="247"/>
    <n v="2158"/>
    <n v="25084444553.189999"/>
    <n v="10.8398240806576"/>
  </r>
  <r>
    <x v="0"/>
    <x v="248"/>
    <n v="167645"/>
    <n v="993598228853.71997"/>
    <n v="635.82888644838602"/>
  </r>
  <r>
    <x v="1"/>
    <x v="248"/>
    <n v="1242"/>
    <n v="23306814326.459999"/>
    <n v="144.751991334715"/>
  </r>
  <r>
    <x v="2"/>
    <x v="248"/>
    <n v="3575"/>
    <n v="35091353776.059998"/>
    <n v="52.373224350536901"/>
  </r>
  <r>
    <x v="3"/>
    <x v="248"/>
    <n v="2177"/>
    <n v="24979796045.34"/>
    <n v="11.2603708280772"/>
  </r>
  <r>
    <x v="0"/>
    <x v="249"/>
    <n v="167745"/>
    <n v="1002901485619.77"/>
    <n v="639.16127896912496"/>
  </r>
  <r>
    <x v="1"/>
    <x v="249"/>
    <n v="1254"/>
    <n v="23969868419.959999"/>
    <n v="148.71851520518101"/>
  </r>
  <r>
    <x v="2"/>
    <x v="249"/>
    <n v="3608"/>
    <n v="34926354082.489998"/>
    <n v="58.299268613102001"/>
  </r>
  <r>
    <x v="3"/>
    <x v="249"/>
    <n v="2196"/>
    <n v="24896056870.400002"/>
    <n v="11.679830694421801"/>
  </r>
  <r>
    <x v="0"/>
    <x v="250"/>
    <n v="167791"/>
    <n v="1003389102237.77"/>
    <n v="644.82146556106204"/>
  </r>
  <r>
    <x v="1"/>
    <x v="250"/>
    <n v="1268"/>
    <n v="24432622348.700001"/>
    <n v="151.07156068236401"/>
  </r>
  <r>
    <x v="2"/>
    <x v="250"/>
    <n v="3636"/>
    <n v="34721259988.510002"/>
    <n v="64.069724948031705"/>
  </r>
  <r>
    <x v="3"/>
    <x v="250"/>
    <n v="2218"/>
    <n v="24790138675.59"/>
    <n v="12.117531848998899"/>
  </r>
  <r>
    <x v="0"/>
    <x v="251"/>
    <n v="167754"/>
    <n v="1005967140686.14"/>
    <n v="646.55646301511797"/>
  </r>
  <r>
    <x v="1"/>
    <x v="251"/>
    <n v="1281"/>
    <n v="24516848923.099998"/>
    <n v="155.605287627796"/>
  </r>
  <r>
    <x v="2"/>
    <x v="251"/>
    <n v="3670"/>
    <n v="34432613377.599998"/>
    <n v="70.985030197913602"/>
  </r>
  <r>
    <x v="3"/>
    <x v="251"/>
    <n v="2238"/>
    <n v="24665061611.119999"/>
    <n v="12.7677499904031"/>
  </r>
  <r>
    <x v="0"/>
    <x v="252"/>
    <n v="167761"/>
    <n v="1011353959842.98"/>
    <n v="643.70062543102699"/>
  </r>
  <r>
    <x v="1"/>
    <x v="252"/>
    <n v="1295"/>
    <n v="25168406921.459999"/>
    <n v="154.632421616898"/>
  </r>
  <r>
    <x v="2"/>
    <x v="252"/>
    <n v="3696"/>
    <n v="34121910893.049999"/>
    <n v="76.706867342544797"/>
  </r>
  <r>
    <x v="3"/>
    <x v="252"/>
    <n v="2253"/>
    <n v="24529470414.07"/>
    <n v="13.260182676040101"/>
  </r>
  <r>
    <x v="0"/>
    <x v="253"/>
    <n v="167798"/>
    <n v="1019562376098.83"/>
    <n v="636.906754672788"/>
  </r>
  <r>
    <x v="1"/>
    <x v="253"/>
    <n v="1310"/>
    <n v="25818891940.32"/>
    <n v="152.261643219289"/>
  </r>
  <r>
    <x v="2"/>
    <x v="253"/>
    <n v="3719"/>
    <n v="33796473274.419998"/>
    <n v="81.263811608769004"/>
  </r>
  <r>
    <x v="3"/>
    <x v="253"/>
    <n v="2270"/>
    <n v="24378497038.580002"/>
    <n v="13.573739601372999"/>
  </r>
  <r>
    <x v="0"/>
    <x v="254"/>
    <n v="167714"/>
    <n v="1026217511319.16"/>
    <n v="629.45496636714699"/>
  </r>
  <r>
    <x v="1"/>
    <x v="254"/>
    <n v="1325"/>
    <n v="26605889107.439999"/>
    <n v="151.94373391475699"/>
  </r>
  <r>
    <x v="2"/>
    <x v="254"/>
    <n v="3743"/>
    <n v="33433534762.73"/>
    <n v="85.242041140274694"/>
  </r>
  <r>
    <x v="3"/>
    <x v="254"/>
    <n v="2283"/>
    <n v="24214652965.389999"/>
    <n v="13.8655024322856"/>
  </r>
  <r>
    <x v="0"/>
    <x v="255"/>
    <n v="167792"/>
    <n v="1030442115796.87"/>
    <n v="626.09512299882704"/>
  </r>
  <r>
    <x v="1"/>
    <x v="255"/>
    <n v="1343"/>
    <n v="27200307893.240002"/>
    <n v="150.68962704582501"/>
  </r>
  <r>
    <x v="2"/>
    <x v="255"/>
    <n v="3765"/>
    <n v="33062256579.619999"/>
    <n v="91.078579102985699"/>
  </r>
  <r>
    <x v="3"/>
    <x v="255"/>
    <n v="2300"/>
    <n v="24053767752.169998"/>
    <n v="14.454780826713799"/>
  </r>
  <r>
    <x v="0"/>
    <x v="256"/>
    <n v="167839"/>
    <n v="1038047281338.8101"/>
    <n v="621.97046728061696"/>
  </r>
  <r>
    <x v="1"/>
    <x v="256"/>
    <n v="1349"/>
    <n v="27438877892.049999"/>
    <n v="152.287315019088"/>
  </r>
  <r>
    <x v="2"/>
    <x v="256"/>
    <n v="3785"/>
    <n v="32745329977.57"/>
    <n v="97.063138516555895"/>
  </r>
  <r>
    <x v="3"/>
    <x v="256"/>
    <n v="2317"/>
    <n v="23899278644.869999"/>
    <n v="15.1323766206334"/>
  </r>
  <r>
    <x v="0"/>
    <x v="257"/>
    <n v="167892"/>
    <n v="1044720986839.0699"/>
    <n v="621.01821855342905"/>
  </r>
  <r>
    <x v="1"/>
    <x v="257"/>
    <n v="1359"/>
    <n v="27643915578"/>
    <n v="155.54576018808501"/>
  </r>
  <r>
    <x v="2"/>
    <x v="257"/>
    <n v="3805"/>
    <n v="32422189268.450001"/>
    <n v="104.305441499149"/>
  </r>
  <r>
    <x v="3"/>
    <x v="257"/>
    <n v="2330"/>
    <n v="23731834948.119999"/>
    <n v="16.093079597532299"/>
  </r>
  <r>
    <x v="0"/>
    <x v="258"/>
    <n v="167821"/>
    <n v="1048282599235.3199"/>
    <n v="618.69121121969295"/>
  </r>
  <r>
    <x v="1"/>
    <x v="258"/>
    <n v="1370"/>
    <n v="27590487841.060001"/>
    <n v="157.69179735467799"/>
  </r>
  <r>
    <x v="2"/>
    <x v="258"/>
    <n v="3826"/>
    <n v="32128512653.16"/>
    <n v="109.791985074568"/>
  </r>
  <r>
    <x v="3"/>
    <x v="258"/>
    <n v="2346"/>
    <n v="23575272898.580002"/>
    <n v="16.701669564007201"/>
  </r>
  <r>
    <x v="0"/>
    <x v="259"/>
    <n v="167786"/>
    <n v="1053135408462.49"/>
    <n v="617.13466274150096"/>
  </r>
  <r>
    <x v="1"/>
    <x v="259"/>
    <n v="1381"/>
    <n v="27568864683.950001"/>
    <n v="159.777193632668"/>
  </r>
  <r>
    <x v="2"/>
    <x v="259"/>
    <n v="3844"/>
    <n v="31855645561.09"/>
    <n v="115.35749610512001"/>
  </r>
  <r>
    <x v="3"/>
    <x v="259"/>
    <n v="2356"/>
    <n v="23422747348.59"/>
    <n v="17.379268024116602"/>
  </r>
  <r>
    <x v="0"/>
    <x v="260"/>
    <n v="167674"/>
    <n v="1056501759559.97"/>
    <n v="616.50526343668798"/>
  </r>
  <r>
    <x v="1"/>
    <x v="260"/>
    <n v="1390"/>
    <n v="27574289474.23"/>
    <n v="162.802181493804"/>
  </r>
  <r>
    <x v="2"/>
    <x v="260"/>
    <n v="3860"/>
    <n v="31546738579.189999"/>
    <n v="121.67850664517201"/>
  </r>
  <r>
    <x v="3"/>
    <x v="260"/>
    <n v="2368"/>
    <n v="23264052426.27"/>
    <n v="18.2989514635855"/>
  </r>
  <r>
    <x v="0"/>
    <x v="261"/>
    <n v="167654"/>
    <n v="1061253383982.33"/>
    <n v="621.40523994562602"/>
  </r>
  <r>
    <x v="1"/>
    <x v="261"/>
    <n v="1399"/>
    <n v="27584171144.939999"/>
    <n v="170.97580416589699"/>
  </r>
  <r>
    <x v="2"/>
    <x v="261"/>
    <n v="3880"/>
    <n v="31316354843.400002"/>
    <n v="131.22804906668199"/>
  </r>
  <r>
    <x v="3"/>
    <x v="261"/>
    <n v="2380"/>
    <n v="23130415817.330002"/>
    <n v="20.0940807698451"/>
  </r>
  <r>
    <x v="0"/>
    <x v="262"/>
    <n v="167751"/>
    <n v="1067579655967.17"/>
    <n v="625.99994313622506"/>
  </r>
  <r>
    <x v="1"/>
    <x v="262"/>
    <n v="1410"/>
    <n v="27476452096.830002"/>
    <n v="180.341965911524"/>
  </r>
  <r>
    <x v="2"/>
    <x v="262"/>
    <n v="3899"/>
    <n v="31082070181.849998"/>
    <n v="142.430999768324"/>
  </r>
  <r>
    <x v="3"/>
    <x v="262"/>
    <n v="2389"/>
    <n v="22980966819.959999"/>
    <n v="22.675560615785098"/>
  </r>
  <r>
    <x v="0"/>
    <x v="263"/>
    <n v="167864"/>
    <n v="1070487060722.62"/>
    <n v="631.38287267109195"/>
  </r>
  <r>
    <x v="1"/>
    <x v="263"/>
    <n v="1421"/>
    <n v="27342767829.869999"/>
    <n v="188.53412431708799"/>
  </r>
  <r>
    <x v="2"/>
    <x v="263"/>
    <n v="3913"/>
    <n v="30768767902.790001"/>
    <n v="154.51196260111499"/>
  </r>
  <r>
    <x v="3"/>
    <x v="263"/>
    <n v="2400"/>
    <n v="22785497201.860001"/>
    <n v="25.6083416930366"/>
  </r>
  <r>
    <x v="0"/>
    <x v="264"/>
    <n v="167910"/>
    <n v="1077001935757.76"/>
    <n v="634.56144491735404"/>
  </r>
  <r>
    <x v="1"/>
    <x v="264"/>
    <n v="1438"/>
    <n v="27468235077.57"/>
    <n v="195.25487357757001"/>
  </r>
  <r>
    <x v="2"/>
    <x v="264"/>
    <n v="3929"/>
    <n v="30396299066.889999"/>
    <n v="166.98620583652601"/>
  </r>
  <r>
    <x v="3"/>
    <x v="264"/>
    <n v="2409"/>
    <n v="22590823732.130001"/>
    <n v="28.836288966898401"/>
  </r>
  <r>
    <x v="0"/>
    <x v="265"/>
    <n v="167921"/>
    <n v="1083261344979.64"/>
    <n v="637.89670513216197"/>
  </r>
  <r>
    <x v="1"/>
    <x v="265"/>
    <n v="1451"/>
    <n v="27606640319.299999"/>
    <n v="202.2757448838"/>
  </r>
  <r>
    <x v="2"/>
    <x v="265"/>
    <n v="3942"/>
    <n v="30003341063.389999"/>
    <n v="180.04480411282799"/>
  </r>
  <r>
    <x v="3"/>
    <x v="265"/>
    <n v="2418"/>
    <n v="22369714888.02"/>
    <n v="32.330064293103398"/>
  </r>
  <r>
    <x v="3"/>
    <x v="266"/>
    <n v="2424"/>
    <n v="22125367840.490002"/>
    <n v="36.802092913701301"/>
  </r>
  <r>
    <x v="2"/>
    <x v="266"/>
    <n v="3956"/>
    <n v="29549554388.610001"/>
    <n v="195.54587642704499"/>
  </r>
  <r>
    <x v="1"/>
    <x v="266"/>
    <n v="1457"/>
    <n v="27900162682.830002"/>
    <n v="210.75604837897899"/>
  </r>
  <r>
    <x v="0"/>
    <x v="266"/>
    <n v="168004"/>
    <n v="1092091052362.51"/>
    <n v="642.05309637272796"/>
  </r>
  <r>
    <x v="1"/>
    <x v="267"/>
    <n v="1466"/>
    <n v="27971451412.84"/>
    <n v="220.39773741091199"/>
  </r>
  <r>
    <x v="2"/>
    <x v="267"/>
    <n v="3969"/>
    <n v="29142169991.91"/>
    <n v="211.01631225808299"/>
  </r>
  <r>
    <x v="3"/>
    <x v="267"/>
    <n v="2433"/>
    <n v="21895878252.380001"/>
    <n v="41.232372315263497"/>
  </r>
  <r>
    <x v="0"/>
    <x v="267"/>
    <n v="168203"/>
    <n v="1104025679684.96"/>
    <n v="645.20654956741203"/>
  </r>
  <r>
    <x v="3"/>
    <x v="268"/>
    <n v="2450"/>
    <n v="21624654083.630001"/>
    <n v="45.276899326074798"/>
  </r>
  <r>
    <x v="0"/>
    <x v="268"/>
    <n v="168323"/>
    <n v="1112361826284.4299"/>
    <n v="646.56014305045198"/>
  </r>
  <r>
    <x v="1"/>
    <x v="268"/>
    <n v="1480"/>
    <n v="28869997063.16"/>
    <n v="220.16499832014901"/>
  </r>
  <r>
    <x v="2"/>
    <x v="268"/>
    <n v="4021"/>
    <n v="28689194494.099998"/>
    <n v="226.25322462991701"/>
  </r>
  <r>
    <x v="2"/>
    <x v="269"/>
    <n v="4029"/>
    <n v="28226609271.43"/>
    <n v="240.69797180399499"/>
  </r>
  <r>
    <x v="0"/>
    <x v="269"/>
    <n v="168424"/>
    <n v="1116503077854.0601"/>
    <n v="650.15620133660104"/>
  </r>
  <r>
    <x v="1"/>
    <x v="269"/>
    <n v="1500"/>
    <n v="29395439831.380001"/>
    <n v="222.12154641094401"/>
  </r>
  <r>
    <x v="3"/>
    <x v="269"/>
    <n v="2456"/>
    <n v="21369812649.189999"/>
    <n v="49.391057534399202"/>
  </r>
  <r>
    <x v="4"/>
    <x v="270"/>
    <m/>
    <m/>
    <m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count="515">
  <r>
    <x v="0"/>
    <x v="0"/>
    <n v="126636"/>
    <n v="278490248452.07001"/>
    <n v="251.95761077007899"/>
  </r>
  <r>
    <x v="0"/>
    <x v="1"/>
    <n v="128266"/>
    <n v="282050828421.97998"/>
    <n v="249.509102676921"/>
  </r>
  <r>
    <x v="0"/>
    <x v="2"/>
    <n v="129601"/>
    <n v="283874201256.09003"/>
    <n v="245.31635729751301"/>
  </r>
  <r>
    <x v="0"/>
    <x v="3"/>
    <n v="130768"/>
    <n v="284752896061.91998"/>
    <n v="236.85925271316401"/>
  </r>
  <r>
    <x v="0"/>
    <x v="4"/>
    <n v="131996"/>
    <n v="287122056681.57001"/>
    <n v="229.56331144655701"/>
  </r>
  <r>
    <x v="0"/>
    <x v="5"/>
    <n v="133140"/>
    <n v="288919754101.73999"/>
    <n v="224.50622372526701"/>
  </r>
  <r>
    <x v="0"/>
    <x v="6"/>
    <n v="134153"/>
    <n v="290640645437.90997"/>
    <n v="220.363399617065"/>
  </r>
  <r>
    <x v="0"/>
    <x v="7"/>
    <n v="135077"/>
    <n v="292026246657.69"/>
    <n v="217.90411938931101"/>
  </r>
  <r>
    <x v="0"/>
    <x v="8"/>
    <n v="135888"/>
    <n v="293395992453.21002"/>
    <n v="214.886405653319"/>
  </r>
  <r>
    <x v="0"/>
    <x v="9"/>
    <n v="136567"/>
    <n v="294791998506.56"/>
    <n v="211.85040152588201"/>
  </r>
  <r>
    <x v="0"/>
    <x v="10"/>
    <n v="137384"/>
    <n v="297022730158.53998"/>
    <n v="208.490053063397"/>
  </r>
  <r>
    <x v="0"/>
    <x v="11"/>
    <n v="138175"/>
    <n v="299534791311.60999"/>
    <n v="205.19476429095801"/>
  </r>
  <r>
    <x v="0"/>
    <x v="12"/>
    <n v="138749"/>
    <n v="300578062603.90997"/>
    <n v="203.20549844029699"/>
  </r>
  <r>
    <x v="0"/>
    <x v="13"/>
    <n v="139252"/>
    <n v="301515518476.67999"/>
    <n v="202.29015060298499"/>
  </r>
  <r>
    <x v="0"/>
    <x v="14"/>
    <n v="139640"/>
    <n v="302130802958.65002"/>
    <n v="202.84204716388001"/>
  </r>
  <r>
    <x v="0"/>
    <x v="15"/>
    <n v="140171"/>
    <n v="303193167019.19"/>
    <n v="203.253163573546"/>
  </r>
  <r>
    <x v="0"/>
    <x v="16"/>
    <n v="140845"/>
    <n v="305276200958.66998"/>
    <n v="204.959025352982"/>
  </r>
  <r>
    <x v="0"/>
    <x v="17"/>
    <n v="141735"/>
    <n v="308579513635.09003"/>
    <n v="207.851274558559"/>
  </r>
  <r>
    <x v="0"/>
    <x v="18"/>
    <n v="142847"/>
    <n v="313306085244.25"/>
    <n v="209.28348900722699"/>
  </r>
  <r>
    <x v="0"/>
    <x v="19"/>
    <n v="143912"/>
    <n v="317855864434.04999"/>
    <n v="208.62809579326299"/>
  </r>
  <r>
    <x v="0"/>
    <x v="20"/>
    <n v="144902"/>
    <n v="321938074374.90002"/>
    <n v="209.112025285264"/>
  </r>
  <r>
    <x v="0"/>
    <x v="21"/>
    <n v="145867"/>
    <n v="326586660235.34998"/>
    <n v="210.457757831126"/>
  </r>
  <r>
    <x v="0"/>
    <x v="22"/>
    <n v="146882"/>
    <n v="331964887053.32001"/>
    <n v="212.00675377462301"/>
  </r>
  <r>
    <x v="0"/>
    <x v="23"/>
    <n v="147919"/>
    <n v="337304062600.06"/>
    <n v="215.37685650202801"/>
  </r>
  <r>
    <x v="0"/>
    <x v="24"/>
    <n v="148833"/>
    <n v="341672418203.37"/>
    <n v="220.478512748345"/>
  </r>
  <r>
    <x v="0"/>
    <x v="25"/>
    <n v="149785"/>
    <n v="346545445220.38"/>
    <n v="223.90892319536499"/>
  </r>
  <r>
    <x v="0"/>
    <x v="26"/>
    <n v="150727"/>
    <n v="350465555808.21997"/>
    <n v="222.51908250047401"/>
  </r>
  <r>
    <x v="0"/>
    <x v="27"/>
    <n v="151726"/>
    <n v="354683248452.60999"/>
    <n v="218.741092062409"/>
  </r>
  <r>
    <x v="0"/>
    <x v="28"/>
    <n v="152681"/>
    <n v="359153508694.62"/>
    <n v="214.15175806674699"/>
  </r>
  <r>
    <x v="0"/>
    <x v="29"/>
    <n v="153592"/>
    <n v="364145909105.21997"/>
    <n v="209.08373135229999"/>
  </r>
  <r>
    <x v="0"/>
    <x v="30"/>
    <n v="154353"/>
    <n v="367843583423.22998"/>
    <n v="206.05656311740699"/>
  </r>
  <r>
    <x v="0"/>
    <x v="31"/>
    <n v="155081"/>
    <n v="370513413856.09998"/>
    <n v="204.64104043248901"/>
  </r>
  <r>
    <x v="0"/>
    <x v="32"/>
    <n v="155900"/>
    <n v="375154945459.59998"/>
    <n v="201.52113490842601"/>
  </r>
  <r>
    <x v="0"/>
    <x v="33"/>
    <n v="156553"/>
    <n v="378164550622.22998"/>
    <n v="200.91033195060299"/>
  </r>
  <r>
    <x v="0"/>
    <x v="34"/>
    <n v="157183"/>
    <n v="380573155397.19"/>
    <n v="202.163362873159"/>
  </r>
  <r>
    <x v="0"/>
    <x v="35"/>
    <n v="157961"/>
    <n v="383579286284.32001"/>
    <n v="203.16045781953699"/>
  </r>
  <r>
    <x v="0"/>
    <x v="36"/>
    <n v="158587"/>
    <n v="385622880966.02002"/>
    <n v="202.71587291916501"/>
  </r>
  <r>
    <x v="0"/>
    <x v="37"/>
    <n v="159328"/>
    <n v="388944585913.88"/>
    <n v="202.99672528437901"/>
  </r>
  <r>
    <x v="0"/>
    <x v="38"/>
    <n v="160031"/>
    <n v="391996345649.14001"/>
    <n v="202.179569573463"/>
  </r>
  <r>
    <x v="0"/>
    <x v="39"/>
    <n v="160667"/>
    <n v="394401986179.65997"/>
    <n v="200.35043825404901"/>
  </r>
  <r>
    <x v="0"/>
    <x v="40"/>
    <n v="161332"/>
    <n v="397650299517.78003"/>
    <n v="198.68669927979701"/>
  </r>
  <r>
    <x v="0"/>
    <x v="41"/>
    <n v="161858"/>
    <n v="399661358461.85999"/>
    <n v="199.109252509143"/>
  </r>
  <r>
    <x v="0"/>
    <x v="42"/>
    <n v="162531"/>
    <n v="402473247826.06"/>
    <n v="200.42508822329501"/>
  </r>
  <r>
    <x v="0"/>
    <x v="43"/>
    <n v="163328"/>
    <n v="407135000510.78003"/>
    <n v="200.38467452853101"/>
  </r>
  <r>
    <x v="0"/>
    <x v="44"/>
    <n v="164171"/>
    <n v="410957899203.09998"/>
    <n v="201.359016907647"/>
  </r>
  <r>
    <x v="0"/>
    <x v="45"/>
    <n v="164998"/>
    <n v="415578143387.42999"/>
    <n v="202.58725287252"/>
  </r>
  <r>
    <x v="0"/>
    <x v="46"/>
    <n v="165889"/>
    <n v="420442181020.82001"/>
    <n v="204.24042270098099"/>
  </r>
  <r>
    <x v="0"/>
    <x v="47"/>
    <n v="166964"/>
    <n v="425507008058.42999"/>
    <n v="206.677386229017"/>
  </r>
  <r>
    <x v="0"/>
    <x v="48"/>
    <n v="167888"/>
    <n v="430133364045.90002"/>
    <n v="210.98901034040799"/>
  </r>
  <r>
    <x v="0"/>
    <x v="49"/>
    <n v="169006"/>
    <n v="436014643807.73999"/>
    <n v="214.89746465490799"/>
  </r>
  <r>
    <x v="0"/>
    <x v="50"/>
    <n v="170201"/>
    <n v="440572182741.69"/>
    <n v="215.69953405333499"/>
  </r>
  <r>
    <x v="0"/>
    <x v="51"/>
    <n v="171456"/>
    <n v="447378001346.06"/>
    <n v="212.55112382243101"/>
  </r>
  <r>
    <x v="0"/>
    <x v="52"/>
    <n v="172582"/>
    <n v="454600787180.84998"/>
    <n v="210.21750287960199"/>
  </r>
  <r>
    <x v="0"/>
    <x v="53"/>
    <n v="173773"/>
    <n v="463337515393.27002"/>
    <n v="209.55847735609399"/>
  </r>
  <r>
    <x v="0"/>
    <x v="54"/>
    <n v="174901"/>
    <n v="473963930458.06"/>
    <n v="208.04119536641201"/>
  </r>
  <r>
    <x v="0"/>
    <x v="55"/>
    <n v="175971"/>
    <n v="482637195788"/>
    <n v="207.67491938831299"/>
  </r>
  <r>
    <x v="0"/>
    <x v="56"/>
    <n v="177221"/>
    <n v="492759677673.42999"/>
    <n v="209.86962582924599"/>
  </r>
  <r>
    <x v="0"/>
    <x v="57"/>
    <n v="178640"/>
    <n v="502211629634.06"/>
    <n v="212.31037838721599"/>
  </r>
  <r>
    <x v="0"/>
    <x v="58"/>
    <n v="179937"/>
    <n v="508860817728.65997"/>
    <n v="212.02597282276801"/>
  </r>
  <r>
    <x v="0"/>
    <x v="59"/>
    <n v="181535"/>
    <n v="519181595242.40002"/>
    <n v="210.13243660683099"/>
  </r>
  <r>
    <x v="0"/>
    <x v="60"/>
    <n v="183021"/>
    <n v="529266546073.46997"/>
    <n v="206.22704316802401"/>
  </r>
  <r>
    <x v="0"/>
    <x v="61"/>
    <n v="184355"/>
    <n v="540755542094.21002"/>
    <n v="203.81564753125599"/>
  </r>
  <r>
    <x v="0"/>
    <x v="62"/>
    <n v="185605"/>
    <n v="549750472653.34998"/>
    <n v="199.82104434350001"/>
  </r>
  <r>
    <x v="0"/>
    <x v="63"/>
    <n v="186717"/>
    <n v="556506175459.81006"/>
    <n v="196.97111070713899"/>
  </r>
  <r>
    <x v="0"/>
    <x v="64"/>
    <n v="187662"/>
    <n v="563458838273"/>
    <n v="192.97499020591599"/>
  </r>
  <r>
    <x v="0"/>
    <x v="65"/>
    <n v="188811"/>
    <n v="572204607933.89001"/>
    <n v="186.77191819223"/>
  </r>
  <r>
    <x v="0"/>
    <x v="66"/>
    <n v="189841"/>
    <n v="579291469300.42004"/>
    <n v="180.82742664432101"/>
  </r>
  <r>
    <x v="0"/>
    <x v="67"/>
    <n v="190764"/>
    <n v="587347551657.76001"/>
    <n v="175.01946278841999"/>
  </r>
  <r>
    <x v="0"/>
    <x v="68"/>
    <n v="191769"/>
    <n v="595358056585.48999"/>
    <n v="170.273596503704"/>
  </r>
  <r>
    <x v="0"/>
    <x v="69"/>
    <n v="192676"/>
    <n v="603335784202.89001"/>
    <n v="166.26135431069099"/>
  </r>
  <r>
    <x v="0"/>
    <x v="70"/>
    <n v="193594"/>
    <n v="608661813729.64001"/>
    <n v="163.857058038247"/>
  </r>
  <r>
    <x v="0"/>
    <x v="71"/>
    <n v="194574"/>
    <n v="614730545023.56995"/>
    <n v="160.98362646557001"/>
  </r>
  <r>
    <x v="0"/>
    <x v="72"/>
    <n v="195521"/>
    <n v="620175920606.63"/>
    <n v="157.82695965541299"/>
  </r>
  <r>
    <x v="0"/>
    <x v="73"/>
    <n v="196302"/>
    <n v="625373224000.52002"/>
    <n v="155.27566958668001"/>
  </r>
  <r>
    <x v="0"/>
    <x v="74"/>
    <n v="197211"/>
    <n v="628789317108.88"/>
    <n v="153.267425773897"/>
  </r>
  <r>
    <x v="0"/>
    <x v="75"/>
    <n v="198200"/>
    <n v="633466085432.80005"/>
    <n v="150.94698998536299"/>
  </r>
  <r>
    <x v="0"/>
    <x v="76"/>
    <n v="199277"/>
    <n v="638637756539.06006"/>
    <n v="148.291895064958"/>
  </r>
  <r>
    <x v="0"/>
    <x v="77"/>
    <n v="200318"/>
    <n v="644319934151.05005"/>
    <n v="145.62424974487701"/>
  </r>
  <r>
    <x v="0"/>
    <x v="78"/>
    <n v="201523"/>
    <n v="650241592057.52002"/>
    <n v="143.23685147081201"/>
  </r>
  <r>
    <x v="0"/>
    <x v="79"/>
    <n v="202877"/>
    <n v="659140528287.64001"/>
    <n v="140.75831505642799"/>
  </r>
  <r>
    <x v="0"/>
    <x v="80"/>
    <n v="204126"/>
    <n v="667771708329.09998"/>
    <n v="138.55325463341501"/>
  </r>
  <r>
    <x v="0"/>
    <x v="81"/>
    <n v="205336"/>
    <n v="678145982258.65002"/>
    <n v="136.62964607290701"/>
  </r>
  <r>
    <x v="0"/>
    <x v="82"/>
    <n v="206553"/>
    <n v="688667464062.68005"/>
    <n v="135.06078512406401"/>
  </r>
  <r>
    <x v="0"/>
    <x v="83"/>
    <n v="207893"/>
    <n v="700106336980.84998"/>
    <n v="136.03034953603299"/>
  </r>
  <r>
    <x v="0"/>
    <x v="84"/>
    <n v="209121"/>
    <n v="711936410692.26001"/>
    <n v="139.83109273771501"/>
  </r>
  <r>
    <x v="0"/>
    <x v="85"/>
    <n v="210670"/>
    <n v="724159427993.80005"/>
    <n v="142.83335941873"/>
  </r>
  <r>
    <x v="0"/>
    <x v="86"/>
    <n v="212403"/>
    <n v="737131621054.80005"/>
    <n v="146.045871189472"/>
  </r>
  <r>
    <x v="0"/>
    <x v="87"/>
    <n v="214231"/>
    <n v="752556214855.22998"/>
    <n v="145.937053079186"/>
  </r>
  <r>
    <x v="0"/>
    <x v="88"/>
    <n v="216060"/>
    <n v="768634381863"/>
    <n v="144.26662288292599"/>
  </r>
  <r>
    <x v="0"/>
    <x v="89"/>
    <n v="217775"/>
    <n v="783899597190.81006"/>
    <n v="142.05360713298799"/>
  </r>
  <r>
    <x v="0"/>
    <x v="90"/>
    <n v="219337"/>
    <n v="800219895172"/>
    <n v="140.232093448922"/>
  </r>
  <r>
    <x v="0"/>
    <x v="91"/>
    <n v="220863"/>
    <n v="816276961683.10999"/>
    <n v="140.24036019785899"/>
  </r>
  <r>
    <x v="0"/>
    <x v="92"/>
    <n v="222193"/>
    <n v="829340407712.87"/>
    <n v="141.81890313328799"/>
  </r>
  <r>
    <x v="0"/>
    <x v="93"/>
    <n v="223572"/>
    <n v="841081375122.14001"/>
    <n v="146.848080372971"/>
  </r>
  <r>
    <x v="0"/>
    <x v="94"/>
    <n v="225055"/>
    <n v="853354387292.38"/>
    <n v="149.017796506677"/>
  </r>
  <r>
    <x v="0"/>
    <x v="95"/>
    <n v="226605"/>
    <n v="865009341307.27002"/>
    <n v="145.12474378919401"/>
  </r>
  <r>
    <x v="0"/>
    <x v="96"/>
    <n v="227719"/>
    <n v="868002653952.68994"/>
    <n v="141.90889159455401"/>
  </r>
  <r>
    <x v="0"/>
    <x v="97"/>
    <n v="228962"/>
    <n v="879696484692.43994"/>
    <n v="140.14657300898401"/>
  </r>
  <r>
    <x v="0"/>
    <x v="98"/>
    <n v="229290"/>
    <n v="891137066963.31006"/>
    <n v="136.75615503864501"/>
  </r>
  <r>
    <x v="0"/>
    <x v="99"/>
    <n v="230242"/>
    <n v="898079497234.46997"/>
    <n v="134.80326142120799"/>
  </r>
  <r>
    <x v="0"/>
    <x v="100"/>
    <n v="231200"/>
    <n v="906196770233.09998"/>
    <n v="135.002673577813"/>
  </r>
  <r>
    <x v="0"/>
    <x v="101"/>
    <n v="232155"/>
    <n v="915306614991.16003"/>
    <n v="137.77782590984501"/>
  </r>
  <r>
    <x v="0"/>
    <x v="102"/>
    <n v="232988"/>
    <n v="924210879564.21997"/>
    <n v="143.30912336620301"/>
  </r>
  <r>
    <x v="0"/>
    <x v="103"/>
    <n v="234029"/>
    <n v="933451662668.81006"/>
    <n v="150.174269352192"/>
  </r>
  <r>
    <x v="0"/>
    <x v="104"/>
    <n v="235250"/>
    <n v="939163115315.12"/>
    <n v="158.93005492251999"/>
  </r>
  <r>
    <x v="0"/>
    <x v="105"/>
    <n v="236280"/>
    <n v="950835871010.5"/>
    <n v="164.52003154031499"/>
  </r>
  <r>
    <x v="0"/>
    <x v="106"/>
    <n v="237080"/>
    <n v="948704633830.25"/>
    <n v="169.90154644672799"/>
  </r>
  <r>
    <x v="0"/>
    <x v="107"/>
    <n v="238095"/>
    <n v="952529753121.88"/>
    <n v="173.979671558993"/>
  </r>
  <r>
    <x v="0"/>
    <x v="108"/>
    <n v="238988"/>
    <n v="962426850688.71997"/>
    <n v="177.11254516995899"/>
  </r>
  <r>
    <x v="0"/>
    <x v="109"/>
    <n v="239791"/>
    <n v="971889246408.43994"/>
    <n v="181.25835629660301"/>
  </r>
  <r>
    <x v="0"/>
    <x v="110"/>
    <n v="240505"/>
    <n v="981397635555.85999"/>
    <n v="186.419452787984"/>
  </r>
  <r>
    <x v="0"/>
    <x v="111"/>
    <n v="241199"/>
    <n v="998455877100.01001"/>
    <n v="185.84350636481099"/>
  </r>
  <r>
    <x v="0"/>
    <x v="112"/>
    <n v="241528"/>
    <n v="1000338175794.87"/>
    <n v="191.10520837080199"/>
  </r>
  <r>
    <x v="0"/>
    <x v="113"/>
    <n v="242127"/>
    <n v="1015393774840.89"/>
    <n v="198.04683758893299"/>
  </r>
  <r>
    <x v="0"/>
    <x v="114"/>
    <n v="242806"/>
    <n v="1022403673721.74"/>
    <n v="195.52645344433699"/>
  </r>
  <r>
    <x v="0"/>
    <x v="115"/>
    <n v="243055"/>
    <n v="1011345079983.45"/>
    <n v="185.56564703978199"/>
  </r>
  <r>
    <x v="0"/>
    <x v="116"/>
    <n v="243087"/>
    <n v="1018746952300.48"/>
    <n v="174.907466704911"/>
  </r>
  <r>
    <x v="0"/>
    <x v="117"/>
    <n v="242823"/>
    <n v="1022881900552.3199"/>
    <n v="169.30318200225099"/>
  </r>
  <r>
    <x v="0"/>
    <x v="118"/>
    <n v="242568"/>
    <n v="1029221486063.8"/>
    <n v="166.126635143496"/>
  </r>
  <r>
    <x v="0"/>
    <x v="119"/>
    <n v="242944"/>
    <n v="1041578015793.9"/>
    <n v="164.935146615577"/>
  </r>
  <r>
    <x v="0"/>
    <x v="120"/>
    <n v="242958"/>
    <n v="1046154494968.26"/>
    <n v="166.862426048575"/>
  </r>
  <r>
    <x v="0"/>
    <x v="121"/>
    <n v="243244"/>
    <n v="1054228745365.45"/>
    <n v="170.72181201925301"/>
  </r>
  <r>
    <x v="0"/>
    <x v="122"/>
    <n v="243458"/>
    <n v="1054419241918.8"/>
    <n v="177.105260065918"/>
  </r>
  <r>
    <x v="0"/>
    <x v="123"/>
    <n v="243458"/>
    <n v="1053489210318.27"/>
    <n v="174.95025471998801"/>
  </r>
  <r>
    <x v="0"/>
    <x v="124"/>
    <n v="243206"/>
    <n v="1042475819587.54"/>
    <n v="171.008757850851"/>
  </r>
  <r>
    <x v="0"/>
    <x v="125"/>
    <n v="243206"/>
    <n v="1043034371136.61"/>
    <n v="166.57042387843299"/>
  </r>
  <r>
    <x v="0"/>
    <x v="126"/>
    <n v="243079"/>
    <n v="1042526892174.13"/>
    <n v="164.94862082127599"/>
  </r>
  <r>
    <x v="0"/>
    <x v="127"/>
    <n v="243049"/>
    <n v="1043715265049.05"/>
    <n v="165.729808307372"/>
  </r>
  <r>
    <x v="0"/>
    <x v="128"/>
    <n v="243211"/>
    <n v="1047052334367.59"/>
    <n v="167.14026609298099"/>
  </r>
  <r>
    <x v="0"/>
    <x v="129"/>
    <n v="243358"/>
    <n v="1046559366288.4301"/>
    <n v="170.065930456991"/>
  </r>
  <r>
    <x v="0"/>
    <x v="130"/>
    <n v="243520"/>
    <n v="1046116620723.4399"/>
    <n v="172.797941720257"/>
  </r>
  <r>
    <x v="0"/>
    <x v="131"/>
    <n v="243723"/>
    <n v="1045661950289.12"/>
    <n v="174.89067266672399"/>
  </r>
  <r>
    <x v="0"/>
    <x v="132"/>
    <n v="243770"/>
    <n v="1045305106228.61"/>
    <n v="177.05301812588101"/>
  </r>
  <r>
    <x v="0"/>
    <x v="133"/>
    <n v="243919"/>
    <n v="1047019150198.85"/>
    <n v="180.950325812335"/>
  </r>
  <r>
    <x v="0"/>
    <x v="134"/>
    <n v="244114"/>
    <n v="1048394573900.75"/>
    <n v="181.334323054441"/>
  </r>
  <r>
    <x v="0"/>
    <x v="135"/>
    <n v="244026"/>
    <n v="1046716620858.74"/>
    <n v="181.62137955548499"/>
  </r>
  <r>
    <x v="0"/>
    <x v="136"/>
    <n v="244112"/>
    <n v="1051148406451.9301"/>
    <n v="183.444010161812"/>
  </r>
  <r>
    <x v="0"/>
    <x v="137"/>
    <n v="244290"/>
    <n v="1055396152979.1"/>
    <n v="187.15915295864801"/>
  </r>
  <r>
    <x v="0"/>
    <x v="138"/>
    <n v="244376"/>
    <n v="1062568967389.26"/>
    <n v="188.206678367427"/>
  </r>
  <r>
    <x v="0"/>
    <x v="139"/>
    <n v="244769"/>
    <n v="1071676798504.13"/>
    <n v="187.45413932829501"/>
  </r>
  <r>
    <x v="0"/>
    <x v="140"/>
    <n v="245103"/>
    <n v="1083168990542.87"/>
    <n v="185.46799860751401"/>
  </r>
  <r>
    <x v="0"/>
    <x v="141"/>
    <n v="245417"/>
    <n v="1092258150495.95"/>
    <n v="182.263861728504"/>
  </r>
  <r>
    <x v="0"/>
    <x v="142"/>
    <n v="245734"/>
    <n v="1101714404588.9399"/>
    <n v="177.994171693217"/>
  </r>
  <r>
    <x v="0"/>
    <x v="143"/>
    <n v="246265"/>
    <n v="1111269349920.8401"/>
    <n v="174.54699654532001"/>
  </r>
  <r>
    <x v="0"/>
    <x v="144"/>
    <n v="246636"/>
    <n v="1122419326727.3401"/>
    <n v="171.899269404645"/>
  </r>
  <r>
    <x v="0"/>
    <x v="145"/>
    <n v="247214"/>
    <n v="1132529092295.1799"/>
    <n v="169.75807335717201"/>
  </r>
  <r>
    <x v="0"/>
    <x v="146"/>
    <n v="247639"/>
    <n v="1142036164423.6499"/>
    <n v="167.378208041894"/>
  </r>
  <r>
    <x v="0"/>
    <x v="147"/>
    <n v="248030"/>
    <n v="1155261788794.02"/>
    <n v="163.45747552668701"/>
  </r>
  <r>
    <x v="0"/>
    <x v="148"/>
    <n v="248548"/>
    <n v="1168142806797.22"/>
    <n v="160.03250578758301"/>
  </r>
  <r>
    <x v="0"/>
    <x v="149"/>
    <n v="248874"/>
    <n v="1181825510252.74"/>
    <n v="156.18422837145499"/>
  </r>
  <r>
    <x v="0"/>
    <x v="150"/>
    <n v="249248"/>
    <n v="1192430186515.3201"/>
    <n v="152.843281981096"/>
  </r>
  <r>
    <x v="0"/>
    <x v="151"/>
    <n v="249885"/>
    <n v="1206782284664.1699"/>
    <n v="150.199939896443"/>
  </r>
  <r>
    <x v="0"/>
    <x v="152"/>
    <n v="250428"/>
    <n v="1220415637263.49"/>
    <n v="147.992617378792"/>
  </r>
  <r>
    <x v="0"/>
    <x v="153"/>
    <n v="250977"/>
    <n v="1240435866291.8799"/>
    <n v="145.65623106310099"/>
  </r>
  <r>
    <x v="0"/>
    <x v="154"/>
    <n v="251536"/>
    <n v="1253159977244.54"/>
    <n v="144.65159858000899"/>
  </r>
  <r>
    <x v="0"/>
    <x v="155"/>
    <n v="252197"/>
    <n v="1267753834052.5601"/>
    <n v="144.460608852771"/>
  </r>
  <r>
    <x v="0"/>
    <x v="156"/>
    <n v="252755"/>
    <n v="1281899182108.53"/>
    <n v="143.55416986134199"/>
  </r>
  <r>
    <x v="0"/>
    <x v="157"/>
    <n v="253418"/>
    <n v="1297151286163.0601"/>
    <n v="142.64903215811401"/>
  </r>
  <r>
    <x v="0"/>
    <x v="158"/>
    <n v="254121"/>
    <n v="1313547803162.76"/>
    <n v="142.41374196958199"/>
  </r>
  <r>
    <x v="0"/>
    <x v="159"/>
    <n v="254866"/>
    <n v="1329046516438.8999"/>
    <n v="141.74505002812299"/>
  </r>
  <r>
    <x v="0"/>
    <x v="160"/>
    <n v="255714"/>
    <n v="1351361414625.3799"/>
    <n v="139.89038619993801"/>
  </r>
  <r>
    <x v="0"/>
    <x v="161"/>
    <n v="256516"/>
    <n v="1373358197427.46"/>
    <n v="136.39465937809101"/>
  </r>
  <r>
    <x v="0"/>
    <x v="162"/>
    <n v="257355"/>
    <n v="1398518091938.25"/>
    <n v="132.78294770510399"/>
  </r>
  <r>
    <x v="0"/>
    <x v="163"/>
    <n v="258242"/>
    <n v="1423075259258.24"/>
    <n v="129.738206320953"/>
  </r>
  <r>
    <x v="0"/>
    <x v="164"/>
    <n v="259130"/>
    <n v="1448620805507.53"/>
    <n v="127.546803297056"/>
  </r>
  <r>
    <x v="0"/>
    <x v="165"/>
    <n v="259997"/>
    <n v="1473008966168.4399"/>
    <n v="125.978304712807"/>
  </r>
  <r>
    <x v="0"/>
    <x v="166"/>
    <n v="260697"/>
    <n v="1503089126091.8101"/>
    <n v="124.78164107480499"/>
  </r>
  <r>
    <x v="0"/>
    <x v="167"/>
    <n v="261695"/>
    <n v="1536876729700.0601"/>
    <n v="124.24037652494"/>
  </r>
  <r>
    <x v="0"/>
    <x v="168"/>
    <n v="262505"/>
    <n v="1561574734904.05"/>
    <n v="128.31101783471399"/>
  </r>
  <r>
    <x v="0"/>
    <x v="169"/>
    <n v="264223"/>
    <n v="1598687945829.1299"/>
    <n v="128.133333026457"/>
  </r>
  <r>
    <x v="0"/>
    <x v="170"/>
    <n v="264813"/>
    <n v="1611864597529.54"/>
    <n v="128.44003221044301"/>
  </r>
  <r>
    <x v="0"/>
    <x v="171"/>
    <n v="265488"/>
    <n v="1627058464695.98"/>
    <n v="128.62816588692201"/>
  </r>
  <r>
    <x v="1"/>
    <x v="172"/>
    <n v="5"/>
    <n v="12238945.18"/>
    <n v="3.5587521049942299"/>
  </r>
  <r>
    <x v="0"/>
    <x v="172"/>
    <n v="266516"/>
    <n v="1649023403524.3301"/>
    <n v="127.270086432192"/>
  </r>
  <r>
    <x v="0"/>
    <x v="173"/>
    <n v="267221"/>
    <n v="1672012270673.77"/>
    <n v="124.70891254143299"/>
  </r>
  <r>
    <x v="1"/>
    <x v="173"/>
    <n v="11"/>
    <n v="431216401.19999999"/>
    <n v="0.22823340359549801"/>
  </r>
  <r>
    <x v="0"/>
    <x v="174"/>
    <n v="267777"/>
    <n v="1682374180043.9399"/>
    <n v="123.085035635572"/>
  </r>
  <r>
    <x v="1"/>
    <x v="174"/>
    <n v="15"/>
    <n v="2102895357.54"/>
    <n v="5.1003602553243002E-2"/>
  </r>
  <r>
    <x v="0"/>
    <x v="175"/>
    <n v="268301"/>
    <n v="1690709203256.04"/>
    <n v="121.692603913998"/>
  </r>
  <r>
    <x v="1"/>
    <x v="175"/>
    <n v="22"/>
    <n v="4048869571.6900001"/>
    <n v="3.5325866328214398E-2"/>
  </r>
  <r>
    <x v="1"/>
    <x v="176"/>
    <n v="32"/>
    <n v="6443245156.5"/>
    <n v="0.78291122105834299"/>
  </r>
  <r>
    <x v="0"/>
    <x v="176"/>
    <n v="269084"/>
    <n v="1706507798745.03"/>
    <n v="121.09275401073199"/>
  </r>
  <r>
    <x v="1"/>
    <x v="177"/>
    <n v="33"/>
    <n v="7594722445.1199999"/>
    <n v="1.34818851257356"/>
  </r>
  <r>
    <x v="0"/>
    <x v="177"/>
    <n v="269586"/>
    <n v="1715320900515.99"/>
    <n v="120.487471663715"/>
  </r>
  <r>
    <x v="1"/>
    <x v="178"/>
    <n v="33"/>
    <n v="7455294762.29"/>
    <n v="3.0359649450850501"/>
  </r>
  <r>
    <x v="0"/>
    <x v="178"/>
    <n v="269880"/>
    <n v="1722159821907.24"/>
    <n v="120.096721831167"/>
  </r>
  <r>
    <x v="0"/>
    <x v="179"/>
    <n v="270476"/>
    <n v="1743795423653.5901"/>
    <n v="126.575085527139"/>
  </r>
  <r>
    <x v="1"/>
    <x v="179"/>
    <n v="37"/>
    <n v="7385915358.9499998"/>
    <n v="17.101511204033802"/>
  </r>
  <r>
    <x v="1"/>
    <x v="180"/>
    <n v="37"/>
    <n v="7186390255.3999996"/>
    <n v="36.005376445200099"/>
  </r>
  <r>
    <x v="0"/>
    <x v="180"/>
    <n v="270820"/>
    <n v="1747958716979.52"/>
    <n v="138.01338861023399"/>
  </r>
  <r>
    <x v="1"/>
    <x v="181"/>
    <n v="57"/>
    <n v="7517545111.1499996"/>
    <n v="47.926256715810503"/>
  </r>
  <r>
    <x v="0"/>
    <x v="181"/>
    <n v="271227"/>
    <n v="1754532172587.8201"/>
    <n v="145.66819679840501"/>
  </r>
  <r>
    <x v="1"/>
    <x v="182"/>
    <n v="80"/>
    <n v="7812894988.0100002"/>
    <n v="57.832367647122901"/>
  </r>
  <r>
    <x v="0"/>
    <x v="182"/>
    <n v="271839"/>
    <n v="1783832899325.1899"/>
    <n v="152.17805979007201"/>
  </r>
  <r>
    <x v="0"/>
    <x v="183"/>
    <n v="272056"/>
    <n v="1788604982272.3999"/>
    <n v="163.303881183633"/>
  </r>
  <r>
    <x v="1"/>
    <x v="183"/>
    <n v="94"/>
    <n v="7929838117.7600002"/>
    <n v="70.362772519002803"/>
  </r>
  <r>
    <x v="0"/>
    <x v="184"/>
    <n v="272638"/>
    <n v="1851247613799.7"/>
    <n v="175.30337348788601"/>
  </r>
  <r>
    <x v="1"/>
    <x v="184"/>
    <n v="131"/>
    <n v="14236149645.15"/>
    <n v="54.922152148638098"/>
  </r>
  <r>
    <x v="0"/>
    <x v="185"/>
    <n v="273233"/>
    <n v="1892906083080.45"/>
    <n v="178.09386534768799"/>
  </r>
  <r>
    <x v="1"/>
    <x v="185"/>
    <n v="168"/>
    <n v="15653598327.879999"/>
    <n v="54.472644049184296"/>
  </r>
  <r>
    <x v="0"/>
    <x v="186"/>
    <n v="273609"/>
    <n v="1911210202909.05"/>
    <n v="185.41680261787801"/>
  </r>
  <r>
    <x v="1"/>
    <x v="186"/>
    <n v="188"/>
    <n v="16210075077.32"/>
    <n v="57.799142441898098"/>
  </r>
  <r>
    <x v="0"/>
    <x v="187"/>
    <n v="273811"/>
    <n v="1922329055650.49"/>
    <n v="193.9662882202"/>
  </r>
  <r>
    <x v="1"/>
    <x v="187"/>
    <n v="222"/>
    <n v="17522334402.939999"/>
    <n v="58.004401975674703"/>
  </r>
  <r>
    <x v="0"/>
    <x v="188"/>
    <n v="274246"/>
    <n v="1936230379188.45"/>
    <n v="204.769495997593"/>
  </r>
  <r>
    <x v="1"/>
    <x v="188"/>
    <n v="266"/>
    <n v="20636621094.560001"/>
    <n v="56.826063656831401"/>
  </r>
  <r>
    <x v="0"/>
    <x v="189"/>
    <n v="274530"/>
    <n v="1935224752959.1399"/>
    <n v="218.14875585241001"/>
  </r>
  <r>
    <x v="1"/>
    <x v="189"/>
    <n v="290"/>
    <n v="24709665353.299999"/>
    <n v="54.889424608829401"/>
  </r>
  <r>
    <x v="2"/>
    <x v="189"/>
    <n v="3"/>
    <n v="15327165.810000001"/>
    <n v="1.4505423323001101"/>
  </r>
  <r>
    <x v="0"/>
    <x v="190"/>
    <n v="274807"/>
    <n v="1931516393378.1001"/>
    <n v="232.43522442437899"/>
  </r>
  <r>
    <x v="1"/>
    <x v="190"/>
    <n v="353"/>
    <n v="27060927127.610001"/>
    <n v="57.596542378112197"/>
  </r>
  <r>
    <x v="2"/>
    <x v="190"/>
    <n v="17"/>
    <n v="106566395.2"/>
    <n v="0.48012526158338997"/>
  </r>
  <r>
    <x v="0"/>
    <x v="191"/>
    <n v="275195"/>
    <n v="1935480749969.53"/>
    <n v="244.682642108903"/>
  </r>
  <r>
    <x v="1"/>
    <x v="191"/>
    <n v="414"/>
    <n v="29069674532.27"/>
    <n v="59.751528485308597"/>
  </r>
  <r>
    <x v="2"/>
    <x v="191"/>
    <n v="35"/>
    <n v="234862672.03"/>
    <n v="0.32101831082899901"/>
  </r>
  <r>
    <x v="0"/>
    <x v="192"/>
    <n v="275240"/>
    <n v="1926355203139.8799"/>
    <n v="255.41107041852399"/>
  </r>
  <r>
    <x v="1"/>
    <x v="192"/>
    <n v="458"/>
    <n v="30591542409.349998"/>
    <n v="60.3241018000951"/>
  </r>
  <r>
    <x v="2"/>
    <x v="192"/>
    <n v="52"/>
    <n v="406767057.86000001"/>
    <n v="0.225581910670488"/>
  </r>
  <r>
    <x v="0"/>
    <x v="193"/>
    <n v="275437"/>
    <n v="1923031361638.27"/>
    <n v="266.16074912814298"/>
  </r>
  <r>
    <x v="1"/>
    <x v="193"/>
    <n v="489"/>
    <n v="32188299766.919998"/>
    <n v="61.4807085554677"/>
  </r>
  <r>
    <x v="2"/>
    <x v="193"/>
    <n v="66"/>
    <n v="597072260.88"/>
    <n v="0.18571924640176299"/>
  </r>
  <r>
    <x v="0"/>
    <x v="194"/>
    <n v="275562"/>
    <n v="1915973684687.22"/>
    <n v="277.08958899449402"/>
  </r>
  <r>
    <x v="1"/>
    <x v="194"/>
    <n v="523"/>
    <n v="34019181733.130001"/>
    <n v="62.235161820741503"/>
  </r>
  <r>
    <x v="2"/>
    <x v="194"/>
    <n v="83"/>
    <n v="810653741.88"/>
    <n v="0.16611416990135999"/>
  </r>
  <r>
    <x v="0"/>
    <x v="195"/>
    <n v="274490"/>
    <n v="1886014655841.54"/>
    <n v="280.31661002775098"/>
  </r>
  <r>
    <x v="1"/>
    <x v="195"/>
    <n v="565"/>
    <n v="34942230806.919998"/>
    <n v="62.1780358171481"/>
  </r>
  <r>
    <x v="2"/>
    <x v="195"/>
    <n v="99"/>
    <n v="1028774473.66"/>
    <n v="0.13075737104861501"/>
  </r>
  <r>
    <x v="0"/>
    <x v="196"/>
    <n v="274482"/>
    <n v="1851844202005.27"/>
    <n v="289.04500142225601"/>
  </r>
  <r>
    <x v="1"/>
    <x v="196"/>
    <n v="596"/>
    <n v="35952137084.459999"/>
    <n v="65.056334736342393"/>
  </r>
  <r>
    <x v="2"/>
    <x v="196"/>
    <n v="117"/>
    <n v="1283914779.73"/>
    <n v="0.104667908976119"/>
  </r>
  <r>
    <x v="0"/>
    <x v="197"/>
    <n v="274694"/>
    <n v="1823788108779.51"/>
    <n v="302.41413142220398"/>
  </r>
  <r>
    <x v="1"/>
    <x v="197"/>
    <n v="636"/>
    <n v="36911796753.43"/>
    <n v="71.920365827032498"/>
  </r>
  <r>
    <x v="2"/>
    <x v="197"/>
    <n v="135"/>
    <n v="1489592023.8900001"/>
    <n v="8.7774893331117307E-2"/>
  </r>
  <r>
    <x v="0"/>
    <x v="198"/>
    <n v="274934"/>
    <n v="1816002763653.8401"/>
    <n v="318.74267948661998"/>
  </r>
  <r>
    <x v="1"/>
    <x v="198"/>
    <n v="682"/>
    <n v="39233880521.379997"/>
    <n v="78.434676384650501"/>
  </r>
  <r>
    <x v="2"/>
    <x v="198"/>
    <n v="156"/>
    <n v="1693098544.05"/>
    <n v="8.2587727447575296E-2"/>
  </r>
  <r>
    <x v="0"/>
    <x v="199"/>
    <n v="275265"/>
    <n v="1809160523507.3899"/>
    <n v="337.17779529131599"/>
  </r>
  <r>
    <x v="1"/>
    <x v="199"/>
    <n v="731"/>
    <n v="41226846111.760002"/>
    <n v="87.166522230573193"/>
  </r>
  <r>
    <x v="2"/>
    <x v="199"/>
    <n v="178"/>
    <n v="1929687214.6600001"/>
    <n v="8.3798517381121998E-2"/>
  </r>
  <r>
    <x v="0"/>
    <x v="200"/>
    <n v="275759"/>
    <n v="1806620806982.2"/>
    <n v="354.30703705179002"/>
  </r>
  <r>
    <x v="1"/>
    <x v="200"/>
    <n v="783"/>
    <n v="43877710701.519997"/>
    <n v="93.542073706470603"/>
  </r>
  <r>
    <x v="2"/>
    <x v="200"/>
    <n v="196"/>
    <n v="2275609818.98"/>
    <n v="8.1063263805223995E-2"/>
  </r>
  <r>
    <x v="0"/>
    <x v="201"/>
    <n v="276421"/>
    <n v="1800298888880.73"/>
    <n v="373.19353374010001"/>
  </r>
  <r>
    <x v="1"/>
    <x v="201"/>
    <n v="843"/>
    <n v="46125972276.830002"/>
    <n v="101.666114829721"/>
  </r>
  <r>
    <x v="2"/>
    <x v="201"/>
    <n v="217"/>
    <n v="2589769137.29"/>
    <n v="8.8173911752106704E-2"/>
  </r>
  <r>
    <x v="0"/>
    <x v="202"/>
    <n v="277266"/>
    <n v="1792464139799.6499"/>
    <n v="389.17434625708597"/>
  </r>
  <r>
    <x v="1"/>
    <x v="202"/>
    <n v="896"/>
    <n v="48366176627.93"/>
    <n v="105.823183075226"/>
  </r>
  <r>
    <x v="2"/>
    <x v="202"/>
    <n v="236"/>
    <n v="2951365460.7199998"/>
    <n v="8.8252045109364505E-2"/>
  </r>
  <r>
    <x v="0"/>
    <x v="203"/>
    <n v="278078"/>
    <n v="1786702401571.8401"/>
    <n v="395.26867400662502"/>
  </r>
  <r>
    <x v="1"/>
    <x v="203"/>
    <n v="949"/>
    <n v="50759303463"/>
    <n v="99.989594692918402"/>
  </r>
  <r>
    <x v="2"/>
    <x v="203"/>
    <n v="259"/>
    <n v="3379401993.3099999"/>
    <n v="7.6971531877015303E-2"/>
  </r>
  <r>
    <x v="0"/>
    <x v="204"/>
    <n v="278395"/>
    <n v="1774777092612.05"/>
    <n v="401.17668456168002"/>
  </r>
  <r>
    <x v="1"/>
    <x v="204"/>
    <n v="1009"/>
    <n v="52653026516.040001"/>
    <n v="94.445431601527602"/>
  </r>
  <r>
    <x v="2"/>
    <x v="204"/>
    <n v="279"/>
    <n v="3849888136.0700002"/>
    <n v="6.7492856884783306E-2"/>
  </r>
  <r>
    <x v="0"/>
    <x v="205"/>
    <n v="278900"/>
    <n v="1768365158153.76"/>
    <n v="404.25895166477"/>
  </r>
  <r>
    <x v="1"/>
    <x v="205"/>
    <n v="1046"/>
    <n v="54091880308.709999"/>
    <n v="90.396391492837296"/>
  </r>
  <r>
    <x v="2"/>
    <x v="205"/>
    <n v="297"/>
    <n v="4348110845.5"/>
    <n v="5.9694932427499403E-2"/>
  </r>
  <r>
    <x v="0"/>
    <x v="206"/>
    <n v="279791"/>
    <n v="1771693715295.3601"/>
    <n v="407.89075041725499"/>
  </r>
  <r>
    <x v="1"/>
    <x v="206"/>
    <n v="1107"/>
    <n v="55452548932.449997"/>
    <n v="88.601222381465206"/>
  </r>
  <r>
    <x v="2"/>
    <x v="206"/>
    <n v="323"/>
    <n v="4929321160.3199997"/>
    <n v="5.2583262240604597E-2"/>
  </r>
  <r>
    <x v="0"/>
    <x v="207"/>
    <n v="280244"/>
    <n v="1762890974623.96"/>
    <n v="413.39892236514697"/>
  </r>
  <r>
    <x v="1"/>
    <x v="207"/>
    <n v="1145"/>
    <n v="56144173209.129997"/>
    <n v="88.303567396259993"/>
  </r>
  <r>
    <x v="2"/>
    <x v="207"/>
    <n v="350"/>
    <n v="5479584254.1499996"/>
    <n v="4.7251523728875602E-2"/>
  </r>
  <r>
    <x v="0"/>
    <x v="208"/>
    <n v="280629"/>
    <n v="1756163628422.04"/>
    <n v="422.71936045472199"/>
  </r>
  <r>
    <x v="1"/>
    <x v="208"/>
    <n v="1174"/>
    <n v="56713020697.900002"/>
    <n v="91.906045682089001"/>
  </r>
  <r>
    <x v="2"/>
    <x v="208"/>
    <n v="376"/>
    <n v="5898298960.6400003"/>
    <n v="4.4019407053417899E-2"/>
  </r>
  <r>
    <x v="0"/>
    <x v="209"/>
    <n v="281075"/>
    <n v="1752854091034.3601"/>
    <n v="433.54910851368498"/>
  </r>
  <r>
    <x v="1"/>
    <x v="209"/>
    <n v="1216"/>
    <n v="57606973208.239998"/>
    <n v="97.504253366250694"/>
  </r>
  <r>
    <x v="2"/>
    <x v="209"/>
    <n v="398"/>
    <n v="6434083171.8299999"/>
    <n v="4.2265865016984101E-2"/>
  </r>
  <r>
    <x v="0"/>
    <x v="210"/>
    <n v="281434"/>
    <n v="1742063298538.3899"/>
    <n v="444.68456527934302"/>
  </r>
  <r>
    <x v="1"/>
    <x v="210"/>
    <n v="1268"/>
    <n v="58408841241.650002"/>
    <n v="101.892979457701"/>
  </r>
  <r>
    <x v="2"/>
    <x v="210"/>
    <n v="417"/>
    <n v="6872090576.5200005"/>
    <n v="4.65725180473886E-2"/>
  </r>
  <r>
    <x v="0"/>
    <x v="211"/>
    <n v="281942"/>
    <n v="1736000312551.3601"/>
    <n v="460.67966645700102"/>
  </r>
  <r>
    <x v="1"/>
    <x v="211"/>
    <n v="1327"/>
    <n v="59412547411.709999"/>
    <n v="111.80566448134999"/>
  </r>
  <r>
    <x v="2"/>
    <x v="211"/>
    <n v="437"/>
    <n v="7393854531.21"/>
    <n v="6.8889209513225899E-2"/>
  </r>
  <r>
    <x v="0"/>
    <x v="212"/>
    <n v="282590"/>
    <n v="1730062143723.8999"/>
    <n v="479.35715312221902"/>
  </r>
  <r>
    <x v="1"/>
    <x v="212"/>
    <n v="1392"/>
    <n v="60879463797.669998"/>
    <n v="124.27176286334399"/>
  </r>
  <r>
    <x v="2"/>
    <x v="212"/>
    <n v="461"/>
    <n v="7990816564.1599998"/>
    <n v="0.117437341444491"/>
  </r>
  <r>
    <x v="0"/>
    <x v="213"/>
    <n v="283012"/>
    <n v="1716111353814.28"/>
    <n v="499.02199680696299"/>
  </r>
  <r>
    <x v="1"/>
    <x v="213"/>
    <n v="1471"/>
    <n v="61528554510.57"/>
    <n v="132.97804205374899"/>
  </r>
  <r>
    <x v="2"/>
    <x v="213"/>
    <n v="487"/>
    <n v="8517165199.3299999"/>
    <n v="0.15559635969707"/>
  </r>
  <r>
    <x v="0"/>
    <x v="214"/>
    <n v="283516"/>
    <n v="1704192012667.5601"/>
    <n v="518.52355014971704"/>
  </r>
  <r>
    <x v="1"/>
    <x v="214"/>
    <n v="1523"/>
    <n v="63432840444.580002"/>
    <n v="141.63890301728"/>
  </r>
  <r>
    <x v="2"/>
    <x v="214"/>
    <n v="514"/>
    <n v="9074021450.3299999"/>
    <n v="0.22726623749574301"/>
  </r>
  <r>
    <x v="0"/>
    <x v="215"/>
    <n v="284179"/>
    <n v="1704718198742.55"/>
    <n v="534.06817472760099"/>
  </r>
  <r>
    <x v="1"/>
    <x v="215"/>
    <n v="1561"/>
    <n v="63431287348.879997"/>
    <n v="154.54832395225"/>
  </r>
  <r>
    <x v="2"/>
    <x v="215"/>
    <n v="537"/>
    <n v="9400322582.2900009"/>
    <n v="0.32223042180827"/>
  </r>
  <r>
    <x v="0"/>
    <x v="216"/>
    <n v="284757"/>
    <n v="1695810438281.72"/>
    <n v="552.03686360071799"/>
  </r>
  <r>
    <x v="1"/>
    <x v="216"/>
    <n v="1581"/>
    <n v="63028905485.379997"/>
    <n v="167.93553505627099"/>
  </r>
  <r>
    <x v="2"/>
    <x v="216"/>
    <n v="563"/>
    <n v="10323435733.66"/>
    <n v="0.39524335858127702"/>
  </r>
  <r>
    <x v="0"/>
    <x v="217"/>
    <n v="285377"/>
    <n v="1691373410963.1499"/>
    <n v="569.06609756761895"/>
  </r>
  <r>
    <x v="1"/>
    <x v="217"/>
    <n v="1608"/>
    <n v="62701545672.050003"/>
    <n v="180.813629698547"/>
  </r>
  <r>
    <x v="2"/>
    <x v="217"/>
    <n v="596"/>
    <n v="11215689816.950001"/>
    <n v="0.38642925774120401"/>
  </r>
  <r>
    <x v="0"/>
    <x v="218"/>
    <n v="286478"/>
    <n v="1700883766281.3999"/>
    <n v="576.984380408059"/>
  </r>
  <r>
    <x v="1"/>
    <x v="218"/>
    <n v="1644"/>
    <n v="62862062606.980003"/>
    <n v="188.167482507964"/>
  </r>
  <r>
    <x v="2"/>
    <x v="218"/>
    <n v="653"/>
    <n v="12887725448.07"/>
    <n v="0.34650454796276298"/>
  </r>
  <r>
    <x v="0"/>
    <x v="219"/>
    <n v="286960"/>
    <n v="1686240153711.4299"/>
    <n v="593.11894878672297"/>
  </r>
  <r>
    <x v="1"/>
    <x v="219"/>
    <n v="1667"/>
    <n v="61402153038.43"/>
    <n v="199.91783472403401"/>
  </r>
  <r>
    <x v="2"/>
    <x v="219"/>
    <n v="701"/>
    <n v="14157505535.01"/>
    <n v="0.32050085279919499"/>
  </r>
  <r>
    <x v="0"/>
    <x v="220"/>
    <n v="287883"/>
    <n v="1687594503417.6201"/>
    <n v="605.54481435770003"/>
  </r>
  <r>
    <x v="1"/>
    <x v="220"/>
    <n v="1684"/>
    <n v="61117631921.150002"/>
    <n v="211.40364656590199"/>
  </r>
  <r>
    <x v="2"/>
    <x v="220"/>
    <n v="753"/>
    <n v="16332228361.5"/>
    <n v="0.30315293562642898"/>
  </r>
  <r>
    <x v="0"/>
    <x v="221"/>
    <n v="288800"/>
    <n v="1678034216160.9199"/>
    <n v="622.49743415937905"/>
  </r>
  <r>
    <x v="1"/>
    <x v="221"/>
    <n v="1697"/>
    <n v="61062774148.769997"/>
    <n v="225.17622113044601"/>
  </r>
  <r>
    <x v="2"/>
    <x v="221"/>
    <n v="818"/>
    <n v="18926538940.299999"/>
    <n v="0.31978601492615"/>
  </r>
  <r>
    <x v="3"/>
    <x v="221"/>
    <n v="91"/>
    <n v="5555695171.1300001"/>
    <n v="0"/>
  </r>
  <r>
    <x v="0"/>
    <x v="222"/>
    <n v="289667"/>
    <n v="1673253636966.7"/>
    <n v="639.67996353962599"/>
  </r>
  <r>
    <x v="1"/>
    <x v="222"/>
    <n v="1720"/>
    <n v="61530216630.559998"/>
    <n v="239.31299812226399"/>
  </r>
  <r>
    <x v="2"/>
    <x v="222"/>
    <n v="877"/>
    <n v="21611125130.189999"/>
    <n v="0.36071016661187"/>
  </r>
  <r>
    <x v="3"/>
    <x v="222"/>
    <n v="156"/>
    <n v="8754398274.3899994"/>
    <n v="0"/>
  </r>
  <r>
    <x v="0"/>
    <x v="223"/>
    <n v="290751"/>
    <n v="1668901981848.5"/>
    <n v="653.69854055610995"/>
  </r>
  <r>
    <x v="1"/>
    <x v="223"/>
    <n v="1748"/>
    <n v="61794453574.470001"/>
    <n v="250.50276384801199"/>
  </r>
  <r>
    <x v="2"/>
    <x v="223"/>
    <n v="932"/>
    <n v="24194119358.029999"/>
    <n v="0.38300337159104397"/>
  </r>
  <r>
    <x v="3"/>
    <x v="223"/>
    <n v="210"/>
    <n v="12053254300.4"/>
    <n v="0"/>
  </r>
  <r>
    <x v="0"/>
    <x v="224"/>
    <n v="292008"/>
    <n v="1663516641773.1899"/>
    <n v="668.00666639783299"/>
  </r>
  <r>
    <x v="1"/>
    <x v="224"/>
    <n v="1779"/>
    <n v="61518645943.379997"/>
    <n v="263.44836741870199"/>
  </r>
  <r>
    <x v="2"/>
    <x v="224"/>
    <n v="993"/>
    <n v="26597645245.860001"/>
    <n v="0.44391159246575901"/>
  </r>
  <r>
    <x v="3"/>
    <x v="224"/>
    <n v="281"/>
    <n v="15145163161.950001"/>
    <n v="0"/>
  </r>
  <r>
    <x v="0"/>
    <x v="225"/>
    <n v="292794"/>
    <n v="1648405277502.1699"/>
    <n v="690.40388560978602"/>
  </r>
  <r>
    <x v="1"/>
    <x v="225"/>
    <n v="1797"/>
    <n v="60741144641.419998"/>
    <n v="280.81817473764301"/>
  </r>
  <r>
    <x v="2"/>
    <x v="225"/>
    <n v="1047"/>
    <n v="28293094942.189999"/>
    <n v="0.57488644329570104"/>
  </r>
  <r>
    <x v="3"/>
    <x v="225"/>
    <n v="339"/>
    <n v="17141506906.68"/>
    <n v="0"/>
  </r>
  <r>
    <x v="0"/>
    <x v="226"/>
    <n v="294272"/>
    <n v="1656955004649.22"/>
    <n v="698.16136744196297"/>
  </r>
  <r>
    <x v="1"/>
    <x v="226"/>
    <n v="1849"/>
    <n v="61181393447.510002"/>
    <n v="290.12467765077599"/>
  </r>
  <r>
    <x v="2"/>
    <x v="226"/>
    <n v="1134"/>
    <n v="31066598637.540001"/>
    <n v="0.68356833645499604"/>
  </r>
  <r>
    <x v="3"/>
    <x v="226"/>
    <n v="427"/>
    <n v="20228876583.380001"/>
    <n v="0"/>
  </r>
  <r>
    <x v="0"/>
    <x v="227"/>
    <n v="294972"/>
    <n v="1645019670084.6001"/>
    <n v="715.27680659579005"/>
  </r>
  <r>
    <x v="1"/>
    <x v="227"/>
    <n v="1864"/>
    <n v="59324750524.360001"/>
    <n v="310.11286316549899"/>
  </r>
  <r>
    <x v="2"/>
    <x v="227"/>
    <n v="1194"/>
    <n v="33051971704.52"/>
    <n v="0.79595638546278502"/>
  </r>
  <r>
    <x v="3"/>
    <x v="227"/>
    <n v="493"/>
    <n v="22634123601.41"/>
    <n v="0"/>
  </r>
  <r>
    <x v="0"/>
    <x v="228"/>
    <n v="295747"/>
    <n v="1641408813705.6101"/>
    <n v="723.56810921209001"/>
  </r>
  <r>
    <x v="1"/>
    <x v="228"/>
    <n v="1890"/>
    <n v="59341253640.129997"/>
    <n v="315.155574951304"/>
  </r>
  <r>
    <x v="2"/>
    <x v="228"/>
    <n v="1265"/>
    <n v="35343557017.519997"/>
    <n v="0.84420618322463303"/>
  </r>
  <r>
    <x v="3"/>
    <x v="228"/>
    <n v="572"/>
    <n v="25710780014.439999"/>
    <n v="0"/>
  </r>
  <r>
    <x v="0"/>
    <x v="229"/>
    <n v="296480"/>
    <n v="1639099306167.1299"/>
    <n v="726.22136923694302"/>
  </r>
  <r>
    <x v="1"/>
    <x v="229"/>
    <n v="1907"/>
    <n v="58273862919.07"/>
    <n v="320.96901480981302"/>
  </r>
  <r>
    <x v="2"/>
    <x v="229"/>
    <n v="1335"/>
    <n v="37312888521.379997"/>
    <n v="0.83879467331671198"/>
  </r>
  <r>
    <x v="3"/>
    <x v="229"/>
    <n v="639"/>
    <n v="27919269484.799999"/>
    <n v="0"/>
  </r>
  <r>
    <x v="0"/>
    <x v="230"/>
    <n v="296774"/>
    <n v="1632928605681.1299"/>
    <n v="731.26866347573605"/>
  </r>
  <r>
    <x v="1"/>
    <x v="230"/>
    <n v="1927"/>
    <n v="57984952680.769997"/>
    <n v="323.13845437575702"/>
  </r>
  <r>
    <x v="2"/>
    <x v="230"/>
    <n v="1395"/>
    <n v="39156032691.959999"/>
    <n v="0.88038042045642095"/>
  </r>
  <r>
    <x v="3"/>
    <x v="230"/>
    <n v="704"/>
    <n v="30041763432.959999"/>
    <n v="0"/>
  </r>
  <r>
    <x v="0"/>
    <x v="231"/>
    <n v="297206"/>
    <n v="1630926522634.1799"/>
    <n v="735.23529069617496"/>
  </r>
  <r>
    <x v="1"/>
    <x v="231"/>
    <n v="1940"/>
    <n v="57919460773.599998"/>
    <n v="325.96716910816502"/>
  </r>
  <r>
    <x v="2"/>
    <x v="231"/>
    <n v="1447"/>
    <n v="41135466403"/>
    <n v="1.2000134333821"/>
  </r>
  <r>
    <x v="3"/>
    <x v="231"/>
    <n v="760"/>
    <n v="32087573394.82"/>
    <n v="0"/>
  </r>
  <r>
    <x v="0"/>
    <x v="232"/>
    <n v="297478"/>
    <n v="1634172612883.0801"/>
    <n v="733.04077211610297"/>
  </r>
  <r>
    <x v="1"/>
    <x v="232"/>
    <n v="1951"/>
    <n v="57743623776.370003"/>
    <n v="326.37355568540499"/>
  </r>
  <r>
    <x v="2"/>
    <x v="232"/>
    <n v="1489"/>
    <n v="42553384727.230003"/>
    <n v="1.99134553180713"/>
  </r>
  <r>
    <x v="3"/>
    <x v="232"/>
    <n v="806"/>
    <n v="33554081959.810001"/>
    <n v="0"/>
  </r>
  <r>
    <x v="0"/>
    <x v="233"/>
    <n v="297713"/>
    <n v="1630715136837.8301"/>
    <n v="720.77303970881303"/>
  </r>
  <r>
    <x v="1"/>
    <x v="233"/>
    <n v="1967"/>
    <n v="57562689788.809998"/>
    <n v="313.62347441797499"/>
  </r>
  <r>
    <x v="2"/>
    <x v="233"/>
    <n v="1527"/>
    <n v="44044353148.919998"/>
    <n v="2.37553315179925"/>
  </r>
  <r>
    <x v="3"/>
    <x v="233"/>
    <n v="846"/>
    <n v="34996952153.550003"/>
    <n v="0"/>
  </r>
  <r>
    <x v="0"/>
    <x v="234"/>
    <n v="297745"/>
    <n v="1635352864892.78"/>
    <n v="702.74934343969005"/>
  </r>
  <r>
    <x v="1"/>
    <x v="234"/>
    <n v="1980"/>
    <n v="57358795381.5"/>
    <n v="300.66868007075999"/>
  </r>
  <r>
    <x v="2"/>
    <x v="234"/>
    <n v="1571"/>
    <n v="45268306712.739998"/>
    <n v="2.5159947521202"/>
  </r>
  <r>
    <x v="3"/>
    <x v="234"/>
    <n v="890"/>
    <n v="36201078184.980003"/>
    <n v="0"/>
  </r>
  <r>
    <x v="0"/>
    <x v="235"/>
    <n v="297935"/>
    <n v="1638979706834.8101"/>
    <n v="684.38518572650196"/>
  </r>
  <r>
    <x v="1"/>
    <x v="235"/>
    <n v="2002"/>
    <n v="57378888746.93"/>
    <n v="288.295350798051"/>
  </r>
  <r>
    <x v="2"/>
    <x v="235"/>
    <n v="1617"/>
    <n v="46324942815.470001"/>
    <n v="2.6203590480539098"/>
  </r>
  <r>
    <x v="3"/>
    <x v="235"/>
    <n v="939"/>
    <n v="37243354893.68"/>
    <n v="0"/>
  </r>
  <r>
    <x v="0"/>
    <x v="236"/>
    <n v="298051"/>
    <n v="1644012668533.9099"/>
    <n v="669.07392451142596"/>
  </r>
  <r>
    <x v="1"/>
    <x v="236"/>
    <n v="2022"/>
    <n v="57356413673.699997"/>
    <n v="280.59050403352001"/>
  </r>
  <r>
    <x v="2"/>
    <x v="236"/>
    <n v="1660"/>
    <n v="47014770367.400002"/>
    <n v="2.7321088151864799"/>
  </r>
  <r>
    <x v="3"/>
    <x v="236"/>
    <n v="980"/>
    <n v="37852364380.050003"/>
    <n v="0"/>
  </r>
  <r>
    <x v="0"/>
    <x v="237"/>
    <n v="298245"/>
    <n v="1652973739227.2"/>
    <n v="660.823926683639"/>
  </r>
  <r>
    <x v="1"/>
    <x v="237"/>
    <n v="2039"/>
    <n v="57531922542.139999"/>
    <n v="278.06931932987902"/>
  </r>
  <r>
    <x v="2"/>
    <x v="237"/>
    <n v="1704"/>
    <n v="47554737040.699997"/>
    <n v="3.2868839886737602"/>
  </r>
  <r>
    <x v="3"/>
    <x v="237"/>
    <n v="1016"/>
    <n v="38288256348.959999"/>
    <n v="0"/>
  </r>
  <r>
    <x v="0"/>
    <x v="238"/>
    <n v="298380"/>
    <n v="1657289777281.8"/>
    <n v="654.00607018513494"/>
  </r>
  <r>
    <x v="1"/>
    <x v="238"/>
    <n v="2050"/>
    <n v="57672150701.269997"/>
    <n v="275.64741286547098"/>
  </r>
  <r>
    <x v="2"/>
    <x v="238"/>
    <n v="1735"/>
    <n v="47935165709.389999"/>
    <n v="3.5642966789331001"/>
  </r>
  <r>
    <x v="3"/>
    <x v="238"/>
    <n v="1053"/>
    <n v="38615010697.739998"/>
    <n v="0"/>
  </r>
  <r>
    <x v="0"/>
    <x v="239"/>
    <n v="298565"/>
    <n v="1661238948532.75"/>
    <n v="650.314789073052"/>
  </r>
  <r>
    <x v="1"/>
    <x v="239"/>
    <n v="2057"/>
    <n v="57721870841.419998"/>
    <n v="274.74023917795301"/>
  </r>
  <r>
    <x v="2"/>
    <x v="239"/>
    <n v="1774"/>
    <n v="48419743931.309998"/>
    <n v="3.7179778437659698"/>
  </r>
  <r>
    <x v="3"/>
    <x v="239"/>
    <n v="1080"/>
    <n v="39260930004.410004"/>
    <n v="1.94875521980454E-3"/>
  </r>
  <r>
    <x v="0"/>
    <x v="240"/>
    <n v="298522"/>
    <n v="1659593431085.3999"/>
    <n v="728.03734240114397"/>
  </r>
  <r>
    <x v="1"/>
    <x v="240"/>
    <n v="2063"/>
    <n v="57492039709.059998"/>
    <n v="301.49135141110202"/>
  </r>
  <r>
    <x v="2"/>
    <x v="240"/>
    <n v="1801"/>
    <n v="48560145055.739998"/>
    <n v="2.6061217727272199"/>
  </r>
  <r>
    <x v="3"/>
    <x v="240"/>
    <n v="1104"/>
    <n v="39416596215.529999"/>
    <n v="5.9194254619065897E-2"/>
  </r>
  <r>
    <x v="0"/>
    <x v="241"/>
    <n v="298590"/>
    <n v="1661124798886"/>
    <n v="725.03162263204797"/>
  </r>
  <r>
    <x v="1"/>
    <x v="241"/>
    <n v="2070"/>
    <n v="57352259518.470001"/>
    <n v="302.14721725820101"/>
  </r>
  <r>
    <x v="2"/>
    <x v="241"/>
    <n v="1826"/>
    <n v="48717365807.82"/>
    <n v="5.8742340058851399"/>
  </r>
  <r>
    <x v="3"/>
    <x v="241"/>
    <n v="1126"/>
    <n v="39507898369.230003"/>
    <n v="0.159757127521549"/>
  </r>
  <r>
    <x v="0"/>
    <x v="242"/>
    <n v="298754"/>
    <n v="1661638057181.03"/>
    <n v="723.51470141795005"/>
  </r>
  <r>
    <x v="1"/>
    <x v="242"/>
    <n v="2071"/>
    <n v="57132134715.449997"/>
    <n v="303.27255325951"/>
  </r>
  <r>
    <x v="2"/>
    <x v="242"/>
    <n v="1844"/>
    <n v="48775718507.580002"/>
    <n v="9.0169565703567898"/>
  </r>
  <r>
    <x v="3"/>
    <x v="242"/>
    <n v="1146"/>
    <n v="39554921006.989998"/>
    <n v="0.236123514378694"/>
  </r>
  <r>
    <x v="0"/>
    <x v="243"/>
    <n v="298806"/>
    <n v="1662332949157.3501"/>
    <n v="720.66428889465203"/>
  </r>
  <r>
    <x v="1"/>
    <x v="243"/>
    <n v="2078"/>
    <n v="56845766696.43"/>
    <n v="304.49257696256802"/>
  </r>
  <r>
    <x v="2"/>
    <x v="243"/>
    <n v="1858"/>
    <n v="48727978881.080002"/>
    <n v="12.257541496999099"/>
  </r>
  <r>
    <x v="3"/>
    <x v="243"/>
    <n v="1161"/>
    <n v="39534993055.339996"/>
    <n v="0.33094737309508199"/>
  </r>
  <r>
    <x v="0"/>
    <x v="244"/>
    <n v="298894"/>
    <n v="1662352977660.22"/>
    <n v="720.38954603078605"/>
  </r>
  <r>
    <x v="1"/>
    <x v="244"/>
    <n v="2079"/>
    <n v="56578875659.620003"/>
    <n v="306.91825903032901"/>
  </r>
  <r>
    <x v="2"/>
    <x v="244"/>
    <n v="1870"/>
    <n v="48598619464.529999"/>
    <n v="16.7671467431833"/>
  </r>
  <r>
    <x v="3"/>
    <x v="244"/>
    <n v="1174"/>
    <n v="39463404393.919998"/>
    <n v="0.52295455109475997"/>
  </r>
  <r>
    <x v="0"/>
    <x v="245"/>
    <n v="299170"/>
    <n v="1664665897034.6699"/>
    <n v="719.25916398962397"/>
  </r>
  <r>
    <x v="1"/>
    <x v="245"/>
    <n v="2077"/>
    <n v="56276938887.650002"/>
    <n v="309.36232314576102"/>
  </r>
  <r>
    <x v="2"/>
    <x v="245"/>
    <n v="1884"/>
    <n v="48483101276.080002"/>
    <n v="21.453039240674201"/>
  </r>
  <r>
    <x v="3"/>
    <x v="245"/>
    <n v="1188"/>
    <n v="39388794194.209999"/>
    <n v="0.74154929764688804"/>
  </r>
  <r>
    <x v="0"/>
    <x v="246"/>
    <n v="299545"/>
    <n v="1668539955684.26"/>
    <n v="717.04918523835897"/>
  </r>
  <r>
    <x v="1"/>
    <x v="246"/>
    <n v="2081"/>
    <n v="56062210355.080002"/>
    <n v="311.45814086821002"/>
  </r>
  <r>
    <x v="2"/>
    <x v="246"/>
    <n v="1898"/>
    <n v="48306769923.019997"/>
    <n v="26.404603196462499"/>
  </r>
  <r>
    <x v="3"/>
    <x v="246"/>
    <n v="1198"/>
    <n v="39294654817.349998"/>
    <n v="0.99274737658963896"/>
  </r>
  <r>
    <x v="0"/>
    <x v="247"/>
    <n v="299871"/>
    <n v="1670343938037"/>
    <n v="715.75889187760004"/>
  </r>
  <r>
    <x v="1"/>
    <x v="247"/>
    <n v="2087"/>
    <n v="55645540533.309998"/>
    <n v="313.424942841421"/>
  </r>
  <r>
    <x v="2"/>
    <x v="247"/>
    <n v="1915"/>
    <n v="48102232418.32"/>
    <n v="31.579670124205801"/>
  </r>
  <r>
    <x v="3"/>
    <x v="247"/>
    <n v="1209"/>
    <n v="39192835810.529999"/>
    <n v="1.28022742380558"/>
  </r>
  <r>
    <x v="0"/>
    <x v="248"/>
    <n v="300262"/>
    <n v="1676850309557.6299"/>
    <n v="713.38885099312495"/>
  </r>
  <r>
    <x v="1"/>
    <x v="248"/>
    <n v="2090"/>
    <n v="55621264788.639999"/>
    <n v="315.27282613308603"/>
  </r>
  <r>
    <x v="2"/>
    <x v="248"/>
    <n v="1926"/>
    <n v="47890424521.330002"/>
    <n v="36.604018655583097"/>
  </r>
  <r>
    <x v="3"/>
    <x v="248"/>
    <n v="1218"/>
    <n v="39081676749.080002"/>
    <n v="1.5635807948473901"/>
  </r>
  <r>
    <x v="0"/>
    <x v="249"/>
    <n v="300784"/>
    <n v="1684277646790.8601"/>
    <n v="712.52330189223505"/>
  </r>
  <r>
    <x v="1"/>
    <x v="249"/>
    <n v="2089"/>
    <n v="55366832140.669998"/>
    <n v="318.47831341833302"/>
  </r>
  <r>
    <x v="2"/>
    <x v="249"/>
    <n v="1935"/>
    <n v="47664710255.110001"/>
    <n v="42.8785418505366"/>
  </r>
  <r>
    <x v="3"/>
    <x v="249"/>
    <n v="1229"/>
    <n v="38971879224.970001"/>
    <n v="2.0104178490975202"/>
  </r>
  <r>
    <x v="0"/>
    <x v="250"/>
    <n v="301174"/>
    <n v="1685362593546.73"/>
    <n v="715.525167507638"/>
  </r>
  <r>
    <x v="1"/>
    <x v="250"/>
    <n v="2093"/>
    <n v="55101250894.25"/>
    <n v="322.19776216173199"/>
  </r>
  <r>
    <x v="2"/>
    <x v="250"/>
    <n v="1943"/>
    <n v="47405248626.07"/>
    <n v="49.567342817077197"/>
  </r>
  <r>
    <x v="3"/>
    <x v="250"/>
    <n v="1234"/>
    <n v="38837765170.470001"/>
    <n v="2.5307004775464401"/>
  </r>
  <r>
    <x v="0"/>
    <x v="251"/>
    <n v="301744"/>
    <n v="1694662663304.0601"/>
    <n v="718.02254606309702"/>
  </r>
  <r>
    <x v="1"/>
    <x v="251"/>
    <n v="2104"/>
    <n v="54945293853.269997"/>
    <n v="328.29435994785803"/>
  </r>
  <r>
    <x v="2"/>
    <x v="251"/>
    <n v="1957"/>
    <n v="47210415269.309998"/>
    <n v="58.313612630421403"/>
  </r>
  <r>
    <x v="3"/>
    <x v="251"/>
    <n v="1244"/>
    <n v="38713428394.529999"/>
    <n v="3.4983042338093302"/>
  </r>
  <r>
    <x v="0"/>
    <x v="252"/>
    <n v="302124"/>
    <n v="1697793974754.6899"/>
    <n v="724.66393467468504"/>
  </r>
  <r>
    <x v="1"/>
    <x v="252"/>
    <n v="2112"/>
    <n v="54539779489.800003"/>
    <n v="337.06277889815499"/>
  </r>
  <r>
    <x v="2"/>
    <x v="252"/>
    <n v="1967"/>
    <n v="46941608230.800003"/>
    <n v="69.527040437762906"/>
  </r>
  <r>
    <x v="3"/>
    <x v="252"/>
    <n v="1251"/>
    <n v="38563701206.080002"/>
    <n v="5.0060608106881404"/>
  </r>
  <r>
    <x v="0"/>
    <x v="253"/>
    <n v="302604"/>
    <n v="1701526727197.6599"/>
    <n v="731.92162131265195"/>
  </r>
  <r>
    <x v="1"/>
    <x v="253"/>
    <n v="2123"/>
    <n v="54424224378.089996"/>
    <n v="344.82888003907999"/>
  </r>
  <r>
    <x v="2"/>
    <x v="253"/>
    <n v="1977"/>
    <n v="46731480687.449997"/>
    <n v="80.302982268172698"/>
  </r>
  <r>
    <x v="3"/>
    <x v="253"/>
    <n v="1258"/>
    <n v="38419602868.800003"/>
    <n v="6.4804618756583299"/>
  </r>
  <r>
    <x v="0"/>
    <x v="254"/>
    <n v="303067"/>
    <n v="1705063723228.8799"/>
    <n v="736.15502423953205"/>
  </r>
  <r>
    <x v="1"/>
    <x v="254"/>
    <n v="2127"/>
    <n v="53980461373.160004"/>
    <n v="350.24553939708801"/>
  </r>
  <r>
    <x v="2"/>
    <x v="254"/>
    <n v="1989"/>
    <n v="46448619701.699997"/>
    <n v="90.312533011892995"/>
  </r>
  <r>
    <x v="3"/>
    <x v="254"/>
    <n v="1267"/>
    <n v="38264484535.919998"/>
    <n v="7.8813528422884502"/>
  </r>
  <r>
    <x v="0"/>
    <x v="255"/>
    <n v="303626"/>
    <n v="1705465041251.01"/>
    <n v="739.843484185237"/>
  </r>
  <r>
    <x v="1"/>
    <x v="255"/>
    <n v="2130"/>
    <n v="53334300236"/>
    <n v="354.95605354037599"/>
  </r>
  <r>
    <x v="2"/>
    <x v="255"/>
    <n v="2000"/>
    <n v="46068741761.550003"/>
    <n v="101.56548285712999"/>
  </r>
  <r>
    <x v="3"/>
    <x v="255"/>
    <n v="1274"/>
    <n v="38076849573.309998"/>
    <n v="9.6980354624766907"/>
  </r>
  <r>
    <x v="0"/>
    <x v="256"/>
    <n v="304069"/>
    <n v="1707243648596.95"/>
    <n v="739.89458743314901"/>
  </r>
  <r>
    <x v="1"/>
    <x v="256"/>
    <n v="2136"/>
    <n v="52743944187.010002"/>
    <n v="357.51537598939802"/>
  </r>
  <r>
    <x v="2"/>
    <x v="256"/>
    <n v="2010"/>
    <n v="45680607740.449997"/>
    <n v="110.603406640489"/>
  </r>
  <r>
    <x v="3"/>
    <x v="256"/>
    <n v="1284"/>
    <n v="37874463420.110001"/>
    <n v="11.054465403836501"/>
  </r>
  <r>
    <x v="0"/>
    <x v="257"/>
    <n v="304526"/>
    <n v="1710074547945.3301"/>
    <n v="736.90207589170598"/>
  </r>
  <r>
    <x v="1"/>
    <x v="257"/>
    <n v="2144"/>
    <n v="53035541022.290001"/>
    <n v="352.273968673024"/>
  </r>
  <r>
    <x v="2"/>
    <x v="257"/>
    <n v="2021"/>
    <n v="45283690761.019997"/>
    <n v="117.794189448691"/>
  </r>
  <r>
    <x v="3"/>
    <x v="257"/>
    <n v="1291"/>
    <n v="37654575557.940002"/>
    <n v="12.1076547497369"/>
  </r>
  <r>
    <x v="0"/>
    <x v="258"/>
    <n v="304957"/>
    <n v="1715173017738.5601"/>
    <n v="731.10198483309705"/>
  </r>
  <r>
    <x v="1"/>
    <x v="258"/>
    <n v="2149"/>
    <n v="52795398936.43"/>
    <n v="348.11748637999301"/>
  </r>
  <r>
    <x v="2"/>
    <x v="258"/>
    <n v="2034"/>
    <n v="44830717499.190002"/>
    <n v="124.452292231852"/>
  </r>
  <r>
    <x v="3"/>
    <x v="258"/>
    <n v="1300"/>
    <n v="37410876254.669998"/>
    <n v="13.1038358398204"/>
  </r>
  <r>
    <x v="0"/>
    <x v="259"/>
    <n v="305492"/>
    <n v="1718096723563.3201"/>
    <n v="729.83072647828703"/>
  </r>
  <r>
    <x v="1"/>
    <x v="259"/>
    <n v="2162"/>
    <n v="52770132887.830002"/>
    <n v="346.13164964497003"/>
  </r>
  <r>
    <x v="2"/>
    <x v="259"/>
    <n v="2042"/>
    <n v="44381702236.650002"/>
    <n v="133.147844022264"/>
  </r>
  <r>
    <x v="3"/>
    <x v="259"/>
    <n v="1307"/>
    <n v="37159487080.809998"/>
    <n v="14.701802670236599"/>
  </r>
  <r>
    <x v="0"/>
    <x v="260"/>
    <n v="306021"/>
    <n v="1729227687203.3701"/>
    <n v="726.43885318386401"/>
  </r>
  <r>
    <x v="1"/>
    <x v="260"/>
    <n v="2173"/>
    <n v="52633387839.209999"/>
    <n v="346.839950265298"/>
  </r>
  <r>
    <x v="2"/>
    <x v="260"/>
    <n v="2052"/>
    <n v="44008637029.370003"/>
    <n v="142.14426015464201"/>
  </r>
  <r>
    <x v="3"/>
    <x v="260"/>
    <n v="1315"/>
    <n v="36939526623.260002"/>
    <n v="16.461830373718101"/>
  </r>
  <r>
    <x v="0"/>
    <x v="261"/>
    <n v="306476"/>
    <n v="1737379808198.2"/>
    <n v="726.79546602168602"/>
  </r>
  <r>
    <x v="1"/>
    <x v="261"/>
    <n v="2186"/>
    <n v="52506624208.32"/>
    <n v="350.05221730825002"/>
  </r>
  <r>
    <x v="2"/>
    <x v="261"/>
    <n v="2069"/>
    <n v="43698985154.040001"/>
    <n v="152.44624319272501"/>
  </r>
  <r>
    <x v="3"/>
    <x v="261"/>
    <n v="1328"/>
    <n v="36789617512.57"/>
    <n v="18.720581154122399"/>
  </r>
  <r>
    <x v="0"/>
    <x v="262"/>
    <n v="306761"/>
    <n v="1734507571227.5901"/>
    <n v="727.92157862905106"/>
  </r>
  <r>
    <x v="1"/>
    <x v="262"/>
    <n v="2195"/>
    <n v="52316553177.239998"/>
    <n v="350.58239864557402"/>
  </r>
  <r>
    <x v="2"/>
    <x v="262"/>
    <n v="2073"/>
    <n v="43286317529.480003"/>
    <n v="160.65141365334401"/>
  </r>
  <r>
    <x v="3"/>
    <x v="262"/>
    <n v="1332"/>
    <n v="36550588239.07"/>
    <n v="20.439998911384698"/>
  </r>
  <r>
    <x v="0"/>
    <x v="263"/>
    <n v="307158"/>
    <n v="1742660147829.8999"/>
    <n v="725.98373192266001"/>
  </r>
  <r>
    <x v="1"/>
    <x v="263"/>
    <n v="2212"/>
    <n v="52451800097.93"/>
    <n v="350.948366717326"/>
  </r>
  <r>
    <x v="2"/>
    <x v="263"/>
    <n v="2082"/>
    <n v="42975673769.300003"/>
    <n v="168.879130213465"/>
  </r>
  <r>
    <x v="3"/>
    <x v="263"/>
    <n v="1339"/>
    <n v="36350171434.389999"/>
    <n v="22.1981216277672"/>
  </r>
  <r>
    <x v="0"/>
    <x v="264"/>
    <n v="307309"/>
    <n v="1746557623903.75"/>
    <n v="725.82682059398803"/>
  </r>
  <r>
    <x v="1"/>
    <x v="264"/>
    <n v="2214"/>
    <n v="52231231146.370003"/>
    <n v="352.79470162218303"/>
  </r>
  <r>
    <x v="2"/>
    <x v="264"/>
    <n v="2090"/>
    <n v="42587228592.629997"/>
    <n v="178.258986031749"/>
  </r>
  <r>
    <x v="3"/>
    <x v="264"/>
    <n v="1343"/>
    <n v="36103641907.169998"/>
    <n v="24.436065143378698"/>
  </r>
  <r>
    <x v="0"/>
    <x v="265"/>
    <n v="307672"/>
    <n v="1749230451883.8101"/>
    <n v="733.02400168316103"/>
  </r>
  <r>
    <x v="1"/>
    <x v="265"/>
    <n v="2226"/>
    <n v="52211453665.650002"/>
    <n v="360.02746160714901"/>
  </r>
  <r>
    <x v="2"/>
    <x v="265"/>
    <n v="2098"/>
    <n v="42314996395.470001"/>
    <n v="191.29597315982599"/>
  </r>
  <r>
    <x v="3"/>
    <x v="265"/>
    <n v="1347"/>
    <n v="35909399214.110001"/>
    <n v="27.992387201871701"/>
  </r>
  <r>
    <x v="0"/>
    <x v="266"/>
    <n v="308177"/>
    <n v="1758381892008.99"/>
    <n v="738.15946315201495"/>
  </r>
  <r>
    <x v="1"/>
    <x v="266"/>
    <n v="2236"/>
    <n v="52408156377.43"/>
    <n v="365.42703375355399"/>
  </r>
  <r>
    <x v="2"/>
    <x v="266"/>
    <n v="2109"/>
    <n v="42015385385.540001"/>
    <n v="205.32849320778601"/>
  </r>
  <r>
    <x v="3"/>
    <x v="266"/>
    <n v="1356"/>
    <n v="35708371081.940002"/>
    <n v="32.438411777418501"/>
  </r>
  <r>
    <x v="0"/>
    <x v="267"/>
    <n v="308550"/>
    <n v="1762538348889.95"/>
    <n v="742.78805268502299"/>
  </r>
  <r>
    <x v="1"/>
    <x v="267"/>
    <n v="2249"/>
    <n v="52597600836.050003"/>
    <n v="369.37822472710798"/>
  </r>
  <r>
    <x v="2"/>
    <x v="267"/>
    <n v="2122"/>
    <n v="41605142128.040001"/>
    <n v="219.429131989903"/>
  </r>
  <r>
    <x v="3"/>
    <x v="267"/>
    <n v="1361"/>
    <n v="35410457427.75"/>
    <n v="37.200478533520197"/>
  </r>
  <r>
    <x v="0"/>
    <x v="268"/>
    <n v="308957"/>
    <n v="1767039306438.99"/>
    <n v="747.73647010487298"/>
  </r>
  <r>
    <x v="1"/>
    <x v="268"/>
    <n v="2258"/>
    <n v="52812767276.599998"/>
    <n v="372.95049997076597"/>
  </r>
  <r>
    <x v="2"/>
    <x v="268"/>
    <n v="2130"/>
    <n v="41147928671"/>
    <n v="233.85363465938599"/>
  </r>
  <r>
    <x v="3"/>
    <x v="268"/>
    <n v="1367"/>
    <n v="35129109527.150002"/>
    <n v="42.438006838779998"/>
  </r>
  <r>
    <x v="0"/>
    <x v="269"/>
    <n v="309633"/>
    <n v="1773173538779.0801"/>
    <n v="751.72116677758299"/>
  </r>
  <r>
    <x v="1"/>
    <x v="269"/>
    <n v="2265"/>
    <n v="53682511085.900002"/>
    <n v="372.09038575241698"/>
  </r>
  <r>
    <x v="2"/>
    <x v="269"/>
    <n v="2137"/>
    <n v="40666312136.339996"/>
    <n v="249.024681118828"/>
  </r>
  <r>
    <x v="3"/>
    <x v="269"/>
    <n v="1374"/>
    <n v="34806670533.199997"/>
    <n v="48.236817698956202"/>
  </r>
  <r>
    <x v="3"/>
    <x v="270"/>
    <n v="1380"/>
    <n v="34436906908.110001"/>
    <n v="55.508252193864401"/>
  </r>
  <r>
    <x v="2"/>
    <x v="270"/>
    <n v="2143"/>
    <n v="40108011455.849998"/>
    <n v="266.44865609146501"/>
  </r>
  <r>
    <x v="1"/>
    <x v="270"/>
    <n v="2278"/>
    <n v="54334948049.68"/>
    <n v="375.881267191034"/>
  </r>
  <r>
    <x v="0"/>
    <x v="270"/>
    <n v="310027"/>
    <n v="1776650798767.21"/>
    <n v="758.90170349882305"/>
  </r>
  <r>
    <x v="1"/>
    <x v="271"/>
    <n v="2291"/>
    <n v="55686999256.790001"/>
    <n v="374.70797759033201"/>
  </r>
  <r>
    <x v="2"/>
    <x v="271"/>
    <n v="2148"/>
    <n v="39586221687.860001"/>
    <n v="284.41472839766902"/>
  </r>
  <r>
    <x v="3"/>
    <x v="271"/>
    <n v="1385"/>
    <n v="34088680556.189999"/>
    <n v="63.810247617711603"/>
  </r>
  <r>
    <x v="0"/>
    <x v="271"/>
    <n v="310733"/>
    <n v="1788184749657.6001"/>
    <n v="763.546675781006"/>
  </r>
  <r>
    <x v="3"/>
    <x v="272"/>
    <n v="1390"/>
    <n v="33686513650.32"/>
    <n v="71.984949609967501"/>
  </r>
  <r>
    <x v="0"/>
    <x v="272"/>
    <n v="311376"/>
    <n v="1794130472303.8501"/>
    <n v="766.01392175292006"/>
  </r>
  <r>
    <x v="1"/>
    <x v="272"/>
    <n v="2303"/>
    <n v="56641834722.18"/>
    <n v="371.61985512208003"/>
  </r>
  <r>
    <x v="2"/>
    <x v="272"/>
    <n v="2155"/>
    <n v="38990714989.599998"/>
    <n v="301.26467144614497"/>
  </r>
  <r>
    <x v="2"/>
    <x v="273"/>
    <n v="2160"/>
    <n v="38393460834.57"/>
    <n v="318.05702810192099"/>
  </r>
  <r>
    <x v="0"/>
    <x v="273"/>
    <n v="311865"/>
    <n v="1801406955244.1799"/>
    <n v="767.75810999898897"/>
  </r>
  <r>
    <x v="1"/>
    <x v="273"/>
    <n v="2318"/>
    <n v="57818867738.870003"/>
    <n v="365.80924363430597"/>
  </r>
  <r>
    <x v="3"/>
    <x v="273"/>
    <n v="1393"/>
    <n v="33302990549.639999"/>
    <n v="80.341819271701596"/>
  </r>
  <r>
    <x v="4"/>
    <x v="274"/>
    <m/>
    <m/>
    <m/>
  </r>
</pivotCacheRecords>
</file>

<file path=xl/pivotCache/pivotCacheRecords4.xml><?xml version="1.0" encoding="utf-8"?>
<pivotCacheRecords xmlns="http://schemas.openxmlformats.org/spreadsheetml/2006/main" xmlns:r="http://schemas.openxmlformats.org/officeDocument/2006/relationships" count="141">
  <r>
    <x v="0"/>
    <x v="0"/>
    <n v="37828"/>
    <n v="19926412057.189999"/>
    <n v="19.621878987759999"/>
  </r>
  <r>
    <x v="1"/>
    <x v="0"/>
    <n v="2112776"/>
    <n v="450758827151.26001"/>
    <n v="23.9561064818019"/>
  </r>
  <r>
    <x v="2"/>
    <x v="0"/>
    <n v="91949"/>
    <n v="17744982789.599998"/>
    <n v="0.168753523533169"/>
  </r>
  <r>
    <x v="3"/>
    <x v="0"/>
    <n v="91858"/>
    <n v="17481057533.18"/>
    <n v="4.4023449487047396E-3"/>
  </r>
  <r>
    <x v="0"/>
    <x v="1"/>
    <n v="148773"/>
    <n v="59262029379.919998"/>
    <n v="299.53302514693502"/>
  </r>
  <r>
    <x v="1"/>
    <x v="1"/>
    <n v="11072746"/>
    <n v="1642687948717.01"/>
    <n v="659.20424943054195"/>
  </r>
  <r>
    <x v="2"/>
    <x v="1"/>
    <n v="248074"/>
    <n v="48668276072.550003"/>
    <n v="2.6065904246231999"/>
  </r>
  <r>
    <x v="3"/>
    <x v="1"/>
    <n v="203053"/>
    <n v="39453982410.099998"/>
    <n v="5.9409086875498202E-2"/>
  </r>
  <r>
    <x v="0"/>
    <x v="2"/>
    <n v="149365"/>
    <n v="59111515704"/>
    <n v="300.226729152605"/>
  </r>
  <r>
    <x v="1"/>
    <x v="2"/>
    <n v="11154027"/>
    <n v="1644961763785.54"/>
    <n v="656.524879812834"/>
  </r>
  <r>
    <x v="2"/>
    <x v="2"/>
    <n v="250091"/>
    <n v="48824847153.900002"/>
    <n v="5.8762523893936498"/>
  </r>
  <r>
    <x v="3"/>
    <x v="2"/>
    <n v="204423"/>
    <n v="39545064843.400002"/>
    <n v="0.16027551464055301"/>
  </r>
  <r>
    <x v="0"/>
    <x v="3"/>
    <n v="149677"/>
    <n v="58881346224.550003"/>
    <n v="301.37134482944202"/>
  </r>
  <r>
    <x v="1"/>
    <x v="3"/>
    <n v="11223356"/>
    <n v="1645790319326.8201"/>
    <n v="655.34843436810399"/>
  </r>
  <r>
    <x v="2"/>
    <x v="3"/>
    <n v="251701"/>
    <n v="48882551619.07"/>
    <n v="9.0205361898149903"/>
  </r>
  <r>
    <x v="3"/>
    <x v="3"/>
    <n v="205505"/>
    <n v="39591864047.010002"/>
    <n v="0.236888839371933"/>
  </r>
  <r>
    <x v="0"/>
    <x v="4"/>
    <n v="149974"/>
    <n v="58582890089.389999"/>
    <n v="302.614567040775"/>
  </r>
  <r>
    <x v="1"/>
    <x v="4"/>
    <n v="11300802"/>
    <n v="1647096509671.45"/>
    <n v="652.85647269067397"/>
  </r>
  <r>
    <x v="2"/>
    <x v="4"/>
    <n v="252880"/>
    <n v="48833988139.910004"/>
    <n v="12.2629204869394"/>
  </r>
  <r>
    <x v="3"/>
    <x v="4"/>
    <n v="206231"/>
    <n v="39571744656.470001"/>
    <n v="0.33200615259279997"/>
  </r>
  <r>
    <x v="0"/>
    <x v="5"/>
    <n v="150374"/>
    <n v="58301966191.410004"/>
    <n v="305.08853376933803"/>
  </r>
  <r>
    <x v="1"/>
    <x v="5"/>
    <n v="11378415"/>
    <n v="1647657458415.05"/>
    <n v="652.91546876431403"/>
  </r>
  <r>
    <x v="2"/>
    <x v="5"/>
    <n v="253638"/>
    <n v="48703897837.360001"/>
    <n v="16.776407465858998"/>
  </r>
  <r>
    <x v="3"/>
    <x v="5"/>
    <n v="206723"/>
    <n v="39499963126.800003"/>
    <n v="0.52458272412235596"/>
  </r>
  <r>
    <x v="0"/>
    <x v="6"/>
    <n v="150747"/>
    <n v="57985372567.089996"/>
    <n v="307.590836054313"/>
  </r>
  <r>
    <x v="1"/>
    <x v="6"/>
    <n v="11468052"/>
    <n v="1650590730624.3701"/>
    <n v="652.13691032239694"/>
  </r>
  <r>
    <x v="2"/>
    <x v="6"/>
    <n v="254650"/>
    <n v="48587339087.510002"/>
    <n v="21.466736442339499"/>
  </r>
  <r>
    <x v="3"/>
    <x v="6"/>
    <n v="207239"/>
    <n v="39425086133.68"/>
    <n v="0.74383179247962905"/>
  </r>
  <r>
    <x v="0"/>
    <x v="7"/>
    <n v="151372"/>
    <n v="57751883561.589996"/>
    <n v="309.76129673243901"/>
  </r>
  <r>
    <x v="1"/>
    <x v="7"/>
    <n v="11569037"/>
    <n v="1654803790597.3201"/>
    <n v="650.44429076472102"/>
  </r>
  <r>
    <x v="2"/>
    <x v="7"/>
    <n v="255445"/>
    <n v="48410067823.459999"/>
    <n v="26.4234260988503"/>
  </r>
  <r>
    <x v="3"/>
    <x v="7"/>
    <n v="207658"/>
    <n v="39330813211.059998"/>
    <n v="0.995758100173185"/>
  </r>
  <r>
    <x v="0"/>
    <x v="8"/>
    <n v="151769"/>
    <n v="57316651873.169998"/>
    <n v="311.82010356361701"/>
  </r>
  <r>
    <x v="1"/>
    <x v="8"/>
    <n v="11660561"/>
    <n v="1657012348233.27"/>
    <n v="649.59159085808699"/>
  </r>
  <r>
    <x v="2"/>
    <x v="8"/>
    <n v="256292"/>
    <n v="48204367087.389999"/>
    <n v="31.604229635642501"/>
  </r>
  <r>
    <x v="3"/>
    <x v="8"/>
    <n v="208054"/>
    <n v="39228889827.529999"/>
    <n v="1.28407085956091"/>
  </r>
  <r>
    <x v="0"/>
    <x v="9"/>
    <n v="152752"/>
    <n v="57276773451.800003"/>
    <n v="313.75014253138897"/>
  </r>
  <r>
    <x v="1"/>
    <x v="9"/>
    <n v="11772431"/>
    <n v="1664111188973.7"/>
    <n v="647.73403713912296"/>
  </r>
  <r>
    <x v="2"/>
    <x v="9"/>
    <n v="256953"/>
    <n v="47991344092.919998"/>
    <n v="36.634384126789101"/>
  </r>
  <r>
    <x v="3"/>
    <x v="9"/>
    <n v="208376"/>
    <n v="39117481982.379997"/>
    <n v="1.5682397898577001"/>
  </r>
  <r>
    <x v="0"/>
    <x v="10"/>
    <n v="153317"/>
    <n v="57005567979.699997"/>
    <n v="317.06910299235699"/>
  </r>
  <r>
    <x v="1"/>
    <x v="10"/>
    <n v="11878478"/>
    <n v="1669993515914.1299"/>
    <n v="648.17435023365704"/>
  </r>
  <r>
    <x v="2"/>
    <x v="10"/>
    <n v="257530"/>
    <n v="47764622782.139999"/>
    <n v="42.916984449227897"/>
  </r>
  <r>
    <x v="3"/>
    <x v="10"/>
    <n v="208693"/>
    <n v="39007350455.220001"/>
    <n v="2.0163328808570302"/>
  </r>
  <r>
    <x v="0"/>
    <x v="11"/>
    <n v="153917"/>
    <n v="56722185335.559998"/>
    <n v="320.91458522231301"/>
  </r>
  <r>
    <x v="1"/>
    <x v="11"/>
    <n v="11971530"/>
    <n v="1673114034982.1201"/>
    <n v="650.96428571355398"/>
  </r>
  <r>
    <x v="2"/>
    <x v="11"/>
    <n v="257965"/>
    <n v="47504180677.099998"/>
    <n v="49.614786229491699"/>
  </r>
  <r>
    <x v="3"/>
    <x v="11"/>
    <n v="208917"/>
    <n v="38872946383.459999"/>
    <n v="2.5380471966847198"/>
  </r>
  <r>
    <x v="0"/>
    <x v="12"/>
    <n v="154657"/>
    <n v="56548495480.059998"/>
    <n v="327.151241855732"/>
  </r>
  <r>
    <x v="1"/>
    <x v="12"/>
    <n v="12086539"/>
    <n v="1683810373357.04"/>
    <n v="653.59389943128099"/>
  </r>
  <r>
    <x v="2"/>
    <x v="12"/>
    <n v="258439"/>
    <n v="47308540491.080002"/>
    <n v="58.372519437461101"/>
  </r>
  <r>
    <x v="3"/>
    <x v="12"/>
    <n v="209066"/>
    <n v="38748419879.839996"/>
    <n v="3.5080484792573401"/>
  </r>
  <r>
    <x v="0"/>
    <x v="13"/>
    <n v="155146"/>
    <n v="56121264546.629997"/>
    <n v="336.111367255652"/>
  </r>
  <r>
    <x v="1"/>
    <x v="13"/>
    <n v="12176122"/>
    <n v="1686450888597.8"/>
    <n v="661.01601447589906"/>
  </r>
  <r>
    <x v="2"/>
    <x v="13"/>
    <n v="258753"/>
    <n v="47038724310.610001"/>
    <n v="69.600945344366494"/>
  </r>
  <r>
    <x v="3"/>
    <x v="13"/>
    <n v="209152"/>
    <n v="38598550641.82"/>
    <n v="5.0192543369647797"/>
  </r>
  <r>
    <x v="0"/>
    <x v="14"/>
    <n v="155971"/>
    <n v="55985988083.660004"/>
    <n v="344.075216816622"/>
  </r>
  <r>
    <x v="1"/>
    <x v="14"/>
    <n v="12262610"/>
    <n v="1690839850424.8201"/>
    <n v="668.50506393968499"/>
  </r>
  <r>
    <x v="2"/>
    <x v="14"/>
    <n v="259133"/>
    <n v="46827726772.199997"/>
    <n v="80.391530215792599"/>
  </r>
  <r>
    <x v="3"/>
    <x v="14"/>
    <n v="209246"/>
    <n v="38454280108.989998"/>
    <n v="6.4970356414671198"/>
  </r>
  <r>
    <x v="0"/>
    <x v="15"/>
    <n v="156540"/>
    <n v="55507810623.559998"/>
    <n v="349.70929677509002"/>
  </r>
  <r>
    <x v="1"/>
    <x v="15"/>
    <n v="12353009"/>
    <n v="1695038164979.97"/>
    <n v="672.92484793594303"/>
  </r>
  <r>
    <x v="2"/>
    <x v="15"/>
    <n v="259399"/>
    <n v="46543789828.019997"/>
    <n v="90.415354510232802"/>
  </r>
  <r>
    <x v="3"/>
    <x v="15"/>
    <n v="209322"/>
    <n v="38298918804"/>
    <n v="7.9011535347604296"/>
  </r>
  <r>
    <x v="0"/>
    <x v="16"/>
    <n v="157250"/>
    <n v="54817915506.629997"/>
    <n v="354.70657426265899"/>
  </r>
  <r>
    <x v="1"/>
    <x v="16"/>
    <n v="12446552"/>
    <n v="1695117987789.6101"/>
    <n v="677.24280771575002"/>
  </r>
  <r>
    <x v="2"/>
    <x v="16"/>
    <n v="259651"/>
    <n v="46162645459.139999"/>
    <n v="101.685031000218"/>
  </r>
  <r>
    <x v="3"/>
    <x v="16"/>
    <n v="209314"/>
    <n v="38110813183.110001"/>
    <n v="9.7218893280605698"/>
  </r>
  <r>
    <x v="0"/>
    <x v="17"/>
    <n v="157665"/>
    <n v="54195623576.650002"/>
    <n v="357.47506192011002"/>
  </r>
  <r>
    <x v="1"/>
    <x v="17"/>
    <n v="12539838"/>
    <n v="1697254479347.27"/>
    <n v="677.75342014069599"/>
  </r>
  <r>
    <x v="2"/>
    <x v="17"/>
    <n v="259761"/>
    <n v="45773252530.599998"/>
    <n v="110.73699970408801"/>
  </r>
  <r>
    <x v="3"/>
    <x v="17"/>
    <n v="209319"/>
    <n v="37908295682.410004"/>
    <n v="11.081453302374699"/>
  </r>
  <r>
    <x v="0"/>
    <x v="18"/>
    <n v="159896"/>
    <n v="54534840466.540001"/>
    <n v="351.98890112186098"/>
  </r>
  <r>
    <x v="1"/>
    <x v="18"/>
    <n v="12637923"/>
    <n v="1700441583716.6101"/>
    <n v="675.22374138955195"/>
  </r>
  <r>
    <x v="2"/>
    <x v="18"/>
    <n v="259805"/>
    <n v="45375108120.550003"/>
    <n v="117.939772616786"/>
  </r>
  <r>
    <x v="3"/>
    <x v="18"/>
    <n v="209231"/>
    <n v="37687893021.559998"/>
    <n v="12.137305958447399"/>
  </r>
  <r>
    <x v="0"/>
    <x v="19"/>
    <n v="160754"/>
    <n v="54178718533.730003"/>
    <n v="348.58780237373401"/>
  </r>
  <r>
    <x v="1"/>
    <x v="19"/>
    <n v="12746766"/>
    <n v="1705889091968.5701"/>
    <n v="670.00569803419"/>
  </r>
  <r>
    <x v="2"/>
    <x v="19"/>
    <n v="259748"/>
    <n v="44920759708.669998"/>
    <n v="124.60950717752699"/>
  </r>
  <r>
    <x v="3"/>
    <x v="19"/>
    <n v="209110"/>
    <n v="37443832356.82"/>
    <n v="13.1359609731525"/>
  </r>
  <r>
    <x v="0"/>
    <x v="20"/>
    <n v="161954"/>
    <n v="54148011067.790001"/>
    <n v="346.75308432680998"/>
  </r>
  <r>
    <x v="1"/>
    <x v="20"/>
    <n v="12839522"/>
    <n v="1708971645626.01"/>
    <n v="669.31232471280305"/>
  </r>
  <r>
    <x v="2"/>
    <x v="20"/>
    <n v="259608"/>
    <n v="44470352549.839996"/>
    <n v="133.31941672001699"/>
  </r>
  <r>
    <x v="3"/>
    <x v="20"/>
    <n v="208906"/>
    <n v="37192226478.370003"/>
    <n v="14.737410114870199"/>
  </r>
  <r>
    <x v="0"/>
    <x v="21"/>
    <n v="162642"/>
    <n v="53998424362.470001"/>
    <n v="347.63440694733202"/>
  </r>
  <r>
    <x v="1"/>
    <x v="21"/>
    <n v="12953777"/>
    <n v="1720110400069.6599"/>
    <n v="666.79497305732002"/>
  </r>
  <r>
    <x v="2"/>
    <x v="21"/>
    <n v="259612"/>
    <n v="44095942309.279999"/>
    <n v="142.32989675911799"/>
  </r>
  <r>
    <x v="3"/>
    <x v="21"/>
    <n v="208790"/>
    <n v="36971870991.32"/>
    <n v="16.501363737410799"/>
  </r>
  <r>
    <x v="0"/>
    <x v="22"/>
    <n v="163271"/>
    <n v="53834214423.059998"/>
    <n v="351.16933418194901"/>
  </r>
  <r>
    <x v="1"/>
    <x v="22"/>
    <n v="13056392"/>
    <n v="1728583937359.1101"/>
    <n v="667.80142037571704"/>
  </r>
  <r>
    <x v="2"/>
    <x v="22"/>
    <n v="259871"/>
    <n v="43785203557.769997"/>
    <n v="152.64947521092299"/>
  </r>
  <r>
    <x v="3"/>
    <x v="22"/>
    <n v="209080"/>
    <n v="36821828886.660004"/>
    <n v="18.764602528943598"/>
  </r>
  <r>
    <x v="0"/>
    <x v="23"/>
    <n v="163791"/>
    <n v="53626199769.699997"/>
    <n v="351.85264968631299"/>
  </r>
  <r>
    <x v="1"/>
    <x v="23"/>
    <n v="13110649"/>
    <n v="1725717151541.03"/>
    <n v="669.35071380202305"/>
  </r>
  <r>
    <x v="2"/>
    <x v="23"/>
    <n v="259688"/>
    <n v="43371816682.040001"/>
    <n v="160.86764881874001"/>
  </r>
  <r>
    <x v="3"/>
    <x v="23"/>
    <n v="208863"/>
    <n v="36582575508.739998"/>
    <n v="20.487772613439098"/>
  </r>
  <r>
    <x v="0"/>
    <x v="24"/>
    <n v="164953"/>
    <n v="53779885713.669998"/>
    <n v="352.14078297751098"/>
  </r>
  <r>
    <x v="1"/>
    <x v="24"/>
    <n v="13203908"/>
    <n v="1734283184873.21"/>
    <n v="667.90500705836496"/>
  </r>
  <r>
    <x v="2"/>
    <x v="24"/>
    <n v="259628"/>
    <n v="43060278695.970001"/>
    <n v="169.10896479519201"/>
  </r>
  <r>
    <x v="3"/>
    <x v="24"/>
    <n v="208746"/>
    <n v="36381870224.529999"/>
    <n v="22.249670283430401"/>
  </r>
  <r>
    <x v="0"/>
    <x v="25"/>
    <n v="165379"/>
    <n v="53506472943.050003"/>
    <n v="354.406106616263"/>
  </r>
  <r>
    <x v="1"/>
    <x v="25"/>
    <n v="13282867"/>
    <n v="1738288304649.99"/>
    <n v="668.26222685450296"/>
  </r>
  <r>
    <x v="2"/>
    <x v="25"/>
    <n v="259461"/>
    <n v="42670780542.980003"/>
    <n v="178.50469265926699"/>
  </r>
  <r>
    <x v="3"/>
    <x v="25"/>
    <n v="208466"/>
    <n v="36135016796.599998"/>
    <n v="24.492214780064302"/>
  </r>
  <r>
    <x v="0"/>
    <x v="26"/>
    <n v="166092"/>
    <n v="53471157352.650002"/>
    <n v="361.83489920001398"/>
  </r>
  <r>
    <x v="1"/>
    <x v="26"/>
    <n v="13349688"/>
    <n v="1741258283700.8999"/>
    <n v="675.81251489586896"/>
  </r>
  <r>
    <x v="2"/>
    <x v="26"/>
    <n v="259480"/>
    <n v="42398909168.699997"/>
    <n v="191.556446624459"/>
  </r>
  <r>
    <x v="3"/>
    <x v="26"/>
    <n v="208346"/>
    <n v="35940473047.709999"/>
    <n v="28.055037628303399"/>
  </r>
  <r>
    <x v="0"/>
    <x v="27"/>
    <n v="167166"/>
    <n v="53650695425.889999"/>
    <n v="367.44729062077403"/>
  </r>
  <r>
    <x v="1"/>
    <x v="27"/>
    <n v="13444852"/>
    <n v="1751474260772.0701"/>
    <n v="681.256462772247"/>
  </r>
  <r>
    <x v="2"/>
    <x v="27"/>
    <n v="259452"/>
    <n v="42096786994.580002"/>
    <n v="205.61623398203301"/>
  </r>
  <r>
    <x v="3"/>
    <x v="27"/>
    <n v="208235"/>
    <n v="35738826303.349998"/>
    <n v="32.508650149318399"/>
  </r>
  <r>
    <x v="0"/>
    <x v="28"/>
    <n v="168539"/>
    <n v="53813403200.089996"/>
    <n v="371.66355829177201"/>
  </r>
  <r>
    <x v="1"/>
    <x v="28"/>
    <n v="13523461"/>
    <n v="1755119861996.8601"/>
    <n v="686.69349785750103"/>
  </r>
  <r>
    <x v="2"/>
    <x v="28"/>
    <n v="259215"/>
    <n v="41685381490.059998"/>
    <n v="219.737786419586"/>
  </r>
  <r>
    <x v="3"/>
    <x v="28"/>
    <n v="207889"/>
    <n v="35440516018.830002"/>
    <n v="37.2783475926948"/>
  </r>
  <r>
    <x v="0"/>
    <x v="29"/>
    <n v="169907"/>
    <n v="54002793327.769997"/>
    <n v="375.48280183760698"/>
  </r>
  <r>
    <x v="1"/>
    <x v="29"/>
    <n v="13608977"/>
    <n v="1760352960476.8899"/>
    <n v="691.90346131155502"/>
  </r>
  <r>
    <x v="2"/>
    <x v="29"/>
    <n v="258855"/>
    <n v="41226826953.5"/>
    <n v="234.18227255772999"/>
  </r>
  <r>
    <x v="3"/>
    <x v="29"/>
    <n v="207583"/>
    <n v="35158787170.010002"/>
    <n v="42.524067965519102"/>
  </r>
  <r>
    <x v="0"/>
    <x v="30"/>
    <n v="172538"/>
    <n v="54842930916.82"/>
    <n v="374.91405702639997"/>
  </r>
  <r>
    <x v="1"/>
    <x v="30"/>
    <n v="13701980"/>
    <n v="1766067343351.23"/>
    <n v="696.66134421730999"/>
  </r>
  <r>
    <x v="2"/>
    <x v="30"/>
    <n v="258373"/>
    <n v="40744063784.290001"/>
    <n v="249.37479291360401"/>
  </r>
  <r>
    <x v="3"/>
    <x v="30"/>
    <n v="207201"/>
    <n v="34836005942.769997"/>
    <n v="48.331377028255702"/>
  </r>
  <r>
    <x v="3"/>
    <x v="31"/>
    <n v="206676"/>
    <n v="34465714412.949997"/>
    <n v="55.613094636318102"/>
  </r>
  <r>
    <x v="2"/>
    <x v="31"/>
    <n v="257784"/>
    <n v="40184255840.540001"/>
    <n v="266.82465468974198"/>
  </r>
  <r>
    <x v="1"/>
    <x v="31"/>
    <n v="13788446"/>
    <n v="1769556809076.6899"/>
    <n v="704.39893715109997"/>
  </r>
  <r>
    <x v="0"/>
    <x v="31"/>
    <n v="174805"/>
    <n v="55470146560.699997"/>
    <n v="378.982190496111"/>
  </r>
  <r>
    <x v="1"/>
    <x v="32"/>
    <n v="13902772"/>
    <n v="1781589511666.3501"/>
    <n v="709.56644123258798"/>
  </r>
  <r>
    <x v="2"/>
    <x v="32"/>
    <n v="257179"/>
    <n v="39661130689.690002"/>
    <n v="284.81534645603699"/>
  </r>
  <r>
    <x v="3"/>
    <x v="32"/>
    <n v="206170"/>
    <n v="34117044542.400002"/>
    <n v="63.926036453703098"/>
  </r>
  <r>
    <x v="0"/>
    <x v="32"/>
    <n v="178347"/>
    <n v="56794440044.370003"/>
    <n v="378.10815470467799"/>
  </r>
  <r>
    <x v="3"/>
    <x v="33"/>
    <n v="205598"/>
    <n v="33714334567.959999"/>
    <n v="72.111495474034001"/>
  </r>
  <r>
    <x v="0"/>
    <x v="33"/>
    <n v="181465"/>
    <n v="57711924310.629997"/>
    <n v="375.28077702021898"/>
  </r>
  <r>
    <x v="1"/>
    <x v="33"/>
    <n v="14006525"/>
    <n v="1787756080618.1899"/>
    <n v="712.59544862841801"/>
  </r>
  <r>
    <x v="2"/>
    <x v="33"/>
    <n v="256550"/>
    <n v="39063837954.080002"/>
    <n v="301.68817035119503"/>
  </r>
  <r>
    <x v="2"/>
    <x v="34"/>
    <n v="255823"/>
    <n v="38465040650.459999"/>
    <n v="318.504636968981"/>
  </r>
  <r>
    <x v="0"/>
    <x v="34"/>
    <n v="184462"/>
    <n v="58606402575.669998"/>
    <n v="371.25531558655899"/>
  </r>
  <r>
    <x v="1"/>
    <x v="34"/>
    <n v="14100552"/>
    <n v="1793713512360.6201"/>
    <n v="715.47347625089196"/>
  </r>
  <r>
    <x v="3"/>
    <x v="34"/>
    <n v="204980"/>
    <n v="33330364198.119999"/>
    <n v="80.479148997419102"/>
  </r>
  <r>
    <x v="4"/>
    <x v="35"/>
    <m/>
    <m/>
    <m/>
  </r>
</pivotCacheRecords>
</file>

<file path=xl/pivotCache/pivotCacheRecords5.xml><?xml version="1.0" encoding="utf-8"?>
<pivotCacheRecords xmlns="http://schemas.openxmlformats.org/spreadsheetml/2006/main" xmlns:r="http://schemas.openxmlformats.org/officeDocument/2006/relationships" count="141">
  <r>
    <x v="0"/>
    <x v="0"/>
    <n v="37828"/>
    <n v="19926412057.189999"/>
    <n v="19.642903016870999"/>
  </r>
  <r>
    <x v="1"/>
    <x v="0"/>
    <n v="2112776"/>
    <n v="450758827151.26001"/>
    <n v="23.957708880996201"/>
  </r>
  <r>
    <x v="2"/>
    <x v="0"/>
    <n v="91949"/>
    <n v="17744982789.599998"/>
    <n v="0.193642646218533"/>
  </r>
  <r>
    <x v="3"/>
    <x v="0"/>
    <n v="91858"/>
    <n v="17481057533.18"/>
    <n v="4.6227333639613398E-3"/>
  </r>
  <r>
    <x v="0"/>
    <x v="1"/>
    <n v="148773"/>
    <n v="59262029379.919998"/>
    <n v="299.16212071682003"/>
  </r>
  <r>
    <x v="1"/>
    <x v="1"/>
    <n v="11072746"/>
    <n v="1642687948717.01"/>
    <n v="657.12745044255905"/>
  </r>
  <r>
    <x v="2"/>
    <x v="1"/>
    <n v="248074"/>
    <n v="48668276072.550003"/>
    <n v="2.63346219491592"/>
  </r>
  <r>
    <x v="3"/>
    <x v="1"/>
    <n v="203053"/>
    <n v="39453982410.099998"/>
    <n v="6.0835134463217602E-2"/>
  </r>
  <r>
    <x v="0"/>
    <x v="2"/>
    <n v="149365"/>
    <n v="59111515704"/>
    <n v="299.45622450864602"/>
  </r>
  <r>
    <x v="1"/>
    <x v="2"/>
    <n v="11154027"/>
    <n v="1644961763785.54"/>
    <n v="652.19508940594005"/>
  </r>
  <r>
    <x v="2"/>
    <x v="2"/>
    <n v="250091"/>
    <n v="48824847153.900002"/>
    <n v="5.9328141678661304"/>
  </r>
  <r>
    <x v="3"/>
    <x v="2"/>
    <n v="204423"/>
    <n v="39545064843.400002"/>
    <n v="0.164350192634138"/>
  </r>
  <r>
    <x v="0"/>
    <x v="3"/>
    <n v="149677"/>
    <n v="58881346224.550003"/>
    <n v="300.14871885201001"/>
  </r>
  <r>
    <x v="1"/>
    <x v="3"/>
    <n v="11223356"/>
    <n v="1645790319326.8201"/>
    <n v="647.99121040629905"/>
  </r>
  <r>
    <x v="2"/>
    <x v="3"/>
    <n v="251701"/>
    <n v="48882551619.07"/>
    <n v="9.0945542206952901"/>
  </r>
  <r>
    <x v="3"/>
    <x v="3"/>
    <n v="205505"/>
    <n v="39591864047.010002"/>
    <n v="0.24345028374859801"/>
  </r>
  <r>
    <x v="0"/>
    <x v="4"/>
    <n v="149974"/>
    <n v="58582890089.389999"/>
    <n v="300.96152416133799"/>
  </r>
  <r>
    <x v="1"/>
    <x v="4"/>
    <n v="11300802"/>
    <n v="1647096509671.45"/>
    <n v="642.61344861338796"/>
  </r>
  <r>
    <x v="2"/>
    <x v="4"/>
    <n v="252880"/>
    <n v="48833988139.910004"/>
    <n v="12.352079792505"/>
  </r>
  <r>
    <x v="3"/>
    <x v="4"/>
    <n v="206231"/>
    <n v="39571744656.470001"/>
    <n v="0.34146695019228002"/>
  </r>
  <r>
    <x v="0"/>
    <x v="5"/>
    <n v="150374"/>
    <n v="58301966191.410004"/>
    <n v="302.980192023749"/>
  </r>
  <r>
    <x v="1"/>
    <x v="5"/>
    <n v="11378415"/>
    <n v="1647657458415.05"/>
    <n v="639.45467617547195"/>
  </r>
  <r>
    <x v="2"/>
    <x v="5"/>
    <n v="253638"/>
    <n v="48703897837.360001"/>
    <n v="16.9014507690489"/>
  </r>
  <r>
    <x v="3"/>
    <x v="5"/>
    <n v="206723"/>
    <n v="39499963126.800003"/>
    <n v="0.54141245002326999"/>
  </r>
  <r>
    <x v="0"/>
    <x v="6"/>
    <n v="150747"/>
    <n v="57985372567.089996"/>
    <n v="305.06508585891402"/>
  </r>
  <r>
    <x v="1"/>
    <x v="6"/>
    <n v="11468052"/>
    <n v="1650590730624.3701"/>
    <n v="635.58398121195296"/>
  </r>
  <r>
    <x v="2"/>
    <x v="6"/>
    <n v="254650"/>
    <n v="48587339087.510002"/>
    <n v="21.626839528363199"/>
  </r>
  <r>
    <x v="3"/>
    <x v="6"/>
    <n v="207239"/>
    <n v="39425086133.68"/>
    <n v="0.76823566679891697"/>
  </r>
  <r>
    <x v="0"/>
    <x v="7"/>
    <n v="151372"/>
    <n v="57751883561.589996"/>
    <n v="306.81433509056302"/>
  </r>
  <r>
    <x v="1"/>
    <x v="7"/>
    <n v="11569037"/>
    <n v="1654803790597.3201"/>
    <n v="630.92817123831105"/>
  </r>
  <r>
    <x v="2"/>
    <x v="7"/>
    <n v="255445"/>
    <n v="48410067823.459999"/>
    <n v="26.616690981363899"/>
  </r>
  <r>
    <x v="3"/>
    <x v="7"/>
    <n v="207658"/>
    <n v="39330813211.059998"/>
    <n v="1.0295243562115901"/>
  </r>
  <r>
    <x v="0"/>
    <x v="8"/>
    <n v="151769"/>
    <n v="57316651873.169998"/>
    <n v="308.51395868959401"/>
  </r>
  <r>
    <x v="1"/>
    <x v="8"/>
    <n v="11660561"/>
    <n v="1657012348233.27"/>
    <n v="627.19390755928998"/>
  </r>
  <r>
    <x v="2"/>
    <x v="8"/>
    <n v="256292"/>
    <n v="48204367087.389999"/>
    <n v="31.827901602171099"/>
  </r>
  <r>
    <x v="3"/>
    <x v="8"/>
    <n v="208054"/>
    <n v="39228889827.529999"/>
    <n v="1.3282737682383401"/>
  </r>
  <r>
    <x v="0"/>
    <x v="9"/>
    <n v="152752"/>
    <n v="57276773451.800003"/>
    <n v="310.08696304616598"/>
  </r>
  <r>
    <x v="1"/>
    <x v="9"/>
    <n v="11772431"/>
    <n v="1664111188973.7"/>
    <n v="622.73580799464196"/>
  </r>
  <r>
    <x v="2"/>
    <x v="9"/>
    <n v="256953"/>
    <n v="47991344092.919998"/>
    <n v="36.879342872683097"/>
  </r>
  <r>
    <x v="3"/>
    <x v="9"/>
    <n v="208376"/>
    <n v="39117481982.379997"/>
    <n v="1.62147412359015"/>
  </r>
  <r>
    <x v="0"/>
    <x v="10"/>
    <n v="153317"/>
    <n v="57005567979.699997"/>
    <n v="313.041456059658"/>
  </r>
  <r>
    <x v="1"/>
    <x v="10"/>
    <n v="11878478"/>
    <n v="1669993515914.1299"/>
    <n v="620.39818397644694"/>
  </r>
  <r>
    <x v="2"/>
    <x v="10"/>
    <n v="257530"/>
    <n v="47764622782.139999"/>
    <n v="43.201527610449602"/>
  </r>
  <r>
    <x v="3"/>
    <x v="10"/>
    <n v="208693"/>
    <n v="39007350455.220001"/>
    <n v="2.0873685763610799"/>
  </r>
  <r>
    <x v="0"/>
    <x v="11"/>
    <n v="153917"/>
    <n v="56722185335.559998"/>
    <n v="316.529893710544"/>
  </r>
  <r>
    <x v="1"/>
    <x v="11"/>
    <n v="11971530"/>
    <n v="1673114034982.1201"/>
    <n v="620.43349280456403"/>
  </r>
  <r>
    <x v="2"/>
    <x v="11"/>
    <n v="257965"/>
    <n v="47504180677.099998"/>
    <n v="49.942686699046902"/>
  </r>
  <r>
    <x v="3"/>
    <x v="11"/>
    <n v="208917"/>
    <n v="38872946383.459999"/>
    <n v="2.6299007374612402"/>
  </r>
  <r>
    <x v="0"/>
    <x v="12"/>
    <n v="154657"/>
    <n v="56548495480.059998"/>
    <n v="322.43898233338598"/>
  </r>
  <r>
    <x v="1"/>
    <x v="12"/>
    <n v="12086539"/>
    <n v="1683810373357.04"/>
    <n v="620.19764756062"/>
  </r>
  <r>
    <x v="2"/>
    <x v="12"/>
    <n v="258439"/>
    <n v="47308540491.080002"/>
    <n v="58.780679938356499"/>
  </r>
  <r>
    <x v="3"/>
    <x v="12"/>
    <n v="209066"/>
    <n v="38748419879.839996"/>
    <n v="3.6313876592283201"/>
  </r>
  <r>
    <x v="0"/>
    <x v="13"/>
    <n v="155146"/>
    <n v="56121264546.629997"/>
    <n v="331.00770739758002"/>
  </r>
  <r>
    <x v="1"/>
    <x v="13"/>
    <n v="12176122"/>
    <n v="1686450888597.8"/>
    <n v="624.52758939163505"/>
  </r>
  <r>
    <x v="2"/>
    <x v="13"/>
    <n v="258753"/>
    <n v="47038724310.610001"/>
    <n v="71.165701742703007"/>
  </r>
  <r>
    <x v="3"/>
    <x v="13"/>
    <n v="209152"/>
    <n v="38598550641.82"/>
    <n v="5.5978421577070501"/>
  </r>
  <r>
    <x v="0"/>
    <x v="14"/>
    <n v="155971"/>
    <n v="55985988083.660004"/>
    <n v="338.60219616905999"/>
  </r>
  <r>
    <x v="1"/>
    <x v="14"/>
    <n v="12262610"/>
    <n v="1690839850424.8201"/>
    <n v="629.09240401223599"/>
  </r>
  <r>
    <x v="2"/>
    <x v="14"/>
    <n v="259133"/>
    <n v="46827726772.199997"/>
    <n v="83.006254010880596"/>
  </r>
  <r>
    <x v="3"/>
    <x v="14"/>
    <n v="209246"/>
    <n v="38454280108.989998"/>
    <n v="7.4990781326801796"/>
  </r>
  <r>
    <x v="0"/>
    <x v="15"/>
    <n v="156540"/>
    <n v="55507810623.559998"/>
    <n v="343.905015776874"/>
  </r>
  <r>
    <x v="1"/>
    <x v="15"/>
    <n v="12353009"/>
    <n v="1695038164979.97"/>
    <n v="630.91588178877703"/>
  </r>
  <r>
    <x v="2"/>
    <x v="15"/>
    <n v="259399"/>
    <n v="46543789828.019997"/>
    <n v="93.950732245311301"/>
  </r>
  <r>
    <x v="3"/>
    <x v="15"/>
    <n v="209322"/>
    <n v="38298918804"/>
    <n v="9.27725262164358"/>
  </r>
  <r>
    <x v="0"/>
    <x v="16"/>
    <n v="157250"/>
    <n v="54817915506.629997"/>
    <n v="348.55039203933802"/>
  </r>
  <r>
    <x v="1"/>
    <x v="16"/>
    <n v="12446552"/>
    <n v="1695117987789.6101"/>
    <n v="632.70728548846705"/>
  </r>
  <r>
    <x v="2"/>
    <x v="16"/>
    <n v="259651"/>
    <n v="46162645459.139999"/>
    <n v="106.309984853168"/>
  </r>
  <r>
    <x v="3"/>
    <x v="16"/>
    <n v="209314"/>
    <n v="38110813183.110001"/>
    <n v="11.574531126670401"/>
  </r>
  <r>
    <x v="0"/>
    <x v="17"/>
    <n v="157665"/>
    <n v="54195623576.650002"/>
    <n v="351.10162612250002"/>
  </r>
  <r>
    <x v="1"/>
    <x v="17"/>
    <n v="12539838"/>
    <n v="1697254479347.27"/>
    <n v="631.22126484724595"/>
  </r>
  <r>
    <x v="2"/>
    <x v="17"/>
    <n v="259761"/>
    <n v="45773252530.599998"/>
    <n v="116.11482910506901"/>
  </r>
  <r>
    <x v="3"/>
    <x v="17"/>
    <n v="209319"/>
    <n v="37908295682.410004"/>
    <n v="13.255507001634401"/>
  </r>
  <r>
    <x v="0"/>
    <x v="18"/>
    <n v="159896"/>
    <n v="54534840466.540001"/>
    <n v="345.50879995290398"/>
  </r>
  <r>
    <x v="1"/>
    <x v="18"/>
    <n v="12637923"/>
    <n v="1700441583716.6101"/>
    <n v="627.09334579027905"/>
  </r>
  <r>
    <x v="2"/>
    <x v="18"/>
    <n v="259805"/>
    <n v="45375108120.550003"/>
    <n v="123.81398873655201"/>
  </r>
  <r>
    <x v="3"/>
    <x v="18"/>
    <n v="209231"/>
    <n v="37687893021.559998"/>
    <n v="14.5254959375144"/>
  </r>
  <r>
    <x v="0"/>
    <x v="19"/>
    <n v="160754"/>
    <n v="54178718533.730003"/>
    <n v="342.04758223433601"/>
  </r>
  <r>
    <x v="1"/>
    <x v="19"/>
    <n v="12746766"/>
    <n v="1705889091968.5701"/>
    <n v="620.62786251105899"/>
  </r>
  <r>
    <x v="2"/>
    <x v="19"/>
    <n v="259748"/>
    <n v="44920759708.669998"/>
    <n v="130.90300572871899"/>
  </r>
  <r>
    <x v="3"/>
    <x v="19"/>
    <n v="209110"/>
    <n v="37443832356.82"/>
    <n v="15.706416370360399"/>
  </r>
  <r>
    <x v="0"/>
    <x v="20"/>
    <n v="161954"/>
    <n v="54148011067.790001"/>
    <n v="340.04799447633002"/>
  </r>
  <r>
    <x v="1"/>
    <x v="20"/>
    <n v="12839522"/>
    <n v="1708971645626.01"/>
    <n v="617.21188979764895"/>
  </r>
  <r>
    <x v="2"/>
    <x v="20"/>
    <n v="259608"/>
    <n v="44470352549.839996"/>
    <n v="140.19135524917201"/>
  </r>
  <r>
    <x v="3"/>
    <x v="20"/>
    <n v="208906"/>
    <n v="37192226478.370003"/>
    <n v="17.5831008491039"/>
  </r>
  <r>
    <x v="0"/>
    <x v="21"/>
    <n v="162642"/>
    <n v="53998424362.470001"/>
    <n v="340.75752143856101"/>
  </r>
  <r>
    <x v="1"/>
    <x v="21"/>
    <n v="12953777"/>
    <n v="1720110400069.6599"/>
    <n v="612.29439590869595"/>
  </r>
  <r>
    <x v="2"/>
    <x v="21"/>
    <n v="259612"/>
    <n v="44095942309.279999"/>
    <n v="149.794291106771"/>
  </r>
  <r>
    <x v="3"/>
    <x v="21"/>
    <n v="208790"/>
    <n v="36971870991.32"/>
    <n v="19.641209729282298"/>
  </r>
  <r>
    <x v="0"/>
    <x v="22"/>
    <n v="163271"/>
    <n v="53834214423.059998"/>
    <n v="344.17530998764698"/>
  </r>
  <r>
    <x v="1"/>
    <x v="22"/>
    <n v="13056392"/>
    <n v="1728583937359.1101"/>
    <n v="610.71792350520195"/>
  </r>
  <r>
    <x v="2"/>
    <x v="22"/>
    <n v="259871"/>
    <n v="43785203557.769997"/>
    <n v="160.82686106133301"/>
  </r>
  <r>
    <x v="3"/>
    <x v="22"/>
    <n v="209080"/>
    <n v="36821828886.660004"/>
    <n v="22.2904443813261"/>
  </r>
  <r>
    <x v="0"/>
    <x v="23"/>
    <n v="163791"/>
    <n v="53626199769.699997"/>
    <n v="344.73867978153999"/>
  </r>
  <r>
    <x v="1"/>
    <x v="23"/>
    <n v="13110649"/>
    <n v="1725717151541.03"/>
    <n v="609.84921582848995"/>
  </r>
  <r>
    <x v="2"/>
    <x v="23"/>
    <n v="259688"/>
    <n v="43371816682.040001"/>
    <n v="169.522911924147"/>
  </r>
  <r>
    <x v="3"/>
    <x v="23"/>
    <n v="208863"/>
    <n v="36582575508.739998"/>
    <n v="24.269391082443502"/>
  </r>
  <r>
    <x v="0"/>
    <x v="24"/>
    <n v="164953"/>
    <n v="53779885713.669998"/>
    <n v="344.91547232426302"/>
  </r>
  <r>
    <x v="1"/>
    <x v="24"/>
    <n v="13203908"/>
    <n v="1734283184873.21"/>
    <n v="606.35545788586001"/>
  </r>
  <r>
    <x v="2"/>
    <x v="24"/>
    <n v="259628"/>
    <n v="43060278695.970001"/>
    <n v="178.20418118673501"/>
  </r>
  <r>
    <x v="3"/>
    <x v="24"/>
    <n v="208746"/>
    <n v="36381870224.529999"/>
    <n v="26.273451823330401"/>
  </r>
  <r>
    <x v="0"/>
    <x v="25"/>
    <n v="165379"/>
    <n v="53506472943.050003"/>
    <n v="347.07976791573998"/>
  </r>
  <r>
    <x v="1"/>
    <x v="25"/>
    <n v="13282867"/>
    <n v="1738288304649.99"/>
    <n v="604.61930034566205"/>
  </r>
  <r>
    <x v="2"/>
    <x v="25"/>
    <n v="259461"/>
    <n v="42670780542.980003"/>
    <n v="188.16464847024801"/>
  </r>
  <r>
    <x v="3"/>
    <x v="25"/>
    <n v="208466"/>
    <n v="36135016796.599998"/>
    <n v="28.837003362109499"/>
  </r>
  <r>
    <x v="0"/>
    <x v="26"/>
    <n v="166092"/>
    <n v="53471157352.650002"/>
    <n v="354.329612297854"/>
  </r>
  <r>
    <x v="1"/>
    <x v="26"/>
    <n v="13349688"/>
    <n v="1741258283700.8999"/>
    <n v="609.493275571087"/>
  </r>
  <r>
    <x v="2"/>
    <x v="26"/>
    <n v="259480"/>
    <n v="42398909168.699997"/>
    <n v="202.113323640392"/>
  </r>
  <r>
    <x v="3"/>
    <x v="26"/>
    <n v="208346"/>
    <n v="35940473047.709999"/>
    <n v="32.963529169718697"/>
  </r>
  <r>
    <x v="0"/>
    <x v="27"/>
    <n v="167166"/>
    <n v="53650695425.889999"/>
    <n v="359.82233366207799"/>
  </r>
  <r>
    <x v="1"/>
    <x v="27"/>
    <n v="13444852"/>
    <n v="1751474260772.0701"/>
    <n v="612.66833271247106"/>
  </r>
  <r>
    <x v="2"/>
    <x v="27"/>
    <n v="259452"/>
    <n v="42096786994.580002"/>
    <n v="217.02485451410899"/>
  </r>
  <r>
    <x v="3"/>
    <x v="27"/>
    <n v="208235"/>
    <n v="35738826303.349998"/>
    <n v="37.954762238637599"/>
  </r>
  <r>
    <x v="0"/>
    <x v="28"/>
    <n v="168539"/>
    <n v="53813403200.089996"/>
    <n v="363.94871146719498"/>
  </r>
  <r>
    <x v="1"/>
    <x v="28"/>
    <n v="13523461"/>
    <n v="1755119861996.8601"/>
    <n v="615.83749334265599"/>
  </r>
  <r>
    <x v="2"/>
    <x v="28"/>
    <n v="259215"/>
    <n v="41685381490.059998"/>
    <n v="232.023538629764"/>
  </r>
  <r>
    <x v="3"/>
    <x v="28"/>
    <n v="207889"/>
    <n v="35440516018.830002"/>
    <n v="43.285742480421099"/>
  </r>
  <r>
    <x v="0"/>
    <x v="29"/>
    <n v="169907"/>
    <n v="54002793327.769997"/>
    <n v="367.54422126997201"/>
  </r>
  <r>
    <x v="1"/>
    <x v="29"/>
    <n v="13608977"/>
    <n v="1760352960476.8899"/>
    <n v="618.91799240515797"/>
  </r>
  <r>
    <x v="2"/>
    <x v="29"/>
    <n v="258855"/>
    <n v="41226826953.5"/>
    <n v="247.3336156828"/>
  </r>
  <r>
    <x v="3"/>
    <x v="29"/>
    <n v="207583"/>
    <n v="35158787170.010002"/>
    <n v="49.0845891015801"/>
  </r>
  <r>
    <x v="0"/>
    <x v="30"/>
    <n v="172538"/>
    <n v="54842930916.82"/>
    <n v="366.90772720016997"/>
  </r>
  <r>
    <x v="1"/>
    <x v="30"/>
    <n v="13701980"/>
    <n v="1766067343351.23"/>
    <n v="621.69675560726296"/>
  </r>
  <r>
    <x v="2"/>
    <x v="30"/>
    <n v="258373"/>
    <n v="40744063784.290001"/>
    <n v="263.422432839885"/>
  </r>
  <r>
    <x v="3"/>
    <x v="30"/>
    <n v="207201"/>
    <n v="34836005942.769997"/>
    <n v="55.474657441939598"/>
  </r>
  <r>
    <x v="3"/>
    <x v="31"/>
    <n v="206676"/>
    <n v="34465714412.949997"/>
    <n v="63.510304846776698"/>
  </r>
  <r>
    <x v="2"/>
    <x v="31"/>
    <n v="257784"/>
    <n v="40184255840.540001"/>
    <n v="282.01667332387598"/>
  </r>
  <r>
    <x v="1"/>
    <x v="31"/>
    <n v="13788446"/>
    <n v="1769556809076.6899"/>
    <n v="627.33229593796796"/>
  </r>
  <r>
    <x v="0"/>
    <x v="31"/>
    <n v="174805"/>
    <n v="55470146560.699997"/>
    <n v="370.88943720546399"/>
  </r>
  <r>
    <x v="1"/>
    <x v="32"/>
    <n v="13902772"/>
    <n v="1781589511666.3501"/>
    <n v="630.77855825684696"/>
  </r>
  <r>
    <x v="2"/>
    <x v="32"/>
    <n v="257179"/>
    <n v="39661130689.690002"/>
    <n v="301.05980133496701"/>
  </r>
  <r>
    <x v="3"/>
    <x v="32"/>
    <n v="206170"/>
    <n v="34117044542.400002"/>
    <n v="72.507580679536105"/>
  </r>
  <r>
    <x v="0"/>
    <x v="32"/>
    <n v="178347"/>
    <n v="56794440044.370003"/>
    <n v="370.09552030121199"/>
  </r>
  <r>
    <x v="3"/>
    <x v="33"/>
    <n v="205598"/>
    <n v="33714334567.959999"/>
    <n v="81.310539440898395"/>
  </r>
  <r>
    <x v="0"/>
    <x v="33"/>
    <n v="181465"/>
    <n v="57711924310.629997"/>
    <n v="367.23650092992699"/>
  </r>
  <r>
    <x v="1"/>
    <x v="33"/>
    <n v="14006525"/>
    <n v="1787756080618.1899"/>
    <n v="632.27443401021196"/>
  </r>
  <r>
    <x v="2"/>
    <x v="33"/>
    <n v="256550"/>
    <n v="39063837954.080002"/>
    <n v="318.96103167157401"/>
  </r>
  <r>
    <x v="2"/>
    <x v="34"/>
    <n v="255823"/>
    <n v="38465040650.459999"/>
    <n v="336.76375463465899"/>
  </r>
  <r>
    <x v="0"/>
    <x v="34"/>
    <n v="184462"/>
    <n v="58606402575.669998"/>
    <n v="363.26652470549499"/>
  </r>
  <r>
    <x v="1"/>
    <x v="34"/>
    <n v="14100552"/>
    <n v="1793713512360.6201"/>
    <n v="633.679896757601"/>
  </r>
  <r>
    <x v="3"/>
    <x v="34"/>
    <n v="204980"/>
    <n v="33330364198.119999"/>
    <n v="90.272719680039401"/>
  </r>
  <r>
    <x v="4"/>
    <x v="35"/>
    <m/>
    <m/>
    <m/>
  </r>
</pivotCacheRecords>
</file>

<file path=xl/pivotCache/pivotCacheRecords6.xml><?xml version="1.0" encoding="utf-8"?>
<pivotCacheRecords xmlns="http://schemas.openxmlformats.org/spreadsheetml/2006/main" xmlns:r="http://schemas.openxmlformats.org/officeDocument/2006/relationships" count="515">
  <r>
    <x v="0"/>
    <x v="0"/>
    <n v="126636"/>
    <n v="278490248452.07001"/>
    <n v="243.782375455493"/>
  </r>
  <r>
    <x v="0"/>
    <x v="1"/>
    <n v="128266"/>
    <n v="282050828421.97998"/>
    <n v="234.482687009149"/>
  </r>
  <r>
    <x v="0"/>
    <x v="2"/>
    <n v="129601"/>
    <n v="283874201256.09003"/>
    <n v="226.24896811246401"/>
  </r>
  <r>
    <x v="0"/>
    <x v="3"/>
    <n v="130768"/>
    <n v="284752896061.91998"/>
    <n v="215.93708971184401"/>
  </r>
  <r>
    <x v="0"/>
    <x v="4"/>
    <n v="131996"/>
    <n v="287122056681.57001"/>
    <n v="207.26682714751999"/>
  </r>
  <r>
    <x v="0"/>
    <x v="5"/>
    <n v="133140"/>
    <n v="288919754101.73999"/>
    <n v="200.515806902729"/>
  </r>
  <r>
    <x v="0"/>
    <x v="6"/>
    <n v="134153"/>
    <n v="290640645437.90997"/>
    <n v="195.02974978119801"/>
  </r>
  <r>
    <x v="0"/>
    <x v="7"/>
    <n v="135077"/>
    <n v="292026246657.69"/>
    <n v="190.96620723217401"/>
  </r>
  <r>
    <x v="0"/>
    <x v="8"/>
    <n v="135888"/>
    <n v="293395992453.21002"/>
    <n v="186.68367058190401"/>
  </r>
  <r>
    <x v="0"/>
    <x v="9"/>
    <n v="136567"/>
    <n v="294791998506.56"/>
    <n v="182.83427916822001"/>
  </r>
  <r>
    <x v="0"/>
    <x v="10"/>
    <n v="137384"/>
    <n v="297022730158.53998"/>
    <n v="179.05827160571499"/>
  </r>
  <r>
    <x v="0"/>
    <x v="11"/>
    <n v="138175"/>
    <n v="299534791311.60999"/>
    <n v="175.39961494973099"/>
  </r>
  <r>
    <x v="0"/>
    <x v="12"/>
    <n v="138749"/>
    <n v="300578062603.90997"/>
    <n v="172.841893458219"/>
  </r>
  <r>
    <x v="0"/>
    <x v="13"/>
    <n v="139252"/>
    <n v="301515518476.67999"/>
    <n v="170.83836976066701"/>
  </r>
  <r>
    <x v="0"/>
    <x v="14"/>
    <n v="139640"/>
    <n v="302130802958.65002"/>
    <n v="169.50120363527199"/>
  </r>
  <r>
    <x v="0"/>
    <x v="15"/>
    <n v="140171"/>
    <n v="303193167019.19"/>
    <n v="167.78811251201299"/>
  </r>
  <r>
    <x v="0"/>
    <x v="16"/>
    <n v="140845"/>
    <n v="305276200958.66998"/>
    <n v="166.239580669068"/>
  </r>
  <r>
    <x v="0"/>
    <x v="17"/>
    <n v="141735"/>
    <n v="308579513635.09003"/>
    <n v="164.542027020159"/>
  </r>
  <r>
    <x v="0"/>
    <x v="18"/>
    <n v="142847"/>
    <n v="313306085244.25"/>
    <n v="161.865960699543"/>
  </r>
  <r>
    <x v="0"/>
    <x v="19"/>
    <n v="143912"/>
    <n v="317855864434.04999"/>
    <n v="158.41334845742"/>
  </r>
  <r>
    <x v="0"/>
    <x v="20"/>
    <n v="144902"/>
    <n v="321938074374.90002"/>
    <n v="155.33338900609499"/>
  </r>
  <r>
    <x v="0"/>
    <x v="21"/>
    <n v="145867"/>
    <n v="326586660235.34998"/>
    <n v="152.708613474212"/>
  </r>
  <r>
    <x v="0"/>
    <x v="22"/>
    <n v="146882"/>
    <n v="331964887053.32001"/>
    <n v="150.11310249176901"/>
  </r>
  <r>
    <x v="0"/>
    <x v="23"/>
    <n v="147919"/>
    <n v="337304062600.06"/>
    <n v="148.51778275939401"/>
  </r>
  <r>
    <x v="0"/>
    <x v="24"/>
    <n v="148833"/>
    <n v="341672418203.37"/>
    <n v="147.93026716552799"/>
  </r>
  <r>
    <x v="0"/>
    <x v="25"/>
    <n v="149785"/>
    <n v="346545445220.38"/>
    <n v="146.64803471968801"/>
  </r>
  <r>
    <x v="0"/>
    <x v="26"/>
    <n v="150727"/>
    <n v="350465555808.21997"/>
    <n v="143.53682306920101"/>
  </r>
  <r>
    <x v="0"/>
    <x v="27"/>
    <n v="151726"/>
    <n v="354683248452.60999"/>
    <n v="139.43813571705701"/>
  </r>
  <r>
    <x v="0"/>
    <x v="28"/>
    <n v="152681"/>
    <n v="359153508694.62"/>
    <n v="135.04357861035899"/>
  </r>
  <r>
    <x v="0"/>
    <x v="29"/>
    <n v="153592"/>
    <n v="364145909105.21997"/>
    <n v="130.69940064471299"/>
  </r>
  <r>
    <x v="0"/>
    <x v="30"/>
    <n v="154353"/>
    <n v="367843583423.22998"/>
    <n v="127.649006362907"/>
  </r>
  <r>
    <x v="0"/>
    <x v="31"/>
    <n v="155081"/>
    <n v="370513413856.09998"/>
    <n v="125.360095878652"/>
  </r>
  <r>
    <x v="0"/>
    <x v="32"/>
    <n v="155900"/>
    <n v="375154945459.59998"/>
    <n v="122.37547907439"/>
  </r>
  <r>
    <x v="0"/>
    <x v="33"/>
    <n v="156553"/>
    <n v="378164550622.22998"/>
    <n v="120.61534173073299"/>
  </r>
  <r>
    <x v="0"/>
    <x v="34"/>
    <n v="157183"/>
    <n v="380573155397.19"/>
    <n v="119.645863826474"/>
  </r>
  <r>
    <x v="0"/>
    <x v="35"/>
    <n v="157961"/>
    <n v="383579286284.32001"/>
    <n v="118.62403927027999"/>
  </r>
  <r>
    <x v="0"/>
    <x v="36"/>
    <n v="158587"/>
    <n v="385622880966.02002"/>
    <n v="117.12886207116399"/>
  </r>
  <r>
    <x v="0"/>
    <x v="37"/>
    <n v="159328"/>
    <n v="388944585913.88"/>
    <n v="115.880286998255"/>
  </r>
  <r>
    <x v="0"/>
    <x v="38"/>
    <n v="160031"/>
    <n v="391996345649.14001"/>
    <n v="114.319603868936"/>
  </r>
  <r>
    <x v="0"/>
    <x v="39"/>
    <n v="160667"/>
    <n v="394401986179.65997"/>
    <n v="112.430490172321"/>
  </r>
  <r>
    <x v="0"/>
    <x v="40"/>
    <n v="161332"/>
    <n v="397650299517.78003"/>
    <n v="110.488697800867"/>
  </r>
  <r>
    <x v="0"/>
    <x v="41"/>
    <n v="161858"/>
    <n v="399661358461.85999"/>
    <n v="109.537451549664"/>
  </r>
  <r>
    <x v="0"/>
    <x v="42"/>
    <n v="162531"/>
    <n v="402473247826.06"/>
    <n v="108.93832100365501"/>
  </r>
  <r>
    <x v="0"/>
    <x v="43"/>
    <n v="163328"/>
    <n v="407135000510.78003"/>
    <n v="107.69994260707399"/>
  </r>
  <r>
    <x v="0"/>
    <x v="44"/>
    <n v="164171"/>
    <n v="410957899203.09998"/>
    <n v="107.023726591773"/>
  </r>
  <r>
    <x v="0"/>
    <x v="45"/>
    <n v="164998"/>
    <n v="415578143387.42999"/>
    <n v="106.486785123072"/>
  </r>
  <r>
    <x v="0"/>
    <x v="46"/>
    <n v="165889"/>
    <n v="420442181020.82001"/>
    <n v="106.19939574244"/>
  </r>
  <r>
    <x v="0"/>
    <x v="47"/>
    <n v="166964"/>
    <n v="425507008058.42999"/>
    <n v="106.442110821803"/>
  </r>
  <r>
    <x v="0"/>
    <x v="48"/>
    <n v="167888"/>
    <n v="430133364045.90002"/>
    <n v="107.744773386007"/>
  </r>
  <r>
    <x v="0"/>
    <x v="49"/>
    <n v="169006"/>
    <n v="436014643807.73999"/>
    <n v="108.86837011368701"/>
  </r>
  <r>
    <x v="0"/>
    <x v="50"/>
    <n v="170201"/>
    <n v="440572182741.69"/>
    <n v="108.572133122525"/>
  </r>
  <r>
    <x v="0"/>
    <x v="51"/>
    <n v="171456"/>
    <n v="447378001346.06"/>
    <n v="106.361928439392"/>
  </r>
  <r>
    <x v="0"/>
    <x v="52"/>
    <n v="172582"/>
    <n v="454600787180.84998"/>
    <n v="104.512916257984"/>
  </r>
  <r>
    <x v="0"/>
    <x v="53"/>
    <n v="173773"/>
    <n v="463337515393.27002"/>
    <n v="103.56650003183501"/>
  </r>
  <r>
    <x v="0"/>
    <x v="54"/>
    <n v="174901"/>
    <n v="473963930458.06"/>
    <n v="102.246255205677"/>
  </r>
  <r>
    <x v="0"/>
    <x v="55"/>
    <n v="175971"/>
    <n v="482637195788"/>
    <n v="101.53557658064901"/>
  </r>
  <r>
    <x v="0"/>
    <x v="56"/>
    <n v="177221"/>
    <n v="492759677673.42999"/>
    <n v="102.528495041151"/>
  </r>
  <r>
    <x v="0"/>
    <x v="57"/>
    <n v="178640"/>
    <n v="502211629634.06"/>
    <n v="103.641119399283"/>
  </r>
  <r>
    <x v="0"/>
    <x v="58"/>
    <n v="179937"/>
    <n v="508860817728.65997"/>
    <n v="103.091121125494"/>
  </r>
  <r>
    <x v="0"/>
    <x v="59"/>
    <n v="181535"/>
    <n v="519181595242.40002"/>
    <n v="102.048044730559"/>
  </r>
  <r>
    <x v="0"/>
    <x v="60"/>
    <n v="183021"/>
    <n v="529266546073.46997"/>
    <n v="99.879058553505601"/>
  </r>
  <r>
    <x v="0"/>
    <x v="61"/>
    <n v="184355"/>
    <n v="540755542094.21002"/>
    <n v="98.344402875783203"/>
  </r>
  <r>
    <x v="0"/>
    <x v="62"/>
    <n v="185605"/>
    <n v="549750472653.34998"/>
    <n v="95.850705461469005"/>
  </r>
  <r>
    <x v="0"/>
    <x v="63"/>
    <n v="186717"/>
    <n v="556506175459.81006"/>
    <n v="93.975757874369293"/>
  </r>
  <r>
    <x v="0"/>
    <x v="64"/>
    <n v="187662"/>
    <n v="563458838273"/>
    <n v="91.464153377115494"/>
  </r>
  <r>
    <x v="0"/>
    <x v="65"/>
    <n v="188811"/>
    <n v="572204607933.89001"/>
    <n v="87.976605332424498"/>
  </r>
  <r>
    <x v="0"/>
    <x v="66"/>
    <n v="189841"/>
    <n v="579291469300.42004"/>
    <n v="84.662193462768101"/>
  </r>
  <r>
    <x v="0"/>
    <x v="67"/>
    <n v="190764"/>
    <n v="587347551657.76001"/>
    <n v="81.522421554829506"/>
  </r>
  <r>
    <x v="0"/>
    <x v="68"/>
    <n v="191769"/>
    <n v="595358056585.48999"/>
    <n v="78.904335184212698"/>
  </r>
  <r>
    <x v="0"/>
    <x v="69"/>
    <n v="192676"/>
    <n v="603335784202.89001"/>
    <n v="76.698135590656307"/>
  </r>
  <r>
    <x v="0"/>
    <x v="70"/>
    <n v="193594"/>
    <n v="608661813729.64001"/>
    <n v="75.259367849190994"/>
  </r>
  <r>
    <x v="0"/>
    <x v="71"/>
    <n v="194574"/>
    <n v="614730545023.56995"/>
    <n v="73.652902815295107"/>
  </r>
  <r>
    <x v="0"/>
    <x v="72"/>
    <n v="195521"/>
    <n v="620175920606.63"/>
    <n v="71.953222489577399"/>
  </r>
  <r>
    <x v="0"/>
    <x v="73"/>
    <n v="196302"/>
    <n v="625373224000.52002"/>
    <n v="70.574938241084197"/>
  </r>
  <r>
    <x v="0"/>
    <x v="74"/>
    <n v="197211"/>
    <n v="628789317108.88"/>
    <n v="69.458926193563997"/>
  </r>
  <r>
    <x v="0"/>
    <x v="75"/>
    <n v="198200"/>
    <n v="633466085432.80005"/>
    <n v="68.240872672880798"/>
  </r>
  <r>
    <x v="0"/>
    <x v="76"/>
    <n v="199277"/>
    <n v="638637756539.06006"/>
    <n v="66.901707920605006"/>
  </r>
  <r>
    <x v="0"/>
    <x v="77"/>
    <n v="200318"/>
    <n v="644319934151.05005"/>
    <n v="65.566456058745501"/>
  </r>
  <r>
    <x v="0"/>
    <x v="78"/>
    <n v="201523"/>
    <n v="650241592057.52002"/>
    <n v="64.416007472304699"/>
  </r>
  <r>
    <x v="0"/>
    <x v="79"/>
    <n v="202877"/>
    <n v="659140528287.64001"/>
    <n v="63.277951695894799"/>
  </r>
  <r>
    <x v="0"/>
    <x v="80"/>
    <n v="204126"/>
    <n v="667771708329.09998"/>
    <n v="62.3010158228603"/>
  </r>
  <r>
    <x v="0"/>
    <x v="81"/>
    <n v="205336"/>
    <n v="678145982258.65002"/>
    <n v="61.5214786675364"/>
  </r>
  <r>
    <x v="0"/>
    <x v="82"/>
    <n v="206553"/>
    <n v="688667464062.68005"/>
    <n v="60.944628622395697"/>
  </r>
  <r>
    <x v="0"/>
    <x v="83"/>
    <n v="207893"/>
    <n v="700106336980.84998"/>
    <n v="61.888735758352098"/>
  </r>
  <r>
    <x v="0"/>
    <x v="84"/>
    <n v="209121"/>
    <n v="711936410692.26001"/>
    <n v="64.597834227597502"/>
  </r>
  <r>
    <x v="0"/>
    <x v="85"/>
    <n v="210670"/>
    <n v="724159427993.80005"/>
    <n v="66.739753064070101"/>
  </r>
  <r>
    <x v="0"/>
    <x v="86"/>
    <n v="212403"/>
    <n v="737131621054.80005"/>
    <n v="69.0288844915803"/>
  </r>
  <r>
    <x v="0"/>
    <x v="87"/>
    <n v="214231"/>
    <n v="752556214855.22998"/>
    <n v="69.370882185601801"/>
  </r>
  <r>
    <x v="0"/>
    <x v="88"/>
    <n v="216060"/>
    <n v="768634381863"/>
    <n v="68.774158468952294"/>
  </r>
  <r>
    <x v="0"/>
    <x v="89"/>
    <n v="217775"/>
    <n v="783899597190.81006"/>
    <n v="67.892273172240607"/>
  </r>
  <r>
    <x v="0"/>
    <x v="90"/>
    <n v="219337"/>
    <n v="800219895172"/>
    <n v="67.243559080277606"/>
  </r>
  <r>
    <x v="0"/>
    <x v="91"/>
    <n v="220863"/>
    <n v="816276961683.10999"/>
    <n v="67.694556948754396"/>
  </r>
  <r>
    <x v="0"/>
    <x v="92"/>
    <n v="222193"/>
    <n v="829340407712.87"/>
    <n v="68.980556333710297"/>
  </r>
  <r>
    <x v="0"/>
    <x v="93"/>
    <n v="223572"/>
    <n v="841081375122.14001"/>
    <n v="72.268007048960101"/>
  </r>
  <r>
    <x v="0"/>
    <x v="94"/>
    <n v="225055"/>
    <n v="853354387292.38"/>
    <n v="73.862006812546596"/>
  </r>
  <r>
    <x v="0"/>
    <x v="95"/>
    <n v="226605"/>
    <n v="865009341307.27002"/>
    <n v="71.922823410928999"/>
  </r>
  <r>
    <x v="0"/>
    <x v="96"/>
    <n v="227719"/>
    <n v="868002653952.68994"/>
    <n v="70.367193994003202"/>
  </r>
  <r>
    <x v="0"/>
    <x v="97"/>
    <n v="228962"/>
    <n v="879696484692.43994"/>
    <n v="69.693794887416004"/>
  </r>
  <r>
    <x v="0"/>
    <x v="98"/>
    <n v="229290"/>
    <n v="891137066963.31006"/>
    <n v="67.972181113768798"/>
  </r>
  <r>
    <x v="0"/>
    <x v="99"/>
    <n v="230242"/>
    <n v="898079497234.46997"/>
    <n v="66.968664843559694"/>
  </r>
  <r>
    <x v="0"/>
    <x v="100"/>
    <n v="231200"/>
    <n v="906196770233.09998"/>
    <n v="67.143544071000306"/>
  </r>
  <r>
    <x v="0"/>
    <x v="101"/>
    <n v="232155"/>
    <n v="915306614991.16003"/>
    <n v="68.691159746604598"/>
  </r>
  <r>
    <x v="0"/>
    <x v="102"/>
    <n v="232988"/>
    <n v="924210879564.21997"/>
    <n v="71.845727725272596"/>
  </r>
  <r>
    <x v="0"/>
    <x v="103"/>
    <n v="234029"/>
    <n v="933451662668.81006"/>
    <n v="76.124453655321702"/>
  </r>
  <r>
    <x v="0"/>
    <x v="104"/>
    <n v="235250"/>
    <n v="939163115315.12"/>
    <n v="82.132236205062796"/>
  </r>
  <r>
    <x v="0"/>
    <x v="105"/>
    <n v="236280"/>
    <n v="950835871010.5"/>
    <n v="86.310090236327397"/>
  </r>
  <r>
    <x v="0"/>
    <x v="106"/>
    <n v="237080"/>
    <n v="948704633830.25"/>
    <n v="90.305458712504404"/>
  </r>
  <r>
    <x v="0"/>
    <x v="107"/>
    <n v="238095"/>
    <n v="952529753121.88"/>
    <n v="93.4734413173381"/>
  </r>
  <r>
    <x v="0"/>
    <x v="108"/>
    <n v="238988"/>
    <n v="962426850688.71997"/>
    <n v="96.340036782699002"/>
  </r>
  <r>
    <x v="0"/>
    <x v="109"/>
    <n v="239791"/>
    <n v="971889246408.43994"/>
    <n v="99.673129073822295"/>
  </r>
  <r>
    <x v="0"/>
    <x v="110"/>
    <n v="240505"/>
    <n v="981397635555.85999"/>
    <n v="103.676244852417"/>
  </r>
  <r>
    <x v="0"/>
    <x v="111"/>
    <n v="241199"/>
    <n v="998455877100.01001"/>
    <n v="103.829085227447"/>
  </r>
  <r>
    <x v="0"/>
    <x v="112"/>
    <n v="241528"/>
    <n v="1000338175794.87"/>
    <n v="107.852270367323"/>
  </r>
  <r>
    <x v="0"/>
    <x v="113"/>
    <n v="242127"/>
    <n v="1015393774840.89"/>
    <n v="113.660666369404"/>
  </r>
  <r>
    <x v="0"/>
    <x v="114"/>
    <n v="242806"/>
    <n v="1022403673721.74"/>
    <n v="112.317567488181"/>
  </r>
  <r>
    <x v="0"/>
    <x v="115"/>
    <n v="243055"/>
    <n v="1011345079983.45"/>
    <n v="106.55162724334799"/>
  </r>
  <r>
    <x v="0"/>
    <x v="116"/>
    <n v="243087"/>
    <n v="1018746952300.48"/>
    <n v="100.40586290837101"/>
  </r>
  <r>
    <x v="0"/>
    <x v="117"/>
    <n v="242823"/>
    <n v="1022881900552.3199"/>
    <n v="96.969704426976307"/>
  </r>
  <r>
    <x v="0"/>
    <x v="118"/>
    <n v="242568"/>
    <n v="1029221486063.8"/>
    <n v="94.829636513974705"/>
  </r>
  <r>
    <x v="0"/>
    <x v="119"/>
    <n v="242944"/>
    <n v="1041578015793.9"/>
    <n v="93.876027563744501"/>
  </r>
  <r>
    <x v="0"/>
    <x v="120"/>
    <n v="242958"/>
    <n v="1046154494968.26"/>
    <n v="94.604546361960701"/>
  </r>
  <r>
    <x v="0"/>
    <x v="121"/>
    <n v="243244"/>
    <n v="1054228745365.45"/>
    <n v="96.468368053784999"/>
  </r>
  <r>
    <x v="0"/>
    <x v="122"/>
    <n v="243458"/>
    <n v="1054419241918.8"/>
    <n v="99.763865144393193"/>
  </r>
  <r>
    <x v="0"/>
    <x v="123"/>
    <n v="243458"/>
    <n v="1053489210318.27"/>
    <n v="98.251821898209101"/>
  </r>
  <r>
    <x v="0"/>
    <x v="124"/>
    <n v="243206"/>
    <n v="1042475819587.54"/>
    <n v="95.860614239825097"/>
  </r>
  <r>
    <x v="0"/>
    <x v="125"/>
    <n v="243206"/>
    <n v="1043034371136.61"/>
    <n v="93.0628580856132"/>
  </r>
  <r>
    <x v="0"/>
    <x v="126"/>
    <n v="243079"/>
    <n v="1042526892174.13"/>
    <n v="91.786675218524095"/>
  </r>
  <r>
    <x v="0"/>
    <x v="127"/>
    <n v="243049"/>
    <n v="1043715265049.05"/>
    <n v="91.794455331314197"/>
  </r>
  <r>
    <x v="0"/>
    <x v="128"/>
    <n v="243211"/>
    <n v="1047052334367.59"/>
    <n v="92.080277512902398"/>
  </r>
  <r>
    <x v="0"/>
    <x v="129"/>
    <n v="243358"/>
    <n v="1046559366288.4301"/>
    <n v="93.208025228603603"/>
  </r>
  <r>
    <x v="0"/>
    <x v="130"/>
    <n v="243520"/>
    <n v="1046116620723.4399"/>
    <n v="94.259217930168106"/>
  </r>
  <r>
    <x v="0"/>
    <x v="131"/>
    <n v="243723"/>
    <n v="1045661950289.12"/>
    <n v="94.984140534387194"/>
  </r>
  <r>
    <x v="0"/>
    <x v="132"/>
    <n v="243770"/>
    <n v="1045305106228.61"/>
    <n v="95.687432824185606"/>
  </r>
  <r>
    <x v="0"/>
    <x v="133"/>
    <n v="243919"/>
    <n v="1047019150198.85"/>
    <n v="97.372626077828997"/>
  </r>
  <r>
    <x v="0"/>
    <x v="134"/>
    <n v="244114"/>
    <n v="1048394573900.75"/>
    <n v="96.986833963780597"/>
  </r>
  <r>
    <x v="0"/>
    <x v="135"/>
    <n v="244026"/>
    <n v="1046716620858.74"/>
    <n v="96.469422084142295"/>
  </r>
  <r>
    <x v="0"/>
    <x v="136"/>
    <n v="244112"/>
    <n v="1051148406451.9301"/>
    <n v="96.623328845006"/>
  </r>
  <r>
    <x v="0"/>
    <x v="137"/>
    <n v="244290"/>
    <n v="1055396152979.1"/>
    <n v="98.105338108117806"/>
  </r>
  <r>
    <x v="0"/>
    <x v="138"/>
    <n v="244376"/>
    <n v="1062568967389.26"/>
    <n v="98.2563373103646"/>
  </r>
  <r>
    <x v="0"/>
    <x v="139"/>
    <n v="244769"/>
    <n v="1071676798504.13"/>
    <n v="97.6126132973924"/>
  </r>
  <r>
    <x v="0"/>
    <x v="140"/>
    <n v="245103"/>
    <n v="1083168990542.87"/>
    <n v="96.2748471760261"/>
  </r>
  <r>
    <x v="0"/>
    <x v="141"/>
    <n v="245417"/>
    <n v="1092258150495.95"/>
    <n v="94.4904178266287"/>
  </r>
  <r>
    <x v="0"/>
    <x v="142"/>
    <n v="245734"/>
    <n v="1101714404588.9399"/>
    <n v="92.125891532202999"/>
  </r>
  <r>
    <x v="0"/>
    <x v="143"/>
    <n v="246265"/>
    <n v="1111269349920.8401"/>
    <n v="90.187952137422997"/>
  </r>
  <r>
    <x v="0"/>
    <x v="144"/>
    <n v="246636"/>
    <n v="1122419326727.3401"/>
    <n v="88.682579573235799"/>
  </r>
  <r>
    <x v="0"/>
    <x v="145"/>
    <n v="247214"/>
    <n v="1132529092295.1799"/>
    <n v="87.4881575882074"/>
  </r>
  <r>
    <x v="0"/>
    <x v="146"/>
    <n v="247639"/>
    <n v="1142036164423.6499"/>
    <n v="86.165527929335497"/>
  </r>
  <r>
    <x v="0"/>
    <x v="147"/>
    <n v="248030"/>
    <n v="1155261788794.02"/>
    <n v="84.032827286979099"/>
  </r>
  <r>
    <x v="0"/>
    <x v="148"/>
    <n v="248548"/>
    <n v="1168142806797.22"/>
    <n v="82.191683934155506"/>
  </r>
  <r>
    <x v="0"/>
    <x v="149"/>
    <n v="248874"/>
    <n v="1181825510252.74"/>
    <n v="80.112057972432595"/>
  </r>
  <r>
    <x v="0"/>
    <x v="150"/>
    <n v="249248"/>
    <n v="1192430186515.3201"/>
    <n v="78.304525949301905"/>
  </r>
  <r>
    <x v="0"/>
    <x v="151"/>
    <n v="249885"/>
    <n v="1206782284664.1699"/>
    <n v="76.8743361996506"/>
  </r>
  <r>
    <x v="0"/>
    <x v="152"/>
    <n v="250428"/>
    <n v="1220415637263.49"/>
    <n v="75.603773963589205"/>
  </r>
  <r>
    <x v="0"/>
    <x v="153"/>
    <n v="250977"/>
    <n v="1240435866291.8799"/>
    <n v="74.233351011369805"/>
  </r>
  <r>
    <x v="0"/>
    <x v="154"/>
    <n v="251536"/>
    <n v="1253159977244.54"/>
    <n v="73.505457075352993"/>
  </r>
  <r>
    <x v="0"/>
    <x v="155"/>
    <n v="252197"/>
    <n v="1267753834052.5601"/>
    <n v="73.143515138607299"/>
  </r>
  <r>
    <x v="0"/>
    <x v="156"/>
    <n v="252755"/>
    <n v="1281899182108.53"/>
    <n v="72.484289280288607"/>
  </r>
  <r>
    <x v="0"/>
    <x v="157"/>
    <n v="253418"/>
    <n v="1297151286163.0601"/>
    <n v="71.847200133787396"/>
  </r>
  <r>
    <x v="0"/>
    <x v="158"/>
    <n v="254121"/>
    <n v="1313547803162.76"/>
    <n v="71.538485464989606"/>
  </r>
  <r>
    <x v="0"/>
    <x v="159"/>
    <n v="254866"/>
    <n v="1329046516438.8999"/>
    <n v="71.063345815094493"/>
  </r>
  <r>
    <x v="0"/>
    <x v="160"/>
    <n v="255714"/>
    <n v="1351361414625.3799"/>
    <n v="70.065721891723797"/>
  </r>
  <r>
    <x v="0"/>
    <x v="161"/>
    <n v="256516"/>
    <n v="1373358197427.46"/>
    <n v="68.313708236519005"/>
  </r>
  <r>
    <x v="0"/>
    <x v="162"/>
    <n v="257355"/>
    <n v="1398518091938.25"/>
    <n v="66.500571306589094"/>
  </r>
  <r>
    <x v="0"/>
    <x v="163"/>
    <n v="258242"/>
    <n v="1423075259258.24"/>
    <n v="64.9077026539901"/>
  </r>
  <r>
    <x v="0"/>
    <x v="164"/>
    <n v="259130"/>
    <n v="1448620805507.53"/>
    <n v="63.654480696013302"/>
  </r>
  <r>
    <x v="0"/>
    <x v="165"/>
    <n v="259997"/>
    <n v="1473008966168.4399"/>
    <n v="62.650643710645497"/>
  </r>
  <r>
    <x v="0"/>
    <x v="166"/>
    <n v="260697"/>
    <n v="1503089126091.8101"/>
    <n v="61.635080387323399"/>
  </r>
  <r>
    <x v="0"/>
    <x v="167"/>
    <n v="261695"/>
    <n v="1536876729700.0601"/>
    <n v="60.8090371781446"/>
  </r>
  <r>
    <x v="0"/>
    <x v="168"/>
    <n v="262505"/>
    <n v="1561574734904.05"/>
    <n v="61.548497943947801"/>
  </r>
  <r>
    <x v="0"/>
    <x v="169"/>
    <n v="264223"/>
    <n v="1598687945829.1299"/>
    <n v="60.864628007882501"/>
  </r>
  <r>
    <x v="0"/>
    <x v="170"/>
    <n v="264813"/>
    <n v="1611864597529.54"/>
    <n v="60.664300505385498"/>
  </r>
  <r>
    <x v="0"/>
    <x v="171"/>
    <n v="265488"/>
    <n v="1627058464695.98"/>
    <n v="60.343611792930702"/>
  </r>
  <r>
    <x v="1"/>
    <x v="172"/>
    <n v="5"/>
    <n v="12238945.18"/>
    <n v="3.5587521049942299"/>
  </r>
  <r>
    <x v="0"/>
    <x v="172"/>
    <n v="266516"/>
    <n v="1649023403524.3301"/>
    <n v="59.515489131084799"/>
  </r>
  <r>
    <x v="0"/>
    <x v="173"/>
    <n v="267221"/>
    <n v="1672012270673.77"/>
    <n v="58.315813476096899"/>
  </r>
  <r>
    <x v="1"/>
    <x v="173"/>
    <n v="11"/>
    <n v="431216401.19999999"/>
    <n v="0.22823340359549801"/>
  </r>
  <r>
    <x v="0"/>
    <x v="174"/>
    <n v="267777"/>
    <n v="1682374180043.9399"/>
    <n v="57.570238039559598"/>
  </r>
  <r>
    <x v="1"/>
    <x v="174"/>
    <n v="15"/>
    <n v="2102895357.54"/>
    <n v="5.1003602553243002E-2"/>
  </r>
  <r>
    <x v="0"/>
    <x v="175"/>
    <n v="268301"/>
    <n v="1690709203256.04"/>
    <n v="56.929971544460798"/>
  </r>
  <r>
    <x v="1"/>
    <x v="175"/>
    <n v="22"/>
    <n v="4048869571.6900001"/>
    <n v="3.5325866328214398E-2"/>
  </r>
  <r>
    <x v="1"/>
    <x v="176"/>
    <n v="32"/>
    <n v="6443245156.5"/>
    <n v="0.783071018992891"/>
  </r>
  <r>
    <x v="0"/>
    <x v="176"/>
    <n v="269084"/>
    <n v="1706507798745.03"/>
    <n v="56.590043091997501"/>
  </r>
  <r>
    <x v="1"/>
    <x v="177"/>
    <n v="33"/>
    <n v="7594722445.1199999"/>
    <n v="1.3465903508452499"/>
  </r>
  <r>
    <x v="0"/>
    <x v="177"/>
    <n v="269586"/>
    <n v="1715320900515.99"/>
    <n v="56.309250616390699"/>
  </r>
  <r>
    <x v="1"/>
    <x v="178"/>
    <n v="33"/>
    <n v="7455294762.29"/>
    <n v="2.9137773898246699"/>
  </r>
  <r>
    <x v="0"/>
    <x v="178"/>
    <n v="269880"/>
    <n v="1722159821907.24"/>
    <n v="56.139045583828498"/>
  </r>
  <r>
    <x v="0"/>
    <x v="179"/>
    <n v="270476"/>
    <n v="1743795423653.5901"/>
    <n v="58.176542228304498"/>
  </r>
  <r>
    <x v="1"/>
    <x v="179"/>
    <n v="37"/>
    <n v="7385915358.9499998"/>
    <n v="15.2071608829841"/>
  </r>
  <r>
    <x v="1"/>
    <x v="180"/>
    <n v="37"/>
    <n v="7186390255.3999996"/>
    <n v="30.837042987584901"/>
  </r>
  <r>
    <x v="0"/>
    <x v="180"/>
    <n v="270820"/>
    <n v="1747958716979.52"/>
    <n v="62.479729063371103"/>
  </r>
  <r>
    <x v="1"/>
    <x v="181"/>
    <n v="57"/>
    <n v="7517545111.1499996"/>
    <n v="38.406516832493097"/>
  </r>
  <r>
    <x v="0"/>
    <x v="181"/>
    <n v="271227"/>
    <n v="1754532172587.8201"/>
    <n v="65.554843239431406"/>
  </r>
  <r>
    <x v="1"/>
    <x v="182"/>
    <n v="80"/>
    <n v="7812894988.0100002"/>
    <n v="45.610057991736603"/>
  </r>
  <r>
    <x v="0"/>
    <x v="182"/>
    <n v="271839"/>
    <n v="1783832899325.1899"/>
    <n v="68.268746934619799"/>
  </r>
  <r>
    <x v="0"/>
    <x v="183"/>
    <n v="272056"/>
    <n v="1788604982272.3999"/>
    <n v="73.315152208214499"/>
  </r>
  <r>
    <x v="1"/>
    <x v="183"/>
    <n v="94"/>
    <n v="7929838117.7600002"/>
    <n v="55.789485946964497"/>
  </r>
  <r>
    <x v="0"/>
    <x v="184"/>
    <n v="272638"/>
    <n v="1851247613799.7"/>
    <n v="90.424679800777696"/>
  </r>
  <r>
    <x v="1"/>
    <x v="184"/>
    <n v="131"/>
    <n v="14236149645.15"/>
    <n v="47.188865474673399"/>
  </r>
  <r>
    <x v="0"/>
    <x v="185"/>
    <n v="273233"/>
    <n v="1892906083080.45"/>
    <n v="97.190728006618102"/>
  </r>
  <r>
    <x v="1"/>
    <x v="185"/>
    <n v="168"/>
    <n v="15653598327.879999"/>
    <n v="47.758455597744003"/>
  </r>
  <r>
    <x v="0"/>
    <x v="186"/>
    <n v="273609"/>
    <n v="1911210202909.05"/>
    <n v="107.386334731619"/>
  </r>
  <r>
    <x v="1"/>
    <x v="186"/>
    <n v="188"/>
    <n v="16210075077.32"/>
    <n v="51.757661907102403"/>
  </r>
  <r>
    <x v="0"/>
    <x v="187"/>
    <n v="273811"/>
    <n v="1922329055650.49"/>
    <n v="118.111894572864"/>
  </r>
  <r>
    <x v="1"/>
    <x v="187"/>
    <n v="222"/>
    <n v="17522334402.939999"/>
    <n v="52.823325414255599"/>
  </r>
  <r>
    <x v="0"/>
    <x v="188"/>
    <n v="274246"/>
    <n v="1936230379188.45"/>
    <n v="130.82481008693799"/>
  </r>
  <r>
    <x v="1"/>
    <x v="188"/>
    <n v="266"/>
    <n v="20636621094.560001"/>
    <n v="52.585446441134302"/>
  </r>
  <r>
    <x v="0"/>
    <x v="189"/>
    <n v="274530"/>
    <n v="1935224752959.1399"/>
    <n v="145.339401379203"/>
  </r>
  <r>
    <x v="1"/>
    <x v="189"/>
    <n v="290"/>
    <n v="24709665353.299999"/>
    <n v="51.351181167658901"/>
  </r>
  <r>
    <x v="2"/>
    <x v="189"/>
    <n v="3"/>
    <n v="15327165.810000001"/>
    <n v="0"/>
  </r>
  <r>
    <x v="0"/>
    <x v="190"/>
    <n v="274807"/>
    <n v="1931516393378.1001"/>
    <n v="160.63402468849301"/>
  </r>
  <r>
    <x v="1"/>
    <x v="190"/>
    <n v="353"/>
    <n v="27060927127.610001"/>
    <n v="54.256265768974302"/>
  </r>
  <r>
    <x v="2"/>
    <x v="190"/>
    <n v="17"/>
    <n v="106566395.2"/>
    <n v="0"/>
  </r>
  <r>
    <x v="0"/>
    <x v="191"/>
    <n v="275195"/>
    <n v="1935480749969.53"/>
    <n v="174.07338216993901"/>
  </r>
  <r>
    <x v="1"/>
    <x v="191"/>
    <n v="414"/>
    <n v="29069674532.27"/>
    <n v="56.396688101639697"/>
  </r>
  <r>
    <x v="2"/>
    <x v="191"/>
    <n v="35"/>
    <n v="234862672.03"/>
    <n v="0"/>
  </r>
  <r>
    <x v="0"/>
    <x v="192"/>
    <n v="275240"/>
    <n v="1926355203139.8799"/>
    <n v="185.825144423388"/>
  </r>
  <r>
    <x v="1"/>
    <x v="192"/>
    <n v="458"/>
    <n v="30591542409.349998"/>
    <n v="56.894617898804697"/>
  </r>
  <r>
    <x v="2"/>
    <x v="192"/>
    <n v="52"/>
    <n v="406767057.86000001"/>
    <n v="0"/>
  </r>
  <r>
    <x v="0"/>
    <x v="193"/>
    <n v="275437"/>
    <n v="1923031361638.27"/>
    <n v="197.55213357036499"/>
  </r>
  <r>
    <x v="1"/>
    <x v="193"/>
    <n v="489"/>
    <n v="32188299766.919998"/>
    <n v="57.823968520627297"/>
  </r>
  <r>
    <x v="2"/>
    <x v="193"/>
    <n v="66"/>
    <n v="597072260.88"/>
    <n v="0"/>
  </r>
  <r>
    <x v="0"/>
    <x v="194"/>
    <n v="275562"/>
    <n v="1915973684687.22"/>
    <n v="209.25876291568099"/>
  </r>
  <r>
    <x v="1"/>
    <x v="194"/>
    <n v="523"/>
    <n v="34019181733.130001"/>
    <n v="58.360326040543001"/>
  </r>
  <r>
    <x v="2"/>
    <x v="194"/>
    <n v="83"/>
    <n v="810653741.88"/>
    <n v="0"/>
  </r>
  <r>
    <x v="0"/>
    <x v="195"/>
    <n v="274490"/>
    <n v="1886014655841.54"/>
    <n v="214.23698631557801"/>
  </r>
  <r>
    <x v="1"/>
    <x v="195"/>
    <n v="565"/>
    <n v="34942230806.919998"/>
    <n v="58.169430188909701"/>
  </r>
  <r>
    <x v="2"/>
    <x v="195"/>
    <n v="99"/>
    <n v="1028774473.66"/>
    <n v="0"/>
  </r>
  <r>
    <x v="0"/>
    <x v="196"/>
    <n v="274482"/>
    <n v="1851844202005.27"/>
    <n v="223.85068377816401"/>
  </r>
  <r>
    <x v="1"/>
    <x v="196"/>
    <n v="596"/>
    <n v="35952137084.459999"/>
    <n v="60.584317696469299"/>
  </r>
  <r>
    <x v="2"/>
    <x v="196"/>
    <n v="117"/>
    <n v="1283914779.73"/>
    <n v="0"/>
  </r>
  <r>
    <x v="0"/>
    <x v="197"/>
    <n v="274694"/>
    <n v="1823788108779.51"/>
    <n v="237.246791594207"/>
  </r>
  <r>
    <x v="1"/>
    <x v="197"/>
    <n v="636"/>
    <n v="36911796753.43"/>
    <n v="66.393766329051303"/>
  </r>
  <r>
    <x v="2"/>
    <x v="197"/>
    <n v="135"/>
    <n v="1489592023.8900001"/>
    <n v="0"/>
  </r>
  <r>
    <x v="0"/>
    <x v="198"/>
    <n v="274934"/>
    <n v="1816002763653.8401"/>
    <n v="253.234953100279"/>
  </r>
  <r>
    <x v="1"/>
    <x v="198"/>
    <n v="682"/>
    <n v="39233880521.379997"/>
    <n v="71.899569577772397"/>
  </r>
  <r>
    <x v="2"/>
    <x v="198"/>
    <n v="156"/>
    <n v="1693098544.05"/>
    <n v="0"/>
  </r>
  <r>
    <x v="0"/>
    <x v="199"/>
    <n v="275265"/>
    <n v="1809160523507.3899"/>
    <n v="270.94507749243201"/>
  </r>
  <r>
    <x v="1"/>
    <x v="199"/>
    <n v="731"/>
    <n v="41226846111.760002"/>
    <n v="79.657367097569804"/>
  </r>
  <r>
    <x v="2"/>
    <x v="199"/>
    <n v="178"/>
    <n v="1929687214.6600001"/>
    <n v="0"/>
  </r>
  <r>
    <x v="0"/>
    <x v="200"/>
    <n v="275759"/>
    <n v="1806620806982.2"/>
    <n v="287.523224174446"/>
  </r>
  <r>
    <x v="1"/>
    <x v="200"/>
    <n v="783"/>
    <n v="43877710701.519997"/>
    <n v="85.304453833365201"/>
  </r>
  <r>
    <x v="2"/>
    <x v="200"/>
    <n v="196"/>
    <n v="2275609818.98"/>
    <n v="0"/>
  </r>
  <r>
    <x v="0"/>
    <x v="201"/>
    <n v="276421"/>
    <n v="1800298888880.73"/>
    <n v="305.41082595754699"/>
  </r>
  <r>
    <x v="1"/>
    <x v="201"/>
    <n v="843"/>
    <n v="46125972276.830002"/>
    <n v="92.542633733228399"/>
  </r>
  <r>
    <x v="2"/>
    <x v="201"/>
    <n v="217"/>
    <n v="2589769137.29"/>
    <n v="0"/>
  </r>
  <r>
    <x v="0"/>
    <x v="202"/>
    <n v="277266"/>
    <n v="1792464139799.6499"/>
    <n v="320.62388440472103"/>
  </r>
  <r>
    <x v="1"/>
    <x v="202"/>
    <n v="896"/>
    <n v="48366176627.93"/>
    <n v="95.749681003782797"/>
  </r>
  <r>
    <x v="2"/>
    <x v="202"/>
    <n v="236"/>
    <n v="2951365460.7199998"/>
    <n v="0"/>
  </r>
  <r>
    <x v="0"/>
    <x v="203"/>
    <n v="278078"/>
    <n v="1786702401571.8401"/>
    <n v="327.48338431042498"/>
  </r>
  <r>
    <x v="1"/>
    <x v="203"/>
    <n v="949"/>
    <n v="50759303463"/>
    <n v="89.611901152502796"/>
  </r>
  <r>
    <x v="2"/>
    <x v="203"/>
    <n v="259"/>
    <n v="3379401993.3099999"/>
    <n v="0"/>
  </r>
  <r>
    <x v="0"/>
    <x v="204"/>
    <n v="278395"/>
    <n v="1774777092612.05"/>
    <n v="334.11514017885003"/>
  </r>
  <r>
    <x v="1"/>
    <x v="204"/>
    <n v="1009"/>
    <n v="52653026516.040001"/>
    <n v="83.851690465771796"/>
  </r>
  <r>
    <x v="2"/>
    <x v="204"/>
    <n v="279"/>
    <n v="3849888136.0700002"/>
    <n v="0"/>
  </r>
  <r>
    <x v="0"/>
    <x v="205"/>
    <n v="278900"/>
    <n v="1768365158153.76"/>
    <n v="338.280309980992"/>
  </r>
  <r>
    <x v="1"/>
    <x v="205"/>
    <n v="1046"/>
    <n v="54091880308.709999"/>
    <n v="79.784906171070304"/>
  </r>
  <r>
    <x v="2"/>
    <x v="205"/>
    <n v="297"/>
    <n v="4348110845.5"/>
    <n v="0"/>
  </r>
  <r>
    <x v="0"/>
    <x v="206"/>
    <n v="279791"/>
    <n v="1771693715295.3601"/>
    <n v="342.85883582360498"/>
  </r>
  <r>
    <x v="1"/>
    <x v="206"/>
    <n v="1107"/>
    <n v="55452548932.449997"/>
    <n v="77.521839788173594"/>
  </r>
  <r>
    <x v="2"/>
    <x v="206"/>
    <n v="323"/>
    <n v="4929321160.3199997"/>
    <n v="0"/>
  </r>
  <r>
    <x v="0"/>
    <x v="207"/>
    <n v="280244"/>
    <n v="1762890974623.96"/>
    <n v="348.90195461920899"/>
  </r>
  <r>
    <x v="1"/>
    <x v="207"/>
    <n v="1145"/>
    <n v="56144173209.129997"/>
    <n v="76.561600970052098"/>
  </r>
  <r>
    <x v="2"/>
    <x v="207"/>
    <n v="350"/>
    <n v="5479584254.1499996"/>
    <n v="0"/>
  </r>
  <r>
    <x v="0"/>
    <x v="208"/>
    <n v="280629"/>
    <n v="1756163628422.04"/>
    <n v="357.95294976351198"/>
  </r>
  <r>
    <x v="1"/>
    <x v="208"/>
    <n v="1174"/>
    <n v="56713020697.900002"/>
    <n v="78.764362600077405"/>
  </r>
  <r>
    <x v="2"/>
    <x v="208"/>
    <n v="376"/>
    <n v="5898298960.6400003"/>
    <n v="0"/>
  </r>
  <r>
    <x v="0"/>
    <x v="209"/>
    <n v="281075"/>
    <n v="1752854091034.3601"/>
    <n v="368.08830653055298"/>
  </r>
  <r>
    <x v="1"/>
    <x v="209"/>
    <n v="1216"/>
    <n v="57606973208.239998"/>
    <n v="82.867554251279302"/>
  </r>
  <r>
    <x v="2"/>
    <x v="209"/>
    <n v="398"/>
    <n v="6434083171.8299999"/>
    <n v="0"/>
  </r>
  <r>
    <x v="0"/>
    <x v="210"/>
    <n v="281434"/>
    <n v="1742063298538.3899"/>
    <n v="378.43051447262701"/>
  </r>
  <r>
    <x v="1"/>
    <x v="210"/>
    <n v="1268"/>
    <n v="58408841241.650002"/>
    <n v="86.037621934994803"/>
  </r>
  <r>
    <x v="2"/>
    <x v="210"/>
    <n v="417"/>
    <n v="6872090576.5200005"/>
    <n v="0"/>
  </r>
  <r>
    <x v="0"/>
    <x v="211"/>
    <n v="281942"/>
    <n v="1736000312551.3601"/>
    <n v="392.57297836115202"/>
  </r>
  <r>
    <x v="1"/>
    <x v="211"/>
    <n v="1327"/>
    <n v="59412547411.709999"/>
    <n v="94.840895006817306"/>
  </r>
  <r>
    <x v="2"/>
    <x v="211"/>
    <n v="437"/>
    <n v="7393854531.21"/>
    <n v="0"/>
  </r>
  <r>
    <x v="0"/>
    <x v="212"/>
    <n v="282590"/>
    <n v="1730062143723.8999"/>
    <n v="408.85795114946302"/>
  </r>
  <r>
    <x v="1"/>
    <x v="212"/>
    <n v="1392"/>
    <n v="60879463797.669998"/>
    <n v="106.429803353048"/>
  </r>
  <r>
    <x v="2"/>
    <x v="212"/>
    <n v="461"/>
    <n v="7990816564.1599998"/>
    <n v="0"/>
  </r>
  <r>
    <x v="0"/>
    <x v="213"/>
    <n v="283012"/>
    <n v="1716111353814.28"/>
    <n v="425.968912579495"/>
  </r>
  <r>
    <x v="1"/>
    <x v="213"/>
    <n v="1471"/>
    <n v="61528554510.57"/>
    <n v="114.588165992667"/>
  </r>
  <r>
    <x v="2"/>
    <x v="213"/>
    <n v="487"/>
    <n v="8517165199.3299999"/>
    <n v="0"/>
  </r>
  <r>
    <x v="0"/>
    <x v="214"/>
    <n v="283516"/>
    <n v="1704192012667.5601"/>
    <n v="442.88219266934198"/>
  </r>
  <r>
    <x v="1"/>
    <x v="214"/>
    <n v="1523"/>
    <n v="63432840444.580002"/>
    <n v="122.599467292063"/>
  </r>
  <r>
    <x v="2"/>
    <x v="214"/>
    <n v="514"/>
    <n v="9074021450.3299999"/>
    <n v="0"/>
  </r>
  <r>
    <x v="0"/>
    <x v="215"/>
    <n v="284179"/>
    <n v="1704718198742.55"/>
    <n v="456.38912042155198"/>
  </r>
  <r>
    <x v="1"/>
    <x v="215"/>
    <n v="1561"/>
    <n v="63431287348.879997"/>
    <n v="134.33384587294799"/>
  </r>
  <r>
    <x v="2"/>
    <x v="215"/>
    <n v="537"/>
    <n v="9400322582.2900009"/>
    <n v="0"/>
  </r>
  <r>
    <x v="0"/>
    <x v="216"/>
    <n v="284757"/>
    <n v="1695810438281.72"/>
    <n v="471.86853414432102"/>
  </r>
  <r>
    <x v="1"/>
    <x v="216"/>
    <n v="1581"/>
    <n v="63028905485.379997"/>
    <n v="146.546582135421"/>
  </r>
  <r>
    <x v="2"/>
    <x v="216"/>
    <n v="563"/>
    <n v="10323435733.66"/>
    <n v="0"/>
  </r>
  <r>
    <x v="0"/>
    <x v="217"/>
    <n v="285377"/>
    <n v="1691373410963.1499"/>
    <n v="486.47569614838602"/>
  </r>
  <r>
    <x v="1"/>
    <x v="217"/>
    <n v="1608"/>
    <n v="62701545672.050003"/>
    <n v="158.205157942732"/>
  </r>
  <r>
    <x v="2"/>
    <x v="217"/>
    <n v="596"/>
    <n v="11215689816.950001"/>
    <n v="0"/>
  </r>
  <r>
    <x v="0"/>
    <x v="218"/>
    <n v="286478"/>
    <n v="1700883766281.3999"/>
    <n v="493.40071780423301"/>
  </r>
  <r>
    <x v="1"/>
    <x v="218"/>
    <n v="1644"/>
    <n v="62862062606.980003"/>
    <n v="165.27034449015201"/>
  </r>
  <r>
    <x v="2"/>
    <x v="218"/>
    <n v="653"/>
    <n v="12887725448.07"/>
    <n v="0"/>
  </r>
  <r>
    <x v="0"/>
    <x v="219"/>
    <n v="286960"/>
    <n v="1686240153711.4299"/>
    <n v="507.53313789267497"/>
  </r>
  <r>
    <x v="1"/>
    <x v="219"/>
    <n v="1667"/>
    <n v="61402153038.43"/>
    <n v="176.64622231945401"/>
  </r>
  <r>
    <x v="2"/>
    <x v="219"/>
    <n v="701"/>
    <n v="14157505535.01"/>
    <n v="0"/>
  </r>
  <r>
    <x v="0"/>
    <x v="220"/>
    <n v="287883"/>
    <n v="1687594503417.6201"/>
    <n v="518.69179042698704"/>
  </r>
  <r>
    <x v="1"/>
    <x v="220"/>
    <n v="1684"/>
    <n v="61117631921.150002"/>
    <n v="188.16032246741"/>
  </r>
  <r>
    <x v="2"/>
    <x v="220"/>
    <n v="753"/>
    <n v="16332228361.5"/>
    <n v="0"/>
  </r>
  <r>
    <x v="0"/>
    <x v="221"/>
    <n v="288800"/>
    <n v="1678034216160.9199"/>
    <n v="534.38959518644901"/>
  </r>
  <r>
    <x v="1"/>
    <x v="221"/>
    <n v="1697"/>
    <n v="61062774148.769997"/>
    <n v="202.089812395537"/>
  </r>
  <r>
    <x v="2"/>
    <x v="221"/>
    <n v="818"/>
    <n v="18926538940.299999"/>
    <n v="1.3765990560683501E-3"/>
  </r>
  <r>
    <x v="3"/>
    <x v="221"/>
    <n v="91"/>
    <n v="5555695171.1300001"/>
    <n v="0"/>
  </r>
  <r>
    <x v="0"/>
    <x v="222"/>
    <n v="289667"/>
    <n v="1673253636966.7"/>
    <n v="550.61592956228503"/>
  </r>
  <r>
    <x v="1"/>
    <x v="222"/>
    <n v="1720"/>
    <n v="61530216630.559998"/>
    <n v="216.58968523558099"/>
  </r>
  <r>
    <x v="2"/>
    <x v="222"/>
    <n v="877"/>
    <n v="21611125130.189999"/>
    <n v="7.4211834335013104E-4"/>
  </r>
  <r>
    <x v="3"/>
    <x v="222"/>
    <n v="156"/>
    <n v="8754398274.3899994"/>
    <n v="0"/>
  </r>
  <r>
    <x v="0"/>
    <x v="223"/>
    <n v="290751"/>
    <n v="1668901981848.5"/>
    <n v="564.03394458094601"/>
  </r>
  <r>
    <x v="1"/>
    <x v="223"/>
    <n v="1748"/>
    <n v="61794453574.470001"/>
    <n v="228.232822547057"/>
  </r>
  <r>
    <x v="2"/>
    <x v="223"/>
    <n v="932"/>
    <n v="24194119358.029999"/>
    <n v="6.6212219275727196E-4"/>
  </r>
  <r>
    <x v="3"/>
    <x v="223"/>
    <n v="210"/>
    <n v="12053254300.4"/>
    <n v="0"/>
  </r>
  <r>
    <x v="0"/>
    <x v="224"/>
    <n v="292008"/>
    <n v="1663516641773.1899"/>
    <n v="577.96787966310205"/>
  </r>
  <r>
    <x v="1"/>
    <x v="224"/>
    <n v="1779"/>
    <n v="61518645943.379997"/>
    <n v="241.48748275286101"/>
  </r>
  <r>
    <x v="2"/>
    <x v="224"/>
    <n v="993"/>
    <n v="26597645245.860001"/>
    <n v="6.0157192912084901E-4"/>
  </r>
  <r>
    <x v="3"/>
    <x v="224"/>
    <n v="281"/>
    <n v="15145163161.950001"/>
    <n v="0"/>
  </r>
  <r>
    <x v="0"/>
    <x v="225"/>
    <n v="292794"/>
    <n v="1648405277502.1699"/>
    <n v="599.20982463912503"/>
  </r>
  <r>
    <x v="1"/>
    <x v="225"/>
    <n v="1797"/>
    <n v="60741144641.419998"/>
    <n v="258.78731462645601"/>
  </r>
  <r>
    <x v="2"/>
    <x v="225"/>
    <n v="1047"/>
    <n v="28293094942.189999"/>
    <n v="3.4242463600533801E-3"/>
  </r>
  <r>
    <x v="3"/>
    <x v="225"/>
    <n v="339"/>
    <n v="17141506906.68"/>
    <n v="0"/>
  </r>
  <r>
    <x v="0"/>
    <x v="226"/>
    <n v="294272"/>
    <n v="1656955004649.22"/>
    <n v="607.50726816404995"/>
  </r>
  <r>
    <x v="1"/>
    <x v="226"/>
    <n v="1849"/>
    <n v="61181393447.510002"/>
    <n v="268.727635570129"/>
  </r>
  <r>
    <x v="2"/>
    <x v="226"/>
    <n v="1134"/>
    <n v="31066598637.540001"/>
    <n v="2.2882325504355499E-3"/>
  </r>
  <r>
    <x v="3"/>
    <x v="226"/>
    <n v="427"/>
    <n v="20228876583.380001"/>
    <n v="3.14181197889935E-3"/>
  </r>
  <r>
    <x v="0"/>
    <x v="227"/>
    <n v="294972"/>
    <n v="1645019670084.6001"/>
    <n v="622.033666668872"/>
  </r>
  <r>
    <x v="1"/>
    <x v="227"/>
    <n v="1864"/>
    <n v="59324750524.360001"/>
    <n v="282.61664020012199"/>
  </r>
  <r>
    <x v="2"/>
    <x v="227"/>
    <n v="1194"/>
    <n v="33051971704.52"/>
    <n v="2.14775656873323E-3"/>
  </r>
  <r>
    <x v="3"/>
    <x v="227"/>
    <n v="493"/>
    <n v="22634123601.41"/>
    <n v="7.5782558168423896E-3"/>
  </r>
  <r>
    <x v="0"/>
    <x v="228"/>
    <n v="295747"/>
    <n v="1641408813705.6101"/>
    <n v="628.62106908960902"/>
  </r>
  <r>
    <x v="1"/>
    <x v="228"/>
    <n v="1890"/>
    <n v="59341253640.129997"/>
    <n v="282.916029307869"/>
  </r>
  <r>
    <x v="2"/>
    <x v="228"/>
    <n v="1265"/>
    <n v="35343557017.519997"/>
    <n v="2.82313660585782E-3"/>
  </r>
  <r>
    <x v="3"/>
    <x v="228"/>
    <n v="572"/>
    <n v="25710780014.439999"/>
    <n v="6.6601953699602099E-3"/>
  </r>
  <r>
    <x v="0"/>
    <x v="229"/>
    <n v="296480"/>
    <n v="1639099306167.1299"/>
    <n v="630.16829176683802"/>
  </r>
  <r>
    <x v="1"/>
    <x v="229"/>
    <n v="1907"/>
    <n v="58273862919.07"/>
    <n v="284.52460346208898"/>
  </r>
  <r>
    <x v="2"/>
    <x v="229"/>
    <n v="1335"/>
    <n v="37312888521.379997"/>
    <n v="3.7808411821423698E-3"/>
  </r>
  <r>
    <x v="3"/>
    <x v="229"/>
    <n v="639"/>
    <n v="27919269484.799999"/>
    <n v="6.1218385613916199E-3"/>
  </r>
  <r>
    <x v="0"/>
    <x v="230"/>
    <n v="296774"/>
    <n v="1632928605681.1299"/>
    <n v="633.86008212267996"/>
  </r>
  <r>
    <x v="1"/>
    <x v="230"/>
    <n v="1927"/>
    <n v="57984952680.769997"/>
    <n v="283.43038066891802"/>
  </r>
  <r>
    <x v="2"/>
    <x v="230"/>
    <n v="1395"/>
    <n v="39156032691.959999"/>
    <n v="5.2648400349945097E-3"/>
  </r>
  <r>
    <x v="3"/>
    <x v="230"/>
    <n v="704"/>
    <n v="30041763432.959999"/>
    <n v="5.6788815787068604E-3"/>
  </r>
  <r>
    <x v="0"/>
    <x v="231"/>
    <n v="297206"/>
    <n v="1630926522634.1799"/>
    <n v="636.39248731055898"/>
  </r>
  <r>
    <x v="1"/>
    <x v="231"/>
    <n v="1940"/>
    <n v="57919460773.599998"/>
    <n v="283.11196877888699"/>
  </r>
  <r>
    <x v="2"/>
    <x v="231"/>
    <n v="1447"/>
    <n v="41135466403"/>
    <n v="9.5927891626630402E-3"/>
  </r>
  <r>
    <x v="3"/>
    <x v="231"/>
    <n v="760"/>
    <n v="32087573394.82"/>
    <n v="5.3034855905790303E-3"/>
  </r>
  <r>
    <x v="0"/>
    <x v="232"/>
    <n v="297478"/>
    <n v="1634172612883.0801"/>
    <n v="633.55465323159603"/>
  </r>
  <r>
    <x v="1"/>
    <x v="232"/>
    <n v="1951"/>
    <n v="57743623776.370003"/>
    <n v="281.31963962226303"/>
  </r>
  <r>
    <x v="2"/>
    <x v="232"/>
    <n v="1489"/>
    <n v="42553384727.230003"/>
    <n v="1.99957546878019E-2"/>
  </r>
  <r>
    <x v="3"/>
    <x v="232"/>
    <n v="806"/>
    <n v="33554081959.810001"/>
    <n v="5.0615944476025401E-3"/>
  </r>
  <r>
    <x v="0"/>
    <x v="233"/>
    <n v="297713"/>
    <n v="1630715136837.8301"/>
    <n v="622.09356513536204"/>
  </r>
  <r>
    <x v="1"/>
    <x v="233"/>
    <n v="1967"/>
    <n v="57562689788.809998"/>
    <n v="269.23981708000701"/>
  </r>
  <r>
    <x v="2"/>
    <x v="233"/>
    <n v="1527"/>
    <n v="44044353148.919998"/>
    <n v="2.2204230372227001E-2"/>
  </r>
  <r>
    <x v="3"/>
    <x v="233"/>
    <n v="846"/>
    <n v="34996952153.550003"/>
    <n v="4.8354296817217897E-3"/>
  </r>
  <r>
    <x v="0"/>
    <x v="234"/>
    <n v="297745"/>
    <n v="1635352864892.78"/>
    <n v="605.75441068210398"/>
  </r>
  <r>
    <x v="1"/>
    <x v="234"/>
    <n v="1980"/>
    <n v="57358795381.5"/>
    <n v="257.11883289524599"/>
  </r>
  <r>
    <x v="2"/>
    <x v="234"/>
    <n v="1571"/>
    <n v="45268306712.739998"/>
    <n v="2.20960682715006E-2"/>
  </r>
  <r>
    <x v="3"/>
    <x v="234"/>
    <n v="890"/>
    <n v="36201078184.980003"/>
    <n v="4.6508039416748902E-3"/>
  </r>
  <r>
    <x v="0"/>
    <x v="235"/>
    <n v="297935"/>
    <n v="1638979706834.8101"/>
    <n v="589.033879196783"/>
  </r>
  <r>
    <x v="1"/>
    <x v="235"/>
    <n v="2002"/>
    <n v="57378888746.93"/>
    <n v="245.70703959149299"/>
  </r>
  <r>
    <x v="2"/>
    <x v="235"/>
    <n v="1617"/>
    <n v="46324942815.470001"/>
    <n v="2.3120276766625401E-2"/>
  </r>
  <r>
    <x v="3"/>
    <x v="235"/>
    <n v="939"/>
    <n v="37243354893.68"/>
    <n v="4.5054468015471496E-3"/>
  </r>
  <r>
    <x v="0"/>
    <x v="236"/>
    <n v="298051"/>
    <n v="1644012668533.9099"/>
    <n v="574.92400237441996"/>
  </r>
  <r>
    <x v="1"/>
    <x v="236"/>
    <n v="2022"/>
    <n v="57356413673.699997"/>
    <n v="238.37529987866699"/>
  </r>
  <r>
    <x v="2"/>
    <x v="236"/>
    <n v="1660"/>
    <n v="47014770367.400002"/>
    <n v="2.2109806592352298E-2"/>
  </r>
  <r>
    <x v="3"/>
    <x v="236"/>
    <n v="980"/>
    <n v="37852364380.050003"/>
    <n v="4.41863965308858E-3"/>
  </r>
  <r>
    <x v="0"/>
    <x v="237"/>
    <n v="298245"/>
    <n v="1652973739227.2"/>
    <n v="566.77917523128099"/>
  </r>
  <r>
    <x v="1"/>
    <x v="237"/>
    <n v="2039"/>
    <n v="57531922542.139999"/>
    <n v="235.248398871348"/>
  </r>
  <r>
    <x v="2"/>
    <x v="237"/>
    <n v="1704"/>
    <n v="47554737040.699997"/>
    <n v="2.6993667235697599E-2"/>
  </r>
  <r>
    <x v="3"/>
    <x v="237"/>
    <n v="1016"/>
    <n v="38288256348.959999"/>
    <n v="4.3534325300905096E-3"/>
  </r>
  <r>
    <x v="0"/>
    <x v="238"/>
    <n v="298380"/>
    <n v="1657289777281.8"/>
    <n v="559.94922089150896"/>
  </r>
  <r>
    <x v="1"/>
    <x v="238"/>
    <n v="2050"/>
    <n v="57672150701.269997"/>
    <n v="232.19420794193499"/>
  </r>
  <r>
    <x v="2"/>
    <x v="238"/>
    <n v="1735"/>
    <n v="47935165709.389999"/>
    <n v="3.1534857380747398E-2"/>
  </r>
  <r>
    <x v="3"/>
    <x v="238"/>
    <n v="1053"/>
    <n v="38615010697.739998"/>
    <n v="4.3051294889814504E-3"/>
  </r>
  <r>
    <x v="0"/>
    <x v="239"/>
    <n v="298565"/>
    <n v="1661238948532.75"/>
    <n v="559.75469552969196"/>
  </r>
  <r>
    <x v="1"/>
    <x v="239"/>
    <n v="2057"/>
    <n v="57721870841.419998"/>
    <n v="235.628373191468"/>
  </r>
  <r>
    <x v="2"/>
    <x v="239"/>
    <n v="1774"/>
    <n v="48419743931.309998"/>
    <n v="0.11200400279485501"/>
  </r>
  <r>
    <x v="3"/>
    <x v="239"/>
    <n v="1080"/>
    <n v="39260930004.410004"/>
    <n v="6.2631244429681501E-3"/>
  </r>
  <r>
    <x v="0"/>
    <x v="240"/>
    <n v="298522"/>
    <n v="1659593431085.3999"/>
    <n v="716.28152810165398"/>
  </r>
  <r>
    <x v="1"/>
    <x v="240"/>
    <n v="2063"/>
    <n v="57492039709.059998"/>
    <n v="301.09526498254002"/>
  </r>
  <r>
    <x v="2"/>
    <x v="240"/>
    <n v="1801"/>
    <n v="48560145055.739998"/>
    <n v="2.6330640991372798"/>
  </r>
  <r>
    <x v="3"/>
    <x v="240"/>
    <n v="1104"/>
    <n v="39416596215.529999"/>
    <n v="6.0615870219577803E-2"/>
  </r>
  <r>
    <x v="0"/>
    <x v="241"/>
    <n v="298590"/>
    <n v="1661124798886"/>
    <n v="711.27184434424396"/>
  </r>
  <r>
    <x v="1"/>
    <x v="241"/>
    <n v="2070"/>
    <n v="57352259518.470001"/>
    <n v="301.338944474257"/>
  </r>
  <r>
    <x v="2"/>
    <x v="241"/>
    <n v="1826"/>
    <n v="48717365807.82"/>
    <n v="5.9309292138913499"/>
  </r>
  <r>
    <x v="3"/>
    <x v="241"/>
    <n v="1126"/>
    <n v="39507898369.230003"/>
    <n v="0.16381828813247501"/>
  </r>
  <r>
    <x v="0"/>
    <x v="242"/>
    <n v="298754"/>
    <n v="1661638057181.03"/>
    <n v="706.94895303444798"/>
  </r>
  <r>
    <x v="1"/>
    <x v="242"/>
    <n v="2071"/>
    <n v="57132134715.449997"/>
    <n v="301.997745601926"/>
  </r>
  <r>
    <x v="2"/>
    <x v="242"/>
    <n v="1844"/>
    <n v="48775718507.580002"/>
    <n v="9.0911741291327992"/>
  </r>
  <r>
    <x v="3"/>
    <x v="242"/>
    <n v="1146"/>
    <n v="39554921006.989998"/>
    <n v="0.24266285431032"/>
  </r>
  <r>
    <x v="0"/>
    <x v="243"/>
    <n v="298806"/>
    <n v="1662332949157.3501"/>
    <n v="701.44283545124699"/>
  </r>
  <r>
    <x v="1"/>
    <x v="243"/>
    <n v="2078"/>
    <n v="56845766696.43"/>
    <n v="302.77379451189898"/>
  </r>
  <r>
    <x v="2"/>
    <x v="243"/>
    <n v="1858"/>
    <n v="48727978881.080002"/>
    <n v="12.3469701053466"/>
  </r>
  <r>
    <x v="3"/>
    <x v="243"/>
    <n v="1161"/>
    <n v="39534993055.339996"/>
    <n v="0.340378868698614"/>
  </r>
  <r>
    <x v="0"/>
    <x v="244"/>
    <n v="298894"/>
    <n v="1662352977660.22"/>
    <n v="698.17537510802697"/>
  </r>
  <r>
    <x v="1"/>
    <x v="244"/>
    <n v="2079"/>
    <n v="56578875659.620003"/>
    <n v="304.72965706994802"/>
  </r>
  <r>
    <x v="2"/>
    <x v="244"/>
    <n v="1870"/>
    <n v="48598619464.529999"/>
    <n v="16.892570197804101"/>
  </r>
  <r>
    <x v="3"/>
    <x v="244"/>
    <n v="1174"/>
    <n v="39463404393.919998"/>
    <n v="0.53972599919960196"/>
  </r>
  <r>
    <x v="0"/>
    <x v="245"/>
    <n v="299170"/>
    <n v="1664665897034.6699"/>
    <n v="694.17895465660797"/>
  </r>
  <r>
    <x v="1"/>
    <x v="245"/>
    <n v="2077"/>
    <n v="56276938887.650002"/>
    <n v="306.743316825882"/>
  </r>
  <r>
    <x v="2"/>
    <x v="245"/>
    <n v="1884"/>
    <n v="48483101276.080002"/>
    <n v="21.6136384490678"/>
  </r>
  <r>
    <x v="3"/>
    <x v="245"/>
    <n v="1188"/>
    <n v="39388794194.209999"/>
    <n v="0.765867475739201"/>
  </r>
  <r>
    <x v="0"/>
    <x v="246"/>
    <n v="299545"/>
    <n v="1668539955684.26"/>
    <n v="689.23541896763902"/>
  </r>
  <r>
    <x v="1"/>
    <x v="246"/>
    <n v="2081"/>
    <n v="56062210355.080002"/>
    <n v="308.40524199502198"/>
  </r>
  <r>
    <x v="2"/>
    <x v="246"/>
    <n v="1898"/>
    <n v="48306769923.019997"/>
    <n v="26.5984945485271"/>
  </r>
  <r>
    <x v="3"/>
    <x v="246"/>
    <n v="1198"/>
    <n v="39294654817.349998"/>
    <n v="1.0264015655787999"/>
  </r>
  <r>
    <x v="0"/>
    <x v="247"/>
    <n v="299871"/>
    <n v="1670343938037"/>
    <n v="685.27728701231501"/>
  </r>
  <r>
    <x v="1"/>
    <x v="247"/>
    <n v="2087"/>
    <n v="55645540533.309998"/>
    <n v="310.001827701499"/>
  </r>
  <r>
    <x v="2"/>
    <x v="247"/>
    <n v="1915"/>
    <n v="48102232418.32"/>
    <n v="31.804130271195501"/>
  </r>
  <r>
    <x v="3"/>
    <x v="247"/>
    <n v="1209"/>
    <n v="39192835810.529999"/>
    <n v="1.3242854465172"/>
  </r>
  <r>
    <x v="0"/>
    <x v="248"/>
    <n v="300262"/>
    <n v="1676850309557.6299"/>
    <n v="680.52767170773495"/>
  </r>
  <r>
    <x v="1"/>
    <x v="248"/>
    <n v="2090"/>
    <n v="55621264788.639999"/>
    <n v="311.48243437314198"/>
  </r>
  <r>
    <x v="2"/>
    <x v="248"/>
    <n v="1926"/>
    <n v="47890424521.330002"/>
    <n v="36.8499378419869"/>
  </r>
  <r>
    <x v="3"/>
    <x v="248"/>
    <n v="1218"/>
    <n v="39081676749.080002"/>
    <n v="1.61664204123942"/>
  </r>
  <r>
    <x v="0"/>
    <x v="249"/>
    <n v="300784"/>
    <n v="1684277646790.8601"/>
    <n v="677.13700121548004"/>
  </r>
  <r>
    <x v="1"/>
    <x v="249"/>
    <n v="2089"/>
    <n v="55366832140.669998"/>
    <n v="314.30616013131998"/>
  </r>
  <r>
    <x v="2"/>
    <x v="249"/>
    <n v="1935"/>
    <n v="47664710255.110001"/>
    <n v="43.1642839441988"/>
  </r>
  <r>
    <x v="3"/>
    <x v="249"/>
    <n v="1229"/>
    <n v="38971879224.970001"/>
    <n v="2.0812332354685901"/>
  </r>
  <r>
    <x v="0"/>
    <x v="250"/>
    <n v="301174"/>
    <n v="1685362593546.73"/>
    <n v="677.549544068194"/>
  </r>
  <r>
    <x v="1"/>
    <x v="250"/>
    <n v="2093"/>
    <n v="55101250894.25"/>
    <n v="317.66289222973302"/>
  </r>
  <r>
    <x v="2"/>
    <x v="250"/>
    <n v="1943"/>
    <n v="47405248626.07"/>
    <n v="49.896714734482202"/>
  </r>
  <r>
    <x v="3"/>
    <x v="250"/>
    <n v="1234"/>
    <n v="38837765170.470001"/>
    <n v="2.6222830977246998"/>
  </r>
  <r>
    <x v="0"/>
    <x v="251"/>
    <n v="301744"/>
    <n v="1694662663304.0601"/>
    <n v="677.36599727868895"/>
  </r>
  <r>
    <x v="1"/>
    <x v="251"/>
    <n v="2104"/>
    <n v="54945293853.269997"/>
    <n v="323.422907078322"/>
  </r>
  <r>
    <x v="2"/>
    <x v="251"/>
    <n v="1957"/>
    <n v="47210415269.309998"/>
    <n v="58.723529052872699"/>
  </r>
  <r>
    <x v="3"/>
    <x v="251"/>
    <n v="1244"/>
    <n v="38713428394.529999"/>
    <n v="3.6213205385721201"/>
  </r>
  <r>
    <x v="0"/>
    <x v="252"/>
    <n v="302124"/>
    <n v="1697793974754.6899"/>
    <n v="681.12360102473303"/>
  </r>
  <r>
    <x v="1"/>
    <x v="252"/>
    <n v="2112"/>
    <n v="54539779489.800003"/>
    <n v="331.78876476354998"/>
  </r>
  <r>
    <x v="2"/>
    <x v="252"/>
    <n v="1967"/>
    <n v="46941608230.800003"/>
    <n v="71.094953130222805"/>
  </r>
  <r>
    <x v="3"/>
    <x v="252"/>
    <n v="1251"/>
    <n v="38563701206.080002"/>
    <n v="5.5838324326133097"/>
  </r>
  <r>
    <x v="0"/>
    <x v="253"/>
    <n v="302604"/>
    <n v="1701526727197.6599"/>
    <n v="685.62519758541805"/>
  </r>
  <r>
    <x v="1"/>
    <x v="253"/>
    <n v="2123"/>
    <n v="54424224378.089996"/>
    <n v="339.18227439988601"/>
  </r>
  <r>
    <x v="2"/>
    <x v="253"/>
    <n v="1977"/>
    <n v="46731480687.449997"/>
    <n v="82.922225590864301"/>
  </r>
  <r>
    <x v="3"/>
    <x v="253"/>
    <n v="1258"/>
    <n v="38419602868.800003"/>
    <n v="7.4812375946174399"/>
  </r>
  <r>
    <x v="0"/>
    <x v="254"/>
    <n v="303067"/>
    <n v="1705063723228.8799"/>
    <n v="687.41900371137899"/>
  </r>
  <r>
    <x v="1"/>
    <x v="254"/>
    <n v="2127"/>
    <n v="53980461373.160004"/>
    <n v="344.26014769029598"/>
  </r>
  <r>
    <x v="2"/>
    <x v="254"/>
    <n v="1989"/>
    <n v="46448619701.699997"/>
    <n v="93.853723547359195"/>
  </r>
  <r>
    <x v="3"/>
    <x v="254"/>
    <n v="1267"/>
    <n v="38264484535.919998"/>
    <n v="9.2557772700558303"/>
  </r>
  <r>
    <x v="0"/>
    <x v="255"/>
    <n v="303626"/>
    <n v="1705465041251.01"/>
    <n v="688.76268795994997"/>
  </r>
  <r>
    <x v="1"/>
    <x v="255"/>
    <n v="2130"/>
    <n v="53334300236"/>
    <n v="348.61122099323802"/>
  </r>
  <r>
    <x v="2"/>
    <x v="255"/>
    <n v="2000"/>
    <n v="46068741761.550003"/>
    <n v="106.197906558182"/>
  </r>
  <r>
    <x v="3"/>
    <x v="255"/>
    <n v="1274"/>
    <n v="38076849573.309998"/>
    <n v="11.548520044242"/>
  </r>
  <r>
    <x v="0"/>
    <x v="256"/>
    <n v="304069"/>
    <n v="1707243648596.95"/>
    <n v="686.98293896624102"/>
  </r>
  <r>
    <x v="1"/>
    <x v="256"/>
    <n v="2136"/>
    <n v="52743944187.010002"/>
    <n v="350.94824361080998"/>
  </r>
  <r>
    <x v="2"/>
    <x v="256"/>
    <n v="2010"/>
    <n v="45680607740.449997"/>
    <n v="115.98993486574101"/>
  </r>
  <r>
    <x v="3"/>
    <x v="256"/>
    <n v="1284"/>
    <n v="37874463420.110001"/>
    <n v="13.2260350230115"/>
  </r>
  <r>
    <x v="0"/>
    <x v="257"/>
    <n v="304526"/>
    <n v="1710074547945.3301"/>
    <n v="682.54791417108402"/>
  </r>
  <r>
    <x v="1"/>
    <x v="257"/>
    <n v="2144"/>
    <n v="53035541022.290001"/>
    <n v="345.59242568832002"/>
  </r>
  <r>
    <x v="2"/>
    <x v="257"/>
    <n v="2021"/>
    <n v="45283690761.019997"/>
    <n v="123.677988092034"/>
  </r>
  <r>
    <x v="3"/>
    <x v="257"/>
    <n v="1291"/>
    <n v="37654575557.940002"/>
    <n v="14.4931073715177"/>
  </r>
  <r>
    <x v="0"/>
    <x v="258"/>
    <n v="304957"/>
    <n v="1715173017738.5601"/>
    <n v="675.66321474967401"/>
  </r>
  <r>
    <x v="1"/>
    <x v="258"/>
    <n v="2149"/>
    <n v="52795398936.43"/>
    <n v="341.38658397972699"/>
  </r>
  <r>
    <x v="2"/>
    <x v="258"/>
    <n v="2034"/>
    <n v="44830717499.190002"/>
    <n v="130.756244406306"/>
  </r>
  <r>
    <x v="3"/>
    <x v="258"/>
    <n v="1300"/>
    <n v="37410876254.669998"/>
    <n v="15.671334939456701"/>
  </r>
  <r>
    <x v="0"/>
    <x v="259"/>
    <n v="305492"/>
    <n v="1718096723563.3201"/>
    <n v="671.82851647818802"/>
  </r>
  <r>
    <x v="1"/>
    <x v="259"/>
    <n v="2162"/>
    <n v="52770132887.830002"/>
    <n v="339.23221037748198"/>
  </r>
  <r>
    <x v="2"/>
    <x v="259"/>
    <n v="2042"/>
    <n v="44381702236.650002"/>
    <n v="140.031484378729"/>
  </r>
  <r>
    <x v="3"/>
    <x v="259"/>
    <n v="1307"/>
    <n v="37159487080.809998"/>
    <n v="17.544268213442699"/>
  </r>
  <r>
    <x v="0"/>
    <x v="260"/>
    <n v="306021"/>
    <n v="1729227687203.3701"/>
    <n v="666.21701564884904"/>
  </r>
  <r>
    <x v="1"/>
    <x v="260"/>
    <n v="2173"/>
    <n v="52633387839.209999"/>
    <n v="339.76878849986599"/>
  </r>
  <r>
    <x v="2"/>
    <x v="260"/>
    <n v="2052"/>
    <n v="44008637029.370003"/>
    <n v="149.621624357222"/>
  </r>
  <r>
    <x v="3"/>
    <x v="260"/>
    <n v="1315"/>
    <n v="36939526623.260002"/>
    <n v="19.5981542104212"/>
  </r>
  <r>
    <x v="0"/>
    <x v="261"/>
    <n v="306476"/>
    <n v="1737379808198.2"/>
    <n v="664.14840555317096"/>
  </r>
  <r>
    <x v="1"/>
    <x v="261"/>
    <n v="2186"/>
    <n v="52506624208.32"/>
    <n v="342.86528775684201"/>
  </r>
  <r>
    <x v="2"/>
    <x v="261"/>
    <n v="2069"/>
    <n v="43698985154.040001"/>
    <n v="160.638193977594"/>
  </r>
  <r>
    <x v="3"/>
    <x v="261"/>
    <n v="1328"/>
    <n v="36789617512.57"/>
    <n v="22.242590195425699"/>
  </r>
  <r>
    <x v="0"/>
    <x v="262"/>
    <n v="306761"/>
    <n v="1734507571227.5901"/>
    <n v="662.98512189021301"/>
  </r>
  <r>
    <x v="1"/>
    <x v="262"/>
    <n v="2195"/>
    <n v="52316553177.239998"/>
    <n v="343.273924688325"/>
  </r>
  <r>
    <x v="2"/>
    <x v="262"/>
    <n v="2073"/>
    <n v="43286317529.480003"/>
    <n v="169.32231866556401"/>
  </r>
  <r>
    <x v="3"/>
    <x v="262"/>
    <n v="1332"/>
    <n v="36550588239.07"/>
    <n v="24.217537787201799"/>
  </r>
  <r>
    <x v="0"/>
    <x v="263"/>
    <n v="307158"/>
    <n v="1742660147829.8999"/>
    <n v="659.13132301569703"/>
  </r>
  <r>
    <x v="1"/>
    <x v="263"/>
    <n v="2212"/>
    <n v="52451800097.93"/>
    <n v="343.52346561726102"/>
  </r>
  <r>
    <x v="2"/>
    <x v="263"/>
    <n v="2082"/>
    <n v="42975673769.300003"/>
    <n v="177.99107436696599"/>
  </r>
  <r>
    <x v="3"/>
    <x v="263"/>
    <n v="1339"/>
    <n v="36350171434.389999"/>
    <n v="26.217616530880399"/>
  </r>
  <r>
    <x v="0"/>
    <x v="264"/>
    <n v="307309"/>
    <n v="1746557623903.75"/>
    <n v="657.01209122663101"/>
  </r>
  <r>
    <x v="1"/>
    <x v="264"/>
    <n v="2214"/>
    <n v="52231231146.370003"/>
    <n v="345.27365752574798"/>
  </r>
  <r>
    <x v="2"/>
    <x v="264"/>
    <n v="2090"/>
    <n v="42587228592.629997"/>
    <n v="187.937123287812"/>
  </r>
  <r>
    <x v="3"/>
    <x v="264"/>
    <n v="1343"/>
    <n v="36103641907.169998"/>
    <n v="28.7763311655815"/>
  </r>
  <r>
    <x v="0"/>
    <x v="265"/>
    <n v="307672"/>
    <n v="1749230451883.8101"/>
    <n v="661.64800832421997"/>
  </r>
  <r>
    <x v="1"/>
    <x v="265"/>
    <n v="2226"/>
    <n v="52211453665.650002"/>
    <n v="352.32402728956401"/>
  </r>
  <r>
    <x v="2"/>
    <x v="265"/>
    <n v="2098"/>
    <n v="42314996395.470001"/>
    <n v="201.87353719229799"/>
  </r>
  <r>
    <x v="3"/>
    <x v="265"/>
    <n v="1347"/>
    <n v="35909399214.110001"/>
    <n v="32.895969429512597"/>
  </r>
  <r>
    <x v="0"/>
    <x v="266"/>
    <n v="308177"/>
    <n v="1758381892008.99"/>
    <n v="664.61762785527799"/>
  </r>
  <r>
    <x v="1"/>
    <x v="266"/>
    <n v="2236"/>
    <n v="52408156377.43"/>
    <n v="357.60417310944501"/>
  </r>
  <r>
    <x v="2"/>
    <x v="266"/>
    <n v="2109"/>
    <n v="42015385385.540001"/>
    <n v="216.75980522150499"/>
  </r>
  <r>
    <x v="3"/>
    <x v="266"/>
    <n v="1356"/>
    <n v="35708371081.940002"/>
    <n v="37.8792387810158"/>
  </r>
  <r>
    <x v="0"/>
    <x v="267"/>
    <n v="308550"/>
    <n v="1762538348889.95"/>
    <n v="667.12941718162995"/>
  </r>
  <r>
    <x v="1"/>
    <x v="267"/>
    <n v="2249"/>
    <n v="52597600836.050003"/>
    <n v="361.47208299461101"/>
  </r>
  <r>
    <x v="2"/>
    <x v="267"/>
    <n v="2122"/>
    <n v="41605142128.040001"/>
    <n v="231.739816430546"/>
  </r>
  <r>
    <x v="3"/>
    <x v="267"/>
    <n v="1361"/>
    <n v="35410457427.75"/>
    <n v="43.202243852006099"/>
  </r>
  <r>
    <x v="0"/>
    <x v="268"/>
    <n v="308957"/>
    <n v="1767039306438.99"/>
    <n v="670.04034855362397"/>
  </r>
  <r>
    <x v="1"/>
    <x v="268"/>
    <n v="2258"/>
    <n v="52812767276.599998"/>
    <n v="364.81981429339203"/>
  </r>
  <r>
    <x v="2"/>
    <x v="268"/>
    <n v="2130"/>
    <n v="41147928671"/>
    <n v="247.03218916321799"/>
  </r>
  <r>
    <x v="3"/>
    <x v="268"/>
    <n v="1367"/>
    <n v="35129109527.150002"/>
    <n v="48.992581916276499"/>
  </r>
  <r>
    <x v="0"/>
    <x v="269"/>
    <n v="309633"/>
    <n v="1773173538779.0801"/>
    <n v="672.19014624758699"/>
  </r>
  <r>
    <x v="1"/>
    <x v="269"/>
    <n v="2265"/>
    <n v="53682511085.900002"/>
    <n v="363.89801652093098"/>
  </r>
  <r>
    <x v="2"/>
    <x v="269"/>
    <n v="2137"/>
    <n v="40666312136.339996"/>
    <n v="263.10201350098299"/>
  </r>
  <r>
    <x v="3"/>
    <x v="269"/>
    <n v="1374"/>
    <n v="34806670533.199997"/>
    <n v="55.373881396395603"/>
  </r>
  <r>
    <x v="3"/>
    <x v="270"/>
    <n v="1380"/>
    <n v="34436906908.110001"/>
    <n v="63.398960847482499"/>
  </r>
  <r>
    <x v="2"/>
    <x v="270"/>
    <n v="2143"/>
    <n v="40108011455.849998"/>
    <n v="281.67336170247899"/>
  </r>
  <r>
    <x v="1"/>
    <x v="270"/>
    <n v="2278"/>
    <n v="54334948049.68"/>
    <n v="367.60630348311099"/>
  </r>
  <r>
    <x v="0"/>
    <x v="270"/>
    <n v="310027"/>
    <n v="1776650798767.21"/>
    <n v="677.39050069334201"/>
  </r>
  <r>
    <x v="1"/>
    <x v="271"/>
    <n v="2291"/>
    <n v="55686999256.790001"/>
    <n v="366.52225613881598"/>
  </r>
  <r>
    <x v="2"/>
    <x v="271"/>
    <n v="2148"/>
    <n v="39586221687.860001"/>
    <n v="300.69494599573898"/>
  </r>
  <r>
    <x v="3"/>
    <x v="271"/>
    <n v="1385"/>
    <n v="34088680556.189999"/>
    <n v="72.385146088576803"/>
  </r>
  <r>
    <x v="0"/>
    <x v="271"/>
    <n v="310733"/>
    <n v="1788184749657.6001"/>
    <n v="680.42264988361899"/>
  </r>
  <r>
    <x v="3"/>
    <x v="272"/>
    <n v="1390"/>
    <n v="33686513650.32"/>
    <n v="81.177249538561796"/>
  </r>
  <r>
    <x v="0"/>
    <x v="272"/>
    <n v="311376"/>
    <n v="1794130472303.8501"/>
    <n v="681.46777242359803"/>
  </r>
  <r>
    <x v="1"/>
    <x v="272"/>
    <n v="2303"/>
    <n v="56641834722.18"/>
    <n v="363.410223643628"/>
  </r>
  <r>
    <x v="2"/>
    <x v="272"/>
    <n v="2155"/>
    <n v="38990714989.599998"/>
    <n v="318.57619372843902"/>
  </r>
  <r>
    <x v="2"/>
    <x v="273"/>
    <n v="2160"/>
    <n v="38393460834.57"/>
    <n v="336.35771665200201"/>
  </r>
  <r>
    <x v="0"/>
    <x v="273"/>
    <n v="311865"/>
    <n v="1801406955244.1799"/>
    <n v="681.91536630773101"/>
  </r>
  <r>
    <x v="1"/>
    <x v="273"/>
    <n v="2318"/>
    <n v="57818867738.870003"/>
    <n v="357.69819943875501"/>
  </r>
  <r>
    <x v="3"/>
    <x v="273"/>
    <n v="1393"/>
    <n v="33302990549.639999"/>
    <n v="90.128570141652602"/>
  </r>
  <r>
    <x v="4"/>
    <x v="274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6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pivotTable1.xml><?xml version="1.0" encoding="utf-8"?>
<pivotTableDefinition xmlns="http://schemas.openxmlformats.org/spreadsheetml/2006/main" name="PivotTable2" cacheId="25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AA3:AB88" firstHeaderRow="1" firstDataRow="1" firstDataCol="1" rowPageCount="1" colPageCount="1"/>
  <pivotFields count="5">
    <pivotField axis="axisPage" showAll="0">
      <items count="6">
        <item x="0"/>
        <item x="1"/>
        <item x="2"/>
        <item x="3"/>
        <item x="4"/>
        <item t="default"/>
      </items>
    </pivotField>
    <pivotField axis="axisRow" showAll="0">
      <items count="2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t="default"/>
      </items>
    </pivotField>
    <pivotField showAll="0"/>
    <pivotField showAll="0"/>
    <pivotField dataField="1" showAll="0"/>
  </pivotFields>
  <rowFields count="1">
    <field x="1"/>
  </rowFields>
  <rowItems count="85"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 t="grand">
      <x/>
    </i>
  </rowItems>
  <colItems count="1">
    <i/>
  </colItems>
  <pageFields count="1">
    <pageField fld="0" item="2" hier="-1"/>
  </pageFields>
  <dataFields count="1">
    <dataField name="Sum of wavg_burnout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1" cacheId="250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G3:H88" firstHeaderRow="1" firstDataRow="1" firstDataCol="1" rowPageCount="1" colPageCount="1"/>
  <pivotFields count="5">
    <pivotField axis="axisPage" showAll="0">
      <items count="6">
        <item x="0"/>
        <item x="1"/>
        <item x="2"/>
        <item x="3"/>
        <item x="4"/>
        <item t="default"/>
      </items>
    </pivotField>
    <pivotField axis="axisRow" showAll="0">
      <items count="27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t="default"/>
      </items>
    </pivotField>
    <pivotField showAll="0"/>
    <pivotField showAll="0"/>
    <pivotField dataField="1" showAll="0"/>
  </pivotFields>
  <rowFields count="1">
    <field x="1"/>
  </rowFields>
  <rowItems count="85">
    <i>
      <x v="186"/>
    </i>
    <i>
      <x v="187"/>
    </i>
    <i>
      <x v="188"/>
    </i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 t="grand">
      <x/>
    </i>
  </rowItems>
  <colItems count="1">
    <i/>
  </colItems>
  <pageFields count="1">
    <pageField fld="0" item="2" hier="-1"/>
  </pageFields>
  <dataFields count="1">
    <dataField name="Sum of wavg_burnout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4" cacheId="296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2">
  <location ref="Z3:AA89" firstHeaderRow="1" firstDataRow="1" firstDataCol="1" rowPageCount="1" colPageCount="1"/>
  <pivotFields count="5">
    <pivotField axis="axisPage" showAll="0">
      <items count="6">
        <item x="1"/>
        <item x="0"/>
        <item x="2"/>
        <item x="3"/>
        <item x="4"/>
        <item t="default"/>
      </items>
    </pivotField>
    <pivotField axis="axisRow" numFmtId="14" showAll="0" sortType="ascending">
      <items count="2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t="default"/>
      </items>
    </pivotField>
    <pivotField showAll="0"/>
    <pivotField showAll="0" defaultSubtotal="0"/>
    <pivotField dataField="1" showAll="0" defaultSubtotal="0"/>
  </pivotFields>
  <rowFields count="1">
    <field x="1"/>
  </rowFields>
  <rowItems count="86"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 t="grand">
      <x/>
    </i>
  </rowItems>
  <colItems count="1">
    <i/>
  </colItems>
  <pageFields count="1">
    <pageField fld="0" item="2" hier="-1"/>
  </pageFields>
  <dataFields count="1">
    <dataField name="Sum of burnout" fld="4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3" cacheId="277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G3:H89" firstHeaderRow="1" firstDataRow="1" firstDataCol="1" rowPageCount="1" colPageCount="1"/>
  <pivotFields count="5">
    <pivotField axis="axisPage" showAll="0">
      <items count="6">
        <item x="1"/>
        <item x="0"/>
        <item x="2"/>
        <item x="3"/>
        <item x="4"/>
        <item t="default"/>
      </items>
    </pivotField>
    <pivotField axis="axisRow" numFmtId="14" showAll="0" sortType="ascending">
      <items count="276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t="default"/>
      </items>
    </pivotField>
    <pivotField showAll="0"/>
    <pivotField showAll="0" defaultSubtotal="0"/>
    <pivotField dataField="1" showAll="0" defaultSubtotal="0"/>
  </pivotFields>
  <rowFields count="1">
    <field x="1"/>
  </rowFields>
  <rowItems count="86">
    <i>
      <x v="189"/>
    </i>
    <i>
      <x v="190"/>
    </i>
    <i>
      <x v="191"/>
    </i>
    <i>
      <x v="192"/>
    </i>
    <i>
      <x v="193"/>
    </i>
    <i>
      <x v="194"/>
    </i>
    <i>
      <x v="195"/>
    </i>
    <i>
      <x v="196"/>
    </i>
    <i>
      <x v="197"/>
    </i>
    <i>
      <x v="198"/>
    </i>
    <i>
      <x v="199"/>
    </i>
    <i>
      <x v="200"/>
    </i>
    <i>
      <x v="201"/>
    </i>
    <i>
      <x v="202"/>
    </i>
    <i>
      <x v="203"/>
    </i>
    <i>
      <x v="204"/>
    </i>
    <i>
      <x v="205"/>
    </i>
    <i>
      <x v="206"/>
    </i>
    <i>
      <x v="207"/>
    </i>
    <i>
      <x v="208"/>
    </i>
    <i>
      <x v="209"/>
    </i>
    <i>
      <x v="210"/>
    </i>
    <i>
      <x v="211"/>
    </i>
    <i>
      <x v="212"/>
    </i>
    <i>
      <x v="213"/>
    </i>
    <i>
      <x v="214"/>
    </i>
    <i>
      <x v="215"/>
    </i>
    <i>
      <x v="216"/>
    </i>
    <i>
      <x v="217"/>
    </i>
    <i>
      <x v="218"/>
    </i>
    <i>
      <x v="219"/>
    </i>
    <i>
      <x v="220"/>
    </i>
    <i>
      <x v="221"/>
    </i>
    <i>
      <x v="222"/>
    </i>
    <i>
      <x v="223"/>
    </i>
    <i>
      <x v="224"/>
    </i>
    <i>
      <x v="225"/>
    </i>
    <i>
      <x v="226"/>
    </i>
    <i>
      <x v="227"/>
    </i>
    <i>
      <x v="228"/>
    </i>
    <i>
      <x v="229"/>
    </i>
    <i>
      <x v="230"/>
    </i>
    <i>
      <x v="231"/>
    </i>
    <i>
      <x v="232"/>
    </i>
    <i>
      <x v="233"/>
    </i>
    <i>
      <x v="234"/>
    </i>
    <i>
      <x v="235"/>
    </i>
    <i>
      <x v="236"/>
    </i>
    <i>
      <x v="237"/>
    </i>
    <i>
      <x v="238"/>
    </i>
    <i>
      <x v="239"/>
    </i>
    <i>
      <x v="240"/>
    </i>
    <i>
      <x v="241"/>
    </i>
    <i>
      <x v="242"/>
    </i>
    <i>
      <x v="243"/>
    </i>
    <i>
      <x v="244"/>
    </i>
    <i>
      <x v="245"/>
    </i>
    <i>
      <x v="246"/>
    </i>
    <i>
      <x v="247"/>
    </i>
    <i>
      <x v="248"/>
    </i>
    <i>
      <x v="249"/>
    </i>
    <i>
      <x v="250"/>
    </i>
    <i>
      <x v="251"/>
    </i>
    <i>
      <x v="252"/>
    </i>
    <i>
      <x v="253"/>
    </i>
    <i>
      <x v="254"/>
    </i>
    <i>
      <x v="255"/>
    </i>
    <i>
      <x v="256"/>
    </i>
    <i>
      <x v="257"/>
    </i>
    <i>
      <x v="258"/>
    </i>
    <i>
      <x v="259"/>
    </i>
    <i>
      <x v="260"/>
    </i>
    <i>
      <x v="261"/>
    </i>
    <i>
      <x v="262"/>
    </i>
    <i>
      <x v="263"/>
    </i>
    <i>
      <x v="264"/>
    </i>
    <i>
      <x v="265"/>
    </i>
    <i>
      <x v="266"/>
    </i>
    <i>
      <x v="267"/>
    </i>
    <i>
      <x v="268"/>
    </i>
    <i>
      <x v="269"/>
    </i>
    <i>
      <x v="270"/>
    </i>
    <i>
      <x v="271"/>
    </i>
    <i>
      <x v="272"/>
    </i>
    <i>
      <x v="273"/>
    </i>
    <i t="grand">
      <x/>
    </i>
  </rowItems>
  <colItems count="1">
    <i/>
  </colItems>
  <pageFields count="1">
    <pageField fld="0" item="2" hier="-1"/>
  </pageFields>
  <dataFields count="1">
    <dataField name="Sum of burnout" fld="4" baseField="0" baseItem="0"/>
  </dataFields>
  <chartFormats count="1">
    <chartFormat chart="0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5.xml><?xml version="1.0" encoding="utf-8"?>
<pivotTableDefinition xmlns="http://schemas.openxmlformats.org/spreadsheetml/2006/main" name="PivotTable6" cacheId="292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X3:Y39" firstHeaderRow="1" firstDataRow="1" firstDataCol="1" rowPageCount="1" colPageCount="1"/>
  <pivotFields count="5">
    <pivotField axis="axisPage" showAll="0">
      <items count="6">
        <item x="0"/>
        <item x="1"/>
        <item x="2"/>
        <item x="3"/>
        <item x="4"/>
        <item t="default"/>
      </items>
    </pivotField>
    <pivotField axis="axisRow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showAll="0"/>
    <pivotField showAll="0"/>
    <pivotField dataField="1" showAll="0"/>
  </pivotFields>
  <rowFields count="1">
    <field x="1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Items count="1">
    <i/>
  </colItems>
  <pageFields count="1">
    <pageField fld="0" item="2" hier="-1"/>
  </pageFields>
  <dataFields count="1">
    <dataField name="Sum of wavg_burnout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6.xml><?xml version="1.0" encoding="utf-8"?>
<pivotTableDefinition xmlns="http://schemas.openxmlformats.org/spreadsheetml/2006/main" name="PivotTable5" cacheId="284" applyNumberFormats="0" applyBorderFormats="0" applyFontFormats="0" applyPatternFormats="0" applyAlignmentFormats="0" applyWidthHeightFormats="1" dataCaption="Values" updatedVersion="4" minRefreshableVersion="3" useAutoFormatting="1" itemPrintTitles="1" createdVersion="4" indent="0" outline="1" outlineData="1" multipleFieldFilters="0" chartFormat="1">
  <location ref="G3:H39" firstHeaderRow="1" firstDataRow="1" firstDataCol="1" rowPageCount="1" colPageCount="1"/>
  <pivotFields count="5">
    <pivotField axis="axisPage" showAll="0">
      <items count="6">
        <item x="0"/>
        <item x="1"/>
        <item x="2"/>
        <item x="3"/>
        <item x="4"/>
        <item t="default"/>
      </items>
    </pivotField>
    <pivotField axis="axisRow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showAll="0"/>
    <pivotField showAll="0"/>
    <pivotField dataField="1" showAll="0"/>
  </pivotFields>
  <rowFields count="1">
    <field x="1"/>
  </rowFields>
  <rowItems count="3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 t="grand">
      <x/>
    </i>
  </rowItems>
  <colItems count="1">
    <i/>
  </colItems>
  <pageFields count="1">
    <pageField fld="0" item="2" hier="-1"/>
  </pageFields>
  <dataFields count="1">
    <dataField name="Sum of wavg_burnout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4.xml"/><Relationship Id="rId2" Type="http://schemas.openxmlformats.org/officeDocument/2006/relationships/pivotTable" Target="../pivotTables/pivotTable4.xml"/><Relationship Id="rId1" Type="http://schemas.openxmlformats.org/officeDocument/2006/relationships/pivotTable" Target="../pivotTables/pivotTable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5.xml"/><Relationship Id="rId2" Type="http://schemas.openxmlformats.org/officeDocument/2006/relationships/pivotTable" Target="../pivotTables/pivotTable6.xml"/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24"/>
  <sheetViews>
    <sheetView zoomScale="85" zoomScaleNormal="85" workbookViewId="0">
      <selection activeCell="A35" sqref="A35:B35"/>
    </sheetView>
  </sheetViews>
  <sheetFormatPr defaultRowHeight="15" x14ac:dyDescent="0.25"/>
  <cols>
    <col min="1" max="1" width="9.85546875" bestFit="1" customWidth="1"/>
    <col min="2" max="2" width="8.42578125" bestFit="1" customWidth="1"/>
    <col min="3" max="3" width="9.5703125" bestFit="1" customWidth="1"/>
    <col min="4" max="5" width="12.42578125" bestFit="1" customWidth="1"/>
    <col min="6" max="6" width="12.42578125" customWidth="1"/>
    <col min="8" max="8" width="9.85546875" bestFit="1" customWidth="1"/>
    <col min="9" max="9" width="8.42578125" bestFit="1" customWidth="1"/>
    <col min="10" max="10" width="9.5703125" bestFit="1" customWidth="1"/>
    <col min="11" max="12" width="12.42578125" bestFit="1" customWidth="1"/>
  </cols>
  <sheetData>
    <row r="1" spans="1:12" x14ac:dyDescent="0.25">
      <c r="B1" t="s">
        <v>3</v>
      </c>
      <c r="C1" t="s">
        <v>0</v>
      </c>
      <c r="D1" t="s">
        <v>6</v>
      </c>
      <c r="E1" t="s">
        <v>5</v>
      </c>
      <c r="I1" t="s">
        <v>3</v>
      </c>
      <c r="J1" t="s">
        <v>0</v>
      </c>
      <c r="K1" t="s">
        <v>6</v>
      </c>
      <c r="L1" t="s">
        <v>5</v>
      </c>
    </row>
    <row r="2" spans="1:12" x14ac:dyDescent="0.25">
      <c r="A2" s="1">
        <v>38961</v>
      </c>
      <c r="B2">
        <v>0</v>
      </c>
      <c r="C2">
        <v>38.6</v>
      </c>
      <c r="D2">
        <v>37.458500000000001</v>
      </c>
      <c r="E2">
        <v>31.569999999999901</v>
      </c>
      <c r="H2" s="1">
        <v>40269</v>
      </c>
      <c r="I2">
        <v>0</v>
      </c>
      <c r="J2">
        <v>39.99</v>
      </c>
      <c r="K2">
        <v>33.593200000000003</v>
      </c>
      <c r="L2">
        <v>27.95</v>
      </c>
    </row>
    <row r="3" spans="1:12" x14ac:dyDescent="0.25">
      <c r="A3" s="1">
        <v>38991</v>
      </c>
      <c r="B3">
        <v>0</v>
      </c>
      <c r="C3">
        <v>48.5</v>
      </c>
      <c r="D3">
        <v>44.914900000000003</v>
      </c>
      <c r="E3">
        <v>31.569999999999901</v>
      </c>
      <c r="H3" s="1">
        <v>40299</v>
      </c>
      <c r="I3">
        <v>0</v>
      </c>
      <c r="J3">
        <v>-27.5</v>
      </c>
      <c r="K3">
        <v>33.593200000000003</v>
      </c>
      <c r="L3">
        <v>27.95</v>
      </c>
    </row>
    <row r="4" spans="1:12" x14ac:dyDescent="0.25">
      <c r="A4" s="1">
        <v>39022</v>
      </c>
      <c r="B4">
        <v>0</v>
      </c>
      <c r="C4">
        <v>53.62</v>
      </c>
      <c r="D4">
        <v>53.192700000000002</v>
      </c>
      <c r="E4">
        <v>31.569999999999901</v>
      </c>
      <c r="H4" s="1">
        <v>40330</v>
      </c>
      <c r="I4">
        <v>0</v>
      </c>
      <c r="J4">
        <v>-7.25</v>
      </c>
      <c r="K4">
        <v>33.593200000000003</v>
      </c>
      <c r="L4">
        <v>27.95</v>
      </c>
    </row>
    <row r="5" spans="1:12" x14ac:dyDescent="0.25">
      <c r="A5" s="1">
        <v>39052</v>
      </c>
      <c r="B5">
        <v>0</v>
      </c>
      <c r="C5">
        <v>63.99</v>
      </c>
      <c r="D5">
        <v>63.154200000000003</v>
      </c>
      <c r="E5">
        <v>31.569999999999901</v>
      </c>
      <c r="H5" s="1">
        <v>40360</v>
      </c>
      <c r="I5">
        <v>0</v>
      </c>
      <c r="J5">
        <v>10.4</v>
      </c>
      <c r="K5">
        <v>35.030099999999997</v>
      </c>
      <c r="L5">
        <v>27.95</v>
      </c>
    </row>
    <row r="6" spans="1:12" x14ac:dyDescent="0.25">
      <c r="A6" s="1">
        <v>39083</v>
      </c>
      <c r="B6">
        <v>0</v>
      </c>
      <c r="C6">
        <v>75.87</v>
      </c>
      <c r="D6">
        <v>75.078500000000005</v>
      </c>
      <c r="E6">
        <v>31.569999999999901</v>
      </c>
      <c r="H6" s="1">
        <v>40391</v>
      </c>
      <c r="I6">
        <v>0</v>
      </c>
      <c r="J6">
        <v>25.5</v>
      </c>
      <c r="K6">
        <v>38.590699999999998</v>
      </c>
      <c r="L6">
        <v>27.95</v>
      </c>
    </row>
    <row r="7" spans="1:12" x14ac:dyDescent="0.25">
      <c r="A7" s="1">
        <v>39114</v>
      </c>
      <c r="B7">
        <v>0</v>
      </c>
      <c r="C7">
        <v>65.790000000000006</v>
      </c>
      <c r="D7">
        <v>85.335099999999997</v>
      </c>
      <c r="E7">
        <v>31.569999999999901</v>
      </c>
      <c r="H7" s="1">
        <v>40422</v>
      </c>
      <c r="I7">
        <v>0</v>
      </c>
      <c r="J7">
        <v>38.74</v>
      </c>
      <c r="K7">
        <v>44.052700000000002</v>
      </c>
      <c r="L7">
        <v>27.95</v>
      </c>
    </row>
    <row r="8" spans="1:12" x14ac:dyDescent="0.25">
      <c r="A8" s="1">
        <v>39142</v>
      </c>
      <c r="B8">
        <v>0</v>
      </c>
      <c r="C8">
        <v>65.5</v>
      </c>
      <c r="D8">
        <v>95.542500000000004</v>
      </c>
      <c r="E8">
        <v>31.569999999999901</v>
      </c>
      <c r="H8" s="1">
        <v>40452</v>
      </c>
      <c r="I8">
        <v>0</v>
      </c>
      <c r="J8">
        <v>46.4</v>
      </c>
      <c r="K8">
        <v>50.629100000000001</v>
      </c>
      <c r="L8">
        <v>27.95</v>
      </c>
    </row>
    <row r="9" spans="1:12" x14ac:dyDescent="0.25">
      <c r="A9" s="1">
        <v>39173</v>
      </c>
      <c r="B9">
        <v>0</v>
      </c>
      <c r="C9">
        <v>74.37</v>
      </c>
      <c r="D9">
        <v>107.2167</v>
      </c>
      <c r="E9">
        <v>31.569999999999901</v>
      </c>
      <c r="H9" s="1">
        <v>40483</v>
      </c>
      <c r="I9">
        <v>0</v>
      </c>
      <c r="J9">
        <v>56.5</v>
      </c>
      <c r="K9">
        <v>58.696300000000001</v>
      </c>
      <c r="L9">
        <v>27.95</v>
      </c>
    </row>
    <row r="10" spans="1:12" x14ac:dyDescent="0.25">
      <c r="A10" s="1">
        <v>39203</v>
      </c>
      <c r="B10">
        <v>0</v>
      </c>
      <c r="C10">
        <v>70.75</v>
      </c>
      <c r="D10">
        <v>118.2891</v>
      </c>
      <c r="E10">
        <v>31.569999999999901</v>
      </c>
      <c r="H10" s="1">
        <v>40513</v>
      </c>
      <c r="I10">
        <v>0</v>
      </c>
      <c r="J10">
        <v>48.37</v>
      </c>
      <c r="K10">
        <v>65.5625</v>
      </c>
      <c r="L10">
        <v>27.95</v>
      </c>
    </row>
    <row r="11" spans="1:12" x14ac:dyDescent="0.25">
      <c r="A11" s="1">
        <v>39234</v>
      </c>
      <c r="B11">
        <v>0</v>
      </c>
      <c r="C11">
        <v>62.8</v>
      </c>
      <c r="D11">
        <v>128.05449999999999</v>
      </c>
      <c r="E11">
        <v>31.569999999999901</v>
      </c>
      <c r="H11" s="1">
        <v>40544</v>
      </c>
      <c r="I11">
        <v>0</v>
      </c>
      <c r="J11">
        <v>9.1</v>
      </c>
      <c r="K11">
        <v>66.818700000000007</v>
      </c>
      <c r="L11">
        <v>27.95</v>
      </c>
    </row>
    <row r="12" spans="1:12" x14ac:dyDescent="0.25">
      <c r="A12" s="1">
        <v>39264</v>
      </c>
      <c r="B12">
        <v>0</v>
      </c>
      <c r="C12">
        <v>23.62</v>
      </c>
      <c r="D12">
        <v>131.6172</v>
      </c>
      <c r="E12">
        <v>31.569999999999901</v>
      </c>
      <c r="H12" s="1">
        <v>40575</v>
      </c>
      <c r="I12">
        <v>0</v>
      </c>
      <c r="J12">
        <v>4.12</v>
      </c>
      <c r="K12">
        <v>67.386099999999999</v>
      </c>
      <c r="L12">
        <v>27.95</v>
      </c>
    </row>
    <row r="13" spans="1:12" x14ac:dyDescent="0.25">
      <c r="A13" s="1">
        <v>39295</v>
      </c>
      <c r="B13">
        <v>0</v>
      </c>
      <c r="C13">
        <v>20.5</v>
      </c>
      <c r="D13">
        <v>134.7013</v>
      </c>
      <c r="E13">
        <v>31.569999999999901</v>
      </c>
      <c r="H13" s="1">
        <v>40603</v>
      </c>
      <c r="I13">
        <v>0</v>
      </c>
      <c r="J13">
        <v>-13.75</v>
      </c>
      <c r="K13">
        <v>67.386099999999999</v>
      </c>
      <c r="L13">
        <v>27.95</v>
      </c>
    </row>
    <row r="14" spans="1:12" x14ac:dyDescent="0.25">
      <c r="A14" s="1">
        <v>39326</v>
      </c>
      <c r="B14">
        <v>0</v>
      </c>
      <c r="C14">
        <v>32.799999999999997</v>
      </c>
      <c r="D14">
        <v>139.68260000000001</v>
      </c>
      <c r="E14">
        <v>31.569999999999901</v>
      </c>
      <c r="H14" s="1">
        <v>40634</v>
      </c>
      <c r="I14">
        <v>0</v>
      </c>
      <c r="J14">
        <v>-2.1</v>
      </c>
      <c r="K14">
        <v>67.386099999999999</v>
      </c>
      <c r="L14">
        <v>27.95</v>
      </c>
    </row>
    <row r="15" spans="1:12" x14ac:dyDescent="0.25">
      <c r="A15" s="1">
        <v>39356</v>
      </c>
      <c r="B15">
        <v>0</v>
      </c>
      <c r="C15">
        <v>49.24</v>
      </c>
      <c r="D15">
        <v>147.25880000000001</v>
      </c>
      <c r="E15">
        <v>31.569999999999901</v>
      </c>
      <c r="H15" s="1">
        <v>40664</v>
      </c>
      <c r="I15">
        <v>0</v>
      </c>
      <c r="J15">
        <v>-1.87</v>
      </c>
      <c r="K15">
        <v>67.386099999999999</v>
      </c>
      <c r="L15">
        <v>27.95</v>
      </c>
    </row>
    <row r="16" spans="1:12" x14ac:dyDescent="0.25">
      <c r="A16" s="1">
        <v>39387</v>
      </c>
      <c r="B16">
        <v>0</v>
      </c>
      <c r="C16">
        <v>53.29</v>
      </c>
      <c r="D16">
        <v>155.48429999999999</v>
      </c>
      <c r="E16">
        <v>31.569999999999901</v>
      </c>
      <c r="H16" s="1">
        <v>40695</v>
      </c>
      <c r="I16">
        <v>0</v>
      </c>
      <c r="J16">
        <v>17.75</v>
      </c>
      <c r="K16">
        <v>69.851100000000002</v>
      </c>
      <c r="L16">
        <v>27.95</v>
      </c>
    </row>
    <row r="17" spans="1:12" x14ac:dyDescent="0.25">
      <c r="A17" s="1">
        <v>39417</v>
      </c>
      <c r="B17">
        <v>0</v>
      </c>
      <c r="C17">
        <v>69.25</v>
      </c>
      <c r="D17">
        <v>166.30879999999999</v>
      </c>
      <c r="E17">
        <v>31.569999999999901</v>
      </c>
      <c r="H17" s="1">
        <v>40725</v>
      </c>
      <c r="I17">
        <v>0</v>
      </c>
      <c r="J17">
        <v>30.5</v>
      </c>
      <c r="K17">
        <v>74.124899999999997</v>
      </c>
      <c r="L17">
        <v>27.95</v>
      </c>
    </row>
    <row r="18" spans="1:12" x14ac:dyDescent="0.25">
      <c r="A18" s="1">
        <v>39448</v>
      </c>
      <c r="B18">
        <v>0</v>
      </c>
      <c r="C18">
        <v>79.25</v>
      </c>
      <c r="D18">
        <v>178.798</v>
      </c>
      <c r="E18">
        <v>31.569999999999901</v>
      </c>
      <c r="H18" s="1">
        <v>40756</v>
      </c>
      <c r="I18">
        <v>0</v>
      </c>
      <c r="J18">
        <v>56.37</v>
      </c>
      <c r="K18">
        <v>82.173500000000004</v>
      </c>
      <c r="L18">
        <v>27.95</v>
      </c>
    </row>
    <row r="19" spans="1:12" x14ac:dyDescent="0.25">
      <c r="A19" s="1">
        <v>39479</v>
      </c>
      <c r="B19">
        <v>0</v>
      </c>
      <c r="C19">
        <v>113.19</v>
      </c>
      <c r="D19">
        <v>197.15469999999999</v>
      </c>
      <c r="E19">
        <v>31.569999999999901</v>
      </c>
      <c r="H19" s="1">
        <v>40787</v>
      </c>
      <c r="I19">
        <v>0</v>
      </c>
      <c r="J19">
        <v>85</v>
      </c>
      <c r="K19">
        <v>94.570999999999998</v>
      </c>
      <c r="L19">
        <v>27.95</v>
      </c>
    </row>
    <row r="20" spans="1:12" x14ac:dyDescent="0.25">
      <c r="A20" s="1">
        <v>39508</v>
      </c>
      <c r="B20">
        <v>0</v>
      </c>
      <c r="C20">
        <v>90.12</v>
      </c>
      <c r="D20">
        <v>211.48609999999999</v>
      </c>
      <c r="E20">
        <v>31.569999999999901</v>
      </c>
      <c r="H20" s="1">
        <v>40817</v>
      </c>
      <c r="I20">
        <v>0</v>
      </c>
      <c r="J20">
        <v>103.75</v>
      </c>
      <c r="K20">
        <v>109.92319999999999</v>
      </c>
      <c r="L20">
        <v>27.95</v>
      </c>
    </row>
    <row r="21" spans="1:12" x14ac:dyDescent="0.25">
      <c r="A21" s="1">
        <v>39539</v>
      </c>
      <c r="B21">
        <v>0</v>
      </c>
      <c r="C21">
        <v>84.87</v>
      </c>
      <c r="D21">
        <v>224.9239</v>
      </c>
      <c r="E21">
        <v>31.569999999999901</v>
      </c>
      <c r="H21" s="1">
        <v>40848</v>
      </c>
      <c r="I21">
        <v>0</v>
      </c>
      <c r="J21">
        <v>102.25</v>
      </c>
      <c r="K21">
        <v>125.03579999999999</v>
      </c>
      <c r="L21">
        <v>27.95</v>
      </c>
    </row>
    <row r="22" spans="1:12" x14ac:dyDescent="0.25">
      <c r="A22" s="1">
        <v>39569</v>
      </c>
      <c r="B22">
        <v>0</v>
      </c>
      <c r="C22">
        <v>88.64</v>
      </c>
      <c r="D22">
        <v>239.0035</v>
      </c>
      <c r="E22">
        <v>31.569999999999901</v>
      </c>
      <c r="H22" s="1">
        <v>40878</v>
      </c>
      <c r="I22">
        <v>0</v>
      </c>
      <c r="J22">
        <v>112.1</v>
      </c>
      <c r="K22">
        <v>141.73249999999999</v>
      </c>
      <c r="L22">
        <v>27.95</v>
      </c>
    </row>
    <row r="23" spans="1:12" x14ac:dyDescent="0.25">
      <c r="A23" s="1">
        <v>39600</v>
      </c>
      <c r="B23">
        <v>0</v>
      </c>
      <c r="C23">
        <v>78.239999999999995</v>
      </c>
      <c r="D23">
        <v>251.32499999999999</v>
      </c>
      <c r="E23">
        <v>31.569999999999901</v>
      </c>
      <c r="H23" s="1">
        <v>40909</v>
      </c>
      <c r="I23">
        <v>0</v>
      </c>
      <c r="J23">
        <v>116.12</v>
      </c>
      <c r="K23">
        <v>159.0838</v>
      </c>
      <c r="L23">
        <v>27.95</v>
      </c>
    </row>
    <row r="24" spans="1:12" x14ac:dyDescent="0.25">
      <c r="A24" s="1">
        <v>39630</v>
      </c>
      <c r="B24">
        <v>0</v>
      </c>
      <c r="C24">
        <v>45.5</v>
      </c>
      <c r="D24">
        <v>258.30369999999999</v>
      </c>
      <c r="E24">
        <v>31.569999999999901</v>
      </c>
      <c r="H24" s="1">
        <v>40940</v>
      </c>
      <c r="I24">
        <v>0</v>
      </c>
      <c r="J24">
        <v>118.75</v>
      </c>
      <c r="K24">
        <v>176.86429999999999</v>
      </c>
      <c r="L24">
        <v>27.95</v>
      </c>
    </row>
    <row r="25" spans="1:12" x14ac:dyDescent="0.25">
      <c r="A25" s="1">
        <v>39661</v>
      </c>
      <c r="B25">
        <v>0</v>
      </c>
      <c r="C25">
        <v>35.64</v>
      </c>
      <c r="D25">
        <v>263.72969999999998</v>
      </c>
      <c r="E25">
        <v>31.569999999999901</v>
      </c>
      <c r="H25" s="1">
        <v>40969</v>
      </c>
      <c r="I25">
        <v>0</v>
      </c>
      <c r="J25">
        <v>94.8</v>
      </c>
      <c r="K25">
        <v>190.79519999999999</v>
      </c>
      <c r="L25">
        <v>27.95</v>
      </c>
    </row>
    <row r="26" spans="1:12" x14ac:dyDescent="0.25">
      <c r="A26" s="1">
        <v>39692</v>
      </c>
      <c r="B26">
        <v>0</v>
      </c>
      <c r="C26">
        <v>29.12</v>
      </c>
      <c r="D26">
        <v>268.1404</v>
      </c>
      <c r="E26">
        <v>31.569999999999901</v>
      </c>
      <c r="H26" s="1">
        <v>41000</v>
      </c>
      <c r="I26">
        <v>0</v>
      </c>
      <c r="J26">
        <v>87.87</v>
      </c>
      <c r="K26">
        <v>203.64009999999999</v>
      </c>
      <c r="L26">
        <v>27.95</v>
      </c>
    </row>
    <row r="27" spans="1:12" x14ac:dyDescent="0.25">
      <c r="A27" s="1">
        <v>39722</v>
      </c>
      <c r="B27">
        <v>0</v>
      </c>
      <c r="C27">
        <v>73.12</v>
      </c>
      <c r="D27">
        <v>279.60669999999999</v>
      </c>
      <c r="E27">
        <v>31.569999999999901</v>
      </c>
      <c r="H27" s="1">
        <v>41030</v>
      </c>
      <c r="I27">
        <v>0</v>
      </c>
      <c r="J27">
        <v>94.87</v>
      </c>
      <c r="K27">
        <v>217.5829</v>
      </c>
      <c r="L27">
        <v>27.95</v>
      </c>
    </row>
    <row r="28" spans="1:12" x14ac:dyDescent="0.25">
      <c r="A28" s="1">
        <v>39753</v>
      </c>
      <c r="B28">
        <v>0</v>
      </c>
      <c r="C28">
        <v>58.25</v>
      </c>
      <c r="D28">
        <v>288.63159999999999</v>
      </c>
      <c r="E28">
        <v>31.569999999999901</v>
      </c>
      <c r="H28" s="1">
        <v>41061</v>
      </c>
      <c r="I28">
        <v>0</v>
      </c>
      <c r="J28">
        <v>105.19</v>
      </c>
      <c r="K28">
        <v>233.16730000000001</v>
      </c>
      <c r="L28">
        <v>27.95</v>
      </c>
    </row>
    <row r="29" spans="1:12" x14ac:dyDescent="0.25">
      <c r="A29" s="1">
        <v>39783</v>
      </c>
      <c r="B29">
        <v>0</v>
      </c>
      <c r="C29">
        <v>67.489999999999995</v>
      </c>
      <c r="D29">
        <v>299.16759999999999</v>
      </c>
      <c r="E29">
        <v>31.569999999999901</v>
      </c>
      <c r="H29" s="1">
        <v>41091</v>
      </c>
      <c r="I29">
        <v>0</v>
      </c>
      <c r="J29">
        <v>119</v>
      </c>
      <c r="K29">
        <v>250.9888</v>
      </c>
      <c r="L29">
        <v>27.95</v>
      </c>
    </row>
    <row r="30" spans="1:12" x14ac:dyDescent="0.25">
      <c r="A30" s="1">
        <v>39814</v>
      </c>
      <c r="B30">
        <v>0</v>
      </c>
      <c r="C30">
        <v>147.15</v>
      </c>
      <c r="D30">
        <v>323.7577</v>
      </c>
      <c r="E30">
        <v>31.569999999999901</v>
      </c>
      <c r="H30" s="1">
        <v>41122</v>
      </c>
      <c r="I30">
        <v>0</v>
      </c>
      <c r="J30">
        <v>130.87</v>
      </c>
      <c r="K30">
        <v>270.77620000000002</v>
      </c>
      <c r="L30">
        <v>27.95</v>
      </c>
    </row>
    <row r="31" spans="1:12" x14ac:dyDescent="0.25">
      <c r="A31" s="1">
        <v>39845</v>
      </c>
      <c r="B31">
        <v>0</v>
      </c>
      <c r="C31">
        <v>172.12</v>
      </c>
      <c r="D31">
        <v>353.19479999999999</v>
      </c>
      <c r="E31">
        <v>31.569999999999901</v>
      </c>
      <c r="H31" s="1">
        <v>41153</v>
      </c>
      <c r="I31">
        <v>0</v>
      </c>
      <c r="J31">
        <v>127.8</v>
      </c>
      <c r="K31">
        <v>290.05079999999998</v>
      </c>
      <c r="L31">
        <v>27.95</v>
      </c>
    </row>
    <row r="32" spans="1:12" x14ac:dyDescent="0.25">
      <c r="A32" s="1">
        <v>39873</v>
      </c>
      <c r="B32">
        <v>0</v>
      </c>
      <c r="C32">
        <v>162.62</v>
      </c>
      <c r="D32">
        <v>380.7604</v>
      </c>
      <c r="E32">
        <v>31.569999999999901</v>
      </c>
      <c r="H32" s="1">
        <v>41183</v>
      </c>
      <c r="I32">
        <v>0</v>
      </c>
      <c r="J32">
        <v>138.62</v>
      </c>
      <c r="K32">
        <v>311.14240000000001</v>
      </c>
      <c r="L32">
        <v>27.95</v>
      </c>
    </row>
    <row r="33" spans="1:12" x14ac:dyDescent="0.25">
      <c r="A33" s="1">
        <v>39904</v>
      </c>
      <c r="B33">
        <v>0</v>
      </c>
      <c r="C33">
        <v>175.99</v>
      </c>
      <c r="D33">
        <v>410.971</v>
      </c>
      <c r="E33">
        <v>31.569999999999901</v>
      </c>
      <c r="H33" s="1">
        <v>41214</v>
      </c>
      <c r="I33">
        <v>0</v>
      </c>
      <c r="J33">
        <v>148.6</v>
      </c>
      <c r="K33">
        <v>333.93799999999999</v>
      </c>
      <c r="L33">
        <v>27.95</v>
      </c>
    </row>
    <row r="34" spans="1:12" x14ac:dyDescent="0.25">
      <c r="A34" s="1">
        <v>39934</v>
      </c>
      <c r="B34">
        <v>0</v>
      </c>
      <c r="C34">
        <v>195.75</v>
      </c>
      <c r="D34">
        <v>445.2201</v>
      </c>
      <c r="E34">
        <v>31.569999999999901</v>
      </c>
      <c r="H34" s="1">
        <v>41244</v>
      </c>
      <c r="I34">
        <v>0</v>
      </c>
      <c r="J34">
        <v>151.62</v>
      </c>
      <c r="K34">
        <v>357.25619999999998</v>
      </c>
      <c r="L34">
        <v>27.95</v>
      </c>
    </row>
    <row r="35" spans="1:12" x14ac:dyDescent="0.25">
      <c r="A35" s="1">
        <v>39965</v>
      </c>
      <c r="B35">
        <v>1</v>
      </c>
      <c r="C35">
        <v>191.12</v>
      </c>
      <c r="D35">
        <v>478.50869999999998</v>
      </c>
      <c r="E35">
        <v>64.858608197471696</v>
      </c>
      <c r="H35" s="1">
        <v>41275</v>
      </c>
      <c r="I35">
        <v>0</v>
      </c>
      <c r="J35">
        <v>151.99</v>
      </c>
      <c r="K35">
        <v>380.63929999999999</v>
      </c>
      <c r="L35">
        <v>27.95</v>
      </c>
    </row>
    <row r="36" spans="1:12" x14ac:dyDescent="0.25">
      <c r="A36" s="1">
        <v>39995</v>
      </c>
      <c r="B36">
        <v>1</v>
      </c>
      <c r="C36">
        <v>134.25</v>
      </c>
      <c r="D36">
        <v>500.68419999999998</v>
      </c>
      <c r="E36">
        <v>87.034170801407896</v>
      </c>
      <c r="H36" s="1">
        <v>41306</v>
      </c>
      <c r="I36">
        <v>0</v>
      </c>
      <c r="J36">
        <v>145.1</v>
      </c>
      <c r="K36">
        <v>402.83370000000002</v>
      </c>
      <c r="L36">
        <v>27.95</v>
      </c>
    </row>
    <row r="37" spans="1:12" x14ac:dyDescent="0.25">
      <c r="A37" s="1">
        <v>40026</v>
      </c>
      <c r="B37">
        <v>1</v>
      </c>
      <c r="C37">
        <v>141.54</v>
      </c>
      <c r="D37">
        <v>524.21900000000005</v>
      </c>
      <c r="E37">
        <v>110.568905324913</v>
      </c>
      <c r="H37" s="1">
        <v>41334</v>
      </c>
      <c r="I37">
        <v>0</v>
      </c>
      <c r="J37">
        <v>130.75</v>
      </c>
      <c r="K37">
        <v>422.60019999999997</v>
      </c>
      <c r="L37">
        <v>27.95</v>
      </c>
    </row>
    <row r="38" spans="1:12" x14ac:dyDescent="0.25">
      <c r="A38" s="1">
        <v>40057</v>
      </c>
      <c r="B38">
        <v>1</v>
      </c>
      <c r="C38">
        <v>145.12</v>
      </c>
      <c r="D38">
        <v>548.42610000000002</v>
      </c>
      <c r="E38">
        <v>134.77606144488601</v>
      </c>
      <c r="H38" s="1">
        <v>41365</v>
      </c>
      <c r="I38">
        <v>0</v>
      </c>
      <c r="J38">
        <v>128.12</v>
      </c>
      <c r="K38">
        <v>441.9289</v>
      </c>
      <c r="L38">
        <v>27.95</v>
      </c>
    </row>
    <row r="39" spans="1:12" x14ac:dyDescent="0.25">
      <c r="A39" s="1">
        <v>40087</v>
      </c>
      <c r="B39">
        <v>1</v>
      </c>
      <c r="C39">
        <v>160.84</v>
      </c>
      <c r="D39">
        <v>575.64589999999998</v>
      </c>
      <c r="E39">
        <v>161.99582536461901</v>
      </c>
      <c r="H39" s="1">
        <v>41395</v>
      </c>
      <c r="I39">
        <v>0</v>
      </c>
      <c r="J39">
        <v>139.12</v>
      </c>
      <c r="K39">
        <v>463.10520000000002</v>
      </c>
      <c r="L39">
        <v>27.95</v>
      </c>
    </row>
    <row r="40" spans="1:12" x14ac:dyDescent="0.25">
      <c r="A40" s="1">
        <v>40118</v>
      </c>
      <c r="B40">
        <v>1</v>
      </c>
      <c r="C40">
        <v>168.24</v>
      </c>
      <c r="D40">
        <v>604.31539999999995</v>
      </c>
      <c r="E40">
        <v>190.66531591866101</v>
      </c>
      <c r="H40" s="1">
        <v>41426</v>
      </c>
      <c r="I40">
        <v>0</v>
      </c>
      <c r="J40">
        <v>131.38999999999999</v>
      </c>
      <c r="K40">
        <v>482.98039999999997</v>
      </c>
      <c r="L40">
        <v>27.95</v>
      </c>
    </row>
    <row r="41" spans="1:12" x14ac:dyDescent="0.25">
      <c r="A41" s="1">
        <v>40148</v>
      </c>
      <c r="B41">
        <v>1</v>
      </c>
      <c r="C41">
        <v>176.24</v>
      </c>
      <c r="D41">
        <v>634.57619999999997</v>
      </c>
      <c r="E41">
        <v>220.92608818550701</v>
      </c>
      <c r="H41" s="1">
        <v>41456</v>
      </c>
      <c r="I41">
        <v>0</v>
      </c>
      <c r="J41">
        <v>77.239999999999995</v>
      </c>
      <c r="K41">
        <v>494.18169999999998</v>
      </c>
      <c r="L41">
        <v>27.95</v>
      </c>
    </row>
    <row r="42" spans="1:12" x14ac:dyDescent="0.25">
      <c r="A42" s="1">
        <v>40179</v>
      </c>
      <c r="B42">
        <v>1</v>
      </c>
      <c r="C42">
        <v>170.75</v>
      </c>
      <c r="D42">
        <v>663.74019999999996</v>
      </c>
      <c r="E42">
        <v>250.090139589328</v>
      </c>
      <c r="H42" s="1">
        <v>41487</v>
      </c>
      <c r="I42">
        <v>0</v>
      </c>
      <c r="J42">
        <v>15.09</v>
      </c>
      <c r="K42">
        <v>496.27480000000003</v>
      </c>
      <c r="L42">
        <v>27.95</v>
      </c>
    </row>
    <row r="43" spans="1:12" x14ac:dyDescent="0.25">
      <c r="A43" s="1">
        <v>40210</v>
      </c>
      <c r="B43">
        <v>1</v>
      </c>
      <c r="C43">
        <v>161.37</v>
      </c>
      <c r="D43">
        <v>691.06209999999999</v>
      </c>
      <c r="E43">
        <v>277.41206595622299</v>
      </c>
      <c r="H43" s="1">
        <v>41518</v>
      </c>
      <c r="I43">
        <v>0</v>
      </c>
      <c r="J43">
        <v>5.62</v>
      </c>
      <c r="K43">
        <v>497.04939999999999</v>
      </c>
      <c r="L43">
        <v>27.95</v>
      </c>
    </row>
    <row r="44" spans="1:12" x14ac:dyDescent="0.25">
      <c r="A44" s="1">
        <v>40238</v>
      </c>
      <c r="B44">
        <v>1</v>
      </c>
      <c r="C44">
        <v>164.75</v>
      </c>
      <c r="D44">
        <v>719.04330000000004</v>
      </c>
      <c r="E44">
        <v>305.39325487448099</v>
      </c>
      <c r="H44" s="1">
        <v>41548</v>
      </c>
      <c r="I44">
        <v>0</v>
      </c>
      <c r="J44">
        <v>3.87</v>
      </c>
      <c r="K44">
        <v>497.58229999999998</v>
      </c>
      <c r="L44">
        <v>27.95</v>
      </c>
    </row>
    <row r="45" spans="1:12" x14ac:dyDescent="0.25">
      <c r="A45" s="1">
        <v>40269</v>
      </c>
      <c r="B45">
        <v>1</v>
      </c>
      <c r="C45">
        <v>165.25</v>
      </c>
      <c r="D45">
        <v>747.12260000000003</v>
      </c>
      <c r="E45">
        <v>333.47248301627701</v>
      </c>
      <c r="H45" s="1">
        <v>41579</v>
      </c>
      <c r="I45">
        <v>0</v>
      </c>
      <c r="J45">
        <v>33.799999999999997</v>
      </c>
      <c r="K45">
        <v>502.3297</v>
      </c>
      <c r="L45">
        <v>27.95</v>
      </c>
    </row>
    <row r="46" spans="1:12" x14ac:dyDescent="0.25">
      <c r="A46" s="1">
        <v>40299</v>
      </c>
      <c r="B46">
        <v>1</v>
      </c>
      <c r="C46">
        <v>154.74</v>
      </c>
      <c r="D46">
        <v>773.16290000000004</v>
      </c>
      <c r="E46">
        <v>359.51280557615598</v>
      </c>
      <c r="H46" s="1">
        <v>41609</v>
      </c>
      <c r="I46">
        <v>0</v>
      </c>
      <c r="J46">
        <v>27.37</v>
      </c>
      <c r="K46">
        <v>506.15719999999999</v>
      </c>
      <c r="L46">
        <v>27.95</v>
      </c>
    </row>
    <row r="47" spans="1:12" x14ac:dyDescent="0.25">
      <c r="A47" s="1">
        <v>40330</v>
      </c>
      <c r="B47">
        <v>1</v>
      </c>
      <c r="C47">
        <v>175</v>
      </c>
      <c r="D47">
        <v>803.17330000000004</v>
      </c>
      <c r="E47">
        <v>389.52326482119003</v>
      </c>
      <c r="H47" s="1">
        <v>41640</v>
      </c>
      <c r="I47">
        <v>0</v>
      </c>
      <c r="J47">
        <v>8.99</v>
      </c>
      <c r="K47">
        <v>507.39949999999999</v>
      </c>
      <c r="L47">
        <v>27.95</v>
      </c>
    </row>
    <row r="48" spans="1:12" x14ac:dyDescent="0.25">
      <c r="A48" s="1">
        <v>40360</v>
      </c>
      <c r="B48">
        <v>1</v>
      </c>
      <c r="C48">
        <v>192.65</v>
      </c>
      <c r="D48">
        <v>836.77760000000001</v>
      </c>
      <c r="E48">
        <v>423.12753474678698</v>
      </c>
      <c r="H48" s="1">
        <v>41671</v>
      </c>
      <c r="I48">
        <v>0</v>
      </c>
      <c r="J48">
        <v>9.7899999999999991</v>
      </c>
      <c r="K48">
        <v>508.75290000000001</v>
      </c>
      <c r="L48">
        <v>27.95</v>
      </c>
    </row>
    <row r="49" spans="1:12" x14ac:dyDescent="0.25">
      <c r="A49" s="1">
        <v>40391</v>
      </c>
      <c r="B49">
        <v>1</v>
      </c>
      <c r="C49">
        <v>207.75</v>
      </c>
      <c r="D49">
        <v>873.56240000000003</v>
      </c>
      <c r="E49">
        <v>459.912359200472</v>
      </c>
      <c r="H49" s="1">
        <v>41699</v>
      </c>
      <c r="I49">
        <v>0</v>
      </c>
      <c r="J49">
        <v>23.25</v>
      </c>
      <c r="K49">
        <v>511.9941</v>
      </c>
      <c r="L49">
        <v>27.95</v>
      </c>
    </row>
    <row r="50" spans="1:12" x14ac:dyDescent="0.25">
      <c r="A50" s="1">
        <v>40422</v>
      </c>
      <c r="B50">
        <v>1</v>
      </c>
      <c r="C50">
        <v>221</v>
      </c>
      <c r="D50">
        <v>913.22400000000005</v>
      </c>
      <c r="E50">
        <v>499.57390848359103</v>
      </c>
      <c r="H50" s="1">
        <v>41730</v>
      </c>
      <c r="I50">
        <v>0</v>
      </c>
      <c r="J50">
        <v>21.12</v>
      </c>
      <c r="K50">
        <v>514.9348</v>
      </c>
      <c r="L50">
        <v>27.95</v>
      </c>
    </row>
    <row r="51" spans="1:12" x14ac:dyDescent="0.25">
      <c r="A51" s="1">
        <v>40452</v>
      </c>
      <c r="B51">
        <v>1</v>
      </c>
      <c r="C51">
        <v>228.65</v>
      </c>
      <c r="D51">
        <v>954.58489999999995</v>
      </c>
      <c r="E51">
        <v>540.93483780830695</v>
      </c>
      <c r="H51" s="1">
        <v>41760</v>
      </c>
      <c r="I51">
        <v>0</v>
      </c>
      <c r="J51">
        <v>26.2</v>
      </c>
      <c r="K51">
        <v>518.59490000000005</v>
      </c>
      <c r="L51">
        <v>27.95</v>
      </c>
    </row>
    <row r="52" spans="1:12" x14ac:dyDescent="0.25">
      <c r="A52" s="1">
        <v>40483</v>
      </c>
      <c r="B52">
        <v>1</v>
      </c>
      <c r="C52">
        <v>238.75</v>
      </c>
      <c r="D52">
        <v>998.2346</v>
      </c>
      <c r="E52">
        <v>584.58455954389603</v>
      </c>
      <c r="H52" s="1">
        <v>41791</v>
      </c>
      <c r="I52">
        <v>0</v>
      </c>
      <c r="J52">
        <v>44.25</v>
      </c>
      <c r="K52">
        <v>524.8569</v>
      </c>
      <c r="L52">
        <v>27.95</v>
      </c>
    </row>
    <row r="53" spans="1:12" x14ac:dyDescent="0.25">
      <c r="A53" s="1">
        <v>40513</v>
      </c>
      <c r="B53">
        <v>1</v>
      </c>
      <c r="C53">
        <v>230.62</v>
      </c>
      <c r="D53">
        <v>1040.039</v>
      </c>
      <c r="E53">
        <v>626.38894857539799</v>
      </c>
      <c r="H53" s="1">
        <v>41821</v>
      </c>
      <c r="I53">
        <v>0</v>
      </c>
      <c r="J53">
        <v>46</v>
      </c>
      <c r="K53">
        <v>531.37480000000005</v>
      </c>
      <c r="L53">
        <v>27.95</v>
      </c>
    </row>
    <row r="54" spans="1:12" x14ac:dyDescent="0.25">
      <c r="A54" s="1">
        <v>40544</v>
      </c>
      <c r="B54">
        <v>1</v>
      </c>
      <c r="C54">
        <v>191.35</v>
      </c>
      <c r="D54">
        <v>1073.3741</v>
      </c>
      <c r="E54">
        <v>659.72406719979597</v>
      </c>
      <c r="H54" s="1">
        <v>41852</v>
      </c>
      <c r="I54">
        <v>0</v>
      </c>
      <c r="J54">
        <v>47.99</v>
      </c>
      <c r="K54">
        <v>538.18589999999995</v>
      </c>
      <c r="L54">
        <v>27.95</v>
      </c>
    </row>
    <row r="55" spans="1:12" x14ac:dyDescent="0.25">
      <c r="A55" s="1">
        <v>40575</v>
      </c>
      <c r="B55">
        <v>1</v>
      </c>
      <c r="C55">
        <v>186.37</v>
      </c>
      <c r="D55">
        <v>1105.6858999999999</v>
      </c>
      <c r="E55">
        <v>692.03580387573697</v>
      </c>
      <c r="H55" s="1">
        <v>41883</v>
      </c>
      <c r="I55">
        <v>0</v>
      </c>
      <c r="J55">
        <v>50.12</v>
      </c>
      <c r="K55">
        <v>545.30960000000005</v>
      </c>
      <c r="L55">
        <v>27.95</v>
      </c>
    </row>
    <row r="56" spans="1:12" x14ac:dyDescent="0.25">
      <c r="A56" s="1">
        <v>40603</v>
      </c>
      <c r="B56">
        <v>1</v>
      </c>
      <c r="C56">
        <v>168.49</v>
      </c>
      <c r="D56">
        <v>1134.4047</v>
      </c>
      <c r="E56">
        <v>720.75464059411604</v>
      </c>
      <c r="H56" s="1">
        <v>41913</v>
      </c>
      <c r="I56">
        <v>0</v>
      </c>
      <c r="J56">
        <v>47.25</v>
      </c>
      <c r="K56">
        <v>552.01070000000004</v>
      </c>
      <c r="L56">
        <v>27.95</v>
      </c>
    </row>
    <row r="57" spans="1:12" x14ac:dyDescent="0.25">
      <c r="A57" s="1">
        <v>40634</v>
      </c>
      <c r="B57">
        <v>1</v>
      </c>
      <c r="C57">
        <v>180.15</v>
      </c>
      <c r="D57">
        <v>1165.4504999999999</v>
      </c>
      <c r="E57">
        <v>751.80044104709896</v>
      </c>
      <c r="H57" s="1">
        <v>41944</v>
      </c>
      <c r="I57">
        <v>0</v>
      </c>
      <c r="J57">
        <v>60.39</v>
      </c>
      <c r="K57">
        <v>560.65940000000001</v>
      </c>
      <c r="L57">
        <v>27.95</v>
      </c>
    </row>
    <row r="58" spans="1:12" x14ac:dyDescent="0.25">
      <c r="A58" s="1">
        <v>40664</v>
      </c>
      <c r="B58">
        <v>1</v>
      </c>
      <c r="C58">
        <v>180.37</v>
      </c>
      <c r="D58">
        <v>1196.5418</v>
      </c>
      <c r="E58">
        <v>782.89172016379302</v>
      </c>
      <c r="H58" s="1">
        <v>41974</v>
      </c>
      <c r="I58">
        <v>0</v>
      </c>
      <c r="J58">
        <v>63.75</v>
      </c>
      <c r="K58">
        <v>569.81050000000005</v>
      </c>
      <c r="L58">
        <v>27.95</v>
      </c>
    </row>
    <row r="59" spans="1:12" x14ac:dyDescent="0.25">
      <c r="A59" s="1">
        <v>40695</v>
      </c>
      <c r="B59">
        <v>1</v>
      </c>
      <c r="C59">
        <v>200</v>
      </c>
      <c r="D59">
        <v>1231.6815999999999</v>
      </c>
      <c r="E59">
        <v>818.03150884758202</v>
      </c>
      <c r="H59" s="1">
        <v>42005</v>
      </c>
      <c r="I59">
        <v>0</v>
      </c>
      <c r="J59">
        <v>75.599999999999994</v>
      </c>
      <c r="K59">
        <v>580.75900000000001</v>
      </c>
      <c r="L59">
        <v>27.95</v>
      </c>
    </row>
    <row r="60" spans="1:12" x14ac:dyDescent="0.25">
      <c r="A60" s="1">
        <v>40725</v>
      </c>
      <c r="B60">
        <v>1</v>
      </c>
      <c r="C60">
        <v>212.75</v>
      </c>
      <c r="D60">
        <v>1269.5423000000001</v>
      </c>
      <c r="E60">
        <v>855.89219090811196</v>
      </c>
      <c r="H60" s="1">
        <v>42036</v>
      </c>
      <c r="I60">
        <v>0</v>
      </c>
      <c r="J60">
        <v>93.37</v>
      </c>
      <c r="K60">
        <v>594.46550000000002</v>
      </c>
      <c r="L60">
        <v>27.95</v>
      </c>
    </row>
    <row r="61" spans="1:12" x14ac:dyDescent="0.25">
      <c r="A61" s="1">
        <v>40756</v>
      </c>
      <c r="B61">
        <v>1</v>
      </c>
      <c r="C61">
        <v>208.62</v>
      </c>
      <c r="D61">
        <v>1306.5145</v>
      </c>
      <c r="E61">
        <v>892.86445684123203</v>
      </c>
      <c r="H61" s="1">
        <v>42064</v>
      </c>
      <c r="I61">
        <v>0</v>
      </c>
      <c r="J61">
        <v>89.37</v>
      </c>
      <c r="K61">
        <v>607.54459999999995</v>
      </c>
      <c r="L61">
        <v>27.95</v>
      </c>
    </row>
    <row r="62" spans="1:12" x14ac:dyDescent="0.25">
      <c r="A62" s="1">
        <v>40787</v>
      </c>
      <c r="B62">
        <v>1</v>
      </c>
      <c r="C62">
        <v>237.25</v>
      </c>
      <c r="D62">
        <v>1349.8209999999999</v>
      </c>
      <c r="E62">
        <v>936.17092881188898</v>
      </c>
      <c r="H62" s="1">
        <v>42095</v>
      </c>
      <c r="I62">
        <v>0</v>
      </c>
      <c r="J62">
        <v>84</v>
      </c>
      <c r="K62">
        <v>619.78700000000003</v>
      </c>
      <c r="L62">
        <v>27.95</v>
      </c>
    </row>
    <row r="63" spans="1:12" x14ac:dyDescent="0.25">
      <c r="A63" s="1">
        <v>40817</v>
      </c>
      <c r="B63">
        <v>1</v>
      </c>
      <c r="C63">
        <v>256</v>
      </c>
      <c r="D63">
        <v>1397.5052000000001</v>
      </c>
      <c r="E63">
        <v>983.85510590692797</v>
      </c>
      <c r="H63" s="1">
        <v>42125</v>
      </c>
      <c r="I63">
        <v>0</v>
      </c>
      <c r="J63">
        <v>93.3</v>
      </c>
      <c r="K63">
        <v>633.48170000000005</v>
      </c>
      <c r="L63">
        <v>27.95</v>
      </c>
    </row>
    <row r="64" spans="1:12" x14ac:dyDescent="0.25">
      <c r="A64" s="1">
        <v>40848</v>
      </c>
      <c r="B64">
        <v>1</v>
      </c>
      <c r="C64">
        <v>254.5</v>
      </c>
      <c r="D64">
        <v>1444.8320000000001</v>
      </c>
      <c r="E64">
        <v>1031.1819270528799</v>
      </c>
      <c r="H64" s="1">
        <v>42156</v>
      </c>
      <c r="I64">
        <v>1</v>
      </c>
      <c r="J64">
        <v>219.37</v>
      </c>
      <c r="K64">
        <v>669.28150000000005</v>
      </c>
      <c r="L64">
        <v>70.9534014358711</v>
      </c>
    </row>
    <row r="65" spans="1:12" x14ac:dyDescent="0.25">
      <c r="A65" s="1">
        <v>40878</v>
      </c>
      <c r="B65">
        <v>1</v>
      </c>
      <c r="C65">
        <v>264.35000000000002</v>
      </c>
      <c r="D65">
        <v>1494.5291</v>
      </c>
      <c r="E65">
        <v>1080.8790691215099</v>
      </c>
      <c r="H65" s="1">
        <v>42186</v>
      </c>
      <c r="I65">
        <v>1</v>
      </c>
      <c r="J65">
        <v>204.5</v>
      </c>
      <c r="K65">
        <v>702.20429999999999</v>
      </c>
      <c r="L65">
        <v>110.868167109138</v>
      </c>
    </row>
    <row r="66" spans="1:12" x14ac:dyDescent="0.25">
      <c r="A66" s="1">
        <v>40909</v>
      </c>
      <c r="B66">
        <v>1</v>
      </c>
      <c r="C66">
        <v>268.37</v>
      </c>
      <c r="D66">
        <v>1545.2112999999999</v>
      </c>
      <c r="E66">
        <v>1131.56119972941</v>
      </c>
      <c r="H66" s="1">
        <v>42217</v>
      </c>
      <c r="I66">
        <v>1</v>
      </c>
      <c r="J66">
        <v>199.39</v>
      </c>
      <c r="K66">
        <v>734.15949999999998</v>
      </c>
      <c r="L66">
        <v>149.74555798099999</v>
      </c>
    </row>
    <row r="67" spans="1:12" x14ac:dyDescent="0.25">
      <c r="A67" s="1">
        <v>40940</v>
      </c>
      <c r="B67">
        <v>1</v>
      </c>
      <c r="C67">
        <v>271</v>
      </c>
      <c r="D67">
        <v>1596.5409999999999</v>
      </c>
      <c r="E67">
        <v>1182.89098102055</v>
      </c>
      <c r="H67" s="1">
        <v>42248</v>
      </c>
      <c r="I67">
        <v>1</v>
      </c>
      <c r="J67">
        <v>283.25</v>
      </c>
      <c r="K67">
        <v>783.35109999999997</v>
      </c>
      <c r="L67">
        <v>198.93710550754099</v>
      </c>
    </row>
    <row r="68" spans="1:12" x14ac:dyDescent="0.25">
      <c r="A68" s="1">
        <v>40969</v>
      </c>
      <c r="B68">
        <v>1</v>
      </c>
      <c r="C68">
        <v>272.05</v>
      </c>
      <c r="D68">
        <v>1648.1311000000001</v>
      </c>
      <c r="E68">
        <v>1234.4810016307499</v>
      </c>
      <c r="H68" s="1">
        <v>42278</v>
      </c>
      <c r="I68">
        <v>1</v>
      </c>
      <c r="J68">
        <v>285.04000000000002</v>
      </c>
      <c r="K68">
        <v>832.94719999999995</v>
      </c>
      <c r="L68">
        <v>248.53328436057299</v>
      </c>
    </row>
    <row r="69" spans="1:12" x14ac:dyDescent="0.25">
      <c r="A69" s="1">
        <v>41000</v>
      </c>
      <c r="B69">
        <v>1</v>
      </c>
      <c r="C69">
        <v>265.12</v>
      </c>
      <c r="D69">
        <v>1698.0171</v>
      </c>
      <c r="E69">
        <v>1284.3670472015201</v>
      </c>
      <c r="H69" s="1">
        <v>42309</v>
      </c>
      <c r="I69">
        <v>1</v>
      </c>
      <c r="J69">
        <v>295.5</v>
      </c>
      <c r="K69">
        <v>884.92539999999997</v>
      </c>
      <c r="L69">
        <v>300.51147793937997</v>
      </c>
    </row>
    <row r="70" spans="1:12" x14ac:dyDescent="0.25">
      <c r="A70" s="1">
        <v>41030</v>
      </c>
      <c r="B70">
        <v>1</v>
      </c>
      <c r="C70">
        <v>272.12</v>
      </c>
      <c r="D70">
        <v>1749.6258</v>
      </c>
      <c r="E70">
        <v>1335.9756822752099</v>
      </c>
      <c r="H70" s="1">
        <v>42339</v>
      </c>
      <c r="I70">
        <v>1</v>
      </c>
      <c r="J70">
        <v>278.87</v>
      </c>
      <c r="K70">
        <v>933.14030000000002</v>
      </c>
      <c r="L70">
        <v>348.72631894334103</v>
      </c>
    </row>
    <row r="71" spans="1:12" x14ac:dyDescent="0.25">
      <c r="A71" s="1">
        <v>41061</v>
      </c>
      <c r="B71">
        <v>1</v>
      </c>
      <c r="C71">
        <v>282.44</v>
      </c>
      <c r="D71">
        <v>1803.8306</v>
      </c>
      <c r="E71">
        <v>1390.18055959804</v>
      </c>
      <c r="H71" s="1">
        <v>42370</v>
      </c>
      <c r="I71">
        <v>1</v>
      </c>
      <c r="J71">
        <v>277.35000000000002</v>
      </c>
      <c r="K71">
        <v>981.01689999999996</v>
      </c>
      <c r="L71">
        <v>396.60293778462199</v>
      </c>
    </row>
    <row r="72" spans="1:12" x14ac:dyDescent="0.25">
      <c r="A72" s="1">
        <v>41091</v>
      </c>
      <c r="B72">
        <v>1</v>
      </c>
      <c r="C72">
        <v>296.25</v>
      </c>
      <c r="D72">
        <v>1861.6143</v>
      </c>
      <c r="E72">
        <v>1447.96419300294</v>
      </c>
      <c r="H72" s="1">
        <v>42401</v>
      </c>
      <c r="I72">
        <v>1</v>
      </c>
      <c r="J72">
        <v>286.5</v>
      </c>
      <c r="K72">
        <v>1030.9402</v>
      </c>
      <c r="L72">
        <v>446.526264540689</v>
      </c>
    </row>
    <row r="73" spans="1:12" x14ac:dyDescent="0.25">
      <c r="A73" s="1">
        <v>41122</v>
      </c>
      <c r="B73">
        <v>1</v>
      </c>
      <c r="C73">
        <v>308.12</v>
      </c>
      <c r="D73">
        <v>1922.5834</v>
      </c>
      <c r="E73">
        <v>1508.93334303195</v>
      </c>
      <c r="H73" s="1">
        <v>42430</v>
      </c>
      <c r="I73">
        <v>1</v>
      </c>
      <c r="J73">
        <v>309</v>
      </c>
      <c r="K73">
        <v>1086.0821000000001</v>
      </c>
      <c r="L73">
        <v>501.66816661381398</v>
      </c>
    </row>
    <row r="74" spans="1:12" x14ac:dyDescent="0.25">
      <c r="A74" s="1">
        <v>41153</v>
      </c>
      <c r="B74">
        <v>1</v>
      </c>
      <c r="C74">
        <v>305.05</v>
      </c>
      <c r="D74">
        <v>1982.7179000000001</v>
      </c>
      <c r="E74">
        <v>1569.06782598205</v>
      </c>
      <c r="H74" s="1">
        <v>42461</v>
      </c>
      <c r="I74">
        <v>1</v>
      </c>
      <c r="J74">
        <v>330.25</v>
      </c>
      <c r="K74">
        <v>1146.4159999999999</v>
      </c>
      <c r="L74">
        <v>562.00207440477402</v>
      </c>
    </row>
    <row r="75" spans="1:12" x14ac:dyDescent="0.25">
      <c r="A75" s="1">
        <v>41183</v>
      </c>
      <c r="B75">
        <v>1</v>
      </c>
      <c r="C75">
        <v>315.87</v>
      </c>
      <c r="D75">
        <v>2045.8221000000001</v>
      </c>
      <c r="E75">
        <v>1632.17204333936</v>
      </c>
      <c r="H75" s="1">
        <v>42491</v>
      </c>
      <c r="I75">
        <v>1</v>
      </c>
      <c r="J75">
        <v>332.5</v>
      </c>
      <c r="K75">
        <v>1207.3158000000001</v>
      </c>
      <c r="L75">
        <v>622.90184349815001</v>
      </c>
    </row>
    <row r="76" spans="1:12" x14ac:dyDescent="0.25">
      <c r="A76" s="1">
        <v>41214</v>
      </c>
      <c r="B76">
        <v>1</v>
      </c>
      <c r="C76">
        <v>325.85000000000002</v>
      </c>
      <c r="D76">
        <v>2111.7431999999999</v>
      </c>
      <c r="E76">
        <v>1698.09314949741</v>
      </c>
      <c r="H76" s="1">
        <v>42522</v>
      </c>
      <c r="I76">
        <v>1</v>
      </c>
      <c r="J76">
        <v>332.99</v>
      </c>
      <c r="K76">
        <v>1268.3417999999999</v>
      </c>
      <c r="L76">
        <v>683.92779557356698</v>
      </c>
    </row>
    <row r="77" spans="1:12" x14ac:dyDescent="0.25">
      <c r="A77" s="1">
        <v>41244</v>
      </c>
      <c r="B77">
        <v>1</v>
      </c>
      <c r="C77">
        <v>328.87</v>
      </c>
      <c r="D77">
        <v>2178.5345000000002</v>
      </c>
      <c r="E77">
        <v>1764.8844204355501</v>
      </c>
      <c r="H77" s="1">
        <v>42552</v>
      </c>
      <c r="I77">
        <v>1</v>
      </c>
      <c r="J77">
        <v>336.94</v>
      </c>
      <c r="K77">
        <v>1330.3702000000001</v>
      </c>
      <c r="L77">
        <v>745.95623050673998</v>
      </c>
    </row>
    <row r="78" spans="1:12" x14ac:dyDescent="0.25">
      <c r="A78" s="1">
        <v>41275</v>
      </c>
      <c r="B78">
        <v>1</v>
      </c>
      <c r="C78">
        <v>341.75</v>
      </c>
      <c r="D78">
        <v>2249.1165000000001</v>
      </c>
      <c r="E78">
        <v>1835.46639361692</v>
      </c>
      <c r="H78" s="1">
        <v>42583</v>
      </c>
      <c r="I78">
        <v>1</v>
      </c>
      <c r="J78">
        <v>361.25</v>
      </c>
      <c r="K78">
        <v>1398.7972</v>
      </c>
      <c r="L78">
        <v>814.38326775945097</v>
      </c>
    </row>
    <row r="79" spans="1:12" x14ac:dyDescent="0.25">
      <c r="A79" s="1">
        <v>41306</v>
      </c>
      <c r="B79">
        <v>1</v>
      </c>
      <c r="C79">
        <v>334.85</v>
      </c>
      <c r="D79">
        <v>2317.6491000000001</v>
      </c>
      <c r="E79">
        <v>1903.9989930250599</v>
      </c>
      <c r="H79" s="1">
        <v>42614</v>
      </c>
      <c r="I79">
        <v>1</v>
      </c>
      <c r="J79">
        <v>360.75</v>
      </c>
      <c r="K79">
        <v>1467.0884000000001</v>
      </c>
      <c r="L79">
        <v>882.67443542604303</v>
      </c>
    </row>
    <row r="80" spans="1:12" x14ac:dyDescent="0.25">
      <c r="A80" s="1">
        <v>41334</v>
      </c>
      <c r="B80">
        <v>1</v>
      </c>
      <c r="C80">
        <v>320.5</v>
      </c>
      <c r="D80">
        <v>2382.0495000000001</v>
      </c>
      <c r="E80">
        <v>1968.3994275150999</v>
      </c>
      <c r="H80" s="1">
        <v>42644</v>
      </c>
      <c r="I80">
        <v>1</v>
      </c>
      <c r="J80">
        <v>358</v>
      </c>
      <c r="K80">
        <v>1534.6356000000001</v>
      </c>
      <c r="L80">
        <v>950.22160236616605</v>
      </c>
    </row>
    <row r="81" spans="1:12" x14ac:dyDescent="0.25">
      <c r="A81" s="1">
        <v>41365</v>
      </c>
      <c r="B81">
        <v>1</v>
      </c>
      <c r="C81">
        <v>317.87</v>
      </c>
      <c r="D81">
        <v>2445.7121999999999</v>
      </c>
      <c r="E81">
        <v>2032.0621105472601</v>
      </c>
      <c r="H81" s="1">
        <v>42675</v>
      </c>
      <c r="I81">
        <v>1</v>
      </c>
      <c r="J81">
        <v>357</v>
      </c>
      <c r="K81">
        <v>1601.9135000000001</v>
      </c>
      <c r="L81">
        <v>1017.49959013971</v>
      </c>
    </row>
    <row r="82" spans="1:12" x14ac:dyDescent="0.25">
      <c r="A82" s="1">
        <v>41395</v>
      </c>
      <c r="B82">
        <v>1</v>
      </c>
      <c r="C82">
        <v>329.87</v>
      </c>
      <c r="D82">
        <v>2512.7928000000002</v>
      </c>
      <c r="E82">
        <v>2099.14271260948</v>
      </c>
    </row>
    <row r="83" spans="1:12" x14ac:dyDescent="0.25">
      <c r="A83" s="1">
        <v>41426</v>
      </c>
      <c r="B83">
        <v>1</v>
      </c>
      <c r="C83">
        <v>322.14</v>
      </c>
      <c r="D83">
        <v>2577.6597000000002</v>
      </c>
      <c r="E83">
        <v>2164.00967795205</v>
      </c>
    </row>
    <row r="84" spans="1:12" x14ac:dyDescent="0.25">
      <c r="A84" s="1">
        <v>41456</v>
      </c>
      <c r="B84">
        <v>1</v>
      </c>
      <c r="C84">
        <v>267.99</v>
      </c>
      <c r="D84">
        <v>2628.2496999999998</v>
      </c>
      <c r="E84">
        <v>2214.5996284950402</v>
      </c>
    </row>
    <row r="85" spans="1:12" x14ac:dyDescent="0.25">
      <c r="A85" s="1">
        <v>41487</v>
      </c>
      <c r="B85">
        <v>1</v>
      </c>
      <c r="C85">
        <v>237.85</v>
      </c>
      <c r="D85">
        <v>2671.6932999999999</v>
      </c>
      <c r="E85">
        <v>2258.0432590196001</v>
      </c>
    </row>
    <row r="86" spans="1:12" x14ac:dyDescent="0.25">
      <c r="A86" s="1">
        <v>41518</v>
      </c>
      <c r="B86">
        <v>1</v>
      </c>
      <c r="C86">
        <v>228.37</v>
      </c>
      <c r="D86">
        <v>2712.9926999999998</v>
      </c>
      <c r="E86">
        <v>2299.3425964725002</v>
      </c>
    </row>
    <row r="87" spans="1:12" x14ac:dyDescent="0.25">
      <c r="A87" s="1">
        <v>41548</v>
      </c>
      <c r="B87">
        <v>1</v>
      </c>
      <c r="C87">
        <v>226.62</v>
      </c>
      <c r="D87">
        <v>2753.9009000000001</v>
      </c>
      <c r="E87">
        <v>2340.2508719745101</v>
      </c>
    </row>
    <row r="88" spans="1:12" x14ac:dyDescent="0.25">
      <c r="A88" s="1">
        <v>41579</v>
      </c>
      <c r="B88">
        <v>1</v>
      </c>
      <c r="C88">
        <v>256.55</v>
      </c>
      <c r="D88">
        <v>2801.7165</v>
      </c>
      <c r="E88">
        <v>2388.0664002138701</v>
      </c>
    </row>
    <row r="89" spans="1:12" x14ac:dyDescent="0.25">
      <c r="A89" s="1">
        <v>41609</v>
      </c>
      <c r="B89">
        <v>1</v>
      </c>
      <c r="C89">
        <v>250.12</v>
      </c>
      <c r="D89">
        <v>2848.0082000000002</v>
      </c>
      <c r="E89">
        <v>2434.3581684995002</v>
      </c>
    </row>
    <row r="90" spans="1:12" x14ac:dyDescent="0.25">
      <c r="A90" s="1">
        <v>41640</v>
      </c>
      <c r="B90">
        <v>1</v>
      </c>
      <c r="C90">
        <v>231.75</v>
      </c>
      <c r="D90">
        <v>2890.0661</v>
      </c>
      <c r="E90">
        <v>2476.4160430913198</v>
      </c>
    </row>
    <row r="91" spans="1:12" x14ac:dyDescent="0.25">
      <c r="A91" s="1">
        <v>41671</v>
      </c>
      <c r="B91">
        <v>1</v>
      </c>
      <c r="C91">
        <v>232.55</v>
      </c>
      <c r="D91">
        <v>2932.3045999999999</v>
      </c>
      <c r="E91">
        <v>2518.65456580724</v>
      </c>
    </row>
    <row r="92" spans="1:12" x14ac:dyDescent="0.25">
      <c r="A92" s="1">
        <v>41699</v>
      </c>
      <c r="B92">
        <v>1</v>
      </c>
      <c r="C92">
        <v>246</v>
      </c>
      <c r="D92">
        <v>2977.6302000000001</v>
      </c>
      <c r="E92">
        <v>2563.9801430016901</v>
      </c>
    </row>
    <row r="93" spans="1:12" x14ac:dyDescent="0.25">
      <c r="A93" s="1">
        <v>41730</v>
      </c>
      <c r="B93">
        <v>1</v>
      </c>
      <c r="C93">
        <v>231.37</v>
      </c>
      <c r="D93">
        <v>3019.6035000000002</v>
      </c>
      <c r="E93">
        <v>2605.9534509922701</v>
      </c>
    </row>
    <row r="94" spans="1:12" x14ac:dyDescent="0.25">
      <c r="A94" s="1">
        <v>41760</v>
      </c>
      <c r="B94">
        <v>1</v>
      </c>
      <c r="C94">
        <v>231.45</v>
      </c>
      <c r="D94">
        <v>3061.5936999999999</v>
      </c>
      <c r="E94">
        <v>2647.9436665828698</v>
      </c>
    </row>
    <row r="95" spans="1:12" x14ac:dyDescent="0.25">
      <c r="A95" s="1">
        <v>41791</v>
      </c>
      <c r="B95">
        <v>1</v>
      </c>
      <c r="C95">
        <v>249.5</v>
      </c>
      <c r="D95">
        <v>3107.7384999999999</v>
      </c>
      <c r="E95">
        <v>2694.0884408687798</v>
      </c>
    </row>
    <row r="96" spans="1:12" x14ac:dyDescent="0.25">
      <c r="A96" s="1">
        <v>41821</v>
      </c>
      <c r="B96">
        <v>1</v>
      </c>
      <c r="C96">
        <v>251.25</v>
      </c>
      <c r="D96">
        <v>3154.2954</v>
      </c>
      <c r="E96">
        <v>2740.6453440865698</v>
      </c>
    </row>
    <row r="97" spans="1:5" x14ac:dyDescent="0.25">
      <c r="A97" s="1">
        <v>41852</v>
      </c>
      <c r="B97">
        <v>1</v>
      </c>
      <c r="C97">
        <v>253.24</v>
      </c>
      <c r="D97">
        <v>3201.3254000000002</v>
      </c>
      <c r="E97">
        <v>2787.6753410312099</v>
      </c>
    </row>
    <row r="98" spans="1:5" x14ac:dyDescent="0.25">
      <c r="A98" s="1">
        <v>41883</v>
      </c>
      <c r="B98">
        <v>1</v>
      </c>
      <c r="C98">
        <v>255.37</v>
      </c>
      <c r="D98">
        <v>3248.8604999999998</v>
      </c>
      <c r="E98">
        <v>2835.2104645884401</v>
      </c>
    </row>
    <row r="99" spans="1:5" x14ac:dyDescent="0.25">
      <c r="A99" s="1">
        <v>41913</v>
      </c>
      <c r="B99">
        <v>1</v>
      </c>
      <c r="C99">
        <v>252.5</v>
      </c>
      <c r="D99">
        <v>3295.7129</v>
      </c>
      <c r="E99">
        <v>2882.0627889959701</v>
      </c>
    </row>
    <row r="100" spans="1:5" x14ac:dyDescent="0.25">
      <c r="A100" s="1">
        <v>41944</v>
      </c>
      <c r="B100">
        <v>1</v>
      </c>
      <c r="C100">
        <v>265.64999999999998</v>
      </c>
      <c r="D100">
        <v>3345.7271000000001</v>
      </c>
      <c r="E100">
        <v>2932.0770045009799</v>
      </c>
    </row>
    <row r="101" spans="1:5" x14ac:dyDescent="0.25">
      <c r="A101" s="1">
        <v>41974</v>
      </c>
      <c r="B101">
        <v>1</v>
      </c>
      <c r="C101">
        <v>269</v>
      </c>
      <c r="D101">
        <v>3396.5630000000001</v>
      </c>
      <c r="E101">
        <v>2982.9129576280602</v>
      </c>
    </row>
    <row r="102" spans="1:5" x14ac:dyDescent="0.25">
      <c r="A102" s="1">
        <v>42005</v>
      </c>
      <c r="B102">
        <v>1</v>
      </c>
      <c r="C102">
        <v>293.35000000000002</v>
      </c>
      <c r="D102">
        <v>3453.5839000000001</v>
      </c>
      <c r="E102">
        <v>3039.93383089087</v>
      </c>
    </row>
    <row r="103" spans="1:5" x14ac:dyDescent="0.25">
      <c r="A103" s="1">
        <v>42036</v>
      </c>
      <c r="B103">
        <v>1</v>
      </c>
      <c r="C103">
        <v>311.12</v>
      </c>
      <c r="D103">
        <v>3515.3741</v>
      </c>
      <c r="E103">
        <v>3101.7240597715399</v>
      </c>
    </row>
    <row r="104" spans="1:5" x14ac:dyDescent="0.25">
      <c r="A104" s="1">
        <v>42064</v>
      </c>
      <c r="B104">
        <v>1</v>
      </c>
      <c r="C104">
        <v>307.12</v>
      </c>
      <c r="D104">
        <v>3576.0711000000001</v>
      </c>
      <c r="E104">
        <v>3162.4210082034301</v>
      </c>
    </row>
    <row r="105" spans="1:5" x14ac:dyDescent="0.25">
      <c r="A105" s="1">
        <v>42095</v>
      </c>
      <c r="B105">
        <v>1</v>
      </c>
      <c r="C105">
        <v>301.75</v>
      </c>
      <c r="D105">
        <v>3635.3175000000001</v>
      </c>
      <c r="E105">
        <v>3221.6674336487499</v>
      </c>
    </row>
    <row r="106" spans="1:5" x14ac:dyDescent="0.25">
      <c r="A106" s="1">
        <v>42125</v>
      </c>
      <c r="B106">
        <v>1</v>
      </c>
      <c r="C106">
        <v>311.05</v>
      </c>
      <c r="D106">
        <v>3697.0871000000002</v>
      </c>
      <c r="E106">
        <v>3283.4370531795798</v>
      </c>
    </row>
    <row r="107" spans="1:5" x14ac:dyDescent="0.25">
      <c r="A107" s="1">
        <v>42156</v>
      </c>
      <c r="B107">
        <v>1</v>
      </c>
      <c r="C107">
        <v>294.12</v>
      </c>
      <c r="D107">
        <v>3754.3112999999998</v>
      </c>
      <c r="E107">
        <v>3340.6611985362401</v>
      </c>
    </row>
    <row r="108" spans="1:5" x14ac:dyDescent="0.25">
      <c r="A108" s="1">
        <v>42186</v>
      </c>
      <c r="B108">
        <v>1</v>
      </c>
      <c r="C108">
        <v>279.25</v>
      </c>
      <c r="D108">
        <v>3807.7042999999999</v>
      </c>
      <c r="E108">
        <v>3394.0541977473799</v>
      </c>
    </row>
    <row r="109" spans="1:5" x14ac:dyDescent="0.25">
      <c r="A109" s="1">
        <v>42217</v>
      </c>
      <c r="B109">
        <v>1</v>
      </c>
      <c r="C109">
        <v>274.14999999999998</v>
      </c>
      <c r="D109">
        <v>3859.8168000000001</v>
      </c>
      <c r="E109">
        <v>3446.1667375857401</v>
      </c>
    </row>
    <row r="110" spans="1:5" x14ac:dyDescent="0.25">
      <c r="A110" s="1">
        <v>42248</v>
      </c>
      <c r="B110">
        <v>1</v>
      </c>
      <c r="C110">
        <v>294.5</v>
      </c>
      <c r="D110">
        <v>3917.1395000000002</v>
      </c>
      <c r="E110">
        <v>3503.4893889428199</v>
      </c>
    </row>
    <row r="111" spans="1:5" x14ac:dyDescent="0.25">
      <c r="A111" s="1">
        <v>42278</v>
      </c>
      <c r="B111">
        <v>1</v>
      </c>
      <c r="C111">
        <v>296.29000000000002</v>
      </c>
      <c r="D111">
        <v>3974.9362999999998</v>
      </c>
      <c r="E111">
        <v>3561.2862245392998</v>
      </c>
    </row>
    <row r="112" spans="1:5" x14ac:dyDescent="0.25">
      <c r="A112" s="1">
        <v>42309</v>
      </c>
      <c r="B112">
        <v>1</v>
      </c>
      <c r="C112">
        <v>306.75</v>
      </c>
      <c r="D112">
        <v>4035.5313999999998</v>
      </c>
      <c r="E112">
        <v>3621.8812880922801</v>
      </c>
    </row>
    <row r="113" spans="1:5" x14ac:dyDescent="0.25">
      <c r="A113" s="1">
        <v>42339</v>
      </c>
      <c r="B113">
        <v>1</v>
      </c>
      <c r="C113">
        <v>290.12</v>
      </c>
      <c r="D113">
        <v>4091.7107999999998</v>
      </c>
      <c r="E113">
        <v>3678.0606965550601</v>
      </c>
    </row>
    <row r="114" spans="1:5" x14ac:dyDescent="0.25">
      <c r="A114" s="1">
        <v>42370</v>
      </c>
      <c r="B114">
        <v>1</v>
      </c>
      <c r="C114">
        <v>288.60000000000002</v>
      </c>
      <c r="D114">
        <v>4147.4947000000002</v>
      </c>
      <c r="E114">
        <v>3733.8446554084799</v>
      </c>
    </row>
    <row r="115" spans="1:5" x14ac:dyDescent="0.25">
      <c r="A115" s="1">
        <v>42401</v>
      </c>
      <c r="B115">
        <v>1</v>
      </c>
      <c r="C115">
        <v>297.75</v>
      </c>
      <c r="D115">
        <v>4205.6751999999997</v>
      </c>
      <c r="E115">
        <v>3792.02511473094</v>
      </c>
    </row>
    <row r="116" spans="1:5" x14ac:dyDescent="0.25">
      <c r="A116" s="1">
        <v>42430</v>
      </c>
      <c r="B116">
        <v>1</v>
      </c>
      <c r="C116">
        <v>320.25</v>
      </c>
      <c r="D116">
        <v>4270.0051000000003</v>
      </c>
      <c r="E116">
        <v>3856.35505221418</v>
      </c>
    </row>
    <row r="117" spans="1:5" x14ac:dyDescent="0.25">
      <c r="A117" s="1">
        <v>42461</v>
      </c>
      <c r="B117">
        <v>1</v>
      </c>
      <c r="C117">
        <v>323.5</v>
      </c>
      <c r="D117">
        <v>4335.2554</v>
      </c>
      <c r="E117">
        <v>3921.6053501763599</v>
      </c>
    </row>
    <row r="118" spans="1:5" x14ac:dyDescent="0.25">
      <c r="A118" s="1">
        <v>42491</v>
      </c>
      <c r="B118">
        <v>1</v>
      </c>
      <c r="C118">
        <v>325.75</v>
      </c>
      <c r="D118">
        <v>4401.1478999999999</v>
      </c>
      <c r="E118">
        <v>3987.4978194498999</v>
      </c>
    </row>
    <row r="119" spans="1:5" x14ac:dyDescent="0.25">
      <c r="A119" s="1">
        <v>42522</v>
      </c>
      <c r="B119">
        <v>1</v>
      </c>
      <c r="C119">
        <v>326.24</v>
      </c>
      <c r="D119">
        <v>4467.1836000000003</v>
      </c>
      <c r="E119">
        <v>4053.5335552236002</v>
      </c>
    </row>
    <row r="120" spans="1:5" x14ac:dyDescent="0.25">
      <c r="A120" s="1">
        <v>42552</v>
      </c>
      <c r="B120">
        <v>1</v>
      </c>
      <c r="C120">
        <v>330.19</v>
      </c>
      <c r="D120">
        <v>4534.3584000000001</v>
      </c>
      <c r="E120">
        <v>4120.7083704319002</v>
      </c>
    </row>
    <row r="121" spans="1:5" x14ac:dyDescent="0.25">
      <c r="A121" s="1">
        <v>42583</v>
      </c>
      <c r="B121">
        <v>1</v>
      </c>
      <c r="C121">
        <v>343.49</v>
      </c>
      <c r="D121">
        <v>4605.4669000000004</v>
      </c>
      <c r="E121">
        <v>4191.81685855656</v>
      </c>
    </row>
    <row r="122" spans="1:5" x14ac:dyDescent="0.25">
      <c r="A122" s="1">
        <v>42614</v>
      </c>
      <c r="B122">
        <v>1</v>
      </c>
      <c r="C122">
        <v>343</v>
      </c>
      <c r="D122">
        <v>4676.4246999999996</v>
      </c>
      <c r="E122">
        <v>4262.7746307521602</v>
      </c>
    </row>
    <row r="123" spans="1:5" x14ac:dyDescent="0.25">
      <c r="A123" s="1">
        <v>42644</v>
      </c>
      <c r="B123">
        <v>1</v>
      </c>
      <c r="C123">
        <v>340.25</v>
      </c>
      <c r="D123">
        <v>4746.5576000000001</v>
      </c>
      <c r="E123">
        <v>4332.9075013822903</v>
      </c>
    </row>
    <row r="124" spans="1:5" x14ac:dyDescent="0.25">
      <c r="A124" s="1">
        <v>42675</v>
      </c>
      <c r="B124">
        <v>1</v>
      </c>
      <c r="C124">
        <v>339.25</v>
      </c>
      <c r="D124">
        <v>4816.3922000000002</v>
      </c>
      <c r="E124">
        <v>4402.7420869292</v>
      </c>
    </row>
  </sheetData>
  <conditionalFormatting sqref="B1:C124 I1:J81">
    <cfRule type="cellIs" dxfId="1" priority="2" operator="greaterThanOrEqual">
      <formula>1</formula>
    </cfRule>
  </conditionalFormatting>
  <conditionalFormatting sqref="I1:J81 B1:C124">
    <cfRule type="cellIs" dxfId="0" priority="1" operator="lessThan">
      <formula>1</formula>
    </cfRule>
  </conditionalFormatting>
  <pageMargins left="0.7" right="0.7" top="0.75" bottom="0.75" header="0.3" footer="0.3"/>
  <pageSetup orientation="portrait" horizontalDpi="1200" verticalDpi="120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5"/>
  <sheetViews>
    <sheetView workbookViewId="0"/>
  </sheetViews>
  <sheetFormatPr defaultRowHeight="15" x14ac:dyDescent="0.25"/>
  <sheetData>
    <row r="1" spans="1:6" x14ac:dyDescent="0.25">
      <c r="A1" t="s">
        <v>2</v>
      </c>
      <c r="B1" t="s">
        <v>7</v>
      </c>
      <c r="C1" t="s">
        <v>3</v>
      </c>
      <c r="D1" t="s">
        <v>4</v>
      </c>
      <c r="E1" t="s">
        <v>6</v>
      </c>
      <c r="F1" t="s">
        <v>5</v>
      </c>
    </row>
    <row r="2" spans="1:6" x14ac:dyDescent="0.25">
      <c r="A2" s="1">
        <v>34912</v>
      </c>
      <c r="B2">
        <v>1224879</v>
      </c>
      <c r="C2">
        <v>0</v>
      </c>
      <c r="D2">
        <v>6.25</v>
      </c>
      <c r="E2">
        <v>11.2811</v>
      </c>
      <c r="F2">
        <v>10.63</v>
      </c>
    </row>
    <row r="3" spans="1:6" x14ac:dyDescent="0.25">
      <c r="A3" s="1">
        <v>34943</v>
      </c>
      <c r="B3">
        <v>1224879</v>
      </c>
      <c r="C3">
        <v>0</v>
      </c>
      <c r="D3">
        <v>-18.7499</v>
      </c>
      <c r="E3">
        <v>11.2811</v>
      </c>
      <c r="F3">
        <v>10.63</v>
      </c>
    </row>
    <row r="4" spans="1:6" x14ac:dyDescent="0.25">
      <c r="A4" s="1">
        <v>34973</v>
      </c>
      <c r="B4">
        <v>1224879</v>
      </c>
      <c r="C4">
        <v>0</v>
      </c>
      <c r="D4">
        <v>5.25</v>
      </c>
      <c r="E4">
        <v>11.8277</v>
      </c>
      <c r="F4">
        <v>10.63</v>
      </c>
    </row>
    <row r="5" spans="1:6" x14ac:dyDescent="0.25">
      <c r="A5" s="1">
        <v>35004</v>
      </c>
      <c r="B5">
        <v>1224879</v>
      </c>
      <c r="C5">
        <v>0</v>
      </c>
      <c r="D5">
        <v>17</v>
      </c>
      <c r="E5">
        <v>13.6088</v>
      </c>
      <c r="F5">
        <v>10.63</v>
      </c>
    </row>
    <row r="6" spans="1:6" x14ac:dyDescent="0.25">
      <c r="A6" s="1">
        <v>35034</v>
      </c>
      <c r="B6">
        <v>1224879</v>
      </c>
      <c r="C6">
        <v>0</v>
      </c>
      <c r="D6">
        <v>28.45</v>
      </c>
      <c r="E6">
        <v>16.607700000000001</v>
      </c>
      <c r="F6">
        <v>10.63</v>
      </c>
    </row>
    <row r="7" spans="1:6" x14ac:dyDescent="0.25">
      <c r="A7" s="1">
        <v>35065</v>
      </c>
      <c r="B7">
        <v>1224879</v>
      </c>
      <c r="C7">
        <v>0</v>
      </c>
      <c r="D7">
        <v>49.625</v>
      </c>
      <c r="E7">
        <v>21.898299999999999</v>
      </c>
      <c r="F7">
        <v>10.63</v>
      </c>
    </row>
    <row r="8" spans="1:6" x14ac:dyDescent="0.25">
      <c r="A8" s="1">
        <v>35096</v>
      </c>
      <c r="B8">
        <v>1224879</v>
      </c>
      <c r="C8">
        <v>0</v>
      </c>
      <c r="D8">
        <v>64</v>
      </c>
      <c r="E8">
        <v>28.775400000000001</v>
      </c>
      <c r="F8">
        <v>10.63</v>
      </c>
    </row>
    <row r="9" spans="1:6" x14ac:dyDescent="0.25">
      <c r="A9" s="1">
        <v>35125</v>
      </c>
      <c r="B9">
        <v>1224879</v>
      </c>
      <c r="C9">
        <v>0</v>
      </c>
      <c r="D9">
        <v>53.05</v>
      </c>
      <c r="E9">
        <v>34.441800000000001</v>
      </c>
      <c r="F9">
        <v>10.63</v>
      </c>
    </row>
    <row r="10" spans="1:6" x14ac:dyDescent="0.25">
      <c r="A10" s="1">
        <v>35156</v>
      </c>
      <c r="B10">
        <v>1224879</v>
      </c>
      <c r="C10">
        <v>0</v>
      </c>
      <c r="D10">
        <v>2.2498999999999998</v>
      </c>
      <c r="E10">
        <v>34.674900000000001</v>
      </c>
      <c r="F10">
        <v>10.63</v>
      </c>
    </row>
    <row r="11" spans="1:6" x14ac:dyDescent="0.25">
      <c r="A11" s="1">
        <v>35186</v>
      </c>
      <c r="B11">
        <v>1224879</v>
      </c>
      <c r="C11">
        <v>0</v>
      </c>
      <c r="D11">
        <v>-23.1249</v>
      </c>
      <c r="E11">
        <v>34.674900000000001</v>
      </c>
      <c r="F11">
        <v>10.63</v>
      </c>
    </row>
    <row r="12" spans="1:6" x14ac:dyDescent="0.25">
      <c r="A12" s="1">
        <v>35217</v>
      </c>
      <c r="B12">
        <v>1224879</v>
      </c>
      <c r="C12">
        <v>0</v>
      </c>
      <c r="D12">
        <v>-36.749899999999997</v>
      </c>
      <c r="E12">
        <v>34.674900000000001</v>
      </c>
      <c r="F12">
        <v>10.63</v>
      </c>
    </row>
    <row r="13" spans="1:6" x14ac:dyDescent="0.25">
      <c r="A13" s="1">
        <v>35247</v>
      </c>
      <c r="B13">
        <v>1224879</v>
      </c>
      <c r="C13">
        <v>0</v>
      </c>
      <c r="D13">
        <v>-60.75</v>
      </c>
      <c r="E13">
        <v>34.674900000000001</v>
      </c>
      <c r="F13">
        <v>10.63</v>
      </c>
    </row>
    <row r="14" spans="1:6" x14ac:dyDescent="0.25">
      <c r="A14" s="1">
        <v>35278</v>
      </c>
      <c r="B14">
        <v>1224879</v>
      </c>
      <c r="C14">
        <v>0</v>
      </c>
      <c r="D14">
        <v>-54.5</v>
      </c>
      <c r="E14">
        <v>34.674900000000001</v>
      </c>
      <c r="F14">
        <v>10.63</v>
      </c>
    </row>
    <row r="15" spans="1:6" x14ac:dyDescent="0.25">
      <c r="A15" s="1">
        <v>35309</v>
      </c>
      <c r="B15">
        <v>1224879</v>
      </c>
      <c r="C15">
        <v>0</v>
      </c>
      <c r="D15">
        <v>-28.95</v>
      </c>
      <c r="E15">
        <v>34.674900000000001</v>
      </c>
      <c r="F15">
        <v>10.63</v>
      </c>
    </row>
    <row r="16" spans="1:6" x14ac:dyDescent="0.25">
      <c r="A16" s="1">
        <v>35339</v>
      </c>
      <c r="B16">
        <v>1224879</v>
      </c>
      <c r="C16">
        <v>0</v>
      </c>
      <c r="D16">
        <v>-51.75</v>
      </c>
      <c r="E16">
        <v>34.674900000000001</v>
      </c>
      <c r="F16">
        <v>10.63</v>
      </c>
    </row>
    <row r="17" spans="1:6" x14ac:dyDescent="0.25">
      <c r="A17" s="1">
        <v>35370</v>
      </c>
      <c r="B17">
        <v>1224879</v>
      </c>
      <c r="C17">
        <v>0</v>
      </c>
      <c r="D17">
        <v>-18.55</v>
      </c>
      <c r="E17">
        <v>34.674900000000001</v>
      </c>
      <c r="F17">
        <v>10.63</v>
      </c>
    </row>
    <row r="18" spans="1:6" x14ac:dyDescent="0.25">
      <c r="A18" s="1">
        <v>35400</v>
      </c>
      <c r="B18">
        <v>1224879</v>
      </c>
      <c r="C18">
        <v>0</v>
      </c>
      <c r="D18">
        <v>11.6249</v>
      </c>
      <c r="E18">
        <v>35.8857</v>
      </c>
      <c r="F18">
        <v>10.63</v>
      </c>
    </row>
    <row r="19" spans="1:6" x14ac:dyDescent="0.25">
      <c r="A19" s="1">
        <v>35490</v>
      </c>
      <c r="B19">
        <v>1224879</v>
      </c>
      <c r="C19">
        <v>0</v>
      </c>
      <c r="D19">
        <v>6.25</v>
      </c>
      <c r="E19">
        <v>36.534799999999997</v>
      </c>
      <c r="F19">
        <v>10.63</v>
      </c>
    </row>
    <row r="20" spans="1:6" x14ac:dyDescent="0.25">
      <c r="A20" s="1">
        <v>35521</v>
      </c>
      <c r="B20">
        <v>1224879</v>
      </c>
      <c r="C20">
        <v>0</v>
      </c>
      <c r="D20">
        <v>-19.75</v>
      </c>
      <c r="E20">
        <v>36.534799999999997</v>
      </c>
      <c r="F20">
        <v>10.63</v>
      </c>
    </row>
    <row r="21" spans="1:6" x14ac:dyDescent="0.25">
      <c r="A21" s="1">
        <v>35551</v>
      </c>
      <c r="B21">
        <v>1224879</v>
      </c>
      <c r="C21">
        <v>0</v>
      </c>
      <c r="D21">
        <v>-43.625</v>
      </c>
      <c r="E21">
        <v>36.534799999999997</v>
      </c>
      <c r="F21">
        <v>10.63</v>
      </c>
    </row>
    <row r="22" spans="1:6" x14ac:dyDescent="0.25">
      <c r="A22" s="1">
        <v>35582</v>
      </c>
      <c r="B22">
        <v>1224879</v>
      </c>
      <c r="C22">
        <v>0</v>
      </c>
      <c r="D22">
        <v>-26.15</v>
      </c>
      <c r="E22">
        <v>36.534799999999997</v>
      </c>
      <c r="F22">
        <v>10.63</v>
      </c>
    </row>
    <row r="23" spans="1:6" x14ac:dyDescent="0.25">
      <c r="A23" s="1">
        <v>35612</v>
      </c>
      <c r="B23">
        <v>1224879</v>
      </c>
      <c r="C23">
        <v>0</v>
      </c>
      <c r="D23">
        <v>-1.75</v>
      </c>
      <c r="E23">
        <v>36.534799999999997</v>
      </c>
      <c r="F23">
        <v>10.63</v>
      </c>
    </row>
    <row r="24" spans="1:6" x14ac:dyDescent="0.25">
      <c r="A24" s="1">
        <v>35643</v>
      </c>
      <c r="B24">
        <v>1224879</v>
      </c>
      <c r="C24">
        <v>0</v>
      </c>
      <c r="D24">
        <v>18.75</v>
      </c>
      <c r="E24">
        <v>38.503100000000003</v>
      </c>
      <c r="F24">
        <v>10.63</v>
      </c>
    </row>
    <row r="25" spans="1:6" x14ac:dyDescent="0.25">
      <c r="A25" s="1">
        <v>35674</v>
      </c>
      <c r="B25">
        <v>1224879</v>
      </c>
      <c r="C25">
        <v>0</v>
      </c>
      <c r="D25">
        <v>16.625</v>
      </c>
      <c r="E25">
        <v>40.244500000000002</v>
      </c>
      <c r="F25">
        <v>10.63</v>
      </c>
    </row>
    <row r="26" spans="1:6" x14ac:dyDescent="0.25">
      <c r="A26" s="1">
        <v>35704</v>
      </c>
      <c r="B26">
        <v>1224879</v>
      </c>
      <c r="C26">
        <v>0</v>
      </c>
      <c r="D26">
        <v>25.25</v>
      </c>
      <c r="E26">
        <v>42.901499999999999</v>
      </c>
      <c r="F26">
        <v>10.63</v>
      </c>
    </row>
    <row r="27" spans="1:6" x14ac:dyDescent="0.25">
      <c r="A27" s="1">
        <v>35735</v>
      </c>
      <c r="B27">
        <v>1224879</v>
      </c>
      <c r="C27">
        <v>0</v>
      </c>
      <c r="D27">
        <v>38.35</v>
      </c>
      <c r="E27">
        <v>46.965299999999999</v>
      </c>
      <c r="F27">
        <v>10.63</v>
      </c>
    </row>
    <row r="28" spans="1:6" x14ac:dyDescent="0.25">
      <c r="A28" s="1">
        <v>35765</v>
      </c>
      <c r="B28">
        <v>1224879</v>
      </c>
      <c r="C28">
        <v>0</v>
      </c>
      <c r="D28">
        <v>47.125</v>
      </c>
      <c r="E28">
        <v>51.982700000000001</v>
      </c>
      <c r="F28">
        <v>10.63</v>
      </c>
    </row>
    <row r="29" spans="1:6" x14ac:dyDescent="0.25">
      <c r="A29" s="1">
        <v>35796</v>
      </c>
      <c r="B29">
        <v>1224879</v>
      </c>
      <c r="C29">
        <v>0</v>
      </c>
      <c r="D29">
        <v>152.25</v>
      </c>
      <c r="E29">
        <v>69.192099999999996</v>
      </c>
      <c r="F29">
        <v>10.63</v>
      </c>
    </row>
    <row r="30" spans="1:6" x14ac:dyDescent="0.25">
      <c r="A30" s="1">
        <v>35827</v>
      </c>
      <c r="B30">
        <v>1224879</v>
      </c>
      <c r="C30">
        <v>0</v>
      </c>
      <c r="D30">
        <v>172.85</v>
      </c>
      <c r="E30">
        <v>88.975099999999998</v>
      </c>
      <c r="F30">
        <v>10.63</v>
      </c>
    </row>
    <row r="31" spans="1:6" x14ac:dyDescent="0.25">
      <c r="A31" s="1">
        <v>35855</v>
      </c>
      <c r="B31">
        <v>1224879</v>
      </c>
      <c r="C31">
        <v>0</v>
      </c>
      <c r="D31">
        <v>171.875</v>
      </c>
      <c r="E31">
        <v>108.6349</v>
      </c>
      <c r="F31">
        <v>10.63</v>
      </c>
    </row>
    <row r="32" spans="1:6" x14ac:dyDescent="0.25">
      <c r="A32" s="1">
        <v>35886</v>
      </c>
      <c r="B32">
        <v>1224879</v>
      </c>
      <c r="C32">
        <v>0</v>
      </c>
      <c r="D32">
        <v>165.25</v>
      </c>
      <c r="E32">
        <v>127.4607</v>
      </c>
      <c r="F32">
        <v>10.63</v>
      </c>
    </row>
    <row r="33" spans="1:6" x14ac:dyDescent="0.25">
      <c r="A33" s="1">
        <v>35916</v>
      </c>
      <c r="B33">
        <v>1224879</v>
      </c>
      <c r="C33">
        <v>0</v>
      </c>
      <c r="D33">
        <v>166.15</v>
      </c>
      <c r="E33">
        <v>146.3777</v>
      </c>
      <c r="F33">
        <v>10.63</v>
      </c>
    </row>
    <row r="34" spans="1:6" x14ac:dyDescent="0.25">
      <c r="A34" s="1">
        <v>35947</v>
      </c>
      <c r="B34">
        <v>1224879</v>
      </c>
      <c r="C34">
        <v>0</v>
      </c>
      <c r="D34">
        <v>169</v>
      </c>
      <c r="E34">
        <v>165.65270000000001</v>
      </c>
      <c r="F34">
        <v>10.63</v>
      </c>
    </row>
    <row r="35" spans="1:6" x14ac:dyDescent="0.25">
      <c r="A35" s="1">
        <v>35977</v>
      </c>
      <c r="B35">
        <v>1224879</v>
      </c>
      <c r="C35">
        <v>0</v>
      </c>
      <c r="D35">
        <v>184.9999</v>
      </c>
      <c r="E35">
        <v>186.91149999999999</v>
      </c>
      <c r="F35">
        <v>10.63</v>
      </c>
    </row>
    <row r="36" spans="1:6" x14ac:dyDescent="0.25">
      <c r="A36" s="1">
        <v>36008</v>
      </c>
      <c r="B36">
        <v>1224879</v>
      </c>
      <c r="C36">
        <v>0</v>
      </c>
      <c r="D36">
        <v>187.55</v>
      </c>
      <c r="E36">
        <v>208.4974</v>
      </c>
      <c r="F36">
        <v>10.63</v>
      </c>
    </row>
    <row r="37" spans="1:6" x14ac:dyDescent="0.25">
      <c r="A37" s="1">
        <v>36039</v>
      </c>
      <c r="B37">
        <v>1224879</v>
      </c>
      <c r="C37">
        <v>0</v>
      </c>
      <c r="D37">
        <v>189.9999</v>
      </c>
      <c r="E37">
        <v>230.39859999999999</v>
      </c>
      <c r="F37">
        <v>10.63</v>
      </c>
    </row>
    <row r="38" spans="1:6" x14ac:dyDescent="0.25">
      <c r="A38" s="1">
        <v>36069</v>
      </c>
      <c r="B38">
        <v>1224879</v>
      </c>
      <c r="C38">
        <v>0</v>
      </c>
      <c r="D38">
        <v>213.1249</v>
      </c>
      <c r="E38">
        <v>255.32499999999999</v>
      </c>
      <c r="F38">
        <v>10.63</v>
      </c>
    </row>
    <row r="39" spans="1:6" x14ac:dyDescent="0.25">
      <c r="A39" s="1">
        <v>36100</v>
      </c>
      <c r="B39">
        <v>1224879</v>
      </c>
      <c r="C39">
        <v>0</v>
      </c>
      <c r="D39">
        <v>215.25</v>
      </c>
      <c r="E39">
        <v>280.53410000000002</v>
      </c>
      <c r="F39">
        <v>10.63</v>
      </c>
    </row>
    <row r="40" spans="1:6" x14ac:dyDescent="0.25">
      <c r="A40" s="1">
        <v>36130</v>
      </c>
      <c r="B40">
        <v>1224879</v>
      </c>
      <c r="C40">
        <v>0</v>
      </c>
      <c r="D40">
        <v>214.125</v>
      </c>
      <c r="E40">
        <v>305.1875</v>
      </c>
      <c r="F40">
        <v>10.63</v>
      </c>
    </row>
    <row r="41" spans="1:6" x14ac:dyDescent="0.25">
      <c r="A41" s="1">
        <v>36161</v>
      </c>
      <c r="B41">
        <v>1224879</v>
      </c>
      <c r="C41">
        <v>0</v>
      </c>
      <c r="D41">
        <v>225.95</v>
      </c>
      <c r="E41">
        <v>331.39690000000002</v>
      </c>
      <c r="F41">
        <v>10.63</v>
      </c>
    </row>
    <row r="42" spans="1:6" x14ac:dyDescent="0.25">
      <c r="A42" s="1">
        <v>36192</v>
      </c>
      <c r="B42">
        <v>1224879</v>
      </c>
      <c r="C42">
        <v>0</v>
      </c>
      <c r="D42">
        <v>222.125</v>
      </c>
      <c r="E42">
        <v>357.1003</v>
      </c>
      <c r="F42">
        <v>10.63</v>
      </c>
    </row>
    <row r="43" spans="1:6" x14ac:dyDescent="0.25">
      <c r="A43" s="1">
        <v>36220</v>
      </c>
      <c r="B43">
        <v>1224879</v>
      </c>
      <c r="C43">
        <v>0</v>
      </c>
      <c r="D43">
        <v>218</v>
      </c>
      <c r="E43">
        <v>382.26089999999999</v>
      </c>
      <c r="F43">
        <v>10.63</v>
      </c>
    </row>
    <row r="44" spans="1:6" x14ac:dyDescent="0.25">
      <c r="A44" s="1">
        <v>36251</v>
      </c>
      <c r="B44">
        <v>1224879</v>
      </c>
      <c r="C44">
        <v>0</v>
      </c>
      <c r="D44">
        <v>197.25</v>
      </c>
      <c r="E44">
        <v>404.73480000000001</v>
      </c>
      <c r="F44">
        <v>10.63</v>
      </c>
    </row>
    <row r="45" spans="1:6" x14ac:dyDescent="0.25">
      <c r="A45" s="1">
        <v>36281</v>
      </c>
      <c r="B45">
        <v>1224879</v>
      </c>
      <c r="C45">
        <v>0</v>
      </c>
      <c r="D45">
        <v>207.65</v>
      </c>
      <c r="E45">
        <v>428.54629999999997</v>
      </c>
      <c r="F45">
        <v>10.63</v>
      </c>
    </row>
    <row r="46" spans="1:6" x14ac:dyDescent="0.25">
      <c r="A46" s="1">
        <v>36312</v>
      </c>
      <c r="B46">
        <v>1224879</v>
      </c>
      <c r="C46">
        <v>0</v>
      </c>
      <c r="D46">
        <v>184.25</v>
      </c>
      <c r="E46">
        <v>449.37310000000002</v>
      </c>
      <c r="F46">
        <v>10.63</v>
      </c>
    </row>
    <row r="47" spans="1:6" x14ac:dyDescent="0.25">
      <c r="A47" s="1">
        <v>36342</v>
      </c>
      <c r="B47">
        <v>1224879</v>
      </c>
      <c r="C47">
        <v>0</v>
      </c>
      <c r="D47">
        <v>142.7499</v>
      </c>
      <c r="E47">
        <v>465.13350000000003</v>
      </c>
      <c r="F47">
        <v>10.63</v>
      </c>
    </row>
    <row r="48" spans="1:6" x14ac:dyDescent="0.25">
      <c r="A48" s="1">
        <v>36373</v>
      </c>
      <c r="B48">
        <v>1224879</v>
      </c>
      <c r="C48">
        <v>0</v>
      </c>
      <c r="D48">
        <v>134.54990000000001</v>
      </c>
      <c r="E48">
        <v>479.91809999999998</v>
      </c>
      <c r="F48">
        <v>10.63</v>
      </c>
    </row>
    <row r="49" spans="1:6" x14ac:dyDescent="0.25">
      <c r="A49" s="1">
        <v>36404</v>
      </c>
      <c r="B49">
        <v>1224879</v>
      </c>
      <c r="C49">
        <v>0</v>
      </c>
      <c r="D49">
        <v>103.4999</v>
      </c>
      <c r="E49">
        <v>491.0917</v>
      </c>
      <c r="F49">
        <v>10.63</v>
      </c>
    </row>
    <row r="50" spans="1:6" x14ac:dyDescent="0.25">
      <c r="A50" s="1">
        <v>36434</v>
      </c>
      <c r="B50">
        <v>1224879</v>
      </c>
      <c r="C50">
        <v>0</v>
      </c>
      <c r="D50">
        <v>118.4499</v>
      </c>
      <c r="E50">
        <v>503.98770000000002</v>
      </c>
      <c r="F50">
        <v>10.63</v>
      </c>
    </row>
    <row r="51" spans="1:6" x14ac:dyDescent="0.25">
      <c r="A51" s="1">
        <v>36465</v>
      </c>
      <c r="B51">
        <v>1224879</v>
      </c>
      <c r="C51">
        <v>0</v>
      </c>
      <c r="D51">
        <v>100.75</v>
      </c>
      <c r="E51">
        <v>514.94230000000005</v>
      </c>
      <c r="F51">
        <v>10.63</v>
      </c>
    </row>
    <row r="52" spans="1:6" x14ac:dyDescent="0.25">
      <c r="A52" s="1">
        <v>36495</v>
      </c>
      <c r="B52">
        <v>1224879</v>
      </c>
      <c r="C52">
        <v>0</v>
      </c>
      <c r="D52">
        <v>116</v>
      </c>
      <c r="E52">
        <v>527.66480000000001</v>
      </c>
      <c r="F52">
        <v>10.63</v>
      </c>
    </row>
    <row r="53" spans="1:6" x14ac:dyDescent="0.25">
      <c r="A53" s="1">
        <v>36526</v>
      </c>
      <c r="B53">
        <v>1224879</v>
      </c>
      <c r="C53">
        <v>0</v>
      </c>
      <c r="D53">
        <v>98.55</v>
      </c>
      <c r="E53">
        <v>538.36689999999999</v>
      </c>
      <c r="F53">
        <v>10.63</v>
      </c>
    </row>
    <row r="54" spans="1:6" x14ac:dyDescent="0.25">
      <c r="A54" s="1">
        <v>36557</v>
      </c>
      <c r="B54">
        <v>1224879</v>
      </c>
      <c r="C54">
        <v>0</v>
      </c>
      <c r="D54">
        <v>68.75</v>
      </c>
      <c r="E54">
        <v>545.71040000000005</v>
      </c>
      <c r="F54">
        <v>10.63</v>
      </c>
    </row>
    <row r="55" spans="1:6" x14ac:dyDescent="0.25">
      <c r="A55" s="1">
        <v>36586</v>
      </c>
      <c r="B55">
        <v>1224879</v>
      </c>
      <c r="C55">
        <v>0</v>
      </c>
      <c r="D55">
        <v>57.875</v>
      </c>
      <c r="E55">
        <v>551.85580000000004</v>
      </c>
      <c r="F55">
        <v>10.63</v>
      </c>
    </row>
    <row r="56" spans="1:6" x14ac:dyDescent="0.25">
      <c r="A56" s="1">
        <v>36617</v>
      </c>
      <c r="B56">
        <v>1224879</v>
      </c>
      <c r="C56">
        <v>0</v>
      </c>
      <c r="D56">
        <v>66.249899999999997</v>
      </c>
      <c r="E56">
        <v>558.92250000000001</v>
      </c>
      <c r="F56">
        <v>10.63</v>
      </c>
    </row>
    <row r="57" spans="1:6" x14ac:dyDescent="0.25">
      <c r="A57" s="1">
        <v>36647</v>
      </c>
      <c r="B57">
        <v>1224879</v>
      </c>
      <c r="C57">
        <v>0</v>
      </c>
      <c r="D57">
        <v>75.125</v>
      </c>
      <c r="E57">
        <v>566.9751</v>
      </c>
      <c r="F57">
        <v>10.63</v>
      </c>
    </row>
    <row r="58" spans="1:6" x14ac:dyDescent="0.25">
      <c r="A58" s="1">
        <v>36678</v>
      </c>
      <c r="B58">
        <v>1224879</v>
      </c>
      <c r="C58">
        <v>0</v>
      </c>
      <c r="D58">
        <v>38.25</v>
      </c>
      <c r="E58">
        <v>570.99400000000003</v>
      </c>
      <c r="F58">
        <v>10.63</v>
      </c>
    </row>
    <row r="59" spans="1:6" x14ac:dyDescent="0.25">
      <c r="A59" s="1">
        <v>36708</v>
      </c>
      <c r="B59">
        <v>1224879</v>
      </c>
      <c r="C59">
        <v>0</v>
      </c>
      <c r="D59">
        <v>62.45</v>
      </c>
      <c r="E59">
        <v>577.64170000000001</v>
      </c>
      <c r="F59">
        <v>10.63</v>
      </c>
    </row>
    <row r="60" spans="1:6" x14ac:dyDescent="0.25">
      <c r="A60" s="1">
        <v>36739</v>
      </c>
      <c r="B60">
        <v>1224879</v>
      </c>
      <c r="C60">
        <v>0</v>
      </c>
      <c r="D60">
        <v>76.875</v>
      </c>
      <c r="E60">
        <v>585.88980000000004</v>
      </c>
      <c r="F60">
        <v>10.63</v>
      </c>
    </row>
    <row r="61" spans="1:6" x14ac:dyDescent="0.25">
      <c r="A61" s="1">
        <v>36770</v>
      </c>
      <c r="B61">
        <v>1224879</v>
      </c>
      <c r="C61">
        <v>0</v>
      </c>
      <c r="D61">
        <v>88.85</v>
      </c>
      <c r="E61">
        <v>595.48620000000005</v>
      </c>
      <c r="F61">
        <v>10.63</v>
      </c>
    </row>
    <row r="62" spans="1:6" x14ac:dyDescent="0.25">
      <c r="A62" s="1">
        <v>36800</v>
      </c>
      <c r="B62">
        <v>1224879</v>
      </c>
      <c r="C62">
        <v>0</v>
      </c>
      <c r="D62">
        <v>99.75</v>
      </c>
      <c r="E62">
        <v>606.32600000000002</v>
      </c>
      <c r="F62">
        <v>10.63</v>
      </c>
    </row>
    <row r="63" spans="1:6" x14ac:dyDescent="0.25">
      <c r="A63" s="1">
        <v>36831</v>
      </c>
      <c r="B63">
        <v>1224879</v>
      </c>
      <c r="C63">
        <v>0</v>
      </c>
      <c r="D63">
        <v>110.875</v>
      </c>
      <c r="E63">
        <v>618.45079999999996</v>
      </c>
      <c r="F63">
        <v>10.63</v>
      </c>
    </row>
    <row r="64" spans="1:6" x14ac:dyDescent="0.25">
      <c r="A64" s="1">
        <v>36861</v>
      </c>
      <c r="B64">
        <v>1224879</v>
      </c>
      <c r="C64">
        <v>0</v>
      </c>
      <c r="D64">
        <v>119.65</v>
      </c>
      <c r="E64">
        <v>631.60109999999997</v>
      </c>
      <c r="F64">
        <v>10.63</v>
      </c>
    </row>
    <row r="65" spans="1:6" x14ac:dyDescent="0.25">
      <c r="A65" s="1">
        <v>36892</v>
      </c>
      <c r="B65">
        <v>1224879</v>
      </c>
      <c r="C65">
        <v>0</v>
      </c>
      <c r="D65">
        <v>240.125</v>
      </c>
      <c r="E65">
        <v>660.0095</v>
      </c>
      <c r="F65">
        <v>10.63</v>
      </c>
    </row>
    <row r="66" spans="1:6" x14ac:dyDescent="0.25">
      <c r="A66" s="1">
        <v>36923</v>
      </c>
      <c r="B66">
        <v>1224879</v>
      </c>
      <c r="C66">
        <v>0</v>
      </c>
      <c r="D66">
        <v>270.25</v>
      </c>
      <c r="E66">
        <v>692.62710000000004</v>
      </c>
      <c r="F66">
        <v>10.63</v>
      </c>
    </row>
    <row r="67" spans="1:6" x14ac:dyDescent="0.25">
      <c r="A67" s="1">
        <v>36951</v>
      </c>
      <c r="B67">
        <v>1224879</v>
      </c>
      <c r="C67">
        <v>0</v>
      </c>
      <c r="D67">
        <v>267.25</v>
      </c>
      <c r="E67">
        <v>724.81740000000002</v>
      </c>
      <c r="F67">
        <v>10.63</v>
      </c>
    </row>
    <row r="68" spans="1:6" x14ac:dyDescent="0.25">
      <c r="A68" s="1">
        <v>36982</v>
      </c>
      <c r="B68">
        <v>1224879</v>
      </c>
      <c r="C68">
        <v>0</v>
      </c>
      <c r="D68">
        <v>277.8</v>
      </c>
      <c r="E68">
        <v>758.51819999999998</v>
      </c>
      <c r="F68">
        <v>10.63</v>
      </c>
    </row>
    <row r="69" spans="1:6" x14ac:dyDescent="0.25">
      <c r="A69" s="1">
        <v>37012</v>
      </c>
      <c r="B69">
        <v>1224879</v>
      </c>
      <c r="C69">
        <v>0</v>
      </c>
      <c r="D69">
        <v>265.75</v>
      </c>
      <c r="E69">
        <v>790.49559999999997</v>
      </c>
      <c r="F69">
        <v>10.63</v>
      </c>
    </row>
    <row r="70" spans="1:6" x14ac:dyDescent="0.25">
      <c r="A70" s="1">
        <v>37043</v>
      </c>
      <c r="B70">
        <v>1224879</v>
      </c>
      <c r="C70">
        <v>0</v>
      </c>
      <c r="D70">
        <v>256.10000000000002</v>
      </c>
      <c r="E70">
        <v>821.11400000000003</v>
      </c>
      <c r="F70">
        <v>10.63</v>
      </c>
    </row>
    <row r="71" spans="1:6" x14ac:dyDescent="0.25">
      <c r="A71" s="1">
        <v>37073</v>
      </c>
      <c r="B71">
        <v>1224879</v>
      </c>
      <c r="C71">
        <v>0</v>
      </c>
      <c r="D71">
        <v>257.625</v>
      </c>
      <c r="E71">
        <v>851.94590000000005</v>
      </c>
      <c r="F71">
        <v>10.63</v>
      </c>
    </row>
    <row r="72" spans="1:6" x14ac:dyDescent="0.25">
      <c r="A72" s="1">
        <v>37104</v>
      </c>
      <c r="B72">
        <v>1224879</v>
      </c>
      <c r="C72">
        <v>0</v>
      </c>
      <c r="D72">
        <v>260.75</v>
      </c>
      <c r="E72">
        <v>883.21690000000001</v>
      </c>
      <c r="F72">
        <v>10.63</v>
      </c>
    </row>
    <row r="73" spans="1:6" x14ac:dyDescent="0.25">
      <c r="A73" s="1">
        <v>37135</v>
      </c>
      <c r="B73">
        <v>1224879</v>
      </c>
      <c r="C73">
        <v>0</v>
      </c>
      <c r="D73">
        <v>278.5</v>
      </c>
      <c r="E73">
        <v>917.01869999999997</v>
      </c>
      <c r="F73">
        <v>10.63</v>
      </c>
    </row>
    <row r="74" spans="1:6" x14ac:dyDescent="0.25">
      <c r="A74" s="1">
        <v>37165</v>
      </c>
      <c r="B74">
        <v>1224879</v>
      </c>
      <c r="C74">
        <v>0</v>
      </c>
      <c r="D74">
        <v>291.75</v>
      </c>
      <c r="E74">
        <v>952.75239999999997</v>
      </c>
      <c r="F74">
        <v>10.63</v>
      </c>
    </row>
    <row r="75" spans="1:6" x14ac:dyDescent="0.25">
      <c r="A75" s="1">
        <v>37196</v>
      </c>
      <c r="B75">
        <v>1224879</v>
      </c>
      <c r="C75">
        <v>0</v>
      </c>
      <c r="D75">
        <v>313</v>
      </c>
      <c r="E75">
        <v>991.66459999999995</v>
      </c>
      <c r="F75">
        <v>10.63</v>
      </c>
    </row>
    <row r="76" spans="1:6" x14ac:dyDescent="0.25">
      <c r="A76" s="1">
        <v>37226</v>
      </c>
      <c r="B76">
        <v>1224879</v>
      </c>
      <c r="C76">
        <v>0</v>
      </c>
      <c r="D76">
        <v>310.2</v>
      </c>
      <c r="E76">
        <v>1030.1521</v>
      </c>
      <c r="F76">
        <v>10.63</v>
      </c>
    </row>
    <row r="77" spans="1:6" x14ac:dyDescent="0.25">
      <c r="A77" s="1">
        <v>37257</v>
      </c>
      <c r="B77">
        <v>1224879</v>
      </c>
      <c r="C77">
        <v>0</v>
      </c>
      <c r="D77">
        <v>270.75</v>
      </c>
      <c r="E77">
        <v>1062.8409999999999</v>
      </c>
      <c r="F77">
        <v>10.63</v>
      </c>
    </row>
    <row r="78" spans="1:6" x14ac:dyDescent="0.25">
      <c r="A78" s="1">
        <v>37288</v>
      </c>
      <c r="B78">
        <v>1224879</v>
      </c>
      <c r="C78">
        <v>0</v>
      </c>
      <c r="D78">
        <v>277.3</v>
      </c>
      <c r="E78">
        <v>1096.4697000000001</v>
      </c>
      <c r="F78">
        <v>10.63</v>
      </c>
    </row>
    <row r="79" spans="1:6" x14ac:dyDescent="0.25">
      <c r="A79" s="1">
        <v>37316</v>
      </c>
      <c r="B79">
        <v>1224879</v>
      </c>
      <c r="C79">
        <v>0</v>
      </c>
      <c r="D79">
        <v>294.75</v>
      </c>
      <c r="E79">
        <v>1132.646</v>
      </c>
      <c r="F79">
        <v>10.63</v>
      </c>
    </row>
    <row r="80" spans="1:6" x14ac:dyDescent="0.25">
      <c r="A80" s="1">
        <v>37347</v>
      </c>
      <c r="B80">
        <v>1224879</v>
      </c>
      <c r="C80">
        <v>0</v>
      </c>
      <c r="D80">
        <v>271.75</v>
      </c>
      <c r="E80">
        <v>1165.4779000000001</v>
      </c>
      <c r="F80">
        <v>10.63</v>
      </c>
    </row>
    <row r="81" spans="1:6" x14ac:dyDescent="0.25">
      <c r="A81" s="1">
        <v>37377</v>
      </c>
      <c r="B81">
        <v>1224879</v>
      </c>
      <c r="C81">
        <v>0</v>
      </c>
      <c r="D81">
        <v>279.375</v>
      </c>
      <c r="E81">
        <v>1199.4060999999999</v>
      </c>
      <c r="F81">
        <v>10.63</v>
      </c>
    </row>
    <row r="82" spans="1:6" x14ac:dyDescent="0.25">
      <c r="A82" s="1">
        <v>37408</v>
      </c>
      <c r="B82">
        <v>1224879</v>
      </c>
      <c r="C82">
        <v>0</v>
      </c>
      <c r="D82">
        <v>297.39999999999998</v>
      </c>
      <c r="E82">
        <v>1235.9751000000001</v>
      </c>
      <c r="F82">
        <v>10.63</v>
      </c>
    </row>
    <row r="83" spans="1:6" x14ac:dyDescent="0.25">
      <c r="A83" s="1">
        <v>37438</v>
      </c>
      <c r="B83">
        <v>1224879</v>
      </c>
      <c r="C83">
        <v>0</v>
      </c>
      <c r="D83">
        <v>316</v>
      </c>
      <c r="E83">
        <v>1275.3442</v>
      </c>
      <c r="F83">
        <v>10.63</v>
      </c>
    </row>
    <row r="84" spans="1:6" x14ac:dyDescent="0.25">
      <c r="A84" s="1">
        <v>37469</v>
      </c>
      <c r="B84">
        <v>1224879</v>
      </c>
      <c r="C84">
        <v>0</v>
      </c>
      <c r="D84">
        <v>333.75</v>
      </c>
      <c r="E84">
        <v>1317.4607000000001</v>
      </c>
      <c r="F84">
        <v>10.63</v>
      </c>
    </row>
    <row r="85" spans="1:6" x14ac:dyDescent="0.25">
      <c r="A85" s="1">
        <v>37500</v>
      </c>
      <c r="B85">
        <v>1224879</v>
      </c>
      <c r="C85">
        <v>0</v>
      </c>
      <c r="D85">
        <v>351</v>
      </c>
      <c r="E85">
        <v>1362.3214</v>
      </c>
      <c r="F85">
        <v>10.63</v>
      </c>
    </row>
    <row r="86" spans="1:6" x14ac:dyDescent="0.25">
      <c r="A86" s="1">
        <v>37530</v>
      </c>
      <c r="B86">
        <v>1224879</v>
      </c>
      <c r="C86">
        <v>0</v>
      </c>
      <c r="D86">
        <v>371.125</v>
      </c>
      <c r="E86">
        <v>1410.4819</v>
      </c>
      <c r="F86">
        <v>10.63</v>
      </c>
    </row>
    <row r="87" spans="1:6" x14ac:dyDescent="0.25">
      <c r="A87" s="1">
        <v>37561</v>
      </c>
      <c r="B87">
        <v>1224879</v>
      </c>
      <c r="C87">
        <v>0</v>
      </c>
      <c r="D87">
        <v>370.4</v>
      </c>
      <c r="E87">
        <v>1458.5216</v>
      </c>
      <c r="F87">
        <v>10.63</v>
      </c>
    </row>
    <row r="88" spans="1:6" x14ac:dyDescent="0.25">
      <c r="A88" s="1">
        <v>37591</v>
      </c>
      <c r="B88">
        <v>1224879</v>
      </c>
      <c r="C88">
        <v>0</v>
      </c>
      <c r="D88">
        <v>375.75</v>
      </c>
      <c r="E88">
        <v>1507.4561000000001</v>
      </c>
      <c r="F88">
        <v>10.63</v>
      </c>
    </row>
    <row r="89" spans="1:6" x14ac:dyDescent="0.25">
      <c r="A89" s="1">
        <v>37622</v>
      </c>
      <c r="B89">
        <v>1224879</v>
      </c>
      <c r="C89">
        <v>0</v>
      </c>
      <c r="D89">
        <v>377.5</v>
      </c>
      <c r="E89">
        <v>1556.6849999999999</v>
      </c>
      <c r="F89">
        <v>10.63</v>
      </c>
    </row>
    <row r="90" spans="1:6" x14ac:dyDescent="0.25">
      <c r="A90" s="1">
        <v>37653</v>
      </c>
      <c r="B90">
        <v>1224879</v>
      </c>
      <c r="C90">
        <v>0</v>
      </c>
      <c r="D90">
        <v>389.9</v>
      </c>
      <c r="E90">
        <v>1608.0254</v>
      </c>
      <c r="F90">
        <v>10.63</v>
      </c>
    </row>
    <row r="91" spans="1:6" x14ac:dyDescent="0.25">
      <c r="A91" s="1">
        <v>37681</v>
      </c>
      <c r="B91">
        <v>1224879</v>
      </c>
      <c r="C91">
        <v>0</v>
      </c>
      <c r="D91">
        <v>396.125</v>
      </c>
      <c r="E91">
        <v>1660.4428</v>
      </c>
      <c r="F91">
        <v>10.63</v>
      </c>
    </row>
    <row r="92" spans="1:6" x14ac:dyDescent="0.25">
      <c r="A92" s="1">
        <v>37712</v>
      </c>
      <c r="B92">
        <v>1224879</v>
      </c>
      <c r="C92">
        <v>0</v>
      </c>
      <c r="D92">
        <v>406.49990000000003</v>
      </c>
      <c r="E92">
        <v>1714.6813999999999</v>
      </c>
      <c r="F92">
        <v>10.63</v>
      </c>
    </row>
    <row r="93" spans="1:6" x14ac:dyDescent="0.25">
      <c r="A93" s="1">
        <v>37742</v>
      </c>
      <c r="B93">
        <v>1224879</v>
      </c>
      <c r="C93">
        <v>0</v>
      </c>
      <c r="D93">
        <v>399.74990000000003</v>
      </c>
      <c r="E93">
        <v>1767.7313999999999</v>
      </c>
      <c r="F93">
        <v>10.63</v>
      </c>
    </row>
    <row r="94" spans="1:6" x14ac:dyDescent="0.25">
      <c r="A94" s="1">
        <v>37773</v>
      </c>
      <c r="B94">
        <v>1224879</v>
      </c>
      <c r="C94">
        <v>0</v>
      </c>
      <c r="D94">
        <v>431.6</v>
      </c>
      <c r="E94">
        <v>1826.5183</v>
      </c>
      <c r="F94">
        <v>10.63</v>
      </c>
    </row>
    <row r="95" spans="1:6" x14ac:dyDescent="0.25">
      <c r="A95" s="1">
        <v>37803</v>
      </c>
      <c r="B95">
        <v>1224879</v>
      </c>
      <c r="C95">
        <v>0</v>
      </c>
      <c r="D95">
        <v>459.25</v>
      </c>
      <c r="E95">
        <v>1890.5672999999999</v>
      </c>
      <c r="F95">
        <v>10.63</v>
      </c>
    </row>
    <row r="96" spans="1:6" x14ac:dyDescent="0.25">
      <c r="A96" s="1">
        <v>37834</v>
      </c>
      <c r="B96">
        <v>1224879</v>
      </c>
      <c r="C96">
        <v>0</v>
      </c>
      <c r="D96">
        <v>410.1</v>
      </c>
      <c r="E96">
        <v>1945.4457</v>
      </c>
      <c r="F96">
        <v>10.63</v>
      </c>
    </row>
    <row r="97" spans="1:6" x14ac:dyDescent="0.25">
      <c r="A97" s="1">
        <v>37865</v>
      </c>
      <c r="B97">
        <v>1224879</v>
      </c>
      <c r="C97">
        <v>0</v>
      </c>
      <c r="D97">
        <v>348.375</v>
      </c>
      <c r="E97">
        <v>1989.8839</v>
      </c>
      <c r="F97">
        <v>10.63</v>
      </c>
    </row>
    <row r="98" spans="1:6" x14ac:dyDescent="0.25">
      <c r="A98" s="1">
        <v>37895</v>
      </c>
      <c r="B98">
        <v>1224879</v>
      </c>
      <c r="C98">
        <v>0</v>
      </c>
      <c r="D98">
        <v>366.87490000000003</v>
      </c>
      <c r="E98">
        <v>2037.3384000000001</v>
      </c>
      <c r="F98">
        <v>10.63</v>
      </c>
    </row>
    <row r="99" spans="1:6" x14ac:dyDescent="0.25">
      <c r="A99" s="1">
        <v>37926</v>
      </c>
      <c r="B99">
        <v>1224879</v>
      </c>
      <c r="C99">
        <v>0</v>
      </c>
      <c r="D99">
        <v>385.8</v>
      </c>
      <c r="E99">
        <v>2087.9757</v>
      </c>
      <c r="F99">
        <v>10.63</v>
      </c>
    </row>
    <row r="100" spans="1:6" x14ac:dyDescent="0.25">
      <c r="A100" s="1">
        <v>37956</v>
      </c>
      <c r="B100">
        <v>1224879</v>
      </c>
      <c r="C100">
        <v>0</v>
      </c>
      <c r="D100">
        <v>387.125</v>
      </c>
      <c r="E100">
        <v>2138.8395999999998</v>
      </c>
      <c r="F100">
        <v>10.63</v>
      </c>
    </row>
    <row r="101" spans="1:6" x14ac:dyDescent="0.25">
      <c r="A101" s="1">
        <v>37987</v>
      </c>
      <c r="B101">
        <v>1224879</v>
      </c>
      <c r="C101">
        <v>0</v>
      </c>
      <c r="D101">
        <v>391.4</v>
      </c>
      <c r="E101">
        <v>2190.4385000000002</v>
      </c>
      <c r="F101">
        <v>10.63</v>
      </c>
    </row>
    <row r="102" spans="1:6" x14ac:dyDescent="0.25">
      <c r="A102" s="1">
        <v>38018</v>
      </c>
      <c r="B102">
        <v>1224879</v>
      </c>
      <c r="C102">
        <v>0</v>
      </c>
      <c r="D102">
        <v>408.5</v>
      </c>
      <c r="E102">
        <v>2245.0320000000002</v>
      </c>
      <c r="F102">
        <v>10.63</v>
      </c>
    </row>
    <row r="103" spans="1:6" x14ac:dyDescent="0.25">
      <c r="A103" s="1">
        <v>38047</v>
      </c>
      <c r="B103">
        <v>1224879</v>
      </c>
      <c r="C103">
        <v>0</v>
      </c>
      <c r="D103">
        <v>416.25</v>
      </c>
      <c r="E103">
        <v>2301.0129000000002</v>
      </c>
      <c r="F103">
        <v>10.63</v>
      </c>
    </row>
    <row r="104" spans="1:6" x14ac:dyDescent="0.25">
      <c r="A104" s="1">
        <v>38078</v>
      </c>
      <c r="B104">
        <v>1224879</v>
      </c>
      <c r="C104">
        <v>0</v>
      </c>
      <c r="D104">
        <v>433.5</v>
      </c>
      <c r="E104">
        <v>2360.1527000000001</v>
      </c>
      <c r="F104">
        <v>10.63</v>
      </c>
    </row>
    <row r="105" spans="1:6" x14ac:dyDescent="0.25">
      <c r="A105" s="1">
        <v>38108</v>
      </c>
      <c r="B105">
        <v>1224879</v>
      </c>
      <c r="C105">
        <v>0</v>
      </c>
      <c r="D105">
        <v>388.375</v>
      </c>
      <c r="E105">
        <v>2411.2309</v>
      </c>
      <c r="F105">
        <v>10.63</v>
      </c>
    </row>
    <row r="106" spans="1:6" x14ac:dyDescent="0.25">
      <c r="A106" s="1">
        <v>38139</v>
      </c>
      <c r="B106">
        <v>1224879</v>
      </c>
      <c r="C106">
        <v>0</v>
      </c>
      <c r="D106">
        <v>352.125</v>
      </c>
      <c r="E106">
        <v>2456.2732000000001</v>
      </c>
      <c r="F106">
        <v>10.63</v>
      </c>
    </row>
    <row r="107" spans="1:6" x14ac:dyDescent="0.25">
      <c r="A107" s="1">
        <v>38169</v>
      </c>
      <c r="B107">
        <v>1224879</v>
      </c>
      <c r="C107">
        <v>0</v>
      </c>
      <c r="D107">
        <v>353.3</v>
      </c>
      <c r="E107">
        <v>2501.5056</v>
      </c>
      <c r="F107">
        <v>10.63</v>
      </c>
    </row>
    <row r="108" spans="1:6" x14ac:dyDescent="0.25">
      <c r="A108" s="1">
        <v>38200</v>
      </c>
      <c r="B108">
        <v>1224879</v>
      </c>
      <c r="C108">
        <v>0</v>
      </c>
      <c r="D108">
        <v>379.25</v>
      </c>
      <c r="E108">
        <v>2551.0297999999998</v>
      </c>
      <c r="F108">
        <v>10.63</v>
      </c>
    </row>
    <row r="109" spans="1:6" x14ac:dyDescent="0.25">
      <c r="A109" s="1">
        <v>38231</v>
      </c>
      <c r="B109">
        <v>1224879</v>
      </c>
      <c r="C109">
        <v>0</v>
      </c>
      <c r="D109">
        <v>392.375</v>
      </c>
      <c r="E109">
        <v>2602.797</v>
      </c>
      <c r="F109">
        <v>10.63</v>
      </c>
    </row>
    <row r="110" spans="1:6" x14ac:dyDescent="0.25">
      <c r="A110" s="1">
        <v>38261</v>
      </c>
      <c r="B110">
        <v>1224879</v>
      </c>
      <c r="C110">
        <v>0</v>
      </c>
      <c r="D110">
        <v>402.1</v>
      </c>
      <c r="E110">
        <v>2656.2592</v>
      </c>
      <c r="F110">
        <v>10.63</v>
      </c>
    </row>
    <row r="111" spans="1:6" x14ac:dyDescent="0.25">
      <c r="A111" s="1">
        <v>38292</v>
      </c>
      <c r="B111">
        <v>1224879</v>
      </c>
      <c r="C111">
        <v>0</v>
      </c>
      <c r="D111">
        <v>407.5</v>
      </c>
      <c r="E111">
        <v>2710.6750999999999</v>
      </c>
      <c r="F111">
        <v>10.63</v>
      </c>
    </row>
    <row r="112" spans="1:6" x14ac:dyDescent="0.25">
      <c r="A112" s="1">
        <v>38322</v>
      </c>
      <c r="B112">
        <v>1224879</v>
      </c>
      <c r="C112">
        <v>0</v>
      </c>
      <c r="D112">
        <v>407.375</v>
      </c>
      <c r="E112">
        <v>2765.0688</v>
      </c>
      <c r="F112">
        <v>10.63</v>
      </c>
    </row>
    <row r="113" spans="1:6" x14ac:dyDescent="0.25">
      <c r="A113" s="1">
        <v>38353</v>
      </c>
      <c r="B113">
        <v>1224879</v>
      </c>
      <c r="C113">
        <v>0</v>
      </c>
      <c r="D113">
        <v>405.3</v>
      </c>
      <c r="E113">
        <v>2819.0951</v>
      </c>
      <c r="F113">
        <v>10.63</v>
      </c>
    </row>
    <row r="114" spans="1:6" x14ac:dyDescent="0.25">
      <c r="A114" s="1">
        <v>38384</v>
      </c>
      <c r="B114">
        <v>1224879</v>
      </c>
      <c r="C114">
        <v>0</v>
      </c>
      <c r="D114">
        <v>408.75</v>
      </c>
      <c r="E114">
        <v>2873.7330999999999</v>
      </c>
      <c r="F114">
        <v>10.63</v>
      </c>
    </row>
    <row r="115" spans="1:6" x14ac:dyDescent="0.25">
      <c r="A115" s="1">
        <v>38412</v>
      </c>
      <c r="B115">
        <v>1224879</v>
      </c>
      <c r="C115">
        <v>0</v>
      </c>
      <c r="D115">
        <v>415.125</v>
      </c>
      <c r="E115">
        <v>2929.5113999999999</v>
      </c>
      <c r="F115">
        <v>10.63</v>
      </c>
    </row>
    <row r="116" spans="1:6" x14ac:dyDescent="0.25">
      <c r="A116" s="1">
        <v>38443</v>
      </c>
      <c r="B116">
        <v>1224879</v>
      </c>
      <c r="C116">
        <v>0</v>
      </c>
      <c r="D116">
        <v>386.2</v>
      </c>
      <c r="E116">
        <v>2980.2170000000001</v>
      </c>
      <c r="F116">
        <v>10.63</v>
      </c>
    </row>
    <row r="117" spans="1:6" x14ac:dyDescent="0.25">
      <c r="A117" s="1">
        <v>38473</v>
      </c>
      <c r="B117">
        <v>1224879</v>
      </c>
      <c r="C117">
        <v>0</v>
      </c>
      <c r="D117">
        <v>394.875</v>
      </c>
      <c r="E117">
        <v>3032.4171999999999</v>
      </c>
      <c r="F117">
        <v>10.63</v>
      </c>
    </row>
    <row r="118" spans="1:6" x14ac:dyDescent="0.25">
      <c r="A118" s="1">
        <v>38504</v>
      </c>
      <c r="B118">
        <v>1224879</v>
      </c>
      <c r="C118">
        <v>0</v>
      </c>
      <c r="D118">
        <v>409</v>
      </c>
      <c r="E118">
        <v>3087.0997000000002</v>
      </c>
      <c r="F118">
        <v>10.63</v>
      </c>
    </row>
    <row r="119" spans="1:6" x14ac:dyDescent="0.25">
      <c r="A119" s="1">
        <v>38534</v>
      </c>
      <c r="B119">
        <v>1224879</v>
      </c>
      <c r="C119">
        <v>0</v>
      </c>
      <c r="D119">
        <v>423.3</v>
      </c>
      <c r="E119">
        <v>3144.3595999999998</v>
      </c>
      <c r="F119">
        <v>10.63</v>
      </c>
    </row>
    <row r="120" spans="1:6" x14ac:dyDescent="0.25">
      <c r="A120" s="1">
        <v>38565</v>
      </c>
      <c r="B120">
        <v>1224879</v>
      </c>
      <c r="C120">
        <v>0</v>
      </c>
      <c r="D120">
        <v>413.375</v>
      </c>
      <c r="E120">
        <v>3199.8235</v>
      </c>
      <c r="F120">
        <v>10.63</v>
      </c>
    </row>
    <row r="121" spans="1:6" x14ac:dyDescent="0.25">
      <c r="A121" s="1">
        <v>38596</v>
      </c>
      <c r="B121">
        <v>1224879</v>
      </c>
      <c r="C121">
        <v>0</v>
      </c>
      <c r="D121">
        <v>402.7</v>
      </c>
      <c r="E121">
        <v>3253.3912</v>
      </c>
      <c r="F121">
        <v>10.63</v>
      </c>
    </row>
    <row r="122" spans="1:6" x14ac:dyDescent="0.25">
      <c r="A122" s="1">
        <v>38626</v>
      </c>
      <c r="B122">
        <v>1224879</v>
      </c>
      <c r="C122">
        <v>0</v>
      </c>
      <c r="D122">
        <v>402.625</v>
      </c>
      <c r="E122">
        <v>3306.9457000000002</v>
      </c>
      <c r="F122">
        <v>10.63</v>
      </c>
    </row>
    <row r="123" spans="1:6" x14ac:dyDescent="0.25">
      <c r="A123" s="1">
        <v>38657</v>
      </c>
      <c r="B123">
        <v>1224879</v>
      </c>
      <c r="C123">
        <v>0</v>
      </c>
      <c r="D123">
        <v>376.375</v>
      </c>
      <c r="E123">
        <v>3355.9852999999998</v>
      </c>
      <c r="F123">
        <v>10.63</v>
      </c>
    </row>
    <row r="124" spans="1:6" x14ac:dyDescent="0.25">
      <c r="A124" s="1">
        <v>38687</v>
      </c>
      <c r="B124">
        <v>1224879</v>
      </c>
      <c r="C124">
        <v>0</v>
      </c>
      <c r="D124">
        <v>350.9</v>
      </c>
      <c r="E124">
        <v>3400.8299000000002</v>
      </c>
      <c r="F124">
        <v>10.63</v>
      </c>
    </row>
    <row r="125" spans="1:6" x14ac:dyDescent="0.25">
      <c r="A125" s="1">
        <v>38718</v>
      </c>
      <c r="B125">
        <v>1224879</v>
      </c>
      <c r="C125">
        <v>0</v>
      </c>
      <c r="D125">
        <v>354.75</v>
      </c>
      <c r="E125">
        <v>3446.2972</v>
      </c>
      <c r="F125">
        <v>10.63</v>
      </c>
    </row>
    <row r="126" spans="1:6" x14ac:dyDescent="0.25">
      <c r="A126" s="1">
        <v>38749</v>
      </c>
      <c r="B126">
        <v>1224879</v>
      </c>
      <c r="C126">
        <v>0</v>
      </c>
      <c r="D126">
        <v>368.375</v>
      </c>
      <c r="E126">
        <v>3494.0003999999999</v>
      </c>
      <c r="F126">
        <v>10.63</v>
      </c>
    </row>
    <row r="127" spans="1:6" x14ac:dyDescent="0.25">
      <c r="A127" s="1">
        <v>38777</v>
      </c>
      <c r="B127">
        <v>1224879</v>
      </c>
      <c r="C127">
        <v>0</v>
      </c>
      <c r="D127">
        <v>357</v>
      </c>
      <c r="E127">
        <v>3539.8335000000002</v>
      </c>
      <c r="F127">
        <v>10.63</v>
      </c>
    </row>
    <row r="128" spans="1:6" x14ac:dyDescent="0.25">
      <c r="A128" s="1">
        <v>38808</v>
      </c>
      <c r="B128">
        <v>1224879</v>
      </c>
      <c r="C128">
        <v>0</v>
      </c>
      <c r="D128">
        <v>348.59989999999999</v>
      </c>
      <c r="E128">
        <v>3584.3078999999998</v>
      </c>
      <c r="F128">
        <v>10.63</v>
      </c>
    </row>
    <row r="129" spans="1:6" x14ac:dyDescent="0.25">
      <c r="A129" s="1">
        <v>38838</v>
      </c>
      <c r="B129">
        <v>1224879</v>
      </c>
      <c r="C129">
        <v>0</v>
      </c>
      <c r="D129">
        <v>330.875</v>
      </c>
      <c r="E129">
        <v>3625.9742000000001</v>
      </c>
      <c r="F129">
        <v>10.63</v>
      </c>
    </row>
    <row r="130" spans="1:6" x14ac:dyDescent="0.25">
      <c r="A130" s="1">
        <v>38869</v>
      </c>
      <c r="B130">
        <v>1224879</v>
      </c>
      <c r="C130">
        <v>0</v>
      </c>
      <c r="D130">
        <v>322.8</v>
      </c>
      <c r="E130">
        <v>3666.3869</v>
      </c>
      <c r="F130">
        <v>10.63</v>
      </c>
    </row>
    <row r="131" spans="1:6" x14ac:dyDescent="0.25">
      <c r="A131" s="1">
        <v>38899</v>
      </c>
      <c r="B131">
        <v>1224879</v>
      </c>
      <c r="C131">
        <v>0</v>
      </c>
      <c r="D131">
        <v>315</v>
      </c>
      <c r="E131">
        <v>3705.6035000000002</v>
      </c>
      <c r="F131">
        <v>10.63</v>
      </c>
    </row>
    <row r="132" spans="1:6" x14ac:dyDescent="0.25">
      <c r="A132" s="1">
        <v>38930</v>
      </c>
      <c r="B132">
        <v>1224879</v>
      </c>
      <c r="C132">
        <v>0</v>
      </c>
      <c r="D132">
        <v>307.875</v>
      </c>
      <c r="E132">
        <v>3743.7397999999998</v>
      </c>
      <c r="F132">
        <v>10.63</v>
      </c>
    </row>
    <row r="133" spans="1:6" x14ac:dyDescent="0.25">
      <c r="A133" s="1">
        <v>38961</v>
      </c>
      <c r="B133">
        <v>1224879</v>
      </c>
      <c r="C133">
        <v>0</v>
      </c>
      <c r="D133">
        <v>334.6</v>
      </c>
      <c r="E133">
        <v>3785.9897000000001</v>
      </c>
      <c r="F133">
        <v>10.63</v>
      </c>
    </row>
    <row r="134" spans="1:6" x14ac:dyDescent="0.25">
      <c r="A134" s="1">
        <v>38991</v>
      </c>
      <c r="B134">
        <v>1224879</v>
      </c>
      <c r="C134">
        <v>0</v>
      </c>
      <c r="D134">
        <v>344.5</v>
      </c>
      <c r="E134">
        <v>3829.8074999999999</v>
      </c>
      <c r="F134">
        <v>10.63</v>
      </c>
    </row>
    <row r="135" spans="1:6" x14ac:dyDescent="0.25">
      <c r="A135" s="1">
        <v>39022</v>
      </c>
      <c r="B135">
        <v>1224879</v>
      </c>
      <c r="C135">
        <v>0</v>
      </c>
      <c r="D135">
        <v>349.625</v>
      </c>
      <c r="E135">
        <v>3874.4466000000002</v>
      </c>
      <c r="F135">
        <v>10.63</v>
      </c>
    </row>
    <row r="136" spans="1:6" x14ac:dyDescent="0.25">
      <c r="A136" s="1">
        <v>39052</v>
      </c>
      <c r="B136">
        <v>1224879</v>
      </c>
      <c r="C136">
        <v>0</v>
      </c>
      <c r="D136">
        <v>360</v>
      </c>
      <c r="E136">
        <v>3920.7696000000001</v>
      </c>
      <c r="F136">
        <v>10.63</v>
      </c>
    </row>
    <row r="137" spans="1:6" x14ac:dyDescent="0.25">
      <c r="A137" s="1">
        <v>39083</v>
      </c>
      <c r="B137">
        <v>1224879</v>
      </c>
      <c r="C137">
        <v>0</v>
      </c>
      <c r="D137">
        <v>371.875</v>
      </c>
      <c r="E137">
        <v>3969.0551999999998</v>
      </c>
      <c r="F137">
        <v>10.63</v>
      </c>
    </row>
    <row r="138" spans="1:6" x14ac:dyDescent="0.25">
      <c r="A138" s="1">
        <v>39114</v>
      </c>
      <c r="B138">
        <v>1224879</v>
      </c>
      <c r="C138">
        <v>0</v>
      </c>
      <c r="D138">
        <v>361.8</v>
      </c>
      <c r="E138">
        <v>4015.6732000000002</v>
      </c>
      <c r="F138">
        <v>10.63</v>
      </c>
    </row>
    <row r="139" spans="1:6" x14ac:dyDescent="0.25">
      <c r="A139" s="1">
        <v>39142</v>
      </c>
      <c r="B139">
        <v>1224879</v>
      </c>
      <c r="C139">
        <v>0</v>
      </c>
      <c r="D139">
        <v>361.5</v>
      </c>
      <c r="E139">
        <v>4062.2419</v>
      </c>
      <c r="F139">
        <v>10.63</v>
      </c>
    </row>
    <row r="140" spans="1:6" x14ac:dyDescent="0.25">
      <c r="A140" s="1">
        <v>39173</v>
      </c>
      <c r="B140">
        <v>1224879</v>
      </c>
      <c r="C140">
        <v>0</v>
      </c>
      <c r="D140">
        <v>370.375</v>
      </c>
      <c r="E140">
        <v>4110.2775000000001</v>
      </c>
      <c r="F140">
        <v>10.63</v>
      </c>
    </row>
    <row r="141" spans="1:6" x14ac:dyDescent="0.25">
      <c r="A141" s="1">
        <v>39203</v>
      </c>
      <c r="B141">
        <v>1224879</v>
      </c>
      <c r="C141">
        <v>0</v>
      </c>
      <c r="D141">
        <v>366.75</v>
      </c>
      <c r="E141">
        <v>4157.7112999999999</v>
      </c>
      <c r="F141">
        <v>10.63</v>
      </c>
    </row>
    <row r="142" spans="1:6" x14ac:dyDescent="0.25">
      <c r="A142" s="1">
        <v>39234</v>
      </c>
      <c r="B142">
        <v>1224879</v>
      </c>
      <c r="C142">
        <v>0</v>
      </c>
      <c r="D142">
        <v>358.8</v>
      </c>
      <c r="E142">
        <v>4203.8380999999999</v>
      </c>
      <c r="F142">
        <v>10.63</v>
      </c>
    </row>
    <row r="143" spans="1:6" x14ac:dyDescent="0.25">
      <c r="A143" s="1">
        <v>39264</v>
      </c>
      <c r="B143">
        <v>1224879</v>
      </c>
      <c r="C143">
        <v>0</v>
      </c>
      <c r="D143">
        <v>319.625</v>
      </c>
      <c r="E143">
        <v>4243.7622000000001</v>
      </c>
      <c r="F143">
        <v>10.63</v>
      </c>
    </row>
    <row r="144" spans="1:6" x14ac:dyDescent="0.25">
      <c r="A144" s="1">
        <v>39295</v>
      </c>
      <c r="B144">
        <v>1224879</v>
      </c>
      <c r="C144">
        <v>0</v>
      </c>
      <c r="D144">
        <v>316.5</v>
      </c>
      <c r="E144">
        <v>4283.2076999999999</v>
      </c>
      <c r="F144">
        <v>10.63</v>
      </c>
    </row>
    <row r="145" spans="1:6" x14ac:dyDescent="0.25">
      <c r="A145" s="1">
        <v>39326</v>
      </c>
      <c r="B145">
        <v>1224879</v>
      </c>
      <c r="C145">
        <v>0</v>
      </c>
      <c r="D145">
        <v>328.8</v>
      </c>
      <c r="E145">
        <v>4324.5502999999999</v>
      </c>
      <c r="F145">
        <v>10.63</v>
      </c>
    </row>
    <row r="146" spans="1:6" x14ac:dyDescent="0.25">
      <c r="A146" s="1">
        <v>39356</v>
      </c>
      <c r="B146">
        <v>1224879</v>
      </c>
      <c r="C146">
        <v>0</v>
      </c>
      <c r="D146">
        <v>345.25</v>
      </c>
      <c r="E146">
        <v>4368.4879000000001</v>
      </c>
      <c r="F146">
        <v>10.63</v>
      </c>
    </row>
    <row r="147" spans="1:6" x14ac:dyDescent="0.25">
      <c r="A147" s="1">
        <v>39387</v>
      </c>
      <c r="B147">
        <v>1224879</v>
      </c>
      <c r="C147">
        <v>0</v>
      </c>
      <c r="D147">
        <v>349.3</v>
      </c>
      <c r="E147">
        <v>4413.0748000000003</v>
      </c>
      <c r="F147">
        <v>10.63</v>
      </c>
    </row>
    <row r="148" spans="1:6" x14ac:dyDescent="0.25">
      <c r="A148" s="1">
        <v>39417</v>
      </c>
      <c r="B148">
        <v>1224879</v>
      </c>
      <c r="C148">
        <v>0</v>
      </c>
      <c r="D148">
        <v>365.25</v>
      </c>
      <c r="E148">
        <v>4460.2606999999998</v>
      </c>
      <c r="F148">
        <v>10.63</v>
      </c>
    </row>
    <row r="149" spans="1:6" x14ac:dyDescent="0.25">
      <c r="A149" s="1">
        <v>39448</v>
      </c>
      <c r="B149">
        <v>1224879</v>
      </c>
      <c r="C149">
        <v>0</v>
      </c>
      <c r="D149">
        <v>375.25</v>
      </c>
      <c r="E149">
        <v>4509.1112000000003</v>
      </c>
      <c r="F149">
        <v>10.63</v>
      </c>
    </row>
    <row r="150" spans="1:6" x14ac:dyDescent="0.25">
      <c r="A150" s="1">
        <v>39479</v>
      </c>
      <c r="B150">
        <v>1224879</v>
      </c>
      <c r="C150">
        <v>0</v>
      </c>
      <c r="D150">
        <v>409.2</v>
      </c>
      <c r="E150">
        <v>4563.8293000000003</v>
      </c>
      <c r="F150">
        <v>10.63</v>
      </c>
    </row>
    <row r="151" spans="1:6" x14ac:dyDescent="0.25">
      <c r="A151" s="1">
        <v>39508</v>
      </c>
      <c r="B151">
        <v>1224879</v>
      </c>
      <c r="C151">
        <v>0</v>
      </c>
      <c r="D151">
        <v>386.125</v>
      </c>
      <c r="E151">
        <v>4614.5221000000001</v>
      </c>
      <c r="F151">
        <v>10.63</v>
      </c>
    </row>
    <row r="152" spans="1:6" x14ac:dyDescent="0.25">
      <c r="A152" s="1">
        <v>39539</v>
      </c>
      <c r="B152">
        <v>1224879</v>
      </c>
      <c r="C152">
        <v>0</v>
      </c>
      <c r="D152">
        <v>380.875</v>
      </c>
      <c r="E152">
        <v>4664.3212999999996</v>
      </c>
      <c r="F152">
        <v>10.63</v>
      </c>
    </row>
    <row r="153" spans="1:6" x14ac:dyDescent="0.25">
      <c r="A153" s="1">
        <v>39569</v>
      </c>
      <c r="B153">
        <v>1224879</v>
      </c>
      <c r="C153">
        <v>0</v>
      </c>
      <c r="D153">
        <v>384.65</v>
      </c>
      <c r="E153">
        <v>4714.7623000000003</v>
      </c>
      <c r="F153">
        <v>10.63</v>
      </c>
    </row>
    <row r="154" spans="1:6" x14ac:dyDescent="0.25">
      <c r="A154" s="1">
        <v>39600</v>
      </c>
      <c r="B154">
        <v>1224879</v>
      </c>
      <c r="C154">
        <v>0</v>
      </c>
      <c r="D154">
        <v>374.25</v>
      </c>
      <c r="E154">
        <v>4763.4450999999999</v>
      </c>
      <c r="F154">
        <v>10.63</v>
      </c>
    </row>
    <row r="155" spans="1:6" x14ac:dyDescent="0.25">
      <c r="A155" s="1">
        <v>39630</v>
      </c>
      <c r="B155">
        <v>1224879</v>
      </c>
      <c r="C155">
        <v>0</v>
      </c>
      <c r="D155">
        <v>341.5</v>
      </c>
      <c r="E155">
        <v>4806.7852000000003</v>
      </c>
      <c r="F155">
        <v>10.63</v>
      </c>
    </row>
    <row r="156" spans="1:6" x14ac:dyDescent="0.25">
      <c r="A156" s="1">
        <v>39661</v>
      </c>
      <c r="B156">
        <v>1224879</v>
      </c>
      <c r="C156">
        <v>0</v>
      </c>
      <c r="D156">
        <v>331.65</v>
      </c>
      <c r="E156">
        <v>4848.5726000000004</v>
      </c>
      <c r="F156">
        <v>10.63</v>
      </c>
    </row>
    <row r="157" spans="1:6" x14ac:dyDescent="0.25">
      <c r="A157" s="1">
        <v>39692</v>
      </c>
      <c r="B157">
        <v>1224879</v>
      </c>
      <c r="C157">
        <v>0</v>
      </c>
      <c r="D157">
        <v>325.125</v>
      </c>
      <c r="E157">
        <v>4889.3446000000004</v>
      </c>
      <c r="F157">
        <v>10.63</v>
      </c>
    </row>
    <row r="158" spans="1:6" x14ac:dyDescent="0.25">
      <c r="A158" s="1">
        <v>39722</v>
      </c>
      <c r="B158">
        <v>1224879</v>
      </c>
      <c r="C158">
        <v>0</v>
      </c>
      <c r="D158">
        <v>369.125</v>
      </c>
      <c r="E158">
        <v>4937.1723000000002</v>
      </c>
      <c r="F158">
        <v>10.63</v>
      </c>
    </row>
    <row r="159" spans="1:6" x14ac:dyDescent="0.25">
      <c r="A159" s="1">
        <v>39753</v>
      </c>
      <c r="B159">
        <v>1224879</v>
      </c>
      <c r="C159">
        <v>0</v>
      </c>
      <c r="D159">
        <v>354.25</v>
      </c>
      <c r="E159">
        <v>4982.5586000000003</v>
      </c>
      <c r="F159">
        <v>10.63</v>
      </c>
    </row>
    <row r="160" spans="1:6" x14ac:dyDescent="0.25">
      <c r="A160" s="1">
        <v>39783</v>
      </c>
      <c r="B160">
        <v>1224879</v>
      </c>
      <c r="C160">
        <v>0</v>
      </c>
      <c r="D160">
        <v>363.5</v>
      </c>
      <c r="E160">
        <v>5029.4560000000001</v>
      </c>
      <c r="F160">
        <v>10.63</v>
      </c>
    </row>
    <row r="161" spans="1:6" x14ac:dyDescent="0.25">
      <c r="A161" s="1">
        <v>39814</v>
      </c>
      <c r="B161">
        <v>1224879</v>
      </c>
      <c r="C161">
        <v>0</v>
      </c>
      <c r="D161">
        <v>443.15</v>
      </c>
      <c r="E161">
        <v>5090.4074000000001</v>
      </c>
      <c r="F161">
        <v>10.63</v>
      </c>
    </row>
    <row r="162" spans="1:6" x14ac:dyDescent="0.25">
      <c r="A162" s="1">
        <v>39845</v>
      </c>
      <c r="B162">
        <v>1224879</v>
      </c>
      <c r="C162">
        <v>0</v>
      </c>
      <c r="D162">
        <v>468.125</v>
      </c>
      <c r="E162">
        <v>5156.2058999999999</v>
      </c>
      <c r="F162">
        <v>10.63</v>
      </c>
    </row>
    <row r="163" spans="1:6" x14ac:dyDescent="0.25">
      <c r="A163" s="1">
        <v>39873</v>
      </c>
      <c r="B163">
        <v>1224879</v>
      </c>
      <c r="C163">
        <v>0</v>
      </c>
      <c r="D163">
        <v>458.625</v>
      </c>
      <c r="E163">
        <v>5220.1328999999996</v>
      </c>
      <c r="F163">
        <v>10.63</v>
      </c>
    </row>
    <row r="164" spans="1:6" x14ac:dyDescent="0.25">
      <c r="A164" s="1">
        <v>39904</v>
      </c>
      <c r="B164">
        <v>1224879</v>
      </c>
      <c r="C164">
        <v>0</v>
      </c>
      <c r="D164">
        <v>472</v>
      </c>
      <c r="E164">
        <v>5286.7048999999997</v>
      </c>
      <c r="F164">
        <v>10.63</v>
      </c>
    </row>
    <row r="165" spans="1:6" x14ac:dyDescent="0.25">
      <c r="A165" s="1">
        <v>39934</v>
      </c>
      <c r="B165">
        <v>1224879</v>
      </c>
      <c r="C165">
        <v>0</v>
      </c>
      <c r="D165">
        <v>491.75</v>
      </c>
      <c r="E165">
        <v>5357.3153000000002</v>
      </c>
      <c r="F165">
        <v>10.63</v>
      </c>
    </row>
    <row r="166" spans="1:6" x14ac:dyDescent="0.25">
      <c r="A166" s="1">
        <v>39965</v>
      </c>
      <c r="B166">
        <v>1224879</v>
      </c>
      <c r="C166">
        <v>1</v>
      </c>
      <c r="D166">
        <v>487.125</v>
      </c>
      <c r="E166">
        <v>5426.9652999999998</v>
      </c>
      <c r="F166">
        <v>80.279899999999998</v>
      </c>
    </row>
    <row r="167" spans="1:6" x14ac:dyDescent="0.25">
      <c r="A167" s="1">
        <v>39995</v>
      </c>
      <c r="B167">
        <v>1224879</v>
      </c>
      <c r="C167">
        <v>1</v>
      </c>
      <c r="D167">
        <v>430.25</v>
      </c>
      <c r="E167">
        <v>5485.5023000000001</v>
      </c>
      <c r="F167">
        <v>138.8169</v>
      </c>
    </row>
    <row r="168" spans="1:6" x14ac:dyDescent="0.25">
      <c r="A168" s="1">
        <v>40026</v>
      </c>
      <c r="B168">
        <v>1224879</v>
      </c>
      <c r="C168">
        <v>1</v>
      </c>
      <c r="D168">
        <v>450.05</v>
      </c>
      <c r="E168">
        <v>5547.7695000000003</v>
      </c>
      <c r="F168">
        <v>201.08410000000001</v>
      </c>
    </row>
    <row r="169" spans="1:6" x14ac:dyDescent="0.25">
      <c r="A169" s="1">
        <v>40057</v>
      </c>
      <c r="B169">
        <v>1224879</v>
      </c>
      <c r="C169">
        <v>1</v>
      </c>
      <c r="D169">
        <v>453.625</v>
      </c>
      <c r="E169">
        <v>5610.7254000000003</v>
      </c>
      <c r="F169">
        <v>264.04000000000002</v>
      </c>
    </row>
    <row r="170" spans="1:6" x14ac:dyDescent="0.25">
      <c r="A170" s="1">
        <v>40087</v>
      </c>
      <c r="B170">
        <v>1224879</v>
      </c>
      <c r="C170">
        <v>1</v>
      </c>
      <c r="D170">
        <v>469.35</v>
      </c>
      <c r="E170">
        <v>5676.7677000000003</v>
      </c>
      <c r="F170">
        <v>330.08229999999998</v>
      </c>
    </row>
    <row r="171" spans="1:6" x14ac:dyDescent="0.25">
      <c r="A171" s="1">
        <v>40118</v>
      </c>
      <c r="B171">
        <v>1224879</v>
      </c>
      <c r="C171">
        <v>1</v>
      </c>
      <c r="D171">
        <v>476.75</v>
      </c>
      <c r="E171">
        <v>5744.2961999999998</v>
      </c>
      <c r="F171">
        <v>397.61079999999998</v>
      </c>
    </row>
    <row r="172" spans="1:6" x14ac:dyDescent="0.25">
      <c r="A172" s="1">
        <v>40148</v>
      </c>
      <c r="B172">
        <v>1224879</v>
      </c>
      <c r="C172">
        <v>1</v>
      </c>
      <c r="D172">
        <v>484.75</v>
      </c>
      <c r="E172">
        <v>5813.4566000000004</v>
      </c>
      <c r="F172">
        <v>466.77120000000002</v>
      </c>
    </row>
    <row r="173" spans="1:6" x14ac:dyDescent="0.25">
      <c r="A173" s="1">
        <v>40179</v>
      </c>
      <c r="B173">
        <v>1224879</v>
      </c>
      <c r="C173">
        <v>1</v>
      </c>
      <c r="D173">
        <v>479.25</v>
      </c>
      <c r="E173">
        <v>5881.4921999999997</v>
      </c>
      <c r="F173">
        <v>534.80679999999995</v>
      </c>
    </row>
    <row r="174" spans="1:6" x14ac:dyDescent="0.25">
      <c r="A174" s="1">
        <v>40210</v>
      </c>
      <c r="B174">
        <v>1224879</v>
      </c>
      <c r="C174">
        <v>1</v>
      </c>
      <c r="D174">
        <v>469.875</v>
      </c>
      <c r="E174">
        <v>5947.6392999999998</v>
      </c>
      <c r="F174">
        <v>600.95389999999998</v>
      </c>
    </row>
    <row r="175" spans="1:6" x14ac:dyDescent="0.25">
      <c r="A175" s="1">
        <v>40238</v>
      </c>
      <c r="B175">
        <v>1224879</v>
      </c>
      <c r="C175">
        <v>1</v>
      </c>
      <c r="D175">
        <v>473.25</v>
      </c>
      <c r="E175">
        <v>6014.4620999999997</v>
      </c>
      <c r="F175">
        <v>667.77670000000001</v>
      </c>
    </row>
    <row r="176" spans="1:6" x14ac:dyDescent="0.25">
      <c r="A176" s="1">
        <v>40269</v>
      </c>
      <c r="B176">
        <v>1224879</v>
      </c>
      <c r="C176">
        <v>1</v>
      </c>
      <c r="D176">
        <v>473.75</v>
      </c>
      <c r="E176">
        <v>6081.3855000000003</v>
      </c>
      <c r="F176">
        <v>734.70010000000002</v>
      </c>
    </row>
    <row r="177" spans="1:6" x14ac:dyDescent="0.25">
      <c r="A177" s="1">
        <v>40299</v>
      </c>
      <c r="B177">
        <v>1224879</v>
      </c>
      <c r="C177">
        <v>1</v>
      </c>
      <c r="D177">
        <v>463.25</v>
      </c>
      <c r="E177">
        <v>6146.2191999999995</v>
      </c>
      <c r="F177">
        <v>799.53380000000004</v>
      </c>
    </row>
    <row r="178" spans="1:6" x14ac:dyDescent="0.25">
      <c r="A178" s="1">
        <v>40330</v>
      </c>
      <c r="B178">
        <v>1224879</v>
      </c>
      <c r="C178">
        <v>1</v>
      </c>
      <c r="D178">
        <v>483.5</v>
      </c>
      <c r="E178">
        <v>6215.1228000000001</v>
      </c>
      <c r="F178">
        <v>868.43740000000003</v>
      </c>
    </row>
    <row r="179" spans="1:6" x14ac:dyDescent="0.25">
      <c r="A179" s="1">
        <v>40360</v>
      </c>
      <c r="B179">
        <v>1224879</v>
      </c>
      <c r="C179">
        <v>1</v>
      </c>
      <c r="D179">
        <v>501.15</v>
      </c>
      <c r="E179">
        <v>6287.7141000000001</v>
      </c>
      <c r="F179">
        <v>941.02869999999996</v>
      </c>
    </row>
    <row r="180" spans="1:6" x14ac:dyDescent="0.25">
      <c r="A180" s="1">
        <v>40391</v>
      </c>
      <c r="B180">
        <v>1224879</v>
      </c>
      <c r="C180">
        <v>1</v>
      </c>
      <c r="D180">
        <v>516.25</v>
      </c>
      <c r="E180">
        <v>6363.5720000000001</v>
      </c>
      <c r="F180">
        <v>1016.8866</v>
      </c>
    </row>
    <row r="181" spans="1:6" x14ac:dyDescent="0.25">
      <c r="A181" s="1">
        <v>40422</v>
      </c>
      <c r="B181">
        <v>1224879</v>
      </c>
      <c r="C181">
        <v>1</v>
      </c>
      <c r="D181">
        <v>529.5</v>
      </c>
      <c r="E181">
        <v>6442.3869000000004</v>
      </c>
      <c r="F181">
        <v>1095.7014999999999</v>
      </c>
    </row>
    <row r="182" spans="1:6" x14ac:dyDescent="0.25">
      <c r="A182" s="1">
        <v>40452</v>
      </c>
      <c r="B182">
        <v>1224879</v>
      </c>
      <c r="C182">
        <v>1</v>
      </c>
      <c r="D182">
        <v>537.15</v>
      </c>
      <c r="E182">
        <v>6522.9495999999999</v>
      </c>
      <c r="F182">
        <v>1176.2642000000001</v>
      </c>
    </row>
    <row r="183" spans="1:6" x14ac:dyDescent="0.25">
      <c r="A183" s="1">
        <v>40483</v>
      </c>
      <c r="B183">
        <v>1224879</v>
      </c>
      <c r="C183">
        <v>1</v>
      </c>
      <c r="D183">
        <v>547.25</v>
      </c>
      <c r="E183">
        <v>6605.8679000000002</v>
      </c>
      <c r="F183">
        <v>1259.1824999999999</v>
      </c>
    </row>
    <row r="184" spans="1:6" x14ac:dyDescent="0.25">
      <c r="A184" s="1">
        <v>40513</v>
      </c>
      <c r="B184">
        <v>1224879</v>
      </c>
      <c r="C184">
        <v>1</v>
      </c>
      <c r="D184">
        <v>539.125</v>
      </c>
      <c r="E184">
        <v>6686.8869000000004</v>
      </c>
      <c r="F184">
        <v>1340.2014999999999</v>
      </c>
    </row>
    <row r="185" spans="1:6" x14ac:dyDescent="0.25">
      <c r="A185" s="1">
        <v>40544</v>
      </c>
      <c r="B185">
        <v>1224879</v>
      </c>
      <c r="C185">
        <v>1</v>
      </c>
      <c r="D185">
        <v>499.85</v>
      </c>
      <c r="E185">
        <v>6759.2019</v>
      </c>
      <c r="F185">
        <v>1412.5165</v>
      </c>
    </row>
    <row r="186" spans="1:6" x14ac:dyDescent="0.25">
      <c r="A186" s="1">
        <v>40575</v>
      </c>
      <c r="B186">
        <v>1224879</v>
      </c>
      <c r="C186">
        <v>1</v>
      </c>
      <c r="D186">
        <v>494.875</v>
      </c>
      <c r="E186">
        <v>6830.4665000000005</v>
      </c>
      <c r="F186">
        <v>1483.7810999999999</v>
      </c>
    </row>
    <row r="187" spans="1:6" x14ac:dyDescent="0.25">
      <c r="A187" s="1">
        <v>40603</v>
      </c>
      <c r="B187">
        <v>1224879</v>
      </c>
      <c r="C187">
        <v>1</v>
      </c>
      <c r="D187">
        <v>477</v>
      </c>
      <c r="E187">
        <v>6898.0456000000004</v>
      </c>
      <c r="F187">
        <v>1551.3602000000001</v>
      </c>
    </row>
    <row r="188" spans="1:6" x14ac:dyDescent="0.25">
      <c r="A188" s="1">
        <v>40634</v>
      </c>
      <c r="B188">
        <v>1224879</v>
      </c>
      <c r="C188">
        <v>1</v>
      </c>
      <c r="D188">
        <v>488.65</v>
      </c>
      <c r="E188">
        <v>6968.0113000000001</v>
      </c>
      <c r="F188">
        <v>1621.3259</v>
      </c>
    </row>
    <row r="189" spans="1:6" x14ac:dyDescent="0.25">
      <c r="A189" s="1">
        <v>40664</v>
      </c>
      <c r="B189">
        <v>1224879</v>
      </c>
      <c r="C189">
        <v>1</v>
      </c>
      <c r="D189">
        <v>488.875</v>
      </c>
      <c r="E189">
        <v>7038.0236000000004</v>
      </c>
      <c r="F189">
        <v>1691.3381999999999</v>
      </c>
    </row>
    <row r="190" spans="1:6" x14ac:dyDescent="0.25">
      <c r="A190" s="1">
        <v>40695</v>
      </c>
      <c r="B190">
        <v>1224879</v>
      </c>
      <c r="C190">
        <v>1</v>
      </c>
      <c r="D190">
        <v>508.5</v>
      </c>
      <c r="E190">
        <v>7112.1916000000001</v>
      </c>
      <c r="F190">
        <v>1765.5062</v>
      </c>
    </row>
    <row r="191" spans="1:6" x14ac:dyDescent="0.25">
      <c r="A191" s="1">
        <v>40725</v>
      </c>
      <c r="B191">
        <v>1224879</v>
      </c>
      <c r="C191">
        <v>1</v>
      </c>
      <c r="D191">
        <v>521.25</v>
      </c>
      <c r="E191">
        <v>7189.1549999999997</v>
      </c>
      <c r="F191">
        <v>1842.4695999999999</v>
      </c>
    </row>
    <row r="192" spans="1:6" x14ac:dyDescent="0.25">
      <c r="A192" s="1">
        <v>40756</v>
      </c>
      <c r="B192">
        <v>1224879</v>
      </c>
      <c r="C192">
        <v>1</v>
      </c>
      <c r="D192">
        <v>517.125</v>
      </c>
      <c r="E192">
        <v>7265.2055</v>
      </c>
      <c r="F192">
        <v>1918.5201</v>
      </c>
    </row>
    <row r="193" spans="1:6" x14ac:dyDescent="0.25">
      <c r="A193" s="1">
        <v>40787</v>
      </c>
      <c r="B193">
        <v>1224879</v>
      </c>
      <c r="C193">
        <v>1</v>
      </c>
      <c r="D193">
        <v>545.75</v>
      </c>
      <c r="E193">
        <v>7347.7704000000003</v>
      </c>
      <c r="F193">
        <v>2001.085</v>
      </c>
    </row>
    <row r="194" spans="1:6" x14ac:dyDescent="0.25">
      <c r="A194" s="1">
        <v>40817</v>
      </c>
      <c r="B194">
        <v>1224879</v>
      </c>
      <c r="C194">
        <v>1</v>
      </c>
      <c r="D194">
        <v>564.5</v>
      </c>
      <c r="E194">
        <v>7434.8446999999996</v>
      </c>
      <c r="F194">
        <v>2088.1592999999998</v>
      </c>
    </row>
    <row r="195" spans="1:6" x14ac:dyDescent="0.25">
      <c r="A195" s="1">
        <v>40848</v>
      </c>
      <c r="B195">
        <v>1224879</v>
      </c>
      <c r="C195">
        <v>1</v>
      </c>
      <c r="D195">
        <v>563</v>
      </c>
      <c r="E195">
        <v>7521.5505999999996</v>
      </c>
      <c r="F195">
        <v>2174.8652000000002</v>
      </c>
    </row>
    <row r="196" spans="1:6" x14ac:dyDescent="0.25">
      <c r="A196" s="1">
        <v>40878</v>
      </c>
      <c r="B196">
        <v>1224879</v>
      </c>
      <c r="C196">
        <v>1</v>
      </c>
      <c r="D196">
        <v>572.85</v>
      </c>
      <c r="E196">
        <v>7610.7003999999997</v>
      </c>
      <c r="F196">
        <v>2264.0149999999999</v>
      </c>
    </row>
    <row r="197" spans="1:6" x14ac:dyDescent="0.25">
      <c r="A197" s="1">
        <v>40909</v>
      </c>
      <c r="B197">
        <v>1224879</v>
      </c>
      <c r="C197">
        <v>1</v>
      </c>
      <c r="D197">
        <v>576.875</v>
      </c>
      <c r="E197">
        <v>7700.8662000000004</v>
      </c>
      <c r="F197">
        <v>2354.1808000000001</v>
      </c>
    </row>
    <row r="198" spans="1:6" x14ac:dyDescent="0.25">
      <c r="A198" s="1">
        <v>40940</v>
      </c>
      <c r="B198">
        <v>1224879</v>
      </c>
      <c r="C198">
        <v>1</v>
      </c>
      <c r="D198">
        <v>579.5</v>
      </c>
      <c r="E198">
        <v>7791.7003000000004</v>
      </c>
      <c r="F198">
        <v>2445.0149000000001</v>
      </c>
    </row>
    <row r="199" spans="1:6" x14ac:dyDescent="0.25">
      <c r="A199" s="1">
        <v>40969</v>
      </c>
      <c r="B199">
        <v>1224879</v>
      </c>
      <c r="C199">
        <v>1</v>
      </c>
      <c r="D199">
        <v>580.54999999999995</v>
      </c>
      <c r="E199">
        <v>7882.8028999999997</v>
      </c>
      <c r="F199">
        <v>2536.1174999999998</v>
      </c>
    </row>
    <row r="200" spans="1:6" x14ac:dyDescent="0.25">
      <c r="A200" s="1">
        <v>41000</v>
      </c>
      <c r="B200">
        <v>1224879</v>
      </c>
      <c r="C200">
        <v>1</v>
      </c>
      <c r="D200">
        <v>573.625</v>
      </c>
      <c r="E200">
        <v>7972.1475</v>
      </c>
      <c r="F200">
        <v>2625.4621999999999</v>
      </c>
    </row>
    <row r="201" spans="1:6" x14ac:dyDescent="0.25">
      <c r="A201" s="1">
        <v>41030</v>
      </c>
      <c r="B201">
        <v>1224879</v>
      </c>
      <c r="C201">
        <v>1</v>
      </c>
      <c r="D201">
        <v>580.625</v>
      </c>
      <c r="E201">
        <v>8063.2694000000001</v>
      </c>
      <c r="F201">
        <v>2716.5839999999998</v>
      </c>
    </row>
    <row r="202" spans="1:6" x14ac:dyDescent="0.25">
      <c r="A202" s="1">
        <v>41061</v>
      </c>
      <c r="B202">
        <v>1224879</v>
      </c>
      <c r="C202">
        <v>1</v>
      </c>
      <c r="D202">
        <v>590.95000000000005</v>
      </c>
      <c r="E202">
        <v>8157.0717999999997</v>
      </c>
      <c r="F202">
        <v>2810.3863999999999</v>
      </c>
    </row>
    <row r="203" spans="1:6" x14ac:dyDescent="0.25">
      <c r="A203" s="1">
        <v>41091</v>
      </c>
      <c r="B203">
        <v>1224879</v>
      </c>
      <c r="C203">
        <v>1</v>
      </c>
      <c r="D203">
        <v>604.75</v>
      </c>
      <c r="E203">
        <v>8254.5727999999999</v>
      </c>
      <c r="F203">
        <v>2907.8874000000001</v>
      </c>
    </row>
    <row r="204" spans="1:6" x14ac:dyDescent="0.25">
      <c r="A204" s="1">
        <v>41122</v>
      </c>
      <c r="B204">
        <v>1224879</v>
      </c>
      <c r="C204">
        <v>1</v>
      </c>
      <c r="D204">
        <v>616.625</v>
      </c>
      <c r="E204">
        <v>8355.3698999999997</v>
      </c>
      <c r="F204">
        <v>3008.6844999999998</v>
      </c>
    </row>
    <row r="205" spans="1:6" x14ac:dyDescent="0.25">
      <c r="A205" s="1">
        <v>41153</v>
      </c>
      <c r="B205">
        <v>1224879</v>
      </c>
      <c r="C205">
        <v>1</v>
      </c>
      <c r="D205">
        <v>613.54999999999995</v>
      </c>
      <c r="E205">
        <v>8455.3029999999999</v>
      </c>
      <c r="F205">
        <v>3108.6176</v>
      </c>
    </row>
    <row r="206" spans="1:6" x14ac:dyDescent="0.25">
      <c r="A206" s="1">
        <v>41183</v>
      </c>
      <c r="B206">
        <v>1224879</v>
      </c>
      <c r="C206">
        <v>1</v>
      </c>
      <c r="D206">
        <v>624.375</v>
      </c>
      <c r="E206">
        <v>8558.3112999999994</v>
      </c>
      <c r="F206">
        <v>3211.6259</v>
      </c>
    </row>
    <row r="207" spans="1:6" x14ac:dyDescent="0.25">
      <c r="A207" s="1">
        <v>41214</v>
      </c>
      <c r="B207">
        <v>1224879</v>
      </c>
      <c r="C207">
        <v>1</v>
      </c>
      <c r="D207">
        <v>634.35</v>
      </c>
      <c r="E207">
        <v>8664.2394999999997</v>
      </c>
      <c r="F207">
        <v>3317.5542</v>
      </c>
    </row>
    <row r="208" spans="1:6" x14ac:dyDescent="0.25">
      <c r="A208" s="1">
        <v>41244</v>
      </c>
      <c r="B208">
        <v>1224879</v>
      </c>
      <c r="C208">
        <v>1</v>
      </c>
      <c r="D208">
        <v>637.375</v>
      </c>
      <c r="E208">
        <v>8771.0704000000005</v>
      </c>
      <c r="F208">
        <v>3424.3850000000002</v>
      </c>
    </row>
    <row r="209" spans="1:6" x14ac:dyDescent="0.25">
      <c r="A209" s="1">
        <v>41275</v>
      </c>
      <c r="B209">
        <v>1224879</v>
      </c>
      <c r="C209">
        <v>1</v>
      </c>
      <c r="D209">
        <v>637.75</v>
      </c>
      <c r="E209">
        <v>8878.0138000000006</v>
      </c>
      <c r="F209">
        <v>3531.3283999999999</v>
      </c>
    </row>
    <row r="210" spans="1:6" x14ac:dyDescent="0.25">
      <c r="A210" s="1">
        <v>41306</v>
      </c>
      <c r="B210">
        <v>1224879</v>
      </c>
      <c r="C210">
        <v>1</v>
      </c>
      <c r="D210">
        <v>630.85</v>
      </c>
      <c r="E210">
        <v>8982.9078000000009</v>
      </c>
      <c r="F210">
        <v>3636.2224000000001</v>
      </c>
    </row>
    <row r="211" spans="1:6" x14ac:dyDescent="0.25">
      <c r="A211" s="1">
        <v>41334</v>
      </c>
      <c r="B211">
        <v>1224879</v>
      </c>
      <c r="C211">
        <v>1</v>
      </c>
      <c r="D211">
        <v>616.5</v>
      </c>
      <c r="E211">
        <v>9083.6695999999993</v>
      </c>
      <c r="F211">
        <v>3736.9841999999999</v>
      </c>
    </row>
    <row r="212" spans="1:6" x14ac:dyDescent="0.25">
      <c r="A212" s="1">
        <v>41365</v>
      </c>
      <c r="B212">
        <v>1224879</v>
      </c>
      <c r="C212">
        <v>1</v>
      </c>
      <c r="D212">
        <v>613.875</v>
      </c>
      <c r="E212">
        <v>9183.6936000000005</v>
      </c>
      <c r="F212">
        <v>3837.0082000000002</v>
      </c>
    </row>
    <row r="213" spans="1:6" x14ac:dyDescent="0.25">
      <c r="A213" s="1">
        <v>41395</v>
      </c>
      <c r="B213">
        <v>1224879</v>
      </c>
      <c r="C213">
        <v>1</v>
      </c>
      <c r="D213">
        <v>625.875</v>
      </c>
      <c r="E213">
        <v>9287.1355999999996</v>
      </c>
      <c r="F213">
        <v>3940.4502000000002</v>
      </c>
    </row>
    <row r="214" spans="1:6" x14ac:dyDescent="0.25">
      <c r="A214" s="1">
        <v>41426</v>
      </c>
      <c r="B214">
        <v>1224879</v>
      </c>
      <c r="C214">
        <v>1</v>
      </c>
      <c r="D214">
        <v>618.15</v>
      </c>
      <c r="E214">
        <v>9388.3639999999996</v>
      </c>
      <c r="F214">
        <v>4041.6786000000002</v>
      </c>
    </row>
    <row r="215" spans="1:6" x14ac:dyDescent="0.25">
      <c r="A215" s="1">
        <v>41456</v>
      </c>
      <c r="B215">
        <v>1224879</v>
      </c>
      <c r="C215">
        <v>1</v>
      </c>
      <c r="D215">
        <v>564</v>
      </c>
      <c r="E215">
        <v>9475.3153000000002</v>
      </c>
      <c r="F215">
        <v>4128.6298999999999</v>
      </c>
    </row>
    <row r="216" spans="1:6" x14ac:dyDescent="0.25">
      <c r="A216" s="1">
        <v>41487</v>
      </c>
      <c r="B216">
        <v>1224879</v>
      </c>
      <c r="C216">
        <v>1</v>
      </c>
      <c r="D216">
        <v>533.85</v>
      </c>
      <c r="E216">
        <v>9555.1203000000005</v>
      </c>
      <c r="F216">
        <v>4208.4349000000002</v>
      </c>
    </row>
    <row r="217" spans="1:6" x14ac:dyDescent="0.25">
      <c r="A217" s="1">
        <v>41518</v>
      </c>
      <c r="B217">
        <v>1224879</v>
      </c>
      <c r="C217">
        <v>1</v>
      </c>
      <c r="D217">
        <v>524.375</v>
      </c>
      <c r="E217">
        <v>9632.7810000000009</v>
      </c>
      <c r="F217">
        <v>4286.0955999999996</v>
      </c>
    </row>
    <row r="218" spans="1:6" x14ac:dyDescent="0.25">
      <c r="A218" s="1">
        <v>41548</v>
      </c>
      <c r="B218">
        <v>1224879</v>
      </c>
      <c r="C218">
        <v>1</v>
      </c>
      <c r="D218">
        <v>522.625</v>
      </c>
      <c r="E218">
        <v>9710.0506999999998</v>
      </c>
      <c r="F218">
        <v>4363.3653000000004</v>
      </c>
    </row>
    <row r="219" spans="1:6" x14ac:dyDescent="0.25">
      <c r="A219" s="1">
        <v>41579</v>
      </c>
      <c r="B219">
        <v>1224879</v>
      </c>
      <c r="C219">
        <v>1</v>
      </c>
      <c r="D219">
        <v>552.54999999999995</v>
      </c>
      <c r="E219">
        <v>9794.2276000000002</v>
      </c>
      <c r="F219">
        <v>4447.5421999999999</v>
      </c>
    </row>
    <row r="220" spans="1:6" x14ac:dyDescent="0.25">
      <c r="A220" s="1">
        <v>41609</v>
      </c>
      <c r="B220">
        <v>1224879</v>
      </c>
      <c r="C220">
        <v>1</v>
      </c>
      <c r="D220">
        <v>546.125</v>
      </c>
      <c r="E220">
        <v>9876.8806999999997</v>
      </c>
      <c r="F220">
        <v>4530.1953000000003</v>
      </c>
    </row>
    <row r="221" spans="1:6" x14ac:dyDescent="0.25">
      <c r="A221" s="1">
        <v>41640</v>
      </c>
      <c r="B221">
        <v>1224879</v>
      </c>
      <c r="C221">
        <v>1</v>
      </c>
      <c r="D221">
        <v>527.75</v>
      </c>
      <c r="E221">
        <v>9955.2999999999993</v>
      </c>
      <c r="F221">
        <v>4608.6145999999999</v>
      </c>
    </row>
    <row r="222" spans="1:6" x14ac:dyDescent="0.25">
      <c r="A222" s="1">
        <v>41671</v>
      </c>
      <c r="B222">
        <v>1224879</v>
      </c>
      <c r="C222">
        <v>1</v>
      </c>
      <c r="D222">
        <v>528.54999999999995</v>
      </c>
      <c r="E222">
        <v>10033.8999</v>
      </c>
      <c r="F222">
        <v>4687.2145</v>
      </c>
    </row>
    <row r="223" spans="1:6" x14ac:dyDescent="0.25">
      <c r="A223" s="1">
        <v>41699</v>
      </c>
      <c r="B223">
        <v>1224879</v>
      </c>
      <c r="C223">
        <v>1</v>
      </c>
      <c r="D223">
        <v>542</v>
      </c>
      <c r="E223">
        <v>10115.586799999999</v>
      </c>
      <c r="F223">
        <v>4768.9013999999997</v>
      </c>
    </row>
    <row r="224" spans="1:6" x14ac:dyDescent="0.25">
      <c r="A224" s="1">
        <v>41730</v>
      </c>
      <c r="B224">
        <v>1224879</v>
      </c>
      <c r="C224">
        <v>1</v>
      </c>
      <c r="D224">
        <v>527.375</v>
      </c>
      <c r="E224">
        <v>10193.9215</v>
      </c>
      <c r="F224">
        <v>4847.2361000000001</v>
      </c>
    </row>
    <row r="225" spans="1:6" x14ac:dyDescent="0.25">
      <c r="A225" s="1">
        <v>41760</v>
      </c>
      <c r="B225">
        <v>1224879</v>
      </c>
      <c r="C225">
        <v>1</v>
      </c>
      <c r="D225">
        <v>527.45000000000005</v>
      </c>
      <c r="E225">
        <v>10272.2731</v>
      </c>
      <c r="F225">
        <v>4925.5877</v>
      </c>
    </row>
    <row r="226" spans="1:6" x14ac:dyDescent="0.25">
      <c r="A226" s="1">
        <v>41791</v>
      </c>
      <c r="B226">
        <v>1224879</v>
      </c>
      <c r="C226">
        <v>1</v>
      </c>
      <c r="D226">
        <v>545.5</v>
      </c>
      <c r="E226">
        <v>10354.7793</v>
      </c>
      <c r="F226">
        <v>5008.0938999999998</v>
      </c>
    </row>
    <row r="227" spans="1:6" x14ac:dyDescent="0.25">
      <c r="A227" s="1">
        <v>41821</v>
      </c>
      <c r="B227">
        <v>1224879</v>
      </c>
      <c r="C227">
        <v>1</v>
      </c>
      <c r="D227">
        <v>547.25</v>
      </c>
      <c r="E227">
        <v>10437.6975</v>
      </c>
      <c r="F227">
        <v>5091.0120999999999</v>
      </c>
    </row>
    <row r="228" spans="1:6" x14ac:dyDescent="0.25">
      <c r="A228" s="1">
        <v>41852</v>
      </c>
      <c r="B228">
        <v>1224879</v>
      </c>
      <c r="C228">
        <v>1</v>
      </c>
      <c r="D228">
        <v>549.25</v>
      </c>
      <c r="E228">
        <v>10521.088900000001</v>
      </c>
      <c r="F228">
        <v>5174.4035000000003</v>
      </c>
    </row>
    <row r="229" spans="1:6" x14ac:dyDescent="0.25">
      <c r="A229" s="1">
        <v>41883</v>
      </c>
      <c r="B229">
        <v>1224879</v>
      </c>
      <c r="C229">
        <v>1</v>
      </c>
      <c r="D229">
        <v>551.375</v>
      </c>
      <c r="E229">
        <v>10604.9854</v>
      </c>
      <c r="F229">
        <v>5258.3</v>
      </c>
    </row>
    <row r="230" spans="1:6" x14ac:dyDescent="0.25">
      <c r="A230" s="1">
        <v>41913</v>
      </c>
      <c r="B230">
        <v>1224879</v>
      </c>
      <c r="C230">
        <v>1</v>
      </c>
      <c r="D230">
        <v>548.5</v>
      </c>
      <c r="E230">
        <v>10688.1991</v>
      </c>
      <c r="F230">
        <v>5341.5137000000004</v>
      </c>
    </row>
    <row r="231" spans="1:6" x14ac:dyDescent="0.25">
      <c r="A231" s="1">
        <v>41944</v>
      </c>
      <c r="B231">
        <v>1224879</v>
      </c>
      <c r="C231">
        <v>1</v>
      </c>
      <c r="D231">
        <v>561.65</v>
      </c>
      <c r="E231">
        <v>10774.574699999999</v>
      </c>
      <c r="F231">
        <v>5427.8892999999998</v>
      </c>
    </row>
    <row r="232" spans="1:6" x14ac:dyDescent="0.25">
      <c r="A232" s="1">
        <v>41974</v>
      </c>
      <c r="B232">
        <v>1224879</v>
      </c>
      <c r="C232">
        <v>1</v>
      </c>
      <c r="D232">
        <v>565</v>
      </c>
      <c r="E232">
        <v>10861.772000000001</v>
      </c>
      <c r="F232">
        <v>5515.0865999999996</v>
      </c>
    </row>
    <row r="233" spans="1:6" x14ac:dyDescent="0.25">
      <c r="A233" s="1">
        <v>42005</v>
      </c>
      <c r="B233">
        <v>1224879</v>
      </c>
      <c r="C233">
        <v>1</v>
      </c>
      <c r="D233">
        <v>589.35</v>
      </c>
      <c r="E233">
        <v>10955.1543</v>
      </c>
      <c r="F233">
        <v>5608.4688999999998</v>
      </c>
    </row>
    <row r="234" spans="1:6" x14ac:dyDescent="0.25">
      <c r="A234" s="1">
        <v>42036</v>
      </c>
      <c r="B234">
        <v>1224879</v>
      </c>
      <c r="C234">
        <v>1</v>
      </c>
      <c r="D234">
        <v>607.125</v>
      </c>
      <c r="E234">
        <v>11053.305899999999</v>
      </c>
      <c r="F234">
        <v>5706.6205</v>
      </c>
    </row>
    <row r="235" spans="1:6" x14ac:dyDescent="0.25">
      <c r="A235" s="1">
        <v>42064</v>
      </c>
      <c r="B235">
        <v>1224879</v>
      </c>
      <c r="C235">
        <v>1</v>
      </c>
      <c r="D235">
        <v>603.125</v>
      </c>
      <c r="E235">
        <v>11150.3642</v>
      </c>
      <c r="F235">
        <v>5803.6787999999997</v>
      </c>
    </row>
    <row r="236" spans="1:6" x14ac:dyDescent="0.25">
      <c r="A236" s="1">
        <v>42095</v>
      </c>
      <c r="B236">
        <v>1224879</v>
      </c>
      <c r="C236">
        <v>1</v>
      </c>
      <c r="D236">
        <v>597.75</v>
      </c>
      <c r="E236">
        <v>11245.972</v>
      </c>
      <c r="F236">
        <v>5899.2866000000004</v>
      </c>
    </row>
    <row r="237" spans="1:6" x14ac:dyDescent="0.25">
      <c r="A237" s="1">
        <v>42125</v>
      </c>
      <c r="B237">
        <v>1224879</v>
      </c>
      <c r="C237">
        <v>1</v>
      </c>
      <c r="D237">
        <v>607.04999999999995</v>
      </c>
      <c r="E237">
        <v>11344.102999999999</v>
      </c>
      <c r="F237">
        <v>5997.4175999999998</v>
      </c>
    </row>
    <row r="238" spans="1:6" x14ac:dyDescent="0.25">
      <c r="A238" s="1">
        <v>42156</v>
      </c>
      <c r="B238">
        <v>1224879</v>
      </c>
      <c r="C238">
        <v>1</v>
      </c>
      <c r="D238">
        <v>590.125</v>
      </c>
      <c r="E238">
        <v>11437.6885</v>
      </c>
      <c r="F238">
        <v>6091.0030999999999</v>
      </c>
    </row>
    <row r="239" spans="1:6" x14ac:dyDescent="0.25">
      <c r="A239" s="1">
        <v>42186</v>
      </c>
      <c r="B239">
        <v>1224879</v>
      </c>
      <c r="C239">
        <v>1</v>
      </c>
      <c r="D239">
        <v>575.25</v>
      </c>
      <c r="E239">
        <v>11527.4429</v>
      </c>
      <c r="F239">
        <v>6180.7574999999997</v>
      </c>
    </row>
    <row r="240" spans="1:6" x14ac:dyDescent="0.25">
      <c r="A240" s="1">
        <v>42217</v>
      </c>
      <c r="B240">
        <v>1224879</v>
      </c>
      <c r="C240">
        <v>1</v>
      </c>
      <c r="D240">
        <v>570.15</v>
      </c>
      <c r="E240">
        <v>11615.916800000001</v>
      </c>
      <c r="F240">
        <v>6269.2313999999997</v>
      </c>
    </row>
    <row r="241" spans="1:6" x14ac:dyDescent="0.25">
      <c r="A241" s="1">
        <v>42248</v>
      </c>
      <c r="B241">
        <v>1224879</v>
      </c>
      <c r="C241">
        <v>1</v>
      </c>
      <c r="D241">
        <v>590.5</v>
      </c>
      <c r="E241">
        <v>11709.600899999999</v>
      </c>
      <c r="F241">
        <v>6362.9155000000001</v>
      </c>
    </row>
    <row r="242" spans="1:6" x14ac:dyDescent="0.25">
      <c r="A242" s="1">
        <v>42278</v>
      </c>
      <c r="B242">
        <v>1224879</v>
      </c>
      <c r="C242">
        <v>1</v>
      </c>
      <c r="D242">
        <v>592.29999999999995</v>
      </c>
      <c r="E242">
        <v>11803.759099999999</v>
      </c>
      <c r="F242">
        <v>6457.0736999999999</v>
      </c>
    </row>
    <row r="243" spans="1:6" x14ac:dyDescent="0.25">
      <c r="A243" s="1">
        <v>42309</v>
      </c>
      <c r="B243">
        <v>1224879</v>
      </c>
      <c r="C243">
        <v>1</v>
      </c>
      <c r="D243">
        <v>602.75</v>
      </c>
      <c r="E243">
        <v>11900.7155</v>
      </c>
      <c r="F243">
        <v>6554.0300999999999</v>
      </c>
    </row>
    <row r="244" spans="1:6" x14ac:dyDescent="0.25">
      <c r="A244" s="1">
        <v>42339</v>
      </c>
      <c r="B244">
        <v>1224879</v>
      </c>
      <c r="C244">
        <v>1</v>
      </c>
      <c r="D244">
        <v>586.125</v>
      </c>
      <c r="E244">
        <v>11993.256299999999</v>
      </c>
      <c r="F244">
        <v>6646.5708999999997</v>
      </c>
    </row>
    <row r="245" spans="1:6" x14ac:dyDescent="0.25">
      <c r="A245" s="1">
        <v>42370</v>
      </c>
      <c r="B245">
        <v>1224879</v>
      </c>
      <c r="C245">
        <v>1</v>
      </c>
      <c r="D245">
        <v>584.6</v>
      </c>
      <c r="E245">
        <v>12085.401599999999</v>
      </c>
      <c r="F245">
        <v>6738.7161999999998</v>
      </c>
    </row>
    <row r="246" spans="1:6" x14ac:dyDescent="0.25">
      <c r="A246" s="1">
        <v>42401</v>
      </c>
      <c r="B246">
        <v>1224879</v>
      </c>
      <c r="C246">
        <v>1</v>
      </c>
      <c r="D246">
        <v>593.75</v>
      </c>
      <c r="E246">
        <v>12179.943499999999</v>
      </c>
      <c r="F246">
        <v>6833.2581</v>
      </c>
    </row>
    <row r="247" spans="1:6" x14ac:dyDescent="0.25">
      <c r="A247" s="1">
        <v>42430</v>
      </c>
      <c r="B247">
        <v>1224879</v>
      </c>
      <c r="C247">
        <v>1</v>
      </c>
      <c r="D247">
        <v>616.25</v>
      </c>
      <c r="E247">
        <v>12280.6348</v>
      </c>
      <c r="F247">
        <v>6933.9494000000004</v>
      </c>
    </row>
    <row r="248" spans="1:6" x14ac:dyDescent="0.25">
      <c r="A248" s="1">
        <v>42461</v>
      </c>
      <c r="B248">
        <v>1224879</v>
      </c>
      <c r="C248">
        <v>1</v>
      </c>
      <c r="D248">
        <v>619.5</v>
      </c>
      <c r="E248">
        <v>12382.246499999999</v>
      </c>
      <c r="F248">
        <v>7035.5610999999999</v>
      </c>
    </row>
    <row r="249" spans="1:6" x14ac:dyDescent="0.25">
      <c r="A249" s="1">
        <v>42491</v>
      </c>
      <c r="B249">
        <v>1224879</v>
      </c>
      <c r="C249">
        <v>1</v>
      </c>
      <c r="D249">
        <v>621.75</v>
      </c>
      <c r="E249">
        <v>12484.5003</v>
      </c>
      <c r="F249">
        <v>7137.8149000000003</v>
      </c>
    </row>
    <row r="250" spans="1:6" x14ac:dyDescent="0.25">
      <c r="A250" s="1">
        <v>42522</v>
      </c>
      <c r="B250">
        <v>1224879</v>
      </c>
      <c r="C250">
        <v>1</v>
      </c>
      <c r="D250">
        <v>622.25</v>
      </c>
      <c r="E250">
        <v>12586.8974</v>
      </c>
      <c r="F250">
        <v>7240.2120000000004</v>
      </c>
    </row>
    <row r="251" spans="1:6" x14ac:dyDescent="0.25">
      <c r="A251" s="1">
        <v>42552</v>
      </c>
      <c r="B251">
        <v>1224879</v>
      </c>
      <c r="C251">
        <v>1</v>
      </c>
      <c r="D251">
        <v>626.20000000000005</v>
      </c>
      <c r="E251">
        <v>12690.4336</v>
      </c>
      <c r="F251">
        <v>7343.7482</v>
      </c>
    </row>
    <row r="252" spans="1:6" x14ac:dyDescent="0.25">
      <c r="A252" s="1">
        <v>42583</v>
      </c>
      <c r="B252">
        <v>1224879</v>
      </c>
      <c r="C252">
        <v>1</v>
      </c>
      <c r="D252">
        <v>639.5</v>
      </c>
      <c r="E252">
        <v>12797.9035</v>
      </c>
      <c r="F252">
        <v>7451.2181</v>
      </c>
    </row>
    <row r="253" spans="1:6" x14ac:dyDescent="0.25">
      <c r="A253" s="1">
        <v>42614</v>
      </c>
      <c r="B253">
        <v>1224879</v>
      </c>
      <c r="C253">
        <v>1</v>
      </c>
      <c r="D253">
        <v>639</v>
      </c>
      <c r="E253">
        <v>12905.222599999999</v>
      </c>
      <c r="F253">
        <v>7558.5371999999998</v>
      </c>
    </row>
    <row r="254" spans="1:6" x14ac:dyDescent="0.25">
      <c r="A254" s="1">
        <v>42644</v>
      </c>
      <c r="B254">
        <v>1224879</v>
      </c>
      <c r="C254">
        <v>1</v>
      </c>
      <c r="D254">
        <v>636.25</v>
      </c>
      <c r="E254">
        <v>13011.716899999999</v>
      </c>
      <c r="F254">
        <v>7665.0315000000001</v>
      </c>
    </row>
    <row r="255" spans="1:6" x14ac:dyDescent="0.25">
      <c r="A255" s="1">
        <v>42675</v>
      </c>
      <c r="B255">
        <v>1224879</v>
      </c>
      <c r="C255">
        <v>1</v>
      </c>
      <c r="D255">
        <v>635.25</v>
      </c>
      <c r="E255">
        <v>13117.912899999999</v>
      </c>
      <c r="F255">
        <v>7771.2275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510"/>
  <sheetViews>
    <sheetView topLeftCell="G1" workbookViewId="0">
      <selection activeCell="T44" sqref="T44"/>
    </sheetView>
  </sheetViews>
  <sheetFormatPr defaultRowHeight="15" x14ac:dyDescent="0.25"/>
  <cols>
    <col min="7" max="7" width="13.140625" bestFit="1" customWidth="1"/>
    <col min="8" max="8" width="20.5703125" customWidth="1"/>
    <col min="27" max="27" width="13.140625" bestFit="1" customWidth="1"/>
    <col min="28" max="28" width="20.5703125" customWidth="1"/>
    <col min="39" max="39" width="14.28515625" bestFit="1" customWidth="1"/>
  </cols>
  <sheetData>
    <row r="1" spans="1:37" x14ac:dyDescent="0.25">
      <c r="A1" t="s">
        <v>8</v>
      </c>
      <c r="B1" t="s">
        <v>2</v>
      </c>
      <c r="C1" t="s">
        <v>9</v>
      </c>
      <c r="D1" t="s">
        <v>10</v>
      </c>
      <c r="E1" t="s">
        <v>11</v>
      </c>
      <c r="G1" s="2" t="s">
        <v>8</v>
      </c>
      <c r="H1" t="s">
        <v>14</v>
      </c>
      <c r="U1" t="s">
        <v>8</v>
      </c>
      <c r="V1" t="s">
        <v>2</v>
      </c>
      <c r="W1" t="s">
        <v>9</v>
      </c>
      <c r="X1" t="s">
        <v>10</v>
      </c>
      <c r="Y1" t="s">
        <v>11</v>
      </c>
      <c r="AA1" s="2" t="s">
        <v>8</v>
      </c>
      <c r="AB1" t="s">
        <v>14</v>
      </c>
      <c r="AF1" t="s">
        <v>19</v>
      </c>
      <c r="AG1" t="s">
        <v>20</v>
      </c>
      <c r="AJ1" t="s">
        <v>19</v>
      </c>
      <c r="AK1" t="s">
        <v>20</v>
      </c>
    </row>
    <row r="2" spans="1:37" x14ac:dyDescent="0.25">
      <c r="A2" t="s">
        <v>12</v>
      </c>
      <c r="B2" s="1">
        <v>34366</v>
      </c>
      <c r="C2">
        <v>47564</v>
      </c>
      <c r="D2">
        <v>179363030607.07999</v>
      </c>
      <c r="E2">
        <v>145.28415275439301</v>
      </c>
      <c r="U2" t="s">
        <v>12</v>
      </c>
      <c r="V2" s="1">
        <v>34366</v>
      </c>
      <c r="W2">
        <v>47564</v>
      </c>
      <c r="X2">
        <v>179363030607.07999</v>
      </c>
      <c r="Y2">
        <v>145.22714241190499</v>
      </c>
      <c r="AE2" s="3">
        <v>34366</v>
      </c>
      <c r="AF2" s="5">
        <v>145.28415275439301</v>
      </c>
      <c r="AG2" s="5">
        <v>145.22714241190499</v>
      </c>
      <c r="AI2" s="3">
        <v>40148</v>
      </c>
      <c r="AJ2" s="5">
        <v>0</v>
      </c>
      <c r="AK2" s="5">
        <v>0</v>
      </c>
    </row>
    <row r="3" spans="1:37" x14ac:dyDescent="0.25">
      <c r="A3" t="s">
        <v>12</v>
      </c>
      <c r="B3" s="1">
        <v>34394</v>
      </c>
      <c r="C3">
        <v>48770</v>
      </c>
      <c r="D3">
        <v>182676426202.38</v>
      </c>
      <c r="E3">
        <v>143.04177464678699</v>
      </c>
      <c r="G3" s="2" t="s">
        <v>16</v>
      </c>
      <c r="H3" t="s">
        <v>18</v>
      </c>
      <c r="U3" t="s">
        <v>12</v>
      </c>
      <c r="V3" s="1">
        <v>34394</v>
      </c>
      <c r="W3">
        <v>48770</v>
      </c>
      <c r="X3">
        <v>182676426202.38</v>
      </c>
      <c r="Y3">
        <v>142.93933441880901</v>
      </c>
      <c r="AA3" s="2" t="s">
        <v>16</v>
      </c>
      <c r="AB3" t="s">
        <v>18</v>
      </c>
      <c r="AE3" s="3">
        <v>34394</v>
      </c>
      <c r="AF3" s="5">
        <v>143.04177464678699</v>
      </c>
      <c r="AG3" s="5">
        <v>142.93933441880901</v>
      </c>
      <c r="AI3" s="3">
        <v>40179</v>
      </c>
      <c r="AJ3" s="5">
        <v>4.9101575475738004</v>
      </c>
      <c r="AK3" s="5">
        <v>4.9170626787384197</v>
      </c>
    </row>
    <row r="4" spans="1:37" x14ac:dyDescent="0.25">
      <c r="A4" t="s">
        <v>12</v>
      </c>
      <c r="B4" s="1">
        <v>34425</v>
      </c>
      <c r="C4">
        <v>50054</v>
      </c>
      <c r="D4">
        <v>187173844372.01001</v>
      </c>
      <c r="E4">
        <v>137.08415312611999</v>
      </c>
      <c r="G4" s="3">
        <v>40148</v>
      </c>
      <c r="H4" s="5">
        <v>0</v>
      </c>
      <c r="U4" t="s">
        <v>12</v>
      </c>
      <c r="V4" s="1">
        <v>34425</v>
      </c>
      <c r="W4">
        <v>50054</v>
      </c>
      <c r="X4">
        <v>187173844372.01001</v>
      </c>
      <c r="Y4">
        <v>136.982734237833</v>
      </c>
      <c r="AA4" s="3">
        <v>40148</v>
      </c>
      <c r="AB4" s="5">
        <v>0</v>
      </c>
      <c r="AE4" s="3">
        <v>34425</v>
      </c>
      <c r="AF4" s="5">
        <v>137.08415312611999</v>
      </c>
      <c r="AG4" s="5">
        <v>136.982734237833</v>
      </c>
      <c r="AI4" s="3">
        <v>40210</v>
      </c>
      <c r="AJ4" s="5">
        <v>9.7749711690498096</v>
      </c>
      <c r="AK4" s="5">
        <v>9.8069640597297703</v>
      </c>
    </row>
    <row r="5" spans="1:37" x14ac:dyDescent="0.25">
      <c r="A5" t="s">
        <v>12</v>
      </c>
      <c r="B5" s="1">
        <v>34516</v>
      </c>
      <c r="C5">
        <v>53319</v>
      </c>
      <c r="D5">
        <v>198257625256.20999</v>
      </c>
      <c r="E5">
        <v>118.361236377689</v>
      </c>
      <c r="G5" s="3">
        <v>40179</v>
      </c>
      <c r="H5" s="5">
        <v>4.9170626787384197</v>
      </c>
      <c r="U5" t="s">
        <v>12</v>
      </c>
      <c r="V5" s="1">
        <v>34516</v>
      </c>
      <c r="W5">
        <v>53319</v>
      </c>
      <c r="X5">
        <v>198257625256.20999</v>
      </c>
      <c r="Y5">
        <v>118.26681724606399</v>
      </c>
      <c r="AA5" s="3">
        <v>40179</v>
      </c>
      <c r="AB5" s="5">
        <v>4.9101575475738004</v>
      </c>
      <c r="AE5" s="3">
        <v>34516</v>
      </c>
      <c r="AF5" s="5">
        <v>118.361236377689</v>
      </c>
      <c r="AG5" s="5">
        <v>118.26681724606399</v>
      </c>
      <c r="AI5" s="3">
        <v>40238</v>
      </c>
      <c r="AJ5" s="5">
        <v>11.885009456029699</v>
      </c>
      <c r="AK5" s="5">
        <v>11.9612827970894</v>
      </c>
    </row>
    <row r="6" spans="1:37" x14ac:dyDescent="0.25">
      <c r="A6" t="s">
        <v>12</v>
      </c>
      <c r="B6" s="1">
        <v>34547</v>
      </c>
      <c r="C6">
        <v>54110</v>
      </c>
      <c r="D6">
        <v>200679192483.73001</v>
      </c>
      <c r="E6">
        <v>115.593474578317</v>
      </c>
      <c r="G6" s="3">
        <v>40210</v>
      </c>
      <c r="H6" s="5">
        <v>9.8069640597297703</v>
      </c>
      <c r="U6" t="s">
        <v>12</v>
      </c>
      <c r="V6" s="1">
        <v>34547</v>
      </c>
      <c r="W6">
        <v>54110</v>
      </c>
      <c r="X6">
        <v>200679192483.73001</v>
      </c>
      <c r="Y6">
        <v>115.500464726109</v>
      </c>
      <c r="AA6" s="3">
        <v>40210</v>
      </c>
      <c r="AB6" s="5">
        <v>9.7749711690498096</v>
      </c>
      <c r="AE6" s="3">
        <v>34547</v>
      </c>
      <c r="AF6" s="5">
        <v>115.593474578317</v>
      </c>
      <c r="AG6" s="5">
        <v>115.500464726109</v>
      </c>
      <c r="AI6" s="3">
        <v>40269</v>
      </c>
      <c r="AJ6" s="5">
        <v>13.567566757186</v>
      </c>
      <c r="AK6" s="5">
        <v>13.703566581464401</v>
      </c>
    </row>
    <row r="7" spans="1:37" x14ac:dyDescent="0.25">
      <c r="A7" t="s">
        <v>12</v>
      </c>
      <c r="B7" s="1">
        <v>34578</v>
      </c>
      <c r="C7">
        <v>54835</v>
      </c>
      <c r="D7">
        <v>202941258365.22</v>
      </c>
      <c r="E7">
        <v>113.644602142484</v>
      </c>
      <c r="G7" s="3">
        <v>40238</v>
      </c>
      <c r="H7" s="5">
        <v>11.9612827970894</v>
      </c>
      <c r="U7" t="s">
        <v>12</v>
      </c>
      <c r="V7" s="1">
        <v>34578</v>
      </c>
      <c r="W7">
        <v>54835</v>
      </c>
      <c r="X7">
        <v>202941258365.22</v>
      </c>
      <c r="Y7">
        <v>113.555203409497</v>
      </c>
      <c r="AA7" s="3">
        <v>40238</v>
      </c>
      <c r="AB7" s="5">
        <v>11.885009456029699</v>
      </c>
      <c r="AE7" s="3">
        <v>34578</v>
      </c>
      <c r="AF7" s="5">
        <v>113.644602142484</v>
      </c>
      <c r="AG7" s="5">
        <v>113.555203409497</v>
      </c>
      <c r="AI7" s="3">
        <v>40299</v>
      </c>
      <c r="AJ7" s="5">
        <v>13.8387655962221</v>
      </c>
      <c r="AK7" s="5">
        <v>13.9398630809885</v>
      </c>
    </row>
    <row r="8" spans="1:37" x14ac:dyDescent="0.25">
      <c r="A8" t="s">
        <v>12</v>
      </c>
      <c r="B8" s="1">
        <v>34608</v>
      </c>
      <c r="C8">
        <v>55530</v>
      </c>
      <c r="D8">
        <v>205226671396.57999</v>
      </c>
      <c r="E8">
        <v>111.809854913113</v>
      </c>
      <c r="G8" s="3">
        <v>40269</v>
      </c>
      <c r="H8" s="5">
        <v>13.703566581464401</v>
      </c>
      <c r="U8" t="s">
        <v>12</v>
      </c>
      <c r="V8" s="1">
        <v>34608</v>
      </c>
      <c r="W8">
        <v>55530</v>
      </c>
      <c r="X8">
        <v>205226671396.57999</v>
      </c>
      <c r="Y8">
        <v>111.724101042027</v>
      </c>
      <c r="AA8" s="3">
        <v>40269</v>
      </c>
      <c r="AB8" s="5">
        <v>13.567566757186</v>
      </c>
      <c r="AE8" s="3">
        <v>34608</v>
      </c>
      <c r="AF8" s="5">
        <v>111.809854913113</v>
      </c>
      <c r="AG8" s="5">
        <v>111.724101042027</v>
      </c>
      <c r="AI8" s="3">
        <v>40330</v>
      </c>
      <c r="AJ8" s="5">
        <v>13.9774289139351</v>
      </c>
      <c r="AK8" s="5">
        <v>14.0631964173631</v>
      </c>
    </row>
    <row r="9" spans="1:37" x14ac:dyDescent="0.25">
      <c r="A9" t="s">
        <v>12</v>
      </c>
      <c r="B9" s="1">
        <v>34639</v>
      </c>
      <c r="C9">
        <v>56108</v>
      </c>
      <c r="D9">
        <v>206975112252.98001</v>
      </c>
      <c r="E9">
        <v>110.082387334646</v>
      </c>
      <c r="G9" s="3">
        <v>40299</v>
      </c>
      <c r="H9" s="5">
        <v>13.9398630809885</v>
      </c>
      <c r="U9" t="s">
        <v>12</v>
      </c>
      <c r="V9" s="1">
        <v>34639</v>
      </c>
      <c r="W9">
        <v>56108</v>
      </c>
      <c r="X9">
        <v>206975112252.98001</v>
      </c>
      <c r="Y9">
        <v>109.998313813271</v>
      </c>
      <c r="AA9" s="3">
        <v>40299</v>
      </c>
      <c r="AB9" s="5">
        <v>13.8387655962221</v>
      </c>
      <c r="AE9" s="3">
        <v>34639</v>
      </c>
      <c r="AF9" s="5">
        <v>110.082387334646</v>
      </c>
      <c r="AG9" s="5">
        <v>109.998313813271</v>
      </c>
      <c r="AI9" s="3">
        <v>40360</v>
      </c>
      <c r="AJ9" s="5">
        <v>14.739431887865999</v>
      </c>
      <c r="AK9" s="5">
        <v>14.8240779652439</v>
      </c>
    </row>
    <row r="10" spans="1:37" x14ac:dyDescent="0.25">
      <c r="A10" t="s">
        <v>12</v>
      </c>
      <c r="B10" s="1">
        <v>34669</v>
      </c>
      <c r="C10">
        <v>56529</v>
      </c>
      <c r="D10">
        <v>207753709014.57999</v>
      </c>
      <c r="E10">
        <v>108.86373426885299</v>
      </c>
      <c r="G10" s="3">
        <v>40330</v>
      </c>
      <c r="H10" s="5">
        <v>14.0631964173631</v>
      </c>
      <c r="U10" t="s">
        <v>12</v>
      </c>
      <c r="V10" s="1">
        <v>34669</v>
      </c>
      <c r="W10">
        <v>56529</v>
      </c>
      <c r="X10">
        <v>207753709014.57999</v>
      </c>
      <c r="Y10">
        <v>108.780107205902</v>
      </c>
      <c r="AA10" s="3">
        <v>40330</v>
      </c>
      <c r="AB10" s="5">
        <v>13.9774289139351</v>
      </c>
      <c r="AE10" s="3">
        <v>34669</v>
      </c>
      <c r="AF10" s="5">
        <v>108.86373426885299</v>
      </c>
      <c r="AG10" s="5">
        <v>108.780107205902</v>
      </c>
      <c r="AI10" s="3">
        <v>40391</v>
      </c>
      <c r="AJ10" s="5">
        <v>15.5872725689958</v>
      </c>
      <c r="AK10" s="5">
        <v>15.6939965239687</v>
      </c>
    </row>
    <row r="11" spans="1:37" x14ac:dyDescent="0.25">
      <c r="A11" t="s">
        <v>12</v>
      </c>
      <c r="B11" s="1">
        <v>34700</v>
      </c>
      <c r="C11">
        <v>56894</v>
      </c>
      <c r="D11">
        <v>208406182510.07001</v>
      </c>
      <c r="E11">
        <v>107.782197472264</v>
      </c>
      <c r="G11" s="3">
        <v>40360</v>
      </c>
      <c r="H11" s="5">
        <v>14.8240779652439</v>
      </c>
      <c r="U11" t="s">
        <v>12</v>
      </c>
      <c r="V11" s="1">
        <v>34700</v>
      </c>
      <c r="W11">
        <v>56894</v>
      </c>
      <c r="X11">
        <v>208406182510.07001</v>
      </c>
      <c r="Y11">
        <v>107.69863796528701</v>
      </c>
      <c r="AA11" s="3">
        <v>40360</v>
      </c>
      <c r="AB11" s="5">
        <v>14.739431887865999</v>
      </c>
      <c r="AE11" s="3">
        <v>34700</v>
      </c>
      <c r="AF11" s="5">
        <v>107.782197472264</v>
      </c>
      <c r="AG11" s="5">
        <v>107.69863796528701</v>
      </c>
      <c r="AI11" s="3">
        <v>40422</v>
      </c>
      <c r="AJ11" s="5">
        <v>14.3906513512242</v>
      </c>
      <c r="AK11" s="5">
        <v>14.5539394261315</v>
      </c>
    </row>
    <row r="12" spans="1:37" x14ac:dyDescent="0.25">
      <c r="A12" t="s">
        <v>12</v>
      </c>
      <c r="B12" s="1">
        <v>34731</v>
      </c>
      <c r="C12">
        <v>57294</v>
      </c>
      <c r="D12">
        <v>209359181505.28</v>
      </c>
      <c r="E12">
        <v>106.64500475215399</v>
      </c>
      <c r="G12" s="3">
        <v>40391</v>
      </c>
      <c r="H12" s="5">
        <v>15.6939965239687</v>
      </c>
      <c r="U12" t="s">
        <v>12</v>
      </c>
      <c r="V12" s="1">
        <v>34731</v>
      </c>
      <c r="W12">
        <v>57294</v>
      </c>
      <c r="X12">
        <v>209359181505.28</v>
      </c>
      <c r="Y12">
        <v>106.56285531869101</v>
      </c>
      <c r="AA12" s="3">
        <v>40391</v>
      </c>
      <c r="AB12" s="5">
        <v>15.5872725689958</v>
      </c>
      <c r="AE12" s="3">
        <v>34731</v>
      </c>
      <c r="AF12" s="5">
        <v>106.64500475215399</v>
      </c>
      <c r="AG12" s="5">
        <v>106.56285531869101</v>
      </c>
      <c r="AI12" s="3">
        <v>40452</v>
      </c>
      <c r="AJ12" s="5">
        <v>13.048453579782199</v>
      </c>
      <c r="AK12" s="5">
        <v>13.262777253858401</v>
      </c>
    </row>
    <row r="13" spans="1:37" x14ac:dyDescent="0.25">
      <c r="A13" t="s">
        <v>12</v>
      </c>
      <c r="B13" s="1">
        <v>34759</v>
      </c>
      <c r="C13">
        <v>57702</v>
      </c>
      <c r="D13">
        <v>210444667091.82001</v>
      </c>
      <c r="E13">
        <v>105.832721769697</v>
      </c>
      <c r="G13" s="3">
        <v>40422</v>
      </c>
      <c r="H13" s="5">
        <v>14.5539394261315</v>
      </c>
      <c r="U13" t="s">
        <v>12</v>
      </c>
      <c r="V13" s="1">
        <v>34759</v>
      </c>
      <c r="W13">
        <v>57702</v>
      </c>
      <c r="X13">
        <v>210444667091.82001</v>
      </c>
      <c r="Y13">
        <v>105.759303756319</v>
      </c>
      <c r="AA13" s="3">
        <v>40422</v>
      </c>
      <c r="AB13" s="5">
        <v>14.3906513512242</v>
      </c>
      <c r="AE13" s="3">
        <v>34759</v>
      </c>
      <c r="AF13" s="5">
        <v>105.832721769697</v>
      </c>
      <c r="AG13" s="5">
        <v>105.759303756319</v>
      </c>
      <c r="AI13" s="3">
        <v>40483</v>
      </c>
      <c r="AJ13" s="5">
        <v>12.410375187935401</v>
      </c>
      <c r="AK13" s="5">
        <v>12.7444347987265</v>
      </c>
    </row>
    <row r="14" spans="1:37" x14ac:dyDescent="0.25">
      <c r="A14" t="s">
        <v>12</v>
      </c>
      <c r="B14" s="1">
        <v>34790</v>
      </c>
      <c r="C14">
        <v>58144</v>
      </c>
      <c r="D14">
        <v>212078601432.42001</v>
      </c>
      <c r="E14">
        <v>105.423167579902</v>
      </c>
      <c r="G14" s="3">
        <v>40452</v>
      </c>
      <c r="H14" s="5">
        <v>13.262777253858401</v>
      </c>
      <c r="U14" t="s">
        <v>12</v>
      </c>
      <c r="V14" s="1">
        <v>34790</v>
      </c>
      <c r="W14">
        <v>58144</v>
      </c>
      <c r="X14">
        <v>212078601432.42001</v>
      </c>
      <c r="Y14">
        <v>105.356295735144</v>
      </c>
      <c r="AA14" s="3">
        <v>40452</v>
      </c>
      <c r="AB14" s="5">
        <v>13.048453579782199</v>
      </c>
      <c r="AE14" s="3">
        <v>34790</v>
      </c>
      <c r="AF14" s="5">
        <v>105.423167579902</v>
      </c>
      <c r="AG14" s="5">
        <v>105.356295735144</v>
      </c>
      <c r="AI14" s="3">
        <v>40513</v>
      </c>
      <c r="AJ14" s="5">
        <v>28.4069798540588</v>
      </c>
      <c r="AK14" s="5">
        <v>28.766009774220699</v>
      </c>
    </row>
    <row r="15" spans="1:37" x14ac:dyDescent="0.25">
      <c r="A15" t="s">
        <v>12</v>
      </c>
      <c r="B15" s="1">
        <v>34820</v>
      </c>
      <c r="C15">
        <v>58699</v>
      </c>
      <c r="D15">
        <v>214086172771.07001</v>
      </c>
      <c r="E15">
        <v>105.179075165234</v>
      </c>
      <c r="G15" s="3">
        <v>40483</v>
      </c>
      <c r="H15" s="5">
        <v>12.7444347987265</v>
      </c>
      <c r="U15" t="s">
        <v>12</v>
      </c>
      <c r="V15" s="1">
        <v>34820</v>
      </c>
      <c r="W15">
        <v>58699</v>
      </c>
      <c r="X15">
        <v>214086172771.07001</v>
      </c>
      <c r="Y15">
        <v>105.11470912805299</v>
      </c>
      <c r="AA15" s="3">
        <v>40483</v>
      </c>
      <c r="AB15" s="5">
        <v>12.410375187935401</v>
      </c>
      <c r="AE15" s="3">
        <v>34820</v>
      </c>
      <c r="AF15" s="5">
        <v>105.179075165234</v>
      </c>
      <c r="AG15" s="5">
        <v>105.11470912805299</v>
      </c>
      <c r="AI15" s="3">
        <v>40544</v>
      </c>
      <c r="AJ15" s="5">
        <v>25.2412916665794</v>
      </c>
      <c r="AK15" s="5">
        <v>25.5325537515645</v>
      </c>
    </row>
    <row r="16" spans="1:37" x14ac:dyDescent="0.25">
      <c r="A16" t="s">
        <v>12</v>
      </c>
      <c r="B16" s="1">
        <v>34851</v>
      </c>
      <c r="C16">
        <v>59299</v>
      </c>
      <c r="D16">
        <v>215985123514.95001</v>
      </c>
      <c r="E16">
        <v>106.29004193672</v>
      </c>
      <c r="G16" s="3">
        <v>40513</v>
      </c>
      <c r="H16" s="5">
        <v>28.766009774220699</v>
      </c>
      <c r="U16" t="s">
        <v>12</v>
      </c>
      <c r="V16" s="1">
        <v>34851</v>
      </c>
      <c r="W16">
        <v>59299</v>
      </c>
      <c r="X16">
        <v>215985123514.95001</v>
      </c>
      <c r="Y16">
        <v>106.153578166342</v>
      </c>
      <c r="AA16" s="3">
        <v>40513</v>
      </c>
      <c r="AB16" s="5">
        <v>28.4069798540588</v>
      </c>
      <c r="AE16" s="3">
        <v>34851</v>
      </c>
      <c r="AF16" s="5">
        <v>106.29004193672</v>
      </c>
      <c r="AG16" s="5">
        <v>106.153578166342</v>
      </c>
      <c r="AI16" s="3">
        <v>40575</v>
      </c>
      <c r="AJ16" s="5">
        <v>22.604925290555901</v>
      </c>
      <c r="AK16" s="5">
        <v>22.865090826513001</v>
      </c>
    </row>
    <row r="17" spans="1:37" x14ac:dyDescent="0.25">
      <c r="A17" t="s">
        <v>12</v>
      </c>
      <c r="B17" s="1">
        <v>34881</v>
      </c>
      <c r="C17">
        <v>59982</v>
      </c>
      <c r="D17">
        <v>218637993872.20999</v>
      </c>
      <c r="E17">
        <v>109.309795312174</v>
      </c>
      <c r="G17" s="3">
        <v>40544</v>
      </c>
      <c r="H17" s="5">
        <v>25.5325537515645</v>
      </c>
      <c r="U17" t="s">
        <v>12</v>
      </c>
      <c r="V17" s="1">
        <v>34881</v>
      </c>
      <c r="W17">
        <v>59982</v>
      </c>
      <c r="X17">
        <v>218637993872.20999</v>
      </c>
      <c r="Y17">
        <v>109.00335454113601</v>
      </c>
      <c r="AA17" s="3">
        <v>40544</v>
      </c>
      <c r="AB17" s="5">
        <v>25.2412916665794</v>
      </c>
      <c r="AE17" s="3">
        <v>34881</v>
      </c>
      <c r="AF17" s="5">
        <v>109.309795312174</v>
      </c>
      <c r="AG17" s="5">
        <v>109.00335454113601</v>
      </c>
      <c r="AI17" s="3">
        <v>40603</v>
      </c>
      <c r="AJ17" s="5">
        <v>19.403535571222498</v>
      </c>
      <c r="AK17" s="5">
        <v>19.619897262471898</v>
      </c>
    </row>
    <row r="18" spans="1:37" x14ac:dyDescent="0.25">
      <c r="A18" t="s">
        <v>12</v>
      </c>
      <c r="B18" s="1">
        <v>34912</v>
      </c>
      <c r="C18">
        <v>60798</v>
      </c>
      <c r="D18">
        <v>220537691305.53</v>
      </c>
      <c r="E18">
        <v>112.19873097892599</v>
      </c>
      <c r="G18" s="3">
        <v>40575</v>
      </c>
      <c r="H18" s="5">
        <v>22.865090826513001</v>
      </c>
      <c r="U18" t="s">
        <v>12</v>
      </c>
      <c r="V18" s="1">
        <v>34912</v>
      </c>
      <c r="W18">
        <v>60798</v>
      </c>
      <c r="X18">
        <v>220537691305.53</v>
      </c>
      <c r="Y18">
        <v>111.70004860990601</v>
      </c>
      <c r="AA18" s="3">
        <v>40575</v>
      </c>
      <c r="AB18" s="5">
        <v>22.604925290555901</v>
      </c>
      <c r="AE18" s="3">
        <v>34912</v>
      </c>
      <c r="AF18" s="5">
        <v>112.19873097892599</v>
      </c>
      <c r="AG18" s="5">
        <v>111.70004860990601</v>
      </c>
      <c r="AI18" s="3">
        <v>40634</v>
      </c>
      <c r="AJ18" s="5">
        <v>16.854083761241899</v>
      </c>
      <c r="AK18" s="5">
        <v>17.040314844784</v>
      </c>
    </row>
    <row r="19" spans="1:37" x14ac:dyDescent="0.25">
      <c r="A19" t="s">
        <v>12</v>
      </c>
      <c r="B19" s="1">
        <v>34943</v>
      </c>
      <c r="C19">
        <v>61701</v>
      </c>
      <c r="D19">
        <v>223537636405.35001</v>
      </c>
      <c r="E19">
        <v>112.826612103101</v>
      </c>
      <c r="G19" s="3">
        <v>40603</v>
      </c>
      <c r="H19" s="5">
        <v>19.619897262471898</v>
      </c>
      <c r="U19" t="s">
        <v>12</v>
      </c>
      <c r="V19" s="1">
        <v>34943</v>
      </c>
      <c r="W19">
        <v>61701</v>
      </c>
      <c r="X19">
        <v>223537636405.35001</v>
      </c>
      <c r="Y19">
        <v>112.182615400253</v>
      </c>
      <c r="AA19" s="3">
        <v>40603</v>
      </c>
      <c r="AB19" s="5">
        <v>19.403535571222498</v>
      </c>
      <c r="AE19" s="3">
        <v>34943</v>
      </c>
      <c r="AF19" s="5">
        <v>112.826612103101</v>
      </c>
      <c r="AG19" s="5">
        <v>112.182615400253</v>
      </c>
      <c r="AI19" s="3">
        <v>40664</v>
      </c>
      <c r="AJ19" s="5">
        <v>15.4357134360333</v>
      </c>
      <c r="AK19" s="5">
        <v>15.6050907673668</v>
      </c>
    </row>
    <row r="20" spans="1:37" x14ac:dyDescent="0.25">
      <c r="A20" t="s">
        <v>12</v>
      </c>
      <c r="B20" s="1">
        <v>34973</v>
      </c>
      <c r="C20">
        <v>62672</v>
      </c>
      <c r="D20">
        <v>229405456728.67999</v>
      </c>
      <c r="E20">
        <v>113.092130993463</v>
      </c>
      <c r="G20" s="3">
        <v>40634</v>
      </c>
      <c r="H20" s="5">
        <v>17.040314844784</v>
      </c>
      <c r="U20" t="s">
        <v>12</v>
      </c>
      <c r="V20" s="1">
        <v>34973</v>
      </c>
      <c r="W20">
        <v>62672</v>
      </c>
      <c r="X20">
        <v>229405456728.67999</v>
      </c>
      <c r="Y20">
        <v>112.258729580463</v>
      </c>
      <c r="AA20" s="3">
        <v>40634</v>
      </c>
      <c r="AB20" s="5">
        <v>16.854083761241899</v>
      </c>
      <c r="AE20" s="3">
        <v>34973</v>
      </c>
      <c r="AF20" s="5">
        <v>113.092130993463</v>
      </c>
      <c r="AG20" s="5">
        <v>112.258729580463</v>
      </c>
      <c r="AI20" s="3">
        <v>40695</v>
      </c>
      <c r="AJ20" s="5">
        <v>14.6147529214412</v>
      </c>
      <c r="AK20" s="5">
        <v>14.7769811479094</v>
      </c>
    </row>
    <row r="21" spans="1:37" x14ac:dyDescent="0.25">
      <c r="A21" t="s">
        <v>12</v>
      </c>
      <c r="B21" s="1">
        <v>35004</v>
      </c>
      <c r="C21">
        <v>63520</v>
      </c>
      <c r="D21">
        <v>235258720640.07999</v>
      </c>
      <c r="E21">
        <v>114.05281884386901</v>
      </c>
      <c r="G21" s="3">
        <v>40664</v>
      </c>
      <c r="H21" s="5">
        <v>15.6050907673668</v>
      </c>
      <c r="U21" t="s">
        <v>12</v>
      </c>
      <c r="V21" s="1">
        <v>35004</v>
      </c>
      <c r="W21">
        <v>63520</v>
      </c>
      <c r="X21">
        <v>235258720640.07999</v>
      </c>
      <c r="Y21">
        <v>112.995012075003</v>
      </c>
      <c r="AA21" s="3">
        <v>40664</v>
      </c>
      <c r="AB21" s="5">
        <v>15.4357134360333</v>
      </c>
      <c r="AE21" s="3">
        <v>35004</v>
      </c>
      <c r="AF21" s="5">
        <v>114.05281884386901</v>
      </c>
      <c r="AG21" s="5">
        <v>112.995012075003</v>
      </c>
      <c r="AI21" s="3">
        <v>40725</v>
      </c>
      <c r="AJ21" s="5">
        <v>13.9428627918183</v>
      </c>
      <c r="AK21" s="5">
        <v>14.1064302832522</v>
      </c>
    </row>
    <row r="22" spans="1:37" x14ac:dyDescent="0.25">
      <c r="A22" t="s">
        <v>12</v>
      </c>
      <c r="B22" s="1">
        <v>35034</v>
      </c>
      <c r="C22">
        <v>64356</v>
      </c>
      <c r="D22">
        <v>239238384049.14999</v>
      </c>
      <c r="E22">
        <v>116.795858165087</v>
      </c>
      <c r="G22" s="3">
        <v>40695</v>
      </c>
      <c r="H22" s="5">
        <v>14.7769811479094</v>
      </c>
      <c r="U22" t="s">
        <v>12</v>
      </c>
      <c r="V22" s="1">
        <v>35034</v>
      </c>
      <c r="W22">
        <v>64356</v>
      </c>
      <c r="X22">
        <v>239238384049.14999</v>
      </c>
      <c r="Y22">
        <v>115.455074241858</v>
      </c>
      <c r="AA22" s="3">
        <v>40695</v>
      </c>
      <c r="AB22" s="5">
        <v>14.6147529214412</v>
      </c>
      <c r="AE22" s="3">
        <v>35034</v>
      </c>
      <c r="AF22" s="5">
        <v>116.795858165087</v>
      </c>
      <c r="AG22" s="5">
        <v>115.455074241858</v>
      </c>
      <c r="AI22" s="3">
        <v>40756</v>
      </c>
      <c r="AJ22" s="5">
        <v>13.553947929827601</v>
      </c>
      <c r="AK22" s="5">
        <v>13.7652026291443</v>
      </c>
    </row>
    <row r="23" spans="1:37" x14ac:dyDescent="0.25">
      <c r="A23" t="s">
        <v>12</v>
      </c>
      <c r="B23" s="1">
        <v>35065</v>
      </c>
      <c r="C23">
        <v>65235</v>
      </c>
      <c r="D23">
        <v>242924225298.66</v>
      </c>
      <c r="E23">
        <v>121.339728096408</v>
      </c>
      <c r="G23" s="3">
        <v>40725</v>
      </c>
      <c r="H23" s="5">
        <v>14.1064302832522</v>
      </c>
      <c r="U23" t="s">
        <v>12</v>
      </c>
      <c r="V23" s="1">
        <v>35065</v>
      </c>
      <c r="W23">
        <v>65235</v>
      </c>
      <c r="X23">
        <v>242924225298.66</v>
      </c>
      <c r="Y23">
        <v>119.554078330637</v>
      </c>
      <c r="AA23" s="3">
        <v>40725</v>
      </c>
      <c r="AB23" s="5">
        <v>13.9428627918183</v>
      </c>
      <c r="AE23" s="3">
        <v>35065</v>
      </c>
      <c r="AF23" s="5">
        <v>121.339728096408</v>
      </c>
      <c r="AG23" s="5">
        <v>119.554078330637</v>
      </c>
      <c r="AI23" s="3">
        <v>40787</v>
      </c>
      <c r="AJ23" s="5">
        <v>12.940698116902899</v>
      </c>
      <c r="AK23" s="5">
        <v>13.3696481969102</v>
      </c>
    </row>
    <row r="24" spans="1:37" x14ac:dyDescent="0.25">
      <c r="A24" t="s">
        <v>12</v>
      </c>
      <c r="B24" s="1">
        <v>35096</v>
      </c>
      <c r="C24">
        <v>66160</v>
      </c>
      <c r="D24">
        <v>247706198611.98999</v>
      </c>
      <c r="E24">
        <v>126.62002216885701</v>
      </c>
      <c r="G24" s="3">
        <v>40756</v>
      </c>
      <c r="H24" s="5">
        <v>13.7652026291443</v>
      </c>
      <c r="U24" t="s">
        <v>12</v>
      </c>
      <c r="V24" s="1">
        <v>35096</v>
      </c>
      <c r="W24">
        <v>66160</v>
      </c>
      <c r="X24">
        <v>247706198611.98999</v>
      </c>
      <c r="Y24">
        <v>124.223142270187</v>
      </c>
      <c r="AA24" s="3">
        <v>40756</v>
      </c>
      <c r="AB24" s="5">
        <v>13.553947929827601</v>
      </c>
      <c r="AE24" s="3">
        <v>35096</v>
      </c>
      <c r="AF24" s="5">
        <v>126.62002216885701</v>
      </c>
      <c r="AG24" s="5">
        <v>124.223142270187</v>
      </c>
      <c r="AI24" s="3">
        <v>40817</v>
      </c>
      <c r="AJ24" s="5">
        <v>12.496094051763199</v>
      </c>
      <c r="AK24" s="5">
        <v>13.3601939218502</v>
      </c>
    </row>
    <row r="25" spans="1:37" x14ac:dyDescent="0.25">
      <c r="A25" t="s">
        <v>12</v>
      </c>
      <c r="B25" s="1">
        <v>35125</v>
      </c>
      <c r="C25">
        <v>67083</v>
      </c>
      <c r="D25">
        <v>252451222078.59</v>
      </c>
      <c r="E25">
        <v>130.597709509841</v>
      </c>
      <c r="G25" s="3">
        <v>40787</v>
      </c>
      <c r="H25" s="5">
        <v>13.3696481969102</v>
      </c>
      <c r="U25" t="s">
        <v>12</v>
      </c>
      <c r="V25" s="1">
        <v>35125</v>
      </c>
      <c r="W25">
        <v>67083</v>
      </c>
      <c r="X25">
        <v>252451222078.59</v>
      </c>
      <c r="Y25">
        <v>127.68056692537399</v>
      </c>
      <c r="AA25" s="3">
        <v>40787</v>
      </c>
      <c r="AB25" s="5">
        <v>12.940698116902899</v>
      </c>
      <c r="AE25" s="3">
        <v>35125</v>
      </c>
      <c r="AF25" s="5">
        <v>130.597709509841</v>
      </c>
      <c r="AG25" s="5">
        <v>127.68056692537399</v>
      </c>
      <c r="AI25" s="3">
        <v>40848</v>
      </c>
      <c r="AJ25" s="5">
        <v>12.124983332422399</v>
      </c>
      <c r="AK25" s="5">
        <v>13.3614274513297</v>
      </c>
    </row>
    <row r="26" spans="1:37" x14ac:dyDescent="0.25">
      <c r="A26" t="s">
        <v>12</v>
      </c>
      <c r="B26" s="1">
        <v>35156</v>
      </c>
      <c r="C26">
        <v>68019</v>
      </c>
      <c r="D26">
        <v>258576610453.45001</v>
      </c>
      <c r="E26">
        <v>128.90275943329399</v>
      </c>
      <c r="G26" s="3">
        <v>40817</v>
      </c>
      <c r="H26" s="5">
        <v>13.3601939218502</v>
      </c>
      <c r="U26" t="s">
        <v>12</v>
      </c>
      <c r="V26" s="1">
        <v>35156</v>
      </c>
      <c r="W26">
        <v>68019</v>
      </c>
      <c r="X26">
        <v>258576610453.45001</v>
      </c>
      <c r="Y26">
        <v>125.877133823458</v>
      </c>
      <c r="AA26" s="3">
        <v>40817</v>
      </c>
      <c r="AB26" s="5">
        <v>12.496094051763199</v>
      </c>
      <c r="AE26" s="3">
        <v>35156</v>
      </c>
      <c r="AF26" s="5">
        <v>128.90275943329399</v>
      </c>
      <c r="AG26" s="5">
        <v>125.877133823458</v>
      </c>
      <c r="AI26" s="3">
        <v>40878</v>
      </c>
      <c r="AJ26" s="5">
        <v>11.7867357001497</v>
      </c>
      <c r="AK26" s="5">
        <v>13.52222322712</v>
      </c>
    </row>
    <row r="27" spans="1:37" x14ac:dyDescent="0.25">
      <c r="A27" t="s">
        <v>12</v>
      </c>
      <c r="B27" s="1">
        <v>35186</v>
      </c>
      <c r="C27">
        <v>68897</v>
      </c>
      <c r="D27">
        <v>263680566665.75</v>
      </c>
      <c r="E27">
        <v>126.01026421499</v>
      </c>
      <c r="G27" s="3">
        <v>40848</v>
      </c>
      <c r="H27" s="5">
        <v>13.3614274513297</v>
      </c>
      <c r="U27" t="s">
        <v>12</v>
      </c>
      <c r="V27" s="1">
        <v>35186</v>
      </c>
      <c r="W27">
        <v>68897</v>
      </c>
      <c r="X27">
        <v>263680566665.75</v>
      </c>
      <c r="Y27">
        <v>122.965177395469</v>
      </c>
      <c r="AA27" s="3">
        <v>40848</v>
      </c>
      <c r="AB27" s="5">
        <v>12.124983332422399</v>
      </c>
      <c r="AE27" s="3">
        <v>35186</v>
      </c>
      <c r="AF27" s="5">
        <v>126.01026421499</v>
      </c>
      <c r="AG27" s="5">
        <v>122.965177395469</v>
      </c>
      <c r="AI27" s="3">
        <v>40909</v>
      </c>
      <c r="AJ27" s="5">
        <v>11.680142291010201</v>
      </c>
      <c r="AK27" s="5">
        <v>14.014417443357599</v>
      </c>
    </row>
    <row r="28" spans="1:37" x14ac:dyDescent="0.25">
      <c r="A28" t="s">
        <v>12</v>
      </c>
      <c r="B28" s="1">
        <v>35217</v>
      </c>
      <c r="C28">
        <v>69782</v>
      </c>
      <c r="D28">
        <v>266531739812.85999</v>
      </c>
      <c r="E28">
        <v>123.78486558456601</v>
      </c>
      <c r="G28" s="3">
        <v>40878</v>
      </c>
      <c r="H28" s="5">
        <v>13.52222322712</v>
      </c>
      <c r="U28" t="s">
        <v>12</v>
      </c>
      <c r="V28" s="1">
        <v>35217</v>
      </c>
      <c r="W28">
        <v>69782</v>
      </c>
      <c r="X28">
        <v>266531739812.85999</v>
      </c>
      <c r="Y28">
        <v>120.717816533806</v>
      </c>
      <c r="AA28" s="3">
        <v>40878</v>
      </c>
      <c r="AB28" s="5">
        <v>11.7867357001497</v>
      </c>
      <c r="AE28" s="3">
        <v>35217</v>
      </c>
      <c r="AF28" s="5">
        <v>123.78486558456601</v>
      </c>
      <c r="AG28" s="5">
        <v>120.717816533806</v>
      </c>
      <c r="AI28" s="3">
        <v>40940</v>
      </c>
      <c r="AJ28" s="5">
        <v>11.8482168904465</v>
      </c>
      <c r="AK28" s="5">
        <v>14.616688738229101</v>
      </c>
    </row>
    <row r="29" spans="1:37" x14ac:dyDescent="0.25">
      <c r="A29" t="s">
        <v>12</v>
      </c>
      <c r="B29" s="1">
        <v>35247</v>
      </c>
      <c r="C29">
        <v>70524</v>
      </c>
      <c r="D29">
        <v>269946338845.72</v>
      </c>
      <c r="E29">
        <v>121.035213330334</v>
      </c>
      <c r="G29" s="3">
        <v>40909</v>
      </c>
      <c r="H29" s="5">
        <v>14.014417443357599</v>
      </c>
      <c r="U29" t="s">
        <v>12</v>
      </c>
      <c r="V29" s="1">
        <v>35247</v>
      </c>
      <c r="W29">
        <v>70524</v>
      </c>
      <c r="X29">
        <v>269946338845.72</v>
      </c>
      <c r="Y29">
        <v>117.980407450776</v>
      </c>
      <c r="AA29" s="3">
        <v>40909</v>
      </c>
      <c r="AB29" s="5">
        <v>11.680142291010201</v>
      </c>
      <c r="AE29" s="3">
        <v>35247</v>
      </c>
      <c r="AF29" s="5">
        <v>121.035213330334</v>
      </c>
      <c r="AG29" s="5">
        <v>117.980407450776</v>
      </c>
      <c r="AI29" s="3">
        <v>40969</v>
      </c>
      <c r="AJ29" s="5">
        <v>11.433356919226901</v>
      </c>
      <c r="AK29" s="5">
        <v>14.27617773925</v>
      </c>
    </row>
    <row r="30" spans="1:37" x14ac:dyDescent="0.25">
      <c r="A30" t="s">
        <v>12</v>
      </c>
      <c r="B30" s="1">
        <v>35278</v>
      </c>
      <c r="C30">
        <v>71320</v>
      </c>
      <c r="D30">
        <v>275359751202.96997</v>
      </c>
      <c r="E30">
        <v>118.15428891089999</v>
      </c>
      <c r="G30" s="3">
        <v>40940</v>
      </c>
      <c r="H30" s="5">
        <v>14.616688738229101</v>
      </c>
      <c r="U30" t="s">
        <v>12</v>
      </c>
      <c r="V30" s="1">
        <v>35278</v>
      </c>
      <c r="W30">
        <v>71320</v>
      </c>
      <c r="X30">
        <v>275359751202.96997</v>
      </c>
      <c r="Y30">
        <v>115.11080516480099</v>
      </c>
      <c r="AA30" s="3">
        <v>40940</v>
      </c>
      <c r="AB30" s="5">
        <v>11.8482168904465</v>
      </c>
      <c r="AE30" s="3">
        <v>35278</v>
      </c>
      <c r="AF30" s="5">
        <v>118.15428891089999</v>
      </c>
      <c r="AG30" s="5">
        <v>115.11080516480099</v>
      </c>
      <c r="AI30" s="3">
        <v>41000</v>
      </c>
      <c r="AJ30" s="5">
        <v>10.477260317991099</v>
      </c>
      <c r="AK30" s="5">
        <v>13.1432510859491</v>
      </c>
    </row>
    <row r="31" spans="1:37" x14ac:dyDescent="0.25">
      <c r="A31" t="s">
        <v>12</v>
      </c>
      <c r="B31" s="1">
        <v>35309</v>
      </c>
      <c r="C31">
        <v>72068</v>
      </c>
      <c r="D31">
        <v>279116219901</v>
      </c>
      <c r="E31">
        <v>117.092865038168</v>
      </c>
      <c r="G31" s="3">
        <v>40969</v>
      </c>
      <c r="H31" s="5">
        <v>14.27617773925</v>
      </c>
      <c r="U31" t="s">
        <v>12</v>
      </c>
      <c r="V31" s="1">
        <v>35309</v>
      </c>
      <c r="W31">
        <v>72068</v>
      </c>
      <c r="X31">
        <v>279116219901</v>
      </c>
      <c r="Y31">
        <v>113.98107923073501</v>
      </c>
      <c r="AA31" s="3">
        <v>40969</v>
      </c>
      <c r="AB31" s="5">
        <v>11.433356919226901</v>
      </c>
      <c r="AE31" s="3">
        <v>35309</v>
      </c>
      <c r="AF31" s="5">
        <v>117.092865038168</v>
      </c>
      <c r="AG31" s="5">
        <v>113.98107923073501</v>
      </c>
      <c r="AI31" s="3">
        <v>41030</v>
      </c>
      <c r="AJ31" s="5">
        <v>9.6782593393960905</v>
      </c>
      <c r="AK31" s="5">
        <v>12.3094164620495</v>
      </c>
    </row>
    <row r="32" spans="1:37" x14ac:dyDescent="0.25">
      <c r="A32" t="s">
        <v>12</v>
      </c>
      <c r="B32" s="1">
        <v>35339</v>
      </c>
      <c r="C32">
        <v>72680</v>
      </c>
      <c r="D32">
        <v>282696691198.75</v>
      </c>
      <c r="E32">
        <v>115.50644734110401</v>
      </c>
      <c r="G32" s="3">
        <v>41000</v>
      </c>
      <c r="H32" s="5">
        <v>13.1432510859491</v>
      </c>
      <c r="U32" t="s">
        <v>12</v>
      </c>
      <c r="V32" s="1">
        <v>35339</v>
      </c>
      <c r="W32">
        <v>72680</v>
      </c>
      <c r="X32">
        <v>282696691198.75</v>
      </c>
      <c r="Y32">
        <v>112.377098223855</v>
      </c>
      <c r="AA32" s="3">
        <v>41000</v>
      </c>
      <c r="AB32" s="5">
        <v>10.477260317991099</v>
      </c>
      <c r="AE32" s="3">
        <v>35339</v>
      </c>
      <c r="AF32" s="5">
        <v>115.50644734110401</v>
      </c>
      <c r="AG32" s="5">
        <v>112.377098223855</v>
      </c>
      <c r="AI32" s="3">
        <v>41061</v>
      </c>
      <c r="AJ32" s="5">
        <v>9.3168821806495199</v>
      </c>
      <c r="AK32" s="5">
        <v>12.0094890209967</v>
      </c>
    </row>
    <row r="33" spans="1:39" x14ac:dyDescent="0.25">
      <c r="A33" t="s">
        <v>12</v>
      </c>
      <c r="B33" s="1">
        <v>35370</v>
      </c>
      <c r="C33">
        <v>73401</v>
      </c>
      <c r="D33">
        <v>286599324454.46997</v>
      </c>
      <c r="E33">
        <v>114.944005021509</v>
      </c>
      <c r="G33" s="3">
        <v>41030</v>
      </c>
      <c r="H33" s="5">
        <v>12.3094164620495</v>
      </c>
      <c r="U33" t="s">
        <v>12</v>
      </c>
      <c r="V33" s="1">
        <v>35370</v>
      </c>
      <c r="W33">
        <v>73401</v>
      </c>
      <c r="X33">
        <v>286599324454.46997</v>
      </c>
      <c r="Y33">
        <v>111.728073542286</v>
      </c>
      <c r="AA33" s="3">
        <v>41030</v>
      </c>
      <c r="AB33" s="5">
        <v>9.6782593393960905</v>
      </c>
      <c r="AE33" s="3">
        <v>35370</v>
      </c>
      <c r="AF33" s="5">
        <v>114.944005021509</v>
      </c>
      <c r="AG33" s="5">
        <v>111.728073542286</v>
      </c>
      <c r="AI33" s="3">
        <v>41091</v>
      </c>
      <c r="AJ33" s="5">
        <v>11.1506027427496</v>
      </c>
      <c r="AK33" s="5">
        <v>13.870116940774</v>
      </c>
    </row>
    <row r="34" spans="1:39" x14ac:dyDescent="0.25">
      <c r="A34" t="s">
        <v>12</v>
      </c>
      <c r="B34" s="1">
        <v>35400</v>
      </c>
      <c r="C34">
        <v>74137</v>
      </c>
      <c r="D34">
        <v>289245055308.17999</v>
      </c>
      <c r="E34">
        <v>116.510912602308</v>
      </c>
      <c r="G34" s="3">
        <v>41061</v>
      </c>
      <c r="H34" s="5">
        <v>12.0094890209967</v>
      </c>
      <c r="U34" t="s">
        <v>12</v>
      </c>
      <c r="V34" s="1">
        <v>35400</v>
      </c>
      <c r="W34">
        <v>74137</v>
      </c>
      <c r="X34">
        <v>289245055308.17999</v>
      </c>
      <c r="Y34">
        <v>113.046566284851</v>
      </c>
      <c r="AA34" s="3">
        <v>41061</v>
      </c>
      <c r="AB34" s="5">
        <v>9.3168821806495199</v>
      </c>
      <c r="AE34" s="3">
        <v>35400</v>
      </c>
      <c r="AF34" s="5">
        <v>116.510912602308</v>
      </c>
      <c r="AG34" s="5">
        <v>113.046566284851</v>
      </c>
      <c r="AI34" s="3">
        <v>41122</v>
      </c>
      <c r="AJ34" s="5">
        <v>11.0996924141016</v>
      </c>
      <c r="AK34" s="5">
        <v>14.047496939410699</v>
      </c>
    </row>
    <row r="35" spans="1:39" x14ac:dyDescent="0.25">
      <c r="A35" t="s">
        <v>12</v>
      </c>
      <c r="B35" s="1">
        <v>35490</v>
      </c>
      <c r="C35">
        <v>76146</v>
      </c>
      <c r="D35">
        <v>305558806072.76001</v>
      </c>
      <c r="E35">
        <v>110.346511039988</v>
      </c>
      <c r="G35" s="3">
        <v>41091</v>
      </c>
      <c r="H35" s="5">
        <v>13.870116940774</v>
      </c>
      <c r="U35" t="s">
        <v>12</v>
      </c>
      <c r="V35" s="1">
        <v>35490</v>
      </c>
      <c r="W35">
        <v>76146</v>
      </c>
      <c r="X35">
        <v>305558806072.76001</v>
      </c>
      <c r="Y35">
        <v>106.811535064571</v>
      </c>
      <c r="AA35" s="3">
        <v>41091</v>
      </c>
      <c r="AB35" s="5">
        <v>11.1506027427496</v>
      </c>
      <c r="AE35" s="3">
        <v>35490</v>
      </c>
      <c r="AF35" s="5">
        <v>110.346511039988</v>
      </c>
      <c r="AG35" s="5">
        <v>106.811535064571</v>
      </c>
      <c r="AI35" s="3">
        <v>41153</v>
      </c>
      <c r="AJ35" s="5">
        <v>11.1201143188073</v>
      </c>
      <c r="AK35" s="5">
        <v>14.2073139090921</v>
      </c>
    </row>
    <row r="36" spans="1:39" x14ac:dyDescent="0.25">
      <c r="A36" t="s">
        <v>12</v>
      </c>
      <c r="B36" s="1">
        <v>35521</v>
      </c>
      <c r="C36">
        <v>76726</v>
      </c>
      <c r="D36">
        <v>308203632776.14001</v>
      </c>
      <c r="E36">
        <v>110.267991958297</v>
      </c>
      <c r="G36" s="3">
        <v>41122</v>
      </c>
      <c r="H36" s="5">
        <v>14.047496939410699</v>
      </c>
      <c r="U36" t="s">
        <v>12</v>
      </c>
      <c r="V36" s="1">
        <v>35521</v>
      </c>
      <c r="W36">
        <v>76726</v>
      </c>
      <c r="X36">
        <v>308203632776.14001</v>
      </c>
      <c r="Y36">
        <v>106.58156622012601</v>
      </c>
      <c r="AA36" s="3">
        <v>41122</v>
      </c>
      <c r="AB36" s="5">
        <v>11.0996924141016</v>
      </c>
      <c r="AE36" s="3">
        <v>35521</v>
      </c>
      <c r="AF36" s="5">
        <v>110.267991958297</v>
      </c>
      <c r="AG36" s="5">
        <v>106.58156622012601</v>
      </c>
      <c r="AI36" s="3">
        <v>41183</v>
      </c>
      <c r="AJ36" s="5">
        <v>11.2276921834245</v>
      </c>
      <c r="AK36" s="5">
        <v>14.553131213696799</v>
      </c>
    </row>
    <row r="37" spans="1:39" x14ac:dyDescent="0.25">
      <c r="A37" t="s">
        <v>12</v>
      </c>
      <c r="B37" s="1">
        <v>35551</v>
      </c>
      <c r="C37">
        <v>77198</v>
      </c>
      <c r="D37">
        <v>310466649017.64001</v>
      </c>
      <c r="E37">
        <v>109.561817548192</v>
      </c>
      <c r="G37" s="3">
        <v>41153</v>
      </c>
      <c r="H37" s="5">
        <v>14.2073139090921</v>
      </c>
      <c r="U37" t="s">
        <v>12</v>
      </c>
      <c r="V37" s="1">
        <v>35551</v>
      </c>
      <c r="W37">
        <v>77198</v>
      </c>
      <c r="X37">
        <v>310466649017.64001</v>
      </c>
      <c r="Y37">
        <v>105.815777332387</v>
      </c>
      <c r="AA37" s="3">
        <v>41153</v>
      </c>
      <c r="AB37" s="5">
        <v>11.1201143188073</v>
      </c>
      <c r="AE37" s="3">
        <v>35551</v>
      </c>
      <c r="AF37" s="5">
        <v>109.561817548192</v>
      </c>
      <c r="AG37" s="5">
        <v>105.815777332387</v>
      </c>
      <c r="AI37" s="3">
        <v>41214</v>
      </c>
      <c r="AJ37" s="5">
        <v>11.670048504713099</v>
      </c>
      <c r="AK37" s="5">
        <v>15.3510295012335</v>
      </c>
    </row>
    <row r="38" spans="1:39" x14ac:dyDescent="0.25">
      <c r="A38" t="s">
        <v>12</v>
      </c>
      <c r="B38" s="1">
        <v>35582</v>
      </c>
      <c r="C38">
        <v>77710</v>
      </c>
      <c r="D38">
        <v>312256914058.41998</v>
      </c>
      <c r="E38">
        <v>109.496784249725</v>
      </c>
      <c r="G38" s="3">
        <v>41183</v>
      </c>
      <c r="H38" s="5">
        <v>14.553131213696799</v>
      </c>
      <c r="U38" t="s">
        <v>12</v>
      </c>
      <c r="V38" s="1">
        <v>35582</v>
      </c>
      <c r="W38">
        <v>77710</v>
      </c>
      <c r="X38">
        <v>312256914058.41998</v>
      </c>
      <c r="Y38">
        <v>105.604404917929</v>
      </c>
      <c r="AA38" s="3">
        <v>41183</v>
      </c>
      <c r="AB38" s="5">
        <v>11.2276921834245</v>
      </c>
      <c r="AE38" s="3">
        <v>35582</v>
      </c>
      <c r="AF38" s="5">
        <v>109.496784249725</v>
      </c>
      <c r="AG38" s="5">
        <v>105.604404917929</v>
      </c>
      <c r="AI38" s="3">
        <v>41244</v>
      </c>
      <c r="AJ38" s="5">
        <v>12.171441481452399</v>
      </c>
      <c r="AK38" s="5">
        <v>16.1014641108886</v>
      </c>
    </row>
    <row r="39" spans="1:39" x14ac:dyDescent="0.25">
      <c r="A39" t="s">
        <v>12</v>
      </c>
      <c r="B39" s="1">
        <v>35612</v>
      </c>
      <c r="C39">
        <v>78238</v>
      </c>
      <c r="D39">
        <v>315317531887.77002</v>
      </c>
      <c r="E39">
        <v>110.169093653071</v>
      </c>
      <c r="G39" s="3">
        <v>41214</v>
      </c>
      <c r="H39" s="5">
        <v>15.3510295012335</v>
      </c>
      <c r="U39" t="s">
        <v>12</v>
      </c>
      <c r="V39" s="1">
        <v>35612</v>
      </c>
      <c r="W39">
        <v>78238</v>
      </c>
      <c r="X39">
        <v>315317531887.77002</v>
      </c>
      <c r="Y39">
        <v>105.975002164592</v>
      </c>
      <c r="AA39" s="3">
        <v>41214</v>
      </c>
      <c r="AB39" s="5">
        <v>11.670048504713099</v>
      </c>
      <c r="AE39" s="3">
        <v>35612</v>
      </c>
      <c r="AF39" s="5">
        <v>110.169093653071</v>
      </c>
      <c r="AG39" s="5">
        <v>105.975002164592</v>
      </c>
      <c r="AI39" s="3">
        <v>41275</v>
      </c>
      <c r="AJ39" s="5">
        <v>12.8433962368275</v>
      </c>
      <c r="AK39" s="5">
        <v>17.082345462050299</v>
      </c>
    </row>
    <row r="40" spans="1:39" x14ac:dyDescent="0.25">
      <c r="A40" t="s">
        <v>12</v>
      </c>
      <c r="B40" s="1">
        <v>35643</v>
      </c>
      <c r="C40">
        <v>78728</v>
      </c>
      <c r="D40">
        <v>318968926684.46997</v>
      </c>
      <c r="E40">
        <v>112.096149760087</v>
      </c>
      <c r="G40" s="3">
        <v>41244</v>
      </c>
      <c r="H40" s="5">
        <v>16.1014641108886</v>
      </c>
      <c r="U40" t="s">
        <v>12</v>
      </c>
      <c r="V40" s="1">
        <v>35643</v>
      </c>
      <c r="W40">
        <v>78728</v>
      </c>
      <c r="X40">
        <v>318968926684.46997</v>
      </c>
      <c r="Y40">
        <v>107.373284139796</v>
      </c>
      <c r="AA40" s="3">
        <v>41244</v>
      </c>
      <c r="AB40" s="5">
        <v>12.171441481452399</v>
      </c>
      <c r="AE40" s="3">
        <v>35643</v>
      </c>
      <c r="AF40" s="5">
        <v>112.096149760087</v>
      </c>
      <c r="AG40" s="5">
        <v>107.373284139796</v>
      </c>
      <c r="AI40" s="3">
        <v>41306</v>
      </c>
      <c r="AJ40" s="5">
        <v>13.7160348564295</v>
      </c>
      <c r="AK40" s="5">
        <v>18.053924266756599</v>
      </c>
    </row>
    <row r="41" spans="1:39" x14ac:dyDescent="0.25">
      <c r="A41" t="s">
        <v>12</v>
      </c>
      <c r="B41" s="1">
        <v>35674</v>
      </c>
      <c r="C41">
        <v>79279</v>
      </c>
      <c r="D41">
        <v>322889944513.82001</v>
      </c>
      <c r="E41">
        <v>113.55313712480201</v>
      </c>
      <c r="G41" s="3">
        <v>41275</v>
      </c>
      <c r="H41" s="5">
        <v>17.082345462050299</v>
      </c>
      <c r="U41" t="s">
        <v>12</v>
      </c>
      <c r="V41" s="1">
        <v>35674</v>
      </c>
      <c r="W41">
        <v>79279</v>
      </c>
      <c r="X41">
        <v>322889944513.82001</v>
      </c>
      <c r="Y41">
        <v>108.32287616411401</v>
      </c>
      <c r="AA41" s="3">
        <v>41275</v>
      </c>
      <c r="AB41" s="5">
        <v>12.8433962368275</v>
      </c>
      <c r="AE41" s="3">
        <v>35674</v>
      </c>
      <c r="AF41" s="5">
        <v>113.55313712480201</v>
      </c>
      <c r="AG41" s="5">
        <v>108.32287616411401</v>
      </c>
      <c r="AI41" s="3">
        <v>41334</v>
      </c>
      <c r="AJ41" s="5">
        <v>14.4573957343503</v>
      </c>
      <c r="AK41" s="5">
        <v>18.711541859573799</v>
      </c>
    </row>
    <row r="42" spans="1:39" x14ac:dyDescent="0.25">
      <c r="A42" t="s">
        <v>12</v>
      </c>
      <c r="B42" s="1">
        <v>35704</v>
      </c>
      <c r="C42">
        <v>79818</v>
      </c>
      <c r="D42">
        <v>326223233406.87</v>
      </c>
      <c r="E42">
        <v>115.576072211273</v>
      </c>
      <c r="G42" s="3">
        <v>41306</v>
      </c>
      <c r="H42" s="5">
        <v>18.053924266756599</v>
      </c>
      <c r="U42" t="s">
        <v>12</v>
      </c>
      <c r="V42" s="1">
        <v>35704</v>
      </c>
      <c r="W42">
        <v>79818</v>
      </c>
      <c r="X42">
        <v>326223233406.87</v>
      </c>
      <c r="Y42">
        <v>109.725811176973</v>
      </c>
      <c r="AA42" s="3">
        <v>41306</v>
      </c>
      <c r="AB42" s="5">
        <v>13.7160348564295</v>
      </c>
      <c r="AE42" s="3">
        <v>35704</v>
      </c>
      <c r="AF42" s="5">
        <v>115.576072211273</v>
      </c>
      <c r="AG42" s="5">
        <v>109.725811176973</v>
      </c>
      <c r="AI42" s="3">
        <v>41365</v>
      </c>
      <c r="AJ42" s="5">
        <v>18.644694986992299</v>
      </c>
      <c r="AK42" s="5">
        <v>22.694087251344499</v>
      </c>
    </row>
    <row r="43" spans="1:39" x14ac:dyDescent="0.25">
      <c r="A43" t="s">
        <v>12</v>
      </c>
      <c r="B43" s="1">
        <v>35735</v>
      </c>
      <c r="C43">
        <v>80470</v>
      </c>
      <c r="D43">
        <v>331462404329.59998</v>
      </c>
      <c r="E43">
        <v>117.82551503657101</v>
      </c>
      <c r="G43" s="3">
        <v>41334</v>
      </c>
      <c r="H43" s="5">
        <v>18.711541859573799</v>
      </c>
      <c r="U43" t="s">
        <v>12</v>
      </c>
      <c r="V43" s="1">
        <v>35735</v>
      </c>
      <c r="W43">
        <v>80470</v>
      </c>
      <c r="X43">
        <v>331462404329.59998</v>
      </c>
      <c r="Y43">
        <v>111.151487790414</v>
      </c>
      <c r="AA43" s="3">
        <v>41334</v>
      </c>
      <c r="AB43" s="5">
        <v>14.4573957343503</v>
      </c>
      <c r="AE43" s="3">
        <v>35735</v>
      </c>
      <c r="AF43" s="5">
        <v>117.82551503657101</v>
      </c>
      <c r="AG43" s="5">
        <v>111.151487790414</v>
      </c>
      <c r="AI43" s="3">
        <v>41395</v>
      </c>
      <c r="AJ43" s="5">
        <v>20.1596377921644</v>
      </c>
      <c r="AK43" s="5">
        <v>24.062314792280201</v>
      </c>
    </row>
    <row r="44" spans="1:39" x14ac:dyDescent="0.25">
      <c r="A44" t="s">
        <v>12</v>
      </c>
      <c r="B44" s="1">
        <v>35765</v>
      </c>
      <c r="C44">
        <v>81105</v>
      </c>
      <c r="D44">
        <v>335920440468.38</v>
      </c>
      <c r="E44">
        <v>120.97942183629399</v>
      </c>
      <c r="G44" s="3">
        <v>41365</v>
      </c>
      <c r="H44" s="5">
        <v>22.694087251344499</v>
      </c>
      <c r="U44" t="s">
        <v>12</v>
      </c>
      <c r="V44" s="1">
        <v>35765</v>
      </c>
      <c r="W44">
        <v>81105</v>
      </c>
      <c r="X44">
        <v>335920440468.38</v>
      </c>
      <c r="Y44">
        <v>113.322066718155</v>
      </c>
      <c r="AA44" s="3">
        <v>41365</v>
      </c>
      <c r="AB44" s="5">
        <v>18.644694986992299</v>
      </c>
      <c r="AE44" s="3">
        <v>35765</v>
      </c>
      <c r="AF44" s="5">
        <v>120.97942183629399</v>
      </c>
      <c r="AG44" s="5">
        <v>113.322066718155</v>
      </c>
      <c r="AI44" s="3">
        <v>41426</v>
      </c>
      <c r="AJ44" s="5">
        <v>22.052160718516301</v>
      </c>
      <c r="AK44" s="5">
        <v>25.745123971811601</v>
      </c>
    </row>
    <row r="45" spans="1:39" x14ac:dyDescent="0.25">
      <c r="A45" t="s">
        <v>12</v>
      </c>
      <c r="B45" s="1">
        <v>35796</v>
      </c>
      <c r="C45">
        <v>81826</v>
      </c>
      <c r="D45">
        <v>341078292801.59998</v>
      </c>
      <c r="E45">
        <v>124.52219833617301</v>
      </c>
      <c r="G45" s="3">
        <v>41395</v>
      </c>
      <c r="H45" s="5">
        <v>24.062314792280201</v>
      </c>
      <c r="U45" t="s">
        <v>12</v>
      </c>
      <c r="V45" s="1">
        <v>35796</v>
      </c>
      <c r="W45">
        <v>81826</v>
      </c>
      <c r="X45">
        <v>341078292801.59998</v>
      </c>
      <c r="Y45">
        <v>115.713666005742</v>
      </c>
      <c r="AA45" s="3">
        <v>41395</v>
      </c>
      <c r="AB45" s="5">
        <v>20.1596377921644</v>
      </c>
      <c r="AE45" s="3">
        <v>35796</v>
      </c>
      <c r="AF45" s="5">
        <v>124.52219833617301</v>
      </c>
      <c r="AG45" s="5">
        <v>115.713666005742</v>
      </c>
      <c r="AI45" s="3">
        <v>41456</v>
      </c>
      <c r="AJ45" s="5">
        <v>22.366702545936999</v>
      </c>
      <c r="AK45" s="5">
        <v>25.846635559731901</v>
      </c>
    </row>
    <row r="46" spans="1:39" x14ac:dyDescent="0.25">
      <c r="A46" t="s">
        <v>12</v>
      </c>
      <c r="B46" s="1">
        <v>35827</v>
      </c>
      <c r="C46">
        <v>82571</v>
      </c>
      <c r="D46">
        <v>342377531652.5</v>
      </c>
      <c r="E46">
        <v>131.45641940396999</v>
      </c>
      <c r="G46" s="3">
        <v>41426</v>
      </c>
      <c r="H46" s="5">
        <v>25.745123971811601</v>
      </c>
      <c r="U46" t="s">
        <v>12</v>
      </c>
      <c r="V46" s="1">
        <v>35827</v>
      </c>
      <c r="W46">
        <v>82571</v>
      </c>
      <c r="X46">
        <v>342377531652.5</v>
      </c>
      <c r="Y46">
        <v>120.963903050448</v>
      </c>
      <c r="AA46" s="3">
        <v>41426</v>
      </c>
      <c r="AB46" s="5">
        <v>22.052160718516301</v>
      </c>
      <c r="AE46" s="3">
        <v>35827</v>
      </c>
      <c r="AF46" s="5">
        <v>131.45641940396999</v>
      </c>
      <c r="AG46" s="5">
        <v>120.963903050448</v>
      </c>
      <c r="AI46" s="3">
        <v>41487</v>
      </c>
      <c r="AJ46" s="5">
        <v>22.310220851696201</v>
      </c>
      <c r="AK46" s="5">
        <v>25.6207576308441</v>
      </c>
    </row>
    <row r="47" spans="1:39" x14ac:dyDescent="0.25">
      <c r="A47" t="s">
        <v>12</v>
      </c>
      <c r="B47" s="1">
        <v>35855</v>
      </c>
      <c r="C47">
        <v>83367</v>
      </c>
      <c r="D47">
        <v>347235598262.58002</v>
      </c>
      <c r="E47">
        <v>136.795559521748</v>
      </c>
      <c r="G47" s="3">
        <v>41456</v>
      </c>
      <c r="H47" s="5">
        <v>25.846635559731901</v>
      </c>
      <c r="U47" t="s">
        <v>12</v>
      </c>
      <c r="V47" s="1">
        <v>35855</v>
      </c>
      <c r="W47">
        <v>83367</v>
      </c>
      <c r="X47">
        <v>347235598262.58002</v>
      </c>
      <c r="Y47">
        <v>124.748842364672</v>
      </c>
      <c r="AA47" s="3">
        <v>41456</v>
      </c>
      <c r="AB47" s="5">
        <v>22.366702545936999</v>
      </c>
      <c r="AE47" s="3">
        <v>35855</v>
      </c>
      <c r="AF47" s="5">
        <v>136.795559521748</v>
      </c>
      <c r="AG47" s="5">
        <v>124.748842364672</v>
      </c>
      <c r="AI47" s="3">
        <v>41518</v>
      </c>
      <c r="AJ47" s="5">
        <v>22.282471229704399</v>
      </c>
      <c r="AK47" s="5">
        <v>25.460693289497101</v>
      </c>
    </row>
    <row r="48" spans="1:39" x14ac:dyDescent="0.25">
      <c r="A48" t="s">
        <v>12</v>
      </c>
      <c r="B48" s="1">
        <v>35886</v>
      </c>
      <c r="C48">
        <v>84285</v>
      </c>
      <c r="D48">
        <v>356844623340.15997</v>
      </c>
      <c r="E48">
        <v>137.90437843970301</v>
      </c>
      <c r="G48" s="3">
        <v>41487</v>
      </c>
      <c r="H48" s="5">
        <v>25.6207576308441</v>
      </c>
      <c r="U48" t="s">
        <v>12</v>
      </c>
      <c r="V48" s="1">
        <v>35886</v>
      </c>
      <c r="W48">
        <v>84285</v>
      </c>
      <c r="X48">
        <v>356844623340.15997</v>
      </c>
      <c r="Y48">
        <v>124.873654508049</v>
      </c>
      <c r="AA48" s="3">
        <v>41487</v>
      </c>
      <c r="AB48" s="5">
        <v>22.310220851696201</v>
      </c>
      <c r="AE48" s="3">
        <v>35886</v>
      </c>
      <c r="AF48" s="5">
        <v>137.90437843970301</v>
      </c>
      <c r="AG48" s="5">
        <v>124.873654508049</v>
      </c>
      <c r="AI48" s="3">
        <v>41548</v>
      </c>
      <c r="AJ48" s="5">
        <v>22.314512778277301</v>
      </c>
      <c r="AK48" s="5">
        <v>25.388491260989099</v>
      </c>
      <c r="AM48">
        <v>3574860</v>
      </c>
    </row>
    <row r="49" spans="1:40" x14ac:dyDescent="0.25">
      <c r="A49" t="s">
        <v>12</v>
      </c>
      <c r="B49" s="1">
        <v>35916</v>
      </c>
      <c r="C49">
        <v>85347</v>
      </c>
      <c r="D49">
        <v>363989269831.03998</v>
      </c>
      <c r="E49">
        <v>137.62607658271401</v>
      </c>
      <c r="G49" s="3">
        <v>41518</v>
      </c>
      <c r="H49" s="5">
        <v>25.460693289497101</v>
      </c>
      <c r="U49" t="s">
        <v>12</v>
      </c>
      <c r="V49" s="1">
        <v>35916</v>
      </c>
      <c r="W49">
        <v>85347</v>
      </c>
      <c r="X49">
        <v>363989269831.03998</v>
      </c>
      <c r="Y49">
        <v>123.768555160582</v>
      </c>
      <c r="AA49" s="3">
        <v>41518</v>
      </c>
      <c r="AB49" s="5">
        <v>22.282471229704399</v>
      </c>
      <c r="AE49" s="3">
        <v>35916</v>
      </c>
      <c r="AF49" s="5">
        <v>137.62607658271401</v>
      </c>
      <c r="AG49" s="5">
        <v>123.768555160582</v>
      </c>
      <c r="AI49" s="3">
        <v>41579</v>
      </c>
      <c r="AJ49" s="5">
        <v>23.171148707512302</v>
      </c>
      <c r="AK49" s="5">
        <v>26.104351991233099</v>
      </c>
    </row>
    <row r="50" spans="1:40" x14ac:dyDescent="0.25">
      <c r="A50" t="s">
        <v>12</v>
      </c>
      <c r="B50" s="1">
        <v>35947</v>
      </c>
      <c r="C50">
        <v>86333</v>
      </c>
      <c r="D50">
        <v>369967952529.34998</v>
      </c>
      <c r="E50">
        <v>137.199329846198</v>
      </c>
      <c r="G50" s="3">
        <v>41548</v>
      </c>
      <c r="H50" s="5">
        <v>25.388491260989099</v>
      </c>
      <c r="U50" t="s">
        <v>12</v>
      </c>
      <c r="V50" s="1">
        <v>35947</v>
      </c>
      <c r="W50">
        <v>86333</v>
      </c>
      <c r="X50">
        <v>369967952529.34998</v>
      </c>
      <c r="Y50">
        <v>122.449490559195</v>
      </c>
      <c r="AA50" s="3">
        <v>41548</v>
      </c>
      <c r="AB50" s="5">
        <v>22.314512778277301</v>
      </c>
      <c r="AE50" s="3">
        <v>35947</v>
      </c>
      <c r="AF50" s="5">
        <v>137.199329846198</v>
      </c>
      <c r="AG50" s="5">
        <v>122.449490559195</v>
      </c>
      <c r="AI50" s="3">
        <v>41609</v>
      </c>
      <c r="AJ50" s="5">
        <v>25.1821082855406</v>
      </c>
      <c r="AK50" s="5">
        <v>28.0016202904221</v>
      </c>
      <c r="AM50" s="6">
        <f>AM51*100</f>
        <v>14700000</v>
      </c>
    </row>
    <row r="51" spans="1:40" x14ac:dyDescent="0.25">
      <c r="A51" t="s">
        <v>12</v>
      </c>
      <c r="B51" s="1">
        <v>35977</v>
      </c>
      <c r="C51">
        <v>87205</v>
      </c>
      <c r="D51">
        <v>377339687889.40997</v>
      </c>
      <c r="E51">
        <v>138.63479646786601</v>
      </c>
      <c r="G51" s="3">
        <v>41579</v>
      </c>
      <c r="H51" s="5">
        <v>26.104351991233099</v>
      </c>
      <c r="U51" t="s">
        <v>12</v>
      </c>
      <c r="V51" s="1">
        <v>35977</v>
      </c>
      <c r="W51">
        <v>87205</v>
      </c>
      <c r="X51">
        <v>377339687889.40997</v>
      </c>
      <c r="Y51">
        <v>122.619513214699</v>
      </c>
      <c r="AA51" s="3">
        <v>41579</v>
      </c>
      <c r="AB51" s="5">
        <v>23.171148707512302</v>
      </c>
      <c r="AE51" s="3">
        <v>35977</v>
      </c>
      <c r="AF51" s="5">
        <v>138.63479646786601</v>
      </c>
      <c r="AG51" s="5">
        <v>122.619513214699</v>
      </c>
      <c r="AI51" s="3">
        <v>41640</v>
      </c>
      <c r="AJ51" s="5">
        <v>25.528937634929701</v>
      </c>
      <c r="AK51" s="5">
        <v>28.2706165205716</v>
      </c>
      <c r="AM51">
        <v>147000</v>
      </c>
    </row>
    <row r="52" spans="1:40" x14ac:dyDescent="0.25">
      <c r="A52" t="s">
        <v>12</v>
      </c>
      <c r="B52" s="1">
        <v>36008</v>
      </c>
      <c r="C52">
        <v>88347</v>
      </c>
      <c r="D52">
        <v>386367453157.35999</v>
      </c>
      <c r="E52">
        <v>140.24654298033801</v>
      </c>
      <c r="G52" s="3">
        <v>41609</v>
      </c>
      <c r="H52" s="5">
        <v>28.0016202904221</v>
      </c>
      <c r="U52" t="s">
        <v>12</v>
      </c>
      <c r="V52" s="1">
        <v>36008</v>
      </c>
      <c r="W52">
        <v>88347</v>
      </c>
      <c r="X52">
        <v>386367453157.35999</v>
      </c>
      <c r="Y52">
        <v>122.937958270274</v>
      </c>
      <c r="AA52" s="3">
        <v>41609</v>
      </c>
      <c r="AB52" s="5">
        <v>25.1821082855406</v>
      </c>
      <c r="AE52" s="3">
        <v>36008</v>
      </c>
      <c r="AF52" s="5">
        <v>140.24654298033801</v>
      </c>
      <c r="AG52" s="5">
        <v>122.937958270274</v>
      </c>
      <c r="AI52" s="3">
        <v>41671</v>
      </c>
      <c r="AJ52" s="5">
        <v>25.8721270851496</v>
      </c>
      <c r="AK52" s="5">
        <v>28.530449846843101</v>
      </c>
      <c r="AM52" s="6">
        <f>AM51*150</f>
        <v>22050000</v>
      </c>
    </row>
    <row r="53" spans="1:40" x14ac:dyDescent="0.25">
      <c r="A53" t="s">
        <v>12</v>
      </c>
      <c r="B53" s="1">
        <v>36039</v>
      </c>
      <c r="C53">
        <v>89353</v>
      </c>
      <c r="D53">
        <v>391655603963.95001</v>
      </c>
      <c r="E53">
        <v>143.13299549912099</v>
      </c>
      <c r="G53" s="3">
        <v>41640</v>
      </c>
      <c r="H53" s="5">
        <v>28.2706165205716</v>
      </c>
      <c r="U53" t="s">
        <v>12</v>
      </c>
      <c r="V53" s="1">
        <v>36039</v>
      </c>
      <c r="W53">
        <v>89353</v>
      </c>
      <c r="X53">
        <v>391655603963.95001</v>
      </c>
      <c r="Y53">
        <v>124.36769757394001</v>
      </c>
      <c r="AA53" s="3">
        <v>41640</v>
      </c>
      <c r="AB53" s="5">
        <v>25.528937634929701</v>
      </c>
      <c r="AE53" s="3">
        <v>36039</v>
      </c>
      <c r="AF53" s="5">
        <v>143.13299549912099</v>
      </c>
      <c r="AG53" s="5">
        <v>124.36769757394001</v>
      </c>
      <c r="AI53" s="3">
        <v>41699</v>
      </c>
      <c r="AJ53" s="5">
        <v>26.5593554467643</v>
      </c>
      <c r="AK53" s="5">
        <v>29.126171784128498</v>
      </c>
    </row>
    <row r="54" spans="1:40" x14ac:dyDescent="0.25">
      <c r="A54" t="s">
        <v>12</v>
      </c>
      <c r="B54" s="1">
        <v>36069</v>
      </c>
      <c r="C54">
        <v>90394</v>
      </c>
      <c r="D54">
        <v>395905188008.88</v>
      </c>
      <c r="E54">
        <v>148.92795279742401</v>
      </c>
      <c r="G54" s="3">
        <v>41671</v>
      </c>
      <c r="H54" s="5">
        <v>28.530449846843101</v>
      </c>
      <c r="U54" t="s">
        <v>12</v>
      </c>
      <c r="V54" s="1">
        <v>36069</v>
      </c>
      <c r="W54">
        <v>90394</v>
      </c>
      <c r="X54">
        <v>395905188008.88</v>
      </c>
      <c r="Y54">
        <v>128.09009301328601</v>
      </c>
      <c r="AA54" s="3">
        <v>41671</v>
      </c>
      <c r="AB54" s="5">
        <v>25.8721270851496</v>
      </c>
      <c r="AE54" s="3">
        <v>36069</v>
      </c>
      <c r="AF54" s="5">
        <v>148.92795279742401</v>
      </c>
      <c r="AG54" s="5">
        <v>128.09009301328601</v>
      </c>
      <c r="AI54" s="3">
        <v>41730</v>
      </c>
      <c r="AJ54" s="5">
        <v>27.2455544825497</v>
      </c>
      <c r="AK54" s="5">
        <v>29.7170672796451</v>
      </c>
    </row>
    <row r="55" spans="1:40" x14ac:dyDescent="0.25">
      <c r="A55" t="s">
        <v>12</v>
      </c>
      <c r="B55" s="1">
        <v>36100</v>
      </c>
      <c r="C55">
        <v>91404</v>
      </c>
      <c r="D55">
        <v>405477226088.94</v>
      </c>
      <c r="E55">
        <v>152.633519949277</v>
      </c>
      <c r="G55" s="3">
        <v>41699</v>
      </c>
      <c r="H55" s="5">
        <v>29.126171784128498</v>
      </c>
      <c r="U55" t="s">
        <v>12</v>
      </c>
      <c r="V55" s="1">
        <v>36100</v>
      </c>
      <c r="W55">
        <v>91404</v>
      </c>
      <c r="X55">
        <v>405477226088.94</v>
      </c>
      <c r="Y55">
        <v>130.00716538370401</v>
      </c>
      <c r="AA55" s="3">
        <v>41699</v>
      </c>
      <c r="AB55" s="5">
        <v>26.5593554467643</v>
      </c>
      <c r="AE55" s="3">
        <v>36100</v>
      </c>
      <c r="AF55" s="5">
        <v>152.633519949277</v>
      </c>
      <c r="AG55" s="5">
        <v>130.00716538370401</v>
      </c>
      <c r="AI55" s="3">
        <v>41760</v>
      </c>
      <c r="AJ55" s="5">
        <v>28.090606167894201</v>
      </c>
      <c r="AK55" s="5">
        <v>30.470501192258901</v>
      </c>
    </row>
    <row r="56" spans="1:40" x14ac:dyDescent="0.25">
      <c r="A56" t="s">
        <v>12</v>
      </c>
      <c r="B56" s="1">
        <v>36130</v>
      </c>
      <c r="C56">
        <v>92421</v>
      </c>
      <c r="D56">
        <v>415987868538.75</v>
      </c>
      <c r="E56">
        <v>152.419785145948</v>
      </c>
      <c r="G56" s="3">
        <v>41730</v>
      </c>
      <c r="H56" s="5">
        <v>29.7170672796451</v>
      </c>
      <c r="U56" t="s">
        <v>12</v>
      </c>
      <c r="V56" s="1">
        <v>36130</v>
      </c>
      <c r="W56">
        <v>92421</v>
      </c>
      <c r="X56">
        <v>415987868538.75</v>
      </c>
      <c r="Y56">
        <v>128.85590587937099</v>
      </c>
      <c r="AA56" s="3">
        <v>41730</v>
      </c>
      <c r="AB56" s="5">
        <v>27.2455544825497</v>
      </c>
      <c r="AE56" s="3">
        <v>36130</v>
      </c>
      <c r="AF56" s="5">
        <v>152.419785145948</v>
      </c>
      <c r="AG56" s="5">
        <v>128.85590587937099</v>
      </c>
      <c r="AI56" s="3">
        <v>41791</v>
      </c>
      <c r="AJ56" s="5">
        <v>29.659581908848001</v>
      </c>
      <c r="AK56" s="5">
        <v>31.9185082540655</v>
      </c>
      <c r="AM56" s="6">
        <v>773697</v>
      </c>
    </row>
    <row r="57" spans="1:40" x14ac:dyDescent="0.25">
      <c r="A57" t="s">
        <v>12</v>
      </c>
      <c r="B57" s="1">
        <v>36161</v>
      </c>
      <c r="C57">
        <v>93582</v>
      </c>
      <c r="D57">
        <v>423029711253.54999</v>
      </c>
      <c r="E57">
        <v>153.51673971357999</v>
      </c>
      <c r="G57" s="3">
        <v>41760</v>
      </c>
      <c r="H57" s="5">
        <v>30.470501192258901</v>
      </c>
      <c r="U57" t="s">
        <v>12</v>
      </c>
      <c r="V57" s="1">
        <v>36161</v>
      </c>
      <c r="W57">
        <v>93582</v>
      </c>
      <c r="X57">
        <v>423029711253.54999</v>
      </c>
      <c r="Y57">
        <v>128.83128881637899</v>
      </c>
      <c r="AA57" s="3">
        <v>41760</v>
      </c>
      <c r="AB57" s="5">
        <v>28.090606167894201</v>
      </c>
      <c r="AE57" s="3">
        <v>36161</v>
      </c>
      <c r="AF57" s="5">
        <v>153.51673971357999</v>
      </c>
      <c r="AG57" s="5">
        <v>128.83128881637899</v>
      </c>
      <c r="AI57" s="3">
        <v>41821</v>
      </c>
      <c r="AJ57" s="5">
        <v>31.409324347051001</v>
      </c>
      <c r="AK57" s="5">
        <v>33.538792078762903</v>
      </c>
      <c r="AM57" s="6">
        <v>3574860</v>
      </c>
      <c r="AN57" s="7">
        <f>AM56/AM57</f>
        <v>0.21642721673016566</v>
      </c>
    </row>
    <row r="58" spans="1:40" x14ac:dyDescent="0.25">
      <c r="A58" t="s">
        <v>12</v>
      </c>
      <c r="B58" s="1">
        <v>36192</v>
      </c>
      <c r="C58">
        <v>94621</v>
      </c>
      <c r="D58">
        <v>428789332116.60999</v>
      </c>
      <c r="E58">
        <v>153.20913172776901</v>
      </c>
      <c r="G58" s="3">
        <v>41791</v>
      </c>
      <c r="H58" s="5">
        <v>31.9185082540655</v>
      </c>
      <c r="U58" t="s">
        <v>12</v>
      </c>
      <c r="V58" s="1">
        <v>36192</v>
      </c>
      <c r="W58">
        <v>94621</v>
      </c>
      <c r="X58">
        <v>428789332116.60999</v>
      </c>
      <c r="Y58">
        <v>127.593900116656</v>
      </c>
      <c r="AA58" s="3">
        <v>41791</v>
      </c>
      <c r="AB58" s="5">
        <v>29.659581908848001</v>
      </c>
      <c r="AE58" s="3">
        <v>36192</v>
      </c>
      <c r="AF58" s="5">
        <v>153.20913172776901</v>
      </c>
      <c r="AG58" s="5">
        <v>127.593900116656</v>
      </c>
      <c r="AI58" s="3">
        <v>41852</v>
      </c>
      <c r="AJ58" s="5">
        <v>33.316267605425601</v>
      </c>
      <c r="AK58" s="5">
        <v>35.315271854528199</v>
      </c>
    </row>
    <row r="59" spans="1:40" x14ac:dyDescent="0.25">
      <c r="A59" t="s">
        <v>12</v>
      </c>
      <c r="B59" s="1">
        <v>36220</v>
      </c>
      <c r="C59">
        <v>95673</v>
      </c>
      <c r="D59">
        <v>435071002275.32001</v>
      </c>
      <c r="E59">
        <v>152.57972212448999</v>
      </c>
      <c r="G59" s="3">
        <v>41821</v>
      </c>
      <c r="H59" s="5">
        <v>33.538792078762903</v>
      </c>
      <c r="U59" t="s">
        <v>12</v>
      </c>
      <c r="V59" s="1">
        <v>36220</v>
      </c>
      <c r="W59">
        <v>95673</v>
      </c>
      <c r="X59">
        <v>435071002275.32001</v>
      </c>
      <c r="Y59">
        <v>126.133819748504</v>
      </c>
      <c r="AA59" s="3">
        <v>41821</v>
      </c>
      <c r="AB59" s="5">
        <v>31.409324347051001</v>
      </c>
      <c r="AE59" s="3">
        <v>36220</v>
      </c>
      <c r="AF59" s="5">
        <v>152.57972212448999</v>
      </c>
      <c r="AG59" s="5">
        <v>126.133819748504</v>
      </c>
      <c r="AI59" s="3">
        <v>41883</v>
      </c>
      <c r="AJ59" s="5">
        <v>35.384918902620598</v>
      </c>
      <c r="AK59" s="5">
        <v>37.2393220738549</v>
      </c>
    </row>
    <row r="60" spans="1:40" x14ac:dyDescent="0.25">
      <c r="A60" t="s">
        <v>12</v>
      </c>
      <c r="B60" s="1">
        <v>36251</v>
      </c>
      <c r="C60">
        <v>96985</v>
      </c>
      <c r="D60">
        <v>445844508849.51001</v>
      </c>
      <c r="E60">
        <v>149.32753454951799</v>
      </c>
      <c r="G60" s="3">
        <v>41852</v>
      </c>
      <c r="H60" s="5">
        <v>35.315271854528199</v>
      </c>
      <c r="U60" t="s">
        <v>12</v>
      </c>
      <c r="V60" s="1">
        <v>36251</v>
      </c>
      <c r="W60">
        <v>96985</v>
      </c>
      <c r="X60">
        <v>445844508849.51001</v>
      </c>
      <c r="Y60">
        <v>122.767130407889</v>
      </c>
      <c r="AA60" s="3">
        <v>41852</v>
      </c>
      <c r="AB60" s="5">
        <v>33.316267605425601</v>
      </c>
      <c r="AE60" s="3">
        <v>36251</v>
      </c>
      <c r="AF60" s="5">
        <v>149.32753454951799</v>
      </c>
      <c r="AG60" s="5">
        <v>122.767130407889</v>
      </c>
      <c r="AI60" s="3">
        <v>41913</v>
      </c>
      <c r="AJ60" s="5">
        <v>37.309648789492599</v>
      </c>
      <c r="AK60" s="5">
        <v>39.033590206259802</v>
      </c>
    </row>
    <row r="61" spans="1:40" x14ac:dyDescent="0.25">
      <c r="A61" t="s">
        <v>12</v>
      </c>
      <c r="B61" s="1">
        <v>36281</v>
      </c>
      <c r="C61">
        <v>98319</v>
      </c>
      <c r="D61">
        <v>454861367864.41998</v>
      </c>
      <c r="E61">
        <v>147.57084878156499</v>
      </c>
      <c r="G61" s="3">
        <v>41883</v>
      </c>
      <c r="H61" s="5">
        <v>37.2393220738549</v>
      </c>
      <c r="U61" t="s">
        <v>12</v>
      </c>
      <c r="V61" s="1">
        <v>36281</v>
      </c>
      <c r="W61">
        <v>98319</v>
      </c>
      <c r="X61">
        <v>454861367864.41998</v>
      </c>
      <c r="Y61">
        <v>120.586085304837</v>
      </c>
      <c r="AA61" s="3">
        <v>41883</v>
      </c>
      <c r="AB61" s="5">
        <v>35.384918902620598</v>
      </c>
      <c r="AE61" s="3">
        <v>36281</v>
      </c>
      <c r="AF61" s="5">
        <v>147.57084878156499</v>
      </c>
      <c r="AG61" s="5">
        <v>120.586085304837</v>
      </c>
      <c r="AI61" s="3">
        <v>41944</v>
      </c>
      <c r="AJ61" s="5">
        <v>39.766729639748</v>
      </c>
      <c r="AK61" s="5">
        <v>41.334032059073898</v>
      </c>
    </row>
    <row r="62" spans="1:40" x14ac:dyDescent="0.25">
      <c r="A62" t="s">
        <v>12</v>
      </c>
      <c r="B62" s="1">
        <v>36312</v>
      </c>
      <c r="C62">
        <v>99372</v>
      </c>
      <c r="D62">
        <v>462596813374.56</v>
      </c>
      <c r="E62">
        <v>144.128230852283</v>
      </c>
      <c r="G62" s="3">
        <v>41913</v>
      </c>
      <c r="H62" s="5">
        <v>39.033590206259802</v>
      </c>
      <c r="U62" t="s">
        <v>12</v>
      </c>
      <c r="V62" s="1">
        <v>36312</v>
      </c>
      <c r="W62">
        <v>99372</v>
      </c>
      <c r="X62">
        <v>462596813374.56</v>
      </c>
      <c r="Y62">
        <v>117.19438650965</v>
      </c>
      <c r="AA62" s="3">
        <v>41913</v>
      </c>
      <c r="AB62" s="5">
        <v>37.309648789492599</v>
      </c>
      <c r="AE62" s="3">
        <v>36312</v>
      </c>
      <c r="AF62" s="5">
        <v>144.128230852283</v>
      </c>
      <c r="AG62" s="5">
        <v>117.19438650965</v>
      </c>
      <c r="AI62" s="3">
        <v>41974</v>
      </c>
      <c r="AJ62" s="5">
        <v>42.387614649660499</v>
      </c>
      <c r="AK62" s="5">
        <v>43.800109159129804</v>
      </c>
    </row>
    <row r="63" spans="1:40" x14ac:dyDescent="0.25">
      <c r="A63" t="s">
        <v>12</v>
      </c>
      <c r="B63" s="1">
        <v>36342</v>
      </c>
      <c r="C63">
        <v>100290</v>
      </c>
      <c r="D63">
        <v>469015767726</v>
      </c>
      <c r="E63">
        <v>139.84931282612499</v>
      </c>
      <c r="G63" s="3">
        <v>41944</v>
      </c>
      <c r="H63" s="5">
        <v>41.334032059073898</v>
      </c>
      <c r="U63" t="s">
        <v>12</v>
      </c>
      <c r="V63" s="1">
        <v>36342</v>
      </c>
      <c r="W63">
        <v>100290</v>
      </c>
      <c r="X63">
        <v>469015767726</v>
      </c>
      <c r="Y63">
        <v>113.397929777839</v>
      </c>
      <c r="AA63" s="3">
        <v>41944</v>
      </c>
      <c r="AB63" s="5">
        <v>39.766729639748</v>
      </c>
      <c r="AE63" s="3">
        <v>36342</v>
      </c>
      <c r="AF63" s="5">
        <v>139.84931282612499</v>
      </c>
      <c r="AG63" s="5">
        <v>113.397929777839</v>
      </c>
      <c r="AI63" s="3">
        <v>42005</v>
      </c>
      <c r="AJ63" s="5">
        <v>46.3099687411543</v>
      </c>
      <c r="AK63" s="5">
        <v>47.555385131562801</v>
      </c>
    </row>
    <row r="64" spans="1:40" x14ac:dyDescent="0.25">
      <c r="A64" t="s">
        <v>12</v>
      </c>
      <c r="B64" s="1">
        <v>36373</v>
      </c>
      <c r="C64">
        <v>101048</v>
      </c>
      <c r="D64">
        <v>474446604497.37</v>
      </c>
      <c r="E64">
        <v>135.91788975382499</v>
      </c>
      <c r="G64" s="3">
        <v>41974</v>
      </c>
      <c r="H64" s="5">
        <v>43.800109159129804</v>
      </c>
      <c r="U64" t="s">
        <v>12</v>
      </c>
      <c r="V64" s="1">
        <v>36373</v>
      </c>
      <c r="W64">
        <v>101048</v>
      </c>
      <c r="X64">
        <v>474446604497.37</v>
      </c>
      <c r="Y64">
        <v>109.932746106251</v>
      </c>
      <c r="AA64" s="3">
        <v>41974</v>
      </c>
      <c r="AB64" s="5">
        <v>42.387614649660499</v>
      </c>
      <c r="AE64" s="3">
        <v>36373</v>
      </c>
      <c r="AF64" s="5">
        <v>135.91788975382499</v>
      </c>
      <c r="AG64" s="5">
        <v>109.932746106251</v>
      </c>
      <c r="AI64" s="3">
        <v>42036</v>
      </c>
      <c r="AJ64" s="5">
        <v>52.373224350536901</v>
      </c>
      <c r="AK64" s="5">
        <v>52.540639665874401</v>
      </c>
    </row>
    <row r="65" spans="1:37" x14ac:dyDescent="0.25">
      <c r="A65" t="s">
        <v>12</v>
      </c>
      <c r="B65" s="1">
        <v>36404</v>
      </c>
      <c r="C65">
        <v>101791</v>
      </c>
      <c r="D65">
        <v>478953183452.09003</v>
      </c>
      <c r="E65">
        <v>132.05920712816399</v>
      </c>
      <c r="G65" s="3">
        <v>42005</v>
      </c>
      <c r="H65" s="5">
        <v>47.555385131562801</v>
      </c>
      <c r="U65" t="s">
        <v>12</v>
      </c>
      <c r="V65" s="1">
        <v>36404</v>
      </c>
      <c r="W65">
        <v>101791</v>
      </c>
      <c r="X65">
        <v>478953183452.09003</v>
      </c>
      <c r="Y65">
        <v>106.60845530112999</v>
      </c>
      <c r="AA65" s="3">
        <v>42005</v>
      </c>
      <c r="AB65" s="5">
        <v>46.3099687411543</v>
      </c>
      <c r="AE65" s="3">
        <v>36404</v>
      </c>
      <c r="AF65" s="5">
        <v>132.05920712816399</v>
      </c>
      <c r="AG65" s="5">
        <v>106.60845530112999</v>
      </c>
      <c r="AI65" s="3">
        <v>42064</v>
      </c>
      <c r="AJ65" s="5">
        <v>58.299268613102001</v>
      </c>
      <c r="AK65" s="5">
        <v>57.444293419825001</v>
      </c>
    </row>
    <row r="66" spans="1:37" x14ac:dyDescent="0.25">
      <c r="A66" t="s">
        <v>12</v>
      </c>
      <c r="B66" s="1">
        <v>36434</v>
      </c>
      <c r="C66">
        <v>102667</v>
      </c>
      <c r="D66">
        <v>483684933728.44</v>
      </c>
      <c r="E66">
        <v>129.199191929059</v>
      </c>
      <c r="G66" s="3">
        <v>42036</v>
      </c>
      <c r="H66" s="5">
        <v>52.540639665874401</v>
      </c>
      <c r="U66" t="s">
        <v>12</v>
      </c>
      <c r="V66" s="1">
        <v>36434</v>
      </c>
      <c r="W66">
        <v>102667</v>
      </c>
      <c r="X66">
        <v>483684933728.44</v>
      </c>
      <c r="Y66">
        <v>104.099319229911</v>
      </c>
      <c r="AA66" s="3">
        <v>42036</v>
      </c>
      <c r="AB66" s="5">
        <v>52.373224350536901</v>
      </c>
      <c r="AE66" s="3">
        <v>36434</v>
      </c>
      <c r="AF66" s="5">
        <v>129.199191929059</v>
      </c>
      <c r="AG66" s="5">
        <v>104.099319229911</v>
      </c>
      <c r="AI66" s="3">
        <v>42095</v>
      </c>
      <c r="AJ66" s="5">
        <v>64.069724948031705</v>
      </c>
      <c r="AK66" s="5">
        <v>62.226306924437097</v>
      </c>
    </row>
    <row r="67" spans="1:37" x14ac:dyDescent="0.25">
      <c r="A67" t="s">
        <v>12</v>
      </c>
      <c r="B67" s="1">
        <v>36465</v>
      </c>
      <c r="C67">
        <v>103263</v>
      </c>
      <c r="D67">
        <v>486113274951.03003</v>
      </c>
      <c r="E67">
        <v>127.19192718598001</v>
      </c>
      <c r="G67" s="3">
        <v>42064</v>
      </c>
      <c r="H67" s="5">
        <v>57.444293419825001</v>
      </c>
      <c r="U67" t="s">
        <v>12</v>
      </c>
      <c r="V67" s="1">
        <v>36465</v>
      </c>
      <c r="W67">
        <v>103263</v>
      </c>
      <c r="X67">
        <v>486113274951.03003</v>
      </c>
      <c r="Y67">
        <v>102.32739854203</v>
      </c>
      <c r="AA67" s="3">
        <v>42064</v>
      </c>
      <c r="AB67" s="5">
        <v>58.299268613102001</v>
      </c>
      <c r="AE67" s="3">
        <v>36465</v>
      </c>
      <c r="AF67" s="5">
        <v>127.19192718598001</v>
      </c>
      <c r="AG67" s="5">
        <v>102.32739854203</v>
      </c>
      <c r="AI67" s="3">
        <v>42125</v>
      </c>
      <c r="AJ67" s="5">
        <v>70.985030197913602</v>
      </c>
      <c r="AK67" s="5">
        <v>67.950641362553199</v>
      </c>
    </row>
    <row r="68" spans="1:37" x14ac:dyDescent="0.25">
      <c r="A68" t="s">
        <v>12</v>
      </c>
      <c r="B68" s="1">
        <v>36495</v>
      </c>
      <c r="C68">
        <v>103797</v>
      </c>
      <c r="D68">
        <v>488977501585.98999</v>
      </c>
      <c r="E68">
        <v>125.879190558094</v>
      </c>
      <c r="G68" s="3">
        <v>42095</v>
      </c>
      <c r="H68" s="5">
        <v>62.226306924437097</v>
      </c>
      <c r="U68" t="s">
        <v>12</v>
      </c>
      <c r="V68" s="1">
        <v>36495</v>
      </c>
      <c r="W68">
        <v>103797</v>
      </c>
      <c r="X68">
        <v>488977501585.98999</v>
      </c>
      <c r="Y68">
        <v>101.113443512465</v>
      </c>
      <c r="AA68" s="3">
        <v>42095</v>
      </c>
      <c r="AB68" s="5">
        <v>64.069724948031705</v>
      </c>
      <c r="AE68" s="3">
        <v>36495</v>
      </c>
      <c r="AF68" s="5">
        <v>125.879190558094</v>
      </c>
      <c r="AG68" s="5">
        <v>101.113443512465</v>
      </c>
      <c r="AI68" s="3">
        <v>42156</v>
      </c>
      <c r="AJ68" s="5">
        <v>76.706867342544797</v>
      </c>
      <c r="AK68" s="5">
        <v>72.714269608910897</v>
      </c>
    </row>
    <row r="69" spans="1:37" x14ac:dyDescent="0.25">
      <c r="A69" t="s">
        <v>12</v>
      </c>
      <c r="B69" s="1">
        <v>36526</v>
      </c>
      <c r="C69">
        <v>104272</v>
      </c>
      <c r="D69">
        <v>490954239429.84998</v>
      </c>
      <c r="E69">
        <v>124.60948365755701</v>
      </c>
      <c r="G69" s="3">
        <v>42125</v>
      </c>
      <c r="H69" s="5">
        <v>67.950641362553199</v>
      </c>
      <c r="U69" t="s">
        <v>12</v>
      </c>
      <c r="V69" s="1">
        <v>36526</v>
      </c>
      <c r="W69">
        <v>104272</v>
      </c>
      <c r="X69">
        <v>490954239429.84998</v>
      </c>
      <c r="Y69">
        <v>99.994290318529394</v>
      </c>
      <c r="AA69" s="3">
        <v>42125</v>
      </c>
      <c r="AB69" s="5">
        <v>70.985030197913602</v>
      </c>
      <c r="AE69" s="3">
        <v>36526</v>
      </c>
      <c r="AF69" s="5">
        <v>124.60948365755701</v>
      </c>
      <c r="AG69" s="5">
        <v>99.994290318529394</v>
      </c>
      <c r="AI69" s="3">
        <v>42186</v>
      </c>
      <c r="AJ69" s="5">
        <v>81.263811608769004</v>
      </c>
      <c r="AK69" s="5">
        <v>76.533861433394904</v>
      </c>
    </row>
    <row r="70" spans="1:37" x14ac:dyDescent="0.25">
      <c r="A70" t="s">
        <v>12</v>
      </c>
      <c r="B70" s="1">
        <v>36557</v>
      </c>
      <c r="C70">
        <v>105024</v>
      </c>
      <c r="D70">
        <v>496915801152.44</v>
      </c>
      <c r="E70">
        <v>121.953903335977</v>
      </c>
      <c r="G70" s="3">
        <v>42156</v>
      </c>
      <c r="H70" s="5">
        <v>72.714269608910897</v>
      </c>
      <c r="U70" t="s">
        <v>12</v>
      </c>
      <c r="V70" s="1">
        <v>36557</v>
      </c>
      <c r="W70">
        <v>105024</v>
      </c>
      <c r="X70">
        <v>496915801152.44</v>
      </c>
      <c r="Y70">
        <v>97.791357181578704</v>
      </c>
      <c r="AA70" s="3">
        <v>42156</v>
      </c>
      <c r="AB70" s="5">
        <v>76.706867342544797</v>
      </c>
      <c r="AE70" s="3">
        <v>36557</v>
      </c>
      <c r="AF70" s="5">
        <v>121.953903335977</v>
      </c>
      <c r="AG70" s="5">
        <v>97.791357181578704</v>
      </c>
      <c r="AI70" s="3">
        <v>42217</v>
      </c>
      <c r="AJ70" s="5">
        <v>85.242041140274694</v>
      </c>
      <c r="AK70" s="5">
        <v>79.818333784383697</v>
      </c>
    </row>
    <row r="71" spans="1:37" x14ac:dyDescent="0.25">
      <c r="A71" t="s">
        <v>12</v>
      </c>
      <c r="B71" s="1">
        <v>36586</v>
      </c>
      <c r="C71">
        <v>105571</v>
      </c>
      <c r="D71">
        <v>498826947779.83002</v>
      </c>
      <c r="E71">
        <v>120.523552638224</v>
      </c>
      <c r="G71" s="3">
        <v>42186</v>
      </c>
      <c r="H71" s="5">
        <v>76.533861433394904</v>
      </c>
      <c r="U71" t="s">
        <v>12</v>
      </c>
      <c r="V71" s="1">
        <v>36586</v>
      </c>
      <c r="W71">
        <v>105571</v>
      </c>
      <c r="X71">
        <v>498826947779.83002</v>
      </c>
      <c r="Y71">
        <v>96.589745847264695</v>
      </c>
      <c r="AA71" s="3">
        <v>42186</v>
      </c>
      <c r="AB71" s="5">
        <v>81.263811608769004</v>
      </c>
      <c r="AE71" s="3">
        <v>36586</v>
      </c>
      <c r="AF71" s="5">
        <v>120.523552638224</v>
      </c>
      <c r="AG71" s="5">
        <v>96.589745847264695</v>
      </c>
      <c r="AI71" s="3">
        <v>42248</v>
      </c>
      <c r="AJ71" s="5">
        <v>91.078579102985699</v>
      </c>
      <c r="AK71" s="5">
        <v>84.757331726423203</v>
      </c>
    </row>
    <row r="72" spans="1:37" x14ac:dyDescent="0.25">
      <c r="A72" t="s">
        <v>12</v>
      </c>
      <c r="B72" s="1">
        <v>36617</v>
      </c>
      <c r="C72">
        <v>106181</v>
      </c>
      <c r="D72">
        <v>501711977650.15002</v>
      </c>
      <c r="E72">
        <v>119.12508074740801</v>
      </c>
      <c r="G72" s="3">
        <v>42217</v>
      </c>
      <c r="H72" s="5">
        <v>79.818333784383697</v>
      </c>
      <c r="U72" t="s">
        <v>12</v>
      </c>
      <c r="V72" s="1">
        <v>36617</v>
      </c>
      <c r="W72">
        <v>106181</v>
      </c>
      <c r="X72">
        <v>501711977650.15002</v>
      </c>
      <c r="Y72">
        <v>95.419778229635099</v>
      </c>
      <c r="AA72" s="3">
        <v>42217</v>
      </c>
      <c r="AB72" s="5">
        <v>85.242041140274694</v>
      </c>
      <c r="AE72" s="3">
        <v>36617</v>
      </c>
      <c r="AF72" s="5">
        <v>119.12508074740801</v>
      </c>
      <c r="AG72" s="5">
        <v>95.419778229635099</v>
      </c>
      <c r="AI72" s="3">
        <v>42278</v>
      </c>
      <c r="AJ72" s="5">
        <v>97.063138516555895</v>
      </c>
      <c r="AK72" s="5">
        <v>89.849443309928006</v>
      </c>
    </row>
    <row r="73" spans="1:37" x14ac:dyDescent="0.25">
      <c r="A73" t="s">
        <v>12</v>
      </c>
      <c r="B73" s="1">
        <v>36647</v>
      </c>
      <c r="C73">
        <v>106663</v>
      </c>
      <c r="D73">
        <v>503601588836.79999</v>
      </c>
      <c r="E73">
        <v>118.027578234768</v>
      </c>
      <c r="G73" s="3">
        <v>42248</v>
      </c>
      <c r="H73" s="5">
        <v>84.757331726423203</v>
      </c>
      <c r="U73" t="s">
        <v>12</v>
      </c>
      <c r="V73" s="1">
        <v>36647</v>
      </c>
      <c r="W73">
        <v>106663</v>
      </c>
      <c r="X73">
        <v>503601588836.79999</v>
      </c>
      <c r="Y73">
        <v>94.501844203616201</v>
      </c>
      <c r="AA73" s="3">
        <v>42248</v>
      </c>
      <c r="AB73" s="5">
        <v>91.078579102985699</v>
      </c>
      <c r="AE73" s="3">
        <v>36647</v>
      </c>
      <c r="AF73" s="5">
        <v>118.027578234768</v>
      </c>
      <c r="AG73" s="5">
        <v>94.501844203616201</v>
      </c>
      <c r="AI73" s="3">
        <v>42309</v>
      </c>
      <c r="AJ73" s="5">
        <v>104.305441499149</v>
      </c>
      <c r="AK73" s="5">
        <v>96.043975802781105</v>
      </c>
    </row>
    <row r="74" spans="1:37" x14ac:dyDescent="0.25">
      <c r="A74" t="s">
        <v>12</v>
      </c>
      <c r="B74" s="1">
        <v>36678</v>
      </c>
      <c r="C74">
        <v>107411</v>
      </c>
      <c r="D74">
        <v>509012244894.96002</v>
      </c>
      <c r="E74">
        <v>115.651963654048</v>
      </c>
      <c r="G74" s="3">
        <v>42278</v>
      </c>
      <c r="H74" s="5">
        <v>89.849443309928006</v>
      </c>
      <c r="U74" t="s">
        <v>12</v>
      </c>
      <c r="V74" s="1">
        <v>36678</v>
      </c>
      <c r="W74">
        <v>107411</v>
      </c>
      <c r="X74">
        <v>509012244894.96002</v>
      </c>
      <c r="Y74">
        <v>92.577035500187307</v>
      </c>
      <c r="AA74" s="3">
        <v>42278</v>
      </c>
      <c r="AB74" s="5">
        <v>97.063138516555895</v>
      </c>
      <c r="AE74" s="3">
        <v>36678</v>
      </c>
      <c r="AF74" s="5">
        <v>115.651963654048</v>
      </c>
      <c r="AG74" s="5">
        <v>92.577035500187307</v>
      </c>
      <c r="AI74" s="3">
        <v>42339</v>
      </c>
      <c r="AJ74" s="5">
        <v>109.791985074568</v>
      </c>
      <c r="AK74" s="5">
        <v>100.750321012968</v>
      </c>
    </row>
    <row r="75" spans="1:37" x14ac:dyDescent="0.25">
      <c r="A75" t="s">
        <v>12</v>
      </c>
      <c r="B75" s="1">
        <v>36708</v>
      </c>
      <c r="C75">
        <v>108179</v>
      </c>
      <c r="D75">
        <v>513375798865.76001</v>
      </c>
      <c r="E75">
        <v>113.810278644958</v>
      </c>
      <c r="G75" s="3">
        <v>42309</v>
      </c>
      <c r="H75" s="5">
        <v>96.043975802781105</v>
      </c>
      <c r="U75" t="s">
        <v>12</v>
      </c>
      <c r="V75" s="1">
        <v>36708</v>
      </c>
      <c r="W75">
        <v>108179</v>
      </c>
      <c r="X75">
        <v>513375798865.76001</v>
      </c>
      <c r="Y75">
        <v>91.0828057942865</v>
      </c>
      <c r="AA75" s="3">
        <v>42309</v>
      </c>
      <c r="AB75" s="5">
        <v>104.305441499149</v>
      </c>
      <c r="AE75" s="3">
        <v>36708</v>
      </c>
      <c r="AF75" s="5">
        <v>113.810278644958</v>
      </c>
      <c r="AG75" s="5">
        <v>91.0828057942865</v>
      </c>
      <c r="AI75" s="3">
        <v>42370</v>
      </c>
      <c r="AJ75" s="5">
        <v>115.35749610512001</v>
      </c>
      <c r="AK75" s="5">
        <v>105.57354413035701</v>
      </c>
    </row>
    <row r="76" spans="1:37" x14ac:dyDescent="0.25">
      <c r="A76" t="s">
        <v>12</v>
      </c>
      <c r="B76" s="1">
        <v>36739</v>
      </c>
      <c r="C76">
        <v>108954</v>
      </c>
      <c r="D76">
        <v>516317525107.78998</v>
      </c>
      <c r="E76">
        <v>112.377674195979</v>
      </c>
      <c r="G76" s="3">
        <v>42339</v>
      </c>
      <c r="H76" s="5">
        <v>100.750321012968</v>
      </c>
      <c r="U76" t="s">
        <v>12</v>
      </c>
      <c r="V76" s="1">
        <v>36739</v>
      </c>
      <c r="W76">
        <v>108954</v>
      </c>
      <c r="X76">
        <v>516317525107.78998</v>
      </c>
      <c r="Y76">
        <v>89.936120400100407</v>
      </c>
      <c r="AA76" s="3">
        <v>42339</v>
      </c>
      <c r="AB76" s="5">
        <v>109.791985074568</v>
      </c>
      <c r="AE76" s="3">
        <v>36739</v>
      </c>
      <c r="AF76" s="5">
        <v>112.377674195979</v>
      </c>
      <c r="AG76" s="5">
        <v>89.936120400100407</v>
      </c>
      <c r="AI76" s="3">
        <v>42401</v>
      </c>
      <c r="AJ76" s="5">
        <v>121.67850664517201</v>
      </c>
      <c r="AK76" s="5">
        <v>111.02657349937</v>
      </c>
    </row>
    <row r="77" spans="1:37" x14ac:dyDescent="0.25">
      <c r="A77" t="s">
        <v>12</v>
      </c>
      <c r="B77" s="1">
        <v>36770</v>
      </c>
      <c r="C77">
        <v>109821</v>
      </c>
      <c r="D77">
        <v>523779386580.96997</v>
      </c>
      <c r="E77">
        <v>110.453771969404</v>
      </c>
      <c r="G77" s="3">
        <v>42370</v>
      </c>
      <c r="H77" s="5">
        <v>105.57354413035701</v>
      </c>
      <c r="U77" t="s">
        <v>12</v>
      </c>
      <c r="V77" s="1">
        <v>36770</v>
      </c>
      <c r="W77">
        <v>109821</v>
      </c>
      <c r="X77">
        <v>523779386580.96997</v>
      </c>
      <c r="Y77">
        <v>88.422669315273893</v>
      </c>
      <c r="AA77" s="3">
        <v>42370</v>
      </c>
      <c r="AB77" s="5">
        <v>115.35749610512001</v>
      </c>
      <c r="AE77" s="3">
        <v>36770</v>
      </c>
      <c r="AF77" s="5">
        <v>110.453771969404</v>
      </c>
      <c r="AG77" s="5">
        <v>88.422669315273893</v>
      </c>
      <c r="AI77" s="3">
        <v>42430</v>
      </c>
      <c r="AJ77" s="5">
        <v>131.22804906668199</v>
      </c>
      <c r="AK77" s="5">
        <v>119.311513820781</v>
      </c>
    </row>
    <row r="78" spans="1:37" x14ac:dyDescent="0.25">
      <c r="A78" t="s">
        <v>12</v>
      </c>
      <c r="B78" s="1">
        <v>36800</v>
      </c>
      <c r="C78">
        <v>110829</v>
      </c>
      <c r="D78">
        <v>531358236787.52002</v>
      </c>
      <c r="E78">
        <v>108.803621443296</v>
      </c>
      <c r="G78" s="3">
        <v>42401</v>
      </c>
      <c r="H78" s="5">
        <v>111.02657349937</v>
      </c>
      <c r="U78" t="s">
        <v>12</v>
      </c>
      <c r="V78" s="1">
        <v>36800</v>
      </c>
      <c r="W78">
        <v>110829</v>
      </c>
      <c r="X78">
        <v>531358236787.52002</v>
      </c>
      <c r="Y78">
        <v>87.097977481442499</v>
      </c>
      <c r="AA78" s="3">
        <v>42401</v>
      </c>
      <c r="AB78" s="5">
        <v>121.67850664517201</v>
      </c>
      <c r="AE78" s="3">
        <v>36800</v>
      </c>
      <c r="AF78" s="5">
        <v>108.803621443296</v>
      </c>
      <c r="AG78" s="5">
        <v>87.097977481442499</v>
      </c>
      <c r="AI78" s="3">
        <v>42461</v>
      </c>
      <c r="AJ78" s="5">
        <v>142.430999768324</v>
      </c>
      <c r="AK78" s="5">
        <v>129.213215687396</v>
      </c>
    </row>
    <row r="79" spans="1:37" x14ac:dyDescent="0.25">
      <c r="A79" t="s">
        <v>12</v>
      </c>
      <c r="B79" s="1">
        <v>36831</v>
      </c>
      <c r="C79">
        <v>111769</v>
      </c>
      <c r="D79">
        <v>538792043173.23999</v>
      </c>
      <c r="E79">
        <v>107.63757592574299</v>
      </c>
      <c r="G79" s="3">
        <v>42430</v>
      </c>
      <c r="H79" s="5">
        <v>119.311513820781</v>
      </c>
      <c r="U79" t="s">
        <v>12</v>
      </c>
      <c r="V79" s="1">
        <v>36831</v>
      </c>
      <c r="W79">
        <v>111769</v>
      </c>
      <c r="X79">
        <v>538792043173.23999</v>
      </c>
      <c r="Y79">
        <v>86.131850997725493</v>
      </c>
      <c r="AA79" s="3">
        <v>42430</v>
      </c>
      <c r="AB79" s="5">
        <v>131.22804906668199</v>
      </c>
      <c r="AE79" s="3">
        <v>36831</v>
      </c>
      <c r="AF79" s="5">
        <v>107.63757592574299</v>
      </c>
      <c r="AG79" s="5">
        <v>86.131850997725493</v>
      </c>
      <c r="AI79" s="3">
        <v>42491</v>
      </c>
      <c r="AJ79" s="5">
        <v>154.51196260111499</v>
      </c>
      <c r="AK79" s="5">
        <v>139.91761879338</v>
      </c>
    </row>
    <row r="80" spans="1:37" x14ac:dyDescent="0.25">
      <c r="A80" t="s">
        <v>12</v>
      </c>
      <c r="B80" s="1">
        <v>36861</v>
      </c>
      <c r="C80">
        <v>112641</v>
      </c>
      <c r="D80">
        <v>546830986491.85999</v>
      </c>
      <c r="E80">
        <v>106.93046709581699</v>
      </c>
      <c r="G80" s="3">
        <v>42461</v>
      </c>
      <c r="H80" s="5">
        <v>129.213215687396</v>
      </c>
      <c r="U80" t="s">
        <v>12</v>
      </c>
      <c r="V80" s="1">
        <v>36861</v>
      </c>
      <c r="W80">
        <v>112641</v>
      </c>
      <c r="X80">
        <v>546830986491.85999</v>
      </c>
      <c r="Y80">
        <v>85.510156601519995</v>
      </c>
      <c r="AA80" s="3">
        <v>42461</v>
      </c>
      <c r="AB80" s="5">
        <v>142.430999768324</v>
      </c>
      <c r="AE80" s="3">
        <v>36861</v>
      </c>
      <c r="AF80" s="5">
        <v>106.93046709581699</v>
      </c>
      <c r="AG80" s="5">
        <v>85.510156601519995</v>
      </c>
      <c r="AI80" s="3">
        <v>42522</v>
      </c>
      <c r="AJ80" s="5">
        <v>166.98620583652601</v>
      </c>
      <c r="AK80" s="5">
        <v>150.98985776010099</v>
      </c>
    </row>
    <row r="81" spans="1:37" x14ac:dyDescent="0.25">
      <c r="A81" t="s">
        <v>12</v>
      </c>
      <c r="B81" s="1">
        <v>36892</v>
      </c>
      <c r="C81">
        <v>113546</v>
      </c>
      <c r="D81">
        <v>556063952014.84998</v>
      </c>
      <c r="E81">
        <v>108.277701004704</v>
      </c>
      <c r="G81" s="3">
        <v>42491</v>
      </c>
      <c r="H81" s="5">
        <v>139.91761879338</v>
      </c>
      <c r="U81" t="s">
        <v>12</v>
      </c>
      <c r="V81" s="1">
        <v>36892</v>
      </c>
      <c r="W81">
        <v>113546</v>
      </c>
      <c r="X81">
        <v>556063952014.84998</v>
      </c>
      <c r="Y81">
        <v>86.284664559545902</v>
      </c>
      <c r="AA81" s="3">
        <v>42491</v>
      </c>
      <c r="AB81" s="5">
        <v>154.51196260111499</v>
      </c>
      <c r="AE81" s="3">
        <v>36892</v>
      </c>
      <c r="AF81" s="5">
        <v>108.277701004704</v>
      </c>
      <c r="AG81" s="5">
        <v>86.284664559545902</v>
      </c>
      <c r="AI81" s="3">
        <v>42552</v>
      </c>
      <c r="AJ81" s="5">
        <v>180.04480411282799</v>
      </c>
      <c r="AK81" s="5">
        <v>162.52788936444699</v>
      </c>
    </row>
    <row r="82" spans="1:37" x14ac:dyDescent="0.25">
      <c r="A82" t="s">
        <v>12</v>
      </c>
      <c r="B82" s="1">
        <v>36923</v>
      </c>
      <c r="C82">
        <v>114380</v>
      </c>
      <c r="D82">
        <v>562843528396.04004</v>
      </c>
      <c r="E82">
        <v>112.885731638148</v>
      </c>
      <c r="G82" s="3">
        <v>42522</v>
      </c>
      <c r="H82" s="5">
        <v>150.98985776010099</v>
      </c>
      <c r="U82" t="s">
        <v>12</v>
      </c>
      <c r="V82" s="1">
        <v>36923</v>
      </c>
      <c r="W82">
        <v>114380</v>
      </c>
      <c r="X82">
        <v>562843528396.04004</v>
      </c>
      <c r="Y82">
        <v>89.415505640199996</v>
      </c>
      <c r="AA82" s="3">
        <v>42522</v>
      </c>
      <c r="AB82" s="5">
        <v>166.98620583652601</v>
      </c>
      <c r="AE82" s="3">
        <v>36923</v>
      </c>
      <c r="AF82" s="5">
        <v>112.885731638148</v>
      </c>
      <c r="AG82" s="5">
        <v>89.415505640199996</v>
      </c>
      <c r="AI82" s="3">
        <v>42583</v>
      </c>
      <c r="AJ82" s="5">
        <v>195.54587642704499</v>
      </c>
      <c r="AK82" s="5">
        <v>176.18903420951699</v>
      </c>
    </row>
    <row r="83" spans="1:37" x14ac:dyDescent="0.25">
      <c r="A83" t="s">
        <v>12</v>
      </c>
      <c r="B83" s="1">
        <v>36951</v>
      </c>
      <c r="C83">
        <v>115148</v>
      </c>
      <c r="D83">
        <v>569910496468.92004</v>
      </c>
      <c r="E83">
        <v>117.17361859148301</v>
      </c>
      <c r="G83" s="3">
        <v>42552</v>
      </c>
      <c r="H83" s="5">
        <v>162.52788936444699</v>
      </c>
      <c r="U83" t="s">
        <v>12</v>
      </c>
      <c r="V83" s="1">
        <v>36951</v>
      </c>
      <c r="W83">
        <v>115148</v>
      </c>
      <c r="X83">
        <v>569910496468.92004</v>
      </c>
      <c r="Y83">
        <v>92.253571252137405</v>
      </c>
      <c r="AA83" s="3">
        <v>42552</v>
      </c>
      <c r="AB83" s="5">
        <v>180.04480411282799</v>
      </c>
      <c r="AE83" s="3">
        <v>36951</v>
      </c>
      <c r="AF83" s="5">
        <v>117.17361859148301</v>
      </c>
      <c r="AG83" s="5">
        <v>92.253571252137405</v>
      </c>
      <c r="AI83" s="3">
        <v>42614</v>
      </c>
      <c r="AJ83" s="5">
        <v>211.01631225808299</v>
      </c>
      <c r="AK83" s="5">
        <v>189.854810700461</v>
      </c>
    </row>
    <row r="84" spans="1:37" x14ac:dyDescent="0.25">
      <c r="A84" t="s">
        <v>12</v>
      </c>
      <c r="B84" s="1">
        <v>36982</v>
      </c>
      <c r="C84">
        <v>116093</v>
      </c>
      <c r="D84">
        <v>575566943003.72998</v>
      </c>
      <c r="E84">
        <v>121.953107254489</v>
      </c>
      <c r="G84" s="3">
        <v>42583</v>
      </c>
      <c r="H84" s="5">
        <v>176.18903420951699</v>
      </c>
      <c r="U84" t="s">
        <v>12</v>
      </c>
      <c r="V84" s="1">
        <v>36982</v>
      </c>
      <c r="W84">
        <v>116093</v>
      </c>
      <c r="X84">
        <v>575566943003.72998</v>
      </c>
      <c r="Y84">
        <v>95.321891672072496</v>
      </c>
      <c r="AA84" s="3">
        <v>42583</v>
      </c>
      <c r="AB84" s="5">
        <v>195.54587642704499</v>
      </c>
      <c r="AE84" s="3">
        <v>36982</v>
      </c>
      <c r="AF84" s="5">
        <v>121.953107254489</v>
      </c>
      <c r="AG84" s="5">
        <v>95.321891672072496</v>
      </c>
      <c r="AI84" s="3">
        <v>42644</v>
      </c>
      <c r="AJ84" s="5">
        <v>226.25322462991701</v>
      </c>
      <c r="AK84" s="5">
        <v>203.35440348091299</v>
      </c>
    </row>
    <row r="85" spans="1:37" x14ac:dyDescent="0.25">
      <c r="A85" t="s">
        <v>12</v>
      </c>
      <c r="B85" s="1">
        <v>37012</v>
      </c>
      <c r="C85">
        <v>117276</v>
      </c>
      <c r="D85">
        <v>583139651340.71997</v>
      </c>
      <c r="E85">
        <v>123.80266431314899</v>
      </c>
      <c r="G85" s="3">
        <v>42614</v>
      </c>
      <c r="H85" s="5">
        <v>189.854810700461</v>
      </c>
      <c r="U85" t="s">
        <v>12</v>
      </c>
      <c r="V85" s="1">
        <v>37012</v>
      </c>
      <c r="W85">
        <v>117276</v>
      </c>
      <c r="X85">
        <v>583139651340.71997</v>
      </c>
      <c r="Y85">
        <v>96.166104538294405</v>
      </c>
      <c r="AA85" s="3">
        <v>42614</v>
      </c>
      <c r="AB85" s="5">
        <v>211.01631225808299</v>
      </c>
      <c r="AE85" s="3">
        <v>37012</v>
      </c>
      <c r="AF85" s="5">
        <v>123.80266431314899</v>
      </c>
      <c r="AG85" s="5">
        <v>96.166104538294405</v>
      </c>
      <c r="AI85" s="3">
        <v>42675</v>
      </c>
      <c r="AJ85" s="5">
        <v>240.69797180399499</v>
      </c>
      <c r="AK85" s="5">
        <v>216.013611730528</v>
      </c>
    </row>
    <row r="86" spans="1:37" x14ac:dyDescent="0.25">
      <c r="A86" t="s">
        <v>12</v>
      </c>
      <c r="B86" s="1">
        <v>37043</v>
      </c>
      <c r="C86">
        <v>118503</v>
      </c>
      <c r="D86">
        <v>593305418081.90002</v>
      </c>
      <c r="E86">
        <v>123.465424249919</v>
      </c>
      <c r="G86" s="3">
        <v>42644</v>
      </c>
      <c r="H86" s="5">
        <v>203.35440348091299</v>
      </c>
      <c r="U86" t="s">
        <v>12</v>
      </c>
      <c r="V86" s="1">
        <v>37043</v>
      </c>
      <c r="W86">
        <v>118503</v>
      </c>
      <c r="X86">
        <v>593305418081.90002</v>
      </c>
      <c r="Y86">
        <v>95.376088610164999</v>
      </c>
      <c r="AA86" s="3">
        <v>42644</v>
      </c>
      <c r="AB86" s="5">
        <v>226.25322462991701</v>
      </c>
      <c r="AE86" s="3">
        <v>37043</v>
      </c>
      <c r="AF86" s="5">
        <v>123.465424249919</v>
      </c>
      <c r="AG86" s="5">
        <v>95.376088610164999</v>
      </c>
    </row>
    <row r="87" spans="1:37" x14ac:dyDescent="0.25">
      <c r="A87" t="s">
        <v>12</v>
      </c>
      <c r="B87" s="1">
        <v>37073</v>
      </c>
      <c r="C87">
        <v>119870</v>
      </c>
      <c r="D87">
        <v>606806060779.91003</v>
      </c>
      <c r="E87">
        <v>121.897706684805</v>
      </c>
      <c r="G87" s="3">
        <v>42675</v>
      </c>
      <c r="H87" s="5">
        <v>216.013611730528</v>
      </c>
      <c r="U87" t="s">
        <v>12</v>
      </c>
      <c r="V87" s="1">
        <v>37073</v>
      </c>
      <c r="W87">
        <v>119870</v>
      </c>
      <c r="X87">
        <v>606806060779.91003</v>
      </c>
      <c r="Y87">
        <v>93.665263081747696</v>
      </c>
      <c r="AA87" s="3">
        <v>42675</v>
      </c>
      <c r="AB87" s="5">
        <v>240.69797180399499</v>
      </c>
      <c r="AE87" s="3">
        <v>37073</v>
      </c>
      <c r="AF87" s="5">
        <v>121.897706684805</v>
      </c>
      <c r="AG87" s="5">
        <v>93.665263081747696</v>
      </c>
    </row>
    <row r="88" spans="1:37" x14ac:dyDescent="0.25">
      <c r="A88" t="s">
        <v>12</v>
      </c>
      <c r="B88" s="1">
        <v>37104</v>
      </c>
      <c r="C88">
        <v>121166</v>
      </c>
      <c r="D88">
        <v>618791756702.58997</v>
      </c>
      <c r="E88">
        <v>120.036164802234</v>
      </c>
      <c r="G88" s="4" t="s">
        <v>17</v>
      </c>
      <c r="H88" s="5">
        <v>3816.8854150686157</v>
      </c>
      <c r="U88" t="s">
        <v>12</v>
      </c>
      <c r="V88" s="1">
        <v>37104</v>
      </c>
      <c r="W88">
        <v>121166</v>
      </c>
      <c r="X88">
        <v>618791756702.58997</v>
      </c>
      <c r="Y88">
        <v>91.753493775179194</v>
      </c>
      <c r="AA88" s="4" t="s">
        <v>17</v>
      </c>
      <c r="AB88" s="5">
        <v>3935.6820397982615</v>
      </c>
      <c r="AE88" s="3">
        <v>37104</v>
      </c>
      <c r="AF88" s="5">
        <v>120.036164802234</v>
      </c>
      <c r="AG88" s="5">
        <v>91.753493775179194</v>
      </c>
    </row>
    <row r="89" spans="1:37" x14ac:dyDescent="0.25">
      <c r="A89" t="s">
        <v>12</v>
      </c>
      <c r="B89" s="1">
        <v>37135</v>
      </c>
      <c r="C89">
        <v>122179</v>
      </c>
      <c r="D89">
        <v>628840911305.92004</v>
      </c>
      <c r="E89">
        <v>121.148170368265</v>
      </c>
      <c r="U89" t="s">
        <v>12</v>
      </c>
      <c r="V89" s="1">
        <v>37135</v>
      </c>
      <c r="W89">
        <v>122179</v>
      </c>
      <c r="X89">
        <v>628840911305.92004</v>
      </c>
      <c r="Y89">
        <v>91.933215746564599</v>
      </c>
      <c r="AE89" s="3">
        <v>37135</v>
      </c>
      <c r="AF89" s="5">
        <v>121.148170368265</v>
      </c>
      <c r="AG89" s="5">
        <v>91.933215746564599</v>
      </c>
    </row>
    <row r="90" spans="1:37" x14ac:dyDescent="0.25">
      <c r="A90" t="s">
        <v>12</v>
      </c>
      <c r="B90" s="1">
        <v>37165</v>
      </c>
      <c r="C90">
        <v>123141</v>
      </c>
      <c r="D90">
        <v>638519275459.80005</v>
      </c>
      <c r="E90">
        <v>123.280317139836</v>
      </c>
      <c r="U90" t="s">
        <v>12</v>
      </c>
      <c r="V90" s="1">
        <v>37165</v>
      </c>
      <c r="W90">
        <v>123141</v>
      </c>
      <c r="X90">
        <v>638519275459.80005</v>
      </c>
      <c r="Y90">
        <v>92.681527955357893</v>
      </c>
      <c r="AE90" s="3">
        <v>37165</v>
      </c>
      <c r="AF90" s="5">
        <v>123.280317139836</v>
      </c>
      <c r="AG90" s="5">
        <v>92.681527955357893</v>
      </c>
    </row>
    <row r="91" spans="1:37" x14ac:dyDescent="0.25">
      <c r="A91" t="s">
        <v>12</v>
      </c>
      <c r="B91" s="1">
        <v>37196</v>
      </c>
      <c r="C91">
        <v>124004</v>
      </c>
      <c r="D91">
        <v>646306647396.65002</v>
      </c>
      <c r="E91">
        <v>128.744717959078</v>
      </c>
      <c r="U91" t="s">
        <v>12</v>
      </c>
      <c r="V91" s="1">
        <v>37196</v>
      </c>
      <c r="W91">
        <v>124004</v>
      </c>
      <c r="X91">
        <v>646306647396.65002</v>
      </c>
      <c r="Y91">
        <v>95.583271914520495</v>
      </c>
      <c r="AE91" s="3">
        <v>37196</v>
      </c>
      <c r="AF91" s="5">
        <v>128.744717959078</v>
      </c>
      <c r="AG91" s="5">
        <v>95.583271914520495</v>
      </c>
    </row>
    <row r="92" spans="1:37" x14ac:dyDescent="0.25">
      <c r="A92" t="s">
        <v>12</v>
      </c>
      <c r="B92" s="1">
        <v>37226</v>
      </c>
      <c r="C92">
        <v>124910</v>
      </c>
      <c r="D92">
        <v>652582097254.40002</v>
      </c>
      <c r="E92">
        <v>132.56423289769199</v>
      </c>
      <c r="U92" t="s">
        <v>12</v>
      </c>
      <c r="V92" s="1">
        <v>37226</v>
      </c>
      <c r="W92">
        <v>124910</v>
      </c>
      <c r="X92">
        <v>652582097254.40002</v>
      </c>
      <c r="Y92">
        <v>97.383150120363496</v>
      </c>
      <c r="AE92" s="3">
        <v>37226</v>
      </c>
      <c r="AF92" s="5">
        <v>132.56423289769199</v>
      </c>
      <c r="AG92" s="5">
        <v>97.383150120363496</v>
      </c>
    </row>
    <row r="93" spans="1:37" x14ac:dyDescent="0.25">
      <c r="A93" t="s">
        <v>12</v>
      </c>
      <c r="B93" s="1">
        <v>37257</v>
      </c>
      <c r="C93">
        <v>125965</v>
      </c>
      <c r="D93">
        <v>656486331011.75</v>
      </c>
      <c r="E93">
        <v>130.06559526883299</v>
      </c>
      <c r="U93" t="s">
        <v>12</v>
      </c>
      <c r="V93" s="1">
        <v>37257</v>
      </c>
      <c r="W93">
        <v>125965</v>
      </c>
      <c r="X93">
        <v>656486331011.75</v>
      </c>
      <c r="Y93">
        <v>95.226516014155607</v>
      </c>
      <c r="AE93" s="3">
        <v>37257</v>
      </c>
      <c r="AF93" s="5">
        <v>130.06559526883299</v>
      </c>
      <c r="AG93" s="5">
        <v>95.226516014155607</v>
      </c>
    </row>
    <row r="94" spans="1:37" x14ac:dyDescent="0.25">
      <c r="A94" t="s">
        <v>12</v>
      </c>
      <c r="B94" s="1">
        <v>37288</v>
      </c>
      <c r="C94">
        <v>126547</v>
      </c>
      <c r="D94">
        <v>656253601310.68994</v>
      </c>
      <c r="E94">
        <v>127.548382260995</v>
      </c>
      <c r="U94" t="s">
        <v>12</v>
      </c>
      <c r="V94" s="1">
        <v>37288</v>
      </c>
      <c r="W94">
        <v>126547</v>
      </c>
      <c r="X94">
        <v>656253601310.68994</v>
      </c>
      <c r="Y94">
        <v>93.068807682921801</v>
      </c>
      <c r="AE94" s="3">
        <v>37288</v>
      </c>
      <c r="AF94" s="5">
        <v>127.548382260995</v>
      </c>
      <c r="AG94" s="5">
        <v>93.068807682921801</v>
      </c>
    </row>
    <row r="95" spans="1:37" x14ac:dyDescent="0.25">
      <c r="A95" t="s">
        <v>12</v>
      </c>
      <c r="B95" s="1">
        <v>37316</v>
      </c>
      <c r="C95">
        <v>127084</v>
      </c>
      <c r="D95">
        <v>662578022060.97998</v>
      </c>
      <c r="E95">
        <v>126.43465176296399</v>
      </c>
      <c r="U95" t="s">
        <v>12</v>
      </c>
      <c r="V95" s="1">
        <v>37316</v>
      </c>
      <c r="W95">
        <v>127084</v>
      </c>
      <c r="X95">
        <v>662578022060.97998</v>
      </c>
      <c r="Y95">
        <v>91.534247192069202</v>
      </c>
      <c r="AE95" s="3">
        <v>37316</v>
      </c>
      <c r="AF95" s="5">
        <v>126.43465176296399</v>
      </c>
      <c r="AG95" s="5">
        <v>91.534247192069202</v>
      </c>
    </row>
    <row r="96" spans="1:37" x14ac:dyDescent="0.25">
      <c r="A96" t="s">
        <v>12</v>
      </c>
      <c r="B96" s="1">
        <v>37347</v>
      </c>
      <c r="C96">
        <v>127647</v>
      </c>
      <c r="D96">
        <v>667880223893.80005</v>
      </c>
      <c r="E96">
        <v>123.78984472734599</v>
      </c>
      <c r="U96" t="s">
        <v>12</v>
      </c>
      <c r="V96" s="1">
        <v>37347</v>
      </c>
      <c r="W96">
        <v>127647</v>
      </c>
      <c r="X96">
        <v>667880223893.80005</v>
      </c>
      <c r="Y96">
        <v>89.079077337619694</v>
      </c>
      <c r="AE96" s="3">
        <v>37347</v>
      </c>
      <c r="AF96" s="5">
        <v>123.78984472734599</v>
      </c>
      <c r="AG96" s="5">
        <v>89.079077337619694</v>
      </c>
    </row>
    <row r="97" spans="1:33" x14ac:dyDescent="0.25">
      <c r="A97" t="s">
        <v>12</v>
      </c>
      <c r="B97" s="1">
        <v>37377</v>
      </c>
      <c r="C97">
        <v>128359</v>
      </c>
      <c r="D97">
        <v>674907718124.70996</v>
      </c>
      <c r="E97">
        <v>121.722594180009</v>
      </c>
      <c r="U97" t="s">
        <v>12</v>
      </c>
      <c r="V97" s="1">
        <v>37377</v>
      </c>
      <c r="W97">
        <v>128359</v>
      </c>
      <c r="X97">
        <v>674907718124.70996</v>
      </c>
      <c r="Y97">
        <v>87.051781840592099</v>
      </c>
      <c r="AE97" s="3">
        <v>37377</v>
      </c>
      <c r="AF97" s="5">
        <v>121.722594180009</v>
      </c>
      <c r="AG97" s="5">
        <v>87.051781840592099</v>
      </c>
    </row>
    <row r="98" spans="1:33" x14ac:dyDescent="0.25">
      <c r="A98" t="s">
        <v>12</v>
      </c>
      <c r="B98" s="1">
        <v>37408</v>
      </c>
      <c r="C98">
        <v>128856</v>
      </c>
      <c r="D98">
        <v>678129810095.63</v>
      </c>
      <c r="E98">
        <v>122.71051812111899</v>
      </c>
      <c r="U98" t="s">
        <v>12</v>
      </c>
      <c r="V98" s="1">
        <v>37408</v>
      </c>
      <c r="W98">
        <v>128856</v>
      </c>
      <c r="X98">
        <v>678129810095.63</v>
      </c>
      <c r="Y98">
        <v>86.940415052869795</v>
      </c>
      <c r="AE98" s="3">
        <v>37408</v>
      </c>
      <c r="AF98" s="5">
        <v>122.71051812111899</v>
      </c>
      <c r="AG98" s="5">
        <v>86.940415052869795</v>
      </c>
    </row>
    <row r="99" spans="1:33" x14ac:dyDescent="0.25">
      <c r="A99" t="s">
        <v>12</v>
      </c>
      <c r="B99" s="1">
        <v>37438</v>
      </c>
      <c r="C99">
        <v>129396</v>
      </c>
      <c r="D99">
        <v>683017451835.34998</v>
      </c>
      <c r="E99">
        <v>125.92833076899301</v>
      </c>
      <c r="U99" t="s">
        <v>12</v>
      </c>
      <c r="V99" s="1">
        <v>37438</v>
      </c>
      <c r="W99">
        <v>129396</v>
      </c>
      <c r="X99">
        <v>683017451835.34998</v>
      </c>
      <c r="Y99">
        <v>88.043154730294802</v>
      </c>
      <c r="AE99" s="3">
        <v>37438</v>
      </c>
      <c r="AF99" s="5">
        <v>125.92833076899301</v>
      </c>
      <c r="AG99" s="5">
        <v>88.043154730294802</v>
      </c>
    </row>
    <row r="100" spans="1:33" x14ac:dyDescent="0.25">
      <c r="A100" t="s">
        <v>12</v>
      </c>
      <c r="B100" s="1">
        <v>37469</v>
      </c>
      <c r="C100">
        <v>129977</v>
      </c>
      <c r="D100">
        <v>688067618515.57996</v>
      </c>
      <c r="E100">
        <v>131.74044378131401</v>
      </c>
      <c r="U100" t="s">
        <v>12</v>
      </c>
      <c r="V100" s="1">
        <v>37469</v>
      </c>
      <c r="W100">
        <v>129977</v>
      </c>
      <c r="X100">
        <v>688067618515.57996</v>
      </c>
      <c r="Y100">
        <v>90.620033285779698</v>
      </c>
      <c r="AE100" s="3">
        <v>37469</v>
      </c>
      <c r="AF100" s="5">
        <v>131.74044378131401</v>
      </c>
      <c r="AG100" s="5">
        <v>90.620033285779698</v>
      </c>
    </row>
    <row r="101" spans="1:33" x14ac:dyDescent="0.25">
      <c r="A101" t="s">
        <v>12</v>
      </c>
      <c r="B101" s="1">
        <v>37500</v>
      </c>
      <c r="C101">
        <v>130648</v>
      </c>
      <c r="D101">
        <v>691159460575.51001</v>
      </c>
      <c r="E101">
        <v>139.77489932971599</v>
      </c>
      <c r="U101" t="s">
        <v>12</v>
      </c>
      <c r="V101" s="1">
        <v>37500</v>
      </c>
      <c r="W101">
        <v>130648</v>
      </c>
      <c r="X101">
        <v>691159460575.51001</v>
      </c>
      <c r="Y101">
        <v>94.679489085049994</v>
      </c>
      <c r="AE101" s="3">
        <v>37500</v>
      </c>
      <c r="AF101" s="5">
        <v>139.77489932971599</v>
      </c>
      <c r="AG101" s="5">
        <v>94.679489085049994</v>
      </c>
    </row>
    <row r="102" spans="1:33" x14ac:dyDescent="0.25">
      <c r="A102" t="s">
        <v>12</v>
      </c>
      <c r="B102" s="1">
        <v>37530</v>
      </c>
      <c r="C102">
        <v>131306</v>
      </c>
      <c r="D102">
        <v>688876296638.54004</v>
      </c>
      <c r="E102">
        <v>149.64396050023501</v>
      </c>
      <c r="U102" t="s">
        <v>12</v>
      </c>
      <c r="V102" s="1">
        <v>37530</v>
      </c>
      <c r="W102">
        <v>131306</v>
      </c>
      <c r="X102">
        <v>688876296638.54004</v>
      </c>
      <c r="Y102">
        <v>100.37007951502</v>
      </c>
      <c r="AE102" s="3">
        <v>37530</v>
      </c>
      <c r="AF102" s="5">
        <v>149.64396050023501</v>
      </c>
      <c r="AG102" s="5">
        <v>100.37007951502</v>
      </c>
    </row>
    <row r="103" spans="1:33" x14ac:dyDescent="0.25">
      <c r="A103" t="s">
        <v>12</v>
      </c>
      <c r="B103" s="1">
        <v>37561</v>
      </c>
      <c r="C103">
        <v>131940</v>
      </c>
      <c r="D103">
        <v>689249009215.40002</v>
      </c>
      <c r="E103">
        <v>157.161455644607</v>
      </c>
      <c r="U103" t="s">
        <v>12</v>
      </c>
      <c r="V103" s="1">
        <v>37561</v>
      </c>
      <c r="W103">
        <v>131940</v>
      </c>
      <c r="X103">
        <v>689249009215.40002</v>
      </c>
      <c r="Y103">
        <v>104.46508388162</v>
      </c>
      <c r="AE103" s="3">
        <v>37561</v>
      </c>
      <c r="AF103" s="5">
        <v>157.161455644607</v>
      </c>
      <c r="AG103" s="5">
        <v>104.46508388162</v>
      </c>
    </row>
    <row r="104" spans="1:33" x14ac:dyDescent="0.25">
      <c r="A104" t="s">
        <v>12</v>
      </c>
      <c r="B104" s="1">
        <v>37591</v>
      </c>
      <c r="C104">
        <v>132490</v>
      </c>
      <c r="D104">
        <v>678094236394.04004</v>
      </c>
      <c r="E104">
        <v>164.25262576074499</v>
      </c>
      <c r="U104" t="s">
        <v>12</v>
      </c>
      <c r="V104" s="1">
        <v>37591</v>
      </c>
      <c r="W104">
        <v>132490</v>
      </c>
      <c r="X104">
        <v>678094236394.04004</v>
      </c>
      <c r="Y104">
        <v>108.500211895855</v>
      </c>
      <c r="AE104" s="3">
        <v>37591</v>
      </c>
      <c r="AF104" s="5">
        <v>164.25262576074499</v>
      </c>
      <c r="AG104" s="5">
        <v>108.500211895855</v>
      </c>
    </row>
    <row r="105" spans="1:33" x14ac:dyDescent="0.25">
      <c r="A105" t="s">
        <v>12</v>
      </c>
      <c r="B105" s="1">
        <v>37622</v>
      </c>
      <c r="C105">
        <v>133138</v>
      </c>
      <c r="D105">
        <v>672789187584.20996</v>
      </c>
      <c r="E105">
        <v>169.22365244006701</v>
      </c>
      <c r="U105" t="s">
        <v>12</v>
      </c>
      <c r="V105" s="1">
        <v>37622</v>
      </c>
      <c r="W105">
        <v>133138</v>
      </c>
      <c r="X105">
        <v>672789187584.20996</v>
      </c>
      <c r="Y105">
        <v>111.005720780335</v>
      </c>
      <c r="AE105" s="3">
        <v>37622</v>
      </c>
      <c r="AF105" s="5">
        <v>169.22365244006701</v>
      </c>
      <c r="AG105" s="5">
        <v>111.005720780335</v>
      </c>
    </row>
    <row r="106" spans="1:33" x14ac:dyDescent="0.25">
      <c r="A106" t="s">
        <v>12</v>
      </c>
      <c r="B106" s="1">
        <v>37653</v>
      </c>
      <c r="C106">
        <v>133396</v>
      </c>
      <c r="D106">
        <v>656320845922.16003</v>
      </c>
      <c r="E106">
        <v>178.24367114453801</v>
      </c>
      <c r="U106" t="s">
        <v>12</v>
      </c>
      <c r="V106" s="1">
        <v>37653</v>
      </c>
      <c r="W106">
        <v>133396</v>
      </c>
      <c r="X106">
        <v>656320845922.16003</v>
      </c>
      <c r="Y106">
        <v>116.457596474494</v>
      </c>
      <c r="AE106" s="3">
        <v>37653</v>
      </c>
      <c r="AF106" s="5">
        <v>178.24367114453801</v>
      </c>
      <c r="AG106" s="5">
        <v>116.457596474494</v>
      </c>
    </row>
    <row r="107" spans="1:33" x14ac:dyDescent="0.25">
      <c r="A107" t="s">
        <v>12</v>
      </c>
      <c r="B107" s="1">
        <v>37681</v>
      </c>
      <c r="C107">
        <v>133498</v>
      </c>
      <c r="D107">
        <v>640695606869.09998</v>
      </c>
      <c r="E107">
        <v>187.94573545909401</v>
      </c>
      <c r="U107" t="s">
        <v>12</v>
      </c>
      <c r="V107" s="1">
        <v>37681</v>
      </c>
      <c r="W107">
        <v>133498</v>
      </c>
      <c r="X107">
        <v>640695606869.09998</v>
      </c>
      <c r="Y107">
        <v>122.227755574323</v>
      </c>
      <c r="AE107" s="3">
        <v>37681</v>
      </c>
      <c r="AF107" s="5">
        <v>187.94573545909401</v>
      </c>
      <c r="AG107" s="5">
        <v>122.227755574323</v>
      </c>
    </row>
    <row r="108" spans="1:33" x14ac:dyDescent="0.25">
      <c r="A108" t="s">
        <v>12</v>
      </c>
      <c r="B108" s="1">
        <v>37712</v>
      </c>
      <c r="C108">
        <v>133630</v>
      </c>
      <c r="D108">
        <v>636170845578.67004</v>
      </c>
      <c r="E108">
        <v>195.258001449576</v>
      </c>
      <c r="U108" t="s">
        <v>12</v>
      </c>
      <c r="V108" s="1">
        <v>37712</v>
      </c>
      <c r="W108">
        <v>133630</v>
      </c>
      <c r="X108">
        <v>636170845578.67004</v>
      </c>
      <c r="Y108">
        <v>126.6820220497</v>
      </c>
      <c r="AE108" s="3">
        <v>37712</v>
      </c>
      <c r="AF108" s="5">
        <v>195.258001449576</v>
      </c>
      <c r="AG108" s="5">
        <v>126.6820220497</v>
      </c>
    </row>
    <row r="109" spans="1:33" x14ac:dyDescent="0.25">
      <c r="A109" t="s">
        <v>12</v>
      </c>
      <c r="B109" s="1">
        <v>37742</v>
      </c>
      <c r="C109">
        <v>133613</v>
      </c>
      <c r="D109">
        <v>622258033060.27002</v>
      </c>
      <c r="E109">
        <v>202.245444263369</v>
      </c>
      <c r="U109" t="s">
        <v>12</v>
      </c>
      <c r="V109" s="1">
        <v>37742</v>
      </c>
      <c r="W109">
        <v>133613</v>
      </c>
      <c r="X109">
        <v>622258033060.27002</v>
      </c>
      <c r="Y109">
        <v>130.82297875520899</v>
      </c>
      <c r="AE109" s="3">
        <v>37742</v>
      </c>
      <c r="AF109" s="5">
        <v>202.245444263369</v>
      </c>
      <c r="AG109" s="5">
        <v>130.82297875520899</v>
      </c>
    </row>
    <row r="110" spans="1:33" x14ac:dyDescent="0.25">
      <c r="A110" t="s">
        <v>12</v>
      </c>
      <c r="B110" s="1">
        <v>37773</v>
      </c>
      <c r="C110">
        <v>133466</v>
      </c>
      <c r="D110">
        <v>605902541798.10999</v>
      </c>
      <c r="E110">
        <v>212.126102709734</v>
      </c>
      <c r="U110" t="s">
        <v>12</v>
      </c>
      <c r="V110" s="1">
        <v>37773</v>
      </c>
      <c r="W110">
        <v>133466</v>
      </c>
      <c r="X110">
        <v>605902541798.10999</v>
      </c>
      <c r="Y110">
        <v>137.625399795753</v>
      </c>
      <c r="AE110" s="3">
        <v>37773</v>
      </c>
      <c r="AF110" s="5">
        <v>212.126102709734</v>
      </c>
      <c r="AG110" s="5">
        <v>137.625399795753</v>
      </c>
    </row>
    <row r="111" spans="1:33" x14ac:dyDescent="0.25">
      <c r="A111" t="s">
        <v>12</v>
      </c>
      <c r="B111" s="1">
        <v>37803</v>
      </c>
      <c r="C111">
        <v>133315</v>
      </c>
      <c r="D111">
        <v>593660262525.88</v>
      </c>
      <c r="E111">
        <v>225.17284904919899</v>
      </c>
      <c r="U111" t="s">
        <v>12</v>
      </c>
      <c r="V111" s="1">
        <v>37803</v>
      </c>
      <c r="W111">
        <v>133315</v>
      </c>
      <c r="X111">
        <v>593660262525.88</v>
      </c>
      <c r="Y111">
        <v>147.152280193255</v>
      </c>
      <c r="AE111" s="3">
        <v>37803</v>
      </c>
      <c r="AF111" s="5">
        <v>225.17284904919899</v>
      </c>
      <c r="AG111" s="5">
        <v>147.152280193255</v>
      </c>
    </row>
    <row r="112" spans="1:33" x14ac:dyDescent="0.25">
      <c r="A112" t="s">
        <v>12</v>
      </c>
      <c r="B112" s="1">
        <v>37834</v>
      </c>
      <c r="C112">
        <v>133241</v>
      </c>
      <c r="D112">
        <v>585591811850.32996</v>
      </c>
      <c r="E112">
        <v>226.29197957409599</v>
      </c>
      <c r="U112" t="s">
        <v>12</v>
      </c>
      <c r="V112" s="1">
        <v>37834</v>
      </c>
      <c r="W112">
        <v>133241</v>
      </c>
      <c r="X112">
        <v>585591811850.32996</v>
      </c>
      <c r="Y112">
        <v>147.60721163728499</v>
      </c>
      <c r="AE112" s="3">
        <v>37834</v>
      </c>
      <c r="AF112" s="5">
        <v>226.29197957409599</v>
      </c>
      <c r="AG112" s="5">
        <v>147.60721163728499</v>
      </c>
    </row>
    <row r="113" spans="1:33" x14ac:dyDescent="0.25">
      <c r="A113" t="s">
        <v>12</v>
      </c>
      <c r="B113" s="1">
        <v>37865</v>
      </c>
      <c r="C113">
        <v>133058</v>
      </c>
      <c r="D113">
        <v>578183747971.03003</v>
      </c>
      <c r="E113">
        <v>213.58354294145099</v>
      </c>
      <c r="U113" t="s">
        <v>12</v>
      </c>
      <c r="V113" s="1">
        <v>37865</v>
      </c>
      <c r="W113">
        <v>133058</v>
      </c>
      <c r="X113">
        <v>578183747971.03003</v>
      </c>
      <c r="Y113">
        <v>139.80749569965201</v>
      </c>
      <c r="AE113" s="3">
        <v>37865</v>
      </c>
      <c r="AF113" s="5">
        <v>213.58354294145099</v>
      </c>
      <c r="AG113" s="5">
        <v>139.80749569965201</v>
      </c>
    </row>
    <row r="114" spans="1:33" x14ac:dyDescent="0.25">
      <c r="A114" t="s">
        <v>12</v>
      </c>
      <c r="B114" s="1">
        <v>37895</v>
      </c>
      <c r="C114">
        <v>132608</v>
      </c>
      <c r="D114">
        <v>572845474136.19995</v>
      </c>
      <c r="E114">
        <v>203.333465959497</v>
      </c>
      <c r="U114" t="s">
        <v>12</v>
      </c>
      <c r="V114" s="1">
        <v>37895</v>
      </c>
      <c r="W114">
        <v>132608</v>
      </c>
      <c r="X114">
        <v>572845474136.19995</v>
      </c>
      <c r="Y114">
        <v>133.08402351159799</v>
      </c>
      <c r="AE114" s="3">
        <v>37895</v>
      </c>
      <c r="AF114" s="5">
        <v>203.333465959497</v>
      </c>
      <c r="AG114" s="5">
        <v>133.08402351159799</v>
      </c>
    </row>
    <row r="115" spans="1:33" x14ac:dyDescent="0.25">
      <c r="A115" t="s">
        <v>12</v>
      </c>
      <c r="B115" s="1">
        <v>37926</v>
      </c>
      <c r="C115">
        <v>132103</v>
      </c>
      <c r="D115">
        <v>579941535512.03003</v>
      </c>
      <c r="E115">
        <v>194.51048245941899</v>
      </c>
      <c r="U115" t="s">
        <v>12</v>
      </c>
      <c r="V115" s="1">
        <v>37926</v>
      </c>
      <c r="W115">
        <v>132103</v>
      </c>
      <c r="X115">
        <v>579941535512.03003</v>
      </c>
      <c r="Y115">
        <v>126.76690686134801</v>
      </c>
      <c r="AE115" s="3">
        <v>37926</v>
      </c>
      <c r="AF115" s="5">
        <v>194.51048245941899</v>
      </c>
      <c r="AG115" s="5">
        <v>126.76690686134801</v>
      </c>
    </row>
    <row r="116" spans="1:33" x14ac:dyDescent="0.25">
      <c r="A116" t="s">
        <v>12</v>
      </c>
      <c r="B116" s="1">
        <v>37956</v>
      </c>
      <c r="C116">
        <v>131762</v>
      </c>
      <c r="D116">
        <v>581878790128.79004</v>
      </c>
      <c r="E116">
        <v>191.098587362567</v>
      </c>
      <c r="U116" t="s">
        <v>12</v>
      </c>
      <c r="V116" s="1">
        <v>37956</v>
      </c>
      <c r="W116">
        <v>131762</v>
      </c>
      <c r="X116">
        <v>581878790128.79004</v>
      </c>
      <c r="Y116">
        <v>123.824530761714</v>
      </c>
      <c r="AE116" s="3">
        <v>37956</v>
      </c>
      <c r="AF116" s="5">
        <v>191.098587362567</v>
      </c>
      <c r="AG116" s="5">
        <v>123.824530761714</v>
      </c>
    </row>
    <row r="117" spans="1:33" x14ac:dyDescent="0.25">
      <c r="A117" t="s">
        <v>12</v>
      </c>
      <c r="B117" s="1">
        <v>37987</v>
      </c>
      <c r="C117">
        <v>131673</v>
      </c>
      <c r="D117">
        <v>587417750639.32996</v>
      </c>
      <c r="E117">
        <v>189.55344576496</v>
      </c>
      <c r="U117" t="s">
        <v>12</v>
      </c>
      <c r="V117" s="1">
        <v>37987</v>
      </c>
      <c r="W117">
        <v>131673</v>
      </c>
      <c r="X117">
        <v>587417750639.32996</v>
      </c>
      <c r="Y117">
        <v>122.144296437951</v>
      </c>
      <c r="AE117" s="3">
        <v>37987</v>
      </c>
      <c r="AF117" s="5">
        <v>189.55344576496</v>
      </c>
      <c r="AG117" s="5">
        <v>122.144296437951</v>
      </c>
    </row>
    <row r="118" spans="1:33" x14ac:dyDescent="0.25">
      <c r="A118" t="s">
        <v>12</v>
      </c>
      <c r="B118" s="1">
        <v>38018</v>
      </c>
      <c r="C118">
        <v>131593</v>
      </c>
      <c r="D118">
        <v>590489964527.37</v>
      </c>
      <c r="E118">
        <v>191.39478800164599</v>
      </c>
      <c r="U118" t="s">
        <v>12</v>
      </c>
      <c r="V118" s="1">
        <v>38018</v>
      </c>
      <c r="W118">
        <v>131593</v>
      </c>
      <c r="X118">
        <v>590489964527.37</v>
      </c>
      <c r="Y118">
        <v>122.626887583596</v>
      </c>
      <c r="AE118" s="3">
        <v>38018</v>
      </c>
      <c r="AF118" s="5">
        <v>191.39478800164599</v>
      </c>
      <c r="AG118" s="5">
        <v>122.626887583596</v>
      </c>
    </row>
    <row r="119" spans="1:33" x14ac:dyDescent="0.25">
      <c r="A119" t="s">
        <v>12</v>
      </c>
      <c r="B119" s="1">
        <v>38047</v>
      </c>
      <c r="C119">
        <v>131656</v>
      </c>
      <c r="D119">
        <v>593859136986.82996</v>
      </c>
      <c r="E119">
        <v>195.75408136341099</v>
      </c>
      <c r="U119" t="s">
        <v>12</v>
      </c>
      <c r="V119" s="1">
        <v>38047</v>
      </c>
      <c r="W119">
        <v>131656</v>
      </c>
      <c r="X119">
        <v>593859136986.82996</v>
      </c>
      <c r="Y119">
        <v>124.653866796578</v>
      </c>
      <c r="AE119" s="3">
        <v>38047</v>
      </c>
      <c r="AF119" s="5">
        <v>195.75408136341099</v>
      </c>
      <c r="AG119" s="5">
        <v>124.653866796578</v>
      </c>
    </row>
    <row r="120" spans="1:33" x14ac:dyDescent="0.25">
      <c r="A120" t="s">
        <v>12</v>
      </c>
      <c r="B120" s="1">
        <v>38078</v>
      </c>
      <c r="C120">
        <v>131878</v>
      </c>
      <c r="D120">
        <v>596475616648.46997</v>
      </c>
      <c r="E120">
        <v>201.57990522944201</v>
      </c>
      <c r="U120" t="s">
        <v>12</v>
      </c>
      <c r="V120" s="1">
        <v>38078</v>
      </c>
      <c r="W120">
        <v>131878</v>
      </c>
      <c r="X120">
        <v>596475616648.46997</v>
      </c>
      <c r="Y120">
        <v>127.67003499027101</v>
      </c>
      <c r="AE120" s="3">
        <v>38078</v>
      </c>
      <c r="AF120" s="5">
        <v>201.57990522944201</v>
      </c>
      <c r="AG120" s="5">
        <v>127.67003499027101</v>
      </c>
    </row>
    <row r="121" spans="1:33" x14ac:dyDescent="0.25">
      <c r="A121" t="s">
        <v>12</v>
      </c>
      <c r="B121" s="1">
        <v>38108</v>
      </c>
      <c r="C121">
        <v>132083</v>
      </c>
      <c r="D121">
        <v>597337065898.32996</v>
      </c>
      <c r="E121">
        <v>198.68579980699701</v>
      </c>
      <c r="U121" t="s">
        <v>12</v>
      </c>
      <c r="V121" s="1">
        <v>38108</v>
      </c>
      <c r="W121">
        <v>132083</v>
      </c>
      <c r="X121">
        <v>597337065898.32996</v>
      </c>
      <c r="Y121">
        <v>125.53852491660901</v>
      </c>
      <c r="AE121" s="3">
        <v>38108</v>
      </c>
      <c r="AF121" s="5">
        <v>198.68579980699701</v>
      </c>
      <c r="AG121" s="5">
        <v>125.53852491660901</v>
      </c>
    </row>
    <row r="122" spans="1:33" x14ac:dyDescent="0.25">
      <c r="A122" t="s">
        <v>12</v>
      </c>
      <c r="B122" s="1">
        <v>38139</v>
      </c>
      <c r="C122">
        <v>132099</v>
      </c>
      <c r="D122">
        <v>596273346302.71997</v>
      </c>
      <c r="E122">
        <v>192.419181120551</v>
      </c>
      <c r="U122" t="s">
        <v>12</v>
      </c>
      <c r="V122" s="1">
        <v>38139</v>
      </c>
      <c r="W122">
        <v>132099</v>
      </c>
      <c r="X122">
        <v>596273346302.71997</v>
      </c>
      <c r="Y122">
        <v>121.560823775964</v>
      </c>
      <c r="AE122" s="3">
        <v>38139</v>
      </c>
      <c r="AF122" s="5">
        <v>192.419181120551</v>
      </c>
      <c r="AG122" s="5">
        <v>121.560823775964</v>
      </c>
    </row>
    <row r="123" spans="1:33" x14ac:dyDescent="0.25">
      <c r="A123" t="s">
        <v>12</v>
      </c>
      <c r="B123" s="1">
        <v>38169</v>
      </c>
      <c r="C123">
        <v>131952</v>
      </c>
      <c r="D123">
        <v>601439464147.39001</v>
      </c>
      <c r="E123">
        <v>185.946198716536</v>
      </c>
      <c r="U123" t="s">
        <v>12</v>
      </c>
      <c r="V123" s="1">
        <v>38169</v>
      </c>
      <c r="W123">
        <v>131952</v>
      </c>
      <c r="X123">
        <v>601439464147.39001</v>
      </c>
      <c r="Y123">
        <v>117.168668121614</v>
      </c>
      <c r="AE123" s="3">
        <v>38169</v>
      </c>
      <c r="AF123" s="5">
        <v>185.946198716536</v>
      </c>
      <c r="AG123" s="5">
        <v>117.168668121614</v>
      </c>
    </row>
    <row r="124" spans="1:33" x14ac:dyDescent="0.25">
      <c r="A124" t="s">
        <v>12</v>
      </c>
      <c r="B124" s="1">
        <v>38200</v>
      </c>
      <c r="C124">
        <v>131955</v>
      </c>
      <c r="D124">
        <v>605197029837.21997</v>
      </c>
      <c r="E124">
        <v>182.85217175163399</v>
      </c>
      <c r="U124" t="s">
        <v>12</v>
      </c>
      <c r="V124" s="1">
        <v>38200</v>
      </c>
      <c r="W124">
        <v>131955</v>
      </c>
      <c r="X124">
        <v>605197029837.21997</v>
      </c>
      <c r="Y124">
        <v>114.739397412041</v>
      </c>
      <c r="AE124" s="3">
        <v>38200</v>
      </c>
      <c r="AF124" s="5">
        <v>182.85217175163399</v>
      </c>
      <c r="AG124" s="5">
        <v>114.739397412041</v>
      </c>
    </row>
    <row r="125" spans="1:33" x14ac:dyDescent="0.25">
      <c r="A125" t="s">
        <v>12</v>
      </c>
      <c r="B125" s="1">
        <v>38231</v>
      </c>
      <c r="C125">
        <v>132161</v>
      </c>
      <c r="D125">
        <v>608460652302.93994</v>
      </c>
      <c r="E125">
        <v>182.724667175809</v>
      </c>
      <c r="U125" t="s">
        <v>12</v>
      </c>
      <c r="V125" s="1">
        <v>38231</v>
      </c>
      <c r="W125">
        <v>132161</v>
      </c>
      <c r="X125">
        <v>608460652302.93994</v>
      </c>
      <c r="Y125">
        <v>114.040394175806</v>
      </c>
      <c r="AE125" s="3">
        <v>38231</v>
      </c>
      <c r="AF125" s="5">
        <v>182.724667175809</v>
      </c>
      <c r="AG125" s="5">
        <v>114.040394175806</v>
      </c>
    </row>
    <row r="126" spans="1:33" x14ac:dyDescent="0.25">
      <c r="A126" t="s">
        <v>12</v>
      </c>
      <c r="B126" s="1">
        <v>38261</v>
      </c>
      <c r="C126">
        <v>132303</v>
      </c>
      <c r="D126">
        <v>611155921112.51001</v>
      </c>
      <c r="E126">
        <v>183.87872259247101</v>
      </c>
      <c r="U126" t="s">
        <v>12</v>
      </c>
      <c r="V126" s="1">
        <v>38261</v>
      </c>
      <c r="W126">
        <v>132303</v>
      </c>
      <c r="X126">
        <v>611155921112.51001</v>
      </c>
      <c r="Y126">
        <v>114.07430181275799</v>
      </c>
      <c r="AE126" s="3">
        <v>38261</v>
      </c>
      <c r="AF126" s="5">
        <v>183.87872259247101</v>
      </c>
      <c r="AG126" s="5">
        <v>114.07430181275799</v>
      </c>
    </row>
    <row r="127" spans="1:33" x14ac:dyDescent="0.25">
      <c r="A127" t="s">
        <v>12</v>
      </c>
      <c r="B127" s="1">
        <v>38292</v>
      </c>
      <c r="C127">
        <v>132433</v>
      </c>
      <c r="D127">
        <v>614809241512.60999</v>
      </c>
      <c r="E127">
        <v>185.545319216975</v>
      </c>
      <c r="U127" t="s">
        <v>12</v>
      </c>
      <c r="V127" s="1">
        <v>38292</v>
      </c>
      <c r="W127">
        <v>132433</v>
      </c>
      <c r="X127">
        <v>614809241512.60999</v>
      </c>
      <c r="Y127">
        <v>114.354005937458</v>
      </c>
      <c r="AE127" s="3">
        <v>38292</v>
      </c>
      <c r="AF127" s="5">
        <v>185.545319216975</v>
      </c>
      <c r="AG127" s="5">
        <v>114.354005937458</v>
      </c>
    </row>
    <row r="128" spans="1:33" x14ac:dyDescent="0.25">
      <c r="A128" t="s">
        <v>12</v>
      </c>
      <c r="B128" s="1">
        <v>38322</v>
      </c>
      <c r="C128">
        <v>132687</v>
      </c>
      <c r="D128">
        <v>617441892380.83997</v>
      </c>
      <c r="E128">
        <v>187.44035492901699</v>
      </c>
      <c r="U128" t="s">
        <v>12</v>
      </c>
      <c r="V128" s="1">
        <v>38322</v>
      </c>
      <c r="W128">
        <v>132687</v>
      </c>
      <c r="X128">
        <v>617441892380.83997</v>
      </c>
      <c r="Y128">
        <v>114.805482407273</v>
      </c>
      <c r="AE128" s="3">
        <v>38322</v>
      </c>
      <c r="AF128" s="5">
        <v>187.44035492901699</v>
      </c>
      <c r="AG128" s="5">
        <v>114.805482407273</v>
      </c>
    </row>
    <row r="129" spans="1:33" x14ac:dyDescent="0.25">
      <c r="A129" t="s">
        <v>12</v>
      </c>
      <c r="B129" s="1">
        <v>38353</v>
      </c>
      <c r="C129">
        <v>133092</v>
      </c>
      <c r="D129">
        <v>623960122239.18994</v>
      </c>
      <c r="E129">
        <v>187.463914918597</v>
      </c>
      <c r="U129" t="s">
        <v>12</v>
      </c>
      <c r="V129" s="1">
        <v>38353</v>
      </c>
      <c r="W129">
        <v>133092</v>
      </c>
      <c r="X129">
        <v>623960122239.18994</v>
      </c>
      <c r="Y129">
        <v>114.21008398583101</v>
      </c>
      <c r="AE129" s="3">
        <v>38353</v>
      </c>
      <c r="AF129" s="5">
        <v>187.463914918597</v>
      </c>
      <c r="AG129" s="5">
        <v>114.21008398583101</v>
      </c>
    </row>
    <row r="130" spans="1:33" x14ac:dyDescent="0.25">
      <c r="A130" t="s">
        <v>12</v>
      </c>
      <c r="B130" s="1">
        <v>38384</v>
      </c>
      <c r="C130">
        <v>133292</v>
      </c>
      <c r="D130">
        <v>627455382401.26001</v>
      </c>
      <c r="E130">
        <v>188.330240043564</v>
      </c>
      <c r="U130" t="s">
        <v>12</v>
      </c>
      <c r="V130" s="1">
        <v>38384</v>
      </c>
      <c r="W130">
        <v>133292</v>
      </c>
      <c r="X130">
        <v>627455382401.26001</v>
      </c>
      <c r="Y130">
        <v>114.09171786622299</v>
      </c>
      <c r="AE130" s="3">
        <v>38384</v>
      </c>
      <c r="AF130" s="5">
        <v>188.330240043564</v>
      </c>
      <c r="AG130" s="5">
        <v>114.09171786622299</v>
      </c>
    </row>
    <row r="131" spans="1:33" x14ac:dyDescent="0.25">
      <c r="A131" t="s">
        <v>12</v>
      </c>
      <c r="B131" s="1">
        <v>38412</v>
      </c>
      <c r="C131">
        <v>133606</v>
      </c>
      <c r="D131">
        <v>630345840465.95996</v>
      </c>
      <c r="E131">
        <v>191.73533831465301</v>
      </c>
      <c r="U131" t="s">
        <v>12</v>
      </c>
      <c r="V131" s="1">
        <v>38412</v>
      </c>
      <c r="W131">
        <v>133606</v>
      </c>
      <c r="X131">
        <v>630345840465.95996</v>
      </c>
      <c r="Y131">
        <v>115.37215190294199</v>
      </c>
      <c r="AE131" s="3">
        <v>38412</v>
      </c>
      <c r="AF131" s="5">
        <v>191.73533831465301</v>
      </c>
      <c r="AG131" s="5">
        <v>115.37215190294199</v>
      </c>
    </row>
    <row r="132" spans="1:33" x14ac:dyDescent="0.25">
      <c r="A132" t="s">
        <v>12</v>
      </c>
      <c r="B132" s="1">
        <v>38443</v>
      </c>
      <c r="C132">
        <v>133977</v>
      </c>
      <c r="D132">
        <v>636404653411.88</v>
      </c>
      <c r="E132">
        <v>190.53253319181701</v>
      </c>
      <c r="U132" t="s">
        <v>12</v>
      </c>
      <c r="V132" s="1">
        <v>38443</v>
      </c>
      <c r="W132">
        <v>133977</v>
      </c>
      <c r="X132">
        <v>636404653411.88</v>
      </c>
      <c r="Y132">
        <v>114.282427550687</v>
      </c>
      <c r="AE132" s="3">
        <v>38443</v>
      </c>
      <c r="AF132" s="5">
        <v>190.53253319181701</v>
      </c>
      <c r="AG132" s="5">
        <v>114.282427550687</v>
      </c>
    </row>
    <row r="133" spans="1:33" x14ac:dyDescent="0.25">
      <c r="A133" t="s">
        <v>12</v>
      </c>
      <c r="B133" s="1">
        <v>38473</v>
      </c>
      <c r="C133">
        <v>134400</v>
      </c>
      <c r="D133">
        <v>643943974637.40002</v>
      </c>
      <c r="E133">
        <v>188.25359982829801</v>
      </c>
      <c r="U133" t="s">
        <v>12</v>
      </c>
      <c r="V133" s="1">
        <v>38473</v>
      </c>
      <c r="W133">
        <v>134400</v>
      </c>
      <c r="X133">
        <v>643943974637.40002</v>
      </c>
      <c r="Y133">
        <v>112.495996448084</v>
      </c>
      <c r="AE133" s="3">
        <v>38473</v>
      </c>
      <c r="AF133" s="5">
        <v>188.25359982829801</v>
      </c>
      <c r="AG133" s="5">
        <v>112.495996448084</v>
      </c>
    </row>
    <row r="134" spans="1:33" x14ac:dyDescent="0.25">
      <c r="A134" t="s">
        <v>12</v>
      </c>
      <c r="B134" s="1">
        <v>38504</v>
      </c>
      <c r="C134">
        <v>134739</v>
      </c>
      <c r="D134">
        <v>653230277414.80005</v>
      </c>
      <c r="E134">
        <v>187.975555972764</v>
      </c>
      <c r="U134" t="s">
        <v>12</v>
      </c>
      <c r="V134" s="1">
        <v>38504</v>
      </c>
      <c r="W134">
        <v>134739</v>
      </c>
      <c r="X134">
        <v>653230277414.80005</v>
      </c>
      <c r="Y134">
        <v>111.64425253102</v>
      </c>
      <c r="AE134" s="3">
        <v>38504</v>
      </c>
      <c r="AF134" s="5">
        <v>187.975555972764</v>
      </c>
      <c r="AG134" s="5">
        <v>111.64425253102</v>
      </c>
    </row>
    <row r="135" spans="1:33" x14ac:dyDescent="0.25">
      <c r="A135" t="s">
        <v>12</v>
      </c>
      <c r="B135" s="1">
        <v>38534</v>
      </c>
      <c r="C135">
        <v>135194</v>
      </c>
      <c r="D135">
        <v>662672623504.70996</v>
      </c>
      <c r="E135">
        <v>189.90727345001201</v>
      </c>
      <c r="U135" t="s">
        <v>12</v>
      </c>
      <c r="V135" s="1">
        <v>38534</v>
      </c>
      <c r="W135">
        <v>135194</v>
      </c>
      <c r="X135">
        <v>662672623504.70996</v>
      </c>
      <c r="Y135">
        <v>111.903294066839</v>
      </c>
      <c r="AE135" s="3">
        <v>38534</v>
      </c>
      <c r="AF135" s="5">
        <v>189.90727345001201</v>
      </c>
      <c r="AG135" s="5">
        <v>111.903294066839</v>
      </c>
    </row>
    <row r="136" spans="1:33" x14ac:dyDescent="0.25">
      <c r="A136" t="s">
        <v>12</v>
      </c>
      <c r="B136" s="1">
        <v>38565</v>
      </c>
      <c r="C136">
        <v>135445</v>
      </c>
      <c r="D136">
        <v>669529147077.09998</v>
      </c>
      <c r="E136">
        <v>190.21675366191499</v>
      </c>
      <c r="U136" t="s">
        <v>12</v>
      </c>
      <c r="V136" s="1">
        <v>38565</v>
      </c>
      <c r="W136">
        <v>135445</v>
      </c>
      <c r="X136">
        <v>669529147077.09998</v>
      </c>
      <c r="Y136">
        <v>111.387017735814</v>
      </c>
      <c r="AE136" s="3">
        <v>38565</v>
      </c>
      <c r="AF136" s="5">
        <v>190.21675366191499</v>
      </c>
      <c r="AG136" s="5">
        <v>111.387017735814</v>
      </c>
    </row>
    <row r="137" spans="1:33" x14ac:dyDescent="0.25">
      <c r="A137" t="s">
        <v>12</v>
      </c>
      <c r="B137" s="1">
        <v>38596</v>
      </c>
      <c r="C137">
        <v>135930</v>
      </c>
      <c r="D137">
        <v>681084316958.28003</v>
      </c>
      <c r="E137">
        <v>187.72402214039599</v>
      </c>
      <c r="U137" t="s">
        <v>12</v>
      </c>
      <c r="V137" s="1">
        <v>38596</v>
      </c>
      <c r="W137">
        <v>135930</v>
      </c>
      <c r="X137">
        <v>681084316958.28003</v>
      </c>
      <c r="Y137">
        <v>109.48667645662201</v>
      </c>
      <c r="AE137" s="3">
        <v>38596</v>
      </c>
      <c r="AF137" s="5">
        <v>187.72402214039599</v>
      </c>
      <c r="AG137" s="5">
        <v>109.48667645662201</v>
      </c>
    </row>
    <row r="138" spans="1:33" x14ac:dyDescent="0.25">
      <c r="A138" t="s">
        <v>12</v>
      </c>
      <c r="B138" s="1">
        <v>38626</v>
      </c>
      <c r="C138">
        <v>136354</v>
      </c>
      <c r="D138">
        <v>696083136095.84998</v>
      </c>
      <c r="E138">
        <v>183.62774174316601</v>
      </c>
      <c r="U138" t="s">
        <v>12</v>
      </c>
      <c r="V138" s="1">
        <v>38626</v>
      </c>
      <c r="W138">
        <v>136354</v>
      </c>
      <c r="X138">
        <v>696083136095.84998</v>
      </c>
      <c r="Y138">
        <v>106.66834889307199</v>
      </c>
      <c r="AE138" s="3">
        <v>38626</v>
      </c>
      <c r="AF138" s="5">
        <v>183.62774174316601</v>
      </c>
      <c r="AG138" s="5">
        <v>106.66834889307199</v>
      </c>
    </row>
    <row r="139" spans="1:33" x14ac:dyDescent="0.25">
      <c r="A139" t="s">
        <v>12</v>
      </c>
      <c r="B139" s="1">
        <v>38657</v>
      </c>
      <c r="C139">
        <v>136807</v>
      </c>
      <c r="D139">
        <v>709909508509.60999</v>
      </c>
      <c r="E139">
        <v>178.464279731201</v>
      </c>
      <c r="U139" t="s">
        <v>12</v>
      </c>
      <c r="V139" s="1">
        <v>38657</v>
      </c>
      <c r="W139">
        <v>136807</v>
      </c>
      <c r="X139">
        <v>709909508509.60999</v>
      </c>
      <c r="Y139">
        <v>103.495666124509</v>
      </c>
      <c r="AE139" s="3">
        <v>38657</v>
      </c>
      <c r="AF139" s="5">
        <v>178.464279731201</v>
      </c>
      <c r="AG139" s="5">
        <v>103.495666124509</v>
      </c>
    </row>
    <row r="140" spans="1:33" x14ac:dyDescent="0.25">
      <c r="A140" t="s">
        <v>12</v>
      </c>
      <c r="B140" s="1">
        <v>38687</v>
      </c>
      <c r="C140">
        <v>137306</v>
      </c>
      <c r="D140">
        <v>723313661090.52002</v>
      </c>
      <c r="E140">
        <v>172.72736967535801</v>
      </c>
      <c r="U140" t="s">
        <v>12</v>
      </c>
      <c r="V140" s="1">
        <v>38687</v>
      </c>
      <c r="W140">
        <v>137306</v>
      </c>
      <c r="X140">
        <v>723313661090.52002</v>
      </c>
      <c r="Y140">
        <v>100.03699023495599</v>
      </c>
      <c r="AE140" s="3">
        <v>38687</v>
      </c>
      <c r="AF140" s="5">
        <v>172.72736967535801</v>
      </c>
      <c r="AG140" s="5">
        <v>100.03699023495599</v>
      </c>
    </row>
    <row r="141" spans="1:33" x14ac:dyDescent="0.25">
      <c r="A141" t="s">
        <v>12</v>
      </c>
      <c r="B141" s="1">
        <v>38718</v>
      </c>
      <c r="C141">
        <v>137944</v>
      </c>
      <c r="D141">
        <v>737066180148.85999</v>
      </c>
      <c r="E141">
        <v>167.64355704504499</v>
      </c>
      <c r="U141" t="s">
        <v>12</v>
      </c>
      <c r="V141" s="1">
        <v>38718</v>
      </c>
      <c r="W141">
        <v>137944</v>
      </c>
      <c r="X141">
        <v>737066180148.85999</v>
      </c>
      <c r="Y141">
        <v>96.929749892631307</v>
      </c>
      <c r="AE141" s="3">
        <v>38718</v>
      </c>
      <c r="AF141" s="5">
        <v>167.64355704504499</v>
      </c>
      <c r="AG141" s="5">
        <v>96.929749892631307</v>
      </c>
    </row>
    <row r="142" spans="1:33" x14ac:dyDescent="0.25">
      <c r="A142" t="s">
        <v>12</v>
      </c>
      <c r="B142" s="1">
        <v>38749</v>
      </c>
      <c r="C142">
        <v>138515</v>
      </c>
      <c r="D142">
        <v>750813136411.38</v>
      </c>
      <c r="E142">
        <v>163.76437772883901</v>
      </c>
      <c r="U142" t="s">
        <v>12</v>
      </c>
      <c r="V142" s="1">
        <v>38749</v>
      </c>
      <c r="W142">
        <v>138515</v>
      </c>
      <c r="X142">
        <v>750813136411.38</v>
      </c>
      <c r="Y142">
        <v>94.511898082201597</v>
      </c>
      <c r="AE142" s="3">
        <v>38749</v>
      </c>
      <c r="AF142" s="5">
        <v>163.76437772883901</v>
      </c>
      <c r="AG142" s="5">
        <v>94.511898082201597</v>
      </c>
    </row>
    <row r="143" spans="1:33" x14ac:dyDescent="0.25">
      <c r="A143" t="s">
        <v>12</v>
      </c>
      <c r="B143" s="1">
        <v>38777</v>
      </c>
      <c r="C143">
        <v>139200</v>
      </c>
      <c r="D143">
        <v>762936156844.35999</v>
      </c>
      <c r="E143">
        <v>160.729447813951</v>
      </c>
      <c r="U143" t="s">
        <v>12</v>
      </c>
      <c r="V143" s="1">
        <v>38777</v>
      </c>
      <c r="W143">
        <v>139200</v>
      </c>
      <c r="X143">
        <v>762936156844.35999</v>
      </c>
      <c r="Y143">
        <v>92.6124450304156</v>
      </c>
      <c r="AE143" s="3">
        <v>38777</v>
      </c>
      <c r="AF143" s="5">
        <v>160.729447813951</v>
      </c>
      <c r="AG143" s="5">
        <v>92.6124450304156</v>
      </c>
    </row>
    <row r="144" spans="1:33" x14ac:dyDescent="0.25">
      <c r="A144" t="s">
        <v>12</v>
      </c>
      <c r="B144" s="1">
        <v>38808</v>
      </c>
      <c r="C144">
        <v>139672</v>
      </c>
      <c r="D144">
        <v>773774501099.78003</v>
      </c>
      <c r="E144">
        <v>157.638023836852</v>
      </c>
      <c r="U144" t="s">
        <v>12</v>
      </c>
      <c r="V144" s="1">
        <v>38808</v>
      </c>
      <c r="W144">
        <v>139672</v>
      </c>
      <c r="X144">
        <v>773774501099.78003</v>
      </c>
      <c r="Y144">
        <v>90.708118089139802</v>
      </c>
      <c r="AE144" s="3">
        <v>38808</v>
      </c>
      <c r="AF144" s="5">
        <v>157.638023836852</v>
      </c>
      <c r="AG144" s="5">
        <v>90.708118089139802</v>
      </c>
    </row>
    <row r="145" spans="1:33" x14ac:dyDescent="0.25">
      <c r="A145" t="s">
        <v>12</v>
      </c>
      <c r="B145" s="1">
        <v>38838</v>
      </c>
      <c r="C145">
        <v>140122</v>
      </c>
      <c r="D145">
        <v>784425698830.51001</v>
      </c>
      <c r="E145">
        <v>153.78445257746401</v>
      </c>
      <c r="U145" t="s">
        <v>12</v>
      </c>
      <c r="V145" s="1">
        <v>38838</v>
      </c>
      <c r="W145">
        <v>140122</v>
      </c>
      <c r="X145">
        <v>784425698830.51001</v>
      </c>
      <c r="Y145">
        <v>88.390080019625401</v>
      </c>
      <c r="AE145" s="3">
        <v>38838</v>
      </c>
      <c r="AF145" s="5">
        <v>153.78445257746401</v>
      </c>
      <c r="AG145" s="5">
        <v>88.390080019625401</v>
      </c>
    </row>
    <row r="146" spans="1:33" x14ac:dyDescent="0.25">
      <c r="A146" t="s">
        <v>12</v>
      </c>
      <c r="B146" s="1">
        <v>38869</v>
      </c>
      <c r="C146">
        <v>140435</v>
      </c>
      <c r="D146">
        <v>793859723461.93005</v>
      </c>
      <c r="E146">
        <v>150.46120579636101</v>
      </c>
      <c r="U146" t="s">
        <v>12</v>
      </c>
      <c r="V146" s="1">
        <v>38869</v>
      </c>
      <c r="W146">
        <v>140435</v>
      </c>
      <c r="X146">
        <v>793859723461.93005</v>
      </c>
      <c r="Y146">
        <v>86.371302231219005</v>
      </c>
      <c r="AE146" s="3">
        <v>38869</v>
      </c>
      <c r="AF146" s="5">
        <v>150.46120579636101</v>
      </c>
      <c r="AG146" s="5">
        <v>86.371302231219005</v>
      </c>
    </row>
    <row r="147" spans="1:33" x14ac:dyDescent="0.25">
      <c r="A147" t="s">
        <v>12</v>
      </c>
      <c r="B147" s="1">
        <v>38899</v>
      </c>
      <c r="C147">
        <v>140872</v>
      </c>
      <c r="D147">
        <v>804148796324.16003</v>
      </c>
      <c r="E147">
        <v>146.74398907907701</v>
      </c>
      <c r="U147" t="s">
        <v>12</v>
      </c>
      <c r="V147" s="1">
        <v>38899</v>
      </c>
      <c r="W147">
        <v>140872</v>
      </c>
      <c r="X147">
        <v>804148796324.16003</v>
      </c>
      <c r="Y147">
        <v>84.149202088753</v>
      </c>
      <c r="AE147" s="3">
        <v>38899</v>
      </c>
      <c r="AF147" s="5">
        <v>146.74398907907701</v>
      </c>
      <c r="AG147" s="5">
        <v>84.149202088753</v>
      </c>
    </row>
    <row r="148" spans="1:33" x14ac:dyDescent="0.25">
      <c r="A148" t="s">
        <v>12</v>
      </c>
      <c r="B148" s="1">
        <v>38930</v>
      </c>
      <c r="C148">
        <v>141261</v>
      </c>
      <c r="D148">
        <v>815623297124.84998</v>
      </c>
      <c r="E148">
        <v>142.901703712065</v>
      </c>
      <c r="U148" t="s">
        <v>12</v>
      </c>
      <c r="V148" s="1">
        <v>38930</v>
      </c>
      <c r="W148">
        <v>141261</v>
      </c>
      <c r="X148">
        <v>815623297124.84998</v>
      </c>
      <c r="Y148">
        <v>81.858411901879094</v>
      </c>
      <c r="AE148" s="3">
        <v>38930</v>
      </c>
      <c r="AF148" s="5">
        <v>142.901703712065</v>
      </c>
      <c r="AG148" s="5">
        <v>81.858411901879094</v>
      </c>
    </row>
    <row r="149" spans="1:33" x14ac:dyDescent="0.25">
      <c r="A149" t="s">
        <v>12</v>
      </c>
      <c r="B149" s="1">
        <v>38961</v>
      </c>
      <c r="C149">
        <v>141782</v>
      </c>
      <c r="D149">
        <v>829173302149.54004</v>
      </c>
      <c r="E149">
        <v>141.256219534786</v>
      </c>
      <c r="U149" t="s">
        <v>12</v>
      </c>
      <c r="V149" s="1">
        <v>38961</v>
      </c>
      <c r="W149">
        <v>141782</v>
      </c>
      <c r="X149">
        <v>829173302149.54004</v>
      </c>
      <c r="Y149">
        <v>81.626861546278306</v>
      </c>
      <c r="AE149" s="3">
        <v>38961</v>
      </c>
      <c r="AF149" s="5">
        <v>141.256219534786</v>
      </c>
      <c r="AG149" s="5">
        <v>81.626861546278306</v>
      </c>
    </row>
    <row r="150" spans="1:33" x14ac:dyDescent="0.25">
      <c r="A150" t="s">
        <v>12</v>
      </c>
      <c r="B150" s="1">
        <v>38991</v>
      </c>
      <c r="C150">
        <v>142240</v>
      </c>
      <c r="D150">
        <v>841370417123.65002</v>
      </c>
      <c r="E150">
        <v>138.76621015524401</v>
      </c>
      <c r="U150" t="s">
        <v>12</v>
      </c>
      <c r="V150" s="1">
        <v>38991</v>
      </c>
      <c r="W150">
        <v>142240</v>
      </c>
      <c r="X150">
        <v>841370417123.65002</v>
      </c>
      <c r="Y150">
        <v>80.343387193599995</v>
      </c>
      <c r="AE150" s="3">
        <v>38991</v>
      </c>
      <c r="AF150" s="5">
        <v>138.76621015524401</v>
      </c>
      <c r="AG150" s="5">
        <v>80.343387193599995</v>
      </c>
    </row>
    <row r="151" spans="1:33" x14ac:dyDescent="0.25">
      <c r="A151" t="s">
        <v>12</v>
      </c>
      <c r="B151" s="1">
        <v>39022</v>
      </c>
      <c r="C151">
        <v>142710</v>
      </c>
      <c r="D151">
        <v>852239587713.02002</v>
      </c>
      <c r="E151">
        <v>137.151867324329</v>
      </c>
      <c r="U151" t="s">
        <v>12</v>
      </c>
      <c r="V151" s="1">
        <v>39022</v>
      </c>
      <c r="W151">
        <v>142710</v>
      </c>
      <c r="X151">
        <v>852239587713.02002</v>
      </c>
      <c r="Y151">
        <v>79.711594520123299</v>
      </c>
      <c r="AE151" s="3">
        <v>39022</v>
      </c>
      <c r="AF151" s="5">
        <v>137.151867324329</v>
      </c>
      <c r="AG151" s="5">
        <v>79.711594520123299</v>
      </c>
    </row>
    <row r="152" spans="1:33" x14ac:dyDescent="0.25">
      <c r="A152" t="s">
        <v>12</v>
      </c>
      <c r="B152" s="1">
        <v>39052</v>
      </c>
      <c r="C152">
        <v>143157</v>
      </c>
      <c r="D152">
        <v>860737627696.97998</v>
      </c>
      <c r="E152">
        <v>136.2075066964</v>
      </c>
      <c r="U152" t="s">
        <v>12</v>
      </c>
      <c r="V152" s="1">
        <v>39052</v>
      </c>
      <c r="W152">
        <v>143157</v>
      </c>
      <c r="X152">
        <v>860737627696.97998</v>
      </c>
      <c r="Y152">
        <v>79.554388581580199</v>
      </c>
      <c r="AE152" s="3">
        <v>39052</v>
      </c>
      <c r="AF152" s="5">
        <v>136.2075066964</v>
      </c>
      <c r="AG152" s="5">
        <v>79.554388581580199</v>
      </c>
    </row>
    <row r="153" spans="1:33" x14ac:dyDescent="0.25">
      <c r="A153" t="s">
        <v>12</v>
      </c>
      <c r="B153" s="1">
        <v>39083</v>
      </c>
      <c r="C153">
        <v>143792</v>
      </c>
      <c r="D153">
        <v>875234917686.55005</v>
      </c>
      <c r="E153">
        <v>135.10170251987699</v>
      </c>
      <c r="U153" t="s">
        <v>12</v>
      </c>
      <c r="V153" s="1">
        <v>39083</v>
      </c>
      <c r="W153">
        <v>143792</v>
      </c>
      <c r="X153">
        <v>875234917686.55005</v>
      </c>
      <c r="Y153">
        <v>79.403999680220295</v>
      </c>
      <c r="AE153" s="3">
        <v>39083</v>
      </c>
      <c r="AF153" s="5">
        <v>135.10170251987699</v>
      </c>
      <c r="AG153" s="5">
        <v>79.403999680220295</v>
      </c>
    </row>
    <row r="154" spans="1:33" x14ac:dyDescent="0.25">
      <c r="A154" t="s">
        <v>12</v>
      </c>
      <c r="B154" s="1">
        <v>39114</v>
      </c>
      <c r="C154">
        <v>144232</v>
      </c>
      <c r="D154">
        <v>886289398566.56006</v>
      </c>
      <c r="E154">
        <v>134.08449295560001</v>
      </c>
      <c r="U154" t="s">
        <v>12</v>
      </c>
      <c r="V154" s="1">
        <v>39114</v>
      </c>
      <c r="W154">
        <v>144232</v>
      </c>
      <c r="X154">
        <v>886289398566.56006</v>
      </c>
      <c r="Y154">
        <v>79.325698316596103</v>
      </c>
      <c r="AE154" s="3">
        <v>39114</v>
      </c>
      <c r="AF154" s="5">
        <v>134.08449295560001</v>
      </c>
      <c r="AG154" s="5">
        <v>79.325698316596103</v>
      </c>
    </row>
    <row r="155" spans="1:33" x14ac:dyDescent="0.25">
      <c r="A155" t="s">
        <v>12</v>
      </c>
      <c r="B155" s="1">
        <v>39142</v>
      </c>
      <c r="C155">
        <v>144924</v>
      </c>
      <c r="D155">
        <v>902939742411.02002</v>
      </c>
      <c r="E155">
        <v>132.39695563561</v>
      </c>
      <c r="U155" t="s">
        <v>12</v>
      </c>
      <c r="V155" s="1">
        <v>39142</v>
      </c>
      <c r="W155">
        <v>144924</v>
      </c>
      <c r="X155">
        <v>902939742411.02002</v>
      </c>
      <c r="Y155">
        <v>78.770778222774695</v>
      </c>
      <c r="AE155" s="3">
        <v>39142</v>
      </c>
      <c r="AF155" s="5">
        <v>132.39695563561</v>
      </c>
      <c r="AG155" s="5">
        <v>78.770778222774695</v>
      </c>
    </row>
    <row r="156" spans="1:33" x14ac:dyDescent="0.25">
      <c r="A156" t="s">
        <v>12</v>
      </c>
      <c r="B156" s="1">
        <v>39173</v>
      </c>
      <c r="C156">
        <v>145734</v>
      </c>
      <c r="D156">
        <v>918275700682.27002</v>
      </c>
      <c r="E156">
        <v>131.52027445364499</v>
      </c>
      <c r="U156" t="s">
        <v>12</v>
      </c>
      <c r="V156" s="1">
        <v>39173</v>
      </c>
      <c r="W156">
        <v>145734</v>
      </c>
      <c r="X156">
        <v>918275700682.27002</v>
      </c>
      <c r="Y156">
        <v>78.820209581965798</v>
      </c>
      <c r="AE156" s="3">
        <v>39173</v>
      </c>
      <c r="AF156" s="5">
        <v>131.52027445364499</v>
      </c>
      <c r="AG156" s="5">
        <v>78.820209581965798</v>
      </c>
    </row>
    <row r="157" spans="1:33" x14ac:dyDescent="0.25">
      <c r="A157" t="s">
        <v>12</v>
      </c>
      <c r="B157" s="1">
        <v>39203</v>
      </c>
      <c r="C157">
        <v>146420</v>
      </c>
      <c r="D157">
        <v>931301394201.87</v>
      </c>
      <c r="E157">
        <v>130.65545762885401</v>
      </c>
      <c r="U157" t="s">
        <v>12</v>
      </c>
      <c r="V157" s="1">
        <v>39203</v>
      </c>
      <c r="W157">
        <v>146420</v>
      </c>
      <c r="X157">
        <v>931301394201.87</v>
      </c>
      <c r="Y157">
        <v>78.908112932278797</v>
      </c>
      <c r="AE157" s="3">
        <v>39203</v>
      </c>
      <c r="AF157" s="5">
        <v>130.65545762885401</v>
      </c>
      <c r="AG157" s="5">
        <v>78.908112932278797</v>
      </c>
    </row>
    <row r="158" spans="1:33" x14ac:dyDescent="0.25">
      <c r="A158" t="s">
        <v>12</v>
      </c>
      <c r="B158" s="1">
        <v>39234</v>
      </c>
      <c r="C158">
        <v>147268</v>
      </c>
      <c r="D158">
        <v>945955296949.02002</v>
      </c>
      <c r="E158">
        <v>129.08514607478301</v>
      </c>
      <c r="U158" t="s">
        <v>12</v>
      </c>
      <c r="V158" s="1">
        <v>39234</v>
      </c>
      <c r="W158">
        <v>147268</v>
      </c>
      <c r="X158">
        <v>945955296949.02002</v>
      </c>
      <c r="Y158">
        <v>78.445092859628105</v>
      </c>
      <c r="AE158" s="3">
        <v>39234</v>
      </c>
      <c r="AF158" s="5">
        <v>129.08514607478301</v>
      </c>
      <c r="AG158" s="5">
        <v>78.445092859628105</v>
      </c>
    </row>
    <row r="159" spans="1:33" x14ac:dyDescent="0.25">
      <c r="A159" t="s">
        <v>12</v>
      </c>
      <c r="B159" s="1">
        <v>39264</v>
      </c>
      <c r="C159">
        <v>147991</v>
      </c>
      <c r="D159">
        <v>959167890179.53003</v>
      </c>
      <c r="E159">
        <v>126.27304087489</v>
      </c>
      <c r="U159" t="s">
        <v>12</v>
      </c>
      <c r="V159" s="1">
        <v>39264</v>
      </c>
      <c r="W159">
        <v>147991</v>
      </c>
      <c r="X159">
        <v>959167890179.53003</v>
      </c>
      <c r="Y159">
        <v>76.897982892668793</v>
      </c>
      <c r="AE159" s="3">
        <v>39264</v>
      </c>
      <c r="AF159" s="5">
        <v>126.27304087489</v>
      </c>
      <c r="AG159" s="5">
        <v>76.897982892668793</v>
      </c>
    </row>
    <row r="160" spans="1:33" x14ac:dyDescent="0.25">
      <c r="A160" t="s">
        <v>12</v>
      </c>
      <c r="B160" s="1">
        <v>39295</v>
      </c>
      <c r="C160">
        <v>148654</v>
      </c>
      <c r="D160">
        <v>970630930715.02002</v>
      </c>
      <c r="E160">
        <v>123.749582787666</v>
      </c>
      <c r="U160" t="s">
        <v>12</v>
      </c>
      <c r="V160" s="1">
        <v>39295</v>
      </c>
      <c r="W160">
        <v>148654</v>
      </c>
      <c r="X160">
        <v>970630930715.02002</v>
      </c>
      <c r="Y160">
        <v>75.480985543243193</v>
      </c>
      <c r="AE160" s="3">
        <v>39295</v>
      </c>
      <c r="AF160" s="5">
        <v>123.749582787666</v>
      </c>
      <c r="AG160" s="5">
        <v>75.480985543243193</v>
      </c>
    </row>
    <row r="161" spans="1:33" x14ac:dyDescent="0.25">
      <c r="A161" t="s">
        <v>12</v>
      </c>
      <c r="B161" s="1">
        <v>39326</v>
      </c>
      <c r="C161">
        <v>149639</v>
      </c>
      <c r="D161">
        <v>986147711440.53003</v>
      </c>
      <c r="E161">
        <v>121.18881304202201</v>
      </c>
      <c r="U161" t="s">
        <v>12</v>
      </c>
      <c r="V161" s="1">
        <v>39326</v>
      </c>
      <c r="W161">
        <v>149639</v>
      </c>
      <c r="X161">
        <v>986147711440.53003</v>
      </c>
      <c r="Y161">
        <v>74.101103790798803</v>
      </c>
      <c r="AE161" s="3">
        <v>39326</v>
      </c>
      <c r="AF161" s="5">
        <v>121.18881304202201</v>
      </c>
      <c r="AG161" s="5">
        <v>74.101103790798803</v>
      </c>
    </row>
    <row r="162" spans="1:33" x14ac:dyDescent="0.25">
      <c r="A162" t="s">
        <v>12</v>
      </c>
      <c r="B162" s="1">
        <v>39356</v>
      </c>
      <c r="C162">
        <v>150721</v>
      </c>
      <c r="D162">
        <v>1004291168943.65</v>
      </c>
      <c r="E162">
        <v>119.042852132504</v>
      </c>
      <c r="U162" t="s">
        <v>12</v>
      </c>
      <c r="V162" s="1">
        <v>39356</v>
      </c>
      <c r="W162">
        <v>150721</v>
      </c>
      <c r="X162">
        <v>1004291168943.65</v>
      </c>
      <c r="Y162">
        <v>73.141335891848598</v>
      </c>
      <c r="AE162" s="3">
        <v>39356</v>
      </c>
      <c r="AF162" s="5">
        <v>119.042852132504</v>
      </c>
      <c r="AG162" s="5">
        <v>73.141335891848598</v>
      </c>
    </row>
    <row r="163" spans="1:33" x14ac:dyDescent="0.25">
      <c r="A163" t="s">
        <v>12</v>
      </c>
      <c r="B163" s="1">
        <v>39387</v>
      </c>
      <c r="C163">
        <v>151639</v>
      </c>
      <c r="D163">
        <v>1018333619421.8199</v>
      </c>
      <c r="E163">
        <v>118.00348309687701</v>
      </c>
      <c r="U163" t="s">
        <v>12</v>
      </c>
      <c r="V163" s="1">
        <v>39387</v>
      </c>
      <c r="W163">
        <v>151639</v>
      </c>
      <c r="X163">
        <v>1018333619421.8199</v>
      </c>
      <c r="Y163">
        <v>72.971966129973495</v>
      </c>
      <c r="AE163" s="3">
        <v>39387</v>
      </c>
      <c r="AF163" s="5">
        <v>118.00348309687701</v>
      </c>
      <c r="AG163" s="5">
        <v>72.971966129973495</v>
      </c>
    </row>
    <row r="164" spans="1:33" x14ac:dyDescent="0.25">
      <c r="A164" t="s">
        <v>12</v>
      </c>
      <c r="B164" s="1">
        <v>39417</v>
      </c>
      <c r="C164">
        <v>152735</v>
      </c>
      <c r="D164">
        <v>1036838440902.78</v>
      </c>
      <c r="E164">
        <v>117.031838649853</v>
      </c>
      <c r="U164" t="s">
        <v>12</v>
      </c>
      <c r="V164" s="1">
        <v>39417</v>
      </c>
      <c r="W164">
        <v>152735</v>
      </c>
      <c r="X164">
        <v>1036838440902.78</v>
      </c>
      <c r="Y164">
        <v>73.034395136915194</v>
      </c>
      <c r="AE164" s="3">
        <v>39417</v>
      </c>
      <c r="AF164" s="5">
        <v>117.031838649853</v>
      </c>
      <c r="AG164" s="5">
        <v>73.034395136915194</v>
      </c>
    </row>
    <row r="165" spans="1:33" x14ac:dyDescent="0.25">
      <c r="A165" t="s">
        <v>12</v>
      </c>
      <c r="B165" s="1">
        <v>39448</v>
      </c>
      <c r="C165">
        <v>153907</v>
      </c>
      <c r="D165">
        <v>1052366455361.34</v>
      </c>
      <c r="E165">
        <v>117.135849471702</v>
      </c>
      <c r="U165" t="s">
        <v>12</v>
      </c>
      <c r="V165" s="1">
        <v>39448</v>
      </c>
      <c r="W165">
        <v>153907</v>
      </c>
      <c r="X165">
        <v>1052366455361.34</v>
      </c>
      <c r="Y165">
        <v>73.927500603899503</v>
      </c>
      <c r="AE165" s="3">
        <v>39448</v>
      </c>
      <c r="AF165" s="5">
        <v>117.135849471702</v>
      </c>
      <c r="AG165" s="5">
        <v>73.927500603899503</v>
      </c>
    </row>
    <row r="166" spans="1:33" x14ac:dyDescent="0.25">
      <c r="A166" t="s">
        <v>12</v>
      </c>
      <c r="B166" s="1">
        <v>39479</v>
      </c>
      <c r="C166">
        <v>155038</v>
      </c>
      <c r="D166">
        <v>1067631591501.37</v>
      </c>
      <c r="E166">
        <v>120.75880447903</v>
      </c>
      <c r="U166" t="s">
        <v>12</v>
      </c>
      <c r="V166" s="1">
        <v>39479</v>
      </c>
      <c r="W166">
        <v>155038</v>
      </c>
      <c r="X166">
        <v>1067631591501.37</v>
      </c>
      <c r="Y166">
        <v>77.529248505587404</v>
      </c>
      <c r="AE166" s="3">
        <v>39479</v>
      </c>
      <c r="AF166" s="5">
        <v>120.75880447903</v>
      </c>
      <c r="AG166" s="5">
        <v>77.529248505587404</v>
      </c>
    </row>
    <row r="167" spans="1:33" x14ac:dyDescent="0.25">
      <c r="A167" t="s">
        <v>12</v>
      </c>
      <c r="B167" s="1">
        <v>39508</v>
      </c>
      <c r="C167">
        <v>156626</v>
      </c>
      <c r="D167">
        <v>1090932032300.9399</v>
      </c>
      <c r="E167">
        <v>120.67619617126</v>
      </c>
      <c r="U167" t="s">
        <v>12</v>
      </c>
      <c r="V167" s="1">
        <v>39508</v>
      </c>
      <c r="W167">
        <v>156626</v>
      </c>
      <c r="X167">
        <v>1090932032300.9399</v>
      </c>
      <c r="Y167">
        <v>78.536478303618196</v>
      </c>
      <c r="AE167" s="3">
        <v>39508</v>
      </c>
      <c r="AF167" s="5">
        <v>120.67619617126</v>
      </c>
      <c r="AG167" s="5">
        <v>78.536478303618196</v>
      </c>
    </row>
    <row r="168" spans="1:33" x14ac:dyDescent="0.25">
      <c r="A168" t="s">
        <v>12</v>
      </c>
      <c r="B168" s="1">
        <v>39539</v>
      </c>
      <c r="C168">
        <v>157658</v>
      </c>
      <c r="D168">
        <v>1107233950410.77</v>
      </c>
      <c r="E168">
        <v>120.49593686679199</v>
      </c>
      <c r="U168" t="s">
        <v>12</v>
      </c>
      <c r="V168" s="1">
        <v>39539</v>
      </c>
      <c r="W168">
        <v>157658</v>
      </c>
      <c r="X168">
        <v>1107233950410.77</v>
      </c>
      <c r="Y168">
        <v>79.399225455212701</v>
      </c>
      <c r="AE168" s="3">
        <v>39539</v>
      </c>
      <c r="AF168" s="5">
        <v>120.49593686679199</v>
      </c>
      <c r="AG168" s="5">
        <v>79.399225455212701</v>
      </c>
    </row>
    <row r="169" spans="1:33" x14ac:dyDescent="0.25">
      <c r="A169" t="s">
        <v>12</v>
      </c>
      <c r="B169" s="1">
        <v>39569</v>
      </c>
      <c r="C169">
        <v>158547</v>
      </c>
      <c r="D169">
        <v>1121120060633.95</v>
      </c>
      <c r="E169">
        <v>120.32776133911599</v>
      </c>
      <c r="U169" t="s">
        <v>12</v>
      </c>
      <c r="V169" s="1">
        <v>39569</v>
      </c>
      <c r="W169">
        <v>158547</v>
      </c>
      <c r="X169">
        <v>1121120060633.95</v>
      </c>
      <c r="Y169">
        <v>80.245144027124297</v>
      </c>
      <c r="AE169" s="3">
        <v>39569</v>
      </c>
      <c r="AF169" s="5">
        <v>120.32776133911599</v>
      </c>
      <c r="AG169" s="5">
        <v>80.245144027124297</v>
      </c>
    </row>
    <row r="170" spans="1:33" x14ac:dyDescent="0.25">
      <c r="A170" t="s">
        <v>13</v>
      </c>
      <c r="B170" s="1">
        <v>39600</v>
      </c>
      <c r="C170">
        <v>19</v>
      </c>
      <c r="D170">
        <v>159670015.94</v>
      </c>
      <c r="E170">
        <v>0.395116581298877</v>
      </c>
      <c r="U170" t="s">
        <v>13</v>
      </c>
      <c r="V170" s="1">
        <v>39600</v>
      </c>
      <c r="W170">
        <v>19</v>
      </c>
      <c r="X170">
        <v>159670015.94</v>
      </c>
      <c r="Y170">
        <v>4.0891266100602598E-2</v>
      </c>
      <c r="AE170" s="3">
        <v>39600</v>
      </c>
      <c r="AF170" s="5">
        <v>118.843785889079</v>
      </c>
      <c r="AG170" s="5">
        <v>80.035723378384603</v>
      </c>
    </row>
    <row r="171" spans="1:33" x14ac:dyDescent="0.25">
      <c r="A171" t="s">
        <v>12</v>
      </c>
      <c r="B171" s="1">
        <v>39600</v>
      </c>
      <c r="C171">
        <v>159524</v>
      </c>
      <c r="D171">
        <v>1139760532494.3999</v>
      </c>
      <c r="E171">
        <v>118.843785889079</v>
      </c>
      <c r="U171" t="s">
        <v>12</v>
      </c>
      <c r="V171" s="1">
        <v>39600</v>
      </c>
      <c r="W171">
        <v>159524</v>
      </c>
      <c r="X171">
        <v>1139760532494.3999</v>
      </c>
      <c r="Y171">
        <v>80.035723378384603</v>
      </c>
      <c r="AE171" s="3">
        <v>39630</v>
      </c>
      <c r="AF171" s="5">
        <v>116.62751683845499</v>
      </c>
      <c r="AG171" s="5">
        <v>78.8975493090756</v>
      </c>
    </row>
    <row r="172" spans="1:33" x14ac:dyDescent="0.25">
      <c r="A172" t="s">
        <v>12</v>
      </c>
      <c r="B172" s="1">
        <v>39630</v>
      </c>
      <c r="C172">
        <v>160395</v>
      </c>
      <c r="D172">
        <v>1155479201809.6499</v>
      </c>
      <c r="E172">
        <v>116.62751683845499</v>
      </c>
      <c r="U172" t="s">
        <v>12</v>
      </c>
      <c r="V172" s="1">
        <v>39630</v>
      </c>
      <c r="W172">
        <v>160395</v>
      </c>
      <c r="X172">
        <v>1155479201809.6499</v>
      </c>
      <c r="Y172">
        <v>78.8975493090756</v>
      </c>
      <c r="AE172" s="3">
        <v>39661</v>
      </c>
      <c r="AF172" s="5">
        <v>115.666437596351</v>
      </c>
      <c r="AG172" s="5">
        <v>78.605814103648996</v>
      </c>
    </row>
    <row r="173" spans="1:33" x14ac:dyDescent="0.25">
      <c r="A173" t="s">
        <v>13</v>
      </c>
      <c r="B173" s="1">
        <v>39630</v>
      </c>
      <c r="C173">
        <v>45</v>
      </c>
      <c r="D173">
        <v>377180050.56</v>
      </c>
      <c r="E173">
        <v>2.0247765812051601</v>
      </c>
      <c r="U173" t="s">
        <v>13</v>
      </c>
      <c r="V173" s="1">
        <v>39630</v>
      </c>
      <c r="W173">
        <v>45</v>
      </c>
      <c r="X173">
        <v>377180050.56</v>
      </c>
      <c r="Y173">
        <v>2.0191369563880799</v>
      </c>
      <c r="AE173" s="3">
        <v>39692</v>
      </c>
      <c r="AF173" s="5">
        <v>114.2587071908</v>
      </c>
      <c r="AG173" s="5">
        <v>77.837886555896603</v>
      </c>
    </row>
    <row r="174" spans="1:33" x14ac:dyDescent="0.25">
      <c r="A174" t="s">
        <v>12</v>
      </c>
      <c r="B174" s="1">
        <v>39661</v>
      </c>
      <c r="C174">
        <v>160920</v>
      </c>
      <c r="D174">
        <v>1162237411975.8501</v>
      </c>
      <c r="E174">
        <v>115.666437596351</v>
      </c>
      <c r="U174" t="s">
        <v>12</v>
      </c>
      <c r="V174" s="1">
        <v>39661</v>
      </c>
      <c r="W174">
        <v>160920</v>
      </c>
      <c r="X174">
        <v>1162237411975.8501</v>
      </c>
      <c r="Y174">
        <v>78.605814103648996</v>
      </c>
      <c r="AE174" s="3">
        <v>39722</v>
      </c>
      <c r="AF174" s="5">
        <v>114.26993133321599</v>
      </c>
      <c r="AG174" s="5">
        <v>78.429564400749797</v>
      </c>
    </row>
    <row r="175" spans="1:33" x14ac:dyDescent="0.25">
      <c r="A175" t="s">
        <v>13</v>
      </c>
      <c r="B175" s="1">
        <v>39661</v>
      </c>
      <c r="C175">
        <v>64</v>
      </c>
      <c r="D175">
        <v>621719851.95000005</v>
      </c>
      <c r="E175">
        <v>2.6287884709752798</v>
      </c>
      <c r="U175" t="s">
        <v>13</v>
      </c>
      <c r="V175" s="1">
        <v>39661</v>
      </c>
      <c r="W175">
        <v>64</v>
      </c>
      <c r="X175">
        <v>621719851.95000005</v>
      </c>
      <c r="Y175">
        <v>2.6341382133106501</v>
      </c>
      <c r="AE175" s="3">
        <v>39753</v>
      </c>
      <c r="AF175" s="5">
        <v>114.32155636174301</v>
      </c>
      <c r="AG175" s="5">
        <v>78.876855802182405</v>
      </c>
    </row>
    <row r="176" spans="1:33" x14ac:dyDescent="0.25">
      <c r="A176" t="s">
        <v>12</v>
      </c>
      <c r="B176" s="1">
        <v>39692</v>
      </c>
      <c r="C176">
        <v>161444</v>
      </c>
      <c r="D176">
        <v>1169648700447.6899</v>
      </c>
      <c r="E176">
        <v>114.2587071908</v>
      </c>
      <c r="U176" t="s">
        <v>12</v>
      </c>
      <c r="V176" s="1">
        <v>39692</v>
      </c>
      <c r="W176">
        <v>161444</v>
      </c>
      <c r="X176">
        <v>1169648700447.6899</v>
      </c>
      <c r="Y176">
        <v>77.837886555896603</v>
      </c>
      <c r="AE176" s="3">
        <v>39783</v>
      </c>
      <c r="AF176" s="5">
        <v>114.281917197754</v>
      </c>
      <c r="AG176" s="5">
        <v>79.284068002090095</v>
      </c>
    </row>
    <row r="177" spans="1:33" x14ac:dyDescent="0.25">
      <c r="A177" t="s">
        <v>13</v>
      </c>
      <c r="B177" s="1">
        <v>39692</v>
      </c>
      <c r="C177">
        <v>67</v>
      </c>
      <c r="D177">
        <v>763960929.25999999</v>
      </c>
      <c r="E177">
        <v>2.8797586264550201</v>
      </c>
      <c r="U177" t="s">
        <v>13</v>
      </c>
      <c r="V177" s="1">
        <v>39692</v>
      </c>
      <c r="W177">
        <v>67</v>
      </c>
      <c r="X177">
        <v>763960929.25999999</v>
      </c>
      <c r="Y177">
        <v>2.8883784163291701</v>
      </c>
      <c r="AE177" s="3">
        <v>39814</v>
      </c>
      <c r="AF177" s="5">
        <v>121.501546721772</v>
      </c>
      <c r="AG177" s="5">
        <v>85.608324574413601</v>
      </c>
    </row>
    <row r="178" spans="1:33" x14ac:dyDescent="0.25">
      <c r="A178" t="s">
        <v>13</v>
      </c>
      <c r="B178" s="1">
        <v>39722</v>
      </c>
      <c r="C178">
        <v>70</v>
      </c>
      <c r="D178">
        <v>816348629.33000004</v>
      </c>
      <c r="E178">
        <v>3.4234295590685</v>
      </c>
      <c r="U178" t="s">
        <v>13</v>
      </c>
      <c r="V178" s="1">
        <v>39722</v>
      </c>
      <c r="W178">
        <v>70</v>
      </c>
      <c r="X178">
        <v>816348629.33000004</v>
      </c>
      <c r="Y178">
        <v>3.4172474647297801</v>
      </c>
      <c r="AE178" s="3">
        <v>39845</v>
      </c>
      <c r="AF178" s="5">
        <v>132.66570728693699</v>
      </c>
      <c r="AG178" s="5">
        <v>95.200529415360506</v>
      </c>
    </row>
    <row r="179" spans="1:33" x14ac:dyDescent="0.25">
      <c r="A179" t="s">
        <v>12</v>
      </c>
      <c r="B179" s="1">
        <v>39722</v>
      </c>
      <c r="C179">
        <v>161942</v>
      </c>
      <c r="D179">
        <v>1177642747130.49</v>
      </c>
      <c r="E179">
        <v>114.26993133321599</v>
      </c>
      <c r="U179" t="s">
        <v>12</v>
      </c>
      <c r="V179" s="1">
        <v>39722</v>
      </c>
      <c r="W179">
        <v>161942</v>
      </c>
      <c r="X179">
        <v>1177642747130.49</v>
      </c>
      <c r="Y179">
        <v>78.429564400749797</v>
      </c>
      <c r="AE179" s="3">
        <v>39873</v>
      </c>
      <c r="AF179" s="5">
        <v>140.40335229351501</v>
      </c>
      <c r="AG179" s="5">
        <v>102.31471373420599</v>
      </c>
    </row>
    <row r="180" spans="1:33" x14ac:dyDescent="0.25">
      <c r="A180" t="s">
        <v>13</v>
      </c>
      <c r="B180" s="1">
        <v>39753</v>
      </c>
      <c r="C180">
        <v>77</v>
      </c>
      <c r="D180">
        <v>962156457.99000001</v>
      </c>
      <c r="E180">
        <v>3.7238856801359899</v>
      </c>
      <c r="U180" t="s">
        <v>13</v>
      </c>
      <c r="V180" s="1">
        <v>39753</v>
      </c>
      <c r="W180">
        <v>77</v>
      </c>
      <c r="X180">
        <v>962156457.99000001</v>
      </c>
      <c r="Y180">
        <v>3.7150418366493501</v>
      </c>
      <c r="AE180" s="3">
        <v>39904</v>
      </c>
      <c r="AF180" s="5">
        <v>147.11698894796299</v>
      </c>
      <c r="AG180" s="5">
        <v>108.847706227868</v>
      </c>
    </row>
    <row r="181" spans="1:33" x14ac:dyDescent="0.25">
      <c r="A181" t="s">
        <v>12</v>
      </c>
      <c r="B181" s="1">
        <v>39753</v>
      </c>
      <c r="C181">
        <v>162223</v>
      </c>
      <c r="D181">
        <v>1179818682767.8101</v>
      </c>
      <c r="E181">
        <v>114.32155636174301</v>
      </c>
      <c r="U181" t="s">
        <v>12</v>
      </c>
      <c r="V181" s="1">
        <v>39753</v>
      </c>
      <c r="W181">
        <v>162223</v>
      </c>
      <c r="X181">
        <v>1179818682767.8101</v>
      </c>
      <c r="Y181">
        <v>78.876855802182405</v>
      </c>
      <c r="AE181" s="3">
        <v>39934</v>
      </c>
      <c r="AF181" s="5">
        <v>156.518848536549</v>
      </c>
      <c r="AG181" s="5">
        <v>117.80742443313601</v>
      </c>
    </row>
    <row r="182" spans="1:33" x14ac:dyDescent="0.25">
      <c r="A182" t="s">
        <v>13</v>
      </c>
      <c r="B182" s="1">
        <v>39783</v>
      </c>
      <c r="C182">
        <v>81</v>
      </c>
      <c r="D182">
        <v>1017133767.9</v>
      </c>
      <c r="E182">
        <v>5.7992899362936896</v>
      </c>
      <c r="U182" t="s">
        <v>13</v>
      </c>
      <c r="V182" s="1">
        <v>39783</v>
      </c>
      <c r="W182">
        <v>81</v>
      </c>
      <c r="X182">
        <v>1017133767.9</v>
      </c>
      <c r="Y182">
        <v>5.9927442793319701</v>
      </c>
      <c r="AE182" s="3">
        <v>39965</v>
      </c>
      <c r="AF182" s="5">
        <v>172.032492004711</v>
      </c>
      <c r="AG182" s="5">
        <v>134.67127902460001</v>
      </c>
    </row>
    <row r="183" spans="1:33" x14ac:dyDescent="0.25">
      <c r="A183" t="s">
        <v>12</v>
      </c>
      <c r="B183" s="1">
        <v>39783</v>
      </c>
      <c r="C183">
        <v>162431</v>
      </c>
      <c r="D183">
        <v>1183521139367</v>
      </c>
      <c r="E183">
        <v>114.281917197754</v>
      </c>
      <c r="U183" t="s">
        <v>12</v>
      </c>
      <c r="V183" s="1">
        <v>39783</v>
      </c>
      <c r="W183">
        <v>162431</v>
      </c>
      <c r="X183">
        <v>1183521139367</v>
      </c>
      <c r="Y183">
        <v>79.284068002090095</v>
      </c>
      <c r="AE183" s="3">
        <v>39995</v>
      </c>
      <c r="AF183" s="5">
        <v>175.25276261882999</v>
      </c>
      <c r="AG183" s="5">
        <v>139.57290022888401</v>
      </c>
    </row>
    <row r="184" spans="1:33" x14ac:dyDescent="0.25">
      <c r="A184" t="s">
        <v>12</v>
      </c>
      <c r="B184" s="1">
        <v>39814</v>
      </c>
      <c r="C184">
        <v>162775</v>
      </c>
      <c r="D184">
        <v>1188990414254.24</v>
      </c>
      <c r="E184">
        <v>121.501546721772</v>
      </c>
      <c r="U184" t="s">
        <v>12</v>
      </c>
      <c r="V184" s="1">
        <v>39814</v>
      </c>
      <c r="W184">
        <v>162775</v>
      </c>
      <c r="X184">
        <v>1188990414254.24</v>
      </c>
      <c r="Y184">
        <v>85.608324574413601</v>
      </c>
      <c r="AE184" s="3">
        <v>40026</v>
      </c>
      <c r="AF184" s="5">
        <v>182.654656309079</v>
      </c>
      <c r="AG184" s="5">
        <v>148.23432581576699</v>
      </c>
    </row>
    <row r="185" spans="1:33" x14ac:dyDescent="0.25">
      <c r="A185" t="s">
        <v>13</v>
      </c>
      <c r="B185" s="1">
        <v>39814</v>
      </c>
      <c r="C185">
        <v>85</v>
      </c>
      <c r="D185">
        <v>1108598255.4400001</v>
      </c>
      <c r="E185">
        <v>15.472249807213499</v>
      </c>
      <c r="U185" t="s">
        <v>13</v>
      </c>
      <c r="V185" s="1">
        <v>39814</v>
      </c>
      <c r="W185">
        <v>85</v>
      </c>
      <c r="X185">
        <v>1108598255.4400001</v>
      </c>
      <c r="Y185">
        <v>16.049317964571099</v>
      </c>
      <c r="AE185" s="3">
        <v>40057</v>
      </c>
      <c r="AF185" s="5">
        <v>189.592543030911</v>
      </c>
      <c r="AG185" s="5">
        <v>156.38448064298501</v>
      </c>
    </row>
    <row r="186" spans="1:33" x14ac:dyDescent="0.25">
      <c r="A186" t="s">
        <v>13</v>
      </c>
      <c r="B186" s="1">
        <v>39845</v>
      </c>
      <c r="C186">
        <v>91</v>
      </c>
      <c r="D186">
        <v>1144655203.8699999</v>
      </c>
      <c r="E186">
        <v>29.677198719252701</v>
      </c>
      <c r="U186" t="s">
        <v>13</v>
      </c>
      <c r="V186" s="1">
        <v>39845</v>
      </c>
      <c r="W186">
        <v>91</v>
      </c>
      <c r="X186">
        <v>1144655203.8699999</v>
      </c>
      <c r="Y186">
        <v>31.569318921782202</v>
      </c>
      <c r="AE186" s="3">
        <v>40087</v>
      </c>
      <c r="AF186" s="5">
        <v>200.23168800257</v>
      </c>
      <c r="AG186" s="5">
        <v>167.86973595464099</v>
      </c>
    </row>
    <row r="187" spans="1:33" x14ac:dyDescent="0.25">
      <c r="A187" t="s">
        <v>12</v>
      </c>
      <c r="B187" s="1">
        <v>39845</v>
      </c>
      <c r="C187">
        <v>162938</v>
      </c>
      <c r="D187">
        <v>1191848545477.6299</v>
      </c>
      <c r="E187">
        <v>132.66570728693699</v>
      </c>
      <c r="U187" t="s">
        <v>12</v>
      </c>
      <c r="V187" s="1">
        <v>39845</v>
      </c>
      <c r="W187">
        <v>162938</v>
      </c>
      <c r="X187">
        <v>1191848545477.6299</v>
      </c>
      <c r="Y187">
        <v>95.200529415360506</v>
      </c>
      <c r="AE187" s="3">
        <v>40118</v>
      </c>
      <c r="AF187" s="5">
        <v>212.60255787677599</v>
      </c>
      <c r="AG187" s="5">
        <v>180.92905535228999</v>
      </c>
    </row>
    <row r="188" spans="1:33" x14ac:dyDescent="0.25">
      <c r="A188" t="s">
        <v>13</v>
      </c>
      <c r="B188" s="1">
        <v>39873</v>
      </c>
      <c r="C188">
        <v>96</v>
      </c>
      <c r="D188">
        <v>1143216587.29</v>
      </c>
      <c r="E188">
        <v>39.216738165081701</v>
      </c>
      <c r="U188" t="s">
        <v>13</v>
      </c>
      <c r="V188" s="1">
        <v>39873</v>
      </c>
      <c r="W188">
        <v>96</v>
      </c>
      <c r="X188">
        <v>1143216587.29</v>
      </c>
      <c r="Y188">
        <v>44.031810553747903</v>
      </c>
      <c r="AE188" s="3">
        <v>40148</v>
      </c>
      <c r="AF188" s="5">
        <v>225.904790316674</v>
      </c>
      <c r="AG188" s="5">
        <v>194.901663695781</v>
      </c>
    </row>
    <row r="189" spans="1:33" x14ac:dyDescent="0.25">
      <c r="A189" t="s">
        <v>12</v>
      </c>
      <c r="B189" s="1">
        <v>39873</v>
      </c>
      <c r="C189">
        <v>163109</v>
      </c>
      <c r="D189">
        <v>1197686583453.0601</v>
      </c>
      <c r="E189">
        <v>140.40335229351501</v>
      </c>
      <c r="U189" t="s">
        <v>12</v>
      </c>
      <c r="V189" s="1">
        <v>39873</v>
      </c>
      <c r="W189">
        <v>163109</v>
      </c>
      <c r="X189">
        <v>1197686583453.0601</v>
      </c>
      <c r="Y189">
        <v>102.31471373420599</v>
      </c>
      <c r="AE189" s="3">
        <v>40179</v>
      </c>
      <c r="AF189" s="5">
        <v>236.47243729526301</v>
      </c>
      <c r="AG189" s="5">
        <v>206.30192897398601</v>
      </c>
    </row>
    <row r="190" spans="1:33" x14ac:dyDescent="0.25">
      <c r="A190" t="s">
        <v>13</v>
      </c>
      <c r="B190" s="1">
        <v>39904</v>
      </c>
      <c r="C190">
        <v>98</v>
      </c>
      <c r="D190">
        <v>1120084797.3399999</v>
      </c>
      <c r="E190">
        <v>50.712949267165399</v>
      </c>
      <c r="U190" t="s">
        <v>13</v>
      </c>
      <c r="V190" s="1">
        <v>39904</v>
      </c>
      <c r="W190">
        <v>98</v>
      </c>
      <c r="X190">
        <v>1120084797.3399999</v>
      </c>
      <c r="Y190">
        <v>58.805913425086302</v>
      </c>
      <c r="AE190" s="3">
        <v>40210</v>
      </c>
      <c r="AF190" s="5">
        <v>245.95155327319199</v>
      </c>
      <c r="AG190" s="5">
        <v>216.43023429463</v>
      </c>
    </row>
    <row r="191" spans="1:33" x14ac:dyDescent="0.25">
      <c r="A191" t="s">
        <v>12</v>
      </c>
      <c r="B191" s="1">
        <v>39904</v>
      </c>
      <c r="C191">
        <v>163376</v>
      </c>
      <c r="D191">
        <v>1214626480567.3601</v>
      </c>
      <c r="E191">
        <v>147.11698894796299</v>
      </c>
      <c r="U191" t="s">
        <v>12</v>
      </c>
      <c r="V191" s="1">
        <v>39904</v>
      </c>
      <c r="W191">
        <v>163376</v>
      </c>
      <c r="X191">
        <v>1214626480567.3601</v>
      </c>
      <c r="Y191">
        <v>108.847706227868</v>
      </c>
      <c r="AE191" s="3">
        <v>40238</v>
      </c>
      <c r="AF191" s="5">
        <v>255.59143576441099</v>
      </c>
      <c r="AG191" s="5">
        <v>226.69528927584599</v>
      </c>
    </row>
    <row r="192" spans="1:33" x14ac:dyDescent="0.25">
      <c r="A192" t="s">
        <v>12</v>
      </c>
      <c r="B192" s="1">
        <v>39934</v>
      </c>
      <c r="C192">
        <v>163443</v>
      </c>
      <c r="D192">
        <v>1227123431334.01</v>
      </c>
      <c r="E192">
        <v>156.518848536549</v>
      </c>
      <c r="U192" t="s">
        <v>12</v>
      </c>
      <c r="V192" s="1">
        <v>39934</v>
      </c>
      <c r="W192">
        <v>163443</v>
      </c>
      <c r="X192">
        <v>1227123431334.01</v>
      </c>
      <c r="Y192">
        <v>117.80742443313601</v>
      </c>
      <c r="AE192" s="3">
        <v>40269</v>
      </c>
      <c r="AF192" s="5">
        <v>259.86662235461802</v>
      </c>
      <c r="AG192" s="5">
        <v>230.86922382364099</v>
      </c>
    </row>
    <row r="193" spans="1:33" x14ac:dyDescent="0.25">
      <c r="A193" t="s">
        <v>13</v>
      </c>
      <c r="B193" s="1">
        <v>39934</v>
      </c>
      <c r="C193">
        <v>98</v>
      </c>
      <c r="D193">
        <v>1078894527.97</v>
      </c>
      <c r="E193">
        <v>64.296114282104796</v>
      </c>
      <c r="U193" t="s">
        <v>13</v>
      </c>
      <c r="V193" s="1">
        <v>39934</v>
      </c>
      <c r="W193">
        <v>98</v>
      </c>
      <c r="X193">
        <v>1078894527.97</v>
      </c>
      <c r="Y193">
        <v>76.010310109931794</v>
      </c>
      <c r="AE193" s="3">
        <v>40299</v>
      </c>
      <c r="AF193" s="5">
        <v>266.93689966858699</v>
      </c>
      <c r="AG193" s="5">
        <v>238.41875111459001</v>
      </c>
    </row>
    <row r="194" spans="1:33" x14ac:dyDescent="0.25">
      <c r="A194" t="s">
        <v>12</v>
      </c>
      <c r="B194" s="1">
        <v>39965</v>
      </c>
      <c r="C194">
        <v>163569</v>
      </c>
      <c r="D194">
        <v>1234260438018.73</v>
      </c>
      <c r="E194">
        <v>172.032492004711</v>
      </c>
      <c r="U194" t="s">
        <v>12</v>
      </c>
      <c r="V194" s="1">
        <v>39965</v>
      </c>
      <c r="W194">
        <v>163569</v>
      </c>
      <c r="X194">
        <v>1234260438018.73</v>
      </c>
      <c r="Y194">
        <v>134.67127902460001</v>
      </c>
      <c r="AE194" s="3">
        <v>40330</v>
      </c>
      <c r="AF194" s="5">
        <v>276.966786084783</v>
      </c>
      <c r="AG194" s="5">
        <v>248.94212149262299</v>
      </c>
    </row>
    <row r="195" spans="1:33" x14ac:dyDescent="0.25">
      <c r="A195" t="s">
        <v>13</v>
      </c>
      <c r="B195" s="1">
        <v>39965</v>
      </c>
      <c r="C195">
        <v>97</v>
      </c>
      <c r="D195">
        <v>1032952441.29</v>
      </c>
      <c r="E195">
        <v>86.232426386544105</v>
      </c>
      <c r="U195" t="s">
        <v>13</v>
      </c>
      <c r="V195" s="1">
        <v>39965</v>
      </c>
      <c r="W195">
        <v>97</v>
      </c>
      <c r="X195">
        <v>1032952441.29</v>
      </c>
      <c r="Y195">
        <v>98.028010266965794</v>
      </c>
      <c r="AE195" s="3">
        <v>40360</v>
      </c>
      <c r="AF195" s="5">
        <v>289.18605920206198</v>
      </c>
      <c r="AG195" s="5">
        <v>261.727658039669</v>
      </c>
    </row>
    <row r="196" spans="1:33" x14ac:dyDescent="0.25">
      <c r="A196" t="s">
        <v>12</v>
      </c>
      <c r="B196" s="1">
        <v>39995</v>
      </c>
      <c r="C196">
        <v>163728</v>
      </c>
      <c r="D196">
        <v>1252730272086.4099</v>
      </c>
      <c r="E196">
        <v>175.25276261882999</v>
      </c>
      <c r="U196" t="s">
        <v>12</v>
      </c>
      <c r="V196" s="1">
        <v>39995</v>
      </c>
      <c r="W196">
        <v>163728</v>
      </c>
      <c r="X196">
        <v>1252730272086.4099</v>
      </c>
      <c r="Y196">
        <v>139.57290022888401</v>
      </c>
      <c r="AE196" s="3">
        <v>40391</v>
      </c>
      <c r="AF196" s="5">
        <v>304.27784768155101</v>
      </c>
      <c r="AG196" s="5">
        <v>277.42506919795898</v>
      </c>
    </row>
    <row r="197" spans="1:33" x14ac:dyDescent="0.25">
      <c r="A197" t="s">
        <v>13</v>
      </c>
      <c r="B197" s="1">
        <v>39995</v>
      </c>
      <c r="C197">
        <v>97</v>
      </c>
      <c r="D197">
        <v>993378509.11000001</v>
      </c>
      <c r="E197">
        <v>96.728685369093895</v>
      </c>
      <c r="U197" t="s">
        <v>13</v>
      </c>
      <c r="V197" s="1">
        <v>39995</v>
      </c>
      <c r="W197">
        <v>97</v>
      </c>
      <c r="X197">
        <v>993378509.11000001</v>
      </c>
      <c r="Y197">
        <v>108.724212261709</v>
      </c>
      <c r="AE197" s="3">
        <v>40422</v>
      </c>
      <c r="AF197" s="5">
        <v>322.17579149750702</v>
      </c>
      <c r="AG197" s="5">
        <v>295.87878156334602</v>
      </c>
    </row>
    <row r="198" spans="1:33" x14ac:dyDescent="0.25">
      <c r="A198" t="s">
        <v>12</v>
      </c>
      <c r="B198" s="1">
        <v>40026</v>
      </c>
      <c r="C198">
        <v>163836</v>
      </c>
      <c r="D198">
        <v>1257643264164.9099</v>
      </c>
      <c r="E198">
        <v>182.654656309079</v>
      </c>
      <c r="U198" t="s">
        <v>12</v>
      </c>
      <c r="V198" s="1">
        <v>40026</v>
      </c>
      <c r="W198">
        <v>163836</v>
      </c>
      <c r="X198">
        <v>1257643264164.9099</v>
      </c>
      <c r="Y198">
        <v>148.23432581576699</v>
      </c>
      <c r="AE198" s="3">
        <v>40452</v>
      </c>
      <c r="AF198" s="5">
        <v>339.509362166578</v>
      </c>
      <c r="AG198" s="5">
        <v>313.89928910530398</v>
      </c>
    </row>
    <row r="199" spans="1:33" x14ac:dyDescent="0.25">
      <c r="A199" t="s">
        <v>13</v>
      </c>
      <c r="B199" s="1">
        <v>40026</v>
      </c>
      <c r="C199">
        <v>96</v>
      </c>
      <c r="D199">
        <v>946099456.75999999</v>
      </c>
      <c r="E199">
        <v>110.425281627896</v>
      </c>
      <c r="U199" t="s">
        <v>13</v>
      </c>
      <c r="V199" s="1">
        <v>40026</v>
      </c>
      <c r="W199">
        <v>96</v>
      </c>
      <c r="X199">
        <v>946099456.75999999</v>
      </c>
      <c r="Y199">
        <v>122.65393807078</v>
      </c>
      <c r="AE199" s="3">
        <v>40483</v>
      </c>
      <c r="AF199" s="5">
        <v>358.76835599520399</v>
      </c>
      <c r="AG199" s="5">
        <v>333.68759744787098</v>
      </c>
    </row>
    <row r="200" spans="1:33" x14ac:dyDescent="0.25">
      <c r="A200" t="s">
        <v>12</v>
      </c>
      <c r="B200" s="1">
        <v>40057</v>
      </c>
      <c r="C200">
        <v>163936</v>
      </c>
      <c r="D200">
        <v>1270454083140.21</v>
      </c>
      <c r="E200">
        <v>189.592543030911</v>
      </c>
      <c r="U200" t="s">
        <v>12</v>
      </c>
      <c r="V200" s="1">
        <v>40057</v>
      </c>
      <c r="W200">
        <v>163936</v>
      </c>
      <c r="X200">
        <v>1270454083140.21</v>
      </c>
      <c r="Y200">
        <v>156.38448064298501</v>
      </c>
      <c r="AE200" s="3">
        <v>40513</v>
      </c>
      <c r="AF200" s="5">
        <v>375.07101181590002</v>
      </c>
      <c r="AG200" s="5">
        <v>350.53772033319598</v>
      </c>
    </row>
    <row r="201" spans="1:33" x14ac:dyDescent="0.25">
      <c r="A201" t="s">
        <v>13</v>
      </c>
      <c r="B201" s="1">
        <v>40057</v>
      </c>
      <c r="C201">
        <v>95</v>
      </c>
      <c r="D201">
        <v>886300040.11000001</v>
      </c>
      <c r="E201">
        <v>124.332768151697</v>
      </c>
      <c r="U201" t="s">
        <v>13</v>
      </c>
      <c r="V201" s="1">
        <v>40057</v>
      </c>
      <c r="W201">
        <v>95</v>
      </c>
      <c r="X201">
        <v>886300040.11000001</v>
      </c>
      <c r="Y201">
        <v>136.59350275940801</v>
      </c>
      <c r="AE201" s="3">
        <v>40544</v>
      </c>
      <c r="AF201" s="5">
        <v>382.44246133391999</v>
      </c>
      <c r="AG201" s="5">
        <v>358.426827953832</v>
      </c>
    </row>
    <row r="202" spans="1:33" x14ac:dyDescent="0.25">
      <c r="A202" t="s">
        <v>12</v>
      </c>
      <c r="B202" s="1">
        <v>40087</v>
      </c>
      <c r="C202">
        <v>164180</v>
      </c>
      <c r="D202">
        <v>1279191968274.55</v>
      </c>
      <c r="E202">
        <v>200.23168800257</v>
      </c>
      <c r="U202" t="s">
        <v>12</v>
      </c>
      <c r="V202" s="1">
        <v>40087</v>
      </c>
      <c r="W202">
        <v>164180</v>
      </c>
      <c r="X202">
        <v>1279191968274.55</v>
      </c>
      <c r="Y202">
        <v>167.86973595464099</v>
      </c>
      <c r="AE202" s="3">
        <v>40575</v>
      </c>
      <c r="AF202" s="5">
        <v>387.96058363639997</v>
      </c>
      <c r="AG202" s="5">
        <v>364.46715383647501</v>
      </c>
    </row>
    <row r="203" spans="1:33" x14ac:dyDescent="0.25">
      <c r="A203" t="s">
        <v>13</v>
      </c>
      <c r="B203" s="1">
        <v>40087</v>
      </c>
      <c r="C203">
        <v>95</v>
      </c>
      <c r="D203">
        <v>853173864.62</v>
      </c>
      <c r="E203">
        <v>142.756677888404</v>
      </c>
      <c r="U203" t="s">
        <v>13</v>
      </c>
      <c r="V203" s="1">
        <v>40087</v>
      </c>
      <c r="W203">
        <v>95</v>
      </c>
      <c r="X203">
        <v>853173864.62</v>
      </c>
      <c r="Y203">
        <v>154.88487208929399</v>
      </c>
      <c r="AE203" s="3">
        <v>40603</v>
      </c>
      <c r="AF203" s="5">
        <v>389.98884101852701</v>
      </c>
      <c r="AG203" s="5">
        <v>367.08195062699002</v>
      </c>
    </row>
    <row r="204" spans="1:33" x14ac:dyDescent="0.25">
      <c r="A204" t="s">
        <v>12</v>
      </c>
      <c r="B204" s="1">
        <v>40118</v>
      </c>
      <c r="C204">
        <v>164194</v>
      </c>
      <c r="D204">
        <v>1284380337007.78</v>
      </c>
      <c r="E204">
        <v>212.60255787677599</v>
      </c>
      <c r="U204" t="s">
        <v>12</v>
      </c>
      <c r="V204" s="1">
        <v>40118</v>
      </c>
      <c r="W204">
        <v>164194</v>
      </c>
      <c r="X204">
        <v>1284380337007.78</v>
      </c>
      <c r="Y204">
        <v>180.92905535228999</v>
      </c>
      <c r="AE204" s="3">
        <v>40634</v>
      </c>
      <c r="AF204" s="5">
        <v>397.06056780196599</v>
      </c>
      <c r="AG204" s="5">
        <v>374.54973485581098</v>
      </c>
    </row>
    <row r="205" spans="1:33" x14ac:dyDescent="0.25">
      <c r="A205" t="s">
        <v>13</v>
      </c>
      <c r="B205" s="1">
        <v>40118</v>
      </c>
      <c r="C205">
        <v>95</v>
      </c>
      <c r="D205">
        <v>819680231.34000003</v>
      </c>
      <c r="E205">
        <v>161.80047808222301</v>
      </c>
      <c r="U205" t="s">
        <v>13</v>
      </c>
      <c r="V205" s="1">
        <v>40118</v>
      </c>
      <c r="W205">
        <v>95</v>
      </c>
      <c r="X205">
        <v>819680231.34000003</v>
      </c>
      <c r="Y205">
        <v>174.08090083135099</v>
      </c>
      <c r="AE205" s="3">
        <v>40664</v>
      </c>
      <c r="AF205" s="5">
        <v>402.95365168642098</v>
      </c>
      <c r="AG205" s="5">
        <v>380.81887777678702</v>
      </c>
    </row>
    <row r="206" spans="1:33" x14ac:dyDescent="0.25">
      <c r="A206" t="s">
        <v>12</v>
      </c>
      <c r="B206" s="1">
        <v>40148</v>
      </c>
      <c r="C206">
        <v>164264</v>
      </c>
      <c r="D206">
        <v>1288288962785.8999</v>
      </c>
      <c r="E206">
        <v>225.904790316674</v>
      </c>
      <c r="U206" t="s">
        <v>12</v>
      </c>
      <c r="V206" s="1">
        <v>40148</v>
      </c>
      <c r="W206">
        <v>164264</v>
      </c>
      <c r="X206">
        <v>1288288962785.8999</v>
      </c>
      <c r="Y206">
        <v>194.901663695781</v>
      </c>
      <c r="AE206" s="3">
        <v>40695</v>
      </c>
      <c r="AF206" s="5">
        <v>412.36004942913701</v>
      </c>
      <c r="AG206" s="5">
        <v>390.56468045331599</v>
      </c>
    </row>
    <row r="207" spans="1:33" x14ac:dyDescent="0.25">
      <c r="A207" t="s">
        <v>13</v>
      </c>
      <c r="B207" s="1">
        <v>40148</v>
      </c>
      <c r="C207">
        <v>94</v>
      </c>
      <c r="D207">
        <v>778771901.41999996</v>
      </c>
      <c r="E207">
        <v>183.29262837118199</v>
      </c>
      <c r="U207" t="s">
        <v>13</v>
      </c>
      <c r="V207" s="1">
        <v>40148</v>
      </c>
      <c r="W207">
        <v>94</v>
      </c>
      <c r="X207">
        <v>778771901.41999996</v>
      </c>
      <c r="Y207">
        <v>195.40990114872301</v>
      </c>
      <c r="AE207" s="3">
        <v>40725</v>
      </c>
      <c r="AF207" s="5">
        <v>423.56099857394702</v>
      </c>
      <c r="AG207" s="5">
        <v>402.10195514477698</v>
      </c>
    </row>
    <row r="208" spans="1:33" x14ac:dyDescent="0.25">
      <c r="A208" t="s">
        <v>14</v>
      </c>
      <c r="B208" s="1">
        <v>40148</v>
      </c>
      <c r="C208">
        <v>10</v>
      </c>
      <c r="D208">
        <v>45118402.759999998</v>
      </c>
      <c r="E208">
        <v>0</v>
      </c>
      <c r="U208" t="s">
        <v>14</v>
      </c>
      <c r="V208" s="1">
        <v>40148</v>
      </c>
      <c r="W208">
        <v>10</v>
      </c>
      <c r="X208">
        <v>45118402.759999998</v>
      </c>
      <c r="Y208">
        <v>0</v>
      </c>
      <c r="AE208" s="3">
        <v>40756</v>
      </c>
      <c r="AF208" s="5">
        <v>434.79807764408798</v>
      </c>
      <c r="AG208" s="5">
        <v>413.59174371674499</v>
      </c>
    </row>
    <row r="209" spans="1:33" x14ac:dyDescent="0.25">
      <c r="A209" t="s">
        <v>12</v>
      </c>
      <c r="B209" s="1">
        <v>40179</v>
      </c>
      <c r="C209">
        <v>164394</v>
      </c>
      <c r="D209">
        <v>1297203353258.1899</v>
      </c>
      <c r="E209">
        <v>236.47243729526301</v>
      </c>
      <c r="U209" t="s">
        <v>12</v>
      </c>
      <c r="V209" s="1">
        <v>40179</v>
      </c>
      <c r="W209">
        <v>164394</v>
      </c>
      <c r="X209">
        <v>1297203353258.1899</v>
      </c>
      <c r="Y209">
        <v>206.30192897398601</v>
      </c>
      <c r="AE209" s="3">
        <v>40787</v>
      </c>
      <c r="AF209" s="5">
        <v>450.198699668828</v>
      </c>
      <c r="AG209" s="5">
        <v>429.32773990664299</v>
      </c>
    </row>
    <row r="210" spans="1:33" x14ac:dyDescent="0.25">
      <c r="A210" t="s">
        <v>13</v>
      </c>
      <c r="B210" s="1">
        <v>40179</v>
      </c>
      <c r="C210">
        <v>94</v>
      </c>
      <c r="D210">
        <v>730740246.76999998</v>
      </c>
      <c r="E210">
        <v>204.87528236527299</v>
      </c>
      <c r="U210" t="s">
        <v>13</v>
      </c>
      <c r="V210" s="1">
        <v>40179</v>
      </c>
      <c r="W210">
        <v>94</v>
      </c>
      <c r="X210">
        <v>730740246.76999998</v>
      </c>
      <c r="Y210">
        <v>217.19578089360999</v>
      </c>
      <c r="AE210" s="3">
        <v>40817</v>
      </c>
      <c r="AF210" s="5">
        <v>468.70826224111897</v>
      </c>
      <c r="AG210" s="5">
        <v>448.215981072273</v>
      </c>
    </row>
    <row r="211" spans="1:33" x14ac:dyDescent="0.25">
      <c r="A211" t="s">
        <v>14</v>
      </c>
      <c r="B211" s="1">
        <v>40179</v>
      </c>
      <c r="C211">
        <v>26</v>
      </c>
      <c r="D211">
        <v>140467044.28999999</v>
      </c>
      <c r="E211">
        <v>4.9170626787384197</v>
      </c>
      <c r="U211" t="s">
        <v>14</v>
      </c>
      <c r="V211" s="1">
        <v>40179</v>
      </c>
      <c r="W211">
        <v>26</v>
      </c>
      <c r="X211">
        <v>140467044.28999999</v>
      </c>
      <c r="Y211">
        <v>4.9101575475738004</v>
      </c>
      <c r="AE211" s="3">
        <v>40848</v>
      </c>
      <c r="AF211" s="5">
        <v>487.75750921597199</v>
      </c>
      <c r="AG211" s="5">
        <v>467.54545832834202</v>
      </c>
    </row>
    <row r="212" spans="1:33" x14ac:dyDescent="0.25">
      <c r="A212" t="s">
        <v>12</v>
      </c>
      <c r="B212" s="1">
        <v>40210</v>
      </c>
      <c r="C212">
        <v>164392</v>
      </c>
      <c r="D212">
        <v>1297037709626.45</v>
      </c>
      <c r="E212">
        <v>245.95155327319199</v>
      </c>
      <c r="U212" t="s">
        <v>12</v>
      </c>
      <c r="V212" s="1">
        <v>40210</v>
      </c>
      <c r="W212">
        <v>164392</v>
      </c>
      <c r="X212">
        <v>1297037709626.45</v>
      </c>
      <c r="Y212">
        <v>216.43023429463</v>
      </c>
      <c r="AE212" s="3">
        <v>40878</v>
      </c>
      <c r="AF212" s="5">
        <v>508.87235068410399</v>
      </c>
      <c r="AG212" s="5">
        <v>488.919415136277</v>
      </c>
    </row>
    <row r="213" spans="1:33" x14ac:dyDescent="0.25">
      <c r="A213" t="s">
        <v>13</v>
      </c>
      <c r="B213" s="1">
        <v>40210</v>
      </c>
      <c r="C213">
        <v>93</v>
      </c>
      <c r="D213">
        <v>671519986.54999995</v>
      </c>
      <c r="E213">
        <v>225.48644714899399</v>
      </c>
      <c r="U213" t="s">
        <v>13</v>
      </c>
      <c r="V213" s="1">
        <v>40210</v>
      </c>
      <c r="W213">
        <v>93</v>
      </c>
      <c r="X213">
        <v>671519986.54999995</v>
      </c>
      <c r="Y213">
        <v>237.822391957896</v>
      </c>
      <c r="AE213" s="3">
        <v>40909</v>
      </c>
      <c r="AF213" s="5">
        <v>531.91416706844996</v>
      </c>
      <c r="AG213" s="5">
        <v>512.17431205599598</v>
      </c>
    </row>
    <row r="214" spans="1:33" x14ac:dyDescent="0.25">
      <c r="A214" t="s">
        <v>14</v>
      </c>
      <c r="B214" s="1">
        <v>40210</v>
      </c>
      <c r="C214">
        <v>44</v>
      </c>
      <c r="D214">
        <v>281456661.47000003</v>
      </c>
      <c r="E214">
        <v>9.8069640597297703</v>
      </c>
      <c r="U214" t="s">
        <v>14</v>
      </c>
      <c r="V214" s="1">
        <v>40210</v>
      </c>
      <c r="W214">
        <v>44</v>
      </c>
      <c r="X214">
        <v>281456661.47000003</v>
      </c>
      <c r="Y214">
        <v>9.7749711690498096</v>
      </c>
      <c r="AE214" s="3">
        <v>40940</v>
      </c>
      <c r="AF214" s="5">
        <v>551.295311210872</v>
      </c>
      <c r="AG214" s="5">
        <v>531.91385767459803</v>
      </c>
    </row>
    <row r="215" spans="1:33" x14ac:dyDescent="0.25">
      <c r="A215" t="s">
        <v>12</v>
      </c>
      <c r="B215" s="1">
        <v>40238</v>
      </c>
      <c r="C215">
        <v>164479</v>
      </c>
      <c r="D215">
        <v>1301137589406.99</v>
      </c>
      <c r="E215">
        <v>255.59143576441099</v>
      </c>
      <c r="U215" t="s">
        <v>12</v>
      </c>
      <c r="V215" s="1">
        <v>40238</v>
      </c>
      <c r="W215">
        <v>164479</v>
      </c>
      <c r="X215">
        <v>1301137589406.99</v>
      </c>
      <c r="Y215">
        <v>226.69528927584599</v>
      </c>
      <c r="AE215" s="3">
        <v>40969</v>
      </c>
      <c r="AF215" s="5">
        <v>566.81589241041502</v>
      </c>
      <c r="AG215" s="5">
        <v>547.88976554188605</v>
      </c>
    </row>
    <row r="216" spans="1:33" x14ac:dyDescent="0.25">
      <c r="A216" t="s">
        <v>13</v>
      </c>
      <c r="B216" s="1">
        <v>40238</v>
      </c>
      <c r="C216">
        <v>91</v>
      </c>
      <c r="D216">
        <v>636390695.32000005</v>
      </c>
      <c r="E216">
        <v>246.611105456085</v>
      </c>
      <c r="U216" t="s">
        <v>13</v>
      </c>
      <c r="V216" s="1">
        <v>40238</v>
      </c>
      <c r="W216">
        <v>91</v>
      </c>
      <c r="X216">
        <v>636390695.32000005</v>
      </c>
      <c r="Y216">
        <v>259.10009504880298</v>
      </c>
      <c r="AE216" s="3">
        <v>41000</v>
      </c>
      <c r="AF216" s="5">
        <v>582.56776759953596</v>
      </c>
      <c r="AG216" s="5">
        <v>563.96306647850497</v>
      </c>
    </row>
    <row r="217" spans="1:33" x14ac:dyDescent="0.25">
      <c r="A217" t="s">
        <v>14</v>
      </c>
      <c r="B217" s="1">
        <v>40238</v>
      </c>
      <c r="C217">
        <v>70</v>
      </c>
      <c r="D217">
        <v>451475286.89999998</v>
      </c>
      <c r="E217">
        <v>11.9612827970894</v>
      </c>
      <c r="U217" t="s">
        <v>14</v>
      </c>
      <c r="V217" s="1">
        <v>40238</v>
      </c>
      <c r="W217">
        <v>70</v>
      </c>
      <c r="X217">
        <v>451475286.89999998</v>
      </c>
      <c r="Y217">
        <v>11.885009456029699</v>
      </c>
      <c r="AE217" s="3">
        <v>41030</v>
      </c>
      <c r="AF217" s="5">
        <v>599.34122865952804</v>
      </c>
      <c r="AG217" s="5">
        <v>580.99856875094997</v>
      </c>
    </row>
    <row r="218" spans="1:33" x14ac:dyDescent="0.25">
      <c r="A218" t="s">
        <v>12</v>
      </c>
      <c r="B218" s="1">
        <v>40269</v>
      </c>
      <c r="C218">
        <v>163886</v>
      </c>
      <c r="D218">
        <v>1262938911927.99</v>
      </c>
      <c r="E218">
        <v>259.86662235461802</v>
      </c>
      <c r="U218" t="s">
        <v>12</v>
      </c>
      <c r="V218" s="1">
        <v>40269</v>
      </c>
      <c r="W218">
        <v>163886</v>
      </c>
      <c r="X218">
        <v>1262938911927.99</v>
      </c>
      <c r="Y218">
        <v>230.86922382364099</v>
      </c>
      <c r="AE218" s="3">
        <v>41061</v>
      </c>
      <c r="AF218" s="5">
        <v>618.83459910105103</v>
      </c>
      <c r="AG218" s="5">
        <v>600.71688944682899</v>
      </c>
    </row>
    <row r="219" spans="1:33" x14ac:dyDescent="0.25">
      <c r="A219" t="s">
        <v>13</v>
      </c>
      <c r="B219" s="1">
        <v>40269</v>
      </c>
      <c r="C219">
        <v>91</v>
      </c>
      <c r="D219">
        <v>595742034.61000001</v>
      </c>
      <c r="E219">
        <v>264.84405213536297</v>
      </c>
      <c r="U219" t="s">
        <v>13</v>
      </c>
      <c r="V219" s="1">
        <v>40269</v>
      </c>
      <c r="W219">
        <v>91</v>
      </c>
      <c r="X219">
        <v>595742034.61000001</v>
      </c>
      <c r="Y219">
        <v>277.06238880215301</v>
      </c>
      <c r="AE219" s="3">
        <v>41091</v>
      </c>
      <c r="AF219" s="5">
        <v>634.44374688916696</v>
      </c>
      <c r="AG219" s="5">
        <v>616.00009083640305</v>
      </c>
    </row>
    <row r="220" spans="1:33" x14ac:dyDescent="0.25">
      <c r="A220" t="s">
        <v>14</v>
      </c>
      <c r="B220" s="1">
        <v>40269</v>
      </c>
      <c r="C220">
        <v>91</v>
      </c>
      <c r="D220">
        <v>640592685.88999999</v>
      </c>
      <c r="E220">
        <v>13.703566581464401</v>
      </c>
      <c r="U220" t="s">
        <v>14</v>
      </c>
      <c r="V220" s="1">
        <v>40269</v>
      </c>
      <c r="W220">
        <v>91</v>
      </c>
      <c r="X220">
        <v>640592685.88999999</v>
      </c>
      <c r="Y220">
        <v>13.567566757186</v>
      </c>
      <c r="AE220" s="3">
        <v>41122</v>
      </c>
      <c r="AF220" s="5">
        <v>656.98525579002603</v>
      </c>
      <c r="AG220" s="5">
        <v>638.03791882340602</v>
      </c>
    </row>
    <row r="221" spans="1:33" x14ac:dyDescent="0.25">
      <c r="A221" t="s">
        <v>12</v>
      </c>
      <c r="B221" s="1">
        <v>40299</v>
      </c>
      <c r="C221">
        <v>163874</v>
      </c>
      <c r="D221">
        <v>1257357437789.02</v>
      </c>
      <c r="E221">
        <v>266.93689966858699</v>
      </c>
      <c r="U221" t="s">
        <v>12</v>
      </c>
      <c r="V221" s="1">
        <v>40299</v>
      </c>
      <c r="W221">
        <v>163874</v>
      </c>
      <c r="X221">
        <v>1257357437789.02</v>
      </c>
      <c r="Y221">
        <v>238.41875111459001</v>
      </c>
      <c r="AE221" s="3">
        <v>41153</v>
      </c>
      <c r="AF221" s="5">
        <v>674.51724532197204</v>
      </c>
      <c r="AG221" s="5">
        <v>655.21551546296905</v>
      </c>
    </row>
    <row r="222" spans="1:33" x14ac:dyDescent="0.25">
      <c r="A222" t="s">
        <v>13</v>
      </c>
      <c r="B222" s="1">
        <v>40299</v>
      </c>
      <c r="C222">
        <v>89</v>
      </c>
      <c r="D222">
        <v>561587271.51999998</v>
      </c>
      <c r="E222">
        <v>283.239030059058</v>
      </c>
      <c r="U222" t="s">
        <v>13</v>
      </c>
      <c r="V222" s="1">
        <v>40299</v>
      </c>
      <c r="W222">
        <v>89</v>
      </c>
      <c r="X222">
        <v>561587271.51999998</v>
      </c>
      <c r="Y222">
        <v>295.47512009479902</v>
      </c>
      <c r="AE222" s="3">
        <v>41183</v>
      </c>
      <c r="AF222" s="5">
        <v>695.97023140349802</v>
      </c>
      <c r="AG222" s="5">
        <v>676.226498477223</v>
      </c>
    </row>
    <row r="223" spans="1:33" x14ac:dyDescent="0.25">
      <c r="A223" t="s">
        <v>14</v>
      </c>
      <c r="B223" s="1">
        <v>40299</v>
      </c>
      <c r="C223">
        <v>116</v>
      </c>
      <c r="D223">
        <v>873082912.89999998</v>
      </c>
      <c r="E223">
        <v>13.9398630809885</v>
      </c>
      <c r="U223" t="s">
        <v>14</v>
      </c>
      <c r="V223" s="1">
        <v>40299</v>
      </c>
      <c r="W223">
        <v>116</v>
      </c>
      <c r="X223">
        <v>873082912.89999998</v>
      </c>
      <c r="Y223">
        <v>13.8387655962221</v>
      </c>
      <c r="AE223" s="3">
        <v>41214</v>
      </c>
      <c r="AF223" s="5">
        <v>713.536096710685</v>
      </c>
      <c r="AG223" s="5">
        <v>693.54144260590795</v>
      </c>
    </row>
    <row r="224" spans="1:33" x14ac:dyDescent="0.25">
      <c r="A224" t="s">
        <v>12</v>
      </c>
      <c r="B224" s="1">
        <v>40330</v>
      </c>
      <c r="C224">
        <v>163779</v>
      </c>
      <c r="D224">
        <v>1253270914369.1101</v>
      </c>
      <c r="E224">
        <v>276.966786084783</v>
      </c>
      <c r="U224" t="s">
        <v>12</v>
      </c>
      <c r="V224" s="1">
        <v>40330</v>
      </c>
      <c r="W224">
        <v>163779</v>
      </c>
      <c r="X224">
        <v>1253270914369.1101</v>
      </c>
      <c r="Y224">
        <v>248.94212149262299</v>
      </c>
      <c r="AE224" s="3">
        <v>41244</v>
      </c>
      <c r="AF224" s="5">
        <v>724.78207567621803</v>
      </c>
      <c r="AG224" s="5">
        <v>704.73243867024996</v>
      </c>
    </row>
    <row r="225" spans="1:33" x14ac:dyDescent="0.25">
      <c r="A225" t="s">
        <v>13</v>
      </c>
      <c r="B225" s="1">
        <v>40330</v>
      </c>
      <c r="C225">
        <v>88</v>
      </c>
      <c r="D225">
        <v>531420686.00999999</v>
      </c>
      <c r="E225">
        <v>304.33899683991598</v>
      </c>
      <c r="U225" t="s">
        <v>13</v>
      </c>
      <c r="V225" s="1">
        <v>40330</v>
      </c>
      <c r="W225">
        <v>88</v>
      </c>
      <c r="X225">
        <v>531420686.00999999</v>
      </c>
      <c r="Y225">
        <v>316.43760985344301</v>
      </c>
      <c r="AE225" s="3">
        <v>41275</v>
      </c>
      <c r="AF225" s="5">
        <v>747.05464298151401</v>
      </c>
      <c r="AG225" s="5">
        <v>726.61925535578303</v>
      </c>
    </row>
    <row r="226" spans="1:33" x14ac:dyDescent="0.25">
      <c r="A226" t="s">
        <v>14</v>
      </c>
      <c r="B226" s="1">
        <v>40330</v>
      </c>
      <c r="C226">
        <v>138</v>
      </c>
      <c r="D226">
        <v>1088381162.51</v>
      </c>
      <c r="E226">
        <v>14.0631964173631</v>
      </c>
      <c r="U226" t="s">
        <v>14</v>
      </c>
      <c r="V226" s="1">
        <v>40330</v>
      </c>
      <c r="W226">
        <v>138</v>
      </c>
      <c r="X226">
        <v>1088381162.51</v>
      </c>
      <c r="Y226">
        <v>13.9774289139351</v>
      </c>
      <c r="AE226" s="3">
        <v>41306</v>
      </c>
      <c r="AF226" s="5">
        <v>759.61460964686796</v>
      </c>
      <c r="AG226" s="5">
        <v>739.06007603560397</v>
      </c>
    </row>
    <row r="227" spans="1:33" x14ac:dyDescent="0.25">
      <c r="A227" t="s">
        <v>12</v>
      </c>
      <c r="B227" s="1">
        <v>40360</v>
      </c>
      <c r="C227">
        <v>163766</v>
      </c>
      <c r="D227">
        <v>1254208414913.27</v>
      </c>
      <c r="E227">
        <v>289.18605920206198</v>
      </c>
      <c r="U227" t="s">
        <v>12</v>
      </c>
      <c r="V227" s="1">
        <v>40360</v>
      </c>
      <c r="W227">
        <v>163766</v>
      </c>
      <c r="X227">
        <v>1254208414913.27</v>
      </c>
      <c r="Y227">
        <v>261.727658039669</v>
      </c>
      <c r="AE227" s="3">
        <v>41334</v>
      </c>
      <c r="AF227" s="5">
        <v>765.56967244850705</v>
      </c>
      <c r="AG227" s="5">
        <v>745.05382132692102</v>
      </c>
    </row>
    <row r="228" spans="1:33" x14ac:dyDescent="0.25">
      <c r="A228" t="s">
        <v>13</v>
      </c>
      <c r="B228" s="1">
        <v>40360</v>
      </c>
      <c r="C228">
        <v>88</v>
      </c>
      <c r="D228">
        <v>501401912.05000001</v>
      </c>
      <c r="E228">
        <v>328.58814045887499</v>
      </c>
      <c r="U228" t="s">
        <v>13</v>
      </c>
      <c r="V228" s="1">
        <v>40360</v>
      </c>
      <c r="W228">
        <v>88</v>
      </c>
      <c r="X228">
        <v>501401912.05000001</v>
      </c>
      <c r="Y228">
        <v>340.93666774872901</v>
      </c>
      <c r="AE228" s="3">
        <v>41365</v>
      </c>
      <c r="AF228" s="5">
        <v>764.10078327109102</v>
      </c>
      <c r="AG228" s="5">
        <v>743.739762592494</v>
      </c>
    </row>
    <row r="229" spans="1:33" x14ac:dyDescent="0.25">
      <c r="A229" t="s">
        <v>14</v>
      </c>
      <c r="B229" s="1">
        <v>40360</v>
      </c>
      <c r="C229">
        <v>164</v>
      </c>
      <c r="D229">
        <v>1322702870.9300001</v>
      </c>
      <c r="E229">
        <v>14.8240779652439</v>
      </c>
      <c r="U229" t="s">
        <v>14</v>
      </c>
      <c r="V229" s="1">
        <v>40360</v>
      </c>
      <c r="W229">
        <v>164</v>
      </c>
      <c r="X229">
        <v>1322702870.9300001</v>
      </c>
      <c r="Y229">
        <v>14.739431887865999</v>
      </c>
      <c r="AE229" s="3">
        <v>41395</v>
      </c>
      <c r="AF229" s="5">
        <v>764.99685066312099</v>
      </c>
      <c r="AG229" s="5">
        <v>744.67121658412304</v>
      </c>
    </row>
    <row r="230" spans="1:33" x14ac:dyDescent="0.25">
      <c r="A230" t="s">
        <v>12</v>
      </c>
      <c r="B230" s="1">
        <v>40391</v>
      </c>
      <c r="C230">
        <v>163753</v>
      </c>
      <c r="D230">
        <v>1251134507397.9399</v>
      </c>
      <c r="E230">
        <v>304.27784768155101</v>
      </c>
      <c r="U230" t="s">
        <v>12</v>
      </c>
      <c r="V230" s="1">
        <v>40391</v>
      </c>
      <c r="W230">
        <v>163753</v>
      </c>
      <c r="X230">
        <v>1251134507397.9399</v>
      </c>
      <c r="Y230">
        <v>277.42506919795898</v>
      </c>
      <c r="AE230" s="3">
        <v>41426</v>
      </c>
      <c r="AF230" s="5">
        <v>765.94570702590795</v>
      </c>
      <c r="AG230" s="5">
        <v>745.610924066454</v>
      </c>
    </row>
    <row r="231" spans="1:33" x14ac:dyDescent="0.25">
      <c r="A231" t="s">
        <v>13</v>
      </c>
      <c r="B231" s="1">
        <v>40391</v>
      </c>
      <c r="C231">
        <v>87</v>
      </c>
      <c r="D231">
        <v>476695460.79000002</v>
      </c>
      <c r="E231">
        <v>356.21192559109699</v>
      </c>
      <c r="U231" t="s">
        <v>13</v>
      </c>
      <c r="V231" s="1">
        <v>40391</v>
      </c>
      <c r="W231">
        <v>87</v>
      </c>
      <c r="X231">
        <v>476695460.79000002</v>
      </c>
      <c r="Y231">
        <v>368.56952954911799</v>
      </c>
      <c r="AE231" s="3">
        <v>41456</v>
      </c>
      <c r="AF231" s="5">
        <v>751.14390528662705</v>
      </c>
      <c r="AG231" s="5">
        <v>731.27187367586896</v>
      </c>
    </row>
    <row r="232" spans="1:33" x14ac:dyDescent="0.25">
      <c r="A232" t="s">
        <v>14</v>
      </c>
      <c r="B232" s="1">
        <v>40391</v>
      </c>
      <c r="C232">
        <v>188</v>
      </c>
      <c r="D232">
        <v>1562566788.21</v>
      </c>
      <c r="E232">
        <v>15.6939965239687</v>
      </c>
      <c r="U232" t="s">
        <v>14</v>
      </c>
      <c r="V232" s="1">
        <v>40391</v>
      </c>
      <c r="W232">
        <v>188</v>
      </c>
      <c r="X232">
        <v>1562566788.21</v>
      </c>
      <c r="Y232">
        <v>15.5872725689958</v>
      </c>
      <c r="AE232" s="3">
        <v>41487</v>
      </c>
      <c r="AF232" s="5">
        <v>735.52028110538902</v>
      </c>
      <c r="AG232" s="5">
        <v>716.16864058289502</v>
      </c>
    </row>
    <row r="233" spans="1:33" x14ac:dyDescent="0.25">
      <c r="A233" t="s">
        <v>12</v>
      </c>
      <c r="B233" s="1">
        <v>40422</v>
      </c>
      <c r="C233">
        <v>163755</v>
      </c>
      <c r="D233">
        <v>1244762156873.8799</v>
      </c>
      <c r="E233">
        <v>322.17579149750702</v>
      </c>
      <c r="U233" t="s">
        <v>12</v>
      </c>
      <c r="V233" s="1">
        <v>40422</v>
      </c>
      <c r="W233">
        <v>163755</v>
      </c>
      <c r="X233">
        <v>1244762156873.8799</v>
      </c>
      <c r="Y233">
        <v>295.87878156334602</v>
      </c>
      <c r="AE233" s="3">
        <v>41518</v>
      </c>
      <c r="AF233" s="5">
        <v>716.841770575091</v>
      </c>
      <c r="AG233" s="5">
        <v>698.05641702828495</v>
      </c>
    </row>
    <row r="234" spans="1:33" x14ac:dyDescent="0.25">
      <c r="A234" t="s">
        <v>13</v>
      </c>
      <c r="B234" s="1">
        <v>40422</v>
      </c>
      <c r="C234">
        <v>86</v>
      </c>
      <c r="D234">
        <v>436910763.93000001</v>
      </c>
      <c r="E234">
        <v>390.06315521838701</v>
      </c>
      <c r="U234" t="s">
        <v>13</v>
      </c>
      <c r="V234" s="1">
        <v>40422</v>
      </c>
      <c r="W234">
        <v>86</v>
      </c>
      <c r="X234">
        <v>436910763.93000001</v>
      </c>
      <c r="Y234">
        <v>402.27324086563698</v>
      </c>
      <c r="AE234" s="3">
        <v>41548</v>
      </c>
      <c r="AF234" s="5">
        <v>703.76561108239105</v>
      </c>
      <c r="AG234" s="5">
        <v>685.36414873509</v>
      </c>
    </row>
    <row r="235" spans="1:33" x14ac:dyDescent="0.25">
      <c r="A235" t="s">
        <v>14</v>
      </c>
      <c r="B235" s="1">
        <v>40422</v>
      </c>
      <c r="C235">
        <v>209</v>
      </c>
      <c r="D235">
        <v>1800028459.5</v>
      </c>
      <c r="E235">
        <v>14.5539394261315</v>
      </c>
      <c r="U235" t="s">
        <v>14</v>
      </c>
      <c r="V235" s="1">
        <v>40422</v>
      </c>
      <c r="W235">
        <v>209</v>
      </c>
      <c r="X235">
        <v>1800028459.5</v>
      </c>
      <c r="Y235">
        <v>14.3906513512242</v>
      </c>
      <c r="AE235" s="3">
        <v>41579</v>
      </c>
      <c r="AF235" s="5">
        <v>698.34414694911004</v>
      </c>
      <c r="AG235" s="5">
        <v>680.07648772960601</v>
      </c>
    </row>
    <row r="236" spans="1:33" x14ac:dyDescent="0.25">
      <c r="A236" t="s">
        <v>12</v>
      </c>
      <c r="B236" s="1">
        <v>40452</v>
      </c>
      <c r="C236">
        <v>163816</v>
      </c>
      <c r="D236">
        <v>1235982569471.3701</v>
      </c>
      <c r="E236">
        <v>339.509362166578</v>
      </c>
      <c r="U236" t="s">
        <v>12</v>
      </c>
      <c r="V236" s="1">
        <v>40452</v>
      </c>
      <c r="W236">
        <v>163816</v>
      </c>
      <c r="X236">
        <v>1235982569471.3701</v>
      </c>
      <c r="Y236">
        <v>313.89928910530398</v>
      </c>
      <c r="AE236" s="3">
        <v>41609</v>
      </c>
      <c r="AF236" s="5">
        <v>692.28957406291499</v>
      </c>
      <c r="AG236" s="5">
        <v>674.40781469614603</v>
      </c>
    </row>
    <row r="237" spans="1:33" x14ac:dyDescent="0.25">
      <c r="A237" t="s">
        <v>13</v>
      </c>
      <c r="B237" s="1">
        <v>40452</v>
      </c>
      <c r="C237">
        <v>86</v>
      </c>
      <c r="D237">
        <v>406964949.51999998</v>
      </c>
      <c r="E237">
        <v>427.44150247895601</v>
      </c>
      <c r="U237" t="s">
        <v>13</v>
      </c>
      <c r="V237" s="1">
        <v>40452</v>
      </c>
      <c r="W237">
        <v>86</v>
      </c>
      <c r="X237">
        <v>406964949.51999998</v>
      </c>
      <c r="Y237">
        <v>439.710343360617</v>
      </c>
      <c r="AE237" s="3">
        <v>41640</v>
      </c>
      <c r="AF237" s="5">
        <v>684.48256454748696</v>
      </c>
      <c r="AG237" s="5">
        <v>667.01982260955003</v>
      </c>
    </row>
    <row r="238" spans="1:33" x14ac:dyDescent="0.25">
      <c r="A238" t="s">
        <v>14</v>
      </c>
      <c r="B238" s="1">
        <v>40452</v>
      </c>
      <c r="C238">
        <v>241</v>
      </c>
      <c r="D238">
        <v>2289490119.9400001</v>
      </c>
      <c r="E238">
        <v>13.262777253858401</v>
      </c>
      <c r="U238" t="s">
        <v>14</v>
      </c>
      <c r="V238" s="1">
        <v>40452</v>
      </c>
      <c r="W238">
        <v>241</v>
      </c>
      <c r="X238">
        <v>2289490119.9400001</v>
      </c>
      <c r="Y238">
        <v>13.048453579782199</v>
      </c>
      <c r="AE238" s="3">
        <v>41671</v>
      </c>
      <c r="AF238" s="5">
        <v>676.66801530276598</v>
      </c>
      <c r="AG238" s="5">
        <v>659.56092025686905</v>
      </c>
    </row>
    <row r="239" spans="1:33" x14ac:dyDescent="0.25">
      <c r="A239" t="s">
        <v>12</v>
      </c>
      <c r="B239" s="1">
        <v>40483</v>
      </c>
      <c r="C239">
        <v>163859</v>
      </c>
      <c r="D239">
        <v>1222216237246.51</v>
      </c>
      <c r="E239">
        <v>358.76835599520399</v>
      </c>
      <c r="U239" t="s">
        <v>12</v>
      </c>
      <c r="V239" s="1">
        <v>40483</v>
      </c>
      <c r="W239">
        <v>163859</v>
      </c>
      <c r="X239">
        <v>1222216237246.51</v>
      </c>
      <c r="Y239">
        <v>333.68759744787098</v>
      </c>
      <c r="AE239" s="3">
        <v>41699</v>
      </c>
      <c r="AF239" s="5">
        <v>672.17232859710805</v>
      </c>
      <c r="AG239" s="5">
        <v>655.34296464728595</v>
      </c>
    </row>
    <row r="240" spans="1:33" x14ac:dyDescent="0.25">
      <c r="A240" t="s">
        <v>13</v>
      </c>
      <c r="B240" s="1">
        <v>40483</v>
      </c>
      <c r="C240">
        <v>84</v>
      </c>
      <c r="D240">
        <v>376322526.51999998</v>
      </c>
      <c r="E240">
        <v>468.44983470615898</v>
      </c>
      <c r="U240" t="s">
        <v>13</v>
      </c>
      <c r="V240" s="1">
        <v>40483</v>
      </c>
      <c r="W240">
        <v>84</v>
      </c>
      <c r="X240">
        <v>376322526.51999998</v>
      </c>
      <c r="Y240">
        <v>480.78133056614598</v>
      </c>
      <c r="AE240" s="3">
        <v>41730</v>
      </c>
      <c r="AF240" s="5">
        <v>670.384491717061</v>
      </c>
      <c r="AG240" s="5">
        <v>653.58111716835697</v>
      </c>
    </row>
    <row r="241" spans="1:33" x14ac:dyDescent="0.25">
      <c r="A241" t="s">
        <v>14</v>
      </c>
      <c r="B241" s="1">
        <v>40483</v>
      </c>
      <c r="C241">
        <v>276</v>
      </c>
      <c r="D241">
        <v>2545033047.27</v>
      </c>
      <c r="E241">
        <v>12.7444347987265</v>
      </c>
      <c r="U241" t="s">
        <v>14</v>
      </c>
      <c r="V241" s="1">
        <v>40483</v>
      </c>
      <c r="W241">
        <v>276</v>
      </c>
      <c r="X241">
        <v>2545033047.27</v>
      </c>
      <c r="Y241">
        <v>12.410375187935401</v>
      </c>
      <c r="AE241" s="3">
        <v>41760</v>
      </c>
      <c r="AF241" s="5">
        <v>666.43286400783302</v>
      </c>
      <c r="AG241" s="5">
        <v>649.68410469425601</v>
      </c>
    </row>
    <row r="242" spans="1:33" x14ac:dyDescent="0.25">
      <c r="A242" t="s">
        <v>12</v>
      </c>
      <c r="B242" s="1">
        <v>40513</v>
      </c>
      <c r="C242">
        <v>164017</v>
      </c>
      <c r="D242">
        <v>1208603766164.51</v>
      </c>
      <c r="E242">
        <v>375.07101181590002</v>
      </c>
      <c r="U242" t="s">
        <v>12</v>
      </c>
      <c r="V242" s="1">
        <v>40513</v>
      </c>
      <c r="W242">
        <v>164017</v>
      </c>
      <c r="X242">
        <v>1208603766164.51</v>
      </c>
      <c r="Y242">
        <v>350.53772033319598</v>
      </c>
      <c r="AE242" s="3">
        <v>41791</v>
      </c>
      <c r="AF242" s="5">
        <v>664.69980563757599</v>
      </c>
      <c r="AG242" s="5">
        <v>647.879089848082</v>
      </c>
    </row>
    <row r="243" spans="1:33" x14ac:dyDescent="0.25">
      <c r="A243" t="s">
        <v>13</v>
      </c>
      <c r="B243" s="1">
        <v>40513</v>
      </c>
      <c r="C243">
        <v>83</v>
      </c>
      <c r="D243">
        <v>351522994.73000002</v>
      </c>
      <c r="E243">
        <v>504.246122141846</v>
      </c>
      <c r="U243" t="s">
        <v>13</v>
      </c>
      <c r="V243" s="1">
        <v>40513</v>
      </c>
      <c r="W243">
        <v>83</v>
      </c>
      <c r="X243">
        <v>351522994.73000002</v>
      </c>
      <c r="Y243">
        <v>516.32648896993896</v>
      </c>
      <c r="AE243" s="3">
        <v>41821</v>
      </c>
      <c r="AF243" s="5">
        <v>662.075403877383</v>
      </c>
      <c r="AG243" s="5">
        <v>645.210909291711</v>
      </c>
    </row>
    <row r="244" spans="1:33" x14ac:dyDescent="0.25">
      <c r="A244" t="s">
        <v>14</v>
      </c>
      <c r="B244" s="1">
        <v>40513</v>
      </c>
      <c r="C244">
        <v>306</v>
      </c>
      <c r="D244">
        <v>3126217292.7199998</v>
      </c>
      <c r="E244">
        <v>28.766009774220699</v>
      </c>
      <c r="U244" t="s">
        <v>14</v>
      </c>
      <c r="V244" s="1">
        <v>40513</v>
      </c>
      <c r="W244">
        <v>306</v>
      </c>
      <c r="X244">
        <v>3126217292.7199998</v>
      </c>
      <c r="Y244">
        <v>28.4069798540588</v>
      </c>
      <c r="AE244" s="3">
        <v>41852</v>
      </c>
      <c r="AF244" s="5">
        <v>659.71024280803999</v>
      </c>
      <c r="AG244" s="5">
        <v>642.76902569574804</v>
      </c>
    </row>
    <row r="245" spans="1:33" x14ac:dyDescent="0.25">
      <c r="A245" t="s">
        <v>12</v>
      </c>
      <c r="B245" s="1">
        <v>40544</v>
      </c>
      <c r="C245">
        <v>164228</v>
      </c>
      <c r="D245">
        <v>1194423645357.02</v>
      </c>
      <c r="E245">
        <v>382.44246133391999</v>
      </c>
      <c r="U245" t="s">
        <v>12</v>
      </c>
      <c r="V245" s="1">
        <v>40544</v>
      </c>
      <c r="W245">
        <v>164228</v>
      </c>
      <c r="X245">
        <v>1194423645357.02</v>
      </c>
      <c r="Y245">
        <v>358.426827953832</v>
      </c>
      <c r="AE245" s="3">
        <v>41883</v>
      </c>
      <c r="AF245" s="5">
        <v>654.15727526874605</v>
      </c>
      <c r="AG245" s="5">
        <v>637.23237313323</v>
      </c>
    </row>
    <row r="246" spans="1:33" x14ac:dyDescent="0.25">
      <c r="A246" t="s">
        <v>13</v>
      </c>
      <c r="B246" s="1">
        <v>40544</v>
      </c>
      <c r="C246">
        <v>103</v>
      </c>
      <c r="D246">
        <v>929665401.02999997</v>
      </c>
      <c r="E246">
        <v>192.96425643683099</v>
      </c>
      <c r="U246" t="s">
        <v>13</v>
      </c>
      <c r="V246" s="1">
        <v>40544</v>
      </c>
      <c r="W246">
        <v>103</v>
      </c>
      <c r="X246">
        <v>929665401.02999997</v>
      </c>
      <c r="Y246">
        <v>197.133968552379</v>
      </c>
      <c r="AE246" s="3">
        <v>41913</v>
      </c>
      <c r="AF246" s="5">
        <v>649.49729153355804</v>
      </c>
      <c r="AG246" s="5">
        <v>632.57356396276498</v>
      </c>
    </row>
    <row r="247" spans="1:33" x14ac:dyDescent="0.25">
      <c r="A247" t="s">
        <v>14</v>
      </c>
      <c r="B247" s="1">
        <v>40544</v>
      </c>
      <c r="C247">
        <v>342</v>
      </c>
      <c r="D247">
        <v>3903977995.2800002</v>
      </c>
      <c r="E247">
        <v>25.5325537515645</v>
      </c>
      <c r="U247" t="s">
        <v>14</v>
      </c>
      <c r="V247" s="1">
        <v>40544</v>
      </c>
      <c r="W247">
        <v>342</v>
      </c>
      <c r="X247">
        <v>3903977995.2800002</v>
      </c>
      <c r="Y247">
        <v>25.2412916665794</v>
      </c>
      <c r="AE247" s="3">
        <v>41944</v>
      </c>
      <c r="AF247" s="5">
        <v>646.21962683922595</v>
      </c>
      <c r="AG247" s="5">
        <v>629.24248594360597</v>
      </c>
    </row>
    <row r="248" spans="1:33" x14ac:dyDescent="0.25">
      <c r="A248" t="s">
        <v>12</v>
      </c>
      <c r="B248" s="1">
        <v>40575</v>
      </c>
      <c r="C248">
        <v>164247</v>
      </c>
      <c r="D248">
        <v>1182814575891.2</v>
      </c>
      <c r="E248">
        <v>387.96058363639997</v>
      </c>
      <c r="U248" t="s">
        <v>12</v>
      </c>
      <c r="V248" s="1">
        <v>40575</v>
      </c>
      <c r="W248">
        <v>164247</v>
      </c>
      <c r="X248">
        <v>1182814575891.2</v>
      </c>
      <c r="Y248">
        <v>364.46715383647501</v>
      </c>
      <c r="AE248" s="3">
        <v>41974</v>
      </c>
      <c r="AF248" s="5">
        <v>644.23745909282195</v>
      </c>
      <c r="AG248" s="5">
        <v>627.175782626515</v>
      </c>
    </row>
    <row r="249" spans="1:33" x14ac:dyDescent="0.25">
      <c r="A249" t="s">
        <v>13</v>
      </c>
      <c r="B249" s="1">
        <v>40575</v>
      </c>
      <c r="C249">
        <v>118</v>
      </c>
      <c r="D249">
        <v>1352151537.6500001</v>
      </c>
      <c r="E249">
        <v>132.330168976333</v>
      </c>
      <c r="U249" t="s">
        <v>13</v>
      </c>
      <c r="V249" s="1">
        <v>40575</v>
      </c>
      <c r="W249">
        <v>118</v>
      </c>
      <c r="X249">
        <v>1352151537.6500001</v>
      </c>
      <c r="Y249">
        <v>134.99843405211999</v>
      </c>
      <c r="AE249" s="3">
        <v>42005</v>
      </c>
      <c r="AF249" s="5">
        <v>647.41495682305595</v>
      </c>
      <c r="AG249" s="5">
        <v>630.09389627889698</v>
      </c>
    </row>
    <row r="250" spans="1:33" x14ac:dyDescent="0.25">
      <c r="A250" t="s">
        <v>14</v>
      </c>
      <c r="B250" s="1">
        <v>40575</v>
      </c>
      <c r="C250">
        <v>383</v>
      </c>
      <c r="D250">
        <v>4392867761.4399996</v>
      </c>
      <c r="E250">
        <v>22.865090826513001</v>
      </c>
      <c r="U250" t="s">
        <v>14</v>
      </c>
      <c r="V250" s="1">
        <v>40575</v>
      </c>
      <c r="W250">
        <v>383</v>
      </c>
      <c r="X250">
        <v>4392867761.4399996</v>
      </c>
      <c r="Y250">
        <v>22.604925290555901</v>
      </c>
      <c r="AE250" s="3">
        <v>42036</v>
      </c>
      <c r="AF250" s="5">
        <v>653.24988446499697</v>
      </c>
      <c r="AG250" s="5">
        <v>635.82888644838602</v>
      </c>
    </row>
    <row r="251" spans="1:33" x14ac:dyDescent="0.25">
      <c r="A251" t="s">
        <v>12</v>
      </c>
      <c r="B251" s="1">
        <v>40603</v>
      </c>
      <c r="C251">
        <v>164474</v>
      </c>
      <c r="D251">
        <v>1179826829308.1899</v>
      </c>
      <c r="E251">
        <v>389.98884101852701</v>
      </c>
      <c r="U251" t="s">
        <v>12</v>
      </c>
      <c r="V251" s="1">
        <v>40603</v>
      </c>
      <c r="W251">
        <v>164474</v>
      </c>
      <c r="X251">
        <v>1179826829308.1899</v>
      </c>
      <c r="Y251">
        <v>367.08195062699002</v>
      </c>
      <c r="AE251" s="3">
        <v>42064</v>
      </c>
      <c r="AF251" s="5">
        <v>656.56218752353698</v>
      </c>
      <c r="AG251" s="5">
        <v>639.16127896912496</v>
      </c>
    </row>
    <row r="252" spans="1:33" x14ac:dyDescent="0.25">
      <c r="A252" t="s">
        <v>13</v>
      </c>
      <c r="B252" s="1">
        <v>40603</v>
      </c>
      <c r="C252">
        <v>150</v>
      </c>
      <c r="D252">
        <v>2662811185.9000001</v>
      </c>
      <c r="E252">
        <v>66.596783634387904</v>
      </c>
      <c r="U252" t="s">
        <v>13</v>
      </c>
      <c r="V252" s="1">
        <v>40603</v>
      </c>
      <c r="W252">
        <v>150</v>
      </c>
      <c r="X252">
        <v>2662811185.9000001</v>
      </c>
      <c r="Y252">
        <v>67.887838210730905</v>
      </c>
      <c r="AE252" s="3">
        <v>42095</v>
      </c>
      <c r="AF252" s="5">
        <v>662.36673240305197</v>
      </c>
      <c r="AG252" s="5">
        <v>644.82146556106204</v>
      </c>
    </row>
    <row r="253" spans="1:33" x14ac:dyDescent="0.25">
      <c r="A253" t="s">
        <v>14</v>
      </c>
      <c r="B253" s="1">
        <v>40603</v>
      </c>
      <c r="C253">
        <v>430</v>
      </c>
      <c r="D253">
        <v>5236503457.5500002</v>
      </c>
      <c r="E253">
        <v>19.619897262471898</v>
      </c>
      <c r="U253" t="s">
        <v>14</v>
      </c>
      <c r="V253" s="1">
        <v>40603</v>
      </c>
      <c r="W253">
        <v>430</v>
      </c>
      <c r="X253">
        <v>5236503457.5500002</v>
      </c>
      <c r="Y253">
        <v>19.403535571222498</v>
      </c>
      <c r="AE253" s="3">
        <v>42125</v>
      </c>
      <c r="AF253" s="5">
        <v>664.17191217349796</v>
      </c>
      <c r="AG253" s="5">
        <v>646.55646301511797</v>
      </c>
    </row>
    <row r="254" spans="1:33" x14ac:dyDescent="0.25">
      <c r="A254" t="s">
        <v>12</v>
      </c>
      <c r="B254" s="1">
        <v>40634</v>
      </c>
      <c r="C254">
        <v>164558</v>
      </c>
      <c r="D254">
        <v>1171068568311.46</v>
      </c>
      <c r="E254">
        <v>397.06056780196599</v>
      </c>
      <c r="U254" t="s">
        <v>12</v>
      </c>
      <c r="V254" s="1">
        <v>40634</v>
      </c>
      <c r="W254">
        <v>164558</v>
      </c>
      <c r="X254">
        <v>1171068568311.46</v>
      </c>
      <c r="Y254">
        <v>374.54973485581098</v>
      </c>
      <c r="AE254" s="3">
        <v>42156</v>
      </c>
      <c r="AF254" s="5">
        <v>661.32392022301099</v>
      </c>
      <c r="AG254" s="5">
        <v>643.70062543102699</v>
      </c>
    </row>
    <row r="255" spans="1:33" x14ac:dyDescent="0.25">
      <c r="A255" t="s">
        <v>13</v>
      </c>
      <c r="B255" s="1">
        <v>40634</v>
      </c>
      <c r="C255">
        <v>171</v>
      </c>
      <c r="D255">
        <v>3016647647.4899998</v>
      </c>
      <c r="E255">
        <v>57.798438989212599</v>
      </c>
      <c r="U255" t="s">
        <v>13</v>
      </c>
      <c r="V255" s="1">
        <v>40634</v>
      </c>
      <c r="W255">
        <v>171</v>
      </c>
      <c r="X255">
        <v>3016647647.4899998</v>
      </c>
      <c r="Y255">
        <v>58.894709284263101</v>
      </c>
      <c r="AE255" s="3">
        <v>42186</v>
      </c>
      <c r="AF255" s="5">
        <v>654.43698267178399</v>
      </c>
      <c r="AG255" s="5">
        <v>636.906754672788</v>
      </c>
    </row>
    <row r="256" spans="1:33" x14ac:dyDescent="0.25">
      <c r="A256" t="s">
        <v>14</v>
      </c>
      <c r="B256" s="1">
        <v>40634</v>
      </c>
      <c r="C256">
        <v>478</v>
      </c>
      <c r="D256">
        <v>6136502654.7399998</v>
      </c>
      <c r="E256">
        <v>17.040314844784</v>
      </c>
      <c r="U256" t="s">
        <v>14</v>
      </c>
      <c r="V256" s="1">
        <v>40634</v>
      </c>
      <c r="W256">
        <v>478</v>
      </c>
      <c r="X256">
        <v>6136502654.7399998</v>
      </c>
      <c r="Y256">
        <v>16.854083761241899</v>
      </c>
      <c r="AE256" s="3">
        <v>42217</v>
      </c>
      <c r="AF256" s="5">
        <v>646.87389067944696</v>
      </c>
      <c r="AG256" s="5">
        <v>629.45496636714699</v>
      </c>
    </row>
    <row r="257" spans="1:33" x14ac:dyDescent="0.25">
      <c r="A257" t="s">
        <v>12</v>
      </c>
      <c r="B257" s="1">
        <v>40664</v>
      </c>
      <c r="C257">
        <v>164675</v>
      </c>
      <c r="D257">
        <v>1165480717909.74</v>
      </c>
      <c r="E257">
        <v>402.95365168642098</v>
      </c>
      <c r="U257" t="s">
        <v>12</v>
      </c>
      <c r="V257" s="1">
        <v>40664</v>
      </c>
      <c r="W257">
        <v>164675</v>
      </c>
      <c r="X257">
        <v>1165480717909.74</v>
      </c>
      <c r="Y257">
        <v>380.81887777678702</v>
      </c>
      <c r="AE257" s="3">
        <v>42248</v>
      </c>
      <c r="AF257" s="5">
        <v>643.82448734262402</v>
      </c>
      <c r="AG257" s="5">
        <v>626.09512299882704</v>
      </c>
    </row>
    <row r="258" spans="1:33" x14ac:dyDescent="0.25">
      <c r="A258" t="s">
        <v>13</v>
      </c>
      <c r="B258" s="1">
        <v>40664</v>
      </c>
      <c r="C258">
        <v>202</v>
      </c>
      <c r="D258">
        <v>3576642912.5300002</v>
      </c>
      <c r="E258">
        <v>49.3710855584564</v>
      </c>
      <c r="U258" t="s">
        <v>13</v>
      </c>
      <c r="V258" s="1">
        <v>40664</v>
      </c>
      <c r="W258">
        <v>202</v>
      </c>
      <c r="X258">
        <v>3576642912.5300002</v>
      </c>
      <c r="Y258">
        <v>50.218098212507599</v>
      </c>
      <c r="AE258" s="3">
        <v>42278</v>
      </c>
      <c r="AF258" s="5">
        <v>639.98383388572699</v>
      </c>
      <c r="AG258" s="5">
        <v>621.97046728061696</v>
      </c>
    </row>
    <row r="259" spans="1:33" x14ac:dyDescent="0.25">
      <c r="A259" t="s">
        <v>14</v>
      </c>
      <c r="B259" s="1">
        <v>40664</v>
      </c>
      <c r="C259">
        <v>523</v>
      </c>
      <c r="D259">
        <v>6826056441.3299999</v>
      </c>
      <c r="E259">
        <v>15.6050907673668</v>
      </c>
      <c r="U259" t="s">
        <v>14</v>
      </c>
      <c r="V259" s="1">
        <v>40664</v>
      </c>
      <c r="W259">
        <v>523</v>
      </c>
      <c r="X259">
        <v>6826056441.3299999</v>
      </c>
      <c r="Y259">
        <v>15.4357134360333</v>
      </c>
      <c r="AE259" s="3">
        <v>42309</v>
      </c>
      <c r="AF259" s="5">
        <v>639.36412548450096</v>
      </c>
      <c r="AG259" s="5">
        <v>621.01821855342905</v>
      </c>
    </row>
    <row r="260" spans="1:33" x14ac:dyDescent="0.25">
      <c r="A260" t="s">
        <v>12</v>
      </c>
      <c r="B260" s="1">
        <v>40695</v>
      </c>
      <c r="C260">
        <v>164807</v>
      </c>
      <c r="D260">
        <v>1160574203603.98</v>
      </c>
      <c r="E260">
        <v>412.36004942913701</v>
      </c>
      <c r="U260" t="s">
        <v>12</v>
      </c>
      <c r="V260" s="1">
        <v>40695</v>
      </c>
      <c r="W260">
        <v>164807</v>
      </c>
      <c r="X260">
        <v>1160574203603.98</v>
      </c>
      <c r="Y260">
        <v>390.56468045331599</v>
      </c>
      <c r="AE260" s="3">
        <v>42339</v>
      </c>
      <c r="AF260" s="5">
        <v>637.31831129475597</v>
      </c>
      <c r="AG260" s="5">
        <v>618.69121121969295</v>
      </c>
    </row>
    <row r="261" spans="1:33" x14ac:dyDescent="0.25">
      <c r="A261" t="s">
        <v>13</v>
      </c>
      <c r="B261" s="1">
        <v>40695</v>
      </c>
      <c r="C261">
        <v>231</v>
      </c>
      <c r="D261">
        <v>4235834937.54</v>
      </c>
      <c r="E261">
        <v>45.888930375783303</v>
      </c>
      <c r="U261" t="s">
        <v>13</v>
      </c>
      <c r="V261" s="1">
        <v>40695</v>
      </c>
      <c r="W261">
        <v>231</v>
      </c>
      <c r="X261">
        <v>4235834937.54</v>
      </c>
      <c r="Y261">
        <v>46.574755761291598</v>
      </c>
      <c r="AE261" s="3">
        <v>42370</v>
      </c>
      <c r="AF261" s="5">
        <v>636.06150829973797</v>
      </c>
      <c r="AG261" s="5">
        <v>617.13466274150096</v>
      </c>
    </row>
    <row r="262" spans="1:33" x14ac:dyDescent="0.25">
      <c r="A262" t="s">
        <v>14</v>
      </c>
      <c r="B262" s="1">
        <v>40695</v>
      </c>
      <c r="C262">
        <v>560</v>
      </c>
      <c r="D262">
        <v>7337956247.75</v>
      </c>
      <c r="E262">
        <v>14.7769811479094</v>
      </c>
      <c r="U262" t="s">
        <v>14</v>
      </c>
      <c r="V262" s="1">
        <v>40695</v>
      </c>
      <c r="W262">
        <v>560</v>
      </c>
      <c r="X262">
        <v>7337956247.75</v>
      </c>
      <c r="Y262">
        <v>14.6147529214412</v>
      </c>
      <c r="AE262" s="3">
        <v>42401</v>
      </c>
      <c r="AF262" s="5">
        <v>635.72725812532201</v>
      </c>
      <c r="AG262" s="5">
        <v>616.50526343668798</v>
      </c>
    </row>
    <row r="263" spans="1:33" x14ac:dyDescent="0.25">
      <c r="A263" t="s">
        <v>12</v>
      </c>
      <c r="B263" s="1">
        <v>40725</v>
      </c>
      <c r="C263">
        <v>164963</v>
      </c>
      <c r="D263">
        <v>1157445015074.0801</v>
      </c>
      <c r="E263">
        <v>423.56099857394702</v>
      </c>
      <c r="U263" t="s">
        <v>12</v>
      </c>
      <c r="V263" s="1">
        <v>40725</v>
      </c>
      <c r="W263">
        <v>164963</v>
      </c>
      <c r="X263">
        <v>1157445015074.0801</v>
      </c>
      <c r="Y263">
        <v>402.10195514477698</v>
      </c>
      <c r="AE263" s="3">
        <v>42430</v>
      </c>
      <c r="AF263" s="5">
        <v>641.05199043084201</v>
      </c>
      <c r="AG263" s="5">
        <v>621.40523994562602</v>
      </c>
    </row>
    <row r="264" spans="1:33" x14ac:dyDescent="0.25">
      <c r="A264" t="s">
        <v>13</v>
      </c>
      <c r="B264" s="1">
        <v>40725</v>
      </c>
      <c r="C264">
        <v>269</v>
      </c>
      <c r="D264">
        <v>5049498835.8699999</v>
      </c>
      <c r="E264">
        <v>44.5732659972278</v>
      </c>
      <c r="U264" t="s">
        <v>13</v>
      </c>
      <c r="V264" s="1">
        <v>40725</v>
      </c>
      <c r="W264">
        <v>269</v>
      </c>
      <c r="X264">
        <v>5049498835.8699999</v>
      </c>
      <c r="Y264">
        <v>45.108122290365998</v>
      </c>
      <c r="AE264" s="3">
        <v>42461</v>
      </c>
      <c r="AF264" s="5">
        <v>646.13716997658798</v>
      </c>
      <c r="AG264" s="5">
        <v>625.99994313622506</v>
      </c>
    </row>
    <row r="265" spans="1:33" x14ac:dyDescent="0.25">
      <c r="A265" t="s">
        <v>14</v>
      </c>
      <c r="B265" s="1">
        <v>40725</v>
      </c>
      <c r="C265">
        <v>593</v>
      </c>
      <c r="D265">
        <v>7947724964.54</v>
      </c>
      <c r="E265">
        <v>14.1064302832522</v>
      </c>
      <c r="U265" t="s">
        <v>14</v>
      </c>
      <c r="V265" s="1">
        <v>40725</v>
      </c>
      <c r="W265">
        <v>593</v>
      </c>
      <c r="X265">
        <v>7947724964.54</v>
      </c>
      <c r="Y265">
        <v>13.9428627918183</v>
      </c>
      <c r="AE265" s="3">
        <v>42491</v>
      </c>
      <c r="AF265" s="5">
        <v>652.08162898713601</v>
      </c>
      <c r="AG265" s="5">
        <v>631.38287267109195</v>
      </c>
    </row>
    <row r="266" spans="1:33" x14ac:dyDescent="0.25">
      <c r="A266" t="s">
        <v>12</v>
      </c>
      <c r="B266" s="1">
        <v>40756</v>
      </c>
      <c r="C266">
        <v>165116</v>
      </c>
      <c r="D266">
        <v>1150165536380.5701</v>
      </c>
      <c r="E266">
        <v>434.79807764408798</v>
      </c>
      <c r="U266" t="s">
        <v>12</v>
      </c>
      <c r="V266" s="1">
        <v>40756</v>
      </c>
      <c r="W266">
        <v>165116</v>
      </c>
      <c r="X266">
        <v>1150165536380.5701</v>
      </c>
      <c r="Y266">
        <v>413.59174371674499</v>
      </c>
      <c r="AE266" s="3">
        <v>42522</v>
      </c>
      <c r="AF266" s="5">
        <v>655.78438859935795</v>
      </c>
      <c r="AG266" s="5">
        <v>634.56144491735404</v>
      </c>
    </row>
    <row r="267" spans="1:33" x14ac:dyDescent="0.25">
      <c r="A267" t="s">
        <v>13</v>
      </c>
      <c r="B267" s="1">
        <v>40756</v>
      </c>
      <c r="C267">
        <v>308</v>
      </c>
      <c r="D267">
        <v>5555396980.3400002</v>
      </c>
      <c r="E267">
        <v>46.186117683408</v>
      </c>
      <c r="U267" t="s">
        <v>13</v>
      </c>
      <c r="V267" s="1">
        <v>40756</v>
      </c>
      <c r="W267">
        <v>308</v>
      </c>
      <c r="X267">
        <v>5555396980.3400002</v>
      </c>
      <c r="Y267">
        <v>46.655417778400398</v>
      </c>
      <c r="AE267" s="3">
        <v>42552</v>
      </c>
      <c r="AF267" s="5">
        <v>659.60578974607495</v>
      </c>
      <c r="AG267" s="5">
        <v>637.89670513216197</v>
      </c>
    </row>
    <row r="268" spans="1:33" x14ac:dyDescent="0.25">
      <c r="A268" t="s">
        <v>14</v>
      </c>
      <c r="B268" s="1">
        <v>40756</v>
      </c>
      <c r="C268">
        <v>626</v>
      </c>
      <c r="D268">
        <v>8459759606.9799995</v>
      </c>
      <c r="E268">
        <v>13.7652026291443</v>
      </c>
      <c r="U268" t="s">
        <v>14</v>
      </c>
      <c r="V268" s="1">
        <v>40756</v>
      </c>
      <c r="W268">
        <v>626</v>
      </c>
      <c r="X268">
        <v>8459759606.9799995</v>
      </c>
      <c r="Y268">
        <v>13.553947929827601</v>
      </c>
      <c r="AE268" s="3">
        <v>42583</v>
      </c>
      <c r="AF268" s="5">
        <v>664.220479628259</v>
      </c>
      <c r="AG268" s="5">
        <v>642.05309637272796</v>
      </c>
    </row>
    <row r="269" spans="1:33" x14ac:dyDescent="0.25">
      <c r="A269" t="s">
        <v>12</v>
      </c>
      <c r="B269" s="1">
        <v>40787</v>
      </c>
      <c r="C269">
        <v>165297</v>
      </c>
      <c r="D269">
        <v>1145704754479.45</v>
      </c>
      <c r="E269">
        <v>450.198699668828</v>
      </c>
      <c r="U269" t="s">
        <v>12</v>
      </c>
      <c r="V269" s="1">
        <v>40787</v>
      </c>
      <c r="W269">
        <v>165297</v>
      </c>
      <c r="X269">
        <v>1145704754479.45</v>
      </c>
      <c r="Y269">
        <v>429.32773990664299</v>
      </c>
      <c r="AE269" s="3">
        <v>42614</v>
      </c>
      <c r="AF269" s="5">
        <v>667.74549805829201</v>
      </c>
      <c r="AG269" s="5">
        <v>645.20654956741203</v>
      </c>
    </row>
    <row r="270" spans="1:33" x14ac:dyDescent="0.25">
      <c r="A270" t="s">
        <v>13</v>
      </c>
      <c r="B270" s="1">
        <v>40787</v>
      </c>
      <c r="C270">
        <v>347</v>
      </c>
      <c r="D270">
        <v>6013908013.3299999</v>
      </c>
      <c r="E270">
        <v>53.650341573448003</v>
      </c>
      <c r="U270" t="s">
        <v>13</v>
      </c>
      <c r="V270" s="1">
        <v>40787</v>
      </c>
      <c r="W270">
        <v>347</v>
      </c>
      <c r="X270">
        <v>6013908013.3299999</v>
      </c>
      <c r="Y270">
        <v>54.081609410710797</v>
      </c>
      <c r="AE270" s="3">
        <v>42644</v>
      </c>
      <c r="AF270" s="5">
        <v>669.389418513603</v>
      </c>
      <c r="AG270" s="5">
        <v>646.56014305045198</v>
      </c>
    </row>
    <row r="271" spans="1:33" x14ac:dyDescent="0.25">
      <c r="A271" t="s">
        <v>14</v>
      </c>
      <c r="B271" s="1">
        <v>40787</v>
      </c>
      <c r="C271">
        <v>659</v>
      </c>
      <c r="D271">
        <v>9001686735.1800003</v>
      </c>
      <c r="E271">
        <v>13.3696481969102</v>
      </c>
      <c r="U271" t="s">
        <v>14</v>
      </c>
      <c r="V271" s="1">
        <v>40787</v>
      </c>
      <c r="W271">
        <v>659</v>
      </c>
      <c r="X271">
        <v>9001686735.1800003</v>
      </c>
      <c r="Y271">
        <v>12.940698116902899</v>
      </c>
      <c r="AE271" s="3">
        <v>42675</v>
      </c>
      <c r="AF271" s="5">
        <v>673.33270063044495</v>
      </c>
      <c r="AG271" s="5">
        <v>650.15620133660104</v>
      </c>
    </row>
    <row r="272" spans="1:33" x14ac:dyDescent="0.25">
      <c r="A272" t="s">
        <v>12</v>
      </c>
      <c r="B272" s="1">
        <v>40817</v>
      </c>
      <c r="C272">
        <v>165496</v>
      </c>
      <c r="D272">
        <v>1139539896703.1399</v>
      </c>
      <c r="E272">
        <v>468.70826224111897</v>
      </c>
      <c r="U272" t="s">
        <v>12</v>
      </c>
      <c r="V272" s="1">
        <v>40817</v>
      </c>
      <c r="W272">
        <v>165496</v>
      </c>
      <c r="X272">
        <v>1139539896703.1399</v>
      </c>
      <c r="Y272">
        <v>448.215981072273</v>
      </c>
    </row>
    <row r="273" spans="1:25" x14ac:dyDescent="0.25">
      <c r="A273" t="s">
        <v>13</v>
      </c>
      <c r="B273" s="1">
        <v>40817</v>
      </c>
      <c r="C273">
        <v>375</v>
      </c>
      <c r="D273">
        <v>6542546587.2600002</v>
      </c>
      <c r="E273">
        <v>62.986194104577102</v>
      </c>
      <c r="U273" t="s">
        <v>13</v>
      </c>
      <c r="V273" s="1">
        <v>40817</v>
      </c>
      <c r="W273">
        <v>375</v>
      </c>
      <c r="X273">
        <v>6542546587.2600002</v>
      </c>
      <c r="Y273">
        <v>63.374874924356902</v>
      </c>
    </row>
    <row r="274" spans="1:25" x14ac:dyDescent="0.25">
      <c r="A274" t="s">
        <v>14</v>
      </c>
      <c r="B274" s="1">
        <v>40817</v>
      </c>
      <c r="C274">
        <v>691</v>
      </c>
      <c r="D274">
        <v>9553441938.6800003</v>
      </c>
      <c r="E274">
        <v>13.3601939218502</v>
      </c>
      <c r="U274" t="s">
        <v>14</v>
      </c>
      <c r="V274" s="1">
        <v>40817</v>
      </c>
      <c r="W274">
        <v>691</v>
      </c>
      <c r="X274">
        <v>9553441938.6800003</v>
      </c>
      <c r="Y274">
        <v>12.496094051763199</v>
      </c>
    </row>
    <row r="275" spans="1:25" x14ac:dyDescent="0.25">
      <c r="A275" t="s">
        <v>12</v>
      </c>
      <c r="B275" s="1">
        <v>40848</v>
      </c>
      <c r="C275">
        <v>165673</v>
      </c>
      <c r="D275">
        <v>1128758317047.3601</v>
      </c>
      <c r="E275">
        <v>487.75750921597199</v>
      </c>
      <c r="U275" t="s">
        <v>12</v>
      </c>
      <c r="V275" s="1">
        <v>40848</v>
      </c>
      <c r="W275">
        <v>165673</v>
      </c>
      <c r="X275">
        <v>1128758317047.3601</v>
      </c>
      <c r="Y275">
        <v>467.54545832834202</v>
      </c>
    </row>
    <row r="276" spans="1:25" x14ac:dyDescent="0.25">
      <c r="A276" t="s">
        <v>13</v>
      </c>
      <c r="B276" s="1">
        <v>40848</v>
      </c>
      <c r="C276">
        <v>420</v>
      </c>
      <c r="D276">
        <v>7247325924.1400003</v>
      </c>
      <c r="E276">
        <v>66.112070922801095</v>
      </c>
      <c r="U276" t="s">
        <v>13</v>
      </c>
      <c r="V276" s="1">
        <v>40848</v>
      </c>
      <c r="W276">
        <v>420</v>
      </c>
      <c r="X276">
        <v>7247325924.1400003</v>
      </c>
      <c r="Y276">
        <v>66.487775343249297</v>
      </c>
    </row>
    <row r="277" spans="1:25" x14ac:dyDescent="0.25">
      <c r="A277" t="s">
        <v>14</v>
      </c>
      <c r="B277" s="1">
        <v>40848</v>
      </c>
      <c r="C277">
        <v>724</v>
      </c>
      <c r="D277">
        <v>10014880248.950001</v>
      </c>
      <c r="E277">
        <v>13.3614274513297</v>
      </c>
      <c r="U277" t="s">
        <v>14</v>
      </c>
      <c r="V277" s="1">
        <v>40848</v>
      </c>
      <c r="W277">
        <v>724</v>
      </c>
      <c r="X277">
        <v>10014880248.950001</v>
      </c>
      <c r="Y277">
        <v>12.124983332422399</v>
      </c>
    </row>
    <row r="278" spans="1:25" x14ac:dyDescent="0.25">
      <c r="A278" t="s">
        <v>12</v>
      </c>
      <c r="B278" s="1">
        <v>40878</v>
      </c>
      <c r="C278">
        <v>165738</v>
      </c>
      <c r="D278">
        <v>1112728336442.3301</v>
      </c>
      <c r="E278">
        <v>508.87235068410399</v>
      </c>
      <c r="U278" t="s">
        <v>12</v>
      </c>
      <c r="V278" s="1">
        <v>40878</v>
      </c>
      <c r="W278">
        <v>165738</v>
      </c>
      <c r="X278">
        <v>1112728336442.3301</v>
      </c>
      <c r="Y278">
        <v>488.919415136277</v>
      </c>
    </row>
    <row r="279" spans="1:25" x14ac:dyDescent="0.25">
      <c r="A279" t="s">
        <v>13</v>
      </c>
      <c r="B279" s="1">
        <v>40878</v>
      </c>
      <c r="C279">
        <v>454</v>
      </c>
      <c r="D279">
        <v>7904105803.1999998</v>
      </c>
      <c r="E279">
        <v>71.839434882802095</v>
      </c>
      <c r="U279" t="s">
        <v>13</v>
      </c>
      <c r="V279" s="1">
        <v>40878</v>
      </c>
      <c r="W279">
        <v>454</v>
      </c>
      <c r="X279">
        <v>7904105803.1999998</v>
      </c>
      <c r="Y279">
        <v>72.215905258195093</v>
      </c>
    </row>
    <row r="280" spans="1:25" x14ac:dyDescent="0.25">
      <c r="A280" t="s">
        <v>14</v>
      </c>
      <c r="B280" s="1">
        <v>40878</v>
      </c>
      <c r="C280">
        <v>767</v>
      </c>
      <c r="D280">
        <v>10531876819.25</v>
      </c>
      <c r="E280">
        <v>13.52222322712</v>
      </c>
      <c r="U280" t="s">
        <v>14</v>
      </c>
      <c r="V280" s="1">
        <v>40878</v>
      </c>
      <c r="W280">
        <v>767</v>
      </c>
      <c r="X280">
        <v>10531876819.25</v>
      </c>
      <c r="Y280">
        <v>11.7867357001497</v>
      </c>
    </row>
    <row r="281" spans="1:25" x14ac:dyDescent="0.25">
      <c r="A281" t="s">
        <v>12</v>
      </c>
      <c r="B281" s="1">
        <v>40909</v>
      </c>
      <c r="C281">
        <v>165766</v>
      </c>
      <c r="D281">
        <v>1093080187579.58</v>
      </c>
      <c r="E281">
        <v>531.91416706844996</v>
      </c>
      <c r="U281" t="s">
        <v>12</v>
      </c>
      <c r="V281" s="1">
        <v>40909</v>
      </c>
      <c r="W281">
        <v>165766</v>
      </c>
      <c r="X281">
        <v>1093080187579.58</v>
      </c>
      <c r="Y281">
        <v>512.17431205599598</v>
      </c>
    </row>
    <row r="282" spans="1:25" x14ac:dyDescent="0.25">
      <c r="A282" t="s">
        <v>13</v>
      </c>
      <c r="B282" s="1">
        <v>40909</v>
      </c>
      <c r="C282">
        <v>477</v>
      </c>
      <c r="D282">
        <v>8280081942.8999996</v>
      </c>
      <c r="E282">
        <v>80.471066507420801</v>
      </c>
      <c r="U282" t="s">
        <v>13</v>
      </c>
      <c r="V282" s="1">
        <v>40909</v>
      </c>
      <c r="W282">
        <v>477</v>
      </c>
      <c r="X282">
        <v>8280081942.8999996</v>
      </c>
      <c r="Y282">
        <v>80.856519091548705</v>
      </c>
    </row>
    <row r="283" spans="1:25" x14ac:dyDescent="0.25">
      <c r="A283" t="s">
        <v>14</v>
      </c>
      <c r="B283" s="1">
        <v>40909</v>
      </c>
      <c r="C283">
        <v>787</v>
      </c>
      <c r="D283">
        <v>10704727601.450001</v>
      </c>
      <c r="E283">
        <v>14.014417443357599</v>
      </c>
      <c r="U283" t="s">
        <v>14</v>
      </c>
      <c r="V283" s="1">
        <v>40909</v>
      </c>
      <c r="W283">
        <v>787</v>
      </c>
      <c r="X283">
        <v>10704727601.450001</v>
      </c>
      <c r="Y283">
        <v>11.680142291010201</v>
      </c>
    </row>
    <row r="284" spans="1:25" x14ac:dyDescent="0.25">
      <c r="A284" t="s">
        <v>12</v>
      </c>
      <c r="B284" s="1">
        <v>40940</v>
      </c>
      <c r="C284">
        <v>165773</v>
      </c>
      <c r="D284">
        <v>1081410722063.79</v>
      </c>
      <c r="E284">
        <v>551.295311210872</v>
      </c>
      <c r="U284" t="s">
        <v>12</v>
      </c>
      <c r="V284" s="1">
        <v>40940</v>
      </c>
      <c r="W284">
        <v>165773</v>
      </c>
      <c r="X284">
        <v>1081410722063.79</v>
      </c>
      <c r="Y284">
        <v>531.91385767459803</v>
      </c>
    </row>
    <row r="285" spans="1:25" x14ac:dyDescent="0.25">
      <c r="A285" t="s">
        <v>13</v>
      </c>
      <c r="B285" s="1">
        <v>40940</v>
      </c>
      <c r="C285">
        <v>506</v>
      </c>
      <c r="D285">
        <v>9177240853.75</v>
      </c>
      <c r="E285">
        <v>84.186624465335498</v>
      </c>
      <c r="U285" t="s">
        <v>13</v>
      </c>
      <c r="V285" s="1">
        <v>40940</v>
      </c>
      <c r="W285">
        <v>506</v>
      </c>
      <c r="X285">
        <v>9177240853.75</v>
      </c>
      <c r="Y285">
        <v>84.550834501807699</v>
      </c>
    </row>
    <row r="286" spans="1:25" x14ac:dyDescent="0.25">
      <c r="A286" t="s">
        <v>14</v>
      </c>
      <c r="B286" s="1">
        <v>40940</v>
      </c>
      <c r="C286">
        <v>834</v>
      </c>
      <c r="D286">
        <v>11647194164.32</v>
      </c>
      <c r="E286">
        <v>14.616688738229101</v>
      </c>
      <c r="U286" t="s">
        <v>14</v>
      </c>
      <c r="V286" s="1">
        <v>40940</v>
      </c>
      <c r="W286">
        <v>834</v>
      </c>
      <c r="X286">
        <v>11647194164.32</v>
      </c>
      <c r="Y286">
        <v>11.8482168904465</v>
      </c>
    </row>
    <row r="287" spans="1:25" x14ac:dyDescent="0.25">
      <c r="A287" t="s">
        <v>12</v>
      </c>
      <c r="B287" s="1">
        <v>40969</v>
      </c>
      <c r="C287">
        <v>165846</v>
      </c>
      <c r="D287">
        <v>1078176456162.38</v>
      </c>
      <c r="E287">
        <v>566.81589241041502</v>
      </c>
      <c r="U287" t="s">
        <v>12</v>
      </c>
      <c r="V287" s="1">
        <v>40969</v>
      </c>
      <c r="W287">
        <v>165846</v>
      </c>
      <c r="X287">
        <v>1078176456162.38</v>
      </c>
      <c r="Y287">
        <v>547.88976554188605</v>
      </c>
    </row>
    <row r="288" spans="1:25" x14ac:dyDescent="0.25">
      <c r="A288" t="s">
        <v>13</v>
      </c>
      <c r="B288" s="1">
        <v>40969</v>
      </c>
      <c r="C288">
        <v>540</v>
      </c>
      <c r="D288">
        <v>9860695193.4599991</v>
      </c>
      <c r="E288">
        <v>88.696277158778798</v>
      </c>
      <c r="U288" t="s">
        <v>13</v>
      </c>
      <c r="V288" s="1">
        <v>40969</v>
      </c>
      <c r="W288">
        <v>540</v>
      </c>
      <c r="X288">
        <v>9860695193.4599991</v>
      </c>
      <c r="Y288">
        <v>89.049668355201405</v>
      </c>
    </row>
    <row r="289" spans="1:25" x14ac:dyDescent="0.25">
      <c r="A289" t="s">
        <v>14</v>
      </c>
      <c r="B289" s="1">
        <v>40969</v>
      </c>
      <c r="C289">
        <v>875</v>
      </c>
      <c r="D289">
        <v>12353958514.68</v>
      </c>
      <c r="E289">
        <v>14.27617773925</v>
      </c>
      <c r="U289" t="s">
        <v>14</v>
      </c>
      <c r="V289" s="1">
        <v>40969</v>
      </c>
      <c r="W289">
        <v>875</v>
      </c>
      <c r="X289">
        <v>12353958514.68</v>
      </c>
      <c r="Y289">
        <v>11.433356919226901</v>
      </c>
    </row>
    <row r="290" spans="1:25" x14ac:dyDescent="0.25">
      <c r="A290" t="s">
        <v>12</v>
      </c>
      <c r="B290" s="1">
        <v>41000</v>
      </c>
      <c r="C290">
        <v>166147</v>
      </c>
      <c r="D290">
        <v>1067086710288.16</v>
      </c>
      <c r="E290">
        <v>582.56776759953596</v>
      </c>
      <c r="U290" t="s">
        <v>12</v>
      </c>
      <c r="V290" s="1">
        <v>41000</v>
      </c>
      <c r="W290">
        <v>166147</v>
      </c>
      <c r="X290">
        <v>1067086710288.16</v>
      </c>
      <c r="Y290">
        <v>563.96306647850497</v>
      </c>
    </row>
    <row r="291" spans="1:25" x14ac:dyDescent="0.25">
      <c r="A291" t="s">
        <v>13</v>
      </c>
      <c r="B291" s="1">
        <v>41000</v>
      </c>
      <c r="C291">
        <v>588</v>
      </c>
      <c r="D291">
        <v>10790895341.790001</v>
      </c>
      <c r="E291">
        <v>87.901777791253906</v>
      </c>
      <c r="U291" t="s">
        <v>13</v>
      </c>
      <c r="V291" s="1">
        <v>41000</v>
      </c>
      <c r="W291">
        <v>588</v>
      </c>
      <c r="X291">
        <v>10790895341.790001</v>
      </c>
      <c r="Y291">
        <v>88.232546959687298</v>
      </c>
    </row>
    <row r="292" spans="1:25" x14ac:dyDescent="0.25">
      <c r="A292" t="s">
        <v>14</v>
      </c>
      <c r="B292" s="1">
        <v>41000</v>
      </c>
      <c r="C292">
        <v>946</v>
      </c>
      <c r="D292">
        <v>13940030057.889999</v>
      </c>
      <c r="E292">
        <v>13.1432510859491</v>
      </c>
      <c r="U292" t="s">
        <v>14</v>
      </c>
      <c r="V292" s="1">
        <v>41000</v>
      </c>
      <c r="W292">
        <v>946</v>
      </c>
      <c r="X292">
        <v>13940030057.889999</v>
      </c>
      <c r="Y292">
        <v>10.477260317991099</v>
      </c>
    </row>
    <row r="293" spans="1:25" x14ac:dyDescent="0.25">
      <c r="A293" t="s">
        <v>12</v>
      </c>
      <c r="B293" s="1">
        <v>41030</v>
      </c>
      <c r="C293">
        <v>166315</v>
      </c>
      <c r="D293">
        <v>1052985823369.1899</v>
      </c>
      <c r="E293">
        <v>599.34122865952804</v>
      </c>
      <c r="U293" t="s">
        <v>12</v>
      </c>
      <c r="V293" s="1">
        <v>41030</v>
      </c>
      <c r="W293">
        <v>166315</v>
      </c>
      <c r="X293">
        <v>1052985823369.1899</v>
      </c>
      <c r="Y293">
        <v>580.99856875094997</v>
      </c>
    </row>
    <row r="294" spans="1:25" x14ac:dyDescent="0.25">
      <c r="A294" t="s">
        <v>13</v>
      </c>
      <c r="B294" s="1">
        <v>41030</v>
      </c>
      <c r="C294">
        <v>623</v>
      </c>
      <c r="D294">
        <v>11097007614.959999</v>
      </c>
      <c r="E294">
        <v>92.625656727383301</v>
      </c>
      <c r="U294" t="s">
        <v>13</v>
      </c>
      <c r="V294" s="1">
        <v>41030</v>
      </c>
      <c r="W294">
        <v>623</v>
      </c>
      <c r="X294">
        <v>11097007614.959999</v>
      </c>
      <c r="Y294">
        <v>92.943509531088395</v>
      </c>
    </row>
    <row r="295" spans="1:25" x14ac:dyDescent="0.25">
      <c r="A295" t="s">
        <v>14</v>
      </c>
      <c r="B295" s="1">
        <v>41030</v>
      </c>
      <c r="C295">
        <v>1017</v>
      </c>
      <c r="D295">
        <v>15124010719.23</v>
      </c>
      <c r="E295">
        <v>12.3094164620495</v>
      </c>
      <c r="U295" t="s">
        <v>14</v>
      </c>
      <c r="V295" s="1">
        <v>41030</v>
      </c>
      <c r="W295">
        <v>1017</v>
      </c>
      <c r="X295">
        <v>15124010719.23</v>
      </c>
      <c r="Y295">
        <v>9.6782593393960905</v>
      </c>
    </row>
    <row r="296" spans="1:25" x14ac:dyDescent="0.25">
      <c r="A296" t="s">
        <v>12</v>
      </c>
      <c r="B296" s="1">
        <v>41061</v>
      </c>
      <c r="C296">
        <v>166481</v>
      </c>
      <c r="D296">
        <v>1037553728529.5699</v>
      </c>
      <c r="E296">
        <v>618.83459910105103</v>
      </c>
      <c r="U296" t="s">
        <v>12</v>
      </c>
      <c r="V296" s="1">
        <v>41061</v>
      </c>
      <c r="W296">
        <v>166481</v>
      </c>
      <c r="X296">
        <v>1037553728529.5699</v>
      </c>
      <c r="Y296">
        <v>600.71688944682899</v>
      </c>
    </row>
    <row r="297" spans="1:25" x14ac:dyDescent="0.25">
      <c r="A297" t="s">
        <v>13</v>
      </c>
      <c r="B297" s="1">
        <v>41061</v>
      </c>
      <c r="C297">
        <v>657</v>
      </c>
      <c r="D297">
        <v>11616731956.02</v>
      </c>
      <c r="E297">
        <v>98.472299239449995</v>
      </c>
      <c r="U297" t="s">
        <v>13</v>
      </c>
      <c r="V297" s="1">
        <v>41061</v>
      </c>
      <c r="W297">
        <v>657</v>
      </c>
      <c r="X297">
        <v>11616731956.02</v>
      </c>
      <c r="Y297">
        <v>98.774018279567898</v>
      </c>
    </row>
    <row r="298" spans="1:25" x14ac:dyDescent="0.25">
      <c r="A298" t="s">
        <v>14</v>
      </c>
      <c r="B298" s="1">
        <v>41061</v>
      </c>
      <c r="C298">
        <v>1083</v>
      </c>
      <c r="D298">
        <v>16232317795.49</v>
      </c>
      <c r="E298">
        <v>12.0094890209967</v>
      </c>
      <c r="U298" t="s">
        <v>14</v>
      </c>
      <c r="V298" s="1">
        <v>41061</v>
      </c>
      <c r="W298">
        <v>1083</v>
      </c>
      <c r="X298">
        <v>16232317795.49</v>
      </c>
      <c r="Y298">
        <v>9.3168821806495199</v>
      </c>
    </row>
    <row r="299" spans="1:25" x14ac:dyDescent="0.25">
      <c r="A299" t="s">
        <v>12</v>
      </c>
      <c r="B299" s="1">
        <v>41091</v>
      </c>
      <c r="C299">
        <v>166552</v>
      </c>
      <c r="D299">
        <v>1030696048023.48</v>
      </c>
      <c r="E299">
        <v>634.44374688916696</v>
      </c>
      <c r="U299" t="s">
        <v>12</v>
      </c>
      <c r="V299" s="1">
        <v>41091</v>
      </c>
      <c r="W299">
        <v>166552</v>
      </c>
      <c r="X299">
        <v>1030696048023.48</v>
      </c>
      <c r="Y299">
        <v>616.00009083640305</v>
      </c>
    </row>
    <row r="300" spans="1:25" x14ac:dyDescent="0.25">
      <c r="A300" t="s">
        <v>13</v>
      </c>
      <c r="B300" s="1">
        <v>41091</v>
      </c>
      <c r="C300">
        <v>691</v>
      </c>
      <c r="D300">
        <v>12319469687.950001</v>
      </c>
      <c r="E300">
        <v>106.31272512228099</v>
      </c>
      <c r="U300" t="s">
        <v>13</v>
      </c>
      <c r="V300" s="1">
        <v>41091</v>
      </c>
      <c r="W300">
        <v>691</v>
      </c>
      <c r="X300">
        <v>12319469687.950001</v>
      </c>
      <c r="Y300">
        <v>106.535944719962</v>
      </c>
    </row>
    <row r="301" spans="1:25" x14ac:dyDescent="0.25">
      <c r="A301" t="s">
        <v>14</v>
      </c>
      <c r="B301" s="1">
        <v>41091</v>
      </c>
      <c r="C301">
        <v>1172</v>
      </c>
      <c r="D301">
        <v>18410677468.970001</v>
      </c>
      <c r="E301">
        <v>13.870116940774</v>
      </c>
      <c r="U301" t="s">
        <v>14</v>
      </c>
      <c r="V301" s="1">
        <v>41091</v>
      </c>
      <c r="W301">
        <v>1172</v>
      </c>
      <c r="X301">
        <v>18410677468.970001</v>
      </c>
      <c r="Y301">
        <v>11.1506027427496</v>
      </c>
    </row>
    <row r="302" spans="1:25" x14ac:dyDescent="0.25">
      <c r="A302" t="s">
        <v>15</v>
      </c>
      <c r="B302" s="1">
        <v>41091</v>
      </c>
      <c r="C302">
        <v>127</v>
      </c>
      <c r="D302">
        <v>6599126495.5600004</v>
      </c>
      <c r="E302">
        <v>22.160620180142001</v>
      </c>
      <c r="U302" t="s">
        <v>15</v>
      </c>
      <c r="V302" s="1">
        <v>41091</v>
      </c>
      <c r="W302">
        <v>127</v>
      </c>
      <c r="X302">
        <v>6599126495.5600004</v>
      </c>
      <c r="Y302">
        <v>22.1556616431062</v>
      </c>
    </row>
    <row r="303" spans="1:25" x14ac:dyDescent="0.25">
      <c r="A303" t="s">
        <v>12</v>
      </c>
      <c r="B303" s="1">
        <v>41122</v>
      </c>
      <c r="C303">
        <v>166715</v>
      </c>
      <c r="D303">
        <v>1017753718361.05</v>
      </c>
      <c r="E303">
        <v>656.98525579002603</v>
      </c>
      <c r="U303" t="s">
        <v>12</v>
      </c>
      <c r="V303" s="1">
        <v>41122</v>
      </c>
      <c r="W303">
        <v>166715</v>
      </c>
      <c r="X303">
        <v>1017753718361.05</v>
      </c>
      <c r="Y303">
        <v>638.03791882340602</v>
      </c>
    </row>
    <row r="304" spans="1:25" x14ac:dyDescent="0.25">
      <c r="A304" t="s">
        <v>13</v>
      </c>
      <c r="B304" s="1">
        <v>41122</v>
      </c>
      <c r="C304">
        <v>712</v>
      </c>
      <c r="D304">
        <v>12593084313.99</v>
      </c>
      <c r="E304">
        <v>118.92771950119101</v>
      </c>
      <c r="U304" t="s">
        <v>13</v>
      </c>
      <c r="V304" s="1">
        <v>41122</v>
      </c>
      <c r="W304">
        <v>712</v>
      </c>
      <c r="X304">
        <v>12593084313.99</v>
      </c>
      <c r="Y304">
        <v>119.096521016821</v>
      </c>
    </row>
    <row r="305" spans="1:25" x14ac:dyDescent="0.25">
      <c r="A305" t="s">
        <v>14</v>
      </c>
      <c r="B305" s="1">
        <v>41122</v>
      </c>
      <c r="C305">
        <v>1275</v>
      </c>
      <c r="D305">
        <v>20102928824.52</v>
      </c>
      <c r="E305">
        <v>14.047496939410699</v>
      </c>
      <c r="U305" t="s">
        <v>14</v>
      </c>
      <c r="V305" s="1">
        <v>41122</v>
      </c>
      <c r="W305">
        <v>1275</v>
      </c>
      <c r="X305">
        <v>20102928824.52</v>
      </c>
      <c r="Y305">
        <v>11.0996924141016</v>
      </c>
    </row>
    <row r="306" spans="1:25" x14ac:dyDescent="0.25">
      <c r="A306" t="s">
        <v>15</v>
      </c>
      <c r="B306" s="1">
        <v>41122</v>
      </c>
      <c r="C306">
        <v>218</v>
      </c>
      <c r="D306">
        <v>8799458195.2600002</v>
      </c>
      <c r="E306">
        <v>18.2136784610849</v>
      </c>
      <c r="U306" t="s">
        <v>15</v>
      </c>
      <c r="V306" s="1">
        <v>41122</v>
      </c>
      <c r="W306">
        <v>218</v>
      </c>
      <c r="X306">
        <v>8799458195.2600002</v>
      </c>
      <c r="Y306">
        <v>18.1989550284286</v>
      </c>
    </row>
    <row r="307" spans="1:25" x14ac:dyDescent="0.25">
      <c r="A307" t="s">
        <v>12</v>
      </c>
      <c r="B307" s="1">
        <v>41153</v>
      </c>
      <c r="C307">
        <v>166950</v>
      </c>
      <c r="D307">
        <v>1009008459381.01</v>
      </c>
      <c r="E307">
        <v>674.51724532197204</v>
      </c>
      <c r="U307" t="s">
        <v>12</v>
      </c>
      <c r="V307" s="1">
        <v>41153</v>
      </c>
      <c r="W307">
        <v>166950</v>
      </c>
      <c r="X307">
        <v>1009008459381.01</v>
      </c>
      <c r="Y307">
        <v>655.21551546296905</v>
      </c>
    </row>
    <row r="308" spans="1:25" x14ac:dyDescent="0.25">
      <c r="A308" t="s">
        <v>13</v>
      </c>
      <c r="B308" s="1">
        <v>41153</v>
      </c>
      <c r="C308">
        <v>739</v>
      </c>
      <c r="D308">
        <v>12913045386.299999</v>
      </c>
      <c r="E308">
        <v>128.742654390235</v>
      </c>
      <c r="U308" t="s">
        <v>13</v>
      </c>
      <c r="V308" s="1">
        <v>41153</v>
      </c>
      <c r="W308">
        <v>739</v>
      </c>
      <c r="X308">
        <v>12913045386.299999</v>
      </c>
      <c r="Y308">
        <v>128.85136707232701</v>
      </c>
    </row>
    <row r="309" spans="1:25" x14ac:dyDescent="0.25">
      <c r="A309" t="s">
        <v>14</v>
      </c>
      <c r="B309" s="1">
        <v>41153</v>
      </c>
      <c r="C309">
        <v>1363</v>
      </c>
      <c r="D309">
        <v>21601411805.599998</v>
      </c>
      <c r="E309">
        <v>14.2073139090921</v>
      </c>
      <c r="U309" t="s">
        <v>14</v>
      </c>
      <c r="V309" s="1">
        <v>41153</v>
      </c>
      <c r="W309">
        <v>1363</v>
      </c>
      <c r="X309">
        <v>21601411805.599998</v>
      </c>
      <c r="Y309">
        <v>11.1201143188073</v>
      </c>
    </row>
    <row r="310" spans="1:25" x14ac:dyDescent="0.25">
      <c r="A310" t="s">
        <v>15</v>
      </c>
      <c r="B310" s="1">
        <v>41153</v>
      </c>
      <c r="C310">
        <v>315</v>
      </c>
      <c r="D310">
        <v>10777885227.879999</v>
      </c>
      <c r="E310">
        <v>16.378809772493501</v>
      </c>
      <c r="U310" t="s">
        <v>15</v>
      </c>
      <c r="V310" s="1">
        <v>41153</v>
      </c>
      <c r="W310">
        <v>315</v>
      </c>
      <c r="X310">
        <v>10777885227.879999</v>
      </c>
      <c r="Y310">
        <v>16.3584399810889</v>
      </c>
    </row>
    <row r="311" spans="1:25" x14ac:dyDescent="0.25">
      <c r="A311" t="s">
        <v>12</v>
      </c>
      <c r="B311" s="1">
        <v>41183</v>
      </c>
      <c r="C311">
        <v>167134</v>
      </c>
      <c r="D311">
        <v>993395215390.30005</v>
      </c>
      <c r="E311">
        <v>695.97023140349802</v>
      </c>
      <c r="U311" t="s">
        <v>12</v>
      </c>
      <c r="V311" s="1">
        <v>41183</v>
      </c>
      <c r="W311">
        <v>167134</v>
      </c>
      <c r="X311">
        <v>993395215390.30005</v>
      </c>
      <c r="Y311">
        <v>676.226498477223</v>
      </c>
    </row>
    <row r="312" spans="1:25" x14ac:dyDescent="0.25">
      <c r="A312" t="s">
        <v>13</v>
      </c>
      <c r="B312" s="1">
        <v>41183</v>
      </c>
      <c r="C312">
        <v>773</v>
      </c>
      <c r="D312">
        <v>13621608844.34</v>
      </c>
      <c r="E312">
        <v>134.976887010512</v>
      </c>
      <c r="U312" t="s">
        <v>13</v>
      </c>
      <c r="V312" s="1">
        <v>41183</v>
      </c>
      <c r="W312">
        <v>773</v>
      </c>
      <c r="X312">
        <v>13621608844.34</v>
      </c>
      <c r="Y312">
        <v>135.01834910271501</v>
      </c>
    </row>
    <row r="313" spans="1:25" x14ac:dyDescent="0.25">
      <c r="A313" t="s">
        <v>14</v>
      </c>
      <c r="B313" s="1">
        <v>41183</v>
      </c>
      <c r="C313">
        <v>1462</v>
      </c>
      <c r="D313">
        <v>23066669892.529999</v>
      </c>
      <c r="E313">
        <v>14.553131213696799</v>
      </c>
      <c r="U313" t="s">
        <v>14</v>
      </c>
      <c r="V313" s="1">
        <v>41183</v>
      </c>
      <c r="W313">
        <v>1462</v>
      </c>
      <c r="X313">
        <v>23066669892.529999</v>
      </c>
      <c r="Y313">
        <v>11.2276921834245</v>
      </c>
    </row>
    <row r="314" spans="1:25" x14ac:dyDescent="0.25">
      <c r="A314" t="s">
        <v>15</v>
      </c>
      <c r="B314" s="1">
        <v>41183</v>
      </c>
      <c r="C314">
        <v>415</v>
      </c>
      <c r="D314">
        <v>12488997687</v>
      </c>
      <c r="E314">
        <v>15.1230381651747</v>
      </c>
      <c r="U314" t="s">
        <v>15</v>
      </c>
      <c r="V314" s="1">
        <v>41183</v>
      </c>
      <c r="W314">
        <v>415</v>
      </c>
      <c r="X314">
        <v>12488997687</v>
      </c>
      <c r="Y314">
        <v>15.0903296374804</v>
      </c>
    </row>
    <row r="315" spans="1:25" x14ac:dyDescent="0.25">
      <c r="A315" t="s">
        <v>12</v>
      </c>
      <c r="B315" s="1">
        <v>41214</v>
      </c>
      <c r="C315">
        <v>167513</v>
      </c>
      <c r="D315">
        <v>988480773477.10999</v>
      </c>
      <c r="E315">
        <v>713.536096710685</v>
      </c>
      <c r="U315" t="s">
        <v>12</v>
      </c>
      <c r="V315" s="1">
        <v>41214</v>
      </c>
      <c r="W315">
        <v>167513</v>
      </c>
      <c r="X315">
        <v>988480773477.10999</v>
      </c>
      <c r="Y315">
        <v>693.54144260590795</v>
      </c>
    </row>
    <row r="316" spans="1:25" x14ac:dyDescent="0.25">
      <c r="A316" t="s">
        <v>13</v>
      </c>
      <c r="B316" s="1">
        <v>41214</v>
      </c>
      <c r="C316">
        <v>804</v>
      </c>
      <c r="D316">
        <v>14812827435.530001</v>
      </c>
      <c r="E316">
        <v>139.27845823501801</v>
      </c>
      <c r="U316" t="s">
        <v>13</v>
      </c>
      <c r="V316" s="1">
        <v>41214</v>
      </c>
      <c r="W316">
        <v>804</v>
      </c>
      <c r="X316">
        <v>14812827435.530001</v>
      </c>
      <c r="Y316">
        <v>139.27931908924199</v>
      </c>
    </row>
    <row r="317" spans="1:25" x14ac:dyDescent="0.25">
      <c r="A317" t="s">
        <v>14</v>
      </c>
      <c r="B317" s="1">
        <v>41214</v>
      </c>
      <c r="C317">
        <v>1557</v>
      </c>
      <c r="D317">
        <v>24335750350.360001</v>
      </c>
      <c r="E317">
        <v>15.3510295012335</v>
      </c>
      <c r="U317" t="s">
        <v>14</v>
      </c>
      <c r="V317" s="1">
        <v>41214</v>
      </c>
      <c r="W317">
        <v>1557</v>
      </c>
      <c r="X317">
        <v>24335750350.360001</v>
      </c>
      <c r="Y317">
        <v>11.670048504713099</v>
      </c>
    </row>
    <row r="318" spans="1:25" x14ac:dyDescent="0.25">
      <c r="A318" t="s">
        <v>15</v>
      </c>
      <c r="B318" s="1">
        <v>41214</v>
      </c>
      <c r="C318">
        <v>509</v>
      </c>
      <c r="D318">
        <v>13991619224.620001</v>
      </c>
      <c r="E318">
        <v>14.613487106689499</v>
      </c>
      <c r="U318" t="s">
        <v>15</v>
      </c>
      <c r="V318" s="1">
        <v>41214</v>
      </c>
      <c r="W318">
        <v>509</v>
      </c>
      <c r="X318">
        <v>13991619224.620001</v>
      </c>
      <c r="Y318">
        <v>14.5592968958625</v>
      </c>
    </row>
    <row r="319" spans="1:25" x14ac:dyDescent="0.25">
      <c r="A319" t="s">
        <v>12</v>
      </c>
      <c r="B319" s="1">
        <v>41244</v>
      </c>
      <c r="C319">
        <v>168029</v>
      </c>
      <c r="D319">
        <v>987833006284.93005</v>
      </c>
      <c r="E319">
        <v>724.78207567621803</v>
      </c>
      <c r="U319" t="s">
        <v>12</v>
      </c>
      <c r="V319" s="1">
        <v>41244</v>
      </c>
      <c r="W319">
        <v>168029</v>
      </c>
      <c r="X319">
        <v>987833006284.93005</v>
      </c>
      <c r="Y319">
        <v>704.73243867024996</v>
      </c>
    </row>
    <row r="320" spans="1:25" x14ac:dyDescent="0.25">
      <c r="A320" t="s">
        <v>13</v>
      </c>
      <c r="B320" s="1">
        <v>41244</v>
      </c>
      <c r="C320">
        <v>842</v>
      </c>
      <c r="D320">
        <v>16035308040.73</v>
      </c>
      <c r="E320">
        <v>142.36140986523799</v>
      </c>
      <c r="U320" t="s">
        <v>13</v>
      </c>
      <c r="V320" s="1">
        <v>41244</v>
      </c>
      <c r="W320">
        <v>842</v>
      </c>
      <c r="X320">
        <v>16035308040.73</v>
      </c>
      <c r="Y320">
        <v>142.25101728842799</v>
      </c>
    </row>
    <row r="321" spans="1:25" x14ac:dyDescent="0.25">
      <c r="A321" t="s">
        <v>14</v>
      </c>
      <c r="B321" s="1">
        <v>41244</v>
      </c>
      <c r="C321">
        <v>1683</v>
      </c>
      <c r="D321">
        <v>26041761003.119999</v>
      </c>
      <c r="E321">
        <v>16.1014641108886</v>
      </c>
      <c r="U321" t="s">
        <v>14</v>
      </c>
      <c r="V321" s="1">
        <v>41244</v>
      </c>
      <c r="W321">
        <v>1683</v>
      </c>
      <c r="X321">
        <v>26041761003.119999</v>
      </c>
      <c r="Y321">
        <v>12.171441481452399</v>
      </c>
    </row>
    <row r="322" spans="1:25" x14ac:dyDescent="0.25">
      <c r="A322" t="s">
        <v>15</v>
      </c>
      <c r="B322" s="1">
        <v>41244</v>
      </c>
      <c r="C322">
        <v>623</v>
      </c>
      <c r="D322">
        <v>15791782055.450001</v>
      </c>
      <c r="E322">
        <v>14.0869971797836</v>
      </c>
      <c r="U322" t="s">
        <v>15</v>
      </c>
      <c r="V322" s="1">
        <v>41244</v>
      </c>
      <c r="W322">
        <v>623</v>
      </c>
      <c r="X322">
        <v>15791782055.450001</v>
      </c>
      <c r="Y322">
        <v>14.0126841255546</v>
      </c>
    </row>
    <row r="323" spans="1:25" x14ac:dyDescent="0.25">
      <c r="A323" t="s">
        <v>12</v>
      </c>
      <c r="B323" s="1">
        <v>41275</v>
      </c>
      <c r="C323">
        <v>167997</v>
      </c>
      <c r="D323">
        <v>972565007892.05005</v>
      </c>
      <c r="E323">
        <v>747.05464298151401</v>
      </c>
      <c r="U323" t="s">
        <v>12</v>
      </c>
      <c r="V323" s="1">
        <v>41275</v>
      </c>
      <c r="W323">
        <v>167997</v>
      </c>
      <c r="X323">
        <v>972565007892.05005</v>
      </c>
      <c r="Y323">
        <v>726.61925535578303</v>
      </c>
    </row>
    <row r="324" spans="1:25" x14ac:dyDescent="0.25">
      <c r="A324" t="s">
        <v>13</v>
      </c>
      <c r="B324" s="1">
        <v>41275</v>
      </c>
      <c r="C324">
        <v>864</v>
      </c>
      <c r="D324">
        <v>15909947419.549999</v>
      </c>
      <c r="E324">
        <v>155.81989368652501</v>
      </c>
      <c r="U324" t="s">
        <v>13</v>
      </c>
      <c r="V324" s="1">
        <v>41275</v>
      </c>
      <c r="W324">
        <v>864</v>
      </c>
      <c r="X324">
        <v>15909947419.549999</v>
      </c>
      <c r="Y324">
        <v>155.71258441146699</v>
      </c>
    </row>
    <row r="325" spans="1:25" x14ac:dyDescent="0.25">
      <c r="A325" t="s">
        <v>14</v>
      </c>
      <c r="B325" s="1">
        <v>41275</v>
      </c>
      <c r="C325">
        <v>1772</v>
      </c>
      <c r="D325">
        <v>26882479097.080002</v>
      </c>
      <c r="E325">
        <v>17.082345462050299</v>
      </c>
      <c r="U325" t="s">
        <v>14</v>
      </c>
      <c r="V325" s="1">
        <v>41275</v>
      </c>
      <c r="W325">
        <v>1772</v>
      </c>
      <c r="X325">
        <v>26882479097.080002</v>
      </c>
      <c r="Y325">
        <v>12.8433962368275</v>
      </c>
    </row>
    <row r="326" spans="1:25" x14ac:dyDescent="0.25">
      <c r="A326" t="s">
        <v>15</v>
      </c>
      <c r="B326" s="1">
        <v>41275</v>
      </c>
      <c r="C326">
        <v>707</v>
      </c>
      <c r="D326">
        <v>16754712174.48</v>
      </c>
      <c r="E326">
        <v>13.6607574267533</v>
      </c>
      <c r="U326" t="s">
        <v>15</v>
      </c>
      <c r="V326" s="1">
        <v>41275</v>
      </c>
      <c r="W326">
        <v>707</v>
      </c>
      <c r="X326">
        <v>16754712174.48</v>
      </c>
      <c r="Y326">
        <v>13.5653555128206</v>
      </c>
    </row>
    <row r="327" spans="1:25" x14ac:dyDescent="0.25">
      <c r="A327" t="s">
        <v>12</v>
      </c>
      <c r="B327" s="1">
        <v>41306</v>
      </c>
      <c r="C327">
        <v>168243</v>
      </c>
      <c r="D327">
        <v>964648010655.91003</v>
      </c>
      <c r="E327">
        <v>759.61460964686796</v>
      </c>
      <c r="U327" t="s">
        <v>12</v>
      </c>
      <c r="V327" s="1">
        <v>41306</v>
      </c>
      <c r="W327">
        <v>168243</v>
      </c>
      <c r="X327">
        <v>964648010655.91003</v>
      </c>
      <c r="Y327">
        <v>739.06007603560397</v>
      </c>
    </row>
    <row r="328" spans="1:25" x14ac:dyDescent="0.25">
      <c r="A328" t="s">
        <v>13</v>
      </c>
      <c r="B328" s="1">
        <v>41306</v>
      </c>
      <c r="C328">
        <v>887</v>
      </c>
      <c r="D328">
        <v>16552519980.950001</v>
      </c>
      <c r="E328">
        <v>158.90649312734999</v>
      </c>
      <c r="U328" t="s">
        <v>13</v>
      </c>
      <c r="V328" s="1">
        <v>41306</v>
      </c>
      <c r="W328">
        <v>887</v>
      </c>
      <c r="X328">
        <v>16552519980.950001</v>
      </c>
      <c r="Y328">
        <v>158.75356730121501</v>
      </c>
    </row>
    <row r="329" spans="1:25" x14ac:dyDescent="0.25">
      <c r="A329" t="s">
        <v>14</v>
      </c>
      <c r="B329" s="1">
        <v>41306</v>
      </c>
      <c r="C329">
        <v>1884</v>
      </c>
      <c r="D329">
        <v>28077568751.43</v>
      </c>
      <c r="E329">
        <v>18.053924266756599</v>
      </c>
      <c r="U329" t="s">
        <v>14</v>
      </c>
      <c r="V329" s="1">
        <v>41306</v>
      </c>
      <c r="W329">
        <v>1884</v>
      </c>
      <c r="X329">
        <v>28077568751.43</v>
      </c>
      <c r="Y329">
        <v>13.7160348564295</v>
      </c>
    </row>
    <row r="330" spans="1:25" x14ac:dyDescent="0.25">
      <c r="A330" t="s">
        <v>15</v>
      </c>
      <c r="B330" s="1">
        <v>41306</v>
      </c>
      <c r="C330">
        <v>803</v>
      </c>
      <c r="D330">
        <v>17947136377.009998</v>
      </c>
      <c r="E330">
        <v>13.357896071621299</v>
      </c>
      <c r="U330" t="s">
        <v>15</v>
      </c>
      <c r="V330" s="1">
        <v>41306</v>
      </c>
      <c r="W330">
        <v>803</v>
      </c>
      <c r="X330">
        <v>17947136377.009998</v>
      </c>
      <c r="Y330">
        <v>13.2529620777195</v>
      </c>
    </row>
    <row r="331" spans="1:25" x14ac:dyDescent="0.25">
      <c r="A331" t="s">
        <v>12</v>
      </c>
      <c r="B331" s="1">
        <v>41334</v>
      </c>
      <c r="C331">
        <v>168444</v>
      </c>
      <c r="D331">
        <v>958178399344.89001</v>
      </c>
      <c r="E331">
        <v>765.56967244850705</v>
      </c>
      <c r="U331" t="s">
        <v>12</v>
      </c>
      <c r="V331" s="1">
        <v>41334</v>
      </c>
      <c r="W331">
        <v>168444</v>
      </c>
      <c r="X331">
        <v>958178399344.89001</v>
      </c>
      <c r="Y331">
        <v>745.05382132692102</v>
      </c>
    </row>
    <row r="332" spans="1:25" x14ac:dyDescent="0.25">
      <c r="A332" t="s">
        <v>13</v>
      </c>
      <c r="B332" s="1">
        <v>41334</v>
      </c>
      <c r="C332">
        <v>912</v>
      </c>
      <c r="D332">
        <v>16936331787.6</v>
      </c>
      <c r="E332">
        <v>159.41689283545901</v>
      </c>
      <c r="U332" t="s">
        <v>13</v>
      </c>
      <c r="V332" s="1">
        <v>41334</v>
      </c>
      <c r="W332">
        <v>912</v>
      </c>
      <c r="X332">
        <v>16936331787.6</v>
      </c>
      <c r="Y332">
        <v>159.214611824429</v>
      </c>
    </row>
    <row r="333" spans="1:25" x14ac:dyDescent="0.25">
      <c r="A333" t="s">
        <v>14</v>
      </c>
      <c r="B333" s="1">
        <v>41334</v>
      </c>
      <c r="C333">
        <v>2008</v>
      </c>
      <c r="D333">
        <v>29255937245.25</v>
      </c>
      <c r="E333">
        <v>18.711541859573799</v>
      </c>
      <c r="U333" t="s">
        <v>14</v>
      </c>
      <c r="V333" s="1">
        <v>41334</v>
      </c>
      <c r="W333">
        <v>2008</v>
      </c>
      <c r="X333">
        <v>29255937245.25</v>
      </c>
      <c r="Y333">
        <v>14.4573957343503</v>
      </c>
    </row>
    <row r="334" spans="1:25" x14ac:dyDescent="0.25">
      <c r="A334" t="s">
        <v>15</v>
      </c>
      <c r="B334" s="1">
        <v>41334</v>
      </c>
      <c r="C334">
        <v>924</v>
      </c>
      <c r="D334">
        <v>19179632548.990002</v>
      </c>
      <c r="E334">
        <v>13.0105850324285</v>
      </c>
      <c r="U334" t="s">
        <v>15</v>
      </c>
      <c r="V334" s="1">
        <v>41334</v>
      </c>
      <c r="W334">
        <v>924</v>
      </c>
      <c r="X334">
        <v>19179632548.990002</v>
      </c>
      <c r="Y334">
        <v>12.9061369463244</v>
      </c>
    </row>
    <row r="335" spans="1:25" x14ac:dyDescent="0.25">
      <c r="A335" t="s">
        <v>12</v>
      </c>
      <c r="B335" s="1">
        <v>41365</v>
      </c>
      <c r="C335">
        <v>168554</v>
      </c>
      <c r="D335">
        <v>958767138252.81006</v>
      </c>
      <c r="E335">
        <v>764.10078327109102</v>
      </c>
      <c r="U335" t="s">
        <v>12</v>
      </c>
      <c r="V335" s="1">
        <v>41365</v>
      </c>
      <c r="W335">
        <v>168554</v>
      </c>
      <c r="X335">
        <v>958767138252.81006</v>
      </c>
      <c r="Y335">
        <v>743.739762592494</v>
      </c>
    </row>
    <row r="336" spans="1:25" x14ac:dyDescent="0.25">
      <c r="A336" t="s">
        <v>13</v>
      </c>
      <c r="B336" s="1">
        <v>41365</v>
      </c>
      <c r="C336">
        <v>934</v>
      </c>
      <c r="D336">
        <v>17827951977.950001</v>
      </c>
      <c r="E336">
        <v>155.746816400727</v>
      </c>
      <c r="U336" t="s">
        <v>13</v>
      </c>
      <c r="V336" s="1">
        <v>41365</v>
      </c>
      <c r="W336">
        <v>934</v>
      </c>
      <c r="X336">
        <v>17827951977.950001</v>
      </c>
      <c r="Y336">
        <v>155.53502195937401</v>
      </c>
    </row>
    <row r="337" spans="1:25" x14ac:dyDescent="0.25">
      <c r="A337" t="s">
        <v>14</v>
      </c>
      <c r="B337" s="1">
        <v>41365</v>
      </c>
      <c r="C337">
        <v>2143</v>
      </c>
      <c r="D337">
        <v>30765495579.349998</v>
      </c>
      <c r="E337">
        <v>22.694087251344499</v>
      </c>
      <c r="U337" t="s">
        <v>14</v>
      </c>
      <c r="V337" s="1">
        <v>41365</v>
      </c>
      <c r="W337">
        <v>2143</v>
      </c>
      <c r="X337">
        <v>30765495579.349998</v>
      </c>
      <c r="Y337">
        <v>18.644694986992299</v>
      </c>
    </row>
    <row r="338" spans="1:25" x14ac:dyDescent="0.25">
      <c r="A338" t="s">
        <v>15</v>
      </c>
      <c r="B338" s="1">
        <v>41365</v>
      </c>
      <c r="C338">
        <v>1042</v>
      </c>
      <c r="D338">
        <v>20590650800.080002</v>
      </c>
      <c r="E338">
        <v>12.528032226767801</v>
      </c>
      <c r="U338" t="s">
        <v>15</v>
      </c>
      <c r="V338" s="1">
        <v>41365</v>
      </c>
      <c r="W338">
        <v>1042</v>
      </c>
      <c r="X338">
        <v>20590650800.080002</v>
      </c>
      <c r="Y338">
        <v>12.4257265969663</v>
      </c>
    </row>
    <row r="339" spans="1:25" x14ac:dyDescent="0.25">
      <c r="A339" t="s">
        <v>12</v>
      </c>
      <c r="B339" s="1">
        <v>41395</v>
      </c>
      <c r="C339">
        <v>168497</v>
      </c>
      <c r="D339">
        <v>956989567273.20996</v>
      </c>
      <c r="E339">
        <v>764.99685066312099</v>
      </c>
      <c r="U339" t="s">
        <v>12</v>
      </c>
      <c r="V339" s="1">
        <v>41395</v>
      </c>
      <c r="W339">
        <v>168497</v>
      </c>
      <c r="X339">
        <v>956989567273.20996</v>
      </c>
      <c r="Y339">
        <v>744.67121658412304</v>
      </c>
    </row>
    <row r="340" spans="1:25" x14ac:dyDescent="0.25">
      <c r="A340" t="s">
        <v>13</v>
      </c>
      <c r="B340" s="1">
        <v>41395</v>
      </c>
      <c r="C340">
        <v>954</v>
      </c>
      <c r="D340">
        <v>17960790708.68</v>
      </c>
      <c r="E340">
        <v>160.28803940271399</v>
      </c>
      <c r="U340" t="s">
        <v>13</v>
      </c>
      <c r="V340" s="1">
        <v>41395</v>
      </c>
      <c r="W340">
        <v>954</v>
      </c>
      <c r="X340">
        <v>17960790708.68</v>
      </c>
      <c r="Y340">
        <v>160.070164011359</v>
      </c>
    </row>
    <row r="341" spans="1:25" x14ac:dyDescent="0.25">
      <c r="A341" t="s">
        <v>14</v>
      </c>
      <c r="B341" s="1">
        <v>41395</v>
      </c>
      <c r="C341">
        <v>2261</v>
      </c>
      <c r="D341">
        <v>32051219221.419998</v>
      </c>
      <c r="E341">
        <v>24.062314792280201</v>
      </c>
      <c r="U341" t="s">
        <v>14</v>
      </c>
      <c r="V341" s="1">
        <v>41395</v>
      </c>
      <c r="W341">
        <v>2261</v>
      </c>
      <c r="X341">
        <v>32051219221.419998</v>
      </c>
      <c r="Y341">
        <v>20.1596377921644</v>
      </c>
    </row>
    <row r="342" spans="1:25" x14ac:dyDescent="0.25">
      <c r="A342" t="s">
        <v>15</v>
      </c>
      <c r="B342" s="1">
        <v>41395</v>
      </c>
      <c r="C342">
        <v>1149</v>
      </c>
      <c r="D342">
        <v>21763931987.459999</v>
      </c>
      <c r="E342">
        <v>12.0427054088592</v>
      </c>
      <c r="U342" t="s">
        <v>15</v>
      </c>
      <c r="V342" s="1">
        <v>41395</v>
      </c>
      <c r="W342">
        <v>1149</v>
      </c>
      <c r="X342">
        <v>21763931987.459999</v>
      </c>
      <c r="Y342">
        <v>11.9366616372661</v>
      </c>
    </row>
    <row r="343" spans="1:25" x14ac:dyDescent="0.25">
      <c r="A343" t="s">
        <v>12</v>
      </c>
      <c r="B343" s="1">
        <v>41426</v>
      </c>
      <c r="C343">
        <v>168650</v>
      </c>
      <c r="D343">
        <v>951379532622</v>
      </c>
      <c r="E343">
        <v>765.94570702590795</v>
      </c>
      <c r="U343" t="s">
        <v>12</v>
      </c>
      <c r="V343" s="1">
        <v>41426</v>
      </c>
      <c r="W343">
        <v>168650</v>
      </c>
      <c r="X343">
        <v>951379532622</v>
      </c>
      <c r="Y343">
        <v>745.610924066454</v>
      </c>
    </row>
    <row r="344" spans="1:25" x14ac:dyDescent="0.25">
      <c r="A344" t="s">
        <v>13</v>
      </c>
      <c r="B344" s="1">
        <v>41426</v>
      </c>
      <c r="C344">
        <v>976</v>
      </c>
      <c r="D344">
        <v>18268825613.709999</v>
      </c>
      <c r="E344">
        <v>161.788566553506</v>
      </c>
      <c r="U344" t="s">
        <v>13</v>
      </c>
      <c r="V344" s="1">
        <v>41426</v>
      </c>
      <c r="W344">
        <v>976</v>
      </c>
      <c r="X344">
        <v>18268825613.709999</v>
      </c>
      <c r="Y344">
        <v>161.53019200322501</v>
      </c>
    </row>
    <row r="345" spans="1:25" x14ac:dyDescent="0.25">
      <c r="A345" t="s">
        <v>14</v>
      </c>
      <c r="B345" s="1">
        <v>41426</v>
      </c>
      <c r="C345">
        <v>2381</v>
      </c>
      <c r="D345">
        <v>33234605901.299999</v>
      </c>
      <c r="E345">
        <v>25.745123971811601</v>
      </c>
      <c r="U345" t="s">
        <v>14</v>
      </c>
      <c r="V345" s="1">
        <v>41426</v>
      </c>
      <c r="W345">
        <v>2381</v>
      </c>
      <c r="X345">
        <v>33234605901.299999</v>
      </c>
      <c r="Y345">
        <v>22.052160718516301</v>
      </c>
    </row>
    <row r="346" spans="1:25" x14ac:dyDescent="0.25">
      <c r="A346" t="s">
        <v>15</v>
      </c>
      <c r="B346" s="1">
        <v>41426</v>
      </c>
      <c r="C346">
        <v>1253</v>
      </c>
      <c r="D346">
        <v>22743332810.720001</v>
      </c>
      <c r="E346">
        <v>11.7527374132353</v>
      </c>
      <c r="U346" t="s">
        <v>15</v>
      </c>
      <c r="V346" s="1">
        <v>41426</v>
      </c>
      <c r="W346">
        <v>1253</v>
      </c>
      <c r="X346">
        <v>22743332810.720001</v>
      </c>
      <c r="Y346">
        <v>11.645493394041299</v>
      </c>
    </row>
    <row r="347" spans="1:25" x14ac:dyDescent="0.25">
      <c r="A347" t="s">
        <v>12</v>
      </c>
      <c r="B347" s="1">
        <v>41456</v>
      </c>
      <c r="C347">
        <v>168793</v>
      </c>
      <c r="D347">
        <v>951112315863.43994</v>
      </c>
      <c r="E347">
        <v>751.14390528662705</v>
      </c>
      <c r="U347" t="s">
        <v>12</v>
      </c>
      <c r="V347" s="1">
        <v>41456</v>
      </c>
      <c r="W347">
        <v>168793</v>
      </c>
      <c r="X347">
        <v>951112315863.43994</v>
      </c>
      <c r="Y347">
        <v>731.27187367586896</v>
      </c>
    </row>
    <row r="348" spans="1:25" x14ac:dyDescent="0.25">
      <c r="A348" t="s">
        <v>13</v>
      </c>
      <c r="B348" s="1">
        <v>41456</v>
      </c>
      <c r="C348">
        <v>998</v>
      </c>
      <c r="D348">
        <v>18453239115.400002</v>
      </c>
      <c r="E348">
        <v>155.23445086300799</v>
      </c>
      <c r="U348" t="s">
        <v>13</v>
      </c>
      <c r="V348" s="1">
        <v>41456</v>
      </c>
      <c r="W348">
        <v>998</v>
      </c>
      <c r="X348">
        <v>18453239115.400002</v>
      </c>
      <c r="Y348">
        <v>154.9896084284</v>
      </c>
    </row>
    <row r="349" spans="1:25" x14ac:dyDescent="0.25">
      <c r="A349" t="s">
        <v>14</v>
      </c>
      <c r="B349" s="1">
        <v>41456</v>
      </c>
      <c r="C349">
        <v>2498</v>
      </c>
      <c r="D349">
        <v>34235158583.599998</v>
      </c>
      <c r="E349">
        <v>25.846635559731901</v>
      </c>
      <c r="U349" t="s">
        <v>14</v>
      </c>
      <c r="V349" s="1">
        <v>41456</v>
      </c>
      <c r="W349">
        <v>2498</v>
      </c>
      <c r="X349">
        <v>34235158583.599998</v>
      </c>
      <c r="Y349">
        <v>22.366702545936999</v>
      </c>
    </row>
    <row r="350" spans="1:25" x14ac:dyDescent="0.25">
      <c r="A350" t="s">
        <v>15</v>
      </c>
      <c r="B350" s="1">
        <v>41456</v>
      </c>
      <c r="C350">
        <v>1350</v>
      </c>
      <c r="D350">
        <v>23549228231.41</v>
      </c>
      <c r="E350">
        <v>11.487224676237</v>
      </c>
      <c r="U350" t="s">
        <v>15</v>
      </c>
      <c r="V350" s="1">
        <v>41456</v>
      </c>
      <c r="W350">
        <v>1350</v>
      </c>
      <c r="X350">
        <v>23549228231.41</v>
      </c>
      <c r="Y350">
        <v>11.3837087184738</v>
      </c>
    </row>
    <row r="351" spans="1:25" x14ac:dyDescent="0.25">
      <c r="A351" t="s">
        <v>12</v>
      </c>
      <c r="B351" s="1">
        <v>41487</v>
      </c>
      <c r="C351">
        <v>168702</v>
      </c>
      <c r="D351">
        <v>948978277212.25</v>
      </c>
      <c r="E351">
        <v>735.52028110538902</v>
      </c>
      <c r="U351" t="s">
        <v>12</v>
      </c>
      <c r="V351" s="1">
        <v>41487</v>
      </c>
      <c r="W351">
        <v>168702</v>
      </c>
      <c r="X351">
        <v>948978277212.25</v>
      </c>
      <c r="Y351">
        <v>716.16864058289502</v>
      </c>
    </row>
    <row r="352" spans="1:25" x14ac:dyDescent="0.25">
      <c r="A352" t="s">
        <v>13</v>
      </c>
      <c r="B352" s="1">
        <v>41487</v>
      </c>
      <c r="C352">
        <v>1021</v>
      </c>
      <c r="D352">
        <v>18743874307.419998</v>
      </c>
      <c r="E352">
        <v>147.91083190691899</v>
      </c>
      <c r="U352" t="s">
        <v>13</v>
      </c>
      <c r="V352" s="1">
        <v>41487</v>
      </c>
      <c r="W352">
        <v>1021</v>
      </c>
      <c r="X352">
        <v>18743874307.419998</v>
      </c>
      <c r="Y352">
        <v>147.63940382074799</v>
      </c>
    </row>
    <row r="353" spans="1:25" x14ac:dyDescent="0.25">
      <c r="A353" t="s">
        <v>14</v>
      </c>
      <c r="B353" s="1">
        <v>41487</v>
      </c>
      <c r="C353">
        <v>2594</v>
      </c>
      <c r="D353">
        <v>34899645243.050003</v>
      </c>
      <c r="E353">
        <v>25.6207576308441</v>
      </c>
      <c r="U353" t="s">
        <v>14</v>
      </c>
      <c r="V353" s="1">
        <v>41487</v>
      </c>
      <c r="W353">
        <v>2594</v>
      </c>
      <c r="X353">
        <v>34899645243.050003</v>
      </c>
      <c r="Y353">
        <v>22.310220851696201</v>
      </c>
    </row>
    <row r="354" spans="1:25" x14ac:dyDescent="0.25">
      <c r="A354" t="s">
        <v>15</v>
      </c>
      <c r="B354" s="1">
        <v>41487</v>
      </c>
      <c r="C354">
        <v>1432</v>
      </c>
      <c r="D354">
        <v>24174777291.66</v>
      </c>
      <c r="E354">
        <v>11.218669316724901</v>
      </c>
      <c r="U354" t="s">
        <v>15</v>
      </c>
      <c r="V354" s="1">
        <v>41487</v>
      </c>
      <c r="W354">
        <v>1432</v>
      </c>
      <c r="X354">
        <v>24174777291.66</v>
      </c>
      <c r="Y354">
        <v>11.1189690941143</v>
      </c>
    </row>
    <row r="355" spans="1:25" x14ac:dyDescent="0.25">
      <c r="A355" t="s">
        <v>12</v>
      </c>
      <c r="B355" s="1">
        <v>41518</v>
      </c>
      <c r="C355">
        <v>168665</v>
      </c>
      <c r="D355">
        <v>948811579876.78003</v>
      </c>
      <c r="E355">
        <v>716.841770575091</v>
      </c>
      <c r="U355" t="s">
        <v>12</v>
      </c>
      <c r="V355" s="1">
        <v>41518</v>
      </c>
      <c r="W355">
        <v>168665</v>
      </c>
      <c r="X355">
        <v>948811579876.78003</v>
      </c>
      <c r="Y355">
        <v>698.05641702828495</v>
      </c>
    </row>
    <row r="356" spans="1:25" x14ac:dyDescent="0.25">
      <c r="A356" t="s">
        <v>13</v>
      </c>
      <c r="B356" s="1">
        <v>41518</v>
      </c>
      <c r="C356">
        <v>1045</v>
      </c>
      <c r="D356">
        <v>19092526206.200001</v>
      </c>
      <c r="E356">
        <v>141.164854100502</v>
      </c>
      <c r="U356" t="s">
        <v>13</v>
      </c>
      <c r="V356" s="1">
        <v>41518</v>
      </c>
      <c r="W356">
        <v>1045</v>
      </c>
      <c r="X356">
        <v>19092526206.200001</v>
      </c>
      <c r="Y356">
        <v>140.87825123634701</v>
      </c>
    </row>
    <row r="357" spans="1:25" x14ac:dyDescent="0.25">
      <c r="A357" t="s">
        <v>14</v>
      </c>
      <c r="B357" s="1">
        <v>41518</v>
      </c>
      <c r="C357">
        <v>2695</v>
      </c>
      <c r="D357">
        <v>35367128013.260002</v>
      </c>
      <c r="E357">
        <v>25.460693289497101</v>
      </c>
      <c r="U357" t="s">
        <v>14</v>
      </c>
      <c r="V357" s="1">
        <v>41518</v>
      </c>
      <c r="W357">
        <v>2695</v>
      </c>
      <c r="X357">
        <v>35367128013.260002</v>
      </c>
      <c r="Y357">
        <v>22.282471229704399</v>
      </c>
    </row>
    <row r="358" spans="1:25" x14ac:dyDescent="0.25">
      <c r="A358" t="s">
        <v>15</v>
      </c>
      <c r="B358" s="1">
        <v>41518</v>
      </c>
      <c r="C358">
        <v>1517</v>
      </c>
      <c r="D358">
        <v>24578473067.509998</v>
      </c>
      <c r="E358">
        <v>11.003495734325</v>
      </c>
      <c r="U358" t="s">
        <v>15</v>
      </c>
      <c r="V358" s="1">
        <v>41518</v>
      </c>
      <c r="W358">
        <v>1517</v>
      </c>
      <c r="X358">
        <v>24578473067.509998</v>
      </c>
      <c r="Y358">
        <v>10.905868937369601</v>
      </c>
    </row>
    <row r="359" spans="1:25" x14ac:dyDescent="0.25">
      <c r="A359" t="s">
        <v>12</v>
      </c>
      <c r="B359" s="1">
        <v>41548</v>
      </c>
      <c r="C359">
        <v>168535</v>
      </c>
      <c r="D359">
        <v>946698650327.43005</v>
      </c>
      <c r="E359">
        <v>703.76561108239105</v>
      </c>
      <c r="U359" t="s">
        <v>12</v>
      </c>
      <c r="V359" s="1">
        <v>41548</v>
      </c>
      <c r="W359">
        <v>168535</v>
      </c>
      <c r="X359">
        <v>946698650327.43005</v>
      </c>
      <c r="Y359">
        <v>685.36414873509</v>
      </c>
    </row>
    <row r="360" spans="1:25" x14ac:dyDescent="0.25">
      <c r="A360" t="s">
        <v>13</v>
      </c>
      <c r="B360" s="1">
        <v>41548</v>
      </c>
      <c r="C360">
        <v>1073</v>
      </c>
      <c r="D360">
        <v>19336227803.259998</v>
      </c>
      <c r="E360">
        <v>136.96351921862399</v>
      </c>
      <c r="U360" t="s">
        <v>13</v>
      </c>
      <c r="V360" s="1">
        <v>41548</v>
      </c>
      <c r="W360">
        <v>1073</v>
      </c>
      <c r="X360">
        <v>19336227803.259998</v>
      </c>
      <c r="Y360">
        <v>136.71489672981301</v>
      </c>
    </row>
    <row r="361" spans="1:25" x14ac:dyDescent="0.25">
      <c r="A361" t="s">
        <v>14</v>
      </c>
      <c r="B361" s="1">
        <v>41548</v>
      </c>
      <c r="C361">
        <v>2780</v>
      </c>
      <c r="D361">
        <v>35804756803.43</v>
      </c>
      <c r="E361">
        <v>25.388491260989099</v>
      </c>
      <c r="U361" t="s">
        <v>14</v>
      </c>
      <c r="V361" s="1">
        <v>41548</v>
      </c>
      <c r="W361">
        <v>2780</v>
      </c>
      <c r="X361">
        <v>35804756803.43</v>
      </c>
      <c r="Y361">
        <v>22.314512778277301</v>
      </c>
    </row>
    <row r="362" spans="1:25" x14ac:dyDescent="0.25">
      <c r="A362" t="s">
        <v>15</v>
      </c>
      <c r="B362" s="1">
        <v>41548</v>
      </c>
      <c r="C362">
        <v>1605</v>
      </c>
      <c r="D362">
        <v>24975426851.080002</v>
      </c>
      <c r="E362">
        <v>10.8261217958648</v>
      </c>
      <c r="U362" t="s">
        <v>15</v>
      </c>
      <c r="V362" s="1">
        <v>41548</v>
      </c>
      <c r="W362">
        <v>1605</v>
      </c>
      <c r="X362">
        <v>24975426851.080002</v>
      </c>
      <c r="Y362">
        <v>10.7307261656129</v>
      </c>
    </row>
    <row r="363" spans="1:25" x14ac:dyDescent="0.25">
      <c r="A363" t="s">
        <v>12</v>
      </c>
      <c r="B363" s="1">
        <v>41579</v>
      </c>
      <c r="C363">
        <v>168454</v>
      </c>
      <c r="D363">
        <v>945526028023.66003</v>
      </c>
      <c r="E363">
        <v>698.34414694911004</v>
      </c>
      <c r="U363" t="s">
        <v>12</v>
      </c>
      <c r="V363" s="1">
        <v>41579</v>
      </c>
      <c r="W363">
        <v>168454</v>
      </c>
      <c r="X363">
        <v>945526028023.66003</v>
      </c>
      <c r="Y363">
        <v>680.07648772960601</v>
      </c>
    </row>
    <row r="364" spans="1:25" x14ac:dyDescent="0.25">
      <c r="A364" t="s">
        <v>13</v>
      </c>
      <c r="B364" s="1">
        <v>41579</v>
      </c>
      <c r="C364">
        <v>1088</v>
      </c>
      <c r="D364">
        <v>19613126291.07</v>
      </c>
      <c r="E364">
        <v>135.412024568741</v>
      </c>
      <c r="U364" t="s">
        <v>13</v>
      </c>
      <c r="V364" s="1">
        <v>41579</v>
      </c>
      <c r="W364">
        <v>1088</v>
      </c>
      <c r="X364">
        <v>19613126291.07</v>
      </c>
      <c r="Y364">
        <v>135.19132422200099</v>
      </c>
    </row>
    <row r="365" spans="1:25" x14ac:dyDescent="0.25">
      <c r="A365" t="s">
        <v>14</v>
      </c>
      <c r="B365" s="1">
        <v>41579</v>
      </c>
      <c r="C365">
        <v>2875</v>
      </c>
      <c r="D365">
        <v>36128097823.209999</v>
      </c>
      <c r="E365">
        <v>26.104351991233099</v>
      </c>
      <c r="U365" t="s">
        <v>14</v>
      </c>
      <c r="V365" s="1">
        <v>41579</v>
      </c>
      <c r="W365">
        <v>2875</v>
      </c>
      <c r="X365">
        <v>36128097823.209999</v>
      </c>
      <c r="Y365">
        <v>23.171148707512302</v>
      </c>
    </row>
    <row r="366" spans="1:25" x14ac:dyDescent="0.25">
      <c r="A366" t="s">
        <v>15</v>
      </c>
      <c r="B366" s="1">
        <v>41579</v>
      </c>
      <c r="C366">
        <v>1688</v>
      </c>
      <c r="D366">
        <v>25218431194.439999</v>
      </c>
      <c r="E366">
        <v>10.7537785818126</v>
      </c>
      <c r="U366" t="s">
        <v>15</v>
      </c>
      <c r="V366" s="1">
        <v>41579</v>
      </c>
      <c r="W366">
        <v>1688</v>
      </c>
      <c r="X366">
        <v>25218431194.439999</v>
      </c>
      <c r="Y366">
        <v>10.659463168852399</v>
      </c>
    </row>
    <row r="367" spans="1:25" x14ac:dyDescent="0.25">
      <c r="A367" t="s">
        <v>12</v>
      </c>
      <c r="B367" s="1">
        <v>41609</v>
      </c>
      <c r="C367">
        <v>168526</v>
      </c>
      <c r="D367">
        <v>947567336728.01001</v>
      </c>
      <c r="E367">
        <v>692.28957406291499</v>
      </c>
      <c r="U367" t="s">
        <v>12</v>
      </c>
      <c r="V367" s="1">
        <v>41609</v>
      </c>
      <c r="W367">
        <v>168526</v>
      </c>
      <c r="X367">
        <v>947567336728.01001</v>
      </c>
      <c r="Y367">
        <v>674.40781469614603</v>
      </c>
    </row>
    <row r="368" spans="1:25" x14ac:dyDescent="0.25">
      <c r="A368" t="s">
        <v>13</v>
      </c>
      <c r="B368" s="1">
        <v>41609</v>
      </c>
      <c r="C368">
        <v>1109</v>
      </c>
      <c r="D368">
        <v>19868500672.32</v>
      </c>
      <c r="E368">
        <v>134.00600807258499</v>
      </c>
      <c r="U368" t="s">
        <v>13</v>
      </c>
      <c r="V368" s="1">
        <v>41609</v>
      </c>
      <c r="W368">
        <v>1109</v>
      </c>
      <c r="X368">
        <v>19868500672.32</v>
      </c>
      <c r="Y368">
        <v>133.76394550958301</v>
      </c>
    </row>
    <row r="369" spans="1:25" x14ac:dyDescent="0.25">
      <c r="A369" t="s">
        <v>14</v>
      </c>
      <c r="B369" s="1">
        <v>41609</v>
      </c>
      <c r="C369">
        <v>2973</v>
      </c>
      <c r="D369">
        <v>36388443717.019997</v>
      </c>
      <c r="E369">
        <v>28.0016202904221</v>
      </c>
      <c r="U369" t="s">
        <v>14</v>
      </c>
      <c r="V369" s="1">
        <v>41609</v>
      </c>
      <c r="W369">
        <v>2973</v>
      </c>
      <c r="X369">
        <v>36388443717.019997</v>
      </c>
      <c r="Y369">
        <v>25.1821082855406</v>
      </c>
    </row>
    <row r="370" spans="1:25" x14ac:dyDescent="0.25">
      <c r="A370" t="s">
        <v>15</v>
      </c>
      <c r="B370" s="1">
        <v>41609</v>
      </c>
      <c r="C370">
        <v>1747</v>
      </c>
      <c r="D370">
        <v>25372731243.630001</v>
      </c>
      <c r="E370">
        <v>10.710535906985401</v>
      </c>
      <c r="U370" t="s">
        <v>15</v>
      </c>
      <c r="V370" s="1">
        <v>41609</v>
      </c>
      <c r="W370">
        <v>1747</v>
      </c>
      <c r="X370">
        <v>25372731243.630001</v>
      </c>
      <c r="Y370">
        <v>10.617569258721099</v>
      </c>
    </row>
    <row r="371" spans="1:25" x14ac:dyDescent="0.25">
      <c r="A371" t="s">
        <v>12</v>
      </c>
      <c r="B371" s="1">
        <v>41640</v>
      </c>
      <c r="C371">
        <v>168522</v>
      </c>
      <c r="D371">
        <v>950558420406.93994</v>
      </c>
      <c r="E371">
        <v>684.48256454748696</v>
      </c>
      <c r="U371" t="s">
        <v>12</v>
      </c>
      <c r="V371" s="1">
        <v>41640</v>
      </c>
      <c r="W371">
        <v>168522</v>
      </c>
      <c r="X371">
        <v>950558420406.93994</v>
      </c>
      <c r="Y371">
        <v>667.01982260955003</v>
      </c>
    </row>
    <row r="372" spans="1:25" x14ac:dyDescent="0.25">
      <c r="A372" t="s">
        <v>13</v>
      </c>
      <c r="B372" s="1">
        <v>41640</v>
      </c>
      <c r="C372">
        <v>1122</v>
      </c>
      <c r="D372">
        <v>20235778716.240002</v>
      </c>
      <c r="E372">
        <v>130.95898748737099</v>
      </c>
      <c r="U372" t="s">
        <v>13</v>
      </c>
      <c r="V372" s="1">
        <v>41640</v>
      </c>
      <c r="W372">
        <v>1122</v>
      </c>
      <c r="X372">
        <v>20235778716.240002</v>
      </c>
      <c r="Y372">
        <v>130.704449926747</v>
      </c>
    </row>
    <row r="373" spans="1:25" x14ac:dyDescent="0.25">
      <c r="A373" t="s">
        <v>14</v>
      </c>
      <c r="B373" s="1">
        <v>41640</v>
      </c>
      <c r="C373">
        <v>3038</v>
      </c>
      <c r="D373">
        <v>36429713513.779999</v>
      </c>
      <c r="E373">
        <v>28.2706165205716</v>
      </c>
      <c r="U373" t="s">
        <v>14</v>
      </c>
      <c r="V373" s="1">
        <v>41640</v>
      </c>
      <c r="W373">
        <v>3038</v>
      </c>
      <c r="X373">
        <v>36429713513.779999</v>
      </c>
      <c r="Y373">
        <v>25.528937634929701</v>
      </c>
    </row>
    <row r="374" spans="1:25" x14ac:dyDescent="0.25">
      <c r="A374" t="s">
        <v>15</v>
      </c>
      <c r="B374" s="1">
        <v>41640</v>
      </c>
      <c r="C374">
        <v>1805</v>
      </c>
      <c r="D374">
        <v>25476399173.720001</v>
      </c>
      <c r="E374">
        <v>10.6844023552149</v>
      </c>
      <c r="U374" t="s">
        <v>15</v>
      </c>
      <c r="V374" s="1">
        <v>41640</v>
      </c>
      <c r="W374">
        <v>1805</v>
      </c>
      <c r="X374">
        <v>25476399173.720001</v>
      </c>
      <c r="Y374">
        <v>10.5919185676076</v>
      </c>
    </row>
    <row r="375" spans="1:25" x14ac:dyDescent="0.25">
      <c r="A375" t="s">
        <v>12</v>
      </c>
      <c r="B375" s="1">
        <v>41671</v>
      </c>
      <c r="C375">
        <v>168389</v>
      </c>
      <c r="D375">
        <v>951961756683.73999</v>
      </c>
      <c r="E375">
        <v>676.66801530276598</v>
      </c>
      <c r="U375" t="s">
        <v>12</v>
      </c>
      <c r="V375" s="1">
        <v>41671</v>
      </c>
      <c r="W375">
        <v>168389</v>
      </c>
      <c r="X375">
        <v>951961756683.73999</v>
      </c>
      <c r="Y375">
        <v>659.56092025686905</v>
      </c>
    </row>
    <row r="376" spans="1:25" x14ac:dyDescent="0.25">
      <c r="A376" t="s">
        <v>13</v>
      </c>
      <c r="B376" s="1">
        <v>41671</v>
      </c>
      <c r="C376">
        <v>1130</v>
      </c>
      <c r="D376">
        <v>20424379265.459999</v>
      </c>
      <c r="E376">
        <v>129.00083199656899</v>
      </c>
      <c r="U376" t="s">
        <v>13</v>
      </c>
      <c r="V376" s="1">
        <v>41671</v>
      </c>
      <c r="W376">
        <v>1130</v>
      </c>
      <c r="X376">
        <v>20424379265.459999</v>
      </c>
      <c r="Y376">
        <v>128.743004793377</v>
      </c>
    </row>
    <row r="377" spans="1:25" x14ac:dyDescent="0.25">
      <c r="A377" t="s">
        <v>14</v>
      </c>
      <c r="B377" s="1">
        <v>41671</v>
      </c>
      <c r="C377">
        <v>3094</v>
      </c>
      <c r="D377">
        <v>36534296456.949997</v>
      </c>
      <c r="E377">
        <v>28.530449846843101</v>
      </c>
      <c r="U377" t="s">
        <v>14</v>
      </c>
      <c r="V377" s="1">
        <v>41671</v>
      </c>
      <c r="W377">
        <v>3094</v>
      </c>
      <c r="X377">
        <v>36534296456.949997</v>
      </c>
      <c r="Y377">
        <v>25.8721270851496</v>
      </c>
    </row>
    <row r="378" spans="1:25" x14ac:dyDescent="0.25">
      <c r="A378" t="s">
        <v>15</v>
      </c>
      <c r="B378" s="1">
        <v>41671</v>
      </c>
      <c r="C378">
        <v>1854</v>
      </c>
      <c r="D378">
        <v>25558725588.619999</v>
      </c>
      <c r="E378">
        <v>10.6451335892407</v>
      </c>
      <c r="U378" t="s">
        <v>15</v>
      </c>
      <c r="V378" s="1">
        <v>41671</v>
      </c>
      <c r="W378">
        <v>1854</v>
      </c>
      <c r="X378">
        <v>25558725588.619999</v>
      </c>
      <c r="Y378">
        <v>10.553906213416001</v>
      </c>
    </row>
    <row r="379" spans="1:25" x14ac:dyDescent="0.25">
      <c r="A379" t="s">
        <v>12</v>
      </c>
      <c r="B379" s="1">
        <v>41699</v>
      </c>
      <c r="C379">
        <v>168241</v>
      </c>
      <c r="D379">
        <v>954383832976.22998</v>
      </c>
      <c r="E379">
        <v>672.17232859710805</v>
      </c>
      <c r="U379" t="s">
        <v>12</v>
      </c>
      <c r="V379" s="1">
        <v>41699</v>
      </c>
      <c r="W379">
        <v>168241</v>
      </c>
      <c r="X379">
        <v>954383832976.22998</v>
      </c>
      <c r="Y379">
        <v>655.34296464728595</v>
      </c>
    </row>
    <row r="380" spans="1:25" x14ac:dyDescent="0.25">
      <c r="A380" t="s">
        <v>13</v>
      </c>
      <c r="B380" s="1">
        <v>41699</v>
      </c>
      <c r="C380">
        <v>1144</v>
      </c>
      <c r="D380">
        <v>20512776387.459999</v>
      </c>
      <c r="E380">
        <v>128.885355153078</v>
      </c>
      <c r="U380" t="s">
        <v>13</v>
      </c>
      <c r="V380" s="1">
        <v>41699</v>
      </c>
      <c r="W380">
        <v>1144</v>
      </c>
      <c r="X380">
        <v>20512776387.459999</v>
      </c>
      <c r="Y380">
        <v>128.609625012571</v>
      </c>
    </row>
    <row r="381" spans="1:25" x14ac:dyDescent="0.25">
      <c r="A381" t="s">
        <v>14</v>
      </c>
      <c r="B381" s="1">
        <v>41699</v>
      </c>
      <c r="C381">
        <v>3164</v>
      </c>
      <c r="D381">
        <v>36655105321.75</v>
      </c>
      <c r="E381">
        <v>29.126171784128498</v>
      </c>
      <c r="U381" t="s">
        <v>14</v>
      </c>
      <c r="V381" s="1">
        <v>41699</v>
      </c>
      <c r="W381">
        <v>3164</v>
      </c>
      <c r="X381">
        <v>36655105321.75</v>
      </c>
      <c r="Y381">
        <v>26.5593554467643</v>
      </c>
    </row>
    <row r="382" spans="1:25" x14ac:dyDescent="0.25">
      <c r="A382" t="s">
        <v>15</v>
      </c>
      <c r="B382" s="1">
        <v>41699</v>
      </c>
      <c r="C382">
        <v>1900</v>
      </c>
      <c r="D382">
        <v>25637606597.049999</v>
      </c>
      <c r="E382">
        <v>10.6045415552218</v>
      </c>
      <c r="U382" t="s">
        <v>15</v>
      </c>
      <c r="V382" s="1">
        <v>41699</v>
      </c>
      <c r="W382">
        <v>1900</v>
      </c>
      <c r="X382">
        <v>25637606597.049999</v>
      </c>
      <c r="Y382">
        <v>10.5147337965692</v>
      </c>
    </row>
    <row r="383" spans="1:25" x14ac:dyDescent="0.25">
      <c r="A383" t="s">
        <v>12</v>
      </c>
      <c r="B383" s="1">
        <v>41730</v>
      </c>
      <c r="C383">
        <v>168138</v>
      </c>
      <c r="D383">
        <v>954656179373.09998</v>
      </c>
      <c r="E383">
        <v>670.384491717061</v>
      </c>
      <c r="U383" t="s">
        <v>12</v>
      </c>
      <c r="V383" s="1">
        <v>41730</v>
      </c>
      <c r="W383">
        <v>168138</v>
      </c>
      <c r="X383">
        <v>954656179373.09998</v>
      </c>
      <c r="Y383">
        <v>653.58111716835697</v>
      </c>
    </row>
    <row r="384" spans="1:25" x14ac:dyDescent="0.25">
      <c r="A384" t="s">
        <v>13</v>
      </c>
      <c r="B384" s="1">
        <v>41730</v>
      </c>
      <c r="C384">
        <v>1155</v>
      </c>
      <c r="D384">
        <v>20701049462.849998</v>
      </c>
      <c r="E384">
        <v>128.569731494997</v>
      </c>
      <c r="U384" t="s">
        <v>13</v>
      </c>
      <c r="V384" s="1">
        <v>41730</v>
      </c>
      <c r="W384">
        <v>1155</v>
      </c>
      <c r="X384">
        <v>20701049462.849998</v>
      </c>
      <c r="Y384">
        <v>128.27593814508401</v>
      </c>
    </row>
    <row r="385" spans="1:25" x14ac:dyDescent="0.25">
      <c r="A385" t="s">
        <v>14</v>
      </c>
      <c r="B385" s="1">
        <v>41730</v>
      </c>
      <c r="C385">
        <v>3214</v>
      </c>
      <c r="D385">
        <v>36681497623.199997</v>
      </c>
      <c r="E385">
        <v>29.7170672796451</v>
      </c>
      <c r="U385" t="s">
        <v>14</v>
      </c>
      <c r="V385" s="1">
        <v>41730</v>
      </c>
      <c r="W385">
        <v>3214</v>
      </c>
      <c r="X385">
        <v>36681497623.199997</v>
      </c>
      <c r="Y385">
        <v>27.2455544825497</v>
      </c>
    </row>
    <row r="386" spans="1:25" x14ac:dyDescent="0.25">
      <c r="A386" t="s">
        <v>15</v>
      </c>
      <c r="B386" s="1">
        <v>41730</v>
      </c>
      <c r="C386">
        <v>1945</v>
      </c>
      <c r="D386">
        <v>25659837687.27</v>
      </c>
      <c r="E386">
        <v>10.6100754210928</v>
      </c>
      <c r="U386" t="s">
        <v>15</v>
      </c>
      <c r="V386" s="1">
        <v>41730</v>
      </c>
      <c r="W386">
        <v>1945</v>
      </c>
      <c r="X386">
        <v>25659837687.27</v>
      </c>
      <c r="Y386">
        <v>10.5209123762984</v>
      </c>
    </row>
    <row r="387" spans="1:25" x14ac:dyDescent="0.25">
      <c r="A387" t="s">
        <v>12</v>
      </c>
      <c r="B387" s="1">
        <v>41760</v>
      </c>
      <c r="C387">
        <v>168113</v>
      </c>
      <c r="D387">
        <v>956139225086.04004</v>
      </c>
      <c r="E387">
        <v>666.43286400783302</v>
      </c>
      <c r="U387" t="s">
        <v>12</v>
      </c>
      <c r="V387" s="1">
        <v>41760</v>
      </c>
      <c r="W387">
        <v>168113</v>
      </c>
      <c r="X387">
        <v>956139225086.04004</v>
      </c>
      <c r="Y387">
        <v>649.68410469425601</v>
      </c>
    </row>
    <row r="388" spans="1:25" x14ac:dyDescent="0.25">
      <c r="A388" t="s">
        <v>13</v>
      </c>
      <c r="B388" s="1">
        <v>41760</v>
      </c>
      <c r="C388">
        <v>1161</v>
      </c>
      <c r="D388">
        <v>20937825815.509998</v>
      </c>
      <c r="E388">
        <v>127.80780338366</v>
      </c>
      <c r="U388" t="s">
        <v>13</v>
      </c>
      <c r="V388" s="1">
        <v>41760</v>
      </c>
      <c r="W388">
        <v>1161</v>
      </c>
      <c r="X388">
        <v>20937825815.509998</v>
      </c>
      <c r="Y388">
        <v>127.49582853568199</v>
      </c>
    </row>
    <row r="389" spans="1:25" x14ac:dyDescent="0.25">
      <c r="A389" t="s">
        <v>14</v>
      </c>
      <c r="B389" s="1">
        <v>41760</v>
      </c>
      <c r="C389">
        <v>3259</v>
      </c>
      <c r="D389">
        <v>36636435212.349998</v>
      </c>
      <c r="E389">
        <v>30.470501192258901</v>
      </c>
      <c r="U389" t="s">
        <v>14</v>
      </c>
      <c r="V389" s="1">
        <v>41760</v>
      </c>
      <c r="W389">
        <v>3259</v>
      </c>
      <c r="X389">
        <v>36636435212.349998</v>
      </c>
      <c r="Y389">
        <v>28.090606167894201</v>
      </c>
    </row>
    <row r="390" spans="1:25" x14ac:dyDescent="0.25">
      <c r="A390" t="s">
        <v>15</v>
      </c>
      <c r="B390" s="1">
        <v>41760</v>
      </c>
      <c r="C390">
        <v>1977</v>
      </c>
      <c r="D390">
        <v>25645418956.459999</v>
      </c>
      <c r="E390">
        <v>10.5862407817033</v>
      </c>
      <c r="U390" t="s">
        <v>15</v>
      </c>
      <c r="V390" s="1">
        <v>41760</v>
      </c>
      <c r="W390">
        <v>1977</v>
      </c>
      <c r="X390">
        <v>25645418956.459999</v>
      </c>
      <c r="Y390">
        <v>10.497874297460701</v>
      </c>
    </row>
    <row r="391" spans="1:25" x14ac:dyDescent="0.25">
      <c r="A391" t="s">
        <v>12</v>
      </c>
      <c r="B391" s="1">
        <v>41791</v>
      </c>
      <c r="C391">
        <v>168001</v>
      </c>
      <c r="D391">
        <v>957828328319.79004</v>
      </c>
      <c r="E391">
        <v>664.69980563757599</v>
      </c>
      <c r="U391" t="s">
        <v>12</v>
      </c>
      <c r="V391" s="1">
        <v>41791</v>
      </c>
      <c r="W391">
        <v>168001</v>
      </c>
      <c r="X391">
        <v>957828328319.79004</v>
      </c>
      <c r="Y391">
        <v>647.879089848082</v>
      </c>
    </row>
    <row r="392" spans="1:25" x14ac:dyDescent="0.25">
      <c r="A392" t="s">
        <v>13</v>
      </c>
      <c r="B392" s="1">
        <v>41791</v>
      </c>
      <c r="C392">
        <v>1165</v>
      </c>
      <c r="D392">
        <v>21143780863.959999</v>
      </c>
      <c r="E392">
        <v>128.17193163764099</v>
      </c>
      <c r="U392" t="s">
        <v>13</v>
      </c>
      <c r="V392" s="1">
        <v>41791</v>
      </c>
      <c r="W392">
        <v>1165</v>
      </c>
      <c r="X392">
        <v>21143780863.959999</v>
      </c>
      <c r="Y392">
        <v>127.839151718346</v>
      </c>
    </row>
    <row r="393" spans="1:25" x14ac:dyDescent="0.25">
      <c r="A393" t="s">
        <v>14</v>
      </c>
      <c r="B393" s="1">
        <v>41791</v>
      </c>
      <c r="C393">
        <v>3302</v>
      </c>
      <c r="D393">
        <v>36550076567.910004</v>
      </c>
      <c r="E393">
        <v>31.9185082540655</v>
      </c>
      <c r="U393" t="s">
        <v>14</v>
      </c>
      <c r="V393" s="1">
        <v>41791</v>
      </c>
      <c r="W393">
        <v>3302</v>
      </c>
      <c r="X393">
        <v>36550076567.910004</v>
      </c>
      <c r="Y393">
        <v>29.659581908848001</v>
      </c>
    </row>
    <row r="394" spans="1:25" x14ac:dyDescent="0.25">
      <c r="A394" t="s">
        <v>15</v>
      </c>
      <c r="B394" s="1">
        <v>41791</v>
      </c>
      <c r="C394">
        <v>2006</v>
      </c>
      <c r="D394">
        <v>25616594460.360001</v>
      </c>
      <c r="E394">
        <v>10.579119642659</v>
      </c>
      <c r="U394" t="s">
        <v>15</v>
      </c>
      <c r="V394" s="1">
        <v>41791</v>
      </c>
      <c r="W394">
        <v>2006</v>
      </c>
      <c r="X394">
        <v>25616594460.360001</v>
      </c>
      <c r="Y394">
        <v>10.4924712233882</v>
      </c>
    </row>
    <row r="395" spans="1:25" x14ac:dyDescent="0.25">
      <c r="A395" t="s">
        <v>12</v>
      </c>
      <c r="B395" s="1">
        <v>41821</v>
      </c>
      <c r="C395">
        <v>167932</v>
      </c>
      <c r="D395">
        <v>961134113453.43994</v>
      </c>
      <c r="E395">
        <v>662.075403877383</v>
      </c>
      <c r="U395" t="s">
        <v>12</v>
      </c>
      <c r="V395" s="1">
        <v>41821</v>
      </c>
      <c r="W395">
        <v>167932</v>
      </c>
      <c r="X395">
        <v>961134113453.43994</v>
      </c>
      <c r="Y395">
        <v>645.210909291711</v>
      </c>
    </row>
    <row r="396" spans="1:25" x14ac:dyDescent="0.25">
      <c r="A396" t="s">
        <v>13</v>
      </c>
      <c r="B396" s="1">
        <v>41821</v>
      </c>
      <c r="C396">
        <v>1168</v>
      </c>
      <c r="D396">
        <v>21346094720.060001</v>
      </c>
      <c r="E396">
        <v>128.80089980215999</v>
      </c>
      <c r="U396" t="s">
        <v>13</v>
      </c>
      <c r="V396" s="1">
        <v>41821</v>
      </c>
      <c r="W396">
        <v>1168</v>
      </c>
      <c r="X396">
        <v>21346094720.060001</v>
      </c>
      <c r="Y396">
        <v>128.475754975678</v>
      </c>
    </row>
    <row r="397" spans="1:25" x14ac:dyDescent="0.25">
      <c r="A397" t="s">
        <v>14</v>
      </c>
      <c r="B397" s="1">
        <v>41821</v>
      </c>
      <c r="C397">
        <v>3342</v>
      </c>
      <c r="D397">
        <v>36429625540.220001</v>
      </c>
      <c r="E397">
        <v>33.538792078762903</v>
      </c>
      <c r="U397" t="s">
        <v>14</v>
      </c>
      <c r="V397" s="1">
        <v>41821</v>
      </c>
      <c r="W397">
        <v>3342</v>
      </c>
      <c r="X397">
        <v>36429625540.220001</v>
      </c>
      <c r="Y397">
        <v>31.409324347051001</v>
      </c>
    </row>
    <row r="398" spans="1:25" x14ac:dyDescent="0.25">
      <c r="A398" t="s">
        <v>15</v>
      </c>
      <c r="B398" s="1">
        <v>41821</v>
      </c>
      <c r="C398">
        <v>2033</v>
      </c>
      <c r="D398">
        <v>25567285813.18</v>
      </c>
      <c r="E398">
        <v>10.590972834895499</v>
      </c>
      <c r="U398" t="s">
        <v>15</v>
      </c>
      <c r="V398" s="1">
        <v>41821</v>
      </c>
      <c r="W398">
        <v>2033</v>
      </c>
      <c r="X398">
        <v>25567285813.18</v>
      </c>
      <c r="Y398">
        <v>10.5062877450392</v>
      </c>
    </row>
    <row r="399" spans="1:25" x14ac:dyDescent="0.25">
      <c r="A399" t="s">
        <v>12</v>
      </c>
      <c r="B399" s="1">
        <v>41852</v>
      </c>
      <c r="C399">
        <v>167848</v>
      </c>
      <c r="D399">
        <v>963933164722.85999</v>
      </c>
      <c r="E399">
        <v>659.71024280803999</v>
      </c>
      <c r="U399" t="s">
        <v>12</v>
      </c>
      <c r="V399" s="1">
        <v>41852</v>
      </c>
      <c r="W399">
        <v>167848</v>
      </c>
      <c r="X399">
        <v>963933164722.85999</v>
      </c>
      <c r="Y399">
        <v>642.76902569574804</v>
      </c>
    </row>
    <row r="400" spans="1:25" x14ac:dyDescent="0.25">
      <c r="A400" t="s">
        <v>13</v>
      </c>
      <c r="B400" s="1">
        <v>41852</v>
      </c>
      <c r="C400">
        <v>1172</v>
      </c>
      <c r="D400">
        <v>21598307257.459999</v>
      </c>
      <c r="E400">
        <v>129.34418441597199</v>
      </c>
      <c r="U400" t="s">
        <v>13</v>
      </c>
      <c r="V400" s="1">
        <v>41852</v>
      </c>
      <c r="W400">
        <v>1172</v>
      </c>
      <c r="X400">
        <v>21598307257.459999</v>
      </c>
      <c r="Y400">
        <v>129.00002130886</v>
      </c>
    </row>
    <row r="401" spans="1:25" x14ac:dyDescent="0.25">
      <c r="A401" t="s">
        <v>14</v>
      </c>
      <c r="B401" s="1">
        <v>41852</v>
      </c>
      <c r="C401">
        <v>3381</v>
      </c>
      <c r="D401">
        <v>36252840693.470001</v>
      </c>
      <c r="E401">
        <v>35.315271854528199</v>
      </c>
      <c r="U401" t="s">
        <v>14</v>
      </c>
      <c r="V401" s="1">
        <v>41852</v>
      </c>
      <c r="W401">
        <v>3381</v>
      </c>
      <c r="X401">
        <v>36252840693.470001</v>
      </c>
      <c r="Y401">
        <v>33.316267605425601</v>
      </c>
    </row>
    <row r="402" spans="1:25" x14ac:dyDescent="0.25">
      <c r="A402" t="s">
        <v>15</v>
      </c>
      <c r="B402" s="1">
        <v>41852</v>
      </c>
      <c r="C402">
        <v>2058</v>
      </c>
      <c r="D402">
        <v>25497572102.110001</v>
      </c>
      <c r="E402">
        <v>10.6020986990889</v>
      </c>
      <c r="U402" t="s">
        <v>15</v>
      </c>
      <c r="V402" s="1">
        <v>41852</v>
      </c>
      <c r="W402">
        <v>2058</v>
      </c>
      <c r="X402">
        <v>25497572102.110001</v>
      </c>
      <c r="Y402">
        <v>10.519925852826701</v>
      </c>
    </row>
    <row r="403" spans="1:25" x14ac:dyDescent="0.25">
      <c r="A403" t="s">
        <v>12</v>
      </c>
      <c r="B403" s="1">
        <v>41883</v>
      </c>
      <c r="C403">
        <v>167817</v>
      </c>
      <c r="D403">
        <v>971985480145.08997</v>
      </c>
      <c r="E403">
        <v>654.15727526874605</v>
      </c>
      <c r="U403" t="s">
        <v>12</v>
      </c>
      <c r="V403" s="1">
        <v>41883</v>
      </c>
      <c r="W403">
        <v>167817</v>
      </c>
      <c r="X403">
        <v>971985480145.08997</v>
      </c>
      <c r="Y403">
        <v>637.23237313323</v>
      </c>
    </row>
    <row r="404" spans="1:25" x14ac:dyDescent="0.25">
      <c r="A404" t="s">
        <v>13</v>
      </c>
      <c r="B404" s="1">
        <v>41883</v>
      </c>
      <c r="C404">
        <v>1181</v>
      </c>
      <c r="D404">
        <v>21876660696.240002</v>
      </c>
      <c r="E404">
        <v>129.98678365752099</v>
      </c>
      <c r="U404" t="s">
        <v>13</v>
      </c>
      <c r="V404" s="1">
        <v>41883</v>
      </c>
      <c r="W404">
        <v>1181</v>
      </c>
      <c r="X404">
        <v>21876660696.240002</v>
      </c>
      <c r="Y404">
        <v>129.65993830327201</v>
      </c>
    </row>
    <row r="405" spans="1:25" x14ac:dyDescent="0.25">
      <c r="A405" t="s">
        <v>14</v>
      </c>
      <c r="B405" s="1">
        <v>41883</v>
      </c>
      <c r="C405">
        <v>3414</v>
      </c>
      <c r="D405">
        <v>36064929252.449997</v>
      </c>
      <c r="E405">
        <v>37.2393220738549</v>
      </c>
      <c r="U405" t="s">
        <v>14</v>
      </c>
      <c r="V405" s="1">
        <v>41883</v>
      </c>
      <c r="W405">
        <v>3414</v>
      </c>
      <c r="X405">
        <v>36064929252.449997</v>
      </c>
      <c r="Y405">
        <v>35.384918902620598</v>
      </c>
    </row>
    <row r="406" spans="1:25" x14ac:dyDescent="0.25">
      <c r="A406" t="s">
        <v>15</v>
      </c>
      <c r="B406" s="1">
        <v>41883</v>
      </c>
      <c r="C406">
        <v>2081</v>
      </c>
      <c r="D406">
        <v>25426007923.25</v>
      </c>
      <c r="E406">
        <v>10.6360536690917</v>
      </c>
      <c r="U406" t="s">
        <v>15</v>
      </c>
      <c r="V406" s="1">
        <v>41883</v>
      </c>
      <c r="W406">
        <v>2081</v>
      </c>
      <c r="X406">
        <v>25426007923.25</v>
      </c>
      <c r="Y406">
        <v>10.555909930345999</v>
      </c>
    </row>
    <row r="407" spans="1:25" x14ac:dyDescent="0.25">
      <c r="A407" t="s">
        <v>12</v>
      </c>
      <c r="B407" s="1">
        <v>41913</v>
      </c>
      <c r="C407">
        <v>167776</v>
      </c>
      <c r="D407">
        <v>977830257289.84998</v>
      </c>
      <c r="E407">
        <v>649.49729153355804</v>
      </c>
      <c r="U407" t="s">
        <v>12</v>
      </c>
      <c r="V407" s="1">
        <v>41913</v>
      </c>
      <c r="W407">
        <v>167776</v>
      </c>
      <c r="X407">
        <v>977830257289.84998</v>
      </c>
      <c r="Y407">
        <v>632.57356396276498</v>
      </c>
    </row>
    <row r="408" spans="1:25" x14ac:dyDescent="0.25">
      <c r="A408" t="s">
        <v>13</v>
      </c>
      <c r="B408" s="1">
        <v>41913</v>
      </c>
      <c r="C408">
        <v>1195</v>
      </c>
      <c r="D408">
        <v>22145863654.419998</v>
      </c>
      <c r="E408">
        <v>130.11680505944</v>
      </c>
      <c r="U408" t="s">
        <v>13</v>
      </c>
      <c r="V408" s="1">
        <v>41913</v>
      </c>
      <c r="W408">
        <v>1195</v>
      </c>
      <c r="X408">
        <v>22145863654.419998</v>
      </c>
      <c r="Y408">
        <v>129.783558571821</v>
      </c>
    </row>
    <row r="409" spans="1:25" x14ac:dyDescent="0.25">
      <c r="A409" t="s">
        <v>14</v>
      </c>
      <c r="B409" s="1">
        <v>41913</v>
      </c>
      <c r="C409">
        <v>3450</v>
      </c>
      <c r="D409">
        <v>35877576846.68</v>
      </c>
      <c r="E409">
        <v>39.033590206259802</v>
      </c>
      <c r="U409" t="s">
        <v>14</v>
      </c>
      <c r="V409" s="1">
        <v>41913</v>
      </c>
      <c r="W409">
        <v>3450</v>
      </c>
      <c r="X409">
        <v>35877576846.68</v>
      </c>
      <c r="Y409">
        <v>37.309648789492599</v>
      </c>
    </row>
    <row r="410" spans="1:25" x14ac:dyDescent="0.25">
      <c r="A410" t="s">
        <v>15</v>
      </c>
      <c r="B410" s="1">
        <v>41913</v>
      </c>
      <c r="C410">
        <v>2099</v>
      </c>
      <c r="D410">
        <v>25334386957.700001</v>
      </c>
      <c r="E410">
        <v>10.6587295842213</v>
      </c>
      <c r="U410" t="s">
        <v>15</v>
      </c>
      <c r="V410" s="1">
        <v>41913</v>
      </c>
      <c r="W410">
        <v>2099</v>
      </c>
      <c r="X410">
        <v>25334386957.700001</v>
      </c>
      <c r="Y410">
        <v>10.5799941356647</v>
      </c>
    </row>
    <row r="411" spans="1:25" x14ac:dyDescent="0.25">
      <c r="A411" t="s">
        <v>12</v>
      </c>
      <c r="B411" s="1">
        <v>41944</v>
      </c>
      <c r="C411">
        <v>167725</v>
      </c>
      <c r="D411">
        <v>984220465218.06006</v>
      </c>
      <c r="E411">
        <v>646.21962683922595</v>
      </c>
      <c r="U411" t="s">
        <v>12</v>
      </c>
      <c r="V411" s="1">
        <v>41944</v>
      </c>
      <c r="W411">
        <v>167725</v>
      </c>
      <c r="X411">
        <v>984220465218.06006</v>
      </c>
      <c r="Y411">
        <v>629.24248594360597</v>
      </c>
    </row>
    <row r="412" spans="1:25" x14ac:dyDescent="0.25">
      <c r="A412" t="s">
        <v>13</v>
      </c>
      <c r="B412" s="1">
        <v>41944</v>
      </c>
      <c r="C412">
        <v>1204</v>
      </c>
      <c r="D412">
        <v>22469954705.310001</v>
      </c>
      <c r="E412">
        <v>131.90840428627999</v>
      </c>
      <c r="U412" t="s">
        <v>13</v>
      </c>
      <c r="V412" s="1">
        <v>41944</v>
      </c>
      <c r="W412">
        <v>1204</v>
      </c>
      <c r="X412">
        <v>22469954705.310001</v>
      </c>
      <c r="Y412">
        <v>131.56793367118499</v>
      </c>
    </row>
    <row r="413" spans="1:25" x14ac:dyDescent="0.25">
      <c r="A413" t="s">
        <v>14</v>
      </c>
      <c r="B413" s="1">
        <v>41944</v>
      </c>
      <c r="C413">
        <v>3481</v>
      </c>
      <c r="D413">
        <v>35684652551.809998</v>
      </c>
      <c r="E413">
        <v>41.334032059073898</v>
      </c>
      <c r="U413" t="s">
        <v>14</v>
      </c>
      <c r="V413" s="1">
        <v>41944</v>
      </c>
      <c r="W413">
        <v>3481</v>
      </c>
      <c r="X413">
        <v>35684652551.809998</v>
      </c>
      <c r="Y413">
        <v>39.766729639748</v>
      </c>
    </row>
    <row r="414" spans="1:25" x14ac:dyDescent="0.25">
      <c r="A414" t="s">
        <v>15</v>
      </c>
      <c r="B414" s="1">
        <v>41944</v>
      </c>
      <c r="C414">
        <v>2118</v>
      </c>
      <c r="D414">
        <v>25256586100.18</v>
      </c>
      <c r="E414">
        <v>10.6990628140734</v>
      </c>
      <c r="U414" t="s">
        <v>15</v>
      </c>
      <c r="V414" s="1">
        <v>41944</v>
      </c>
      <c r="W414">
        <v>2118</v>
      </c>
      <c r="X414">
        <v>25256586100.18</v>
      </c>
      <c r="Y414">
        <v>10.624111533287101</v>
      </c>
    </row>
    <row r="415" spans="1:25" x14ac:dyDescent="0.25">
      <c r="A415" t="s">
        <v>12</v>
      </c>
      <c r="B415" s="1">
        <v>41974</v>
      </c>
      <c r="C415">
        <v>167748</v>
      </c>
      <c r="D415">
        <v>988907164368.56995</v>
      </c>
      <c r="E415">
        <v>644.23745909282195</v>
      </c>
      <c r="U415" t="s">
        <v>12</v>
      </c>
      <c r="V415" s="1">
        <v>41974</v>
      </c>
      <c r="W415">
        <v>167748</v>
      </c>
      <c r="X415">
        <v>988907164368.56995</v>
      </c>
      <c r="Y415">
        <v>627.175782626515</v>
      </c>
    </row>
    <row r="416" spans="1:25" x14ac:dyDescent="0.25">
      <c r="A416" t="s">
        <v>13</v>
      </c>
      <c r="B416" s="1">
        <v>41974</v>
      </c>
      <c r="C416">
        <v>1215</v>
      </c>
      <c r="D416">
        <v>22783477587.259998</v>
      </c>
      <c r="E416">
        <v>133.993725178056</v>
      </c>
      <c r="U416" t="s">
        <v>13</v>
      </c>
      <c r="V416" s="1">
        <v>41974</v>
      </c>
      <c r="W416">
        <v>1215</v>
      </c>
      <c r="X416">
        <v>22783477587.259998</v>
      </c>
      <c r="Y416">
        <v>133.68748584159201</v>
      </c>
    </row>
    <row r="417" spans="1:25" x14ac:dyDescent="0.25">
      <c r="A417" t="s">
        <v>14</v>
      </c>
      <c r="B417" s="1">
        <v>41974</v>
      </c>
      <c r="C417">
        <v>3515</v>
      </c>
      <c r="D417">
        <v>35503193244.68</v>
      </c>
      <c r="E417">
        <v>43.800109159129804</v>
      </c>
      <c r="U417" t="s">
        <v>14</v>
      </c>
      <c r="V417" s="1">
        <v>41974</v>
      </c>
      <c r="W417">
        <v>3515</v>
      </c>
      <c r="X417">
        <v>35503193244.68</v>
      </c>
      <c r="Y417">
        <v>42.387614649660499</v>
      </c>
    </row>
    <row r="418" spans="1:25" x14ac:dyDescent="0.25">
      <c r="A418" t="s">
        <v>15</v>
      </c>
      <c r="B418" s="1">
        <v>41974</v>
      </c>
      <c r="C418">
        <v>2137</v>
      </c>
      <c r="D418">
        <v>25157857048.23</v>
      </c>
      <c r="E418">
        <v>10.765804394819501</v>
      </c>
      <c r="U418" t="s">
        <v>15</v>
      </c>
      <c r="V418" s="1">
        <v>41974</v>
      </c>
      <c r="W418">
        <v>2137</v>
      </c>
      <c r="X418">
        <v>25157857048.23</v>
      </c>
      <c r="Y418">
        <v>10.696809576597399</v>
      </c>
    </row>
    <row r="419" spans="1:25" x14ac:dyDescent="0.25">
      <c r="A419" t="s">
        <v>12</v>
      </c>
      <c r="B419" s="1">
        <v>42005</v>
      </c>
      <c r="C419">
        <v>167726</v>
      </c>
      <c r="D419">
        <v>991733333950.96997</v>
      </c>
      <c r="E419">
        <v>647.41495682305595</v>
      </c>
      <c r="U419" t="s">
        <v>12</v>
      </c>
      <c r="V419" s="1">
        <v>42005</v>
      </c>
      <c r="W419">
        <v>167726</v>
      </c>
      <c r="X419">
        <v>991733333950.96997</v>
      </c>
      <c r="Y419">
        <v>630.09389627889698</v>
      </c>
    </row>
    <row r="420" spans="1:25" x14ac:dyDescent="0.25">
      <c r="A420" t="s">
        <v>13</v>
      </c>
      <c r="B420" s="1">
        <v>42005</v>
      </c>
      <c r="C420">
        <v>1231</v>
      </c>
      <c r="D420">
        <v>23102138271.23</v>
      </c>
      <c r="E420">
        <v>138.031908854384</v>
      </c>
      <c r="U420" t="s">
        <v>13</v>
      </c>
      <c r="V420" s="1">
        <v>42005</v>
      </c>
      <c r="W420">
        <v>1231</v>
      </c>
      <c r="X420">
        <v>23102138271.23</v>
      </c>
      <c r="Y420">
        <v>137.72186360362301</v>
      </c>
    </row>
    <row r="421" spans="1:25" x14ac:dyDescent="0.25">
      <c r="A421" t="s">
        <v>14</v>
      </c>
      <c r="B421" s="1">
        <v>42005</v>
      </c>
      <c r="C421">
        <v>3548</v>
      </c>
      <c r="D421">
        <v>35322618934.839996</v>
      </c>
      <c r="E421">
        <v>47.555385131562801</v>
      </c>
      <c r="U421" t="s">
        <v>14</v>
      </c>
      <c r="V421" s="1">
        <v>42005</v>
      </c>
      <c r="W421">
        <v>3548</v>
      </c>
      <c r="X421">
        <v>35322618934.839996</v>
      </c>
      <c r="Y421">
        <v>46.3099687411543</v>
      </c>
    </row>
    <row r="422" spans="1:25" x14ac:dyDescent="0.25">
      <c r="A422" t="s">
        <v>15</v>
      </c>
      <c r="B422" s="1">
        <v>42005</v>
      </c>
      <c r="C422">
        <v>2158</v>
      </c>
      <c r="D422">
        <v>25084444553.189999</v>
      </c>
      <c r="E422">
        <v>10.9002974630799</v>
      </c>
      <c r="U422" t="s">
        <v>15</v>
      </c>
      <c r="V422" s="1">
        <v>42005</v>
      </c>
      <c r="W422">
        <v>2158</v>
      </c>
      <c r="X422">
        <v>25084444553.189999</v>
      </c>
      <c r="Y422">
        <v>10.8398240806576</v>
      </c>
    </row>
    <row r="423" spans="1:25" x14ac:dyDescent="0.25">
      <c r="A423" t="s">
        <v>12</v>
      </c>
      <c r="B423" s="1">
        <v>42036</v>
      </c>
      <c r="C423">
        <v>167645</v>
      </c>
      <c r="D423">
        <v>993598228853.71997</v>
      </c>
      <c r="E423">
        <v>653.24988446499697</v>
      </c>
      <c r="U423" t="s">
        <v>12</v>
      </c>
      <c r="V423" s="1">
        <v>42036</v>
      </c>
      <c r="W423">
        <v>167645</v>
      </c>
      <c r="X423">
        <v>993598228853.71997</v>
      </c>
      <c r="Y423">
        <v>635.82888644838602</v>
      </c>
    </row>
    <row r="424" spans="1:25" x14ac:dyDescent="0.25">
      <c r="A424" t="s">
        <v>13</v>
      </c>
      <c r="B424" s="1">
        <v>42036</v>
      </c>
      <c r="C424">
        <v>1242</v>
      </c>
      <c r="D424">
        <v>23306814326.459999</v>
      </c>
      <c r="E424">
        <v>144.99773213393499</v>
      </c>
      <c r="U424" t="s">
        <v>13</v>
      </c>
      <c r="V424" s="1">
        <v>42036</v>
      </c>
      <c r="W424">
        <v>1242</v>
      </c>
      <c r="X424">
        <v>23306814326.459999</v>
      </c>
      <c r="Y424">
        <v>144.751991334715</v>
      </c>
    </row>
    <row r="425" spans="1:25" x14ac:dyDescent="0.25">
      <c r="A425" t="s">
        <v>14</v>
      </c>
      <c r="B425" s="1">
        <v>42036</v>
      </c>
      <c r="C425">
        <v>3575</v>
      </c>
      <c r="D425">
        <v>35091353776.059998</v>
      </c>
      <c r="E425">
        <v>52.540639665874401</v>
      </c>
      <c r="U425" t="s">
        <v>14</v>
      </c>
      <c r="V425" s="1">
        <v>42036</v>
      </c>
      <c r="W425">
        <v>3575</v>
      </c>
      <c r="X425">
        <v>35091353776.059998</v>
      </c>
      <c r="Y425">
        <v>52.373224350536901</v>
      </c>
    </row>
    <row r="426" spans="1:25" x14ac:dyDescent="0.25">
      <c r="A426" t="s">
        <v>15</v>
      </c>
      <c r="B426" s="1">
        <v>42036</v>
      </c>
      <c r="C426">
        <v>2177</v>
      </c>
      <c r="D426">
        <v>24979796045.34</v>
      </c>
      <c r="E426">
        <v>11.168629515201401</v>
      </c>
      <c r="U426" t="s">
        <v>15</v>
      </c>
      <c r="V426" s="1">
        <v>42036</v>
      </c>
      <c r="W426">
        <v>2177</v>
      </c>
      <c r="X426">
        <v>24979796045.34</v>
      </c>
      <c r="Y426">
        <v>11.2603708280772</v>
      </c>
    </row>
    <row r="427" spans="1:25" x14ac:dyDescent="0.25">
      <c r="A427" t="s">
        <v>12</v>
      </c>
      <c r="B427" s="1">
        <v>42064</v>
      </c>
      <c r="C427">
        <v>167745</v>
      </c>
      <c r="D427">
        <v>1002901485619.77</v>
      </c>
      <c r="E427">
        <v>656.56218752353698</v>
      </c>
      <c r="U427" t="s">
        <v>12</v>
      </c>
      <c r="V427" s="1">
        <v>42064</v>
      </c>
      <c r="W427">
        <v>167745</v>
      </c>
      <c r="X427">
        <v>1002901485619.77</v>
      </c>
      <c r="Y427">
        <v>639.16127896912496</v>
      </c>
    </row>
    <row r="428" spans="1:25" x14ac:dyDescent="0.25">
      <c r="A428" t="s">
        <v>13</v>
      </c>
      <c r="B428" s="1">
        <v>42064</v>
      </c>
      <c r="C428">
        <v>1254</v>
      </c>
      <c r="D428">
        <v>23969868419.959999</v>
      </c>
      <c r="E428">
        <v>148.8053244505</v>
      </c>
      <c r="U428" t="s">
        <v>13</v>
      </c>
      <c r="V428" s="1">
        <v>42064</v>
      </c>
      <c r="W428">
        <v>1254</v>
      </c>
      <c r="X428">
        <v>23969868419.959999</v>
      </c>
      <c r="Y428">
        <v>148.71851520518101</v>
      </c>
    </row>
    <row r="429" spans="1:25" x14ac:dyDescent="0.25">
      <c r="A429" t="s">
        <v>14</v>
      </c>
      <c r="B429" s="1">
        <v>42064</v>
      </c>
      <c r="C429">
        <v>3608</v>
      </c>
      <c r="D429">
        <v>34926354082.489998</v>
      </c>
      <c r="E429">
        <v>57.444293419825001</v>
      </c>
      <c r="U429" t="s">
        <v>14</v>
      </c>
      <c r="V429" s="1">
        <v>42064</v>
      </c>
      <c r="W429">
        <v>3608</v>
      </c>
      <c r="X429">
        <v>34926354082.489998</v>
      </c>
      <c r="Y429">
        <v>58.299268613102001</v>
      </c>
    </row>
    <row r="430" spans="1:25" x14ac:dyDescent="0.25">
      <c r="A430" t="s">
        <v>15</v>
      </c>
      <c r="B430" s="1">
        <v>42064</v>
      </c>
      <c r="C430">
        <v>2196</v>
      </c>
      <c r="D430">
        <v>24896056870.400002</v>
      </c>
      <c r="E430">
        <v>11.4431959674063</v>
      </c>
      <c r="U430" t="s">
        <v>15</v>
      </c>
      <c r="V430" s="1">
        <v>42064</v>
      </c>
      <c r="W430">
        <v>2196</v>
      </c>
      <c r="X430">
        <v>24896056870.400002</v>
      </c>
      <c r="Y430">
        <v>11.679830694421801</v>
      </c>
    </row>
    <row r="431" spans="1:25" x14ac:dyDescent="0.25">
      <c r="A431" t="s">
        <v>12</v>
      </c>
      <c r="B431" s="1">
        <v>42095</v>
      </c>
      <c r="C431">
        <v>167791</v>
      </c>
      <c r="D431">
        <v>1003389102237.77</v>
      </c>
      <c r="E431">
        <v>662.36673240305197</v>
      </c>
      <c r="U431" t="s">
        <v>12</v>
      </c>
      <c r="V431" s="1">
        <v>42095</v>
      </c>
      <c r="W431">
        <v>167791</v>
      </c>
      <c r="X431">
        <v>1003389102237.77</v>
      </c>
      <c r="Y431">
        <v>644.82146556106204</v>
      </c>
    </row>
    <row r="432" spans="1:25" x14ac:dyDescent="0.25">
      <c r="A432" t="s">
        <v>13</v>
      </c>
      <c r="B432" s="1">
        <v>42095</v>
      </c>
      <c r="C432">
        <v>1268</v>
      </c>
      <c r="D432">
        <v>24432622348.700001</v>
      </c>
      <c r="E432">
        <v>151.10757332937601</v>
      </c>
      <c r="U432" t="s">
        <v>13</v>
      </c>
      <c r="V432" s="1">
        <v>42095</v>
      </c>
      <c r="W432">
        <v>1268</v>
      </c>
      <c r="X432">
        <v>24432622348.700001</v>
      </c>
      <c r="Y432">
        <v>151.07156068236401</v>
      </c>
    </row>
    <row r="433" spans="1:25" x14ac:dyDescent="0.25">
      <c r="A433" t="s">
        <v>14</v>
      </c>
      <c r="B433" s="1">
        <v>42095</v>
      </c>
      <c r="C433">
        <v>3636</v>
      </c>
      <c r="D433">
        <v>34721259988.510002</v>
      </c>
      <c r="E433">
        <v>62.226306924437097</v>
      </c>
      <c r="U433" t="s">
        <v>14</v>
      </c>
      <c r="V433" s="1">
        <v>42095</v>
      </c>
      <c r="W433">
        <v>3636</v>
      </c>
      <c r="X433">
        <v>34721259988.510002</v>
      </c>
      <c r="Y433">
        <v>64.069724948031705</v>
      </c>
    </row>
    <row r="434" spans="1:25" x14ac:dyDescent="0.25">
      <c r="A434" t="s">
        <v>15</v>
      </c>
      <c r="B434" s="1">
        <v>42095</v>
      </c>
      <c r="C434">
        <v>2218</v>
      </c>
      <c r="D434">
        <v>24790138675.59</v>
      </c>
      <c r="E434">
        <v>11.734627978532499</v>
      </c>
      <c r="U434" t="s">
        <v>15</v>
      </c>
      <c r="V434" s="1">
        <v>42095</v>
      </c>
      <c r="W434">
        <v>2218</v>
      </c>
      <c r="X434">
        <v>24790138675.59</v>
      </c>
      <c r="Y434">
        <v>12.117531848998899</v>
      </c>
    </row>
    <row r="435" spans="1:25" x14ac:dyDescent="0.25">
      <c r="A435" t="s">
        <v>12</v>
      </c>
      <c r="B435" s="1">
        <v>42125</v>
      </c>
      <c r="C435">
        <v>167754</v>
      </c>
      <c r="D435">
        <v>1005967140686.14</v>
      </c>
      <c r="E435">
        <v>664.17191217349796</v>
      </c>
      <c r="U435" t="s">
        <v>12</v>
      </c>
      <c r="V435" s="1">
        <v>42125</v>
      </c>
      <c r="W435">
        <v>167754</v>
      </c>
      <c r="X435">
        <v>1005967140686.14</v>
      </c>
      <c r="Y435">
        <v>646.55646301511797</v>
      </c>
    </row>
    <row r="436" spans="1:25" x14ac:dyDescent="0.25">
      <c r="A436" t="s">
        <v>13</v>
      </c>
      <c r="B436" s="1">
        <v>42125</v>
      </c>
      <c r="C436">
        <v>1281</v>
      </c>
      <c r="D436">
        <v>24516848923.099998</v>
      </c>
      <c r="E436">
        <v>155.58980041570501</v>
      </c>
      <c r="U436" t="s">
        <v>13</v>
      </c>
      <c r="V436" s="1">
        <v>42125</v>
      </c>
      <c r="W436">
        <v>1281</v>
      </c>
      <c r="X436">
        <v>24516848923.099998</v>
      </c>
      <c r="Y436">
        <v>155.605287627796</v>
      </c>
    </row>
    <row r="437" spans="1:25" x14ac:dyDescent="0.25">
      <c r="A437" t="s">
        <v>14</v>
      </c>
      <c r="B437" s="1">
        <v>42125</v>
      </c>
      <c r="C437">
        <v>3670</v>
      </c>
      <c r="D437">
        <v>34432613377.599998</v>
      </c>
      <c r="E437">
        <v>67.950641362553199</v>
      </c>
      <c r="U437" t="s">
        <v>14</v>
      </c>
      <c r="V437" s="1">
        <v>42125</v>
      </c>
      <c r="W437">
        <v>3670</v>
      </c>
      <c r="X437">
        <v>34432613377.599998</v>
      </c>
      <c r="Y437">
        <v>70.985030197913602</v>
      </c>
    </row>
    <row r="438" spans="1:25" x14ac:dyDescent="0.25">
      <c r="A438" t="s">
        <v>15</v>
      </c>
      <c r="B438" s="1">
        <v>42125</v>
      </c>
      <c r="C438">
        <v>2238</v>
      </c>
      <c r="D438">
        <v>24665061611.119999</v>
      </c>
      <c r="E438">
        <v>12.163242003414</v>
      </c>
      <c r="U438" t="s">
        <v>15</v>
      </c>
      <c r="V438" s="1">
        <v>42125</v>
      </c>
      <c r="W438">
        <v>2238</v>
      </c>
      <c r="X438">
        <v>24665061611.119999</v>
      </c>
      <c r="Y438">
        <v>12.7677499904031</v>
      </c>
    </row>
    <row r="439" spans="1:25" x14ac:dyDescent="0.25">
      <c r="A439" t="s">
        <v>12</v>
      </c>
      <c r="B439" s="1">
        <v>42156</v>
      </c>
      <c r="C439">
        <v>167761</v>
      </c>
      <c r="D439">
        <v>1011353959842.98</v>
      </c>
      <c r="E439">
        <v>661.32392022301099</v>
      </c>
      <c r="U439" t="s">
        <v>12</v>
      </c>
      <c r="V439" s="1">
        <v>42156</v>
      </c>
      <c r="W439">
        <v>167761</v>
      </c>
      <c r="X439">
        <v>1011353959842.98</v>
      </c>
      <c r="Y439">
        <v>643.70062543102699</v>
      </c>
    </row>
    <row r="440" spans="1:25" x14ac:dyDescent="0.25">
      <c r="A440" t="s">
        <v>13</v>
      </c>
      <c r="B440" s="1">
        <v>42156</v>
      </c>
      <c r="C440">
        <v>1295</v>
      </c>
      <c r="D440">
        <v>25168406921.459999</v>
      </c>
      <c r="E440">
        <v>154.57573353043199</v>
      </c>
      <c r="U440" t="s">
        <v>13</v>
      </c>
      <c r="V440" s="1">
        <v>42156</v>
      </c>
      <c r="W440">
        <v>1295</v>
      </c>
      <c r="X440">
        <v>25168406921.459999</v>
      </c>
      <c r="Y440">
        <v>154.632421616898</v>
      </c>
    </row>
    <row r="441" spans="1:25" x14ac:dyDescent="0.25">
      <c r="A441" t="s">
        <v>14</v>
      </c>
      <c r="B441" s="1">
        <v>42156</v>
      </c>
      <c r="C441">
        <v>3696</v>
      </c>
      <c r="D441">
        <v>34121910893.049999</v>
      </c>
      <c r="E441">
        <v>72.714269608910897</v>
      </c>
      <c r="U441" t="s">
        <v>14</v>
      </c>
      <c r="V441" s="1">
        <v>42156</v>
      </c>
      <c r="W441">
        <v>3696</v>
      </c>
      <c r="X441">
        <v>34121910893.049999</v>
      </c>
      <c r="Y441">
        <v>76.706867342544797</v>
      </c>
    </row>
    <row r="442" spans="1:25" x14ac:dyDescent="0.25">
      <c r="A442" t="s">
        <v>15</v>
      </c>
      <c r="B442" s="1">
        <v>42156</v>
      </c>
      <c r="C442">
        <v>2253</v>
      </c>
      <c r="D442">
        <v>24529470414.07</v>
      </c>
      <c r="E442">
        <v>12.497913056763</v>
      </c>
      <c r="U442" t="s">
        <v>15</v>
      </c>
      <c r="V442" s="1">
        <v>42156</v>
      </c>
      <c r="W442">
        <v>2253</v>
      </c>
      <c r="X442">
        <v>24529470414.07</v>
      </c>
      <c r="Y442">
        <v>13.260182676040101</v>
      </c>
    </row>
    <row r="443" spans="1:25" x14ac:dyDescent="0.25">
      <c r="A443" t="s">
        <v>12</v>
      </c>
      <c r="B443" s="1">
        <v>42186</v>
      </c>
      <c r="C443">
        <v>167798</v>
      </c>
      <c r="D443">
        <v>1019562376098.83</v>
      </c>
      <c r="E443">
        <v>654.43698267178399</v>
      </c>
      <c r="U443" t="s">
        <v>12</v>
      </c>
      <c r="V443" s="1">
        <v>42186</v>
      </c>
      <c r="W443">
        <v>167798</v>
      </c>
      <c r="X443">
        <v>1019562376098.83</v>
      </c>
      <c r="Y443">
        <v>636.906754672788</v>
      </c>
    </row>
    <row r="444" spans="1:25" x14ac:dyDescent="0.25">
      <c r="A444" t="s">
        <v>13</v>
      </c>
      <c r="B444" s="1">
        <v>42186</v>
      </c>
      <c r="C444">
        <v>1310</v>
      </c>
      <c r="D444">
        <v>25818891940.32</v>
      </c>
      <c r="E444">
        <v>152.16094921991299</v>
      </c>
      <c r="U444" t="s">
        <v>13</v>
      </c>
      <c r="V444" s="1">
        <v>42186</v>
      </c>
      <c r="W444">
        <v>1310</v>
      </c>
      <c r="X444">
        <v>25818891940.32</v>
      </c>
      <c r="Y444">
        <v>152.261643219289</v>
      </c>
    </row>
    <row r="445" spans="1:25" x14ac:dyDescent="0.25">
      <c r="A445" t="s">
        <v>14</v>
      </c>
      <c r="B445" s="1">
        <v>42186</v>
      </c>
      <c r="C445">
        <v>3719</v>
      </c>
      <c r="D445">
        <v>33796473274.419998</v>
      </c>
      <c r="E445">
        <v>76.533861433394904</v>
      </c>
      <c r="U445" t="s">
        <v>14</v>
      </c>
      <c r="V445" s="1">
        <v>42186</v>
      </c>
      <c r="W445">
        <v>3719</v>
      </c>
      <c r="X445">
        <v>33796473274.419998</v>
      </c>
      <c r="Y445">
        <v>81.263811608769004</v>
      </c>
    </row>
    <row r="446" spans="1:25" x14ac:dyDescent="0.25">
      <c r="A446" t="s">
        <v>15</v>
      </c>
      <c r="B446" s="1">
        <v>42186</v>
      </c>
      <c r="C446">
        <v>2270</v>
      </c>
      <c r="D446">
        <v>24378497038.580002</v>
      </c>
      <c r="E446">
        <v>12.7066424913356</v>
      </c>
      <c r="U446" t="s">
        <v>15</v>
      </c>
      <c r="V446" s="1">
        <v>42186</v>
      </c>
      <c r="W446">
        <v>2270</v>
      </c>
      <c r="X446">
        <v>24378497038.580002</v>
      </c>
      <c r="Y446">
        <v>13.573739601372999</v>
      </c>
    </row>
    <row r="447" spans="1:25" x14ac:dyDescent="0.25">
      <c r="A447" t="s">
        <v>12</v>
      </c>
      <c r="B447" s="1">
        <v>42217</v>
      </c>
      <c r="C447">
        <v>167714</v>
      </c>
      <c r="D447">
        <v>1026217511319.16</v>
      </c>
      <c r="E447">
        <v>646.87389067944696</v>
      </c>
      <c r="U447" t="s">
        <v>12</v>
      </c>
      <c r="V447" s="1">
        <v>42217</v>
      </c>
      <c r="W447">
        <v>167714</v>
      </c>
      <c r="X447">
        <v>1026217511319.16</v>
      </c>
      <c r="Y447">
        <v>629.45496636714699</v>
      </c>
    </row>
    <row r="448" spans="1:25" x14ac:dyDescent="0.25">
      <c r="A448" t="s">
        <v>13</v>
      </c>
      <c r="B448" s="1">
        <v>42217</v>
      </c>
      <c r="C448">
        <v>1325</v>
      </c>
      <c r="D448">
        <v>26605889107.439999</v>
      </c>
      <c r="E448">
        <v>151.83298175804001</v>
      </c>
      <c r="U448" t="s">
        <v>13</v>
      </c>
      <c r="V448" s="1">
        <v>42217</v>
      </c>
      <c r="W448">
        <v>1325</v>
      </c>
      <c r="X448">
        <v>26605889107.439999</v>
      </c>
      <c r="Y448">
        <v>151.94373391475699</v>
      </c>
    </row>
    <row r="449" spans="1:25" x14ac:dyDescent="0.25">
      <c r="A449" t="s">
        <v>14</v>
      </c>
      <c r="B449" s="1">
        <v>42217</v>
      </c>
      <c r="C449">
        <v>3743</v>
      </c>
      <c r="D449">
        <v>33433534762.73</v>
      </c>
      <c r="E449">
        <v>79.818333784383697</v>
      </c>
      <c r="U449" t="s">
        <v>14</v>
      </c>
      <c r="V449" s="1">
        <v>42217</v>
      </c>
      <c r="W449">
        <v>3743</v>
      </c>
      <c r="X449">
        <v>33433534762.73</v>
      </c>
      <c r="Y449">
        <v>85.242041140274694</v>
      </c>
    </row>
    <row r="450" spans="1:25" x14ac:dyDescent="0.25">
      <c r="A450" t="s">
        <v>15</v>
      </c>
      <c r="B450" s="1">
        <v>42217</v>
      </c>
      <c r="C450">
        <v>2283</v>
      </c>
      <c r="D450">
        <v>24214652965.389999</v>
      </c>
      <c r="E450">
        <v>12.8987458830186</v>
      </c>
      <c r="U450" t="s">
        <v>15</v>
      </c>
      <c r="V450" s="1">
        <v>42217</v>
      </c>
      <c r="W450">
        <v>2283</v>
      </c>
      <c r="X450">
        <v>24214652965.389999</v>
      </c>
      <c r="Y450">
        <v>13.8655024322856</v>
      </c>
    </row>
    <row r="451" spans="1:25" x14ac:dyDescent="0.25">
      <c r="A451" t="s">
        <v>12</v>
      </c>
      <c r="B451" s="1">
        <v>42248</v>
      </c>
      <c r="C451">
        <v>167792</v>
      </c>
      <c r="D451">
        <v>1030442115796.87</v>
      </c>
      <c r="E451">
        <v>643.82448734262402</v>
      </c>
      <c r="U451" t="s">
        <v>12</v>
      </c>
      <c r="V451" s="1">
        <v>42248</v>
      </c>
      <c r="W451">
        <v>167792</v>
      </c>
      <c r="X451">
        <v>1030442115796.87</v>
      </c>
      <c r="Y451">
        <v>626.09512299882704</v>
      </c>
    </row>
    <row r="452" spans="1:25" x14ac:dyDescent="0.25">
      <c r="A452" t="s">
        <v>13</v>
      </c>
      <c r="B452" s="1">
        <v>42248</v>
      </c>
      <c r="C452">
        <v>1343</v>
      </c>
      <c r="D452">
        <v>27200307893.240002</v>
      </c>
      <c r="E452">
        <v>150.486324092102</v>
      </c>
      <c r="U452" t="s">
        <v>13</v>
      </c>
      <c r="V452" s="1">
        <v>42248</v>
      </c>
      <c r="W452">
        <v>1343</v>
      </c>
      <c r="X452">
        <v>27200307893.240002</v>
      </c>
      <c r="Y452">
        <v>150.68962704582501</v>
      </c>
    </row>
    <row r="453" spans="1:25" x14ac:dyDescent="0.25">
      <c r="A453" t="s">
        <v>14</v>
      </c>
      <c r="B453" s="1">
        <v>42248</v>
      </c>
      <c r="C453">
        <v>3765</v>
      </c>
      <c r="D453">
        <v>33062256579.619999</v>
      </c>
      <c r="E453">
        <v>84.757331726423203</v>
      </c>
      <c r="U453" t="s">
        <v>14</v>
      </c>
      <c r="V453" s="1">
        <v>42248</v>
      </c>
      <c r="W453">
        <v>3765</v>
      </c>
      <c r="X453">
        <v>33062256579.619999</v>
      </c>
      <c r="Y453">
        <v>91.078579102985699</v>
      </c>
    </row>
    <row r="454" spans="1:25" x14ac:dyDescent="0.25">
      <c r="A454" t="s">
        <v>15</v>
      </c>
      <c r="B454" s="1">
        <v>42248</v>
      </c>
      <c r="C454">
        <v>2300</v>
      </c>
      <c r="D454">
        <v>24053767752.169998</v>
      </c>
      <c r="E454">
        <v>13.3333461824501</v>
      </c>
      <c r="U454" t="s">
        <v>15</v>
      </c>
      <c r="V454" s="1">
        <v>42248</v>
      </c>
      <c r="W454">
        <v>2300</v>
      </c>
      <c r="X454">
        <v>24053767752.169998</v>
      </c>
      <c r="Y454">
        <v>14.454780826713799</v>
      </c>
    </row>
    <row r="455" spans="1:25" x14ac:dyDescent="0.25">
      <c r="A455" t="s">
        <v>12</v>
      </c>
      <c r="B455" s="1">
        <v>42278</v>
      </c>
      <c r="C455">
        <v>167839</v>
      </c>
      <c r="D455">
        <v>1038047281338.8101</v>
      </c>
      <c r="E455">
        <v>639.98383388572699</v>
      </c>
      <c r="U455" t="s">
        <v>12</v>
      </c>
      <c r="V455" s="1">
        <v>42278</v>
      </c>
      <c r="W455">
        <v>167839</v>
      </c>
      <c r="X455">
        <v>1038047281338.8101</v>
      </c>
      <c r="Y455">
        <v>621.97046728061696</v>
      </c>
    </row>
    <row r="456" spans="1:25" x14ac:dyDescent="0.25">
      <c r="A456" t="s">
        <v>13</v>
      </c>
      <c r="B456" s="1">
        <v>42278</v>
      </c>
      <c r="C456">
        <v>1349</v>
      </c>
      <c r="D456">
        <v>27438877892.049999</v>
      </c>
      <c r="E456">
        <v>152.019224869585</v>
      </c>
      <c r="U456" t="s">
        <v>13</v>
      </c>
      <c r="V456" s="1">
        <v>42278</v>
      </c>
      <c r="W456">
        <v>1349</v>
      </c>
      <c r="X456">
        <v>27438877892.049999</v>
      </c>
      <c r="Y456">
        <v>152.287315019088</v>
      </c>
    </row>
    <row r="457" spans="1:25" x14ac:dyDescent="0.25">
      <c r="A457" t="s">
        <v>14</v>
      </c>
      <c r="B457" s="1">
        <v>42278</v>
      </c>
      <c r="C457">
        <v>3785</v>
      </c>
      <c r="D457">
        <v>32745329977.57</v>
      </c>
      <c r="E457">
        <v>89.849443309928006</v>
      </c>
      <c r="U457" t="s">
        <v>14</v>
      </c>
      <c r="V457" s="1">
        <v>42278</v>
      </c>
      <c r="W457">
        <v>3785</v>
      </c>
      <c r="X457">
        <v>32745329977.57</v>
      </c>
      <c r="Y457">
        <v>97.063138516555895</v>
      </c>
    </row>
    <row r="458" spans="1:25" x14ac:dyDescent="0.25">
      <c r="A458" t="s">
        <v>15</v>
      </c>
      <c r="B458" s="1">
        <v>42278</v>
      </c>
      <c r="C458">
        <v>2317</v>
      </c>
      <c r="D458">
        <v>23899278644.869999</v>
      </c>
      <c r="E458">
        <v>13.841712235909901</v>
      </c>
      <c r="U458" t="s">
        <v>15</v>
      </c>
      <c r="V458" s="1">
        <v>42278</v>
      </c>
      <c r="W458">
        <v>2317</v>
      </c>
      <c r="X458">
        <v>23899278644.869999</v>
      </c>
      <c r="Y458">
        <v>15.1323766206334</v>
      </c>
    </row>
    <row r="459" spans="1:25" x14ac:dyDescent="0.25">
      <c r="A459" t="s">
        <v>12</v>
      </c>
      <c r="B459" s="1">
        <v>42309</v>
      </c>
      <c r="C459">
        <v>167892</v>
      </c>
      <c r="D459">
        <v>1044720986839.0699</v>
      </c>
      <c r="E459">
        <v>639.36412548450096</v>
      </c>
      <c r="U459" t="s">
        <v>12</v>
      </c>
      <c r="V459" s="1">
        <v>42309</v>
      </c>
      <c r="W459">
        <v>167892</v>
      </c>
      <c r="X459">
        <v>1044720986839.0699</v>
      </c>
      <c r="Y459">
        <v>621.01821855342905</v>
      </c>
    </row>
    <row r="460" spans="1:25" x14ac:dyDescent="0.25">
      <c r="A460" t="s">
        <v>13</v>
      </c>
      <c r="B460" s="1">
        <v>42309</v>
      </c>
      <c r="C460">
        <v>1359</v>
      </c>
      <c r="D460">
        <v>27643915578</v>
      </c>
      <c r="E460">
        <v>155.188663665165</v>
      </c>
      <c r="U460" t="s">
        <v>13</v>
      </c>
      <c r="V460" s="1">
        <v>42309</v>
      </c>
      <c r="W460">
        <v>1359</v>
      </c>
      <c r="X460">
        <v>27643915578</v>
      </c>
      <c r="Y460">
        <v>155.54576018808501</v>
      </c>
    </row>
    <row r="461" spans="1:25" x14ac:dyDescent="0.25">
      <c r="A461" t="s">
        <v>14</v>
      </c>
      <c r="B461" s="1">
        <v>42309</v>
      </c>
      <c r="C461">
        <v>3805</v>
      </c>
      <c r="D461">
        <v>32422189268.450001</v>
      </c>
      <c r="E461">
        <v>96.043975802781105</v>
      </c>
      <c r="U461" t="s">
        <v>14</v>
      </c>
      <c r="V461" s="1">
        <v>42309</v>
      </c>
      <c r="W461">
        <v>3805</v>
      </c>
      <c r="X461">
        <v>32422189268.450001</v>
      </c>
      <c r="Y461">
        <v>104.305441499149</v>
      </c>
    </row>
    <row r="462" spans="1:25" x14ac:dyDescent="0.25">
      <c r="A462" t="s">
        <v>15</v>
      </c>
      <c r="B462" s="1">
        <v>42309</v>
      </c>
      <c r="C462">
        <v>2330</v>
      </c>
      <c r="D462">
        <v>23731834948.119999</v>
      </c>
      <c r="E462">
        <v>14.5633694128831</v>
      </c>
      <c r="U462" t="s">
        <v>15</v>
      </c>
      <c r="V462" s="1">
        <v>42309</v>
      </c>
      <c r="W462">
        <v>2330</v>
      </c>
      <c r="X462">
        <v>23731834948.119999</v>
      </c>
      <c r="Y462">
        <v>16.093079597532299</v>
      </c>
    </row>
    <row r="463" spans="1:25" x14ac:dyDescent="0.25">
      <c r="A463" t="s">
        <v>12</v>
      </c>
      <c r="B463" s="1">
        <v>42339</v>
      </c>
      <c r="C463">
        <v>167821</v>
      </c>
      <c r="D463">
        <v>1048282599235.3199</v>
      </c>
      <c r="E463">
        <v>637.31831129475597</v>
      </c>
      <c r="U463" t="s">
        <v>12</v>
      </c>
      <c r="V463" s="1">
        <v>42339</v>
      </c>
      <c r="W463">
        <v>167821</v>
      </c>
      <c r="X463">
        <v>1048282599235.3199</v>
      </c>
      <c r="Y463">
        <v>618.69121121969295</v>
      </c>
    </row>
    <row r="464" spans="1:25" x14ac:dyDescent="0.25">
      <c r="A464" t="s">
        <v>13</v>
      </c>
      <c r="B464" s="1">
        <v>42339</v>
      </c>
      <c r="C464">
        <v>1370</v>
      </c>
      <c r="D464">
        <v>27590487841.060001</v>
      </c>
      <c r="E464">
        <v>157.25453892572099</v>
      </c>
      <c r="U464" t="s">
        <v>13</v>
      </c>
      <c r="V464" s="1">
        <v>42339</v>
      </c>
      <c r="W464">
        <v>1370</v>
      </c>
      <c r="X464">
        <v>27590487841.060001</v>
      </c>
      <c r="Y464">
        <v>157.69179735467799</v>
      </c>
    </row>
    <row r="465" spans="1:25" x14ac:dyDescent="0.25">
      <c r="A465" t="s">
        <v>14</v>
      </c>
      <c r="B465" s="1">
        <v>42339</v>
      </c>
      <c r="C465">
        <v>3826</v>
      </c>
      <c r="D465">
        <v>32128512653.16</v>
      </c>
      <c r="E465">
        <v>100.750321012968</v>
      </c>
      <c r="U465" t="s">
        <v>14</v>
      </c>
      <c r="V465" s="1">
        <v>42339</v>
      </c>
      <c r="W465">
        <v>3826</v>
      </c>
      <c r="X465">
        <v>32128512653.16</v>
      </c>
      <c r="Y465">
        <v>109.791985074568</v>
      </c>
    </row>
    <row r="466" spans="1:25" x14ac:dyDescent="0.25">
      <c r="A466" t="s">
        <v>15</v>
      </c>
      <c r="B466" s="1">
        <v>42339</v>
      </c>
      <c r="C466">
        <v>2346</v>
      </c>
      <c r="D466">
        <v>23575272898.580002</v>
      </c>
      <c r="E466">
        <v>15.027267634079299</v>
      </c>
      <c r="U466" t="s">
        <v>15</v>
      </c>
      <c r="V466" s="1">
        <v>42339</v>
      </c>
      <c r="W466">
        <v>2346</v>
      </c>
      <c r="X466">
        <v>23575272898.580002</v>
      </c>
      <c r="Y466">
        <v>16.701669564007201</v>
      </c>
    </row>
    <row r="467" spans="1:25" x14ac:dyDescent="0.25">
      <c r="A467" t="s">
        <v>12</v>
      </c>
      <c r="B467" s="1">
        <v>42370</v>
      </c>
      <c r="C467">
        <v>167786</v>
      </c>
      <c r="D467">
        <v>1053135408462.49</v>
      </c>
      <c r="E467">
        <v>636.06150829973797</v>
      </c>
      <c r="U467" t="s">
        <v>12</v>
      </c>
      <c r="V467" s="1">
        <v>42370</v>
      </c>
      <c r="W467">
        <v>167786</v>
      </c>
      <c r="X467">
        <v>1053135408462.49</v>
      </c>
      <c r="Y467">
        <v>617.13466274150096</v>
      </c>
    </row>
    <row r="468" spans="1:25" x14ac:dyDescent="0.25">
      <c r="A468" t="s">
        <v>13</v>
      </c>
      <c r="B468" s="1">
        <v>42370</v>
      </c>
      <c r="C468">
        <v>1381</v>
      </c>
      <c r="D468">
        <v>27568864683.950001</v>
      </c>
      <c r="E468">
        <v>159.27709816264399</v>
      </c>
      <c r="U468" t="s">
        <v>13</v>
      </c>
      <c r="V468" s="1">
        <v>42370</v>
      </c>
      <c r="W468">
        <v>1381</v>
      </c>
      <c r="X468">
        <v>27568864683.950001</v>
      </c>
      <c r="Y468">
        <v>159.777193632668</v>
      </c>
    </row>
    <row r="469" spans="1:25" x14ac:dyDescent="0.25">
      <c r="A469" t="s">
        <v>14</v>
      </c>
      <c r="B469" s="1">
        <v>42370</v>
      </c>
      <c r="C469">
        <v>3844</v>
      </c>
      <c r="D469">
        <v>31855645561.09</v>
      </c>
      <c r="E469">
        <v>105.57354413035701</v>
      </c>
      <c r="U469" t="s">
        <v>14</v>
      </c>
      <c r="V469" s="1">
        <v>42370</v>
      </c>
      <c r="W469">
        <v>3844</v>
      </c>
      <c r="X469">
        <v>31855645561.09</v>
      </c>
      <c r="Y469">
        <v>115.35749610512001</v>
      </c>
    </row>
    <row r="470" spans="1:25" x14ac:dyDescent="0.25">
      <c r="A470" t="s">
        <v>15</v>
      </c>
      <c r="B470" s="1">
        <v>42370</v>
      </c>
      <c r="C470">
        <v>2356</v>
      </c>
      <c r="D470">
        <v>23422747348.59</v>
      </c>
      <c r="E470">
        <v>15.5544294112937</v>
      </c>
      <c r="U470" t="s">
        <v>15</v>
      </c>
      <c r="V470" s="1">
        <v>42370</v>
      </c>
      <c r="W470">
        <v>2356</v>
      </c>
      <c r="X470">
        <v>23422747348.59</v>
      </c>
      <c r="Y470">
        <v>17.379268024116602</v>
      </c>
    </row>
    <row r="471" spans="1:25" x14ac:dyDescent="0.25">
      <c r="A471" t="s">
        <v>12</v>
      </c>
      <c r="B471" s="1">
        <v>42401</v>
      </c>
      <c r="C471">
        <v>167674</v>
      </c>
      <c r="D471">
        <v>1056501759559.97</v>
      </c>
      <c r="E471">
        <v>635.72725812532201</v>
      </c>
      <c r="U471" t="s">
        <v>12</v>
      </c>
      <c r="V471" s="1">
        <v>42401</v>
      </c>
      <c r="W471">
        <v>167674</v>
      </c>
      <c r="X471">
        <v>1056501759559.97</v>
      </c>
      <c r="Y471">
        <v>616.50526343668798</v>
      </c>
    </row>
    <row r="472" spans="1:25" x14ac:dyDescent="0.25">
      <c r="A472" t="s">
        <v>13</v>
      </c>
      <c r="B472" s="1">
        <v>42401</v>
      </c>
      <c r="C472">
        <v>1390</v>
      </c>
      <c r="D472">
        <v>27574289474.23</v>
      </c>
      <c r="E472">
        <v>162.22992166855599</v>
      </c>
      <c r="U472" t="s">
        <v>13</v>
      </c>
      <c r="V472" s="1">
        <v>42401</v>
      </c>
      <c r="W472">
        <v>1390</v>
      </c>
      <c r="X472">
        <v>27574289474.23</v>
      </c>
      <c r="Y472">
        <v>162.802181493804</v>
      </c>
    </row>
    <row r="473" spans="1:25" x14ac:dyDescent="0.25">
      <c r="A473" t="s">
        <v>14</v>
      </c>
      <c r="B473" s="1">
        <v>42401</v>
      </c>
      <c r="C473">
        <v>3860</v>
      </c>
      <c r="D473">
        <v>31546738579.189999</v>
      </c>
      <c r="E473">
        <v>111.02657349937</v>
      </c>
      <c r="U473" t="s">
        <v>14</v>
      </c>
      <c r="V473" s="1">
        <v>42401</v>
      </c>
      <c r="W473">
        <v>3860</v>
      </c>
      <c r="X473">
        <v>31546738579.189999</v>
      </c>
      <c r="Y473">
        <v>121.67850664517201</v>
      </c>
    </row>
    <row r="474" spans="1:25" x14ac:dyDescent="0.25">
      <c r="A474" t="s">
        <v>15</v>
      </c>
      <c r="B474" s="1">
        <v>42401</v>
      </c>
      <c r="C474">
        <v>2368</v>
      </c>
      <c r="D474">
        <v>23264052426.27</v>
      </c>
      <c r="E474">
        <v>16.2718955447111</v>
      </c>
      <c r="U474" t="s">
        <v>15</v>
      </c>
      <c r="V474" s="1">
        <v>42401</v>
      </c>
      <c r="W474">
        <v>2368</v>
      </c>
      <c r="X474">
        <v>23264052426.27</v>
      </c>
      <c r="Y474">
        <v>18.2989514635855</v>
      </c>
    </row>
    <row r="475" spans="1:25" x14ac:dyDescent="0.25">
      <c r="A475" t="s">
        <v>12</v>
      </c>
      <c r="B475" s="1">
        <v>42430</v>
      </c>
      <c r="C475">
        <v>167654</v>
      </c>
      <c r="D475">
        <v>1061253383982.33</v>
      </c>
      <c r="E475">
        <v>641.05199043084201</v>
      </c>
      <c r="U475" t="s">
        <v>12</v>
      </c>
      <c r="V475" s="1">
        <v>42430</v>
      </c>
      <c r="W475">
        <v>167654</v>
      </c>
      <c r="X475">
        <v>1061253383982.33</v>
      </c>
      <c r="Y475">
        <v>621.40523994562602</v>
      </c>
    </row>
    <row r="476" spans="1:25" x14ac:dyDescent="0.25">
      <c r="A476" t="s">
        <v>13</v>
      </c>
      <c r="B476" s="1">
        <v>42430</v>
      </c>
      <c r="C476">
        <v>1399</v>
      </c>
      <c r="D476">
        <v>27584171144.939999</v>
      </c>
      <c r="E476">
        <v>170.30852536124999</v>
      </c>
      <c r="U476" t="s">
        <v>13</v>
      </c>
      <c r="V476" s="1">
        <v>42430</v>
      </c>
      <c r="W476">
        <v>1399</v>
      </c>
      <c r="X476">
        <v>27584171144.939999</v>
      </c>
      <c r="Y476">
        <v>170.97580416589699</v>
      </c>
    </row>
    <row r="477" spans="1:25" x14ac:dyDescent="0.25">
      <c r="A477" t="s">
        <v>14</v>
      </c>
      <c r="B477" s="1">
        <v>42430</v>
      </c>
      <c r="C477">
        <v>3880</v>
      </c>
      <c r="D477">
        <v>31316354843.400002</v>
      </c>
      <c r="E477">
        <v>119.311513820781</v>
      </c>
      <c r="U477" t="s">
        <v>14</v>
      </c>
      <c r="V477" s="1">
        <v>42430</v>
      </c>
      <c r="W477">
        <v>3880</v>
      </c>
      <c r="X477">
        <v>31316354843.400002</v>
      </c>
      <c r="Y477">
        <v>131.22804906668199</v>
      </c>
    </row>
    <row r="478" spans="1:25" x14ac:dyDescent="0.25">
      <c r="A478" t="s">
        <v>15</v>
      </c>
      <c r="B478" s="1">
        <v>42430</v>
      </c>
      <c r="C478">
        <v>2380</v>
      </c>
      <c r="D478">
        <v>23130415817.330002</v>
      </c>
      <c r="E478">
        <v>17.657624323877201</v>
      </c>
      <c r="U478" t="s">
        <v>15</v>
      </c>
      <c r="V478" s="1">
        <v>42430</v>
      </c>
      <c r="W478">
        <v>2380</v>
      </c>
      <c r="X478">
        <v>23130415817.330002</v>
      </c>
      <c r="Y478">
        <v>20.0940807698451</v>
      </c>
    </row>
    <row r="479" spans="1:25" x14ac:dyDescent="0.25">
      <c r="A479" t="s">
        <v>12</v>
      </c>
      <c r="B479" s="1">
        <v>42461</v>
      </c>
      <c r="C479">
        <v>167751</v>
      </c>
      <c r="D479">
        <v>1067579655967.17</v>
      </c>
      <c r="E479">
        <v>646.13716997658798</v>
      </c>
      <c r="U479" t="s">
        <v>12</v>
      </c>
      <c r="V479" s="1">
        <v>42461</v>
      </c>
      <c r="W479">
        <v>167751</v>
      </c>
      <c r="X479">
        <v>1067579655967.17</v>
      </c>
      <c r="Y479">
        <v>625.99994313622506</v>
      </c>
    </row>
    <row r="480" spans="1:25" x14ac:dyDescent="0.25">
      <c r="A480" t="s">
        <v>13</v>
      </c>
      <c r="B480" s="1">
        <v>42461</v>
      </c>
      <c r="C480">
        <v>1410</v>
      </c>
      <c r="D480">
        <v>27476452096.830002</v>
      </c>
      <c r="E480">
        <v>179.68182477963799</v>
      </c>
      <c r="U480" t="s">
        <v>13</v>
      </c>
      <c r="V480" s="1">
        <v>42461</v>
      </c>
      <c r="W480">
        <v>1410</v>
      </c>
      <c r="X480">
        <v>27476452096.830002</v>
      </c>
      <c r="Y480">
        <v>180.341965911524</v>
      </c>
    </row>
    <row r="481" spans="1:25" x14ac:dyDescent="0.25">
      <c r="A481" t="s">
        <v>14</v>
      </c>
      <c r="B481" s="1">
        <v>42461</v>
      </c>
      <c r="C481">
        <v>3899</v>
      </c>
      <c r="D481">
        <v>31082070181.849998</v>
      </c>
      <c r="E481">
        <v>129.213215687396</v>
      </c>
      <c r="U481" t="s">
        <v>14</v>
      </c>
      <c r="V481" s="1">
        <v>42461</v>
      </c>
      <c r="W481">
        <v>3899</v>
      </c>
      <c r="X481">
        <v>31082070181.849998</v>
      </c>
      <c r="Y481">
        <v>142.430999768324</v>
      </c>
    </row>
    <row r="482" spans="1:25" x14ac:dyDescent="0.25">
      <c r="A482" t="s">
        <v>15</v>
      </c>
      <c r="B482" s="1">
        <v>42461</v>
      </c>
      <c r="C482">
        <v>2389</v>
      </c>
      <c r="D482">
        <v>22980966819.959999</v>
      </c>
      <c r="E482">
        <v>19.8095524805182</v>
      </c>
      <c r="U482" t="s">
        <v>15</v>
      </c>
      <c r="V482" s="1">
        <v>42461</v>
      </c>
      <c r="W482">
        <v>2389</v>
      </c>
      <c r="X482">
        <v>22980966819.959999</v>
      </c>
      <c r="Y482">
        <v>22.675560615785098</v>
      </c>
    </row>
    <row r="483" spans="1:25" x14ac:dyDescent="0.25">
      <c r="A483" t="s">
        <v>12</v>
      </c>
      <c r="B483" s="1">
        <v>42491</v>
      </c>
      <c r="C483">
        <v>167864</v>
      </c>
      <c r="D483">
        <v>1070487060722.62</v>
      </c>
      <c r="E483">
        <v>652.08162898713601</v>
      </c>
      <c r="U483" t="s">
        <v>12</v>
      </c>
      <c r="V483" s="1">
        <v>42491</v>
      </c>
      <c r="W483">
        <v>167864</v>
      </c>
      <c r="X483">
        <v>1070487060722.62</v>
      </c>
      <c r="Y483">
        <v>631.38287267109195</v>
      </c>
    </row>
    <row r="484" spans="1:25" x14ac:dyDescent="0.25">
      <c r="A484" t="s">
        <v>13</v>
      </c>
      <c r="B484" s="1">
        <v>42491</v>
      </c>
      <c r="C484">
        <v>1421</v>
      </c>
      <c r="D484">
        <v>27342767829.869999</v>
      </c>
      <c r="E484">
        <v>187.899641777255</v>
      </c>
      <c r="U484" t="s">
        <v>13</v>
      </c>
      <c r="V484" s="1">
        <v>42491</v>
      </c>
      <c r="W484">
        <v>1421</v>
      </c>
      <c r="X484">
        <v>27342767829.869999</v>
      </c>
      <c r="Y484">
        <v>188.53412431708799</v>
      </c>
    </row>
    <row r="485" spans="1:25" x14ac:dyDescent="0.25">
      <c r="A485" t="s">
        <v>14</v>
      </c>
      <c r="B485" s="1">
        <v>42491</v>
      </c>
      <c r="C485">
        <v>3913</v>
      </c>
      <c r="D485">
        <v>30768767902.790001</v>
      </c>
      <c r="E485">
        <v>139.91761879338</v>
      </c>
      <c r="U485" t="s">
        <v>14</v>
      </c>
      <c r="V485" s="1">
        <v>42491</v>
      </c>
      <c r="W485">
        <v>3913</v>
      </c>
      <c r="X485">
        <v>30768767902.790001</v>
      </c>
      <c r="Y485">
        <v>154.51196260111499</v>
      </c>
    </row>
    <row r="486" spans="1:25" x14ac:dyDescent="0.25">
      <c r="A486" t="s">
        <v>15</v>
      </c>
      <c r="B486" s="1">
        <v>42491</v>
      </c>
      <c r="C486">
        <v>2400</v>
      </c>
      <c r="D486">
        <v>22785497201.860001</v>
      </c>
      <c r="E486">
        <v>22.253275891662302</v>
      </c>
      <c r="U486" t="s">
        <v>15</v>
      </c>
      <c r="V486" s="1">
        <v>42491</v>
      </c>
      <c r="W486">
        <v>2400</v>
      </c>
      <c r="X486">
        <v>22785497201.860001</v>
      </c>
      <c r="Y486">
        <v>25.6083416930366</v>
      </c>
    </row>
    <row r="487" spans="1:25" x14ac:dyDescent="0.25">
      <c r="A487" t="s">
        <v>12</v>
      </c>
      <c r="B487" s="1">
        <v>42522</v>
      </c>
      <c r="C487">
        <v>167910</v>
      </c>
      <c r="D487">
        <v>1077001935757.76</v>
      </c>
      <c r="E487">
        <v>655.78438859935795</v>
      </c>
      <c r="U487" t="s">
        <v>12</v>
      </c>
      <c r="V487" s="1">
        <v>42522</v>
      </c>
      <c r="W487">
        <v>167910</v>
      </c>
      <c r="X487">
        <v>1077001935757.76</v>
      </c>
      <c r="Y487">
        <v>634.56144491735404</v>
      </c>
    </row>
    <row r="488" spans="1:25" x14ac:dyDescent="0.25">
      <c r="A488" t="s">
        <v>13</v>
      </c>
      <c r="B488" s="1">
        <v>42522</v>
      </c>
      <c r="C488">
        <v>1438</v>
      </c>
      <c r="D488">
        <v>27468235077.57</v>
      </c>
      <c r="E488">
        <v>194.65479115404401</v>
      </c>
      <c r="U488" t="s">
        <v>13</v>
      </c>
      <c r="V488" s="1">
        <v>42522</v>
      </c>
      <c r="W488">
        <v>1438</v>
      </c>
      <c r="X488">
        <v>27468235077.57</v>
      </c>
      <c r="Y488">
        <v>195.25487357757001</v>
      </c>
    </row>
    <row r="489" spans="1:25" x14ac:dyDescent="0.25">
      <c r="A489" t="s">
        <v>14</v>
      </c>
      <c r="B489" s="1">
        <v>42522</v>
      </c>
      <c r="C489">
        <v>3929</v>
      </c>
      <c r="D489">
        <v>30396299066.889999</v>
      </c>
      <c r="E489">
        <v>150.98985776010099</v>
      </c>
      <c r="U489" t="s">
        <v>14</v>
      </c>
      <c r="V489" s="1">
        <v>42522</v>
      </c>
      <c r="W489">
        <v>3929</v>
      </c>
      <c r="X489">
        <v>30396299066.889999</v>
      </c>
      <c r="Y489">
        <v>166.98620583652601</v>
      </c>
    </row>
    <row r="490" spans="1:25" x14ac:dyDescent="0.25">
      <c r="A490" t="s">
        <v>15</v>
      </c>
      <c r="B490" s="1">
        <v>42522</v>
      </c>
      <c r="C490">
        <v>2409</v>
      </c>
      <c r="D490">
        <v>22590823732.130001</v>
      </c>
      <c r="E490">
        <v>24.961854230278401</v>
      </c>
      <c r="U490" t="s">
        <v>15</v>
      </c>
      <c r="V490" s="1">
        <v>42522</v>
      </c>
      <c r="W490">
        <v>2409</v>
      </c>
      <c r="X490">
        <v>22590823732.130001</v>
      </c>
      <c r="Y490">
        <v>28.836288966898401</v>
      </c>
    </row>
    <row r="491" spans="1:25" x14ac:dyDescent="0.25">
      <c r="A491" t="s">
        <v>12</v>
      </c>
      <c r="B491" s="1">
        <v>42552</v>
      </c>
      <c r="C491">
        <v>167921</v>
      </c>
      <c r="D491">
        <v>1083261344979.64</v>
      </c>
      <c r="E491">
        <v>659.60578974607495</v>
      </c>
      <c r="U491" t="s">
        <v>12</v>
      </c>
      <c r="V491" s="1">
        <v>42552</v>
      </c>
      <c r="W491">
        <v>167921</v>
      </c>
      <c r="X491">
        <v>1083261344979.64</v>
      </c>
      <c r="Y491">
        <v>637.89670513216197</v>
      </c>
    </row>
    <row r="492" spans="1:25" x14ac:dyDescent="0.25">
      <c r="A492" t="s">
        <v>13</v>
      </c>
      <c r="B492" s="1">
        <v>42552</v>
      </c>
      <c r="C492">
        <v>1451</v>
      </c>
      <c r="D492">
        <v>27606640319.299999</v>
      </c>
      <c r="E492">
        <v>201.722884730521</v>
      </c>
      <c r="U492" t="s">
        <v>13</v>
      </c>
      <c r="V492" s="1">
        <v>42552</v>
      </c>
      <c r="W492">
        <v>1451</v>
      </c>
      <c r="X492">
        <v>27606640319.299999</v>
      </c>
      <c r="Y492">
        <v>202.2757448838</v>
      </c>
    </row>
    <row r="493" spans="1:25" x14ac:dyDescent="0.25">
      <c r="A493" t="s">
        <v>14</v>
      </c>
      <c r="B493" s="1">
        <v>42552</v>
      </c>
      <c r="C493">
        <v>3942</v>
      </c>
      <c r="D493">
        <v>30003341063.389999</v>
      </c>
      <c r="E493">
        <v>162.52788936444699</v>
      </c>
      <c r="U493" t="s">
        <v>14</v>
      </c>
      <c r="V493" s="1">
        <v>42552</v>
      </c>
      <c r="W493">
        <v>3942</v>
      </c>
      <c r="X493">
        <v>30003341063.389999</v>
      </c>
      <c r="Y493">
        <v>180.04480411282799</v>
      </c>
    </row>
    <row r="494" spans="1:25" x14ac:dyDescent="0.25">
      <c r="A494" t="s">
        <v>15</v>
      </c>
      <c r="B494" s="1">
        <v>42552</v>
      </c>
      <c r="C494">
        <v>2418</v>
      </c>
      <c r="D494">
        <v>22369714888.02</v>
      </c>
      <c r="E494">
        <v>27.8834436524258</v>
      </c>
      <c r="U494" t="s">
        <v>15</v>
      </c>
      <c r="V494" s="1">
        <v>42552</v>
      </c>
      <c r="W494">
        <v>2418</v>
      </c>
      <c r="X494">
        <v>22369714888.02</v>
      </c>
      <c r="Y494">
        <v>32.330064293103398</v>
      </c>
    </row>
    <row r="495" spans="1:25" x14ac:dyDescent="0.25">
      <c r="A495" t="s">
        <v>15</v>
      </c>
      <c r="B495" s="1">
        <v>42583</v>
      </c>
      <c r="C495">
        <v>2424</v>
      </c>
      <c r="D495">
        <v>22125367840.490002</v>
      </c>
      <c r="E495">
        <v>31.587489720957301</v>
      </c>
      <c r="U495" t="s">
        <v>15</v>
      </c>
      <c r="V495" s="1">
        <v>42583</v>
      </c>
      <c r="W495">
        <v>2424</v>
      </c>
      <c r="X495">
        <v>22125367840.490002</v>
      </c>
      <c r="Y495">
        <v>36.802092913701301</v>
      </c>
    </row>
    <row r="496" spans="1:25" x14ac:dyDescent="0.25">
      <c r="A496" t="s">
        <v>14</v>
      </c>
      <c r="B496" s="1">
        <v>42583</v>
      </c>
      <c r="C496">
        <v>3956</v>
      </c>
      <c r="D496">
        <v>29549554388.610001</v>
      </c>
      <c r="E496">
        <v>176.18903420951699</v>
      </c>
      <c r="U496" t="s">
        <v>14</v>
      </c>
      <c r="V496" s="1">
        <v>42583</v>
      </c>
      <c r="W496">
        <v>3956</v>
      </c>
      <c r="X496">
        <v>29549554388.610001</v>
      </c>
      <c r="Y496">
        <v>195.54587642704499</v>
      </c>
    </row>
    <row r="497" spans="1:25" x14ac:dyDescent="0.25">
      <c r="A497" t="s">
        <v>13</v>
      </c>
      <c r="B497" s="1">
        <v>42583</v>
      </c>
      <c r="C497">
        <v>1457</v>
      </c>
      <c r="D497">
        <v>27900162682.830002</v>
      </c>
      <c r="E497">
        <v>210.249613100224</v>
      </c>
      <c r="U497" t="s">
        <v>13</v>
      </c>
      <c r="V497" s="1">
        <v>42583</v>
      </c>
      <c r="W497">
        <v>1457</v>
      </c>
      <c r="X497">
        <v>27900162682.830002</v>
      </c>
      <c r="Y497">
        <v>210.75604837897899</v>
      </c>
    </row>
    <row r="498" spans="1:25" x14ac:dyDescent="0.25">
      <c r="A498" t="s">
        <v>12</v>
      </c>
      <c r="B498" s="1">
        <v>42583</v>
      </c>
      <c r="C498">
        <v>168004</v>
      </c>
      <c r="D498">
        <v>1092091052362.51</v>
      </c>
      <c r="E498">
        <v>664.220479628259</v>
      </c>
      <c r="U498" t="s">
        <v>12</v>
      </c>
      <c r="V498" s="1">
        <v>42583</v>
      </c>
      <c r="W498">
        <v>168004</v>
      </c>
      <c r="X498">
        <v>1092091052362.51</v>
      </c>
      <c r="Y498">
        <v>642.05309637272796</v>
      </c>
    </row>
    <row r="499" spans="1:25" x14ac:dyDescent="0.25">
      <c r="A499" t="s">
        <v>13</v>
      </c>
      <c r="B499" s="1">
        <v>42614</v>
      </c>
      <c r="C499">
        <v>1466</v>
      </c>
      <c r="D499">
        <v>27971451412.84</v>
      </c>
      <c r="E499">
        <v>219.94019230538399</v>
      </c>
      <c r="U499" t="s">
        <v>13</v>
      </c>
      <c r="V499" s="1">
        <v>42614</v>
      </c>
      <c r="W499">
        <v>1466</v>
      </c>
      <c r="X499">
        <v>27971451412.84</v>
      </c>
      <c r="Y499">
        <v>220.39773741091199</v>
      </c>
    </row>
    <row r="500" spans="1:25" x14ac:dyDescent="0.25">
      <c r="A500" t="s">
        <v>14</v>
      </c>
      <c r="B500" s="1">
        <v>42614</v>
      </c>
      <c r="C500">
        <v>3969</v>
      </c>
      <c r="D500">
        <v>29142169991.91</v>
      </c>
      <c r="E500">
        <v>189.854810700461</v>
      </c>
      <c r="U500" t="s">
        <v>14</v>
      </c>
      <c r="V500" s="1">
        <v>42614</v>
      </c>
      <c r="W500">
        <v>3969</v>
      </c>
      <c r="X500">
        <v>29142169991.91</v>
      </c>
      <c r="Y500">
        <v>211.01631225808299</v>
      </c>
    </row>
    <row r="501" spans="1:25" x14ac:dyDescent="0.25">
      <c r="A501" t="s">
        <v>15</v>
      </c>
      <c r="B501" s="1">
        <v>42614</v>
      </c>
      <c r="C501">
        <v>2433</v>
      </c>
      <c r="D501">
        <v>21895878252.380001</v>
      </c>
      <c r="E501">
        <v>35.262914280273002</v>
      </c>
      <c r="U501" t="s">
        <v>15</v>
      </c>
      <c r="V501" s="1">
        <v>42614</v>
      </c>
      <c r="W501">
        <v>2433</v>
      </c>
      <c r="X501">
        <v>21895878252.380001</v>
      </c>
      <c r="Y501">
        <v>41.232372315263497</v>
      </c>
    </row>
    <row r="502" spans="1:25" x14ac:dyDescent="0.25">
      <c r="A502" t="s">
        <v>12</v>
      </c>
      <c r="B502" s="1">
        <v>42614</v>
      </c>
      <c r="C502">
        <v>168203</v>
      </c>
      <c r="D502">
        <v>1104025679684.96</v>
      </c>
      <c r="E502">
        <v>667.74549805829201</v>
      </c>
      <c r="U502" t="s">
        <v>12</v>
      </c>
      <c r="V502" s="1">
        <v>42614</v>
      </c>
      <c r="W502">
        <v>168203</v>
      </c>
      <c r="X502">
        <v>1104025679684.96</v>
      </c>
      <c r="Y502">
        <v>645.20654956741203</v>
      </c>
    </row>
    <row r="503" spans="1:25" x14ac:dyDescent="0.25">
      <c r="A503" t="s">
        <v>15</v>
      </c>
      <c r="B503" s="1">
        <v>42644</v>
      </c>
      <c r="C503">
        <v>2450</v>
      </c>
      <c r="D503">
        <v>21624654083.630001</v>
      </c>
      <c r="E503">
        <v>38.608916468452499</v>
      </c>
      <c r="U503" t="s">
        <v>15</v>
      </c>
      <c r="V503" s="1">
        <v>42644</v>
      </c>
      <c r="W503">
        <v>2450</v>
      </c>
      <c r="X503">
        <v>21624654083.630001</v>
      </c>
      <c r="Y503">
        <v>45.276899326074798</v>
      </c>
    </row>
    <row r="504" spans="1:25" x14ac:dyDescent="0.25">
      <c r="A504" t="s">
        <v>12</v>
      </c>
      <c r="B504" s="1">
        <v>42644</v>
      </c>
      <c r="C504">
        <v>168323</v>
      </c>
      <c r="D504">
        <v>1112361826284.4299</v>
      </c>
      <c r="E504">
        <v>669.389418513603</v>
      </c>
      <c r="U504" t="s">
        <v>12</v>
      </c>
      <c r="V504" s="1">
        <v>42644</v>
      </c>
      <c r="W504">
        <v>168323</v>
      </c>
      <c r="X504">
        <v>1112361826284.4299</v>
      </c>
      <c r="Y504">
        <v>646.56014305045198</v>
      </c>
    </row>
    <row r="505" spans="1:25" x14ac:dyDescent="0.25">
      <c r="A505" t="s">
        <v>13</v>
      </c>
      <c r="B505" s="1">
        <v>42644</v>
      </c>
      <c r="C505">
        <v>1480</v>
      </c>
      <c r="D505">
        <v>28869997063.16</v>
      </c>
      <c r="E505">
        <v>219.792771245854</v>
      </c>
      <c r="U505" t="s">
        <v>13</v>
      </c>
      <c r="V505" s="1">
        <v>42644</v>
      </c>
      <c r="W505">
        <v>1480</v>
      </c>
      <c r="X505">
        <v>28869997063.16</v>
      </c>
      <c r="Y505">
        <v>220.16499832014901</v>
      </c>
    </row>
    <row r="506" spans="1:25" x14ac:dyDescent="0.25">
      <c r="A506" t="s">
        <v>14</v>
      </c>
      <c r="B506" s="1">
        <v>42644</v>
      </c>
      <c r="C506">
        <v>4021</v>
      </c>
      <c r="D506">
        <v>28689194494.099998</v>
      </c>
      <c r="E506">
        <v>203.35440348091299</v>
      </c>
      <c r="U506" t="s">
        <v>14</v>
      </c>
      <c r="V506" s="1">
        <v>42644</v>
      </c>
      <c r="W506">
        <v>4021</v>
      </c>
      <c r="X506">
        <v>28689194494.099998</v>
      </c>
      <c r="Y506">
        <v>226.25322462991701</v>
      </c>
    </row>
    <row r="507" spans="1:25" x14ac:dyDescent="0.25">
      <c r="A507" t="s">
        <v>14</v>
      </c>
      <c r="B507" s="1">
        <v>42675</v>
      </c>
      <c r="C507">
        <v>4029</v>
      </c>
      <c r="D507">
        <v>28226609271.43</v>
      </c>
      <c r="E507">
        <v>216.013611730528</v>
      </c>
      <c r="U507" t="s">
        <v>14</v>
      </c>
      <c r="V507" s="1">
        <v>42675</v>
      </c>
      <c r="W507">
        <v>4029</v>
      </c>
      <c r="X507">
        <v>28226609271.43</v>
      </c>
      <c r="Y507">
        <v>240.69797180399499</v>
      </c>
    </row>
    <row r="508" spans="1:25" x14ac:dyDescent="0.25">
      <c r="A508" t="s">
        <v>12</v>
      </c>
      <c r="B508" s="1">
        <v>42675</v>
      </c>
      <c r="C508">
        <v>168424</v>
      </c>
      <c r="D508">
        <v>1116503077854.0601</v>
      </c>
      <c r="E508">
        <v>673.33270063044495</v>
      </c>
      <c r="U508" t="s">
        <v>12</v>
      </c>
      <c r="V508" s="1">
        <v>42675</v>
      </c>
      <c r="W508">
        <v>168424</v>
      </c>
      <c r="X508">
        <v>1116503077854.0601</v>
      </c>
      <c r="Y508">
        <v>650.15620133660104</v>
      </c>
    </row>
    <row r="509" spans="1:25" x14ac:dyDescent="0.25">
      <c r="A509" t="s">
        <v>13</v>
      </c>
      <c r="B509" s="1">
        <v>42675</v>
      </c>
      <c r="C509">
        <v>1500</v>
      </c>
      <c r="D509">
        <v>29395439831.380001</v>
      </c>
      <c r="E509">
        <v>221.83472334656099</v>
      </c>
      <c r="U509" t="s">
        <v>13</v>
      </c>
      <c r="V509" s="1">
        <v>42675</v>
      </c>
      <c r="W509">
        <v>1500</v>
      </c>
      <c r="X509">
        <v>29395439831.380001</v>
      </c>
      <c r="Y509">
        <v>222.12154641094401</v>
      </c>
    </row>
    <row r="510" spans="1:25" x14ac:dyDescent="0.25">
      <c r="A510" t="s">
        <v>15</v>
      </c>
      <c r="B510" s="1">
        <v>42675</v>
      </c>
      <c r="C510">
        <v>2456</v>
      </c>
      <c r="D510">
        <v>21369812649.189999</v>
      </c>
      <c r="E510">
        <v>42.013950201748301</v>
      </c>
      <c r="U510" t="s">
        <v>15</v>
      </c>
      <c r="V510" s="1">
        <v>42675</v>
      </c>
      <c r="W510">
        <v>2456</v>
      </c>
      <c r="X510">
        <v>21369812649.189999</v>
      </c>
      <c r="Y510">
        <v>49.391057534399202</v>
      </c>
    </row>
  </sheetData>
  <pageMargins left="0.7" right="0.7" top="0.75" bottom="0.75" header="0.3" footer="0.3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515"/>
  <sheetViews>
    <sheetView tabSelected="1" workbookViewId="0">
      <selection activeCell="AC11" sqref="AC11"/>
    </sheetView>
  </sheetViews>
  <sheetFormatPr defaultRowHeight="15" x14ac:dyDescent="0.25"/>
  <cols>
    <col min="7" max="7" width="13.140625" bestFit="1" customWidth="1"/>
    <col min="8" max="8" width="14.85546875" customWidth="1"/>
    <col min="26" max="26" width="13.140625" bestFit="1" customWidth="1"/>
    <col min="27" max="27" width="14.85546875" customWidth="1"/>
  </cols>
  <sheetData>
    <row r="1" spans="1:38" x14ac:dyDescent="0.25">
      <c r="A1" t="s">
        <v>8</v>
      </c>
      <c r="B1" t="s">
        <v>2</v>
      </c>
      <c r="C1" t="s">
        <v>9</v>
      </c>
      <c r="D1" t="s">
        <v>26</v>
      </c>
      <c r="E1" t="s">
        <v>1</v>
      </c>
      <c r="G1" s="2" t="s">
        <v>8</v>
      </c>
      <c r="H1" t="s">
        <v>24</v>
      </c>
      <c r="T1" t="s">
        <v>8</v>
      </c>
      <c r="U1" t="s">
        <v>2</v>
      </c>
      <c r="V1" t="s">
        <v>9</v>
      </c>
      <c r="W1" t="s">
        <v>26</v>
      </c>
      <c r="X1" t="s">
        <v>1</v>
      </c>
      <c r="Z1" s="2" t="s">
        <v>8</v>
      </c>
      <c r="AA1" t="s">
        <v>24</v>
      </c>
    </row>
    <row r="2" spans="1:38" x14ac:dyDescent="0.25">
      <c r="A2" t="s">
        <v>23</v>
      </c>
      <c r="B2" s="1">
        <v>34366</v>
      </c>
      <c r="C2">
        <v>126636</v>
      </c>
      <c r="D2">
        <v>278490248452.07001</v>
      </c>
      <c r="E2">
        <v>251.95761077007899</v>
      </c>
      <c r="T2" t="s">
        <v>23</v>
      </c>
      <c r="U2" s="1">
        <v>34366</v>
      </c>
      <c r="V2">
        <v>126636</v>
      </c>
      <c r="W2">
        <v>278490248452.07001</v>
      </c>
      <c r="X2">
        <v>243.782375455493</v>
      </c>
      <c r="AF2" t="s">
        <v>28</v>
      </c>
      <c r="AH2" t="s">
        <v>29</v>
      </c>
      <c r="AK2" t="s">
        <v>29</v>
      </c>
    </row>
    <row r="3" spans="1:38" x14ac:dyDescent="0.25">
      <c r="A3" t="s">
        <v>23</v>
      </c>
      <c r="B3" s="1">
        <v>34394</v>
      </c>
      <c r="C3">
        <v>128266</v>
      </c>
      <c r="D3">
        <v>282050828421.97998</v>
      </c>
      <c r="E3">
        <v>249.509102676921</v>
      </c>
      <c r="G3" s="2" t="s">
        <v>16</v>
      </c>
      <c r="H3" t="s">
        <v>27</v>
      </c>
      <c r="T3" t="s">
        <v>23</v>
      </c>
      <c r="U3" s="1">
        <v>34394</v>
      </c>
      <c r="V3">
        <v>128266</v>
      </c>
      <c r="W3">
        <v>282050828421.97998</v>
      </c>
      <c r="X3">
        <v>234.482687009149</v>
      </c>
      <c r="Z3" s="2" t="s">
        <v>16</v>
      </c>
      <c r="AA3" t="s">
        <v>27</v>
      </c>
      <c r="AF3" t="s">
        <v>19</v>
      </c>
      <c r="AG3" t="s">
        <v>20</v>
      </c>
      <c r="AH3" t="s">
        <v>20</v>
      </c>
      <c r="AK3" t="s">
        <v>19</v>
      </c>
      <c r="AL3" t="s">
        <v>20</v>
      </c>
    </row>
    <row r="4" spans="1:38" x14ac:dyDescent="0.25">
      <c r="A4" t="s">
        <v>23</v>
      </c>
      <c r="B4" s="1">
        <v>34425</v>
      </c>
      <c r="C4">
        <v>129601</v>
      </c>
      <c r="D4">
        <v>283874201256.09003</v>
      </c>
      <c r="E4">
        <v>245.31635729751301</v>
      </c>
      <c r="G4" s="3">
        <v>40118</v>
      </c>
      <c r="H4" s="5">
        <v>1.4505423323001101</v>
      </c>
      <c r="T4" t="s">
        <v>23</v>
      </c>
      <c r="U4" s="1">
        <v>34425</v>
      </c>
      <c r="V4">
        <v>129601</v>
      </c>
      <c r="W4">
        <v>283874201256.09003</v>
      </c>
      <c r="X4">
        <v>226.24896811246401</v>
      </c>
      <c r="Z4" s="3">
        <v>40118</v>
      </c>
      <c r="AA4" s="5">
        <v>0</v>
      </c>
      <c r="AB4" s="5"/>
      <c r="AE4" s="3">
        <v>41640</v>
      </c>
      <c r="AF4" s="5">
        <v>650.314789073052</v>
      </c>
      <c r="AG4" s="5">
        <v>559.75469552969196</v>
      </c>
      <c r="AH4" s="5">
        <f>VLOOKUP(AE4,AJ:AL,3,0)</f>
        <v>667.01982260955003</v>
      </c>
      <c r="AJ4" s="3">
        <v>34366</v>
      </c>
      <c r="AK4" s="5">
        <v>145.28415275439301</v>
      </c>
      <c r="AL4" s="5">
        <v>145.22714241190499</v>
      </c>
    </row>
    <row r="5" spans="1:38" x14ac:dyDescent="0.25">
      <c r="A5" t="s">
        <v>23</v>
      </c>
      <c r="B5" s="1">
        <v>34455</v>
      </c>
      <c r="C5">
        <v>130768</v>
      </c>
      <c r="D5">
        <v>284752896061.91998</v>
      </c>
      <c r="E5">
        <v>236.85925271316401</v>
      </c>
      <c r="G5" s="3">
        <v>40148</v>
      </c>
      <c r="H5" s="5">
        <v>0.48012526158338997</v>
      </c>
      <c r="T5" t="s">
        <v>23</v>
      </c>
      <c r="U5" s="1">
        <v>34455</v>
      </c>
      <c r="V5">
        <v>130768</v>
      </c>
      <c r="W5">
        <v>284752896061.91998</v>
      </c>
      <c r="X5">
        <v>215.93708971184401</v>
      </c>
      <c r="Z5" s="3">
        <v>40148</v>
      </c>
      <c r="AA5" s="5">
        <v>0</v>
      </c>
      <c r="AB5" s="5"/>
      <c r="AE5" s="3">
        <v>41671</v>
      </c>
      <c r="AF5" s="5">
        <v>728.03734240114397</v>
      </c>
      <c r="AG5" s="5">
        <v>716.28152810165398</v>
      </c>
      <c r="AH5" s="5">
        <f t="shared" ref="AH5:AH68" si="0">VLOOKUP(AE5,AJ:AL,3,0)</f>
        <v>659.56092025686905</v>
      </c>
      <c r="AJ5" s="3">
        <v>34394</v>
      </c>
      <c r="AK5" s="5">
        <v>143.04177464678699</v>
      </c>
      <c r="AL5" s="5">
        <v>142.93933441880901</v>
      </c>
    </row>
    <row r="6" spans="1:38" x14ac:dyDescent="0.25">
      <c r="A6" t="s">
        <v>23</v>
      </c>
      <c r="B6" s="1">
        <v>34486</v>
      </c>
      <c r="C6">
        <v>131996</v>
      </c>
      <c r="D6">
        <v>287122056681.57001</v>
      </c>
      <c r="E6">
        <v>229.56331144655701</v>
      </c>
      <c r="G6" s="3">
        <v>40179</v>
      </c>
      <c r="H6" s="5">
        <v>0.32101831082899901</v>
      </c>
      <c r="T6" t="s">
        <v>23</v>
      </c>
      <c r="U6" s="1">
        <v>34486</v>
      </c>
      <c r="V6">
        <v>131996</v>
      </c>
      <c r="W6">
        <v>287122056681.57001</v>
      </c>
      <c r="X6">
        <v>207.26682714751999</v>
      </c>
      <c r="Z6" s="3">
        <v>40179</v>
      </c>
      <c r="AA6" s="5">
        <v>0</v>
      </c>
      <c r="AB6" s="5"/>
      <c r="AE6" s="3">
        <v>41699</v>
      </c>
      <c r="AF6" s="5">
        <v>725.03162263204797</v>
      </c>
      <c r="AG6" s="5">
        <v>711.27184434424396</v>
      </c>
      <c r="AH6" s="5">
        <f t="shared" si="0"/>
        <v>655.34296464728595</v>
      </c>
      <c r="AJ6" s="3">
        <v>34425</v>
      </c>
      <c r="AK6" s="5">
        <v>137.08415312611999</v>
      </c>
      <c r="AL6" s="5">
        <v>136.982734237833</v>
      </c>
    </row>
    <row r="7" spans="1:38" x14ac:dyDescent="0.25">
      <c r="A7" t="s">
        <v>23</v>
      </c>
      <c r="B7" s="1">
        <v>34516</v>
      </c>
      <c r="C7">
        <v>133140</v>
      </c>
      <c r="D7">
        <v>288919754101.73999</v>
      </c>
      <c r="E7">
        <v>224.50622372526701</v>
      </c>
      <c r="G7" s="3">
        <v>40210</v>
      </c>
      <c r="H7" s="5">
        <v>0.225581910670488</v>
      </c>
      <c r="T7" t="s">
        <v>23</v>
      </c>
      <c r="U7" s="1">
        <v>34516</v>
      </c>
      <c r="V7">
        <v>133140</v>
      </c>
      <c r="W7">
        <v>288919754101.73999</v>
      </c>
      <c r="X7">
        <v>200.515806902729</v>
      </c>
      <c r="Z7" s="3">
        <v>40210</v>
      </c>
      <c r="AA7" s="5">
        <v>0</v>
      </c>
      <c r="AB7" s="5"/>
      <c r="AE7" s="3">
        <v>41730</v>
      </c>
      <c r="AF7" s="5">
        <v>723.51470141795005</v>
      </c>
      <c r="AG7" s="5">
        <v>706.94895303444798</v>
      </c>
      <c r="AH7" s="5">
        <f t="shared" si="0"/>
        <v>653.58111716835697</v>
      </c>
      <c r="AJ7" s="3">
        <v>34516</v>
      </c>
      <c r="AK7" s="5">
        <v>118.361236377689</v>
      </c>
      <c r="AL7" s="5">
        <v>118.26681724606399</v>
      </c>
    </row>
    <row r="8" spans="1:38" x14ac:dyDescent="0.25">
      <c r="A8" t="s">
        <v>23</v>
      </c>
      <c r="B8" s="1">
        <v>34547</v>
      </c>
      <c r="C8">
        <v>134153</v>
      </c>
      <c r="D8">
        <v>290640645437.90997</v>
      </c>
      <c r="E8">
        <v>220.363399617065</v>
      </c>
      <c r="G8" s="3">
        <v>40238</v>
      </c>
      <c r="H8" s="5">
        <v>0.18571924640176299</v>
      </c>
      <c r="T8" t="s">
        <v>23</v>
      </c>
      <c r="U8" s="1">
        <v>34547</v>
      </c>
      <c r="V8">
        <v>134153</v>
      </c>
      <c r="W8">
        <v>290640645437.90997</v>
      </c>
      <c r="X8">
        <v>195.02974978119801</v>
      </c>
      <c r="Z8" s="3">
        <v>40238</v>
      </c>
      <c r="AA8" s="5">
        <v>0</v>
      </c>
      <c r="AB8" s="5"/>
      <c r="AE8" s="3">
        <v>41760</v>
      </c>
      <c r="AF8" s="5">
        <v>720.66428889465203</v>
      </c>
      <c r="AG8" s="5">
        <v>701.44283545124699</v>
      </c>
      <c r="AH8" s="5">
        <f t="shared" si="0"/>
        <v>649.68410469425601</v>
      </c>
      <c r="AJ8" s="3">
        <v>34547</v>
      </c>
      <c r="AK8" s="5">
        <v>115.593474578317</v>
      </c>
      <c r="AL8" s="5">
        <v>115.500464726109</v>
      </c>
    </row>
    <row r="9" spans="1:38" x14ac:dyDescent="0.25">
      <c r="A9" t="s">
        <v>23</v>
      </c>
      <c r="B9" s="1">
        <v>34578</v>
      </c>
      <c r="C9">
        <v>135077</v>
      </c>
      <c r="D9">
        <v>292026246657.69</v>
      </c>
      <c r="E9">
        <v>217.90411938931101</v>
      </c>
      <c r="G9" s="3">
        <v>40269</v>
      </c>
      <c r="H9" s="5">
        <v>0.16611416990135999</v>
      </c>
      <c r="T9" t="s">
        <v>23</v>
      </c>
      <c r="U9" s="1">
        <v>34578</v>
      </c>
      <c r="V9">
        <v>135077</v>
      </c>
      <c r="W9">
        <v>292026246657.69</v>
      </c>
      <c r="X9">
        <v>190.96620723217401</v>
      </c>
      <c r="Z9" s="3">
        <v>40269</v>
      </c>
      <c r="AA9" s="5">
        <v>0</v>
      </c>
      <c r="AB9" s="5"/>
      <c r="AE9" s="3">
        <v>41791</v>
      </c>
      <c r="AF9" s="5">
        <v>720.38954603078605</v>
      </c>
      <c r="AG9" s="5">
        <v>698.17537510802697</v>
      </c>
      <c r="AH9" s="5">
        <f t="shared" si="0"/>
        <v>647.879089848082</v>
      </c>
      <c r="AJ9" s="3">
        <v>34578</v>
      </c>
      <c r="AK9" s="5">
        <v>113.644602142484</v>
      </c>
      <c r="AL9" s="5">
        <v>113.555203409497</v>
      </c>
    </row>
    <row r="10" spans="1:38" x14ac:dyDescent="0.25">
      <c r="A10" t="s">
        <v>23</v>
      </c>
      <c r="B10" s="1">
        <v>34608</v>
      </c>
      <c r="C10">
        <v>135888</v>
      </c>
      <c r="D10">
        <v>293395992453.21002</v>
      </c>
      <c r="E10">
        <v>214.886405653319</v>
      </c>
      <c r="G10" s="3">
        <v>40299</v>
      </c>
      <c r="H10" s="5">
        <v>0.13075737104861501</v>
      </c>
      <c r="T10" t="s">
        <v>23</v>
      </c>
      <c r="U10" s="1">
        <v>34608</v>
      </c>
      <c r="V10">
        <v>135888</v>
      </c>
      <c r="W10">
        <v>293395992453.21002</v>
      </c>
      <c r="X10">
        <v>186.68367058190401</v>
      </c>
      <c r="Z10" s="3">
        <v>40299</v>
      </c>
      <c r="AA10" s="5">
        <v>0</v>
      </c>
      <c r="AB10" s="5"/>
      <c r="AE10" s="3">
        <v>41821</v>
      </c>
      <c r="AF10" s="5">
        <v>719.25916398962397</v>
      </c>
      <c r="AG10" s="5">
        <v>694.17895465660797</v>
      </c>
      <c r="AH10" s="5">
        <f t="shared" si="0"/>
        <v>645.210909291711</v>
      </c>
      <c r="AJ10" s="3">
        <v>34608</v>
      </c>
      <c r="AK10" s="5">
        <v>111.809854913113</v>
      </c>
      <c r="AL10" s="5">
        <v>111.724101042027</v>
      </c>
    </row>
    <row r="11" spans="1:38" x14ac:dyDescent="0.25">
      <c r="A11" t="s">
        <v>23</v>
      </c>
      <c r="B11" s="1">
        <v>34639</v>
      </c>
      <c r="C11">
        <v>136567</v>
      </c>
      <c r="D11">
        <v>294791998506.56</v>
      </c>
      <c r="E11">
        <v>211.85040152588201</v>
      </c>
      <c r="G11" s="3">
        <v>40330</v>
      </c>
      <c r="H11" s="5">
        <v>0.104667908976119</v>
      </c>
      <c r="T11" t="s">
        <v>23</v>
      </c>
      <c r="U11" s="1">
        <v>34639</v>
      </c>
      <c r="V11">
        <v>136567</v>
      </c>
      <c r="W11">
        <v>294791998506.56</v>
      </c>
      <c r="X11">
        <v>182.83427916822001</v>
      </c>
      <c r="Z11" s="3">
        <v>40330</v>
      </c>
      <c r="AA11" s="5">
        <v>0</v>
      </c>
      <c r="AB11" s="5"/>
      <c r="AE11" s="3">
        <v>41852</v>
      </c>
      <c r="AF11" s="5">
        <v>717.04918523835897</v>
      </c>
      <c r="AG11" s="5">
        <v>689.23541896763902</v>
      </c>
      <c r="AH11" s="5">
        <f t="shared" si="0"/>
        <v>642.76902569574804</v>
      </c>
      <c r="AJ11" s="3">
        <v>34639</v>
      </c>
      <c r="AK11" s="5">
        <v>110.082387334646</v>
      </c>
      <c r="AL11" s="5">
        <v>109.998313813271</v>
      </c>
    </row>
    <row r="12" spans="1:38" x14ac:dyDescent="0.25">
      <c r="A12" t="s">
        <v>23</v>
      </c>
      <c r="B12" s="1">
        <v>34669</v>
      </c>
      <c r="C12">
        <v>137384</v>
      </c>
      <c r="D12">
        <v>297022730158.53998</v>
      </c>
      <c r="E12">
        <v>208.490053063397</v>
      </c>
      <c r="G12" s="3">
        <v>40360</v>
      </c>
      <c r="H12" s="5">
        <v>8.7774893331117307E-2</v>
      </c>
      <c r="T12" t="s">
        <v>23</v>
      </c>
      <c r="U12" s="1">
        <v>34669</v>
      </c>
      <c r="V12">
        <v>137384</v>
      </c>
      <c r="W12">
        <v>297022730158.53998</v>
      </c>
      <c r="X12">
        <v>179.05827160571499</v>
      </c>
      <c r="Z12" s="3">
        <v>40360</v>
      </c>
      <c r="AA12" s="5">
        <v>0</v>
      </c>
      <c r="AB12" s="5"/>
      <c r="AE12" s="3">
        <v>41883</v>
      </c>
      <c r="AF12" s="5">
        <v>715.75889187760004</v>
      </c>
      <c r="AG12" s="5">
        <v>685.27728701231501</v>
      </c>
      <c r="AH12" s="5">
        <f t="shared" si="0"/>
        <v>637.23237313323</v>
      </c>
      <c r="AJ12" s="3">
        <v>34669</v>
      </c>
      <c r="AK12" s="5">
        <v>108.86373426885299</v>
      </c>
      <c r="AL12" s="5">
        <v>108.780107205902</v>
      </c>
    </row>
    <row r="13" spans="1:38" x14ac:dyDescent="0.25">
      <c r="A13" t="s">
        <v>23</v>
      </c>
      <c r="B13" s="1">
        <v>34700</v>
      </c>
      <c r="C13">
        <v>138175</v>
      </c>
      <c r="D13">
        <v>299534791311.60999</v>
      </c>
      <c r="E13">
        <v>205.19476429095801</v>
      </c>
      <c r="G13" s="3">
        <v>40391</v>
      </c>
      <c r="H13" s="5">
        <v>8.2587727447575296E-2</v>
      </c>
      <c r="T13" t="s">
        <v>23</v>
      </c>
      <c r="U13" s="1">
        <v>34700</v>
      </c>
      <c r="V13">
        <v>138175</v>
      </c>
      <c r="W13">
        <v>299534791311.60999</v>
      </c>
      <c r="X13">
        <v>175.39961494973099</v>
      </c>
      <c r="Z13" s="3">
        <v>40391</v>
      </c>
      <c r="AA13" s="5">
        <v>0</v>
      </c>
      <c r="AB13" s="5"/>
      <c r="AE13" s="3">
        <v>41913</v>
      </c>
      <c r="AF13" s="5">
        <v>713.38885099312495</v>
      </c>
      <c r="AG13" s="5">
        <v>680.52767170773495</v>
      </c>
      <c r="AH13" s="5">
        <f t="shared" si="0"/>
        <v>632.57356396276498</v>
      </c>
      <c r="AJ13" s="3">
        <v>34700</v>
      </c>
      <c r="AK13" s="5">
        <v>107.782197472264</v>
      </c>
      <c r="AL13" s="5">
        <v>107.69863796528701</v>
      </c>
    </row>
    <row r="14" spans="1:38" x14ac:dyDescent="0.25">
      <c r="A14" t="s">
        <v>23</v>
      </c>
      <c r="B14" s="1">
        <v>34731</v>
      </c>
      <c r="C14">
        <v>138749</v>
      </c>
      <c r="D14">
        <v>300578062603.90997</v>
      </c>
      <c r="E14">
        <v>203.20549844029699</v>
      </c>
      <c r="G14" s="3">
        <v>40422</v>
      </c>
      <c r="H14" s="5">
        <v>8.3798517381121998E-2</v>
      </c>
      <c r="T14" t="s">
        <v>23</v>
      </c>
      <c r="U14" s="1">
        <v>34731</v>
      </c>
      <c r="V14">
        <v>138749</v>
      </c>
      <c r="W14">
        <v>300578062603.90997</v>
      </c>
      <c r="X14">
        <v>172.841893458219</v>
      </c>
      <c r="Z14" s="3">
        <v>40422</v>
      </c>
      <c r="AA14" s="5">
        <v>0</v>
      </c>
      <c r="AB14" s="5"/>
      <c r="AE14" s="3">
        <v>41944</v>
      </c>
      <c r="AF14" s="5">
        <v>712.52330189223505</v>
      </c>
      <c r="AG14" s="5">
        <v>677.13700121548004</v>
      </c>
      <c r="AH14" s="5">
        <f t="shared" si="0"/>
        <v>629.24248594360597</v>
      </c>
      <c r="AJ14" s="3">
        <v>34731</v>
      </c>
      <c r="AK14" s="5">
        <v>106.64500475215399</v>
      </c>
      <c r="AL14" s="5">
        <v>106.56285531869101</v>
      </c>
    </row>
    <row r="15" spans="1:38" x14ac:dyDescent="0.25">
      <c r="A15" t="s">
        <v>23</v>
      </c>
      <c r="B15" s="1">
        <v>34759</v>
      </c>
      <c r="C15">
        <v>139252</v>
      </c>
      <c r="D15">
        <v>301515518476.67999</v>
      </c>
      <c r="E15">
        <v>202.29015060298499</v>
      </c>
      <c r="G15" s="3">
        <v>40452</v>
      </c>
      <c r="H15" s="5">
        <v>8.1063263805223995E-2</v>
      </c>
      <c r="T15" t="s">
        <v>23</v>
      </c>
      <c r="U15" s="1">
        <v>34759</v>
      </c>
      <c r="V15">
        <v>139252</v>
      </c>
      <c r="W15">
        <v>301515518476.67999</v>
      </c>
      <c r="X15">
        <v>170.83836976066701</v>
      </c>
      <c r="Z15" s="3">
        <v>40452</v>
      </c>
      <c r="AA15" s="5">
        <v>0</v>
      </c>
      <c r="AB15" s="5"/>
      <c r="AE15" s="3">
        <v>41974</v>
      </c>
      <c r="AF15" s="5">
        <v>715.525167507638</v>
      </c>
      <c r="AG15" s="5">
        <v>677.549544068194</v>
      </c>
      <c r="AH15" s="5">
        <f t="shared" si="0"/>
        <v>627.175782626515</v>
      </c>
      <c r="AJ15" s="3">
        <v>34759</v>
      </c>
      <c r="AK15" s="5">
        <v>105.832721769697</v>
      </c>
      <c r="AL15" s="5">
        <v>105.759303756319</v>
      </c>
    </row>
    <row r="16" spans="1:38" x14ac:dyDescent="0.25">
      <c r="A16" t="s">
        <v>23</v>
      </c>
      <c r="B16" s="1">
        <v>34790</v>
      </c>
      <c r="C16">
        <v>139640</v>
      </c>
      <c r="D16">
        <v>302130802958.65002</v>
      </c>
      <c r="E16">
        <v>202.84204716388001</v>
      </c>
      <c r="G16" s="3">
        <v>40483</v>
      </c>
      <c r="H16" s="5">
        <v>8.8173911752106704E-2</v>
      </c>
      <c r="T16" t="s">
        <v>23</v>
      </c>
      <c r="U16" s="1">
        <v>34790</v>
      </c>
      <c r="V16">
        <v>139640</v>
      </c>
      <c r="W16">
        <v>302130802958.65002</v>
      </c>
      <c r="X16">
        <v>169.50120363527199</v>
      </c>
      <c r="Z16" s="3">
        <v>40483</v>
      </c>
      <c r="AA16" s="5">
        <v>0</v>
      </c>
      <c r="AB16" s="5"/>
      <c r="AE16" s="3">
        <v>42005</v>
      </c>
      <c r="AF16" s="5">
        <v>718.02254606309702</v>
      </c>
      <c r="AG16" s="5">
        <v>677.36599727868895</v>
      </c>
      <c r="AH16" s="5">
        <f t="shared" si="0"/>
        <v>630.09389627889698</v>
      </c>
      <c r="AJ16" s="3">
        <v>34790</v>
      </c>
      <c r="AK16" s="5">
        <v>105.423167579902</v>
      </c>
      <c r="AL16" s="5">
        <v>105.356295735144</v>
      </c>
    </row>
    <row r="17" spans="1:38" x14ac:dyDescent="0.25">
      <c r="A17" t="s">
        <v>23</v>
      </c>
      <c r="B17" s="1">
        <v>34820</v>
      </c>
      <c r="C17">
        <v>140171</v>
      </c>
      <c r="D17">
        <v>303193167019.19</v>
      </c>
      <c r="E17">
        <v>203.253163573546</v>
      </c>
      <c r="G17" s="3">
        <v>40513</v>
      </c>
      <c r="H17" s="5">
        <v>8.8252045109364505E-2</v>
      </c>
      <c r="T17" t="s">
        <v>23</v>
      </c>
      <c r="U17" s="1">
        <v>34820</v>
      </c>
      <c r="V17">
        <v>140171</v>
      </c>
      <c r="W17">
        <v>303193167019.19</v>
      </c>
      <c r="X17">
        <v>167.78811251201299</v>
      </c>
      <c r="Z17" s="3">
        <v>40513</v>
      </c>
      <c r="AA17" s="5">
        <v>0</v>
      </c>
      <c r="AB17" s="5"/>
      <c r="AE17" s="3">
        <v>42036</v>
      </c>
      <c r="AF17" s="5">
        <v>724.66393467468504</v>
      </c>
      <c r="AG17" s="5">
        <v>681.12360102473303</v>
      </c>
      <c r="AH17" s="5">
        <f t="shared" si="0"/>
        <v>635.82888644838602</v>
      </c>
      <c r="AJ17" s="3">
        <v>34820</v>
      </c>
      <c r="AK17" s="5">
        <v>105.179075165234</v>
      </c>
      <c r="AL17" s="5">
        <v>105.11470912805299</v>
      </c>
    </row>
    <row r="18" spans="1:38" x14ac:dyDescent="0.25">
      <c r="A18" t="s">
        <v>23</v>
      </c>
      <c r="B18" s="1">
        <v>34851</v>
      </c>
      <c r="C18">
        <v>140845</v>
      </c>
      <c r="D18">
        <v>305276200958.66998</v>
      </c>
      <c r="E18">
        <v>204.959025352982</v>
      </c>
      <c r="G18" s="3">
        <v>40544</v>
      </c>
      <c r="H18" s="5">
        <v>7.6971531877015303E-2</v>
      </c>
      <c r="T18" t="s">
        <v>23</v>
      </c>
      <c r="U18" s="1">
        <v>34851</v>
      </c>
      <c r="V18">
        <v>140845</v>
      </c>
      <c r="W18">
        <v>305276200958.66998</v>
      </c>
      <c r="X18">
        <v>166.239580669068</v>
      </c>
      <c r="Z18" s="3">
        <v>40544</v>
      </c>
      <c r="AA18" s="5">
        <v>0</v>
      </c>
      <c r="AB18" s="5"/>
      <c r="AE18" s="3">
        <v>42064</v>
      </c>
      <c r="AF18" s="5">
        <v>731.92162131265195</v>
      </c>
      <c r="AG18" s="5">
        <v>685.62519758541805</v>
      </c>
      <c r="AH18" s="5">
        <f t="shared" si="0"/>
        <v>639.16127896912496</v>
      </c>
      <c r="AJ18" s="3">
        <v>34851</v>
      </c>
      <c r="AK18" s="5">
        <v>106.29004193672</v>
      </c>
      <c r="AL18" s="5">
        <v>106.153578166342</v>
      </c>
    </row>
    <row r="19" spans="1:38" x14ac:dyDescent="0.25">
      <c r="A19" t="s">
        <v>23</v>
      </c>
      <c r="B19" s="1">
        <v>34881</v>
      </c>
      <c r="C19">
        <v>141735</v>
      </c>
      <c r="D19">
        <v>308579513635.09003</v>
      </c>
      <c r="E19">
        <v>207.851274558559</v>
      </c>
      <c r="G19" s="3">
        <v>40575</v>
      </c>
      <c r="H19" s="5">
        <v>6.7492856884783306E-2</v>
      </c>
      <c r="T19" t="s">
        <v>23</v>
      </c>
      <c r="U19" s="1">
        <v>34881</v>
      </c>
      <c r="V19">
        <v>141735</v>
      </c>
      <c r="W19">
        <v>308579513635.09003</v>
      </c>
      <c r="X19">
        <v>164.542027020159</v>
      </c>
      <c r="Z19" s="3">
        <v>40575</v>
      </c>
      <c r="AA19" s="5">
        <v>0</v>
      </c>
      <c r="AB19" s="5"/>
      <c r="AE19" s="3">
        <v>42095</v>
      </c>
      <c r="AF19" s="5">
        <v>736.15502423953205</v>
      </c>
      <c r="AG19" s="5">
        <v>687.41900371137899</v>
      </c>
      <c r="AH19" s="5">
        <f t="shared" si="0"/>
        <v>644.82146556106204</v>
      </c>
      <c r="AJ19" s="3">
        <v>34881</v>
      </c>
      <c r="AK19" s="5">
        <v>109.309795312174</v>
      </c>
      <c r="AL19" s="5">
        <v>109.00335454113601</v>
      </c>
    </row>
    <row r="20" spans="1:38" x14ac:dyDescent="0.25">
      <c r="A20" t="s">
        <v>23</v>
      </c>
      <c r="B20" s="1">
        <v>34912</v>
      </c>
      <c r="C20">
        <v>142847</v>
      </c>
      <c r="D20">
        <v>313306085244.25</v>
      </c>
      <c r="E20">
        <v>209.28348900722699</v>
      </c>
      <c r="G20" s="3">
        <v>40603</v>
      </c>
      <c r="H20" s="5">
        <v>5.9694932427499403E-2</v>
      </c>
      <c r="T20" t="s">
        <v>23</v>
      </c>
      <c r="U20" s="1">
        <v>34912</v>
      </c>
      <c r="V20">
        <v>142847</v>
      </c>
      <c r="W20">
        <v>313306085244.25</v>
      </c>
      <c r="X20">
        <v>161.865960699543</v>
      </c>
      <c r="Z20" s="3">
        <v>40603</v>
      </c>
      <c r="AA20" s="5">
        <v>0</v>
      </c>
      <c r="AB20" s="5"/>
      <c r="AE20" s="3">
        <v>42125</v>
      </c>
      <c r="AF20" s="5">
        <v>739.843484185237</v>
      </c>
      <c r="AG20" s="5">
        <v>688.76268795994997</v>
      </c>
      <c r="AH20" s="5">
        <f t="shared" si="0"/>
        <v>646.55646301511797</v>
      </c>
      <c r="AJ20" s="3">
        <v>34912</v>
      </c>
      <c r="AK20" s="5">
        <v>112.19873097892599</v>
      </c>
      <c r="AL20" s="5">
        <v>111.70004860990601</v>
      </c>
    </row>
    <row r="21" spans="1:38" x14ac:dyDescent="0.25">
      <c r="A21" t="s">
        <v>23</v>
      </c>
      <c r="B21" s="1">
        <v>34943</v>
      </c>
      <c r="C21">
        <v>143912</v>
      </c>
      <c r="D21">
        <v>317855864434.04999</v>
      </c>
      <c r="E21">
        <v>208.62809579326299</v>
      </c>
      <c r="G21" s="3">
        <v>40634</v>
      </c>
      <c r="H21" s="5">
        <v>5.2583262240604597E-2</v>
      </c>
      <c r="T21" t="s">
        <v>23</v>
      </c>
      <c r="U21" s="1">
        <v>34943</v>
      </c>
      <c r="V21">
        <v>143912</v>
      </c>
      <c r="W21">
        <v>317855864434.04999</v>
      </c>
      <c r="X21">
        <v>158.41334845742</v>
      </c>
      <c r="Z21" s="3">
        <v>40634</v>
      </c>
      <c r="AA21" s="5">
        <v>0</v>
      </c>
      <c r="AB21" s="5"/>
      <c r="AE21" s="3">
        <v>42156</v>
      </c>
      <c r="AF21" s="5">
        <v>739.89458743314901</v>
      </c>
      <c r="AG21" s="5">
        <v>686.98293896624102</v>
      </c>
      <c r="AH21" s="5">
        <f t="shared" si="0"/>
        <v>643.70062543102699</v>
      </c>
      <c r="AJ21" s="3">
        <v>34943</v>
      </c>
      <c r="AK21" s="5">
        <v>112.826612103101</v>
      </c>
      <c r="AL21" s="5">
        <v>112.182615400253</v>
      </c>
    </row>
    <row r="22" spans="1:38" x14ac:dyDescent="0.25">
      <c r="A22" t="s">
        <v>23</v>
      </c>
      <c r="B22" s="1">
        <v>34973</v>
      </c>
      <c r="C22">
        <v>144902</v>
      </c>
      <c r="D22">
        <v>321938074374.90002</v>
      </c>
      <c r="E22">
        <v>209.112025285264</v>
      </c>
      <c r="G22" s="3">
        <v>40664</v>
      </c>
      <c r="H22" s="5">
        <v>4.7251523728875602E-2</v>
      </c>
      <c r="T22" t="s">
        <v>23</v>
      </c>
      <c r="U22" s="1">
        <v>34973</v>
      </c>
      <c r="V22">
        <v>144902</v>
      </c>
      <c r="W22">
        <v>321938074374.90002</v>
      </c>
      <c r="X22">
        <v>155.33338900609499</v>
      </c>
      <c r="Z22" s="3">
        <v>40664</v>
      </c>
      <c r="AA22" s="5">
        <v>0</v>
      </c>
      <c r="AB22" s="5"/>
      <c r="AE22" s="3">
        <v>42186</v>
      </c>
      <c r="AF22" s="5">
        <v>736.90207589170598</v>
      </c>
      <c r="AG22" s="5">
        <v>682.54791417108402</v>
      </c>
      <c r="AH22" s="5">
        <f t="shared" si="0"/>
        <v>636.906754672788</v>
      </c>
      <c r="AJ22" s="3">
        <v>34973</v>
      </c>
      <c r="AK22" s="5">
        <v>113.092130993463</v>
      </c>
      <c r="AL22" s="5">
        <v>112.258729580463</v>
      </c>
    </row>
    <row r="23" spans="1:38" x14ac:dyDescent="0.25">
      <c r="A23" t="s">
        <v>23</v>
      </c>
      <c r="B23" s="1">
        <v>35004</v>
      </c>
      <c r="C23">
        <v>145867</v>
      </c>
      <c r="D23">
        <v>326586660235.34998</v>
      </c>
      <c r="E23">
        <v>210.457757831126</v>
      </c>
      <c r="G23" s="3">
        <v>40695</v>
      </c>
      <c r="H23" s="5">
        <v>4.4019407053417899E-2</v>
      </c>
      <c r="T23" t="s">
        <v>23</v>
      </c>
      <c r="U23" s="1">
        <v>35004</v>
      </c>
      <c r="V23">
        <v>145867</v>
      </c>
      <c r="W23">
        <v>326586660235.34998</v>
      </c>
      <c r="X23">
        <v>152.708613474212</v>
      </c>
      <c r="Z23" s="3">
        <v>40695</v>
      </c>
      <c r="AA23" s="5">
        <v>0</v>
      </c>
      <c r="AB23" s="5"/>
      <c r="AE23" s="3">
        <v>42217</v>
      </c>
      <c r="AF23" s="5">
        <v>731.10198483309705</v>
      </c>
      <c r="AG23" s="5">
        <v>675.66321474967401</v>
      </c>
      <c r="AH23" s="5">
        <f t="shared" si="0"/>
        <v>629.45496636714699</v>
      </c>
      <c r="AJ23" s="3">
        <v>35004</v>
      </c>
      <c r="AK23" s="5">
        <v>114.05281884386901</v>
      </c>
      <c r="AL23" s="5">
        <v>112.995012075003</v>
      </c>
    </row>
    <row r="24" spans="1:38" x14ac:dyDescent="0.25">
      <c r="A24" t="s">
        <v>23</v>
      </c>
      <c r="B24" s="1">
        <v>35034</v>
      </c>
      <c r="C24">
        <v>146882</v>
      </c>
      <c r="D24">
        <v>331964887053.32001</v>
      </c>
      <c r="E24">
        <v>212.00675377462301</v>
      </c>
      <c r="G24" s="3">
        <v>40725</v>
      </c>
      <c r="H24" s="5">
        <v>4.2265865016984101E-2</v>
      </c>
      <c r="T24" t="s">
        <v>23</v>
      </c>
      <c r="U24" s="1">
        <v>35034</v>
      </c>
      <c r="V24">
        <v>146882</v>
      </c>
      <c r="W24">
        <v>331964887053.32001</v>
      </c>
      <c r="X24">
        <v>150.11310249176901</v>
      </c>
      <c r="Z24" s="3">
        <v>40725</v>
      </c>
      <c r="AA24" s="5">
        <v>0</v>
      </c>
      <c r="AB24" s="5"/>
      <c r="AE24" s="3">
        <v>42248</v>
      </c>
      <c r="AF24" s="5">
        <v>729.83072647828703</v>
      </c>
      <c r="AG24" s="5">
        <v>671.82851647818802</v>
      </c>
      <c r="AH24" s="5">
        <f t="shared" si="0"/>
        <v>626.09512299882704</v>
      </c>
      <c r="AJ24" s="3">
        <v>35034</v>
      </c>
      <c r="AK24" s="5">
        <v>116.795858165087</v>
      </c>
      <c r="AL24" s="5">
        <v>115.455074241858</v>
      </c>
    </row>
    <row r="25" spans="1:38" x14ac:dyDescent="0.25">
      <c r="A25" t="s">
        <v>23</v>
      </c>
      <c r="B25" s="1">
        <v>35065</v>
      </c>
      <c r="C25">
        <v>147919</v>
      </c>
      <c r="D25">
        <v>337304062600.06</v>
      </c>
      <c r="E25">
        <v>215.37685650202801</v>
      </c>
      <c r="G25" s="3">
        <v>40756</v>
      </c>
      <c r="H25" s="5">
        <v>4.65725180473886E-2</v>
      </c>
      <c r="T25" t="s">
        <v>23</v>
      </c>
      <c r="U25" s="1">
        <v>35065</v>
      </c>
      <c r="V25">
        <v>147919</v>
      </c>
      <c r="W25">
        <v>337304062600.06</v>
      </c>
      <c r="X25">
        <v>148.51778275939401</v>
      </c>
      <c r="Z25" s="3">
        <v>40756</v>
      </c>
      <c r="AA25" s="5">
        <v>0</v>
      </c>
      <c r="AB25" s="5"/>
      <c r="AE25" s="3">
        <v>42278</v>
      </c>
      <c r="AF25" s="5">
        <v>726.43885318386401</v>
      </c>
      <c r="AG25" s="5">
        <v>666.21701564884904</v>
      </c>
      <c r="AH25" s="5">
        <f t="shared" si="0"/>
        <v>621.97046728061696</v>
      </c>
      <c r="AJ25" s="3">
        <v>35065</v>
      </c>
      <c r="AK25" s="5">
        <v>121.339728096408</v>
      </c>
      <c r="AL25" s="5">
        <v>119.554078330637</v>
      </c>
    </row>
    <row r="26" spans="1:38" x14ac:dyDescent="0.25">
      <c r="A26" t="s">
        <v>23</v>
      </c>
      <c r="B26" s="1">
        <v>35096</v>
      </c>
      <c r="C26">
        <v>148833</v>
      </c>
      <c r="D26">
        <v>341672418203.37</v>
      </c>
      <c r="E26">
        <v>220.478512748345</v>
      </c>
      <c r="G26" s="3">
        <v>40787</v>
      </c>
      <c r="H26" s="5">
        <v>6.8889209513225899E-2</v>
      </c>
      <c r="T26" t="s">
        <v>23</v>
      </c>
      <c r="U26" s="1">
        <v>35096</v>
      </c>
      <c r="V26">
        <v>148833</v>
      </c>
      <c r="W26">
        <v>341672418203.37</v>
      </c>
      <c r="X26">
        <v>147.93026716552799</v>
      </c>
      <c r="Z26" s="3">
        <v>40787</v>
      </c>
      <c r="AA26" s="5">
        <v>0</v>
      </c>
      <c r="AB26" s="5"/>
      <c r="AE26" s="3">
        <v>42309</v>
      </c>
      <c r="AF26" s="5">
        <v>726.79546602168602</v>
      </c>
      <c r="AG26" s="5">
        <v>664.14840555317096</v>
      </c>
      <c r="AH26" s="5">
        <f t="shared" si="0"/>
        <v>621.01821855342905</v>
      </c>
      <c r="AJ26" s="3">
        <v>35096</v>
      </c>
      <c r="AK26" s="5">
        <v>126.62002216885701</v>
      </c>
      <c r="AL26" s="5">
        <v>124.223142270187</v>
      </c>
    </row>
    <row r="27" spans="1:38" x14ac:dyDescent="0.25">
      <c r="A27" t="s">
        <v>23</v>
      </c>
      <c r="B27" s="1">
        <v>35125</v>
      </c>
      <c r="C27">
        <v>149785</v>
      </c>
      <c r="D27">
        <v>346545445220.38</v>
      </c>
      <c r="E27">
        <v>223.90892319536499</v>
      </c>
      <c r="G27" s="3">
        <v>40817</v>
      </c>
      <c r="H27" s="5">
        <v>0.117437341444491</v>
      </c>
      <c r="T27" t="s">
        <v>23</v>
      </c>
      <c r="U27" s="1">
        <v>35125</v>
      </c>
      <c r="V27">
        <v>149785</v>
      </c>
      <c r="W27">
        <v>346545445220.38</v>
      </c>
      <c r="X27">
        <v>146.64803471968801</v>
      </c>
      <c r="Z27" s="3">
        <v>40817</v>
      </c>
      <c r="AA27" s="5">
        <v>0</v>
      </c>
      <c r="AB27" s="5"/>
      <c r="AE27" s="3">
        <v>42339</v>
      </c>
      <c r="AF27" s="5">
        <v>727.92157862905106</v>
      </c>
      <c r="AG27" s="5">
        <v>662.98512189021301</v>
      </c>
      <c r="AH27" s="5">
        <f t="shared" si="0"/>
        <v>618.69121121969295</v>
      </c>
      <c r="AJ27" s="3">
        <v>35125</v>
      </c>
      <c r="AK27" s="5">
        <v>130.597709509841</v>
      </c>
      <c r="AL27" s="5">
        <v>127.68056692537399</v>
      </c>
    </row>
    <row r="28" spans="1:38" x14ac:dyDescent="0.25">
      <c r="A28" t="s">
        <v>23</v>
      </c>
      <c r="B28" s="1">
        <v>35156</v>
      </c>
      <c r="C28">
        <v>150727</v>
      </c>
      <c r="D28">
        <v>350465555808.21997</v>
      </c>
      <c r="E28">
        <v>222.51908250047401</v>
      </c>
      <c r="G28" s="3">
        <v>40848</v>
      </c>
      <c r="H28" s="5">
        <v>0.15559635969707</v>
      </c>
      <c r="T28" t="s">
        <v>23</v>
      </c>
      <c r="U28" s="1">
        <v>35156</v>
      </c>
      <c r="V28">
        <v>150727</v>
      </c>
      <c r="W28">
        <v>350465555808.21997</v>
      </c>
      <c r="X28">
        <v>143.53682306920101</v>
      </c>
      <c r="Z28" s="3">
        <v>40848</v>
      </c>
      <c r="AA28" s="5">
        <v>0</v>
      </c>
      <c r="AB28" s="5"/>
      <c r="AE28" s="3">
        <v>42370</v>
      </c>
      <c r="AF28" s="5">
        <v>725.98373192266001</v>
      </c>
      <c r="AG28" s="5">
        <v>659.13132301569703</v>
      </c>
      <c r="AH28" s="5">
        <f t="shared" si="0"/>
        <v>617.13466274150096</v>
      </c>
      <c r="AJ28" s="3">
        <v>35156</v>
      </c>
      <c r="AK28" s="5">
        <v>128.90275943329399</v>
      </c>
      <c r="AL28" s="5">
        <v>125.877133823458</v>
      </c>
    </row>
    <row r="29" spans="1:38" x14ac:dyDescent="0.25">
      <c r="A29" t="s">
        <v>23</v>
      </c>
      <c r="B29" s="1">
        <v>35186</v>
      </c>
      <c r="C29">
        <v>151726</v>
      </c>
      <c r="D29">
        <v>354683248452.60999</v>
      </c>
      <c r="E29">
        <v>218.741092062409</v>
      </c>
      <c r="G29" s="3">
        <v>40878</v>
      </c>
      <c r="H29" s="5">
        <v>0.22726623749574301</v>
      </c>
      <c r="T29" t="s">
        <v>23</v>
      </c>
      <c r="U29" s="1">
        <v>35186</v>
      </c>
      <c r="V29">
        <v>151726</v>
      </c>
      <c r="W29">
        <v>354683248452.60999</v>
      </c>
      <c r="X29">
        <v>139.43813571705701</v>
      </c>
      <c r="Z29" s="3">
        <v>40878</v>
      </c>
      <c r="AA29" s="5">
        <v>0</v>
      </c>
      <c r="AB29" s="5"/>
      <c r="AE29" s="3">
        <v>42401</v>
      </c>
      <c r="AF29" s="5">
        <v>725.82682059398803</v>
      </c>
      <c r="AG29" s="5">
        <v>657.01209122663101</v>
      </c>
      <c r="AH29" s="5">
        <f t="shared" si="0"/>
        <v>616.50526343668798</v>
      </c>
      <c r="AJ29" s="3">
        <v>35186</v>
      </c>
      <c r="AK29" s="5">
        <v>126.01026421499</v>
      </c>
      <c r="AL29" s="5">
        <v>122.965177395469</v>
      </c>
    </row>
    <row r="30" spans="1:38" x14ac:dyDescent="0.25">
      <c r="A30" t="s">
        <v>23</v>
      </c>
      <c r="B30" s="1">
        <v>35217</v>
      </c>
      <c r="C30">
        <v>152681</v>
      </c>
      <c r="D30">
        <v>359153508694.62</v>
      </c>
      <c r="E30">
        <v>214.15175806674699</v>
      </c>
      <c r="G30" s="3">
        <v>40909</v>
      </c>
      <c r="H30" s="5">
        <v>0.32223042180827</v>
      </c>
      <c r="T30" t="s">
        <v>23</v>
      </c>
      <c r="U30" s="1">
        <v>35217</v>
      </c>
      <c r="V30">
        <v>152681</v>
      </c>
      <c r="W30">
        <v>359153508694.62</v>
      </c>
      <c r="X30">
        <v>135.04357861035899</v>
      </c>
      <c r="Z30" s="3">
        <v>40909</v>
      </c>
      <c r="AA30" s="5">
        <v>0</v>
      </c>
      <c r="AB30" s="5"/>
      <c r="AE30" s="3">
        <v>42430</v>
      </c>
      <c r="AF30" s="5">
        <v>733.02400168316103</v>
      </c>
      <c r="AG30" s="5">
        <v>661.64800832421997</v>
      </c>
      <c r="AH30" s="5">
        <f t="shared" si="0"/>
        <v>621.40523994562602</v>
      </c>
      <c r="AJ30" s="3">
        <v>35217</v>
      </c>
      <c r="AK30" s="5">
        <v>123.78486558456601</v>
      </c>
      <c r="AL30" s="5">
        <v>120.717816533806</v>
      </c>
    </row>
    <row r="31" spans="1:38" x14ac:dyDescent="0.25">
      <c r="A31" t="s">
        <v>23</v>
      </c>
      <c r="B31" s="1">
        <v>35247</v>
      </c>
      <c r="C31">
        <v>153592</v>
      </c>
      <c r="D31">
        <v>364145909105.21997</v>
      </c>
      <c r="E31">
        <v>209.08373135229999</v>
      </c>
      <c r="G31" s="3">
        <v>40940</v>
      </c>
      <c r="H31" s="5">
        <v>0.39524335858127702</v>
      </c>
      <c r="T31" t="s">
        <v>23</v>
      </c>
      <c r="U31" s="1">
        <v>35247</v>
      </c>
      <c r="V31">
        <v>153592</v>
      </c>
      <c r="W31">
        <v>364145909105.21997</v>
      </c>
      <c r="X31">
        <v>130.69940064471299</v>
      </c>
      <c r="Z31" s="3">
        <v>40940</v>
      </c>
      <c r="AA31" s="5">
        <v>0</v>
      </c>
      <c r="AB31" s="5"/>
      <c r="AE31" s="3">
        <v>42461</v>
      </c>
      <c r="AF31" s="5">
        <v>738.15946315201495</v>
      </c>
      <c r="AG31" s="5">
        <v>664.61762785527799</v>
      </c>
      <c r="AH31" s="5">
        <f t="shared" si="0"/>
        <v>625.99994313622506</v>
      </c>
      <c r="AJ31" s="3">
        <v>35247</v>
      </c>
      <c r="AK31" s="5">
        <v>121.035213330334</v>
      </c>
      <c r="AL31" s="5">
        <v>117.980407450776</v>
      </c>
    </row>
    <row r="32" spans="1:38" x14ac:dyDescent="0.25">
      <c r="A32" t="s">
        <v>23</v>
      </c>
      <c r="B32" s="1">
        <v>35278</v>
      </c>
      <c r="C32">
        <v>154353</v>
      </c>
      <c r="D32">
        <v>367843583423.22998</v>
      </c>
      <c r="E32">
        <v>206.05656311740699</v>
      </c>
      <c r="G32" s="3">
        <v>40969</v>
      </c>
      <c r="H32" s="5">
        <v>0.38642925774120401</v>
      </c>
      <c r="T32" t="s">
        <v>23</v>
      </c>
      <c r="U32" s="1">
        <v>35278</v>
      </c>
      <c r="V32">
        <v>154353</v>
      </c>
      <c r="W32">
        <v>367843583423.22998</v>
      </c>
      <c r="X32">
        <v>127.649006362907</v>
      </c>
      <c r="Z32" s="3">
        <v>40969</v>
      </c>
      <c r="AA32" s="5">
        <v>0</v>
      </c>
      <c r="AB32" s="5"/>
      <c r="AE32" s="3">
        <v>42491</v>
      </c>
      <c r="AF32" s="5">
        <v>742.78805268502299</v>
      </c>
      <c r="AG32" s="5">
        <v>667.12941718162995</v>
      </c>
      <c r="AH32" s="5">
        <f t="shared" si="0"/>
        <v>631.38287267109195</v>
      </c>
      <c r="AJ32" s="3">
        <v>35278</v>
      </c>
      <c r="AK32" s="5">
        <v>118.15428891089999</v>
      </c>
      <c r="AL32" s="5">
        <v>115.11080516480099</v>
      </c>
    </row>
    <row r="33" spans="1:38" x14ac:dyDescent="0.25">
      <c r="A33" t="s">
        <v>23</v>
      </c>
      <c r="B33" s="1">
        <v>35309</v>
      </c>
      <c r="C33">
        <v>155081</v>
      </c>
      <c r="D33">
        <v>370513413856.09998</v>
      </c>
      <c r="E33">
        <v>204.64104043248901</v>
      </c>
      <c r="G33" s="3">
        <v>41000</v>
      </c>
      <c r="H33" s="5">
        <v>0.34650454796276298</v>
      </c>
      <c r="T33" t="s">
        <v>23</v>
      </c>
      <c r="U33" s="1">
        <v>35309</v>
      </c>
      <c r="V33">
        <v>155081</v>
      </c>
      <c r="W33">
        <v>370513413856.09998</v>
      </c>
      <c r="X33">
        <v>125.360095878652</v>
      </c>
      <c r="Z33" s="3">
        <v>41000</v>
      </c>
      <c r="AA33" s="5">
        <v>0</v>
      </c>
      <c r="AB33" s="5"/>
      <c r="AE33" s="3">
        <v>42522</v>
      </c>
      <c r="AF33" s="5">
        <v>747.73647010487298</v>
      </c>
      <c r="AG33" s="5">
        <v>670.04034855362397</v>
      </c>
      <c r="AH33" s="5">
        <f t="shared" si="0"/>
        <v>634.56144491735404</v>
      </c>
      <c r="AJ33" s="3">
        <v>35309</v>
      </c>
      <c r="AK33" s="5">
        <v>117.092865038168</v>
      </c>
      <c r="AL33" s="5">
        <v>113.98107923073501</v>
      </c>
    </row>
    <row r="34" spans="1:38" x14ac:dyDescent="0.25">
      <c r="A34" t="s">
        <v>23</v>
      </c>
      <c r="B34" s="1">
        <v>35339</v>
      </c>
      <c r="C34">
        <v>155900</v>
      </c>
      <c r="D34">
        <v>375154945459.59998</v>
      </c>
      <c r="E34">
        <v>201.52113490842601</v>
      </c>
      <c r="G34" s="3">
        <v>41030</v>
      </c>
      <c r="H34" s="5">
        <v>0.32050085279919499</v>
      </c>
      <c r="T34" t="s">
        <v>23</v>
      </c>
      <c r="U34" s="1">
        <v>35339</v>
      </c>
      <c r="V34">
        <v>155900</v>
      </c>
      <c r="W34">
        <v>375154945459.59998</v>
      </c>
      <c r="X34">
        <v>122.37547907439</v>
      </c>
      <c r="Z34" s="3">
        <v>41030</v>
      </c>
      <c r="AA34" s="5">
        <v>0</v>
      </c>
      <c r="AB34" s="5"/>
      <c r="AE34" s="3">
        <v>42552</v>
      </c>
      <c r="AF34" s="5">
        <v>751.72116677758299</v>
      </c>
      <c r="AG34" s="5">
        <v>672.19014624758699</v>
      </c>
      <c r="AH34" s="5">
        <f t="shared" si="0"/>
        <v>637.89670513216197</v>
      </c>
      <c r="AJ34" s="3">
        <v>35339</v>
      </c>
      <c r="AK34" s="5">
        <v>115.50644734110401</v>
      </c>
      <c r="AL34" s="5">
        <v>112.377098223855</v>
      </c>
    </row>
    <row r="35" spans="1:38" x14ac:dyDescent="0.25">
      <c r="A35" t="s">
        <v>23</v>
      </c>
      <c r="B35" s="1">
        <v>35370</v>
      </c>
      <c r="C35">
        <v>156553</v>
      </c>
      <c r="D35">
        <v>378164550622.22998</v>
      </c>
      <c r="E35">
        <v>200.91033195060299</v>
      </c>
      <c r="G35" s="3">
        <v>41061</v>
      </c>
      <c r="H35" s="5">
        <v>0.30315293562642898</v>
      </c>
      <c r="T35" t="s">
        <v>23</v>
      </c>
      <c r="U35" s="1">
        <v>35370</v>
      </c>
      <c r="V35">
        <v>156553</v>
      </c>
      <c r="W35">
        <v>378164550622.22998</v>
      </c>
      <c r="X35">
        <v>120.61534173073299</v>
      </c>
      <c r="Z35" s="3">
        <v>41061</v>
      </c>
      <c r="AA35" s="5">
        <v>0</v>
      </c>
      <c r="AB35" s="5"/>
      <c r="AE35" s="3">
        <v>42583</v>
      </c>
      <c r="AF35" s="5">
        <v>758.90170349882305</v>
      </c>
      <c r="AG35" s="5">
        <v>677.39050069334201</v>
      </c>
      <c r="AH35" s="5">
        <f t="shared" si="0"/>
        <v>642.05309637272796</v>
      </c>
      <c r="AJ35" s="3">
        <v>35370</v>
      </c>
      <c r="AK35" s="5">
        <v>114.944005021509</v>
      </c>
      <c r="AL35" s="5">
        <v>111.728073542286</v>
      </c>
    </row>
    <row r="36" spans="1:38" x14ac:dyDescent="0.25">
      <c r="A36" t="s">
        <v>23</v>
      </c>
      <c r="B36" s="1">
        <v>35400</v>
      </c>
      <c r="C36">
        <v>157183</v>
      </c>
      <c r="D36">
        <v>380573155397.19</v>
      </c>
      <c r="E36">
        <v>202.163362873159</v>
      </c>
      <c r="G36" s="3">
        <v>41091</v>
      </c>
      <c r="H36" s="5">
        <v>0.31978601492615</v>
      </c>
      <c r="T36" t="s">
        <v>23</v>
      </c>
      <c r="U36" s="1">
        <v>35400</v>
      </c>
      <c r="V36">
        <v>157183</v>
      </c>
      <c r="W36">
        <v>380573155397.19</v>
      </c>
      <c r="X36">
        <v>119.645863826474</v>
      </c>
      <c r="Z36" s="3">
        <v>41091</v>
      </c>
      <c r="AA36" s="5">
        <v>1.3765990560683501E-3</v>
      </c>
      <c r="AB36" s="5"/>
      <c r="AE36" s="3">
        <v>42614</v>
      </c>
      <c r="AF36" s="5">
        <v>763.546675781006</v>
      </c>
      <c r="AG36" s="5">
        <v>680.42264988361899</v>
      </c>
      <c r="AH36" s="5">
        <f t="shared" si="0"/>
        <v>645.20654956741203</v>
      </c>
      <c r="AJ36" s="3">
        <v>35400</v>
      </c>
      <c r="AK36" s="5">
        <v>116.510912602308</v>
      </c>
      <c r="AL36" s="5">
        <v>113.046566284851</v>
      </c>
    </row>
    <row r="37" spans="1:38" x14ac:dyDescent="0.25">
      <c r="A37" t="s">
        <v>23</v>
      </c>
      <c r="B37" s="1">
        <v>35431</v>
      </c>
      <c r="C37">
        <v>157961</v>
      </c>
      <c r="D37">
        <v>383579286284.32001</v>
      </c>
      <c r="E37">
        <v>203.16045781953699</v>
      </c>
      <c r="G37" s="3">
        <v>41122</v>
      </c>
      <c r="H37" s="5">
        <v>0.36071016661187</v>
      </c>
      <c r="T37" t="s">
        <v>23</v>
      </c>
      <c r="U37" s="1">
        <v>35431</v>
      </c>
      <c r="V37">
        <v>157961</v>
      </c>
      <c r="W37">
        <v>383579286284.32001</v>
      </c>
      <c r="X37">
        <v>118.62403927027999</v>
      </c>
      <c r="Z37" s="3">
        <v>41122</v>
      </c>
      <c r="AA37" s="5">
        <v>7.4211834335013104E-4</v>
      </c>
      <c r="AB37" s="5"/>
      <c r="AE37" s="3">
        <v>42644</v>
      </c>
      <c r="AF37" s="5">
        <v>766.01392175292006</v>
      </c>
      <c r="AG37" s="5">
        <v>681.46777242359803</v>
      </c>
      <c r="AH37" s="5">
        <f t="shared" si="0"/>
        <v>646.56014305045198</v>
      </c>
      <c r="AJ37" s="3">
        <v>35490</v>
      </c>
      <c r="AK37" s="5">
        <v>110.346511039988</v>
      </c>
      <c r="AL37" s="5">
        <v>106.811535064571</v>
      </c>
    </row>
    <row r="38" spans="1:38" x14ac:dyDescent="0.25">
      <c r="A38" t="s">
        <v>23</v>
      </c>
      <c r="B38" s="1">
        <v>35462</v>
      </c>
      <c r="C38">
        <v>158587</v>
      </c>
      <c r="D38">
        <v>385622880966.02002</v>
      </c>
      <c r="E38">
        <v>202.71587291916501</v>
      </c>
      <c r="G38" s="3">
        <v>41153</v>
      </c>
      <c r="H38" s="5">
        <v>0.38300337159104397</v>
      </c>
      <c r="T38" t="s">
        <v>23</v>
      </c>
      <c r="U38" s="1">
        <v>35462</v>
      </c>
      <c r="V38">
        <v>158587</v>
      </c>
      <c r="W38">
        <v>385622880966.02002</v>
      </c>
      <c r="X38">
        <v>117.12886207116399</v>
      </c>
      <c r="Z38" s="3">
        <v>41153</v>
      </c>
      <c r="AA38" s="5">
        <v>6.6212219275727196E-4</v>
      </c>
      <c r="AB38" s="5"/>
      <c r="AE38" s="3">
        <v>42675</v>
      </c>
      <c r="AF38" s="5">
        <v>767.75810999898897</v>
      </c>
      <c r="AG38" s="5">
        <v>681.91536630773101</v>
      </c>
      <c r="AH38" s="5">
        <f t="shared" si="0"/>
        <v>650.15620133660104</v>
      </c>
      <c r="AJ38" s="3">
        <v>35521</v>
      </c>
      <c r="AK38" s="5">
        <v>110.267991958297</v>
      </c>
      <c r="AL38" s="5">
        <v>106.58156622012601</v>
      </c>
    </row>
    <row r="39" spans="1:38" x14ac:dyDescent="0.25">
      <c r="A39" t="s">
        <v>23</v>
      </c>
      <c r="B39" s="1">
        <v>35490</v>
      </c>
      <c r="C39">
        <v>159328</v>
      </c>
      <c r="D39">
        <v>388944585913.88</v>
      </c>
      <c r="E39">
        <v>202.99672528437901</v>
      </c>
      <c r="G39" s="3">
        <v>41183</v>
      </c>
      <c r="H39" s="5">
        <v>0.44391159246575901</v>
      </c>
      <c r="T39" t="s">
        <v>23</v>
      </c>
      <c r="U39" s="1">
        <v>35490</v>
      </c>
      <c r="V39">
        <v>159328</v>
      </c>
      <c r="W39">
        <v>388944585913.88</v>
      </c>
      <c r="X39">
        <v>115.880286998255</v>
      </c>
      <c r="Z39" s="3">
        <v>41183</v>
      </c>
      <c r="AA39" s="5">
        <v>6.0157192912084901E-4</v>
      </c>
      <c r="AE39" s="3">
        <v>34366</v>
      </c>
      <c r="AF39" s="5">
        <v>251.95761077007899</v>
      </c>
      <c r="AG39" s="5">
        <v>243.782375455493</v>
      </c>
      <c r="AH39" s="5">
        <f t="shared" si="0"/>
        <v>145.22714241190499</v>
      </c>
      <c r="AJ39" s="3">
        <v>35551</v>
      </c>
      <c r="AK39" s="5">
        <v>109.561817548192</v>
      </c>
      <c r="AL39" s="5">
        <v>105.815777332387</v>
      </c>
    </row>
    <row r="40" spans="1:38" x14ac:dyDescent="0.25">
      <c r="A40" t="s">
        <v>23</v>
      </c>
      <c r="B40" s="1">
        <v>35521</v>
      </c>
      <c r="C40">
        <v>160031</v>
      </c>
      <c r="D40">
        <v>391996345649.14001</v>
      </c>
      <c r="E40">
        <v>202.179569573463</v>
      </c>
      <c r="G40" s="3">
        <v>41214</v>
      </c>
      <c r="H40" s="5">
        <v>0.57488644329570104</v>
      </c>
      <c r="T40" t="s">
        <v>23</v>
      </c>
      <c r="U40" s="1">
        <v>35521</v>
      </c>
      <c r="V40">
        <v>160031</v>
      </c>
      <c r="W40">
        <v>391996345649.14001</v>
      </c>
      <c r="X40">
        <v>114.319603868936</v>
      </c>
      <c r="Z40" s="3">
        <v>41214</v>
      </c>
      <c r="AA40" s="5">
        <v>3.4242463600533801E-3</v>
      </c>
      <c r="AE40" s="3">
        <v>34394</v>
      </c>
      <c r="AF40" s="5">
        <v>249.509102676921</v>
      </c>
      <c r="AG40" s="5">
        <v>234.482687009149</v>
      </c>
      <c r="AH40" s="5">
        <f t="shared" si="0"/>
        <v>142.93933441880901</v>
      </c>
      <c r="AJ40" s="3">
        <v>35582</v>
      </c>
      <c r="AK40" s="5">
        <v>109.496784249725</v>
      </c>
      <c r="AL40" s="5">
        <v>105.604404917929</v>
      </c>
    </row>
    <row r="41" spans="1:38" x14ac:dyDescent="0.25">
      <c r="A41" t="s">
        <v>23</v>
      </c>
      <c r="B41" s="1">
        <v>35551</v>
      </c>
      <c r="C41">
        <v>160667</v>
      </c>
      <c r="D41">
        <v>394401986179.65997</v>
      </c>
      <c r="E41">
        <v>200.35043825404901</v>
      </c>
      <c r="G41" s="3">
        <v>41244</v>
      </c>
      <c r="H41" s="5">
        <v>0.68356833645499604</v>
      </c>
      <c r="T41" t="s">
        <v>23</v>
      </c>
      <c r="U41" s="1">
        <v>35551</v>
      </c>
      <c r="V41">
        <v>160667</v>
      </c>
      <c r="W41">
        <v>394401986179.65997</v>
      </c>
      <c r="X41">
        <v>112.430490172321</v>
      </c>
      <c r="Z41" s="3">
        <v>41244</v>
      </c>
      <c r="AA41" s="5">
        <v>2.2882325504355499E-3</v>
      </c>
      <c r="AE41" s="3">
        <v>34425</v>
      </c>
      <c r="AF41" s="5">
        <v>245.31635729751301</v>
      </c>
      <c r="AG41" s="5">
        <v>226.24896811246401</v>
      </c>
      <c r="AH41" s="5">
        <f t="shared" si="0"/>
        <v>136.982734237833</v>
      </c>
      <c r="AJ41" s="3">
        <v>35612</v>
      </c>
      <c r="AK41" s="5">
        <v>110.169093653071</v>
      </c>
      <c r="AL41" s="5">
        <v>105.975002164592</v>
      </c>
    </row>
    <row r="42" spans="1:38" x14ac:dyDescent="0.25">
      <c r="A42" t="s">
        <v>23</v>
      </c>
      <c r="B42" s="1">
        <v>35582</v>
      </c>
      <c r="C42">
        <v>161332</v>
      </c>
      <c r="D42">
        <v>397650299517.78003</v>
      </c>
      <c r="E42">
        <v>198.68669927979701</v>
      </c>
      <c r="G42" s="3">
        <v>41275</v>
      </c>
      <c r="H42" s="5">
        <v>0.79595638546278502</v>
      </c>
      <c r="T42" t="s">
        <v>23</v>
      </c>
      <c r="U42" s="1">
        <v>35582</v>
      </c>
      <c r="V42">
        <v>161332</v>
      </c>
      <c r="W42">
        <v>397650299517.78003</v>
      </c>
      <c r="X42">
        <v>110.488697800867</v>
      </c>
      <c r="Z42" s="3">
        <v>41275</v>
      </c>
      <c r="AA42" s="5">
        <v>2.14775656873323E-3</v>
      </c>
      <c r="AE42" s="3">
        <v>34455</v>
      </c>
      <c r="AF42" s="5">
        <v>236.85925271316401</v>
      </c>
      <c r="AG42" s="5">
        <v>215.93708971184401</v>
      </c>
      <c r="AH42" s="5" t="e">
        <f t="shared" si="0"/>
        <v>#N/A</v>
      </c>
      <c r="AJ42" s="3">
        <v>35643</v>
      </c>
      <c r="AK42" s="5">
        <v>112.096149760087</v>
      </c>
      <c r="AL42" s="5">
        <v>107.373284139796</v>
      </c>
    </row>
    <row r="43" spans="1:38" x14ac:dyDescent="0.25">
      <c r="A43" t="s">
        <v>23</v>
      </c>
      <c r="B43" s="1">
        <v>35612</v>
      </c>
      <c r="C43">
        <v>161858</v>
      </c>
      <c r="D43">
        <v>399661358461.85999</v>
      </c>
      <c r="E43">
        <v>199.109252509143</v>
      </c>
      <c r="G43" s="3">
        <v>41306</v>
      </c>
      <c r="H43" s="5">
        <v>0.84420618322463303</v>
      </c>
      <c r="T43" t="s">
        <v>23</v>
      </c>
      <c r="U43" s="1">
        <v>35612</v>
      </c>
      <c r="V43">
        <v>161858</v>
      </c>
      <c r="W43">
        <v>399661358461.85999</v>
      </c>
      <c r="X43">
        <v>109.537451549664</v>
      </c>
      <c r="Z43" s="3">
        <v>41306</v>
      </c>
      <c r="AA43" s="5">
        <v>2.82313660585782E-3</v>
      </c>
      <c r="AE43" s="3">
        <v>34486</v>
      </c>
      <c r="AF43" s="5">
        <v>229.56331144655701</v>
      </c>
      <c r="AG43" s="5">
        <v>207.26682714751999</v>
      </c>
      <c r="AH43" s="5" t="e">
        <f t="shared" si="0"/>
        <v>#N/A</v>
      </c>
      <c r="AJ43" s="3">
        <v>35674</v>
      </c>
      <c r="AK43" s="5">
        <v>113.55313712480201</v>
      </c>
      <c r="AL43" s="5">
        <v>108.32287616411401</v>
      </c>
    </row>
    <row r="44" spans="1:38" x14ac:dyDescent="0.25">
      <c r="A44" t="s">
        <v>23</v>
      </c>
      <c r="B44" s="1">
        <v>35643</v>
      </c>
      <c r="C44">
        <v>162531</v>
      </c>
      <c r="D44">
        <v>402473247826.06</v>
      </c>
      <c r="E44">
        <v>200.42508822329501</v>
      </c>
      <c r="G44" s="3">
        <v>41334</v>
      </c>
      <c r="H44" s="5">
        <v>0.83879467331671198</v>
      </c>
      <c r="T44" t="s">
        <v>23</v>
      </c>
      <c r="U44" s="1">
        <v>35643</v>
      </c>
      <c r="V44">
        <v>162531</v>
      </c>
      <c r="W44">
        <v>402473247826.06</v>
      </c>
      <c r="X44">
        <v>108.93832100365501</v>
      </c>
      <c r="Z44" s="3">
        <v>41334</v>
      </c>
      <c r="AA44" s="5">
        <v>3.7808411821423698E-3</v>
      </c>
      <c r="AE44" s="3">
        <v>34516</v>
      </c>
      <c r="AF44" s="5">
        <v>224.50622372526701</v>
      </c>
      <c r="AG44" s="5">
        <v>200.515806902729</v>
      </c>
      <c r="AH44" s="5">
        <f t="shared" si="0"/>
        <v>118.26681724606399</v>
      </c>
      <c r="AJ44" s="3">
        <v>35704</v>
      </c>
      <c r="AK44" s="5">
        <v>115.576072211273</v>
      </c>
      <c r="AL44" s="5">
        <v>109.725811176973</v>
      </c>
    </row>
    <row r="45" spans="1:38" x14ac:dyDescent="0.25">
      <c r="A45" t="s">
        <v>23</v>
      </c>
      <c r="B45" s="1">
        <v>35674</v>
      </c>
      <c r="C45">
        <v>163328</v>
      </c>
      <c r="D45">
        <v>407135000510.78003</v>
      </c>
      <c r="E45">
        <v>200.38467452853101</v>
      </c>
      <c r="G45" s="3">
        <v>41365</v>
      </c>
      <c r="H45" s="5">
        <v>0.88038042045642095</v>
      </c>
      <c r="T45" t="s">
        <v>23</v>
      </c>
      <c r="U45" s="1">
        <v>35674</v>
      </c>
      <c r="V45">
        <v>163328</v>
      </c>
      <c r="W45">
        <v>407135000510.78003</v>
      </c>
      <c r="X45">
        <v>107.69994260707399</v>
      </c>
      <c r="Z45" s="3">
        <v>41365</v>
      </c>
      <c r="AA45" s="5">
        <v>5.2648400349945097E-3</v>
      </c>
      <c r="AE45" s="3">
        <v>34547</v>
      </c>
      <c r="AF45" s="5">
        <v>220.363399617065</v>
      </c>
      <c r="AG45" s="5">
        <v>195.02974978119801</v>
      </c>
      <c r="AH45" s="5">
        <f t="shared" si="0"/>
        <v>115.500464726109</v>
      </c>
      <c r="AJ45" s="3">
        <v>35735</v>
      </c>
      <c r="AK45" s="5">
        <v>117.82551503657101</v>
      </c>
      <c r="AL45" s="5">
        <v>111.151487790414</v>
      </c>
    </row>
    <row r="46" spans="1:38" x14ac:dyDescent="0.25">
      <c r="A46" t="s">
        <v>23</v>
      </c>
      <c r="B46" s="1">
        <v>35704</v>
      </c>
      <c r="C46">
        <v>164171</v>
      </c>
      <c r="D46">
        <v>410957899203.09998</v>
      </c>
      <c r="E46">
        <v>201.359016907647</v>
      </c>
      <c r="G46" s="3">
        <v>41395</v>
      </c>
      <c r="H46" s="5">
        <v>1.2000134333821</v>
      </c>
      <c r="T46" t="s">
        <v>23</v>
      </c>
      <c r="U46" s="1">
        <v>35704</v>
      </c>
      <c r="V46">
        <v>164171</v>
      </c>
      <c r="W46">
        <v>410957899203.09998</v>
      </c>
      <c r="X46">
        <v>107.023726591773</v>
      </c>
      <c r="Z46" s="3">
        <v>41395</v>
      </c>
      <c r="AA46" s="5">
        <v>9.5927891626630402E-3</v>
      </c>
      <c r="AE46" s="3">
        <v>34578</v>
      </c>
      <c r="AF46" s="5">
        <v>217.90411938931101</v>
      </c>
      <c r="AG46" s="5">
        <v>190.96620723217401</v>
      </c>
      <c r="AH46" s="5">
        <f t="shared" si="0"/>
        <v>113.555203409497</v>
      </c>
      <c r="AJ46" s="3">
        <v>35765</v>
      </c>
      <c r="AK46" s="5">
        <v>120.97942183629399</v>
      </c>
      <c r="AL46" s="5">
        <v>113.322066718155</v>
      </c>
    </row>
    <row r="47" spans="1:38" x14ac:dyDescent="0.25">
      <c r="A47" t="s">
        <v>23</v>
      </c>
      <c r="B47" s="1">
        <v>35735</v>
      </c>
      <c r="C47">
        <v>164998</v>
      </c>
      <c r="D47">
        <v>415578143387.42999</v>
      </c>
      <c r="E47">
        <v>202.58725287252</v>
      </c>
      <c r="G47" s="3">
        <v>41426</v>
      </c>
      <c r="H47" s="5">
        <v>1.99134553180713</v>
      </c>
      <c r="T47" t="s">
        <v>23</v>
      </c>
      <c r="U47" s="1">
        <v>35735</v>
      </c>
      <c r="V47">
        <v>164998</v>
      </c>
      <c r="W47">
        <v>415578143387.42999</v>
      </c>
      <c r="X47">
        <v>106.486785123072</v>
      </c>
      <c r="Z47" s="3">
        <v>41426</v>
      </c>
      <c r="AA47" s="5">
        <v>1.99957546878019E-2</v>
      </c>
      <c r="AE47" s="3">
        <v>34608</v>
      </c>
      <c r="AF47" s="5">
        <v>214.886405653319</v>
      </c>
      <c r="AG47" s="5">
        <v>186.68367058190401</v>
      </c>
      <c r="AH47" s="5">
        <f t="shared" si="0"/>
        <v>111.724101042027</v>
      </c>
      <c r="AJ47" s="3">
        <v>35796</v>
      </c>
      <c r="AK47" s="5">
        <v>124.52219833617301</v>
      </c>
      <c r="AL47" s="5">
        <v>115.713666005742</v>
      </c>
    </row>
    <row r="48" spans="1:38" x14ac:dyDescent="0.25">
      <c r="A48" t="s">
        <v>23</v>
      </c>
      <c r="B48" s="1">
        <v>35765</v>
      </c>
      <c r="C48">
        <v>165889</v>
      </c>
      <c r="D48">
        <v>420442181020.82001</v>
      </c>
      <c r="E48">
        <v>204.24042270098099</v>
      </c>
      <c r="G48" s="3">
        <v>41456</v>
      </c>
      <c r="H48" s="5">
        <v>2.37553315179925</v>
      </c>
      <c r="T48" t="s">
        <v>23</v>
      </c>
      <c r="U48" s="1">
        <v>35765</v>
      </c>
      <c r="V48">
        <v>165889</v>
      </c>
      <c r="W48">
        <v>420442181020.82001</v>
      </c>
      <c r="X48">
        <v>106.19939574244</v>
      </c>
      <c r="Z48" s="3">
        <v>41456</v>
      </c>
      <c r="AA48" s="5">
        <v>2.2204230372227001E-2</v>
      </c>
      <c r="AE48" s="3">
        <v>34639</v>
      </c>
      <c r="AF48" s="5">
        <v>211.85040152588201</v>
      </c>
      <c r="AG48" s="5">
        <v>182.83427916822001</v>
      </c>
      <c r="AH48" s="5">
        <f t="shared" si="0"/>
        <v>109.998313813271</v>
      </c>
      <c r="AJ48" s="3">
        <v>35827</v>
      </c>
      <c r="AK48" s="5">
        <v>131.45641940396999</v>
      </c>
      <c r="AL48" s="5">
        <v>120.963903050448</v>
      </c>
    </row>
    <row r="49" spans="1:38" x14ac:dyDescent="0.25">
      <c r="A49" t="s">
        <v>23</v>
      </c>
      <c r="B49" s="1">
        <v>35796</v>
      </c>
      <c r="C49">
        <v>166964</v>
      </c>
      <c r="D49">
        <v>425507008058.42999</v>
      </c>
      <c r="E49">
        <v>206.677386229017</v>
      </c>
      <c r="G49" s="3">
        <v>41487</v>
      </c>
      <c r="H49" s="5">
        <v>2.5159947521202</v>
      </c>
      <c r="T49" t="s">
        <v>23</v>
      </c>
      <c r="U49" s="1">
        <v>35796</v>
      </c>
      <c r="V49">
        <v>166964</v>
      </c>
      <c r="W49">
        <v>425507008058.42999</v>
      </c>
      <c r="X49">
        <v>106.442110821803</v>
      </c>
      <c r="Z49" s="3">
        <v>41487</v>
      </c>
      <c r="AA49" s="5">
        <v>2.20960682715006E-2</v>
      </c>
      <c r="AE49" s="3">
        <v>34669</v>
      </c>
      <c r="AF49" s="5">
        <v>208.490053063397</v>
      </c>
      <c r="AG49" s="5">
        <v>179.05827160571499</v>
      </c>
      <c r="AH49" s="5">
        <f t="shared" si="0"/>
        <v>108.780107205902</v>
      </c>
      <c r="AJ49" s="3">
        <v>35855</v>
      </c>
      <c r="AK49" s="5">
        <v>136.795559521748</v>
      </c>
      <c r="AL49" s="5">
        <v>124.748842364672</v>
      </c>
    </row>
    <row r="50" spans="1:38" x14ac:dyDescent="0.25">
      <c r="A50" t="s">
        <v>23</v>
      </c>
      <c r="B50" s="1">
        <v>35827</v>
      </c>
      <c r="C50">
        <v>167888</v>
      </c>
      <c r="D50">
        <v>430133364045.90002</v>
      </c>
      <c r="E50">
        <v>210.98901034040799</v>
      </c>
      <c r="G50" s="3">
        <v>41518</v>
      </c>
      <c r="H50" s="5">
        <v>2.6203590480539098</v>
      </c>
      <c r="T50" t="s">
        <v>23</v>
      </c>
      <c r="U50" s="1">
        <v>35827</v>
      </c>
      <c r="V50">
        <v>167888</v>
      </c>
      <c r="W50">
        <v>430133364045.90002</v>
      </c>
      <c r="X50">
        <v>107.744773386007</v>
      </c>
      <c r="Z50" s="3">
        <v>41518</v>
      </c>
      <c r="AA50" s="5">
        <v>2.3120276766625401E-2</v>
      </c>
      <c r="AE50" s="3">
        <v>34700</v>
      </c>
      <c r="AF50" s="5">
        <v>205.19476429095801</v>
      </c>
      <c r="AG50" s="5">
        <v>175.39961494973099</v>
      </c>
      <c r="AH50" s="5">
        <f t="shared" si="0"/>
        <v>107.69863796528701</v>
      </c>
      <c r="AJ50" s="3">
        <v>35886</v>
      </c>
      <c r="AK50" s="5">
        <v>137.90437843970301</v>
      </c>
      <c r="AL50" s="5">
        <v>124.873654508049</v>
      </c>
    </row>
    <row r="51" spans="1:38" x14ac:dyDescent="0.25">
      <c r="A51" t="s">
        <v>23</v>
      </c>
      <c r="B51" s="1">
        <v>35855</v>
      </c>
      <c r="C51">
        <v>169006</v>
      </c>
      <c r="D51">
        <v>436014643807.73999</v>
      </c>
      <c r="E51">
        <v>214.89746465490799</v>
      </c>
      <c r="G51" s="3">
        <v>41548</v>
      </c>
      <c r="H51" s="5">
        <v>2.7321088151864799</v>
      </c>
      <c r="T51" t="s">
        <v>23</v>
      </c>
      <c r="U51" s="1">
        <v>35855</v>
      </c>
      <c r="V51">
        <v>169006</v>
      </c>
      <c r="W51">
        <v>436014643807.73999</v>
      </c>
      <c r="X51">
        <v>108.86837011368701</v>
      </c>
      <c r="Z51" s="3">
        <v>41548</v>
      </c>
      <c r="AA51" s="5">
        <v>2.2109806592352298E-2</v>
      </c>
      <c r="AE51" s="3">
        <v>34731</v>
      </c>
      <c r="AF51" s="5">
        <v>203.20549844029699</v>
      </c>
      <c r="AG51" s="5">
        <v>172.841893458219</v>
      </c>
      <c r="AH51" s="5">
        <f t="shared" si="0"/>
        <v>106.56285531869101</v>
      </c>
      <c r="AJ51" s="3">
        <v>35916</v>
      </c>
      <c r="AK51" s="5">
        <v>137.62607658271401</v>
      </c>
      <c r="AL51" s="5">
        <v>123.768555160582</v>
      </c>
    </row>
    <row r="52" spans="1:38" x14ac:dyDescent="0.25">
      <c r="A52" t="s">
        <v>23</v>
      </c>
      <c r="B52" s="1">
        <v>35886</v>
      </c>
      <c r="C52">
        <v>170201</v>
      </c>
      <c r="D52">
        <v>440572182741.69</v>
      </c>
      <c r="E52">
        <v>215.69953405333499</v>
      </c>
      <c r="G52" s="3">
        <v>41579</v>
      </c>
      <c r="H52" s="5">
        <v>3.2868839886737602</v>
      </c>
      <c r="T52" t="s">
        <v>23</v>
      </c>
      <c r="U52" s="1">
        <v>35886</v>
      </c>
      <c r="V52">
        <v>170201</v>
      </c>
      <c r="W52">
        <v>440572182741.69</v>
      </c>
      <c r="X52">
        <v>108.572133122525</v>
      </c>
      <c r="Z52" s="3">
        <v>41579</v>
      </c>
      <c r="AA52" s="5">
        <v>2.6993667235697599E-2</v>
      </c>
      <c r="AE52" s="3">
        <v>34759</v>
      </c>
      <c r="AF52" s="5">
        <v>202.29015060298499</v>
      </c>
      <c r="AG52" s="5">
        <v>170.83836976066701</v>
      </c>
      <c r="AH52" s="5">
        <f t="shared" si="0"/>
        <v>105.759303756319</v>
      </c>
      <c r="AJ52" s="3">
        <v>35947</v>
      </c>
      <c r="AK52" s="5">
        <v>137.199329846198</v>
      </c>
      <c r="AL52" s="5">
        <v>122.449490559195</v>
      </c>
    </row>
    <row r="53" spans="1:38" x14ac:dyDescent="0.25">
      <c r="A53" t="s">
        <v>23</v>
      </c>
      <c r="B53" s="1">
        <v>35916</v>
      </c>
      <c r="C53">
        <v>171456</v>
      </c>
      <c r="D53">
        <v>447378001346.06</v>
      </c>
      <c r="E53">
        <v>212.55112382243101</v>
      </c>
      <c r="G53" s="3">
        <v>41609</v>
      </c>
      <c r="H53" s="5">
        <v>3.5642966789331001</v>
      </c>
      <c r="T53" t="s">
        <v>23</v>
      </c>
      <c r="U53" s="1">
        <v>35916</v>
      </c>
      <c r="V53">
        <v>171456</v>
      </c>
      <c r="W53">
        <v>447378001346.06</v>
      </c>
      <c r="X53">
        <v>106.361928439392</v>
      </c>
      <c r="Z53" s="3">
        <v>41609</v>
      </c>
      <c r="AA53" s="5">
        <v>3.1534857380747398E-2</v>
      </c>
      <c r="AE53" s="3">
        <v>34790</v>
      </c>
      <c r="AF53" s="5">
        <v>202.84204716388001</v>
      </c>
      <c r="AG53" s="5">
        <v>169.50120363527199</v>
      </c>
      <c r="AH53" s="5">
        <f t="shared" si="0"/>
        <v>105.356295735144</v>
      </c>
      <c r="AJ53" s="3">
        <v>35977</v>
      </c>
      <c r="AK53" s="5">
        <v>138.63479646786601</v>
      </c>
      <c r="AL53" s="5">
        <v>122.619513214699</v>
      </c>
    </row>
    <row r="54" spans="1:38" x14ac:dyDescent="0.25">
      <c r="A54" t="s">
        <v>23</v>
      </c>
      <c r="B54" s="1">
        <v>35947</v>
      </c>
      <c r="C54">
        <v>172582</v>
      </c>
      <c r="D54">
        <v>454600787180.84998</v>
      </c>
      <c r="E54">
        <v>210.21750287960199</v>
      </c>
      <c r="G54" s="3">
        <v>41640</v>
      </c>
      <c r="H54" s="5">
        <v>3.7179778437659698</v>
      </c>
      <c r="T54" t="s">
        <v>23</v>
      </c>
      <c r="U54" s="1">
        <v>35947</v>
      </c>
      <c r="V54">
        <v>172582</v>
      </c>
      <c r="W54">
        <v>454600787180.84998</v>
      </c>
      <c r="X54">
        <v>104.512916257984</v>
      </c>
      <c r="Z54" s="3">
        <v>41640</v>
      </c>
      <c r="AA54" s="5">
        <v>0.11200400279485501</v>
      </c>
      <c r="AE54" s="3">
        <v>34820</v>
      </c>
      <c r="AF54" s="5">
        <v>203.253163573546</v>
      </c>
      <c r="AG54" s="5">
        <v>167.78811251201299</v>
      </c>
      <c r="AH54" s="5">
        <f t="shared" si="0"/>
        <v>105.11470912805299</v>
      </c>
      <c r="AJ54" s="3">
        <v>36008</v>
      </c>
      <c r="AK54" s="5">
        <v>140.24654298033801</v>
      </c>
      <c r="AL54" s="5">
        <v>122.937958270274</v>
      </c>
    </row>
    <row r="55" spans="1:38" x14ac:dyDescent="0.25">
      <c r="A55" t="s">
        <v>23</v>
      </c>
      <c r="B55" s="1">
        <v>35977</v>
      </c>
      <c r="C55">
        <v>173773</v>
      </c>
      <c r="D55">
        <v>463337515393.27002</v>
      </c>
      <c r="E55">
        <v>209.55847735609399</v>
      </c>
      <c r="G55" s="3">
        <v>41671</v>
      </c>
      <c r="H55" s="5">
        <v>2.6061217727272199</v>
      </c>
      <c r="T55" t="s">
        <v>23</v>
      </c>
      <c r="U55" s="1">
        <v>35977</v>
      </c>
      <c r="V55">
        <v>173773</v>
      </c>
      <c r="W55">
        <v>463337515393.27002</v>
      </c>
      <c r="X55">
        <v>103.56650003183501</v>
      </c>
      <c r="Z55" s="3">
        <v>41671</v>
      </c>
      <c r="AA55" s="5">
        <v>2.6330640991372798</v>
      </c>
      <c r="AE55" s="3">
        <v>34851</v>
      </c>
      <c r="AF55" s="5">
        <v>204.959025352982</v>
      </c>
      <c r="AG55" s="5">
        <v>166.239580669068</v>
      </c>
      <c r="AH55" s="5">
        <f t="shared" si="0"/>
        <v>106.153578166342</v>
      </c>
      <c r="AJ55" s="3">
        <v>36039</v>
      </c>
      <c r="AK55" s="5">
        <v>143.13299549912099</v>
      </c>
      <c r="AL55" s="5">
        <v>124.36769757394001</v>
      </c>
    </row>
    <row r="56" spans="1:38" x14ac:dyDescent="0.25">
      <c r="A56" t="s">
        <v>23</v>
      </c>
      <c r="B56" s="1">
        <v>36008</v>
      </c>
      <c r="C56">
        <v>174901</v>
      </c>
      <c r="D56">
        <v>473963930458.06</v>
      </c>
      <c r="E56">
        <v>208.04119536641201</v>
      </c>
      <c r="G56" s="3">
        <v>41699</v>
      </c>
      <c r="H56" s="5">
        <v>5.8742340058851399</v>
      </c>
      <c r="T56" t="s">
        <v>23</v>
      </c>
      <c r="U56" s="1">
        <v>36008</v>
      </c>
      <c r="V56">
        <v>174901</v>
      </c>
      <c r="W56">
        <v>473963930458.06</v>
      </c>
      <c r="X56">
        <v>102.246255205677</v>
      </c>
      <c r="Z56" s="3">
        <v>41699</v>
      </c>
      <c r="AA56" s="5">
        <v>5.9309292138913499</v>
      </c>
      <c r="AE56" s="3">
        <v>34881</v>
      </c>
      <c r="AF56" s="5">
        <v>207.851274558559</v>
      </c>
      <c r="AG56" s="5">
        <v>164.542027020159</v>
      </c>
      <c r="AH56" s="5">
        <f t="shared" si="0"/>
        <v>109.00335454113601</v>
      </c>
      <c r="AJ56" s="3">
        <v>36069</v>
      </c>
      <c r="AK56" s="5">
        <v>148.92795279742401</v>
      </c>
      <c r="AL56" s="5">
        <v>128.09009301328601</v>
      </c>
    </row>
    <row r="57" spans="1:38" x14ac:dyDescent="0.25">
      <c r="A57" t="s">
        <v>23</v>
      </c>
      <c r="B57" s="1">
        <v>36039</v>
      </c>
      <c r="C57">
        <v>175971</v>
      </c>
      <c r="D57">
        <v>482637195788</v>
      </c>
      <c r="E57">
        <v>207.67491938831299</v>
      </c>
      <c r="G57" s="3">
        <v>41730</v>
      </c>
      <c r="H57" s="5">
        <v>9.0169565703567898</v>
      </c>
      <c r="T57" t="s">
        <v>23</v>
      </c>
      <c r="U57" s="1">
        <v>36039</v>
      </c>
      <c r="V57">
        <v>175971</v>
      </c>
      <c r="W57">
        <v>482637195788</v>
      </c>
      <c r="X57">
        <v>101.53557658064901</v>
      </c>
      <c r="Z57" s="3">
        <v>41730</v>
      </c>
      <c r="AA57" s="5">
        <v>9.0911741291327992</v>
      </c>
      <c r="AE57" s="3">
        <v>34912</v>
      </c>
      <c r="AF57" s="5">
        <v>209.28348900722699</v>
      </c>
      <c r="AG57" s="5">
        <v>161.865960699543</v>
      </c>
      <c r="AH57" s="5">
        <f t="shared" si="0"/>
        <v>111.70004860990601</v>
      </c>
      <c r="AJ57" s="3">
        <v>36100</v>
      </c>
      <c r="AK57" s="5">
        <v>152.633519949277</v>
      </c>
      <c r="AL57" s="5">
        <v>130.00716538370401</v>
      </c>
    </row>
    <row r="58" spans="1:38" x14ac:dyDescent="0.25">
      <c r="A58" t="s">
        <v>23</v>
      </c>
      <c r="B58" s="1">
        <v>36069</v>
      </c>
      <c r="C58">
        <v>177221</v>
      </c>
      <c r="D58">
        <v>492759677673.42999</v>
      </c>
      <c r="E58">
        <v>209.86962582924599</v>
      </c>
      <c r="G58" s="3">
        <v>41760</v>
      </c>
      <c r="H58" s="5">
        <v>12.257541496999099</v>
      </c>
      <c r="T58" t="s">
        <v>23</v>
      </c>
      <c r="U58" s="1">
        <v>36069</v>
      </c>
      <c r="V58">
        <v>177221</v>
      </c>
      <c r="W58">
        <v>492759677673.42999</v>
      </c>
      <c r="X58">
        <v>102.528495041151</v>
      </c>
      <c r="Z58" s="3">
        <v>41760</v>
      </c>
      <c r="AA58" s="5">
        <v>12.3469701053466</v>
      </c>
      <c r="AE58" s="3">
        <v>34943</v>
      </c>
      <c r="AF58" s="5">
        <v>208.62809579326299</v>
      </c>
      <c r="AG58" s="5">
        <v>158.41334845742</v>
      </c>
      <c r="AH58" s="5">
        <f t="shared" si="0"/>
        <v>112.182615400253</v>
      </c>
      <c r="AJ58" s="3">
        <v>36130</v>
      </c>
      <c r="AK58" s="5">
        <v>152.419785145948</v>
      </c>
      <c r="AL58" s="5">
        <v>128.85590587937099</v>
      </c>
    </row>
    <row r="59" spans="1:38" x14ac:dyDescent="0.25">
      <c r="A59" t="s">
        <v>23</v>
      </c>
      <c r="B59" s="1">
        <v>36100</v>
      </c>
      <c r="C59">
        <v>178640</v>
      </c>
      <c r="D59">
        <v>502211629634.06</v>
      </c>
      <c r="E59">
        <v>212.31037838721599</v>
      </c>
      <c r="G59" s="3">
        <v>41791</v>
      </c>
      <c r="H59" s="5">
        <v>16.7671467431833</v>
      </c>
      <c r="T59" t="s">
        <v>23</v>
      </c>
      <c r="U59" s="1">
        <v>36100</v>
      </c>
      <c r="V59">
        <v>178640</v>
      </c>
      <c r="W59">
        <v>502211629634.06</v>
      </c>
      <c r="X59">
        <v>103.641119399283</v>
      </c>
      <c r="Z59" s="3">
        <v>41791</v>
      </c>
      <c r="AA59" s="5">
        <v>16.892570197804101</v>
      </c>
      <c r="AE59" s="3">
        <v>34973</v>
      </c>
      <c r="AF59" s="5">
        <v>209.112025285264</v>
      </c>
      <c r="AG59" s="5">
        <v>155.33338900609499</v>
      </c>
      <c r="AH59" s="5">
        <f t="shared" si="0"/>
        <v>112.258729580463</v>
      </c>
      <c r="AJ59" s="3">
        <v>36161</v>
      </c>
      <c r="AK59" s="5">
        <v>153.51673971357999</v>
      </c>
      <c r="AL59" s="5">
        <v>128.83128881637899</v>
      </c>
    </row>
    <row r="60" spans="1:38" x14ac:dyDescent="0.25">
      <c r="A60" t="s">
        <v>23</v>
      </c>
      <c r="B60" s="1">
        <v>36130</v>
      </c>
      <c r="C60">
        <v>179937</v>
      </c>
      <c r="D60">
        <v>508860817728.65997</v>
      </c>
      <c r="E60">
        <v>212.02597282276801</v>
      </c>
      <c r="G60" s="3">
        <v>41821</v>
      </c>
      <c r="H60" s="5">
        <v>21.453039240674201</v>
      </c>
      <c r="T60" t="s">
        <v>23</v>
      </c>
      <c r="U60" s="1">
        <v>36130</v>
      </c>
      <c r="V60">
        <v>179937</v>
      </c>
      <c r="W60">
        <v>508860817728.65997</v>
      </c>
      <c r="X60">
        <v>103.091121125494</v>
      </c>
      <c r="Z60" s="3">
        <v>41821</v>
      </c>
      <c r="AA60" s="5">
        <v>21.6136384490678</v>
      </c>
      <c r="AE60" s="3">
        <v>35004</v>
      </c>
      <c r="AF60" s="5">
        <v>210.457757831126</v>
      </c>
      <c r="AG60" s="5">
        <v>152.708613474212</v>
      </c>
      <c r="AH60" s="5">
        <f t="shared" si="0"/>
        <v>112.995012075003</v>
      </c>
      <c r="AJ60" s="3">
        <v>36192</v>
      </c>
      <c r="AK60" s="5">
        <v>153.20913172776901</v>
      </c>
      <c r="AL60" s="5">
        <v>127.593900116656</v>
      </c>
    </row>
    <row r="61" spans="1:38" x14ac:dyDescent="0.25">
      <c r="A61" t="s">
        <v>23</v>
      </c>
      <c r="B61" s="1">
        <v>36161</v>
      </c>
      <c r="C61">
        <v>181535</v>
      </c>
      <c r="D61">
        <v>519181595242.40002</v>
      </c>
      <c r="E61">
        <v>210.13243660683099</v>
      </c>
      <c r="G61" s="3">
        <v>41852</v>
      </c>
      <c r="H61" s="5">
        <v>26.404603196462499</v>
      </c>
      <c r="T61" t="s">
        <v>23</v>
      </c>
      <c r="U61" s="1">
        <v>36161</v>
      </c>
      <c r="V61">
        <v>181535</v>
      </c>
      <c r="W61">
        <v>519181595242.40002</v>
      </c>
      <c r="X61">
        <v>102.048044730559</v>
      </c>
      <c r="Z61" s="3">
        <v>41852</v>
      </c>
      <c r="AA61" s="5">
        <v>26.5984945485271</v>
      </c>
      <c r="AE61" s="3">
        <v>35034</v>
      </c>
      <c r="AF61" s="5">
        <v>212.00675377462301</v>
      </c>
      <c r="AG61" s="5">
        <v>150.11310249176901</v>
      </c>
      <c r="AH61" s="5">
        <f t="shared" si="0"/>
        <v>115.455074241858</v>
      </c>
      <c r="AJ61" s="3">
        <v>36220</v>
      </c>
      <c r="AK61" s="5">
        <v>152.57972212448999</v>
      </c>
      <c r="AL61" s="5">
        <v>126.133819748504</v>
      </c>
    </row>
    <row r="62" spans="1:38" x14ac:dyDescent="0.25">
      <c r="A62" t="s">
        <v>23</v>
      </c>
      <c r="B62" s="1">
        <v>36192</v>
      </c>
      <c r="C62">
        <v>183021</v>
      </c>
      <c r="D62">
        <v>529266546073.46997</v>
      </c>
      <c r="E62">
        <v>206.22704316802401</v>
      </c>
      <c r="G62" s="3">
        <v>41883</v>
      </c>
      <c r="H62" s="5">
        <v>31.579670124205801</v>
      </c>
      <c r="T62" t="s">
        <v>23</v>
      </c>
      <c r="U62" s="1">
        <v>36192</v>
      </c>
      <c r="V62">
        <v>183021</v>
      </c>
      <c r="W62">
        <v>529266546073.46997</v>
      </c>
      <c r="X62">
        <v>99.879058553505601</v>
      </c>
      <c r="Z62" s="3">
        <v>41883</v>
      </c>
      <c r="AA62" s="5">
        <v>31.804130271195501</v>
      </c>
      <c r="AE62" s="3">
        <v>35065</v>
      </c>
      <c r="AF62" s="5">
        <v>215.37685650202801</v>
      </c>
      <c r="AG62" s="5">
        <v>148.51778275939401</v>
      </c>
      <c r="AH62" s="5">
        <f t="shared" si="0"/>
        <v>119.554078330637</v>
      </c>
      <c r="AJ62" s="3">
        <v>36251</v>
      </c>
      <c r="AK62" s="5">
        <v>149.32753454951799</v>
      </c>
      <c r="AL62" s="5">
        <v>122.767130407889</v>
      </c>
    </row>
    <row r="63" spans="1:38" x14ac:dyDescent="0.25">
      <c r="A63" t="s">
        <v>23</v>
      </c>
      <c r="B63" s="1">
        <v>36220</v>
      </c>
      <c r="C63">
        <v>184355</v>
      </c>
      <c r="D63">
        <v>540755542094.21002</v>
      </c>
      <c r="E63">
        <v>203.81564753125599</v>
      </c>
      <c r="G63" s="3">
        <v>41913</v>
      </c>
      <c r="H63" s="5">
        <v>36.604018655583097</v>
      </c>
      <c r="T63" t="s">
        <v>23</v>
      </c>
      <c r="U63" s="1">
        <v>36220</v>
      </c>
      <c r="V63">
        <v>184355</v>
      </c>
      <c r="W63">
        <v>540755542094.21002</v>
      </c>
      <c r="X63">
        <v>98.344402875783203</v>
      </c>
      <c r="Z63" s="3">
        <v>41913</v>
      </c>
      <c r="AA63" s="5">
        <v>36.8499378419869</v>
      </c>
      <c r="AE63" s="3">
        <v>35096</v>
      </c>
      <c r="AF63" s="5">
        <v>220.478512748345</v>
      </c>
      <c r="AG63" s="5">
        <v>147.93026716552799</v>
      </c>
      <c r="AH63" s="5">
        <f t="shared" si="0"/>
        <v>124.223142270187</v>
      </c>
      <c r="AJ63" s="3">
        <v>36281</v>
      </c>
      <c r="AK63" s="5">
        <v>147.57084878156499</v>
      </c>
      <c r="AL63" s="5">
        <v>120.586085304837</v>
      </c>
    </row>
    <row r="64" spans="1:38" x14ac:dyDescent="0.25">
      <c r="A64" t="s">
        <v>23</v>
      </c>
      <c r="B64" s="1">
        <v>36251</v>
      </c>
      <c r="C64">
        <v>185605</v>
      </c>
      <c r="D64">
        <v>549750472653.34998</v>
      </c>
      <c r="E64">
        <v>199.82104434350001</v>
      </c>
      <c r="G64" s="3">
        <v>41944</v>
      </c>
      <c r="H64" s="5">
        <v>42.8785418505366</v>
      </c>
      <c r="T64" t="s">
        <v>23</v>
      </c>
      <c r="U64" s="1">
        <v>36251</v>
      </c>
      <c r="V64">
        <v>185605</v>
      </c>
      <c r="W64">
        <v>549750472653.34998</v>
      </c>
      <c r="X64">
        <v>95.850705461469005</v>
      </c>
      <c r="Z64" s="3">
        <v>41944</v>
      </c>
      <c r="AA64" s="5">
        <v>43.1642839441988</v>
      </c>
      <c r="AE64" s="3">
        <v>35125</v>
      </c>
      <c r="AF64" s="5">
        <v>223.90892319536499</v>
      </c>
      <c r="AG64" s="5">
        <v>146.64803471968801</v>
      </c>
      <c r="AH64" s="5">
        <f t="shared" si="0"/>
        <v>127.68056692537399</v>
      </c>
      <c r="AJ64" s="3">
        <v>36312</v>
      </c>
      <c r="AK64" s="5">
        <v>144.128230852283</v>
      </c>
      <c r="AL64" s="5">
        <v>117.19438650965</v>
      </c>
    </row>
    <row r="65" spans="1:38" x14ac:dyDescent="0.25">
      <c r="A65" t="s">
        <v>23</v>
      </c>
      <c r="B65" s="1">
        <v>36281</v>
      </c>
      <c r="C65">
        <v>186717</v>
      </c>
      <c r="D65">
        <v>556506175459.81006</v>
      </c>
      <c r="E65">
        <v>196.97111070713899</v>
      </c>
      <c r="G65" s="3">
        <v>41974</v>
      </c>
      <c r="H65" s="5">
        <v>49.567342817077197</v>
      </c>
      <c r="T65" t="s">
        <v>23</v>
      </c>
      <c r="U65" s="1">
        <v>36281</v>
      </c>
      <c r="V65">
        <v>186717</v>
      </c>
      <c r="W65">
        <v>556506175459.81006</v>
      </c>
      <c r="X65">
        <v>93.975757874369293</v>
      </c>
      <c r="Z65" s="3">
        <v>41974</v>
      </c>
      <c r="AA65" s="5">
        <v>49.896714734482202</v>
      </c>
      <c r="AE65" s="3">
        <v>35156</v>
      </c>
      <c r="AF65" s="5">
        <v>222.51908250047401</v>
      </c>
      <c r="AG65" s="5">
        <v>143.53682306920101</v>
      </c>
      <c r="AH65" s="5">
        <f t="shared" si="0"/>
        <v>125.877133823458</v>
      </c>
      <c r="AJ65" s="3">
        <v>36342</v>
      </c>
      <c r="AK65" s="5">
        <v>139.84931282612499</v>
      </c>
      <c r="AL65" s="5">
        <v>113.397929777839</v>
      </c>
    </row>
    <row r="66" spans="1:38" x14ac:dyDescent="0.25">
      <c r="A66" t="s">
        <v>23</v>
      </c>
      <c r="B66" s="1">
        <v>36312</v>
      </c>
      <c r="C66">
        <v>187662</v>
      </c>
      <c r="D66">
        <v>563458838273</v>
      </c>
      <c r="E66">
        <v>192.97499020591599</v>
      </c>
      <c r="G66" s="3">
        <v>42005</v>
      </c>
      <c r="H66" s="5">
        <v>58.313612630421403</v>
      </c>
      <c r="T66" t="s">
        <v>23</v>
      </c>
      <c r="U66" s="1">
        <v>36312</v>
      </c>
      <c r="V66">
        <v>187662</v>
      </c>
      <c r="W66">
        <v>563458838273</v>
      </c>
      <c r="X66">
        <v>91.464153377115494</v>
      </c>
      <c r="Z66" s="3">
        <v>42005</v>
      </c>
      <c r="AA66" s="5">
        <v>58.723529052872699</v>
      </c>
      <c r="AE66" s="3">
        <v>35186</v>
      </c>
      <c r="AF66" s="5">
        <v>218.741092062409</v>
      </c>
      <c r="AG66" s="5">
        <v>139.43813571705701</v>
      </c>
      <c r="AH66" s="5">
        <f t="shared" si="0"/>
        <v>122.965177395469</v>
      </c>
      <c r="AJ66" s="3">
        <v>36373</v>
      </c>
      <c r="AK66" s="5">
        <v>135.91788975382499</v>
      </c>
      <c r="AL66" s="5">
        <v>109.932746106251</v>
      </c>
    </row>
    <row r="67" spans="1:38" x14ac:dyDescent="0.25">
      <c r="A67" t="s">
        <v>23</v>
      </c>
      <c r="B67" s="1">
        <v>36342</v>
      </c>
      <c r="C67">
        <v>188811</v>
      </c>
      <c r="D67">
        <v>572204607933.89001</v>
      </c>
      <c r="E67">
        <v>186.77191819223</v>
      </c>
      <c r="G67" s="3">
        <v>42036</v>
      </c>
      <c r="H67" s="5">
        <v>69.527040437762906</v>
      </c>
      <c r="T67" t="s">
        <v>23</v>
      </c>
      <c r="U67" s="1">
        <v>36342</v>
      </c>
      <c r="V67">
        <v>188811</v>
      </c>
      <c r="W67">
        <v>572204607933.89001</v>
      </c>
      <c r="X67">
        <v>87.976605332424498</v>
      </c>
      <c r="Z67" s="3">
        <v>42036</v>
      </c>
      <c r="AA67" s="5">
        <v>71.094953130222805</v>
      </c>
      <c r="AE67" s="3">
        <v>35217</v>
      </c>
      <c r="AF67" s="5">
        <v>214.15175806674699</v>
      </c>
      <c r="AG67" s="5">
        <v>135.04357861035899</v>
      </c>
      <c r="AH67" s="5">
        <f t="shared" si="0"/>
        <v>120.717816533806</v>
      </c>
      <c r="AJ67" s="3">
        <v>36404</v>
      </c>
      <c r="AK67" s="5">
        <v>132.05920712816399</v>
      </c>
      <c r="AL67" s="5">
        <v>106.60845530112999</v>
      </c>
    </row>
    <row r="68" spans="1:38" x14ac:dyDescent="0.25">
      <c r="A68" t="s">
        <v>23</v>
      </c>
      <c r="B68" s="1">
        <v>36373</v>
      </c>
      <c r="C68">
        <v>189841</v>
      </c>
      <c r="D68">
        <v>579291469300.42004</v>
      </c>
      <c r="E68">
        <v>180.82742664432101</v>
      </c>
      <c r="G68" s="3">
        <v>42064</v>
      </c>
      <c r="H68" s="5">
        <v>80.302982268172698</v>
      </c>
      <c r="T68" t="s">
        <v>23</v>
      </c>
      <c r="U68" s="1">
        <v>36373</v>
      </c>
      <c r="V68">
        <v>189841</v>
      </c>
      <c r="W68">
        <v>579291469300.42004</v>
      </c>
      <c r="X68">
        <v>84.662193462768101</v>
      </c>
      <c r="Z68" s="3">
        <v>42064</v>
      </c>
      <c r="AA68" s="5">
        <v>82.922225590864301</v>
      </c>
      <c r="AE68" s="3">
        <v>35247</v>
      </c>
      <c r="AF68" s="5">
        <v>209.08373135229999</v>
      </c>
      <c r="AG68" s="5">
        <v>130.69940064471299</v>
      </c>
      <c r="AH68" s="5">
        <f t="shared" si="0"/>
        <v>117.980407450776</v>
      </c>
      <c r="AJ68" s="3">
        <v>36434</v>
      </c>
      <c r="AK68" s="5">
        <v>129.199191929059</v>
      </c>
      <c r="AL68" s="5">
        <v>104.099319229911</v>
      </c>
    </row>
    <row r="69" spans="1:38" x14ac:dyDescent="0.25">
      <c r="A69" t="s">
        <v>23</v>
      </c>
      <c r="B69" s="1">
        <v>36404</v>
      </c>
      <c r="C69">
        <v>190764</v>
      </c>
      <c r="D69">
        <v>587347551657.76001</v>
      </c>
      <c r="E69">
        <v>175.01946278841999</v>
      </c>
      <c r="G69" s="3">
        <v>42095</v>
      </c>
      <c r="H69" s="5">
        <v>90.312533011892995</v>
      </c>
      <c r="T69" t="s">
        <v>23</v>
      </c>
      <c r="U69" s="1">
        <v>36404</v>
      </c>
      <c r="V69">
        <v>190764</v>
      </c>
      <c r="W69">
        <v>587347551657.76001</v>
      </c>
      <c r="X69">
        <v>81.522421554829506</v>
      </c>
      <c r="Z69" s="3">
        <v>42095</v>
      </c>
      <c r="AA69" s="5">
        <v>93.853723547359195</v>
      </c>
      <c r="AE69" s="3">
        <v>35278</v>
      </c>
      <c r="AF69" s="5">
        <v>206.05656311740699</v>
      </c>
      <c r="AG69" s="5">
        <v>127.649006362907</v>
      </c>
      <c r="AH69" s="5">
        <f t="shared" ref="AH69:AH132" si="1">VLOOKUP(AE69,AJ:AL,3,0)</f>
        <v>115.11080516480099</v>
      </c>
      <c r="AJ69" s="3">
        <v>36465</v>
      </c>
      <c r="AK69" s="5">
        <v>127.19192718598001</v>
      </c>
      <c r="AL69" s="5">
        <v>102.32739854203</v>
      </c>
    </row>
    <row r="70" spans="1:38" x14ac:dyDescent="0.25">
      <c r="A70" t="s">
        <v>23</v>
      </c>
      <c r="B70" s="1">
        <v>36434</v>
      </c>
      <c r="C70">
        <v>191769</v>
      </c>
      <c r="D70">
        <v>595358056585.48999</v>
      </c>
      <c r="E70">
        <v>170.273596503704</v>
      </c>
      <c r="G70" s="3">
        <v>42125</v>
      </c>
      <c r="H70" s="5">
        <v>101.56548285712999</v>
      </c>
      <c r="T70" t="s">
        <v>23</v>
      </c>
      <c r="U70" s="1">
        <v>36434</v>
      </c>
      <c r="V70">
        <v>191769</v>
      </c>
      <c r="W70">
        <v>595358056585.48999</v>
      </c>
      <c r="X70">
        <v>78.904335184212698</v>
      </c>
      <c r="Z70" s="3">
        <v>42125</v>
      </c>
      <c r="AA70" s="5">
        <v>106.197906558182</v>
      </c>
      <c r="AE70" s="3">
        <v>35309</v>
      </c>
      <c r="AF70" s="5">
        <v>204.64104043248901</v>
      </c>
      <c r="AG70" s="5">
        <v>125.360095878652</v>
      </c>
      <c r="AH70" s="5">
        <f t="shared" si="1"/>
        <v>113.98107923073501</v>
      </c>
      <c r="AJ70" s="3">
        <v>36495</v>
      </c>
      <c r="AK70" s="5">
        <v>125.879190558094</v>
      </c>
      <c r="AL70" s="5">
        <v>101.113443512465</v>
      </c>
    </row>
    <row r="71" spans="1:38" x14ac:dyDescent="0.25">
      <c r="A71" t="s">
        <v>23</v>
      </c>
      <c r="B71" s="1">
        <v>36465</v>
      </c>
      <c r="C71">
        <v>192676</v>
      </c>
      <c r="D71">
        <v>603335784202.89001</v>
      </c>
      <c r="E71">
        <v>166.26135431069099</v>
      </c>
      <c r="G71" s="3">
        <v>42156</v>
      </c>
      <c r="H71" s="5">
        <v>110.603406640489</v>
      </c>
      <c r="T71" t="s">
        <v>23</v>
      </c>
      <c r="U71" s="1">
        <v>36465</v>
      </c>
      <c r="V71">
        <v>192676</v>
      </c>
      <c r="W71">
        <v>603335784202.89001</v>
      </c>
      <c r="X71">
        <v>76.698135590656307</v>
      </c>
      <c r="Z71" s="3">
        <v>42156</v>
      </c>
      <c r="AA71" s="5">
        <v>115.98993486574101</v>
      </c>
      <c r="AE71" s="3">
        <v>35339</v>
      </c>
      <c r="AF71" s="5">
        <v>201.52113490842601</v>
      </c>
      <c r="AG71" s="5">
        <v>122.37547907439</v>
      </c>
      <c r="AH71" s="5">
        <f t="shared" si="1"/>
        <v>112.377098223855</v>
      </c>
      <c r="AJ71" s="3">
        <v>36526</v>
      </c>
      <c r="AK71" s="5">
        <v>124.60948365755701</v>
      </c>
      <c r="AL71" s="5">
        <v>99.994290318529394</v>
      </c>
    </row>
    <row r="72" spans="1:38" x14ac:dyDescent="0.25">
      <c r="A72" t="s">
        <v>23</v>
      </c>
      <c r="B72" s="1">
        <v>36495</v>
      </c>
      <c r="C72">
        <v>193594</v>
      </c>
      <c r="D72">
        <v>608661813729.64001</v>
      </c>
      <c r="E72">
        <v>163.857058038247</v>
      </c>
      <c r="G72" s="3">
        <v>42186</v>
      </c>
      <c r="H72" s="5">
        <v>117.794189448691</v>
      </c>
      <c r="T72" t="s">
        <v>23</v>
      </c>
      <c r="U72" s="1">
        <v>36495</v>
      </c>
      <c r="V72">
        <v>193594</v>
      </c>
      <c r="W72">
        <v>608661813729.64001</v>
      </c>
      <c r="X72">
        <v>75.259367849190994</v>
      </c>
      <c r="Z72" s="3">
        <v>42186</v>
      </c>
      <c r="AA72" s="5">
        <v>123.677988092034</v>
      </c>
      <c r="AE72" s="3">
        <v>35370</v>
      </c>
      <c r="AF72" s="5">
        <v>200.91033195060299</v>
      </c>
      <c r="AG72" s="5">
        <v>120.61534173073299</v>
      </c>
      <c r="AH72" s="5">
        <f t="shared" si="1"/>
        <v>111.728073542286</v>
      </c>
      <c r="AJ72" s="3">
        <v>36557</v>
      </c>
      <c r="AK72" s="5">
        <v>121.953903335977</v>
      </c>
      <c r="AL72" s="5">
        <v>97.791357181578704</v>
      </c>
    </row>
    <row r="73" spans="1:38" x14ac:dyDescent="0.25">
      <c r="A73" t="s">
        <v>23</v>
      </c>
      <c r="B73" s="1">
        <v>36526</v>
      </c>
      <c r="C73">
        <v>194574</v>
      </c>
      <c r="D73">
        <v>614730545023.56995</v>
      </c>
      <c r="E73">
        <v>160.98362646557001</v>
      </c>
      <c r="G73" s="3">
        <v>42217</v>
      </c>
      <c r="H73" s="5">
        <v>124.452292231852</v>
      </c>
      <c r="T73" t="s">
        <v>23</v>
      </c>
      <c r="U73" s="1">
        <v>36526</v>
      </c>
      <c r="V73">
        <v>194574</v>
      </c>
      <c r="W73">
        <v>614730545023.56995</v>
      </c>
      <c r="X73">
        <v>73.652902815295107</v>
      </c>
      <c r="Z73" s="3">
        <v>42217</v>
      </c>
      <c r="AA73" s="5">
        <v>130.756244406306</v>
      </c>
      <c r="AE73" s="3">
        <v>35400</v>
      </c>
      <c r="AF73" s="5">
        <v>202.163362873159</v>
      </c>
      <c r="AG73" s="5">
        <v>119.645863826474</v>
      </c>
      <c r="AH73" s="5">
        <f t="shared" si="1"/>
        <v>113.046566284851</v>
      </c>
      <c r="AJ73" s="3">
        <v>36586</v>
      </c>
      <c r="AK73" s="5">
        <v>120.523552638224</v>
      </c>
      <c r="AL73" s="5">
        <v>96.589745847264695</v>
      </c>
    </row>
    <row r="74" spans="1:38" x14ac:dyDescent="0.25">
      <c r="A74" t="s">
        <v>23</v>
      </c>
      <c r="B74" s="1">
        <v>36557</v>
      </c>
      <c r="C74">
        <v>195521</v>
      </c>
      <c r="D74">
        <v>620175920606.63</v>
      </c>
      <c r="E74">
        <v>157.82695965541299</v>
      </c>
      <c r="G74" s="3">
        <v>42248</v>
      </c>
      <c r="H74" s="5">
        <v>133.147844022264</v>
      </c>
      <c r="T74" t="s">
        <v>23</v>
      </c>
      <c r="U74" s="1">
        <v>36557</v>
      </c>
      <c r="V74">
        <v>195521</v>
      </c>
      <c r="W74">
        <v>620175920606.63</v>
      </c>
      <c r="X74">
        <v>71.953222489577399</v>
      </c>
      <c r="Z74" s="3">
        <v>42248</v>
      </c>
      <c r="AA74" s="5">
        <v>140.031484378729</v>
      </c>
      <c r="AE74" s="3">
        <v>35431</v>
      </c>
      <c r="AF74" s="5">
        <v>203.16045781953699</v>
      </c>
      <c r="AG74" s="5">
        <v>118.62403927027999</v>
      </c>
      <c r="AH74" s="5" t="e">
        <f t="shared" si="1"/>
        <v>#N/A</v>
      </c>
      <c r="AJ74" s="3">
        <v>36617</v>
      </c>
      <c r="AK74" s="5">
        <v>119.12508074740801</v>
      </c>
      <c r="AL74" s="5">
        <v>95.419778229635099</v>
      </c>
    </row>
    <row r="75" spans="1:38" x14ac:dyDescent="0.25">
      <c r="A75" t="s">
        <v>23</v>
      </c>
      <c r="B75" s="1">
        <v>36586</v>
      </c>
      <c r="C75">
        <v>196302</v>
      </c>
      <c r="D75">
        <v>625373224000.52002</v>
      </c>
      <c r="E75">
        <v>155.27566958668001</v>
      </c>
      <c r="G75" s="3">
        <v>42278</v>
      </c>
      <c r="H75" s="5">
        <v>142.14426015464201</v>
      </c>
      <c r="T75" t="s">
        <v>23</v>
      </c>
      <c r="U75" s="1">
        <v>36586</v>
      </c>
      <c r="V75">
        <v>196302</v>
      </c>
      <c r="W75">
        <v>625373224000.52002</v>
      </c>
      <c r="X75">
        <v>70.574938241084197</v>
      </c>
      <c r="Z75" s="3">
        <v>42278</v>
      </c>
      <c r="AA75" s="5">
        <v>149.621624357222</v>
      </c>
      <c r="AE75" s="3">
        <v>35462</v>
      </c>
      <c r="AF75" s="5">
        <v>202.71587291916501</v>
      </c>
      <c r="AG75" s="5">
        <v>117.12886207116399</v>
      </c>
      <c r="AH75" s="5" t="e">
        <f t="shared" si="1"/>
        <v>#N/A</v>
      </c>
      <c r="AJ75" s="3">
        <v>36647</v>
      </c>
      <c r="AK75" s="5">
        <v>118.027578234768</v>
      </c>
      <c r="AL75" s="5">
        <v>94.501844203616201</v>
      </c>
    </row>
    <row r="76" spans="1:38" x14ac:dyDescent="0.25">
      <c r="A76" t="s">
        <v>23</v>
      </c>
      <c r="B76" s="1">
        <v>36617</v>
      </c>
      <c r="C76">
        <v>197211</v>
      </c>
      <c r="D76">
        <v>628789317108.88</v>
      </c>
      <c r="E76">
        <v>153.267425773897</v>
      </c>
      <c r="G76" s="3">
        <v>42309</v>
      </c>
      <c r="H76" s="5">
        <v>152.44624319272501</v>
      </c>
      <c r="T76" t="s">
        <v>23</v>
      </c>
      <c r="U76" s="1">
        <v>36617</v>
      </c>
      <c r="V76">
        <v>197211</v>
      </c>
      <c r="W76">
        <v>628789317108.88</v>
      </c>
      <c r="X76">
        <v>69.458926193563997</v>
      </c>
      <c r="Z76" s="3">
        <v>42309</v>
      </c>
      <c r="AA76" s="5">
        <v>160.638193977594</v>
      </c>
      <c r="AE76" s="3">
        <v>35490</v>
      </c>
      <c r="AF76" s="5">
        <v>202.99672528437901</v>
      </c>
      <c r="AG76" s="5">
        <v>115.880286998255</v>
      </c>
      <c r="AH76" s="5">
        <f t="shared" si="1"/>
        <v>106.811535064571</v>
      </c>
      <c r="AJ76" s="3">
        <v>36678</v>
      </c>
      <c r="AK76" s="5">
        <v>115.651963654048</v>
      </c>
      <c r="AL76" s="5">
        <v>92.577035500187307</v>
      </c>
    </row>
    <row r="77" spans="1:38" x14ac:dyDescent="0.25">
      <c r="A77" t="s">
        <v>23</v>
      </c>
      <c r="B77" s="1">
        <v>36647</v>
      </c>
      <c r="C77">
        <v>198200</v>
      </c>
      <c r="D77">
        <v>633466085432.80005</v>
      </c>
      <c r="E77">
        <v>150.94698998536299</v>
      </c>
      <c r="G77" s="3">
        <v>42339</v>
      </c>
      <c r="H77" s="5">
        <v>160.65141365334401</v>
      </c>
      <c r="T77" t="s">
        <v>23</v>
      </c>
      <c r="U77" s="1">
        <v>36647</v>
      </c>
      <c r="V77">
        <v>198200</v>
      </c>
      <c r="W77">
        <v>633466085432.80005</v>
      </c>
      <c r="X77">
        <v>68.240872672880798</v>
      </c>
      <c r="Z77" s="3">
        <v>42339</v>
      </c>
      <c r="AA77" s="5">
        <v>169.32231866556401</v>
      </c>
      <c r="AE77" s="3">
        <v>35521</v>
      </c>
      <c r="AF77" s="5">
        <v>202.179569573463</v>
      </c>
      <c r="AG77" s="5">
        <v>114.319603868936</v>
      </c>
      <c r="AH77" s="5">
        <f t="shared" si="1"/>
        <v>106.58156622012601</v>
      </c>
      <c r="AJ77" s="3">
        <v>36708</v>
      </c>
      <c r="AK77" s="5">
        <v>113.810278644958</v>
      </c>
      <c r="AL77" s="5">
        <v>91.0828057942865</v>
      </c>
    </row>
    <row r="78" spans="1:38" x14ac:dyDescent="0.25">
      <c r="A78" t="s">
        <v>23</v>
      </c>
      <c r="B78" s="1">
        <v>36678</v>
      </c>
      <c r="C78">
        <v>199277</v>
      </c>
      <c r="D78">
        <v>638637756539.06006</v>
      </c>
      <c r="E78">
        <v>148.291895064958</v>
      </c>
      <c r="G78" s="3">
        <v>42370</v>
      </c>
      <c r="H78" s="5">
        <v>168.879130213465</v>
      </c>
      <c r="T78" t="s">
        <v>23</v>
      </c>
      <c r="U78" s="1">
        <v>36678</v>
      </c>
      <c r="V78">
        <v>199277</v>
      </c>
      <c r="W78">
        <v>638637756539.06006</v>
      </c>
      <c r="X78">
        <v>66.901707920605006</v>
      </c>
      <c r="Z78" s="3">
        <v>42370</v>
      </c>
      <c r="AA78" s="5">
        <v>177.99107436696599</v>
      </c>
      <c r="AE78" s="3">
        <v>35551</v>
      </c>
      <c r="AF78" s="5">
        <v>200.35043825404901</v>
      </c>
      <c r="AG78" s="5">
        <v>112.430490172321</v>
      </c>
      <c r="AH78" s="5">
        <f t="shared" si="1"/>
        <v>105.815777332387</v>
      </c>
      <c r="AJ78" s="3">
        <v>36739</v>
      </c>
      <c r="AK78" s="5">
        <v>112.377674195979</v>
      </c>
      <c r="AL78" s="5">
        <v>89.936120400100407</v>
      </c>
    </row>
    <row r="79" spans="1:38" x14ac:dyDescent="0.25">
      <c r="A79" t="s">
        <v>23</v>
      </c>
      <c r="B79" s="1">
        <v>36708</v>
      </c>
      <c r="C79">
        <v>200318</v>
      </c>
      <c r="D79">
        <v>644319934151.05005</v>
      </c>
      <c r="E79">
        <v>145.62424974487701</v>
      </c>
      <c r="G79" s="3">
        <v>42401</v>
      </c>
      <c r="H79" s="5">
        <v>178.258986031749</v>
      </c>
      <c r="T79" t="s">
        <v>23</v>
      </c>
      <c r="U79" s="1">
        <v>36708</v>
      </c>
      <c r="V79">
        <v>200318</v>
      </c>
      <c r="W79">
        <v>644319934151.05005</v>
      </c>
      <c r="X79">
        <v>65.566456058745501</v>
      </c>
      <c r="Z79" s="3">
        <v>42401</v>
      </c>
      <c r="AA79" s="5">
        <v>187.937123287812</v>
      </c>
      <c r="AE79" s="3">
        <v>35582</v>
      </c>
      <c r="AF79" s="5">
        <v>198.68669927979701</v>
      </c>
      <c r="AG79" s="5">
        <v>110.488697800867</v>
      </c>
      <c r="AH79" s="5">
        <f t="shared" si="1"/>
        <v>105.604404917929</v>
      </c>
      <c r="AJ79" s="3">
        <v>36770</v>
      </c>
      <c r="AK79" s="5">
        <v>110.453771969404</v>
      </c>
      <c r="AL79" s="5">
        <v>88.422669315273893</v>
      </c>
    </row>
    <row r="80" spans="1:38" x14ac:dyDescent="0.25">
      <c r="A80" t="s">
        <v>23</v>
      </c>
      <c r="B80" s="1">
        <v>36739</v>
      </c>
      <c r="C80">
        <v>201523</v>
      </c>
      <c r="D80">
        <v>650241592057.52002</v>
      </c>
      <c r="E80">
        <v>143.23685147081201</v>
      </c>
      <c r="G80" s="3">
        <v>42430</v>
      </c>
      <c r="H80" s="5">
        <v>191.29597315982599</v>
      </c>
      <c r="T80" t="s">
        <v>23</v>
      </c>
      <c r="U80" s="1">
        <v>36739</v>
      </c>
      <c r="V80">
        <v>201523</v>
      </c>
      <c r="W80">
        <v>650241592057.52002</v>
      </c>
      <c r="X80">
        <v>64.416007472304699</v>
      </c>
      <c r="Z80" s="3">
        <v>42430</v>
      </c>
      <c r="AA80" s="5">
        <v>201.87353719229799</v>
      </c>
      <c r="AE80" s="3">
        <v>35612</v>
      </c>
      <c r="AF80" s="5">
        <v>199.109252509143</v>
      </c>
      <c r="AG80" s="5">
        <v>109.537451549664</v>
      </c>
      <c r="AH80" s="5">
        <f t="shared" si="1"/>
        <v>105.975002164592</v>
      </c>
      <c r="AJ80" s="3">
        <v>36800</v>
      </c>
      <c r="AK80" s="5">
        <v>108.803621443296</v>
      </c>
      <c r="AL80" s="5">
        <v>87.097977481442499</v>
      </c>
    </row>
    <row r="81" spans="1:38" x14ac:dyDescent="0.25">
      <c r="A81" t="s">
        <v>23</v>
      </c>
      <c r="B81" s="1">
        <v>36770</v>
      </c>
      <c r="C81">
        <v>202877</v>
      </c>
      <c r="D81">
        <v>659140528287.64001</v>
      </c>
      <c r="E81">
        <v>140.75831505642799</v>
      </c>
      <c r="G81" s="3">
        <v>42461</v>
      </c>
      <c r="H81" s="5">
        <v>205.32849320778601</v>
      </c>
      <c r="T81" t="s">
        <v>23</v>
      </c>
      <c r="U81" s="1">
        <v>36770</v>
      </c>
      <c r="V81">
        <v>202877</v>
      </c>
      <c r="W81">
        <v>659140528287.64001</v>
      </c>
      <c r="X81">
        <v>63.277951695894799</v>
      </c>
      <c r="Z81" s="3">
        <v>42461</v>
      </c>
      <c r="AA81" s="5">
        <v>216.75980522150499</v>
      </c>
      <c r="AE81" s="3">
        <v>35643</v>
      </c>
      <c r="AF81" s="5">
        <v>200.42508822329501</v>
      </c>
      <c r="AG81" s="5">
        <v>108.93832100365501</v>
      </c>
      <c r="AH81" s="5">
        <f t="shared" si="1"/>
        <v>107.373284139796</v>
      </c>
      <c r="AJ81" s="3">
        <v>36831</v>
      </c>
      <c r="AK81" s="5">
        <v>107.63757592574299</v>
      </c>
      <c r="AL81" s="5">
        <v>86.131850997725493</v>
      </c>
    </row>
    <row r="82" spans="1:38" x14ac:dyDescent="0.25">
      <c r="A82" t="s">
        <v>23</v>
      </c>
      <c r="B82" s="1">
        <v>36800</v>
      </c>
      <c r="C82">
        <v>204126</v>
      </c>
      <c r="D82">
        <v>667771708329.09998</v>
      </c>
      <c r="E82">
        <v>138.55325463341501</v>
      </c>
      <c r="G82" s="3">
        <v>42491</v>
      </c>
      <c r="H82" s="5">
        <v>219.429131989903</v>
      </c>
      <c r="T82" t="s">
        <v>23</v>
      </c>
      <c r="U82" s="1">
        <v>36800</v>
      </c>
      <c r="V82">
        <v>204126</v>
      </c>
      <c r="W82">
        <v>667771708329.09998</v>
      </c>
      <c r="X82">
        <v>62.3010158228603</v>
      </c>
      <c r="Z82" s="3">
        <v>42491</v>
      </c>
      <c r="AA82" s="5">
        <v>231.739816430546</v>
      </c>
      <c r="AE82" s="3">
        <v>35674</v>
      </c>
      <c r="AF82" s="5">
        <v>200.38467452853101</v>
      </c>
      <c r="AG82" s="5">
        <v>107.69994260707399</v>
      </c>
      <c r="AH82" s="5">
        <f t="shared" si="1"/>
        <v>108.32287616411401</v>
      </c>
      <c r="AJ82" s="3">
        <v>36861</v>
      </c>
      <c r="AK82" s="5">
        <v>106.93046709581699</v>
      </c>
      <c r="AL82" s="5">
        <v>85.510156601519995</v>
      </c>
    </row>
    <row r="83" spans="1:38" x14ac:dyDescent="0.25">
      <c r="A83" t="s">
        <v>23</v>
      </c>
      <c r="B83" s="1">
        <v>36831</v>
      </c>
      <c r="C83">
        <v>205336</v>
      </c>
      <c r="D83">
        <v>678145982258.65002</v>
      </c>
      <c r="E83">
        <v>136.62964607290701</v>
      </c>
      <c r="G83" s="3">
        <v>42522</v>
      </c>
      <c r="H83" s="5">
        <v>233.85363465938599</v>
      </c>
      <c r="T83" t="s">
        <v>23</v>
      </c>
      <c r="U83" s="1">
        <v>36831</v>
      </c>
      <c r="V83">
        <v>205336</v>
      </c>
      <c r="W83">
        <v>678145982258.65002</v>
      </c>
      <c r="X83">
        <v>61.5214786675364</v>
      </c>
      <c r="Z83" s="3">
        <v>42522</v>
      </c>
      <c r="AA83" s="5">
        <v>247.03218916321799</v>
      </c>
      <c r="AE83" s="3">
        <v>35704</v>
      </c>
      <c r="AF83" s="5">
        <v>201.359016907647</v>
      </c>
      <c r="AG83" s="5">
        <v>107.023726591773</v>
      </c>
      <c r="AH83" s="5">
        <f t="shared" si="1"/>
        <v>109.725811176973</v>
      </c>
      <c r="AJ83" s="3">
        <v>36892</v>
      </c>
      <c r="AK83" s="5">
        <v>108.277701004704</v>
      </c>
      <c r="AL83" s="5">
        <v>86.284664559545902</v>
      </c>
    </row>
    <row r="84" spans="1:38" x14ac:dyDescent="0.25">
      <c r="A84" t="s">
        <v>23</v>
      </c>
      <c r="B84" s="1">
        <v>36861</v>
      </c>
      <c r="C84">
        <v>206553</v>
      </c>
      <c r="D84">
        <v>688667464062.68005</v>
      </c>
      <c r="E84">
        <v>135.06078512406401</v>
      </c>
      <c r="G84" s="3">
        <v>42552</v>
      </c>
      <c r="H84" s="5">
        <v>249.024681118828</v>
      </c>
      <c r="T84" t="s">
        <v>23</v>
      </c>
      <c r="U84" s="1">
        <v>36861</v>
      </c>
      <c r="V84">
        <v>206553</v>
      </c>
      <c r="W84">
        <v>688667464062.68005</v>
      </c>
      <c r="X84">
        <v>60.944628622395697</v>
      </c>
      <c r="Z84" s="3">
        <v>42552</v>
      </c>
      <c r="AA84" s="5">
        <v>263.10201350098299</v>
      </c>
      <c r="AE84" s="3">
        <v>35735</v>
      </c>
      <c r="AF84" s="5">
        <v>202.58725287252</v>
      </c>
      <c r="AG84" s="5">
        <v>106.486785123072</v>
      </c>
      <c r="AH84" s="5">
        <f t="shared" si="1"/>
        <v>111.151487790414</v>
      </c>
      <c r="AJ84" s="3">
        <v>36923</v>
      </c>
      <c r="AK84" s="5">
        <v>112.885731638148</v>
      </c>
      <c r="AL84" s="5">
        <v>89.415505640199996</v>
      </c>
    </row>
    <row r="85" spans="1:38" x14ac:dyDescent="0.25">
      <c r="A85" t="s">
        <v>23</v>
      </c>
      <c r="B85" s="1">
        <v>36892</v>
      </c>
      <c r="C85">
        <v>207893</v>
      </c>
      <c r="D85">
        <v>700106336980.84998</v>
      </c>
      <c r="E85">
        <v>136.03034953603299</v>
      </c>
      <c r="G85" s="3">
        <v>42583</v>
      </c>
      <c r="H85" s="5">
        <v>266.44865609146501</v>
      </c>
      <c r="T85" t="s">
        <v>23</v>
      </c>
      <c r="U85" s="1">
        <v>36892</v>
      </c>
      <c r="V85">
        <v>207893</v>
      </c>
      <c r="W85">
        <v>700106336980.84998</v>
      </c>
      <c r="X85">
        <v>61.888735758352098</v>
      </c>
      <c r="Z85" s="3">
        <v>42583</v>
      </c>
      <c r="AA85" s="5">
        <v>281.67336170247899</v>
      </c>
      <c r="AE85" s="3">
        <v>35765</v>
      </c>
      <c r="AF85" s="5">
        <v>204.24042270098099</v>
      </c>
      <c r="AG85" s="5">
        <v>106.19939574244</v>
      </c>
      <c r="AH85" s="5">
        <f t="shared" si="1"/>
        <v>113.322066718155</v>
      </c>
      <c r="AJ85" s="3">
        <v>36951</v>
      </c>
      <c r="AK85" s="5">
        <v>117.17361859148301</v>
      </c>
      <c r="AL85" s="5">
        <v>92.253571252137405</v>
      </c>
    </row>
    <row r="86" spans="1:38" x14ac:dyDescent="0.25">
      <c r="A86" t="s">
        <v>23</v>
      </c>
      <c r="B86" s="1">
        <v>36923</v>
      </c>
      <c r="C86">
        <v>209121</v>
      </c>
      <c r="D86">
        <v>711936410692.26001</v>
      </c>
      <c r="E86">
        <v>139.83109273771501</v>
      </c>
      <c r="G86" s="3">
        <v>42614</v>
      </c>
      <c r="H86" s="5">
        <v>284.41472839766902</v>
      </c>
      <c r="T86" t="s">
        <v>23</v>
      </c>
      <c r="U86" s="1">
        <v>36923</v>
      </c>
      <c r="V86">
        <v>209121</v>
      </c>
      <c r="W86">
        <v>711936410692.26001</v>
      </c>
      <c r="X86">
        <v>64.597834227597502</v>
      </c>
      <c r="Z86" s="3">
        <v>42614</v>
      </c>
      <c r="AA86" s="5">
        <v>300.69494599573898</v>
      </c>
      <c r="AE86" s="3">
        <v>35796</v>
      </c>
      <c r="AF86" s="5">
        <v>206.677386229017</v>
      </c>
      <c r="AG86" s="5">
        <v>106.442110821803</v>
      </c>
      <c r="AH86" s="5">
        <f t="shared" si="1"/>
        <v>115.713666005742</v>
      </c>
      <c r="AJ86" s="3">
        <v>36982</v>
      </c>
      <c r="AK86" s="5">
        <v>121.953107254489</v>
      </c>
      <c r="AL86" s="5">
        <v>95.321891672072496</v>
      </c>
    </row>
    <row r="87" spans="1:38" x14ac:dyDescent="0.25">
      <c r="A87" t="s">
        <v>23</v>
      </c>
      <c r="B87" s="1">
        <v>36951</v>
      </c>
      <c r="C87">
        <v>210670</v>
      </c>
      <c r="D87">
        <v>724159427993.80005</v>
      </c>
      <c r="E87">
        <v>142.83335941873</v>
      </c>
      <c r="G87" s="3">
        <v>42644</v>
      </c>
      <c r="H87" s="5">
        <v>301.26467144614497</v>
      </c>
      <c r="T87" t="s">
        <v>23</v>
      </c>
      <c r="U87" s="1">
        <v>36951</v>
      </c>
      <c r="V87">
        <v>210670</v>
      </c>
      <c r="W87">
        <v>724159427993.80005</v>
      </c>
      <c r="X87">
        <v>66.739753064070101</v>
      </c>
      <c r="Z87" s="3">
        <v>42644</v>
      </c>
      <c r="AA87" s="5">
        <v>318.57619372843902</v>
      </c>
      <c r="AE87" s="3">
        <v>35827</v>
      </c>
      <c r="AF87" s="5">
        <v>210.98901034040799</v>
      </c>
      <c r="AG87" s="5">
        <v>107.744773386007</v>
      </c>
      <c r="AH87" s="5">
        <f t="shared" si="1"/>
        <v>120.963903050448</v>
      </c>
      <c r="AJ87" s="3">
        <v>37012</v>
      </c>
      <c r="AK87" s="5">
        <v>123.80266431314899</v>
      </c>
      <c r="AL87" s="5">
        <v>96.166104538294405</v>
      </c>
    </row>
    <row r="88" spans="1:38" x14ac:dyDescent="0.25">
      <c r="A88" t="s">
        <v>23</v>
      </c>
      <c r="B88" s="1">
        <v>36982</v>
      </c>
      <c r="C88">
        <v>212403</v>
      </c>
      <c r="D88">
        <v>737131621054.80005</v>
      </c>
      <c r="E88">
        <v>146.045871189472</v>
      </c>
      <c r="G88" s="3">
        <v>42675</v>
      </c>
      <c r="H88" s="5">
        <v>318.05702810192099</v>
      </c>
      <c r="T88" t="s">
        <v>23</v>
      </c>
      <c r="U88" s="1">
        <v>36982</v>
      </c>
      <c r="V88">
        <v>212403</v>
      </c>
      <c r="W88">
        <v>737131621054.80005</v>
      </c>
      <c r="X88">
        <v>69.0288844915803</v>
      </c>
      <c r="Z88" s="3">
        <v>42675</v>
      </c>
      <c r="AA88" s="5">
        <v>336.35771665200201</v>
      </c>
      <c r="AE88" s="3">
        <v>35855</v>
      </c>
      <c r="AF88" s="5">
        <v>214.89746465490799</v>
      </c>
      <c r="AG88" s="5">
        <v>108.86837011368701</v>
      </c>
      <c r="AH88" s="5">
        <f t="shared" si="1"/>
        <v>124.748842364672</v>
      </c>
      <c r="AJ88" s="3">
        <v>37043</v>
      </c>
      <c r="AK88" s="5">
        <v>123.465424249919</v>
      </c>
      <c r="AL88" s="5">
        <v>95.376088610164999</v>
      </c>
    </row>
    <row r="89" spans="1:38" x14ac:dyDescent="0.25">
      <c r="A89" t="s">
        <v>23</v>
      </c>
      <c r="B89" s="1">
        <v>37012</v>
      </c>
      <c r="C89">
        <v>214231</v>
      </c>
      <c r="D89">
        <v>752556214855.22998</v>
      </c>
      <c r="E89">
        <v>145.937053079186</v>
      </c>
      <c r="G89" s="3" t="s">
        <v>17</v>
      </c>
      <c r="H89" s="5">
        <v>4249.3116275632328</v>
      </c>
      <c r="T89" t="s">
        <v>23</v>
      </c>
      <c r="U89" s="1">
        <v>37012</v>
      </c>
      <c r="V89">
        <v>214231</v>
      </c>
      <c r="W89">
        <v>752556214855.22998</v>
      </c>
      <c r="X89">
        <v>69.370882185601801</v>
      </c>
      <c r="Z89" s="3" t="s">
        <v>17</v>
      </c>
      <c r="AA89" s="5">
        <v>4423.7025743175354</v>
      </c>
      <c r="AE89" s="3">
        <v>35886</v>
      </c>
      <c r="AF89" s="5">
        <v>215.69953405333499</v>
      </c>
      <c r="AG89" s="5">
        <v>108.572133122525</v>
      </c>
      <c r="AH89" s="5">
        <f t="shared" si="1"/>
        <v>124.873654508049</v>
      </c>
      <c r="AJ89" s="3">
        <v>37073</v>
      </c>
      <c r="AK89" s="5">
        <v>121.897706684805</v>
      </c>
      <c r="AL89" s="5">
        <v>93.665263081747696</v>
      </c>
    </row>
    <row r="90" spans="1:38" x14ac:dyDescent="0.25">
      <c r="A90" t="s">
        <v>23</v>
      </c>
      <c r="B90" s="1">
        <v>37043</v>
      </c>
      <c r="C90">
        <v>216060</v>
      </c>
      <c r="D90">
        <v>768634381863</v>
      </c>
      <c r="E90">
        <v>144.26662288292599</v>
      </c>
      <c r="T90" t="s">
        <v>23</v>
      </c>
      <c r="U90" s="1">
        <v>37043</v>
      </c>
      <c r="V90">
        <v>216060</v>
      </c>
      <c r="W90">
        <v>768634381863</v>
      </c>
      <c r="X90">
        <v>68.774158468952294</v>
      </c>
      <c r="AE90" s="3">
        <v>35916</v>
      </c>
      <c r="AF90" s="5">
        <v>212.55112382243101</v>
      </c>
      <c r="AG90" s="5">
        <v>106.361928439392</v>
      </c>
      <c r="AH90" s="5">
        <f t="shared" si="1"/>
        <v>123.768555160582</v>
      </c>
      <c r="AJ90" s="3">
        <v>37104</v>
      </c>
      <c r="AK90" s="5">
        <v>120.036164802234</v>
      </c>
      <c r="AL90" s="5">
        <v>91.753493775179194</v>
      </c>
    </row>
    <row r="91" spans="1:38" x14ac:dyDescent="0.25">
      <c r="A91" t="s">
        <v>23</v>
      </c>
      <c r="B91" s="1">
        <v>37073</v>
      </c>
      <c r="C91">
        <v>217775</v>
      </c>
      <c r="D91">
        <v>783899597190.81006</v>
      </c>
      <c r="E91">
        <v>142.05360713298799</v>
      </c>
      <c r="T91" t="s">
        <v>23</v>
      </c>
      <c r="U91" s="1">
        <v>37073</v>
      </c>
      <c r="V91">
        <v>217775</v>
      </c>
      <c r="W91">
        <v>783899597190.81006</v>
      </c>
      <c r="X91">
        <v>67.892273172240607</v>
      </c>
      <c r="AE91" s="3">
        <v>35947</v>
      </c>
      <c r="AF91" s="5">
        <v>210.21750287960199</v>
      </c>
      <c r="AG91" s="5">
        <v>104.512916257984</v>
      </c>
      <c r="AH91" s="5">
        <f t="shared" si="1"/>
        <v>122.449490559195</v>
      </c>
      <c r="AJ91" s="3">
        <v>37135</v>
      </c>
      <c r="AK91" s="5">
        <v>121.148170368265</v>
      </c>
      <c r="AL91" s="5">
        <v>91.933215746564599</v>
      </c>
    </row>
    <row r="92" spans="1:38" x14ac:dyDescent="0.25">
      <c r="A92" t="s">
        <v>23</v>
      </c>
      <c r="B92" s="1">
        <v>37104</v>
      </c>
      <c r="C92">
        <v>219337</v>
      </c>
      <c r="D92">
        <v>800219895172</v>
      </c>
      <c r="E92">
        <v>140.232093448922</v>
      </c>
      <c r="T92" t="s">
        <v>23</v>
      </c>
      <c r="U92" s="1">
        <v>37104</v>
      </c>
      <c r="V92">
        <v>219337</v>
      </c>
      <c r="W92">
        <v>800219895172</v>
      </c>
      <c r="X92">
        <v>67.243559080277606</v>
      </c>
      <c r="AE92" s="3">
        <v>35977</v>
      </c>
      <c r="AF92" s="5">
        <v>209.55847735609399</v>
      </c>
      <c r="AG92" s="5">
        <v>103.56650003183501</v>
      </c>
      <c r="AH92" s="5">
        <f t="shared" si="1"/>
        <v>122.619513214699</v>
      </c>
      <c r="AJ92" s="3">
        <v>37165</v>
      </c>
      <c r="AK92" s="5">
        <v>123.280317139836</v>
      </c>
      <c r="AL92" s="5">
        <v>92.681527955357893</v>
      </c>
    </row>
    <row r="93" spans="1:38" x14ac:dyDescent="0.25">
      <c r="A93" t="s">
        <v>23</v>
      </c>
      <c r="B93" s="1">
        <v>37135</v>
      </c>
      <c r="C93">
        <v>220863</v>
      </c>
      <c r="D93">
        <v>816276961683.10999</v>
      </c>
      <c r="E93">
        <v>140.24036019785899</v>
      </c>
      <c r="T93" t="s">
        <v>23</v>
      </c>
      <c r="U93" s="1">
        <v>37135</v>
      </c>
      <c r="V93">
        <v>220863</v>
      </c>
      <c r="W93">
        <v>816276961683.10999</v>
      </c>
      <c r="X93">
        <v>67.694556948754396</v>
      </c>
      <c r="AE93" s="3">
        <v>36008</v>
      </c>
      <c r="AF93" s="5">
        <v>208.04119536641201</v>
      </c>
      <c r="AG93" s="5">
        <v>102.246255205677</v>
      </c>
      <c r="AH93" s="5">
        <f t="shared" si="1"/>
        <v>122.937958270274</v>
      </c>
      <c r="AJ93" s="3">
        <v>37196</v>
      </c>
      <c r="AK93" s="5">
        <v>128.744717959078</v>
      </c>
      <c r="AL93" s="5">
        <v>95.583271914520495</v>
      </c>
    </row>
    <row r="94" spans="1:38" x14ac:dyDescent="0.25">
      <c r="A94" t="s">
        <v>23</v>
      </c>
      <c r="B94" s="1">
        <v>37165</v>
      </c>
      <c r="C94">
        <v>222193</v>
      </c>
      <c r="D94">
        <v>829340407712.87</v>
      </c>
      <c r="E94">
        <v>141.81890313328799</v>
      </c>
      <c r="T94" t="s">
        <v>23</v>
      </c>
      <c r="U94" s="1">
        <v>37165</v>
      </c>
      <c r="V94">
        <v>222193</v>
      </c>
      <c r="W94">
        <v>829340407712.87</v>
      </c>
      <c r="X94">
        <v>68.980556333710297</v>
      </c>
      <c r="AE94" s="3">
        <v>36039</v>
      </c>
      <c r="AF94" s="5">
        <v>207.67491938831299</v>
      </c>
      <c r="AG94" s="5">
        <v>101.53557658064901</v>
      </c>
      <c r="AH94" s="5">
        <f t="shared" si="1"/>
        <v>124.36769757394001</v>
      </c>
      <c r="AJ94" s="3">
        <v>37226</v>
      </c>
      <c r="AK94" s="5">
        <v>132.56423289769199</v>
      </c>
      <c r="AL94" s="5">
        <v>97.383150120363496</v>
      </c>
    </row>
    <row r="95" spans="1:38" x14ac:dyDescent="0.25">
      <c r="A95" t="s">
        <v>23</v>
      </c>
      <c r="B95" s="1">
        <v>37196</v>
      </c>
      <c r="C95">
        <v>223572</v>
      </c>
      <c r="D95">
        <v>841081375122.14001</v>
      </c>
      <c r="E95">
        <v>146.848080372971</v>
      </c>
      <c r="T95" t="s">
        <v>23</v>
      </c>
      <c r="U95" s="1">
        <v>37196</v>
      </c>
      <c r="V95">
        <v>223572</v>
      </c>
      <c r="W95">
        <v>841081375122.14001</v>
      </c>
      <c r="X95">
        <v>72.268007048960101</v>
      </c>
      <c r="AE95" s="3">
        <v>36069</v>
      </c>
      <c r="AF95" s="5">
        <v>209.86962582924599</v>
      </c>
      <c r="AG95" s="5">
        <v>102.528495041151</v>
      </c>
      <c r="AH95" s="5">
        <f t="shared" si="1"/>
        <v>128.09009301328601</v>
      </c>
      <c r="AJ95" s="3">
        <v>37257</v>
      </c>
      <c r="AK95" s="5">
        <v>130.06559526883299</v>
      </c>
      <c r="AL95" s="5">
        <v>95.226516014155607</v>
      </c>
    </row>
    <row r="96" spans="1:38" x14ac:dyDescent="0.25">
      <c r="A96" t="s">
        <v>23</v>
      </c>
      <c r="B96" s="1">
        <v>37226</v>
      </c>
      <c r="C96">
        <v>225055</v>
      </c>
      <c r="D96">
        <v>853354387292.38</v>
      </c>
      <c r="E96">
        <v>149.017796506677</v>
      </c>
      <c r="T96" t="s">
        <v>23</v>
      </c>
      <c r="U96" s="1">
        <v>37226</v>
      </c>
      <c r="V96">
        <v>225055</v>
      </c>
      <c r="W96">
        <v>853354387292.38</v>
      </c>
      <c r="X96">
        <v>73.862006812546596</v>
      </c>
      <c r="AE96" s="3">
        <v>36100</v>
      </c>
      <c r="AF96" s="5">
        <v>212.31037838721599</v>
      </c>
      <c r="AG96" s="5">
        <v>103.641119399283</v>
      </c>
      <c r="AH96" s="5">
        <f t="shared" si="1"/>
        <v>130.00716538370401</v>
      </c>
      <c r="AJ96" s="3">
        <v>37288</v>
      </c>
      <c r="AK96" s="5">
        <v>127.548382260995</v>
      </c>
      <c r="AL96" s="5">
        <v>93.068807682921801</v>
      </c>
    </row>
    <row r="97" spans="1:38" x14ac:dyDescent="0.25">
      <c r="A97" t="s">
        <v>23</v>
      </c>
      <c r="B97" s="1">
        <v>37257</v>
      </c>
      <c r="C97">
        <v>226605</v>
      </c>
      <c r="D97">
        <v>865009341307.27002</v>
      </c>
      <c r="E97">
        <v>145.12474378919401</v>
      </c>
      <c r="T97" t="s">
        <v>23</v>
      </c>
      <c r="U97" s="1">
        <v>37257</v>
      </c>
      <c r="V97">
        <v>226605</v>
      </c>
      <c r="W97">
        <v>865009341307.27002</v>
      </c>
      <c r="X97">
        <v>71.922823410928999</v>
      </c>
      <c r="AE97" s="3">
        <v>36130</v>
      </c>
      <c r="AF97" s="5">
        <v>212.02597282276801</v>
      </c>
      <c r="AG97" s="5">
        <v>103.091121125494</v>
      </c>
      <c r="AH97" s="5">
        <f t="shared" si="1"/>
        <v>128.85590587937099</v>
      </c>
      <c r="AJ97" s="3">
        <v>37316</v>
      </c>
      <c r="AK97" s="5">
        <v>126.43465176296399</v>
      </c>
      <c r="AL97" s="5">
        <v>91.534247192069202</v>
      </c>
    </row>
    <row r="98" spans="1:38" x14ac:dyDescent="0.25">
      <c r="A98" t="s">
        <v>23</v>
      </c>
      <c r="B98" s="1">
        <v>37288</v>
      </c>
      <c r="C98">
        <v>227719</v>
      </c>
      <c r="D98">
        <v>868002653952.68994</v>
      </c>
      <c r="E98">
        <v>141.90889159455401</v>
      </c>
      <c r="T98" t="s">
        <v>23</v>
      </c>
      <c r="U98" s="1">
        <v>37288</v>
      </c>
      <c r="V98">
        <v>227719</v>
      </c>
      <c r="W98">
        <v>868002653952.68994</v>
      </c>
      <c r="X98">
        <v>70.367193994003202</v>
      </c>
      <c r="AE98" s="3">
        <v>36161</v>
      </c>
      <c r="AF98" s="5">
        <v>210.13243660683099</v>
      </c>
      <c r="AG98" s="5">
        <v>102.048044730559</v>
      </c>
      <c r="AH98" s="5">
        <f t="shared" si="1"/>
        <v>128.83128881637899</v>
      </c>
      <c r="AJ98" s="3">
        <v>37347</v>
      </c>
      <c r="AK98" s="5">
        <v>123.78984472734599</v>
      </c>
      <c r="AL98" s="5">
        <v>89.079077337619694</v>
      </c>
    </row>
    <row r="99" spans="1:38" x14ac:dyDescent="0.25">
      <c r="A99" t="s">
        <v>23</v>
      </c>
      <c r="B99" s="1">
        <v>37316</v>
      </c>
      <c r="C99">
        <v>228962</v>
      </c>
      <c r="D99">
        <v>879696484692.43994</v>
      </c>
      <c r="E99">
        <v>140.14657300898401</v>
      </c>
      <c r="T99" t="s">
        <v>23</v>
      </c>
      <c r="U99" s="1">
        <v>37316</v>
      </c>
      <c r="V99">
        <v>228962</v>
      </c>
      <c r="W99">
        <v>879696484692.43994</v>
      </c>
      <c r="X99">
        <v>69.693794887416004</v>
      </c>
      <c r="AE99" s="3">
        <v>36192</v>
      </c>
      <c r="AF99" s="5">
        <v>206.22704316802401</v>
      </c>
      <c r="AG99" s="5">
        <v>99.879058553505601</v>
      </c>
      <c r="AH99" s="5">
        <f t="shared" si="1"/>
        <v>127.593900116656</v>
      </c>
      <c r="AJ99" s="3">
        <v>37377</v>
      </c>
      <c r="AK99" s="5">
        <v>121.722594180009</v>
      </c>
      <c r="AL99" s="5">
        <v>87.051781840592099</v>
      </c>
    </row>
    <row r="100" spans="1:38" x14ac:dyDescent="0.25">
      <c r="A100" t="s">
        <v>23</v>
      </c>
      <c r="B100" s="1">
        <v>37347</v>
      </c>
      <c r="C100">
        <v>229290</v>
      </c>
      <c r="D100">
        <v>891137066963.31006</v>
      </c>
      <c r="E100">
        <v>136.75615503864501</v>
      </c>
      <c r="T100" t="s">
        <v>23</v>
      </c>
      <c r="U100" s="1">
        <v>37347</v>
      </c>
      <c r="V100">
        <v>229290</v>
      </c>
      <c r="W100">
        <v>891137066963.31006</v>
      </c>
      <c r="X100">
        <v>67.972181113768798</v>
      </c>
      <c r="AE100" s="3">
        <v>36220</v>
      </c>
      <c r="AF100" s="5">
        <v>203.81564753125599</v>
      </c>
      <c r="AG100" s="5">
        <v>98.344402875783203</v>
      </c>
      <c r="AH100" s="5">
        <f t="shared" si="1"/>
        <v>126.133819748504</v>
      </c>
      <c r="AJ100" s="3">
        <v>37408</v>
      </c>
      <c r="AK100" s="5">
        <v>122.71051812111899</v>
      </c>
      <c r="AL100" s="5">
        <v>86.940415052869795</v>
      </c>
    </row>
    <row r="101" spans="1:38" x14ac:dyDescent="0.25">
      <c r="A101" t="s">
        <v>23</v>
      </c>
      <c r="B101" s="1">
        <v>37377</v>
      </c>
      <c r="C101">
        <v>230242</v>
      </c>
      <c r="D101">
        <v>898079497234.46997</v>
      </c>
      <c r="E101">
        <v>134.80326142120799</v>
      </c>
      <c r="T101" t="s">
        <v>23</v>
      </c>
      <c r="U101" s="1">
        <v>37377</v>
      </c>
      <c r="V101">
        <v>230242</v>
      </c>
      <c r="W101">
        <v>898079497234.46997</v>
      </c>
      <c r="X101">
        <v>66.968664843559694</v>
      </c>
      <c r="AE101" s="3">
        <v>36251</v>
      </c>
      <c r="AF101" s="5">
        <v>199.82104434350001</v>
      </c>
      <c r="AG101" s="5">
        <v>95.850705461469005</v>
      </c>
      <c r="AH101" s="5">
        <f t="shared" si="1"/>
        <v>122.767130407889</v>
      </c>
      <c r="AJ101" s="3">
        <v>37438</v>
      </c>
      <c r="AK101" s="5">
        <v>125.92833076899301</v>
      </c>
      <c r="AL101" s="5">
        <v>88.043154730294802</v>
      </c>
    </row>
    <row r="102" spans="1:38" x14ac:dyDescent="0.25">
      <c r="A102" t="s">
        <v>23</v>
      </c>
      <c r="B102" s="1">
        <v>37408</v>
      </c>
      <c r="C102">
        <v>231200</v>
      </c>
      <c r="D102">
        <v>906196770233.09998</v>
      </c>
      <c r="E102">
        <v>135.002673577813</v>
      </c>
      <c r="T102" t="s">
        <v>23</v>
      </c>
      <c r="U102" s="1">
        <v>37408</v>
      </c>
      <c r="V102">
        <v>231200</v>
      </c>
      <c r="W102">
        <v>906196770233.09998</v>
      </c>
      <c r="X102">
        <v>67.143544071000306</v>
      </c>
      <c r="AE102" s="3">
        <v>36281</v>
      </c>
      <c r="AF102" s="5">
        <v>196.97111070713899</v>
      </c>
      <c r="AG102" s="5">
        <v>93.975757874369293</v>
      </c>
      <c r="AH102" s="5">
        <f t="shared" si="1"/>
        <v>120.586085304837</v>
      </c>
      <c r="AJ102" s="3">
        <v>37469</v>
      </c>
      <c r="AK102" s="5">
        <v>131.74044378131401</v>
      </c>
      <c r="AL102" s="5">
        <v>90.620033285779698</v>
      </c>
    </row>
    <row r="103" spans="1:38" x14ac:dyDescent="0.25">
      <c r="A103" t="s">
        <v>23</v>
      </c>
      <c r="B103" s="1">
        <v>37438</v>
      </c>
      <c r="C103">
        <v>232155</v>
      </c>
      <c r="D103">
        <v>915306614991.16003</v>
      </c>
      <c r="E103">
        <v>137.77782590984501</v>
      </c>
      <c r="T103" t="s">
        <v>23</v>
      </c>
      <c r="U103" s="1">
        <v>37438</v>
      </c>
      <c r="V103">
        <v>232155</v>
      </c>
      <c r="W103">
        <v>915306614991.16003</v>
      </c>
      <c r="X103">
        <v>68.691159746604598</v>
      </c>
      <c r="AE103" s="3">
        <v>36312</v>
      </c>
      <c r="AF103" s="5">
        <v>192.97499020591599</v>
      </c>
      <c r="AG103" s="5">
        <v>91.464153377115494</v>
      </c>
      <c r="AH103" s="5">
        <f t="shared" si="1"/>
        <v>117.19438650965</v>
      </c>
      <c r="AJ103" s="3">
        <v>37500</v>
      </c>
      <c r="AK103" s="5">
        <v>139.77489932971599</v>
      </c>
      <c r="AL103" s="5">
        <v>94.679489085049994</v>
      </c>
    </row>
    <row r="104" spans="1:38" x14ac:dyDescent="0.25">
      <c r="A104" t="s">
        <v>23</v>
      </c>
      <c r="B104" s="1">
        <v>37469</v>
      </c>
      <c r="C104">
        <v>232988</v>
      </c>
      <c r="D104">
        <v>924210879564.21997</v>
      </c>
      <c r="E104">
        <v>143.30912336620301</v>
      </c>
      <c r="T104" t="s">
        <v>23</v>
      </c>
      <c r="U104" s="1">
        <v>37469</v>
      </c>
      <c r="V104">
        <v>232988</v>
      </c>
      <c r="W104">
        <v>924210879564.21997</v>
      </c>
      <c r="X104">
        <v>71.845727725272596</v>
      </c>
      <c r="AE104" s="3">
        <v>36342</v>
      </c>
      <c r="AF104" s="5">
        <v>186.77191819223</v>
      </c>
      <c r="AG104" s="5">
        <v>87.976605332424498</v>
      </c>
      <c r="AH104" s="5">
        <f t="shared" si="1"/>
        <v>113.397929777839</v>
      </c>
      <c r="AJ104" s="3">
        <v>37530</v>
      </c>
      <c r="AK104" s="5">
        <v>149.64396050023501</v>
      </c>
      <c r="AL104" s="5">
        <v>100.37007951502</v>
      </c>
    </row>
    <row r="105" spans="1:38" x14ac:dyDescent="0.25">
      <c r="A105" t="s">
        <v>23</v>
      </c>
      <c r="B105" s="1">
        <v>37500</v>
      </c>
      <c r="C105">
        <v>234029</v>
      </c>
      <c r="D105">
        <v>933451662668.81006</v>
      </c>
      <c r="E105">
        <v>150.174269352192</v>
      </c>
      <c r="T105" t="s">
        <v>23</v>
      </c>
      <c r="U105" s="1">
        <v>37500</v>
      </c>
      <c r="V105">
        <v>234029</v>
      </c>
      <c r="W105">
        <v>933451662668.81006</v>
      </c>
      <c r="X105">
        <v>76.124453655321702</v>
      </c>
      <c r="AE105" s="3">
        <v>36373</v>
      </c>
      <c r="AF105" s="5">
        <v>180.82742664432101</v>
      </c>
      <c r="AG105" s="5">
        <v>84.662193462768101</v>
      </c>
      <c r="AH105" s="5">
        <f t="shared" si="1"/>
        <v>109.932746106251</v>
      </c>
      <c r="AJ105" s="3">
        <v>37561</v>
      </c>
      <c r="AK105" s="5">
        <v>157.161455644607</v>
      </c>
      <c r="AL105" s="5">
        <v>104.46508388162</v>
      </c>
    </row>
    <row r="106" spans="1:38" x14ac:dyDescent="0.25">
      <c r="A106" t="s">
        <v>23</v>
      </c>
      <c r="B106" s="1">
        <v>37530</v>
      </c>
      <c r="C106">
        <v>235250</v>
      </c>
      <c r="D106">
        <v>939163115315.12</v>
      </c>
      <c r="E106">
        <v>158.93005492251999</v>
      </c>
      <c r="T106" t="s">
        <v>23</v>
      </c>
      <c r="U106" s="1">
        <v>37530</v>
      </c>
      <c r="V106">
        <v>235250</v>
      </c>
      <c r="W106">
        <v>939163115315.12</v>
      </c>
      <c r="X106">
        <v>82.132236205062796</v>
      </c>
      <c r="AE106" s="3">
        <v>36404</v>
      </c>
      <c r="AF106" s="5">
        <v>175.01946278841999</v>
      </c>
      <c r="AG106" s="5">
        <v>81.522421554829506</v>
      </c>
      <c r="AH106" s="5">
        <f t="shared" si="1"/>
        <v>106.60845530112999</v>
      </c>
      <c r="AJ106" s="3">
        <v>37591</v>
      </c>
      <c r="AK106" s="5">
        <v>164.25262576074499</v>
      </c>
      <c r="AL106" s="5">
        <v>108.500211895855</v>
      </c>
    </row>
    <row r="107" spans="1:38" x14ac:dyDescent="0.25">
      <c r="A107" t="s">
        <v>23</v>
      </c>
      <c r="B107" s="1">
        <v>37561</v>
      </c>
      <c r="C107">
        <v>236280</v>
      </c>
      <c r="D107">
        <v>950835871010.5</v>
      </c>
      <c r="E107">
        <v>164.52003154031499</v>
      </c>
      <c r="T107" t="s">
        <v>23</v>
      </c>
      <c r="U107" s="1">
        <v>37561</v>
      </c>
      <c r="V107">
        <v>236280</v>
      </c>
      <c r="W107">
        <v>950835871010.5</v>
      </c>
      <c r="X107">
        <v>86.310090236327397</v>
      </c>
      <c r="AE107" s="3">
        <v>36434</v>
      </c>
      <c r="AF107" s="5">
        <v>170.273596503704</v>
      </c>
      <c r="AG107" s="5">
        <v>78.904335184212698</v>
      </c>
      <c r="AH107" s="5">
        <f t="shared" si="1"/>
        <v>104.099319229911</v>
      </c>
      <c r="AJ107" s="3">
        <v>37622</v>
      </c>
      <c r="AK107" s="5">
        <v>169.22365244006701</v>
      </c>
      <c r="AL107" s="5">
        <v>111.005720780335</v>
      </c>
    </row>
    <row r="108" spans="1:38" x14ac:dyDescent="0.25">
      <c r="A108" t="s">
        <v>23</v>
      </c>
      <c r="B108" s="1">
        <v>37591</v>
      </c>
      <c r="C108">
        <v>237080</v>
      </c>
      <c r="D108">
        <v>948704633830.25</v>
      </c>
      <c r="E108">
        <v>169.90154644672799</v>
      </c>
      <c r="T108" t="s">
        <v>23</v>
      </c>
      <c r="U108" s="1">
        <v>37591</v>
      </c>
      <c r="V108">
        <v>237080</v>
      </c>
      <c r="W108">
        <v>948704633830.25</v>
      </c>
      <c r="X108">
        <v>90.305458712504404</v>
      </c>
      <c r="AE108" s="3">
        <v>36465</v>
      </c>
      <c r="AF108" s="5">
        <v>166.26135431069099</v>
      </c>
      <c r="AG108" s="5">
        <v>76.698135590656307</v>
      </c>
      <c r="AH108" s="5">
        <f t="shared" si="1"/>
        <v>102.32739854203</v>
      </c>
      <c r="AJ108" s="3">
        <v>37653</v>
      </c>
      <c r="AK108" s="5">
        <v>178.24367114453801</v>
      </c>
      <c r="AL108" s="5">
        <v>116.457596474494</v>
      </c>
    </row>
    <row r="109" spans="1:38" x14ac:dyDescent="0.25">
      <c r="A109" t="s">
        <v>23</v>
      </c>
      <c r="B109" s="1">
        <v>37622</v>
      </c>
      <c r="C109">
        <v>238095</v>
      </c>
      <c r="D109">
        <v>952529753121.88</v>
      </c>
      <c r="E109">
        <v>173.979671558993</v>
      </c>
      <c r="T109" t="s">
        <v>23</v>
      </c>
      <c r="U109" s="1">
        <v>37622</v>
      </c>
      <c r="V109">
        <v>238095</v>
      </c>
      <c r="W109">
        <v>952529753121.88</v>
      </c>
      <c r="X109">
        <v>93.4734413173381</v>
      </c>
      <c r="AE109" s="3">
        <v>36495</v>
      </c>
      <c r="AF109" s="5">
        <v>163.857058038247</v>
      </c>
      <c r="AG109" s="5">
        <v>75.259367849190994</v>
      </c>
      <c r="AH109" s="5">
        <f t="shared" si="1"/>
        <v>101.113443512465</v>
      </c>
      <c r="AJ109" s="3">
        <v>37681</v>
      </c>
      <c r="AK109" s="5">
        <v>187.94573545909401</v>
      </c>
      <c r="AL109" s="5">
        <v>122.227755574323</v>
      </c>
    </row>
    <row r="110" spans="1:38" x14ac:dyDescent="0.25">
      <c r="A110" t="s">
        <v>23</v>
      </c>
      <c r="B110" s="1">
        <v>37653</v>
      </c>
      <c r="C110">
        <v>238988</v>
      </c>
      <c r="D110">
        <v>962426850688.71997</v>
      </c>
      <c r="E110">
        <v>177.11254516995899</v>
      </c>
      <c r="T110" t="s">
        <v>23</v>
      </c>
      <c r="U110" s="1">
        <v>37653</v>
      </c>
      <c r="V110">
        <v>238988</v>
      </c>
      <c r="W110">
        <v>962426850688.71997</v>
      </c>
      <c r="X110">
        <v>96.340036782699002</v>
      </c>
      <c r="AE110" s="3">
        <v>36526</v>
      </c>
      <c r="AF110" s="5">
        <v>160.98362646557001</v>
      </c>
      <c r="AG110" s="5">
        <v>73.652902815295107</v>
      </c>
      <c r="AH110" s="5">
        <f t="shared" si="1"/>
        <v>99.994290318529394</v>
      </c>
      <c r="AJ110" s="3">
        <v>37712</v>
      </c>
      <c r="AK110" s="5">
        <v>195.258001449576</v>
      </c>
      <c r="AL110" s="5">
        <v>126.6820220497</v>
      </c>
    </row>
    <row r="111" spans="1:38" x14ac:dyDescent="0.25">
      <c r="A111" t="s">
        <v>23</v>
      </c>
      <c r="B111" s="1">
        <v>37681</v>
      </c>
      <c r="C111">
        <v>239791</v>
      </c>
      <c r="D111">
        <v>971889246408.43994</v>
      </c>
      <c r="E111">
        <v>181.25835629660301</v>
      </c>
      <c r="T111" t="s">
        <v>23</v>
      </c>
      <c r="U111" s="1">
        <v>37681</v>
      </c>
      <c r="V111">
        <v>239791</v>
      </c>
      <c r="W111">
        <v>971889246408.43994</v>
      </c>
      <c r="X111">
        <v>99.673129073822295</v>
      </c>
      <c r="AE111" s="3">
        <v>36557</v>
      </c>
      <c r="AF111" s="5">
        <v>157.82695965541299</v>
      </c>
      <c r="AG111" s="5">
        <v>71.953222489577399</v>
      </c>
      <c r="AH111" s="5">
        <f t="shared" si="1"/>
        <v>97.791357181578704</v>
      </c>
      <c r="AJ111" s="3">
        <v>37742</v>
      </c>
      <c r="AK111" s="5">
        <v>202.245444263369</v>
      </c>
      <c r="AL111" s="5">
        <v>130.82297875520899</v>
      </c>
    </row>
    <row r="112" spans="1:38" x14ac:dyDescent="0.25">
      <c r="A112" t="s">
        <v>23</v>
      </c>
      <c r="B112" s="1">
        <v>37712</v>
      </c>
      <c r="C112">
        <v>240505</v>
      </c>
      <c r="D112">
        <v>981397635555.85999</v>
      </c>
      <c r="E112">
        <v>186.419452787984</v>
      </c>
      <c r="T112" t="s">
        <v>23</v>
      </c>
      <c r="U112" s="1">
        <v>37712</v>
      </c>
      <c r="V112">
        <v>240505</v>
      </c>
      <c r="W112">
        <v>981397635555.85999</v>
      </c>
      <c r="X112">
        <v>103.676244852417</v>
      </c>
      <c r="AE112" s="3">
        <v>36586</v>
      </c>
      <c r="AF112" s="5">
        <v>155.27566958668001</v>
      </c>
      <c r="AG112" s="5">
        <v>70.574938241084197</v>
      </c>
      <c r="AH112" s="5">
        <f t="shared" si="1"/>
        <v>96.589745847264695</v>
      </c>
      <c r="AJ112" s="3">
        <v>37773</v>
      </c>
      <c r="AK112" s="5">
        <v>212.126102709734</v>
      </c>
      <c r="AL112" s="5">
        <v>137.625399795753</v>
      </c>
    </row>
    <row r="113" spans="1:38" x14ac:dyDescent="0.25">
      <c r="A113" t="s">
        <v>23</v>
      </c>
      <c r="B113" s="1">
        <v>37742</v>
      </c>
      <c r="C113">
        <v>241199</v>
      </c>
      <c r="D113">
        <v>998455877100.01001</v>
      </c>
      <c r="E113">
        <v>185.84350636481099</v>
      </c>
      <c r="T113" t="s">
        <v>23</v>
      </c>
      <c r="U113" s="1">
        <v>37742</v>
      </c>
      <c r="V113">
        <v>241199</v>
      </c>
      <c r="W113">
        <v>998455877100.01001</v>
      </c>
      <c r="X113">
        <v>103.829085227447</v>
      </c>
      <c r="AE113" s="3">
        <v>36617</v>
      </c>
      <c r="AF113" s="5">
        <v>153.267425773897</v>
      </c>
      <c r="AG113" s="5">
        <v>69.458926193563997</v>
      </c>
      <c r="AH113" s="5">
        <f t="shared" si="1"/>
        <v>95.419778229635099</v>
      </c>
      <c r="AJ113" s="3">
        <v>37803</v>
      </c>
      <c r="AK113" s="5">
        <v>225.17284904919899</v>
      </c>
      <c r="AL113" s="5">
        <v>147.152280193255</v>
      </c>
    </row>
    <row r="114" spans="1:38" x14ac:dyDescent="0.25">
      <c r="A114" t="s">
        <v>23</v>
      </c>
      <c r="B114" s="1">
        <v>37773</v>
      </c>
      <c r="C114">
        <v>241528</v>
      </c>
      <c r="D114">
        <v>1000338175794.87</v>
      </c>
      <c r="E114">
        <v>191.10520837080199</v>
      </c>
      <c r="T114" t="s">
        <v>23</v>
      </c>
      <c r="U114" s="1">
        <v>37773</v>
      </c>
      <c r="V114">
        <v>241528</v>
      </c>
      <c r="W114">
        <v>1000338175794.87</v>
      </c>
      <c r="X114">
        <v>107.852270367323</v>
      </c>
      <c r="AE114" s="3">
        <v>36647</v>
      </c>
      <c r="AF114" s="5">
        <v>150.94698998536299</v>
      </c>
      <c r="AG114" s="5">
        <v>68.240872672880798</v>
      </c>
      <c r="AH114" s="5">
        <f t="shared" si="1"/>
        <v>94.501844203616201</v>
      </c>
      <c r="AJ114" s="3">
        <v>37834</v>
      </c>
      <c r="AK114" s="5">
        <v>226.29197957409599</v>
      </c>
      <c r="AL114" s="5">
        <v>147.60721163728499</v>
      </c>
    </row>
    <row r="115" spans="1:38" x14ac:dyDescent="0.25">
      <c r="A115" t="s">
        <v>23</v>
      </c>
      <c r="B115" s="1">
        <v>37803</v>
      </c>
      <c r="C115">
        <v>242127</v>
      </c>
      <c r="D115">
        <v>1015393774840.89</v>
      </c>
      <c r="E115">
        <v>198.04683758893299</v>
      </c>
      <c r="T115" t="s">
        <v>23</v>
      </c>
      <c r="U115" s="1">
        <v>37803</v>
      </c>
      <c r="V115">
        <v>242127</v>
      </c>
      <c r="W115">
        <v>1015393774840.89</v>
      </c>
      <c r="X115">
        <v>113.660666369404</v>
      </c>
      <c r="AE115" s="3">
        <v>36678</v>
      </c>
      <c r="AF115" s="5">
        <v>148.291895064958</v>
      </c>
      <c r="AG115" s="5">
        <v>66.901707920605006</v>
      </c>
      <c r="AH115" s="5">
        <f t="shared" si="1"/>
        <v>92.577035500187307</v>
      </c>
      <c r="AJ115" s="3">
        <v>37865</v>
      </c>
      <c r="AK115" s="5">
        <v>213.58354294145099</v>
      </c>
      <c r="AL115" s="5">
        <v>139.80749569965201</v>
      </c>
    </row>
    <row r="116" spans="1:38" x14ac:dyDescent="0.25">
      <c r="A116" t="s">
        <v>23</v>
      </c>
      <c r="B116" s="1">
        <v>37834</v>
      </c>
      <c r="C116">
        <v>242806</v>
      </c>
      <c r="D116">
        <v>1022403673721.74</v>
      </c>
      <c r="E116">
        <v>195.52645344433699</v>
      </c>
      <c r="T116" t="s">
        <v>23</v>
      </c>
      <c r="U116" s="1">
        <v>37834</v>
      </c>
      <c r="V116">
        <v>242806</v>
      </c>
      <c r="W116">
        <v>1022403673721.74</v>
      </c>
      <c r="X116">
        <v>112.317567488181</v>
      </c>
      <c r="AE116" s="3">
        <v>36708</v>
      </c>
      <c r="AF116" s="5">
        <v>145.62424974487701</v>
      </c>
      <c r="AG116" s="5">
        <v>65.566456058745501</v>
      </c>
      <c r="AH116" s="5">
        <f t="shared" si="1"/>
        <v>91.0828057942865</v>
      </c>
      <c r="AJ116" s="3">
        <v>37895</v>
      </c>
      <c r="AK116" s="5">
        <v>203.333465959497</v>
      </c>
      <c r="AL116" s="5">
        <v>133.08402351159799</v>
      </c>
    </row>
    <row r="117" spans="1:38" x14ac:dyDescent="0.25">
      <c r="A117" t="s">
        <v>23</v>
      </c>
      <c r="B117" s="1">
        <v>37865</v>
      </c>
      <c r="C117">
        <v>243055</v>
      </c>
      <c r="D117">
        <v>1011345079983.45</v>
      </c>
      <c r="E117">
        <v>185.56564703978199</v>
      </c>
      <c r="T117" t="s">
        <v>23</v>
      </c>
      <c r="U117" s="1">
        <v>37865</v>
      </c>
      <c r="V117">
        <v>243055</v>
      </c>
      <c r="W117">
        <v>1011345079983.45</v>
      </c>
      <c r="X117">
        <v>106.55162724334799</v>
      </c>
      <c r="AE117" s="3">
        <v>36739</v>
      </c>
      <c r="AF117" s="5">
        <v>143.23685147081201</v>
      </c>
      <c r="AG117" s="5">
        <v>64.416007472304699</v>
      </c>
      <c r="AH117" s="5">
        <f t="shared" si="1"/>
        <v>89.936120400100407</v>
      </c>
      <c r="AJ117" s="3">
        <v>37926</v>
      </c>
      <c r="AK117" s="5">
        <v>194.51048245941899</v>
      </c>
      <c r="AL117" s="5">
        <v>126.76690686134801</v>
      </c>
    </row>
    <row r="118" spans="1:38" x14ac:dyDescent="0.25">
      <c r="A118" t="s">
        <v>23</v>
      </c>
      <c r="B118" s="1">
        <v>37895</v>
      </c>
      <c r="C118">
        <v>243087</v>
      </c>
      <c r="D118">
        <v>1018746952300.48</v>
      </c>
      <c r="E118">
        <v>174.907466704911</v>
      </c>
      <c r="T118" t="s">
        <v>23</v>
      </c>
      <c r="U118" s="1">
        <v>37895</v>
      </c>
      <c r="V118">
        <v>243087</v>
      </c>
      <c r="W118">
        <v>1018746952300.48</v>
      </c>
      <c r="X118">
        <v>100.40586290837101</v>
      </c>
      <c r="AE118" s="3">
        <v>36770</v>
      </c>
      <c r="AF118" s="5">
        <v>140.75831505642799</v>
      </c>
      <c r="AG118" s="5">
        <v>63.277951695894799</v>
      </c>
      <c r="AH118" s="5">
        <f t="shared" si="1"/>
        <v>88.422669315273893</v>
      </c>
      <c r="AJ118" s="3">
        <v>37956</v>
      </c>
      <c r="AK118" s="5">
        <v>191.098587362567</v>
      </c>
      <c r="AL118" s="5">
        <v>123.824530761714</v>
      </c>
    </row>
    <row r="119" spans="1:38" x14ac:dyDescent="0.25">
      <c r="A119" t="s">
        <v>23</v>
      </c>
      <c r="B119" s="1">
        <v>37926</v>
      </c>
      <c r="C119">
        <v>242823</v>
      </c>
      <c r="D119">
        <v>1022881900552.3199</v>
      </c>
      <c r="E119">
        <v>169.30318200225099</v>
      </c>
      <c r="T119" t="s">
        <v>23</v>
      </c>
      <c r="U119" s="1">
        <v>37926</v>
      </c>
      <c r="V119">
        <v>242823</v>
      </c>
      <c r="W119">
        <v>1022881900552.3199</v>
      </c>
      <c r="X119">
        <v>96.969704426976307</v>
      </c>
      <c r="AE119" s="3">
        <v>36800</v>
      </c>
      <c r="AF119" s="5">
        <v>138.55325463341501</v>
      </c>
      <c r="AG119" s="5">
        <v>62.3010158228603</v>
      </c>
      <c r="AH119" s="5">
        <f t="shared" si="1"/>
        <v>87.097977481442499</v>
      </c>
      <c r="AJ119" s="3">
        <v>37987</v>
      </c>
      <c r="AK119" s="5">
        <v>189.55344576496</v>
      </c>
      <c r="AL119" s="5">
        <v>122.144296437951</v>
      </c>
    </row>
    <row r="120" spans="1:38" x14ac:dyDescent="0.25">
      <c r="A120" t="s">
        <v>23</v>
      </c>
      <c r="B120" s="1">
        <v>37956</v>
      </c>
      <c r="C120">
        <v>242568</v>
      </c>
      <c r="D120">
        <v>1029221486063.8</v>
      </c>
      <c r="E120">
        <v>166.126635143496</v>
      </c>
      <c r="T120" t="s">
        <v>23</v>
      </c>
      <c r="U120" s="1">
        <v>37956</v>
      </c>
      <c r="V120">
        <v>242568</v>
      </c>
      <c r="W120">
        <v>1029221486063.8</v>
      </c>
      <c r="X120">
        <v>94.829636513974705</v>
      </c>
      <c r="AE120" s="3">
        <v>36831</v>
      </c>
      <c r="AF120" s="5">
        <v>136.62964607290701</v>
      </c>
      <c r="AG120" s="5">
        <v>61.5214786675364</v>
      </c>
      <c r="AH120" s="5">
        <f t="shared" si="1"/>
        <v>86.131850997725493</v>
      </c>
      <c r="AJ120" s="3">
        <v>38018</v>
      </c>
      <c r="AK120" s="5">
        <v>191.39478800164599</v>
      </c>
      <c r="AL120" s="5">
        <v>122.626887583596</v>
      </c>
    </row>
    <row r="121" spans="1:38" x14ac:dyDescent="0.25">
      <c r="A121" t="s">
        <v>23</v>
      </c>
      <c r="B121" s="1">
        <v>37987</v>
      </c>
      <c r="C121">
        <v>242944</v>
      </c>
      <c r="D121">
        <v>1041578015793.9</v>
      </c>
      <c r="E121">
        <v>164.935146615577</v>
      </c>
      <c r="T121" t="s">
        <v>23</v>
      </c>
      <c r="U121" s="1">
        <v>37987</v>
      </c>
      <c r="V121">
        <v>242944</v>
      </c>
      <c r="W121">
        <v>1041578015793.9</v>
      </c>
      <c r="X121">
        <v>93.876027563744501</v>
      </c>
      <c r="AE121" s="3">
        <v>36861</v>
      </c>
      <c r="AF121" s="5">
        <v>135.06078512406401</v>
      </c>
      <c r="AG121" s="5">
        <v>60.944628622395697</v>
      </c>
      <c r="AH121" s="5">
        <f t="shared" si="1"/>
        <v>85.510156601519995</v>
      </c>
      <c r="AJ121" s="3">
        <v>38047</v>
      </c>
      <c r="AK121" s="5">
        <v>195.75408136341099</v>
      </c>
      <c r="AL121" s="5">
        <v>124.653866796578</v>
      </c>
    </row>
    <row r="122" spans="1:38" x14ac:dyDescent="0.25">
      <c r="A122" t="s">
        <v>23</v>
      </c>
      <c r="B122" s="1">
        <v>38018</v>
      </c>
      <c r="C122">
        <v>242958</v>
      </c>
      <c r="D122">
        <v>1046154494968.26</v>
      </c>
      <c r="E122">
        <v>166.862426048575</v>
      </c>
      <c r="T122" t="s">
        <v>23</v>
      </c>
      <c r="U122" s="1">
        <v>38018</v>
      </c>
      <c r="V122">
        <v>242958</v>
      </c>
      <c r="W122">
        <v>1046154494968.26</v>
      </c>
      <c r="X122">
        <v>94.604546361960701</v>
      </c>
      <c r="AE122" s="3">
        <v>36892</v>
      </c>
      <c r="AF122" s="5">
        <v>136.03034953603299</v>
      </c>
      <c r="AG122" s="5">
        <v>61.888735758352098</v>
      </c>
      <c r="AH122" s="5">
        <f t="shared" si="1"/>
        <v>86.284664559545902</v>
      </c>
      <c r="AJ122" s="3">
        <v>38078</v>
      </c>
      <c r="AK122" s="5">
        <v>201.57990522944201</v>
      </c>
      <c r="AL122" s="5">
        <v>127.67003499027101</v>
      </c>
    </row>
    <row r="123" spans="1:38" x14ac:dyDescent="0.25">
      <c r="A123" t="s">
        <v>23</v>
      </c>
      <c r="B123" s="1">
        <v>38047</v>
      </c>
      <c r="C123">
        <v>243244</v>
      </c>
      <c r="D123">
        <v>1054228745365.45</v>
      </c>
      <c r="E123">
        <v>170.72181201925301</v>
      </c>
      <c r="T123" t="s">
        <v>23</v>
      </c>
      <c r="U123" s="1">
        <v>38047</v>
      </c>
      <c r="V123">
        <v>243244</v>
      </c>
      <c r="W123">
        <v>1054228745365.45</v>
      </c>
      <c r="X123">
        <v>96.468368053784999</v>
      </c>
      <c r="AE123" s="3">
        <v>36923</v>
      </c>
      <c r="AF123" s="5">
        <v>139.83109273771501</v>
      </c>
      <c r="AG123" s="5">
        <v>64.597834227597502</v>
      </c>
      <c r="AH123" s="5">
        <f t="shared" si="1"/>
        <v>89.415505640199996</v>
      </c>
      <c r="AJ123" s="3">
        <v>38108</v>
      </c>
      <c r="AK123" s="5">
        <v>198.68579980699701</v>
      </c>
      <c r="AL123" s="5">
        <v>125.53852491660901</v>
      </c>
    </row>
    <row r="124" spans="1:38" x14ac:dyDescent="0.25">
      <c r="A124" t="s">
        <v>23</v>
      </c>
      <c r="B124" s="1">
        <v>38078</v>
      </c>
      <c r="C124">
        <v>243458</v>
      </c>
      <c r="D124">
        <v>1054419241918.8</v>
      </c>
      <c r="E124">
        <v>177.105260065918</v>
      </c>
      <c r="T124" t="s">
        <v>23</v>
      </c>
      <c r="U124" s="1">
        <v>38078</v>
      </c>
      <c r="V124">
        <v>243458</v>
      </c>
      <c r="W124">
        <v>1054419241918.8</v>
      </c>
      <c r="X124">
        <v>99.763865144393193</v>
      </c>
      <c r="AE124" s="3">
        <v>36951</v>
      </c>
      <c r="AF124" s="5">
        <v>142.83335941873</v>
      </c>
      <c r="AG124" s="5">
        <v>66.739753064070101</v>
      </c>
      <c r="AH124" s="5">
        <f t="shared" si="1"/>
        <v>92.253571252137405</v>
      </c>
      <c r="AJ124" s="3">
        <v>38139</v>
      </c>
      <c r="AK124" s="5">
        <v>192.419181120551</v>
      </c>
      <c r="AL124" s="5">
        <v>121.560823775964</v>
      </c>
    </row>
    <row r="125" spans="1:38" x14ac:dyDescent="0.25">
      <c r="A125" t="s">
        <v>23</v>
      </c>
      <c r="B125" s="1">
        <v>38108</v>
      </c>
      <c r="C125">
        <v>243458</v>
      </c>
      <c r="D125">
        <v>1053489210318.27</v>
      </c>
      <c r="E125">
        <v>174.95025471998801</v>
      </c>
      <c r="T125" t="s">
        <v>23</v>
      </c>
      <c r="U125" s="1">
        <v>38108</v>
      </c>
      <c r="V125">
        <v>243458</v>
      </c>
      <c r="W125">
        <v>1053489210318.27</v>
      </c>
      <c r="X125">
        <v>98.251821898209101</v>
      </c>
      <c r="AE125" s="3">
        <v>36982</v>
      </c>
      <c r="AF125" s="5">
        <v>146.045871189472</v>
      </c>
      <c r="AG125" s="5">
        <v>69.0288844915803</v>
      </c>
      <c r="AH125" s="5">
        <f t="shared" si="1"/>
        <v>95.321891672072496</v>
      </c>
      <c r="AJ125" s="3">
        <v>38169</v>
      </c>
      <c r="AK125" s="5">
        <v>185.946198716536</v>
      </c>
      <c r="AL125" s="5">
        <v>117.168668121614</v>
      </c>
    </row>
    <row r="126" spans="1:38" x14ac:dyDescent="0.25">
      <c r="A126" t="s">
        <v>23</v>
      </c>
      <c r="B126" s="1">
        <v>38139</v>
      </c>
      <c r="C126">
        <v>243206</v>
      </c>
      <c r="D126">
        <v>1042475819587.54</v>
      </c>
      <c r="E126">
        <v>171.008757850851</v>
      </c>
      <c r="T126" t="s">
        <v>23</v>
      </c>
      <c r="U126" s="1">
        <v>38139</v>
      </c>
      <c r="V126">
        <v>243206</v>
      </c>
      <c r="W126">
        <v>1042475819587.54</v>
      </c>
      <c r="X126">
        <v>95.860614239825097</v>
      </c>
      <c r="AE126" s="3">
        <v>37012</v>
      </c>
      <c r="AF126" s="5">
        <v>145.937053079186</v>
      </c>
      <c r="AG126" s="5">
        <v>69.370882185601801</v>
      </c>
      <c r="AH126" s="5">
        <f t="shared" si="1"/>
        <v>96.166104538294405</v>
      </c>
      <c r="AJ126" s="3">
        <v>38200</v>
      </c>
      <c r="AK126" s="5">
        <v>182.85217175163399</v>
      </c>
      <c r="AL126" s="5">
        <v>114.739397412041</v>
      </c>
    </row>
    <row r="127" spans="1:38" x14ac:dyDescent="0.25">
      <c r="A127" t="s">
        <v>23</v>
      </c>
      <c r="B127" s="1">
        <v>38169</v>
      </c>
      <c r="C127">
        <v>243206</v>
      </c>
      <c r="D127">
        <v>1043034371136.61</v>
      </c>
      <c r="E127">
        <v>166.57042387843299</v>
      </c>
      <c r="T127" t="s">
        <v>23</v>
      </c>
      <c r="U127" s="1">
        <v>38169</v>
      </c>
      <c r="V127">
        <v>243206</v>
      </c>
      <c r="W127">
        <v>1043034371136.61</v>
      </c>
      <c r="X127">
        <v>93.0628580856132</v>
      </c>
      <c r="AE127" s="3">
        <v>37043</v>
      </c>
      <c r="AF127" s="5">
        <v>144.26662288292599</v>
      </c>
      <c r="AG127" s="5">
        <v>68.774158468952294</v>
      </c>
      <c r="AH127" s="5">
        <f t="shared" si="1"/>
        <v>95.376088610164999</v>
      </c>
      <c r="AJ127" s="3">
        <v>38231</v>
      </c>
      <c r="AK127" s="5">
        <v>182.724667175809</v>
      </c>
      <c r="AL127" s="5">
        <v>114.040394175806</v>
      </c>
    </row>
    <row r="128" spans="1:38" x14ac:dyDescent="0.25">
      <c r="A128" t="s">
        <v>23</v>
      </c>
      <c r="B128" s="1">
        <v>38200</v>
      </c>
      <c r="C128">
        <v>243079</v>
      </c>
      <c r="D128">
        <v>1042526892174.13</v>
      </c>
      <c r="E128">
        <v>164.94862082127599</v>
      </c>
      <c r="T128" t="s">
        <v>23</v>
      </c>
      <c r="U128" s="1">
        <v>38200</v>
      </c>
      <c r="V128">
        <v>243079</v>
      </c>
      <c r="W128">
        <v>1042526892174.13</v>
      </c>
      <c r="X128">
        <v>91.786675218524095</v>
      </c>
      <c r="AE128" s="3">
        <v>37073</v>
      </c>
      <c r="AF128" s="5">
        <v>142.05360713298799</v>
      </c>
      <c r="AG128" s="5">
        <v>67.892273172240607</v>
      </c>
      <c r="AH128" s="5">
        <f t="shared" si="1"/>
        <v>93.665263081747696</v>
      </c>
      <c r="AJ128" s="3">
        <v>38261</v>
      </c>
      <c r="AK128" s="5">
        <v>183.87872259247101</v>
      </c>
      <c r="AL128" s="5">
        <v>114.07430181275799</v>
      </c>
    </row>
    <row r="129" spans="1:38" x14ac:dyDescent="0.25">
      <c r="A129" t="s">
        <v>23</v>
      </c>
      <c r="B129" s="1">
        <v>38231</v>
      </c>
      <c r="C129">
        <v>243049</v>
      </c>
      <c r="D129">
        <v>1043715265049.05</v>
      </c>
      <c r="E129">
        <v>165.729808307372</v>
      </c>
      <c r="T129" t="s">
        <v>23</v>
      </c>
      <c r="U129" s="1">
        <v>38231</v>
      </c>
      <c r="V129">
        <v>243049</v>
      </c>
      <c r="W129">
        <v>1043715265049.05</v>
      </c>
      <c r="X129">
        <v>91.794455331314197</v>
      </c>
      <c r="AE129" s="3">
        <v>37104</v>
      </c>
      <c r="AF129" s="5">
        <v>140.232093448922</v>
      </c>
      <c r="AG129" s="5">
        <v>67.243559080277606</v>
      </c>
      <c r="AH129" s="5">
        <f t="shared" si="1"/>
        <v>91.753493775179194</v>
      </c>
      <c r="AJ129" s="3">
        <v>38292</v>
      </c>
      <c r="AK129" s="5">
        <v>185.545319216975</v>
      </c>
      <c r="AL129" s="5">
        <v>114.354005937458</v>
      </c>
    </row>
    <row r="130" spans="1:38" x14ac:dyDescent="0.25">
      <c r="A130" t="s">
        <v>23</v>
      </c>
      <c r="B130" s="1">
        <v>38261</v>
      </c>
      <c r="C130">
        <v>243211</v>
      </c>
      <c r="D130">
        <v>1047052334367.59</v>
      </c>
      <c r="E130">
        <v>167.14026609298099</v>
      </c>
      <c r="T130" t="s">
        <v>23</v>
      </c>
      <c r="U130" s="1">
        <v>38261</v>
      </c>
      <c r="V130">
        <v>243211</v>
      </c>
      <c r="W130">
        <v>1047052334367.59</v>
      </c>
      <c r="X130">
        <v>92.080277512902398</v>
      </c>
      <c r="AE130" s="3">
        <v>37135</v>
      </c>
      <c r="AF130" s="5">
        <v>140.24036019785899</v>
      </c>
      <c r="AG130" s="5">
        <v>67.694556948754396</v>
      </c>
      <c r="AH130" s="5">
        <f t="shared" si="1"/>
        <v>91.933215746564599</v>
      </c>
      <c r="AJ130" s="3">
        <v>38322</v>
      </c>
      <c r="AK130" s="5">
        <v>187.44035492901699</v>
      </c>
      <c r="AL130" s="5">
        <v>114.805482407273</v>
      </c>
    </row>
    <row r="131" spans="1:38" x14ac:dyDescent="0.25">
      <c r="A131" t="s">
        <v>23</v>
      </c>
      <c r="B131" s="1">
        <v>38292</v>
      </c>
      <c r="C131">
        <v>243358</v>
      </c>
      <c r="D131">
        <v>1046559366288.4301</v>
      </c>
      <c r="E131">
        <v>170.065930456991</v>
      </c>
      <c r="T131" t="s">
        <v>23</v>
      </c>
      <c r="U131" s="1">
        <v>38292</v>
      </c>
      <c r="V131">
        <v>243358</v>
      </c>
      <c r="W131">
        <v>1046559366288.4301</v>
      </c>
      <c r="X131">
        <v>93.208025228603603</v>
      </c>
      <c r="AE131" s="3">
        <v>37165</v>
      </c>
      <c r="AF131" s="5">
        <v>141.81890313328799</v>
      </c>
      <c r="AG131" s="5">
        <v>68.980556333710297</v>
      </c>
      <c r="AH131" s="5">
        <f t="shared" si="1"/>
        <v>92.681527955357893</v>
      </c>
      <c r="AJ131" s="3">
        <v>38353</v>
      </c>
      <c r="AK131" s="5">
        <v>187.463914918597</v>
      </c>
      <c r="AL131" s="5">
        <v>114.21008398583101</v>
      </c>
    </row>
    <row r="132" spans="1:38" x14ac:dyDescent="0.25">
      <c r="A132" t="s">
        <v>23</v>
      </c>
      <c r="B132" s="1">
        <v>38322</v>
      </c>
      <c r="C132">
        <v>243520</v>
      </c>
      <c r="D132">
        <v>1046116620723.4399</v>
      </c>
      <c r="E132">
        <v>172.797941720257</v>
      </c>
      <c r="T132" t="s">
        <v>23</v>
      </c>
      <c r="U132" s="1">
        <v>38322</v>
      </c>
      <c r="V132">
        <v>243520</v>
      </c>
      <c r="W132">
        <v>1046116620723.4399</v>
      </c>
      <c r="X132">
        <v>94.259217930168106</v>
      </c>
      <c r="AE132" s="3">
        <v>37196</v>
      </c>
      <c r="AF132" s="5">
        <v>146.848080372971</v>
      </c>
      <c r="AG132" s="5">
        <v>72.268007048960101</v>
      </c>
      <c r="AH132" s="5">
        <f t="shared" si="1"/>
        <v>95.583271914520495</v>
      </c>
      <c r="AJ132" s="3">
        <v>38384</v>
      </c>
      <c r="AK132" s="5">
        <v>188.330240043564</v>
      </c>
      <c r="AL132" s="5">
        <v>114.09171786622299</v>
      </c>
    </row>
    <row r="133" spans="1:38" x14ac:dyDescent="0.25">
      <c r="A133" t="s">
        <v>23</v>
      </c>
      <c r="B133" s="1">
        <v>38353</v>
      </c>
      <c r="C133">
        <v>243723</v>
      </c>
      <c r="D133">
        <v>1045661950289.12</v>
      </c>
      <c r="E133">
        <v>174.89067266672399</v>
      </c>
      <c r="T133" t="s">
        <v>23</v>
      </c>
      <c r="U133" s="1">
        <v>38353</v>
      </c>
      <c r="V133">
        <v>243723</v>
      </c>
      <c r="W133">
        <v>1045661950289.12</v>
      </c>
      <c r="X133">
        <v>94.984140534387194</v>
      </c>
      <c r="AE133" s="3">
        <v>37226</v>
      </c>
      <c r="AF133" s="5">
        <v>149.017796506677</v>
      </c>
      <c r="AG133" s="5">
        <v>73.862006812546596</v>
      </c>
      <c r="AH133" s="5">
        <f t="shared" ref="AH133:AH196" si="2">VLOOKUP(AE133,AJ:AL,3,0)</f>
        <v>97.383150120363496</v>
      </c>
      <c r="AJ133" s="3">
        <v>38412</v>
      </c>
      <c r="AK133" s="5">
        <v>191.73533831465301</v>
      </c>
      <c r="AL133" s="5">
        <v>115.37215190294199</v>
      </c>
    </row>
    <row r="134" spans="1:38" x14ac:dyDescent="0.25">
      <c r="A134" t="s">
        <v>23</v>
      </c>
      <c r="B134" s="1">
        <v>38384</v>
      </c>
      <c r="C134">
        <v>243770</v>
      </c>
      <c r="D134">
        <v>1045305106228.61</v>
      </c>
      <c r="E134">
        <v>177.05301812588101</v>
      </c>
      <c r="T134" t="s">
        <v>23</v>
      </c>
      <c r="U134" s="1">
        <v>38384</v>
      </c>
      <c r="V134">
        <v>243770</v>
      </c>
      <c r="W134">
        <v>1045305106228.61</v>
      </c>
      <c r="X134">
        <v>95.687432824185606</v>
      </c>
      <c r="AE134" s="3">
        <v>37257</v>
      </c>
      <c r="AF134" s="5">
        <v>145.12474378919401</v>
      </c>
      <c r="AG134" s="5">
        <v>71.922823410928999</v>
      </c>
      <c r="AH134" s="5">
        <f t="shared" si="2"/>
        <v>95.226516014155607</v>
      </c>
      <c r="AJ134" s="3">
        <v>38443</v>
      </c>
      <c r="AK134" s="5">
        <v>190.53253319181701</v>
      </c>
      <c r="AL134" s="5">
        <v>114.282427550687</v>
      </c>
    </row>
    <row r="135" spans="1:38" x14ac:dyDescent="0.25">
      <c r="A135" t="s">
        <v>23</v>
      </c>
      <c r="B135" s="1">
        <v>38412</v>
      </c>
      <c r="C135">
        <v>243919</v>
      </c>
      <c r="D135">
        <v>1047019150198.85</v>
      </c>
      <c r="E135">
        <v>180.950325812335</v>
      </c>
      <c r="T135" t="s">
        <v>23</v>
      </c>
      <c r="U135" s="1">
        <v>38412</v>
      </c>
      <c r="V135">
        <v>243919</v>
      </c>
      <c r="W135">
        <v>1047019150198.85</v>
      </c>
      <c r="X135">
        <v>97.372626077828997</v>
      </c>
      <c r="AE135" s="3">
        <v>37288</v>
      </c>
      <c r="AF135" s="5">
        <v>141.90889159455401</v>
      </c>
      <c r="AG135" s="5">
        <v>70.367193994003202</v>
      </c>
      <c r="AH135" s="5">
        <f t="shared" si="2"/>
        <v>93.068807682921801</v>
      </c>
      <c r="AJ135" s="3">
        <v>38473</v>
      </c>
      <c r="AK135" s="5">
        <v>188.25359982829801</v>
      </c>
      <c r="AL135" s="5">
        <v>112.495996448084</v>
      </c>
    </row>
    <row r="136" spans="1:38" x14ac:dyDescent="0.25">
      <c r="A136" t="s">
        <v>23</v>
      </c>
      <c r="B136" s="1">
        <v>38443</v>
      </c>
      <c r="C136">
        <v>244114</v>
      </c>
      <c r="D136">
        <v>1048394573900.75</v>
      </c>
      <c r="E136">
        <v>181.334323054441</v>
      </c>
      <c r="T136" t="s">
        <v>23</v>
      </c>
      <c r="U136" s="1">
        <v>38443</v>
      </c>
      <c r="V136">
        <v>244114</v>
      </c>
      <c r="W136">
        <v>1048394573900.75</v>
      </c>
      <c r="X136">
        <v>96.986833963780597</v>
      </c>
      <c r="AE136" s="3">
        <v>37316</v>
      </c>
      <c r="AF136" s="5">
        <v>140.14657300898401</v>
      </c>
      <c r="AG136" s="5">
        <v>69.693794887416004</v>
      </c>
      <c r="AH136" s="5">
        <f t="shared" si="2"/>
        <v>91.534247192069202</v>
      </c>
      <c r="AJ136" s="3">
        <v>38504</v>
      </c>
      <c r="AK136" s="5">
        <v>187.975555972764</v>
      </c>
      <c r="AL136" s="5">
        <v>111.64425253102</v>
      </c>
    </row>
    <row r="137" spans="1:38" x14ac:dyDescent="0.25">
      <c r="A137" t="s">
        <v>23</v>
      </c>
      <c r="B137" s="1">
        <v>38473</v>
      </c>
      <c r="C137">
        <v>244026</v>
      </c>
      <c r="D137">
        <v>1046716620858.74</v>
      </c>
      <c r="E137">
        <v>181.62137955548499</v>
      </c>
      <c r="T137" t="s">
        <v>23</v>
      </c>
      <c r="U137" s="1">
        <v>38473</v>
      </c>
      <c r="V137">
        <v>244026</v>
      </c>
      <c r="W137">
        <v>1046716620858.74</v>
      </c>
      <c r="X137">
        <v>96.469422084142295</v>
      </c>
      <c r="AE137" s="3">
        <v>37347</v>
      </c>
      <c r="AF137" s="5">
        <v>136.75615503864501</v>
      </c>
      <c r="AG137" s="5">
        <v>67.972181113768798</v>
      </c>
      <c r="AH137" s="5">
        <f t="shared" si="2"/>
        <v>89.079077337619694</v>
      </c>
      <c r="AJ137" s="3">
        <v>38534</v>
      </c>
      <c r="AK137" s="5">
        <v>189.90727345001201</v>
      </c>
      <c r="AL137" s="5">
        <v>111.903294066839</v>
      </c>
    </row>
    <row r="138" spans="1:38" x14ac:dyDescent="0.25">
      <c r="A138" t="s">
        <v>23</v>
      </c>
      <c r="B138" s="1">
        <v>38504</v>
      </c>
      <c r="C138">
        <v>244112</v>
      </c>
      <c r="D138">
        <v>1051148406451.9301</v>
      </c>
      <c r="E138">
        <v>183.444010161812</v>
      </c>
      <c r="T138" t="s">
        <v>23</v>
      </c>
      <c r="U138" s="1">
        <v>38504</v>
      </c>
      <c r="V138">
        <v>244112</v>
      </c>
      <c r="W138">
        <v>1051148406451.9301</v>
      </c>
      <c r="X138">
        <v>96.623328845006</v>
      </c>
      <c r="AE138" s="3">
        <v>37377</v>
      </c>
      <c r="AF138" s="5">
        <v>134.80326142120799</v>
      </c>
      <c r="AG138" s="5">
        <v>66.968664843559694</v>
      </c>
      <c r="AH138" s="5">
        <f t="shared" si="2"/>
        <v>87.051781840592099</v>
      </c>
      <c r="AJ138" s="3">
        <v>38565</v>
      </c>
      <c r="AK138" s="5">
        <v>190.21675366191499</v>
      </c>
      <c r="AL138" s="5">
        <v>111.387017735814</v>
      </c>
    </row>
    <row r="139" spans="1:38" x14ac:dyDescent="0.25">
      <c r="A139" t="s">
        <v>23</v>
      </c>
      <c r="B139" s="1">
        <v>38534</v>
      </c>
      <c r="C139">
        <v>244290</v>
      </c>
      <c r="D139">
        <v>1055396152979.1</v>
      </c>
      <c r="E139">
        <v>187.15915295864801</v>
      </c>
      <c r="T139" t="s">
        <v>23</v>
      </c>
      <c r="U139" s="1">
        <v>38534</v>
      </c>
      <c r="V139">
        <v>244290</v>
      </c>
      <c r="W139">
        <v>1055396152979.1</v>
      </c>
      <c r="X139">
        <v>98.105338108117806</v>
      </c>
      <c r="AE139" s="3">
        <v>37408</v>
      </c>
      <c r="AF139" s="5">
        <v>135.002673577813</v>
      </c>
      <c r="AG139" s="5">
        <v>67.143544071000306</v>
      </c>
      <c r="AH139" s="5">
        <f t="shared" si="2"/>
        <v>86.940415052869795</v>
      </c>
      <c r="AJ139" s="3">
        <v>38596</v>
      </c>
      <c r="AK139" s="5">
        <v>187.72402214039599</v>
      </c>
      <c r="AL139" s="5">
        <v>109.48667645662201</v>
      </c>
    </row>
    <row r="140" spans="1:38" x14ac:dyDescent="0.25">
      <c r="A140" t="s">
        <v>23</v>
      </c>
      <c r="B140" s="1">
        <v>38565</v>
      </c>
      <c r="C140">
        <v>244376</v>
      </c>
      <c r="D140">
        <v>1062568967389.26</v>
      </c>
      <c r="E140">
        <v>188.206678367427</v>
      </c>
      <c r="T140" t="s">
        <v>23</v>
      </c>
      <c r="U140" s="1">
        <v>38565</v>
      </c>
      <c r="V140">
        <v>244376</v>
      </c>
      <c r="W140">
        <v>1062568967389.26</v>
      </c>
      <c r="X140">
        <v>98.2563373103646</v>
      </c>
      <c r="AE140" s="3">
        <v>37438</v>
      </c>
      <c r="AF140" s="5">
        <v>137.77782590984501</v>
      </c>
      <c r="AG140" s="5">
        <v>68.691159746604598</v>
      </c>
      <c r="AH140" s="5">
        <f t="shared" si="2"/>
        <v>88.043154730294802</v>
      </c>
      <c r="AJ140" s="3">
        <v>38626</v>
      </c>
      <c r="AK140" s="5">
        <v>183.62774174316601</v>
      </c>
      <c r="AL140" s="5">
        <v>106.66834889307199</v>
      </c>
    </row>
    <row r="141" spans="1:38" x14ac:dyDescent="0.25">
      <c r="A141" t="s">
        <v>23</v>
      </c>
      <c r="B141" s="1">
        <v>38596</v>
      </c>
      <c r="C141">
        <v>244769</v>
      </c>
      <c r="D141">
        <v>1071676798504.13</v>
      </c>
      <c r="E141">
        <v>187.45413932829501</v>
      </c>
      <c r="T141" t="s">
        <v>23</v>
      </c>
      <c r="U141" s="1">
        <v>38596</v>
      </c>
      <c r="V141">
        <v>244769</v>
      </c>
      <c r="W141">
        <v>1071676798504.13</v>
      </c>
      <c r="X141">
        <v>97.6126132973924</v>
      </c>
      <c r="AE141" s="3">
        <v>37469</v>
      </c>
      <c r="AF141" s="5">
        <v>143.30912336620301</v>
      </c>
      <c r="AG141" s="5">
        <v>71.845727725272596</v>
      </c>
      <c r="AH141" s="5">
        <f t="shared" si="2"/>
        <v>90.620033285779698</v>
      </c>
      <c r="AJ141" s="3">
        <v>38657</v>
      </c>
      <c r="AK141" s="5">
        <v>178.464279731201</v>
      </c>
      <c r="AL141" s="5">
        <v>103.495666124509</v>
      </c>
    </row>
    <row r="142" spans="1:38" x14ac:dyDescent="0.25">
      <c r="A142" t="s">
        <v>23</v>
      </c>
      <c r="B142" s="1">
        <v>38626</v>
      </c>
      <c r="C142">
        <v>245103</v>
      </c>
      <c r="D142">
        <v>1083168990542.87</v>
      </c>
      <c r="E142">
        <v>185.46799860751401</v>
      </c>
      <c r="T142" t="s">
        <v>23</v>
      </c>
      <c r="U142" s="1">
        <v>38626</v>
      </c>
      <c r="V142">
        <v>245103</v>
      </c>
      <c r="W142">
        <v>1083168990542.87</v>
      </c>
      <c r="X142">
        <v>96.2748471760261</v>
      </c>
      <c r="AE142" s="3">
        <v>37500</v>
      </c>
      <c r="AF142" s="5">
        <v>150.174269352192</v>
      </c>
      <c r="AG142" s="5">
        <v>76.124453655321702</v>
      </c>
      <c r="AH142" s="5">
        <f t="shared" si="2"/>
        <v>94.679489085049994</v>
      </c>
      <c r="AJ142" s="3">
        <v>38687</v>
      </c>
      <c r="AK142" s="5">
        <v>172.72736967535801</v>
      </c>
      <c r="AL142" s="5">
        <v>100.03699023495599</v>
      </c>
    </row>
    <row r="143" spans="1:38" x14ac:dyDescent="0.25">
      <c r="A143" t="s">
        <v>23</v>
      </c>
      <c r="B143" s="1">
        <v>38657</v>
      </c>
      <c r="C143">
        <v>245417</v>
      </c>
      <c r="D143">
        <v>1092258150495.95</v>
      </c>
      <c r="E143">
        <v>182.263861728504</v>
      </c>
      <c r="T143" t="s">
        <v>23</v>
      </c>
      <c r="U143" s="1">
        <v>38657</v>
      </c>
      <c r="V143">
        <v>245417</v>
      </c>
      <c r="W143">
        <v>1092258150495.95</v>
      </c>
      <c r="X143">
        <v>94.4904178266287</v>
      </c>
      <c r="AE143" s="3">
        <v>37530</v>
      </c>
      <c r="AF143" s="5">
        <v>158.93005492251999</v>
      </c>
      <c r="AG143" s="5">
        <v>82.132236205062796</v>
      </c>
      <c r="AH143" s="5">
        <f t="shared" si="2"/>
        <v>100.37007951502</v>
      </c>
      <c r="AJ143" s="3">
        <v>38718</v>
      </c>
      <c r="AK143" s="5">
        <v>167.64355704504499</v>
      </c>
      <c r="AL143" s="5">
        <v>96.929749892631307</v>
      </c>
    </row>
    <row r="144" spans="1:38" x14ac:dyDescent="0.25">
      <c r="A144" t="s">
        <v>23</v>
      </c>
      <c r="B144" s="1">
        <v>38687</v>
      </c>
      <c r="C144">
        <v>245734</v>
      </c>
      <c r="D144">
        <v>1101714404588.9399</v>
      </c>
      <c r="E144">
        <v>177.994171693217</v>
      </c>
      <c r="T144" t="s">
        <v>23</v>
      </c>
      <c r="U144" s="1">
        <v>38687</v>
      </c>
      <c r="V144">
        <v>245734</v>
      </c>
      <c r="W144">
        <v>1101714404588.9399</v>
      </c>
      <c r="X144">
        <v>92.125891532202999</v>
      </c>
      <c r="AE144" s="3">
        <v>37561</v>
      </c>
      <c r="AF144" s="5">
        <v>164.52003154031499</v>
      </c>
      <c r="AG144" s="5">
        <v>86.310090236327397</v>
      </c>
      <c r="AH144" s="5">
        <f t="shared" si="2"/>
        <v>104.46508388162</v>
      </c>
      <c r="AJ144" s="3">
        <v>38749</v>
      </c>
      <c r="AK144" s="5">
        <v>163.76437772883901</v>
      </c>
      <c r="AL144" s="5">
        <v>94.511898082201597</v>
      </c>
    </row>
    <row r="145" spans="1:38" x14ac:dyDescent="0.25">
      <c r="A145" t="s">
        <v>23</v>
      </c>
      <c r="B145" s="1">
        <v>38718</v>
      </c>
      <c r="C145">
        <v>246265</v>
      </c>
      <c r="D145">
        <v>1111269349920.8401</v>
      </c>
      <c r="E145">
        <v>174.54699654532001</v>
      </c>
      <c r="T145" t="s">
        <v>23</v>
      </c>
      <c r="U145" s="1">
        <v>38718</v>
      </c>
      <c r="V145">
        <v>246265</v>
      </c>
      <c r="W145">
        <v>1111269349920.8401</v>
      </c>
      <c r="X145">
        <v>90.187952137422997</v>
      </c>
      <c r="AE145" s="3">
        <v>37591</v>
      </c>
      <c r="AF145" s="5">
        <v>169.90154644672799</v>
      </c>
      <c r="AG145" s="5">
        <v>90.305458712504404</v>
      </c>
      <c r="AH145" s="5">
        <f t="shared" si="2"/>
        <v>108.500211895855</v>
      </c>
      <c r="AJ145" s="3">
        <v>38777</v>
      </c>
      <c r="AK145" s="5">
        <v>160.729447813951</v>
      </c>
      <c r="AL145" s="5">
        <v>92.6124450304156</v>
      </c>
    </row>
    <row r="146" spans="1:38" x14ac:dyDescent="0.25">
      <c r="A146" t="s">
        <v>23</v>
      </c>
      <c r="B146" s="1">
        <v>38749</v>
      </c>
      <c r="C146">
        <v>246636</v>
      </c>
      <c r="D146">
        <v>1122419326727.3401</v>
      </c>
      <c r="E146">
        <v>171.899269404645</v>
      </c>
      <c r="T146" t="s">
        <v>23</v>
      </c>
      <c r="U146" s="1">
        <v>38749</v>
      </c>
      <c r="V146">
        <v>246636</v>
      </c>
      <c r="W146">
        <v>1122419326727.3401</v>
      </c>
      <c r="X146">
        <v>88.682579573235799</v>
      </c>
      <c r="AE146" s="3">
        <v>37622</v>
      </c>
      <c r="AF146" s="5">
        <v>173.979671558993</v>
      </c>
      <c r="AG146" s="5">
        <v>93.4734413173381</v>
      </c>
      <c r="AH146" s="5">
        <f t="shared" si="2"/>
        <v>111.005720780335</v>
      </c>
      <c r="AJ146" s="3">
        <v>38808</v>
      </c>
      <c r="AK146" s="5">
        <v>157.638023836852</v>
      </c>
      <c r="AL146" s="5">
        <v>90.708118089139802</v>
      </c>
    </row>
    <row r="147" spans="1:38" x14ac:dyDescent="0.25">
      <c r="A147" t="s">
        <v>23</v>
      </c>
      <c r="B147" s="1">
        <v>38777</v>
      </c>
      <c r="C147">
        <v>247214</v>
      </c>
      <c r="D147">
        <v>1132529092295.1799</v>
      </c>
      <c r="E147">
        <v>169.75807335717201</v>
      </c>
      <c r="T147" t="s">
        <v>23</v>
      </c>
      <c r="U147" s="1">
        <v>38777</v>
      </c>
      <c r="V147">
        <v>247214</v>
      </c>
      <c r="W147">
        <v>1132529092295.1799</v>
      </c>
      <c r="X147">
        <v>87.4881575882074</v>
      </c>
      <c r="AE147" s="3">
        <v>37653</v>
      </c>
      <c r="AF147" s="5">
        <v>177.11254516995899</v>
      </c>
      <c r="AG147" s="5">
        <v>96.340036782699002</v>
      </c>
      <c r="AH147" s="5">
        <f t="shared" si="2"/>
        <v>116.457596474494</v>
      </c>
      <c r="AJ147" s="3">
        <v>38838</v>
      </c>
      <c r="AK147" s="5">
        <v>153.78445257746401</v>
      </c>
      <c r="AL147" s="5">
        <v>88.390080019625401</v>
      </c>
    </row>
    <row r="148" spans="1:38" x14ac:dyDescent="0.25">
      <c r="A148" t="s">
        <v>23</v>
      </c>
      <c r="B148" s="1">
        <v>38808</v>
      </c>
      <c r="C148">
        <v>247639</v>
      </c>
      <c r="D148">
        <v>1142036164423.6499</v>
      </c>
      <c r="E148">
        <v>167.378208041894</v>
      </c>
      <c r="T148" t="s">
        <v>23</v>
      </c>
      <c r="U148" s="1">
        <v>38808</v>
      </c>
      <c r="V148">
        <v>247639</v>
      </c>
      <c r="W148">
        <v>1142036164423.6499</v>
      </c>
      <c r="X148">
        <v>86.165527929335497</v>
      </c>
      <c r="AE148" s="3">
        <v>37681</v>
      </c>
      <c r="AF148" s="5">
        <v>181.25835629660301</v>
      </c>
      <c r="AG148" s="5">
        <v>99.673129073822295</v>
      </c>
      <c r="AH148" s="5">
        <f t="shared" si="2"/>
        <v>122.227755574323</v>
      </c>
      <c r="AJ148" s="3">
        <v>38869</v>
      </c>
      <c r="AK148" s="5">
        <v>150.46120579636101</v>
      </c>
      <c r="AL148" s="5">
        <v>86.371302231219005</v>
      </c>
    </row>
    <row r="149" spans="1:38" x14ac:dyDescent="0.25">
      <c r="A149" t="s">
        <v>23</v>
      </c>
      <c r="B149" s="1">
        <v>38838</v>
      </c>
      <c r="C149">
        <v>248030</v>
      </c>
      <c r="D149">
        <v>1155261788794.02</v>
      </c>
      <c r="E149">
        <v>163.45747552668701</v>
      </c>
      <c r="T149" t="s">
        <v>23</v>
      </c>
      <c r="U149" s="1">
        <v>38838</v>
      </c>
      <c r="V149">
        <v>248030</v>
      </c>
      <c r="W149">
        <v>1155261788794.02</v>
      </c>
      <c r="X149">
        <v>84.032827286979099</v>
      </c>
      <c r="AE149" s="3">
        <v>37712</v>
      </c>
      <c r="AF149" s="5">
        <v>186.419452787984</v>
      </c>
      <c r="AG149" s="5">
        <v>103.676244852417</v>
      </c>
      <c r="AH149" s="5">
        <f t="shared" si="2"/>
        <v>126.6820220497</v>
      </c>
      <c r="AJ149" s="3">
        <v>38899</v>
      </c>
      <c r="AK149" s="5">
        <v>146.74398907907701</v>
      </c>
      <c r="AL149" s="5">
        <v>84.149202088753</v>
      </c>
    </row>
    <row r="150" spans="1:38" x14ac:dyDescent="0.25">
      <c r="A150" t="s">
        <v>23</v>
      </c>
      <c r="B150" s="1">
        <v>38869</v>
      </c>
      <c r="C150">
        <v>248548</v>
      </c>
      <c r="D150">
        <v>1168142806797.22</v>
      </c>
      <c r="E150">
        <v>160.03250578758301</v>
      </c>
      <c r="T150" t="s">
        <v>23</v>
      </c>
      <c r="U150" s="1">
        <v>38869</v>
      </c>
      <c r="V150">
        <v>248548</v>
      </c>
      <c r="W150">
        <v>1168142806797.22</v>
      </c>
      <c r="X150">
        <v>82.191683934155506</v>
      </c>
      <c r="AE150" s="3">
        <v>37742</v>
      </c>
      <c r="AF150" s="5">
        <v>185.84350636481099</v>
      </c>
      <c r="AG150" s="5">
        <v>103.829085227447</v>
      </c>
      <c r="AH150" s="5">
        <f t="shared" si="2"/>
        <v>130.82297875520899</v>
      </c>
      <c r="AJ150" s="3">
        <v>38930</v>
      </c>
      <c r="AK150" s="5">
        <v>142.901703712065</v>
      </c>
      <c r="AL150" s="5">
        <v>81.858411901879094</v>
      </c>
    </row>
    <row r="151" spans="1:38" x14ac:dyDescent="0.25">
      <c r="A151" t="s">
        <v>23</v>
      </c>
      <c r="B151" s="1">
        <v>38899</v>
      </c>
      <c r="C151">
        <v>248874</v>
      </c>
      <c r="D151">
        <v>1181825510252.74</v>
      </c>
      <c r="E151">
        <v>156.18422837145499</v>
      </c>
      <c r="T151" t="s">
        <v>23</v>
      </c>
      <c r="U151" s="1">
        <v>38899</v>
      </c>
      <c r="V151">
        <v>248874</v>
      </c>
      <c r="W151">
        <v>1181825510252.74</v>
      </c>
      <c r="X151">
        <v>80.112057972432595</v>
      </c>
      <c r="AE151" s="3">
        <v>37773</v>
      </c>
      <c r="AF151" s="5">
        <v>191.10520837080199</v>
      </c>
      <c r="AG151" s="5">
        <v>107.852270367323</v>
      </c>
      <c r="AH151" s="5">
        <f t="shared" si="2"/>
        <v>137.625399795753</v>
      </c>
      <c r="AJ151" s="3">
        <v>38961</v>
      </c>
      <c r="AK151" s="5">
        <v>141.256219534786</v>
      </c>
      <c r="AL151" s="5">
        <v>81.626861546278306</v>
      </c>
    </row>
    <row r="152" spans="1:38" x14ac:dyDescent="0.25">
      <c r="A152" t="s">
        <v>23</v>
      </c>
      <c r="B152" s="1">
        <v>38930</v>
      </c>
      <c r="C152">
        <v>249248</v>
      </c>
      <c r="D152">
        <v>1192430186515.3201</v>
      </c>
      <c r="E152">
        <v>152.843281981096</v>
      </c>
      <c r="T152" t="s">
        <v>23</v>
      </c>
      <c r="U152" s="1">
        <v>38930</v>
      </c>
      <c r="V152">
        <v>249248</v>
      </c>
      <c r="W152">
        <v>1192430186515.3201</v>
      </c>
      <c r="X152">
        <v>78.304525949301905</v>
      </c>
      <c r="AE152" s="3">
        <v>37803</v>
      </c>
      <c r="AF152" s="5">
        <v>198.04683758893299</v>
      </c>
      <c r="AG152" s="5">
        <v>113.660666369404</v>
      </c>
      <c r="AH152" s="5">
        <f t="shared" si="2"/>
        <v>147.152280193255</v>
      </c>
      <c r="AJ152" s="3">
        <v>38991</v>
      </c>
      <c r="AK152" s="5">
        <v>138.76621015524401</v>
      </c>
      <c r="AL152" s="5">
        <v>80.343387193599995</v>
      </c>
    </row>
    <row r="153" spans="1:38" x14ac:dyDescent="0.25">
      <c r="A153" t="s">
        <v>23</v>
      </c>
      <c r="B153" s="1">
        <v>38961</v>
      </c>
      <c r="C153">
        <v>249885</v>
      </c>
      <c r="D153">
        <v>1206782284664.1699</v>
      </c>
      <c r="E153">
        <v>150.199939896443</v>
      </c>
      <c r="T153" t="s">
        <v>23</v>
      </c>
      <c r="U153" s="1">
        <v>38961</v>
      </c>
      <c r="V153">
        <v>249885</v>
      </c>
      <c r="W153">
        <v>1206782284664.1699</v>
      </c>
      <c r="X153">
        <v>76.8743361996506</v>
      </c>
      <c r="AE153" s="3">
        <v>37834</v>
      </c>
      <c r="AF153" s="5">
        <v>195.52645344433699</v>
      </c>
      <c r="AG153" s="5">
        <v>112.317567488181</v>
      </c>
      <c r="AH153" s="5">
        <f t="shared" si="2"/>
        <v>147.60721163728499</v>
      </c>
      <c r="AJ153" s="3">
        <v>39022</v>
      </c>
      <c r="AK153" s="5">
        <v>137.151867324329</v>
      </c>
      <c r="AL153" s="5">
        <v>79.711594520123299</v>
      </c>
    </row>
    <row r="154" spans="1:38" x14ac:dyDescent="0.25">
      <c r="A154" t="s">
        <v>23</v>
      </c>
      <c r="B154" s="1">
        <v>38991</v>
      </c>
      <c r="C154">
        <v>250428</v>
      </c>
      <c r="D154">
        <v>1220415637263.49</v>
      </c>
      <c r="E154">
        <v>147.992617378792</v>
      </c>
      <c r="T154" t="s">
        <v>23</v>
      </c>
      <c r="U154" s="1">
        <v>38991</v>
      </c>
      <c r="V154">
        <v>250428</v>
      </c>
      <c r="W154">
        <v>1220415637263.49</v>
      </c>
      <c r="X154">
        <v>75.603773963589205</v>
      </c>
      <c r="AE154" s="3">
        <v>37865</v>
      </c>
      <c r="AF154" s="5">
        <v>185.56564703978199</v>
      </c>
      <c r="AG154" s="5">
        <v>106.55162724334799</v>
      </c>
      <c r="AH154" s="5">
        <f t="shared" si="2"/>
        <v>139.80749569965201</v>
      </c>
      <c r="AJ154" s="3">
        <v>39052</v>
      </c>
      <c r="AK154" s="5">
        <v>136.2075066964</v>
      </c>
      <c r="AL154" s="5">
        <v>79.554388581580199</v>
      </c>
    </row>
    <row r="155" spans="1:38" x14ac:dyDescent="0.25">
      <c r="A155" t="s">
        <v>23</v>
      </c>
      <c r="B155" s="1">
        <v>39022</v>
      </c>
      <c r="C155">
        <v>250977</v>
      </c>
      <c r="D155">
        <v>1240435866291.8799</v>
      </c>
      <c r="E155">
        <v>145.65623106310099</v>
      </c>
      <c r="T155" t="s">
        <v>23</v>
      </c>
      <c r="U155" s="1">
        <v>39022</v>
      </c>
      <c r="V155">
        <v>250977</v>
      </c>
      <c r="W155">
        <v>1240435866291.8799</v>
      </c>
      <c r="X155">
        <v>74.233351011369805</v>
      </c>
      <c r="AE155" s="3">
        <v>37895</v>
      </c>
      <c r="AF155" s="5">
        <v>174.907466704911</v>
      </c>
      <c r="AG155" s="5">
        <v>100.40586290837101</v>
      </c>
      <c r="AH155" s="5">
        <f t="shared" si="2"/>
        <v>133.08402351159799</v>
      </c>
      <c r="AJ155" s="3">
        <v>39083</v>
      </c>
      <c r="AK155" s="5">
        <v>135.10170251987699</v>
      </c>
      <c r="AL155" s="5">
        <v>79.403999680220295</v>
      </c>
    </row>
    <row r="156" spans="1:38" x14ac:dyDescent="0.25">
      <c r="A156" t="s">
        <v>23</v>
      </c>
      <c r="B156" s="1">
        <v>39052</v>
      </c>
      <c r="C156">
        <v>251536</v>
      </c>
      <c r="D156">
        <v>1253159977244.54</v>
      </c>
      <c r="E156">
        <v>144.65159858000899</v>
      </c>
      <c r="T156" t="s">
        <v>23</v>
      </c>
      <c r="U156" s="1">
        <v>39052</v>
      </c>
      <c r="V156">
        <v>251536</v>
      </c>
      <c r="W156">
        <v>1253159977244.54</v>
      </c>
      <c r="X156">
        <v>73.505457075352993</v>
      </c>
      <c r="AE156" s="3">
        <v>37926</v>
      </c>
      <c r="AF156" s="5">
        <v>169.30318200225099</v>
      </c>
      <c r="AG156" s="5">
        <v>96.969704426976307</v>
      </c>
      <c r="AH156" s="5">
        <f t="shared" si="2"/>
        <v>126.76690686134801</v>
      </c>
      <c r="AJ156" s="3">
        <v>39114</v>
      </c>
      <c r="AK156" s="5">
        <v>134.08449295560001</v>
      </c>
      <c r="AL156" s="5">
        <v>79.325698316596103</v>
      </c>
    </row>
    <row r="157" spans="1:38" x14ac:dyDescent="0.25">
      <c r="A157" t="s">
        <v>23</v>
      </c>
      <c r="B157" s="1">
        <v>39083</v>
      </c>
      <c r="C157">
        <v>252197</v>
      </c>
      <c r="D157">
        <v>1267753834052.5601</v>
      </c>
      <c r="E157">
        <v>144.460608852771</v>
      </c>
      <c r="T157" t="s">
        <v>23</v>
      </c>
      <c r="U157" s="1">
        <v>39083</v>
      </c>
      <c r="V157">
        <v>252197</v>
      </c>
      <c r="W157">
        <v>1267753834052.5601</v>
      </c>
      <c r="X157">
        <v>73.143515138607299</v>
      </c>
      <c r="AE157" s="3">
        <v>37956</v>
      </c>
      <c r="AF157" s="5">
        <v>166.126635143496</v>
      </c>
      <c r="AG157" s="5">
        <v>94.829636513974705</v>
      </c>
      <c r="AH157" s="5">
        <f t="shared" si="2"/>
        <v>123.824530761714</v>
      </c>
      <c r="AJ157" s="3">
        <v>39142</v>
      </c>
      <c r="AK157" s="5">
        <v>132.39695563561</v>
      </c>
      <c r="AL157" s="5">
        <v>78.770778222774695</v>
      </c>
    </row>
    <row r="158" spans="1:38" x14ac:dyDescent="0.25">
      <c r="A158" t="s">
        <v>23</v>
      </c>
      <c r="B158" s="1">
        <v>39114</v>
      </c>
      <c r="C158">
        <v>252755</v>
      </c>
      <c r="D158">
        <v>1281899182108.53</v>
      </c>
      <c r="E158">
        <v>143.55416986134199</v>
      </c>
      <c r="T158" t="s">
        <v>23</v>
      </c>
      <c r="U158" s="1">
        <v>39114</v>
      </c>
      <c r="V158">
        <v>252755</v>
      </c>
      <c r="W158">
        <v>1281899182108.53</v>
      </c>
      <c r="X158">
        <v>72.484289280288607</v>
      </c>
      <c r="AE158" s="3">
        <v>37987</v>
      </c>
      <c r="AF158" s="5">
        <v>164.935146615577</v>
      </c>
      <c r="AG158" s="5">
        <v>93.876027563744501</v>
      </c>
      <c r="AH158" s="5">
        <f t="shared" si="2"/>
        <v>122.144296437951</v>
      </c>
      <c r="AJ158" s="3">
        <v>39173</v>
      </c>
      <c r="AK158" s="5">
        <v>131.52027445364499</v>
      </c>
      <c r="AL158" s="5">
        <v>78.820209581965798</v>
      </c>
    </row>
    <row r="159" spans="1:38" x14ac:dyDescent="0.25">
      <c r="A159" t="s">
        <v>23</v>
      </c>
      <c r="B159" s="1">
        <v>39142</v>
      </c>
      <c r="C159">
        <v>253418</v>
      </c>
      <c r="D159">
        <v>1297151286163.0601</v>
      </c>
      <c r="E159">
        <v>142.64903215811401</v>
      </c>
      <c r="T159" t="s">
        <v>23</v>
      </c>
      <c r="U159" s="1">
        <v>39142</v>
      </c>
      <c r="V159">
        <v>253418</v>
      </c>
      <c r="W159">
        <v>1297151286163.0601</v>
      </c>
      <c r="X159">
        <v>71.847200133787396</v>
      </c>
      <c r="AE159" s="3">
        <v>38018</v>
      </c>
      <c r="AF159" s="5">
        <v>166.862426048575</v>
      </c>
      <c r="AG159" s="5">
        <v>94.604546361960701</v>
      </c>
      <c r="AH159" s="5">
        <f t="shared" si="2"/>
        <v>122.626887583596</v>
      </c>
      <c r="AJ159" s="3">
        <v>39203</v>
      </c>
      <c r="AK159" s="5">
        <v>130.65545762885401</v>
      </c>
      <c r="AL159" s="5">
        <v>78.908112932278797</v>
      </c>
    </row>
    <row r="160" spans="1:38" x14ac:dyDescent="0.25">
      <c r="A160" t="s">
        <v>23</v>
      </c>
      <c r="B160" s="1">
        <v>39173</v>
      </c>
      <c r="C160">
        <v>254121</v>
      </c>
      <c r="D160">
        <v>1313547803162.76</v>
      </c>
      <c r="E160">
        <v>142.41374196958199</v>
      </c>
      <c r="T160" t="s">
        <v>23</v>
      </c>
      <c r="U160" s="1">
        <v>39173</v>
      </c>
      <c r="V160">
        <v>254121</v>
      </c>
      <c r="W160">
        <v>1313547803162.76</v>
      </c>
      <c r="X160">
        <v>71.538485464989606</v>
      </c>
      <c r="AE160" s="3">
        <v>38047</v>
      </c>
      <c r="AF160" s="5">
        <v>170.72181201925301</v>
      </c>
      <c r="AG160" s="5">
        <v>96.468368053784999</v>
      </c>
      <c r="AH160" s="5">
        <f t="shared" si="2"/>
        <v>124.653866796578</v>
      </c>
      <c r="AJ160" s="3">
        <v>39234</v>
      </c>
      <c r="AK160" s="5">
        <v>129.08514607478301</v>
      </c>
      <c r="AL160" s="5">
        <v>78.445092859628105</v>
      </c>
    </row>
    <row r="161" spans="1:38" x14ac:dyDescent="0.25">
      <c r="A161" t="s">
        <v>23</v>
      </c>
      <c r="B161" s="1">
        <v>39203</v>
      </c>
      <c r="C161">
        <v>254866</v>
      </c>
      <c r="D161">
        <v>1329046516438.8999</v>
      </c>
      <c r="E161">
        <v>141.74505002812299</v>
      </c>
      <c r="T161" t="s">
        <v>23</v>
      </c>
      <c r="U161" s="1">
        <v>39203</v>
      </c>
      <c r="V161">
        <v>254866</v>
      </c>
      <c r="W161">
        <v>1329046516438.8999</v>
      </c>
      <c r="X161">
        <v>71.063345815094493</v>
      </c>
      <c r="AE161" s="3">
        <v>38078</v>
      </c>
      <c r="AF161" s="5">
        <v>177.105260065918</v>
      </c>
      <c r="AG161" s="5">
        <v>99.763865144393193</v>
      </c>
      <c r="AH161" s="5">
        <f t="shared" si="2"/>
        <v>127.67003499027101</v>
      </c>
      <c r="AJ161" s="3">
        <v>39264</v>
      </c>
      <c r="AK161" s="5">
        <v>126.27304087489</v>
      </c>
      <c r="AL161" s="5">
        <v>76.897982892668793</v>
      </c>
    </row>
    <row r="162" spans="1:38" x14ac:dyDescent="0.25">
      <c r="A162" t="s">
        <v>23</v>
      </c>
      <c r="B162" s="1">
        <v>39234</v>
      </c>
      <c r="C162">
        <v>255714</v>
      </c>
      <c r="D162">
        <v>1351361414625.3799</v>
      </c>
      <c r="E162">
        <v>139.89038619993801</v>
      </c>
      <c r="T162" t="s">
        <v>23</v>
      </c>
      <c r="U162" s="1">
        <v>39234</v>
      </c>
      <c r="V162">
        <v>255714</v>
      </c>
      <c r="W162">
        <v>1351361414625.3799</v>
      </c>
      <c r="X162">
        <v>70.065721891723797</v>
      </c>
      <c r="AE162" s="3">
        <v>38108</v>
      </c>
      <c r="AF162" s="5">
        <v>174.95025471998801</v>
      </c>
      <c r="AG162" s="5">
        <v>98.251821898209101</v>
      </c>
      <c r="AH162" s="5">
        <f t="shared" si="2"/>
        <v>125.53852491660901</v>
      </c>
      <c r="AJ162" s="3">
        <v>39295</v>
      </c>
      <c r="AK162" s="5">
        <v>123.749582787666</v>
      </c>
      <c r="AL162" s="5">
        <v>75.480985543243193</v>
      </c>
    </row>
    <row r="163" spans="1:38" x14ac:dyDescent="0.25">
      <c r="A163" t="s">
        <v>23</v>
      </c>
      <c r="B163" s="1">
        <v>39264</v>
      </c>
      <c r="C163">
        <v>256516</v>
      </c>
      <c r="D163">
        <v>1373358197427.46</v>
      </c>
      <c r="E163">
        <v>136.39465937809101</v>
      </c>
      <c r="T163" t="s">
        <v>23</v>
      </c>
      <c r="U163" s="1">
        <v>39264</v>
      </c>
      <c r="V163">
        <v>256516</v>
      </c>
      <c r="W163">
        <v>1373358197427.46</v>
      </c>
      <c r="X163">
        <v>68.313708236519005</v>
      </c>
      <c r="AE163" s="3">
        <v>38139</v>
      </c>
      <c r="AF163" s="5">
        <v>171.008757850851</v>
      </c>
      <c r="AG163" s="5">
        <v>95.860614239825097</v>
      </c>
      <c r="AH163" s="5">
        <f t="shared" si="2"/>
        <v>121.560823775964</v>
      </c>
      <c r="AJ163" s="3">
        <v>39326</v>
      </c>
      <c r="AK163" s="5">
        <v>121.18881304202201</v>
      </c>
      <c r="AL163" s="5">
        <v>74.101103790798803</v>
      </c>
    </row>
    <row r="164" spans="1:38" x14ac:dyDescent="0.25">
      <c r="A164" t="s">
        <v>23</v>
      </c>
      <c r="B164" s="1">
        <v>39295</v>
      </c>
      <c r="C164">
        <v>257355</v>
      </c>
      <c r="D164">
        <v>1398518091938.25</v>
      </c>
      <c r="E164">
        <v>132.78294770510399</v>
      </c>
      <c r="T164" t="s">
        <v>23</v>
      </c>
      <c r="U164" s="1">
        <v>39295</v>
      </c>
      <c r="V164">
        <v>257355</v>
      </c>
      <c r="W164">
        <v>1398518091938.25</v>
      </c>
      <c r="X164">
        <v>66.500571306589094</v>
      </c>
      <c r="AE164" s="3">
        <v>38169</v>
      </c>
      <c r="AF164" s="5">
        <v>166.57042387843299</v>
      </c>
      <c r="AG164" s="5">
        <v>93.0628580856132</v>
      </c>
      <c r="AH164" s="5">
        <f t="shared" si="2"/>
        <v>117.168668121614</v>
      </c>
      <c r="AJ164" s="3">
        <v>39356</v>
      </c>
      <c r="AK164" s="5">
        <v>119.042852132504</v>
      </c>
      <c r="AL164" s="5">
        <v>73.141335891848598</v>
      </c>
    </row>
    <row r="165" spans="1:38" x14ac:dyDescent="0.25">
      <c r="A165" t="s">
        <v>23</v>
      </c>
      <c r="B165" s="1">
        <v>39326</v>
      </c>
      <c r="C165">
        <v>258242</v>
      </c>
      <c r="D165">
        <v>1423075259258.24</v>
      </c>
      <c r="E165">
        <v>129.738206320953</v>
      </c>
      <c r="T165" t="s">
        <v>23</v>
      </c>
      <c r="U165" s="1">
        <v>39326</v>
      </c>
      <c r="V165">
        <v>258242</v>
      </c>
      <c r="W165">
        <v>1423075259258.24</v>
      </c>
      <c r="X165">
        <v>64.9077026539901</v>
      </c>
      <c r="AE165" s="3">
        <v>38200</v>
      </c>
      <c r="AF165" s="5">
        <v>164.94862082127599</v>
      </c>
      <c r="AG165" s="5">
        <v>91.786675218524095</v>
      </c>
      <c r="AH165" s="5">
        <f t="shared" si="2"/>
        <v>114.739397412041</v>
      </c>
      <c r="AJ165" s="3">
        <v>39387</v>
      </c>
      <c r="AK165" s="5">
        <v>118.00348309687701</v>
      </c>
      <c r="AL165" s="5">
        <v>72.971966129973495</v>
      </c>
    </row>
    <row r="166" spans="1:38" x14ac:dyDescent="0.25">
      <c r="A166" t="s">
        <v>23</v>
      </c>
      <c r="B166" s="1">
        <v>39356</v>
      </c>
      <c r="C166">
        <v>259130</v>
      </c>
      <c r="D166">
        <v>1448620805507.53</v>
      </c>
      <c r="E166">
        <v>127.546803297056</v>
      </c>
      <c r="T166" t="s">
        <v>23</v>
      </c>
      <c r="U166" s="1">
        <v>39356</v>
      </c>
      <c r="V166">
        <v>259130</v>
      </c>
      <c r="W166">
        <v>1448620805507.53</v>
      </c>
      <c r="X166">
        <v>63.654480696013302</v>
      </c>
      <c r="AE166" s="3">
        <v>38231</v>
      </c>
      <c r="AF166" s="5">
        <v>165.729808307372</v>
      </c>
      <c r="AG166" s="5">
        <v>91.794455331314197</v>
      </c>
      <c r="AH166" s="5">
        <f t="shared" si="2"/>
        <v>114.040394175806</v>
      </c>
      <c r="AJ166" s="3">
        <v>39417</v>
      </c>
      <c r="AK166" s="5">
        <v>117.031838649853</v>
      </c>
      <c r="AL166" s="5">
        <v>73.034395136915194</v>
      </c>
    </row>
    <row r="167" spans="1:38" x14ac:dyDescent="0.25">
      <c r="A167" t="s">
        <v>23</v>
      </c>
      <c r="B167" s="1">
        <v>39387</v>
      </c>
      <c r="C167">
        <v>259997</v>
      </c>
      <c r="D167">
        <v>1473008966168.4399</v>
      </c>
      <c r="E167">
        <v>125.978304712807</v>
      </c>
      <c r="T167" t="s">
        <v>23</v>
      </c>
      <c r="U167" s="1">
        <v>39387</v>
      </c>
      <c r="V167">
        <v>259997</v>
      </c>
      <c r="W167">
        <v>1473008966168.4399</v>
      </c>
      <c r="X167">
        <v>62.650643710645497</v>
      </c>
      <c r="AE167" s="3">
        <v>38261</v>
      </c>
      <c r="AF167" s="5">
        <v>167.14026609298099</v>
      </c>
      <c r="AG167" s="5">
        <v>92.080277512902398</v>
      </c>
      <c r="AH167" s="5">
        <f t="shared" si="2"/>
        <v>114.07430181275799</v>
      </c>
      <c r="AJ167" s="3">
        <v>39448</v>
      </c>
      <c r="AK167" s="5">
        <v>117.135849471702</v>
      </c>
      <c r="AL167" s="5">
        <v>73.927500603899503</v>
      </c>
    </row>
    <row r="168" spans="1:38" x14ac:dyDescent="0.25">
      <c r="A168" t="s">
        <v>23</v>
      </c>
      <c r="B168" s="1">
        <v>39417</v>
      </c>
      <c r="C168">
        <v>260697</v>
      </c>
      <c r="D168">
        <v>1503089126091.8101</v>
      </c>
      <c r="E168">
        <v>124.78164107480499</v>
      </c>
      <c r="T168" t="s">
        <v>23</v>
      </c>
      <c r="U168" s="1">
        <v>39417</v>
      </c>
      <c r="V168">
        <v>260697</v>
      </c>
      <c r="W168">
        <v>1503089126091.8101</v>
      </c>
      <c r="X168">
        <v>61.635080387323399</v>
      </c>
      <c r="AE168" s="3">
        <v>38292</v>
      </c>
      <c r="AF168" s="5">
        <v>170.065930456991</v>
      </c>
      <c r="AG168" s="5">
        <v>93.208025228603603</v>
      </c>
      <c r="AH168" s="5">
        <f t="shared" si="2"/>
        <v>114.354005937458</v>
      </c>
      <c r="AJ168" s="3">
        <v>39479</v>
      </c>
      <c r="AK168" s="5">
        <v>120.75880447903</v>
      </c>
      <c r="AL168" s="5">
        <v>77.529248505587404</v>
      </c>
    </row>
    <row r="169" spans="1:38" x14ac:dyDescent="0.25">
      <c r="A169" t="s">
        <v>23</v>
      </c>
      <c r="B169" s="1">
        <v>39448</v>
      </c>
      <c r="C169">
        <v>261695</v>
      </c>
      <c r="D169">
        <v>1536876729700.0601</v>
      </c>
      <c r="E169">
        <v>124.24037652494</v>
      </c>
      <c r="T169" t="s">
        <v>23</v>
      </c>
      <c r="U169" s="1">
        <v>39448</v>
      </c>
      <c r="V169">
        <v>261695</v>
      </c>
      <c r="W169">
        <v>1536876729700.0601</v>
      </c>
      <c r="X169">
        <v>60.8090371781446</v>
      </c>
      <c r="AE169" s="3">
        <v>38322</v>
      </c>
      <c r="AF169" s="5">
        <v>172.797941720257</v>
      </c>
      <c r="AG169" s="5">
        <v>94.259217930168106</v>
      </c>
      <c r="AH169" s="5">
        <f t="shared" si="2"/>
        <v>114.805482407273</v>
      </c>
      <c r="AJ169" s="3">
        <v>39508</v>
      </c>
      <c r="AK169" s="5">
        <v>120.67619617126</v>
      </c>
      <c r="AL169" s="5">
        <v>78.536478303618196</v>
      </c>
    </row>
    <row r="170" spans="1:38" x14ac:dyDescent="0.25">
      <c r="A170" t="s">
        <v>23</v>
      </c>
      <c r="B170" s="1">
        <v>39479</v>
      </c>
      <c r="C170">
        <v>262505</v>
      </c>
      <c r="D170">
        <v>1561574734904.05</v>
      </c>
      <c r="E170">
        <v>128.31101783471399</v>
      </c>
      <c r="T170" t="s">
        <v>23</v>
      </c>
      <c r="U170" s="1">
        <v>39479</v>
      </c>
      <c r="V170">
        <v>262505</v>
      </c>
      <c r="W170">
        <v>1561574734904.05</v>
      </c>
      <c r="X170">
        <v>61.548497943947801</v>
      </c>
      <c r="AE170" s="3">
        <v>38353</v>
      </c>
      <c r="AF170" s="5">
        <v>174.89067266672399</v>
      </c>
      <c r="AG170" s="5">
        <v>94.984140534387194</v>
      </c>
      <c r="AH170" s="5">
        <f t="shared" si="2"/>
        <v>114.21008398583101</v>
      </c>
      <c r="AJ170" s="3">
        <v>39539</v>
      </c>
      <c r="AK170" s="5">
        <v>120.49593686679199</v>
      </c>
      <c r="AL170" s="5">
        <v>79.399225455212701</v>
      </c>
    </row>
    <row r="171" spans="1:38" x14ac:dyDescent="0.25">
      <c r="A171" t="s">
        <v>23</v>
      </c>
      <c r="B171" s="1">
        <v>39508</v>
      </c>
      <c r="C171">
        <v>264223</v>
      </c>
      <c r="D171">
        <v>1598687945829.1299</v>
      </c>
      <c r="E171">
        <v>128.133333026457</v>
      </c>
      <c r="T171" t="s">
        <v>23</v>
      </c>
      <c r="U171" s="1">
        <v>39508</v>
      </c>
      <c r="V171">
        <v>264223</v>
      </c>
      <c r="W171">
        <v>1598687945829.1299</v>
      </c>
      <c r="X171">
        <v>60.864628007882501</v>
      </c>
      <c r="AE171" s="3">
        <v>38384</v>
      </c>
      <c r="AF171" s="5">
        <v>177.05301812588101</v>
      </c>
      <c r="AG171" s="5">
        <v>95.687432824185606</v>
      </c>
      <c r="AH171" s="5">
        <f t="shared" si="2"/>
        <v>114.09171786622299</v>
      </c>
      <c r="AJ171" s="3">
        <v>39569</v>
      </c>
      <c r="AK171" s="5">
        <v>120.32776133911599</v>
      </c>
      <c r="AL171" s="5">
        <v>80.245144027124297</v>
      </c>
    </row>
    <row r="172" spans="1:38" x14ac:dyDescent="0.25">
      <c r="A172" t="s">
        <v>23</v>
      </c>
      <c r="B172" s="1">
        <v>39539</v>
      </c>
      <c r="C172">
        <v>264813</v>
      </c>
      <c r="D172">
        <v>1611864597529.54</v>
      </c>
      <c r="E172">
        <v>128.44003221044301</v>
      </c>
      <c r="T172" t="s">
        <v>23</v>
      </c>
      <c r="U172" s="1">
        <v>39539</v>
      </c>
      <c r="V172">
        <v>264813</v>
      </c>
      <c r="W172">
        <v>1611864597529.54</v>
      </c>
      <c r="X172">
        <v>60.664300505385498</v>
      </c>
      <c r="AE172" s="3">
        <v>38412</v>
      </c>
      <c r="AF172" s="5">
        <v>180.950325812335</v>
      </c>
      <c r="AG172" s="5">
        <v>97.372626077828997</v>
      </c>
      <c r="AH172" s="5">
        <f t="shared" si="2"/>
        <v>115.37215190294199</v>
      </c>
      <c r="AJ172" s="3">
        <v>39600</v>
      </c>
      <c r="AK172" s="5">
        <v>118.843785889079</v>
      </c>
      <c r="AL172" s="5">
        <v>80.035723378384603</v>
      </c>
    </row>
    <row r="173" spans="1:38" x14ac:dyDescent="0.25">
      <c r="A173" t="s">
        <v>23</v>
      </c>
      <c r="B173" s="1">
        <v>39569</v>
      </c>
      <c r="C173">
        <v>265488</v>
      </c>
      <c r="D173">
        <v>1627058464695.98</v>
      </c>
      <c r="E173">
        <v>128.62816588692201</v>
      </c>
      <c r="T173" t="s">
        <v>23</v>
      </c>
      <c r="U173" s="1">
        <v>39569</v>
      </c>
      <c r="V173">
        <v>265488</v>
      </c>
      <c r="W173">
        <v>1627058464695.98</v>
      </c>
      <c r="X173">
        <v>60.343611792930702</v>
      </c>
      <c r="AE173" s="3">
        <v>38443</v>
      </c>
      <c r="AF173" s="5">
        <v>181.334323054441</v>
      </c>
      <c r="AG173" s="5">
        <v>96.986833963780597</v>
      </c>
      <c r="AH173" s="5">
        <f t="shared" si="2"/>
        <v>114.282427550687</v>
      </c>
      <c r="AJ173" s="3">
        <v>39630</v>
      </c>
      <c r="AK173" s="5">
        <v>116.62751683845499</v>
      </c>
      <c r="AL173" s="5">
        <v>78.8975493090756</v>
      </c>
    </row>
    <row r="174" spans="1:38" x14ac:dyDescent="0.25">
      <c r="A174" t="s">
        <v>22</v>
      </c>
      <c r="B174" s="1">
        <v>39600</v>
      </c>
      <c r="C174">
        <v>5</v>
      </c>
      <c r="D174">
        <v>12238945.18</v>
      </c>
      <c r="E174">
        <v>3.5587521049942299</v>
      </c>
      <c r="T174" t="s">
        <v>22</v>
      </c>
      <c r="U174" s="1">
        <v>39600</v>
      </c>
      <c r="V174">
        <v>5</v>
      </c>
      <c r="W174">
        <v>12238945.18</v>
      </c>
      <c r="X174">
        <v>3.5587521049942299</v>
      </c>
      <c r="AE174" s="3">
        <v>38473</v>
      </c>
      <c r="AF174" s="5">
        <v>181.62137955548499</v>
      </c>
      <c r="AG174" s="5">
        <v>96.469422084142295</v>
      </c>
      <c r="AH174" s="5">
        <f t="shared" si="2"/>
        <v>112.495996448084</v>
      </c>
      <c r="AJ174" s="3">
        <v>39661</v>
      </c>
      <c r="AK174" s="5">
        <v>115.666437596351</v>
      </c>
      <c r="AL174" s="5">
        <v>78.605814103648996</v>
      </c>
    </row>
    <row r="175" spans="1:38" x14ac:dyDescent="0.25">
      <c r="A175" t="s">
        <v>23</v>
      </c>
      <c r="B175" s="1">
        <v>39600</v>
      </c>
      <c r="C175">
        <v>266516</v>
      </c>
      <c r="D175">
        <v>1649023403524.3301</v>
      </c>
      <c r="E175">
        <v>127.270086432192</v>
      </c>
      <c r="T175" t="s">
        <v>23</v>
      </c>
      <c r="U175" s="1">
        <v>39600</v>
      </c>
      <c r="V175">
        <v>266516</v>
      </c>
      <c r="W175">
        <v>1649023403524.3301</v>
      </c>
      <c r="X175">
        <v>59.515489131084799</v>
      </c>
      <c r="AE175" s="3">
        <v>38504</v>
      </c>
      <c r="AF175" s="5">
        <v>183.444010161812</v>
      </c>
      <c r="AG175" s="5">
        <v>96.623328845006</v>
      </c>
      <c r="AH175" s="5">
        <f t="shared" si="2"/>
        <v>111.64425253102</v>
      </c>
      <c r="AJ175" s="3">
        <v>39692</v>
      </c>
      <c r="AK175" s="5">
        <v>114.2587071908</v>
      </c>
      <c r="AL175" s="5">
        <v>77.837886555896603</v>
      </c>
    </row>
    <row r="176" spans="1:38" x14ac:dyDescent="0.25">
      <c r="A176" t="s">
        <v>23</v>
      </c>
      <c r="B176" s="1">
        <v>39630</v>
      </c>
      <c r="C176">
        <v>267221</v>
      </c>
      <c r="D176">
        <v>1672012270673.77</v>
      </c>
      <c r="E176">
        <v>124.70891254143299</v>
      </c>
      <c r="T176" t="s">
        <v>23</v>
      </c>
      <c r="U176" s="1">
        <v>39630</v>
      </c>
      <c r="V176">
        <v>267221</v>
      </c>
      <c r="W176">
        <v>1672012270673.77</v>
      </c>
      <c r="X176">
        <v>58.315813476096899</v>
      </c>
      <c r="AE176" s="3">
        <v>38534</v>
      </c>
      <c r="AF176" s="5">
        <v>187.15915295864801</v>
      </c>
      <c r="AG176" s="5">
        <v>98.105338108117806</v>
      </c>
      <c r="AH176" s="5">
        <f t="shared" si="2"/>
        <v>111.903294066839</v>
      </c>
      <c r="AJ176" s="3">
        <v>39722</v>
      </c>
      <c r="AK176" s="5">
        <v>114.26993133321599</v>
      </c>
      <c r="AL176" s="5">
        <v>78.429564400749797</v>
      </c>
    </row>
    <row r="177" spans="1:38" x14ac:dyDescent="0.25">
      <c r="A177" t="s">
        <v>22</v>
      </c>
      <c r="B177" s="1">
        <v>39630</v>
      </c>
      <c r="C177">
        <v>11</v>
      </c>
      <c r="D177">
        <v>431216401.19999999</v>
      </c>
      <c r="E177">
        <v>0.22823340359549801</v>
      </c>
      <c r="T177" t="s">
        <v>22</v>
      </c>
      <c r="U177" s="1">
        <v>39630</v>
      </c>
      <c r="V177">
        <v>11</v>
      </c>
      <c r="W177">
        <v>431216401.19999999</v>
      </c>
      <c r="X177">
        <v>0.22823340359549801</v>
      </c>
      <c r="AE177" s="3">
        <v>38565</v>
      </c>
      <c r="AF177" s="5">
        <v>188.206678367427</v>
      </c>
      <c r="AG177" s="5">
        <v>98.2563373103646</v>
      </c>
      <c r="AH177" s="5">
        <f t="shared" si="2"/>
        <v>111.387017735814</v>
      </c>
      <c r="AJ177" s="3">
        <v>39753</v>
      </c>
      <c r="AK177" s="5">
        <v>114.32155636174301</v>
      </c>
      <c r="AL177" s="5">
        <v>78.876855802182405</v>
      </c>
    </row>
    <row r="178" spans="1:38" x14ac:dyDescent="0.25">
      <c r="A178" t="s">
        <v>23</v>
      </c>
      <c r="B178" s="1">
        <v>39661</v>
      </c>
      <c r="C178">
        <v>267777</v>
      </c>
      <c r="D178">
        <v>1682374180043.9399</v>
      </c>
      <c r="E178">
        <v>123.085035635572</v>
      </c>
      <c r="T178" t="s">
        <v>23</v>
      </c>
      <c r="U178" s="1">
        <v>39661</v>
      </c>
      <c r="V178">
        <v>267777</v>
      </c>
      <c r="W178">
        <v>1682374180043.9399</v>
      </c>
      <c r="X178">
        <v>57.570238039559598</v>
      </c>
      <c r="AE178" s="3">
        <v>38596</v>
      </c>
      <c r="AF178" s="5">
        <v>187.45413932829501</v>
      </c>
      <c r="AG178" s="5">
        <v>97.6126132973924</v>
      </c>
      <c r="AH178" s="5">
        <f t="shared" si="2"/>
        <v>109.48667645662201</v>
      </c>
      <c r="AJ178" s="3">
        <v>39783</v>
      </c>
      <c r="AK178" s="5">
        <v>114.281917197754</v>
      </c>
      <c r="AL178" s="5">
        <v>79.284068002090095</v>
      </c>
    </row>
    <row r="179" spans="1:38" x14ac:dyDescent="0.25">
      <c r="A179" t="s">
        <v>22</v>
      </c>
      <c r="B179" s="1">
        <v>39661</v>
      </c>
      <c r="C179">
        <v>15</v>
      </c>
      <c r="D179">
        <v>2102895357.54</v>
      </c>
      <c r="E179">
        <v>5.1003602553243002E-2</v>
      </c>
      <c r="T179" t="s">
        <v>22</v>
      </c>
      <c r="U179" s="1">
        <v>39661</v>
      </c>
      <c r="V179">
        <v>15</v>
      </c>
      <c r="W179">
        <v>2102895357.54</v>
      </c>
      <c r="X179">
        <v>5.1003602553243002E-2</v>
      </c>
      <c r="AE179" s="3">
        <v>38626</v>
      </c>
      <c r="AF179" s="5">
        <v>185.46799860751401</v>
      </c>
      <c r="AG179" s="5">
        <v>96.2748471760261</v>
      </c>
      <c r="AH179" s="5">
        <f t="shared" si="2"/>
        <v>106.66834889307199</v>
      </c>
      <c r="AJ179" s="3">
        <v>39814</v>
      </c>
      <c r="AK179" s="5">
        <v>121.501546721772</v>
      </c>
      <c r="AL179" s="5">
        <v>85.608324574413601</v>
      </c>
    </row>
    <row r="180" spans="1:38" x14ac:dyDescent="0.25">
      <c r="A180" t="s">
        <v>23</v>
      </c>
      <c r="B180" s="1">
        <v>39692</v>
      </c>
      <c r="C180">
        <v>268301</v>
      </c>
      <c r="D180">
        <v>1690709203256.04</v>
      </c>
      <c r="E180">
        <v>121.692603913998</v>
      </c>
      <c r="T180" t="s">
        <v>23</v>
      </c>
      <c r="U180" s="1">
        <v>39692</v>
      </c>
      <c r="V180">
        <v>268301</v>
      </c>
      <c r="W180">
        <v>1690709203256.04</v>
      </c>
      <c r="X180">
        <v>56.929971544460798</v>
      </c>
      <c r="AE180" s="3">
        <v>38657</v>
      </c>
      <c r="AF180" s="5">
        <v>182.263861728504</v>
      </c>
      <c r="AG180" s="5">
        <v>94.4904178266287</v>
      </c>
      <c r="AH180" s="5">
        <f t="shared" si="2"/>
        <v>103.495666124509</v>
      </c>
      <c r="AJ180" s="3">
        <v>39845</v>
      </c>
      <c r="AK180" s="5">
        <v>132.66570728693699</v>
      </c>
      <c r="AL180" s="5">
        <v>95.200529415360506</v>
      </c>
    </row>
    <row r="181" spans="1:38" x14ac:dyDescent="0.25">
      <c r="A181" t="s">
        <v>22</v>
      </c>
      <c r="B181" s="1">
        <v>39692</v>
      </c>
      <c r="C181">
        <v>22</v>
      </c>
      <c r="D181">
        <v>4048869571.6900001</v>
      </c>
      <c r="E181">
        <v>3.5325866328214398E-2</v>
      </c>
      <c r="T181" t="s">
        <v>22</v>
      </c>
      <c r="U181" s="1">
        <v>39692</v>
      </c>
      <c r="V181">
        <v>22</v>
      </c>
      <c r="W181">
        <v>4048869571.6900001</v>
      </c>
      <c r="X181">
        <v>3.5325866328214398E-2</v>
      </c>
      <c r="AE181" s="3">
        <v>38687</v>
      </c>
      <c r="AF181" s="5">
        <v>177.994171693217</v>
      </c>
      <c r="AG181" s="5">
        <v>92.125891532202999</v>
      </c>
      <c r="AH181" s="5">
        <f t="shared" si="2"/>
        <v>100.03699023495599</v>
      </c>
      <c r="AJ181" s="3">
        <v>39873</v>
      </c>
      <c r="AK181" s="5">
        <v>140.40335229351501</v>
      </c>
      <c r="AL181" s="5">
        <v>102.31471373420599</v>
      </c>
    </row>
    <row r="182" spans="1:38" x14ac:dyDescent="0.25">
      <c r="A182" t="s">
        <v>22</v>
      </c>
      <c r="B182" s="1">
        <v>39722</v>
      </c>
      <c r="C182">
        <v>32</v>
      </c>
      <c r="D182">
        <v>6443245156.5</v>
      </c>
      <c r="E182">
        <v>0.78291122105834299</v>
      </c>
      <c r="T182" t="s">
        <v>22</v>
      </c>
      <c r="U182" s="1">
        <v>39722</v>
      </c>
      <c r="V182">
        <v>32</v>
      </c>
      <c r="W182">
        <v>6443245156.5</v>
      </c>
      <c r="X182">
        <v>0.783071018992891</v>
      </c>
      <c r="AE182" s="3">
        <v>38718</v>
      </c>
      <c r="AF182" s="5">
        <v>174.54699654532001</v>
      </c>
      <c r="AG182" s="5">
        <v>90.187952137422997</v>
      </c>
      <c r="AH182" s="5">
        <f t="shared" si="2"/>
        <v>96.929749892631307</v>
      </c>
      <c r="AJ182" s="3">
        <v>39904</v>
      </c>
      <c r="AK182" s="5">
        <v>147.11698894796299</v>
      </c>
      <c r="AL182" s="5">
        <v>108.847706227868</v>
      </c>
    </row>
    <row r="183" spans="1:38" x14ac:dyDescent="0.25">
      <c r="A183" t="s">
        <v>23</v>
      </c>
      <c r="B183" s="1">
        <v>39722</v>
      </c>
      <c r="C183">
        <v>269084</v>
      </c>
      <c r="D183">
        <v>1706507798745.03</v>
      </c>
      <c r="E183">
        <v>121.09275401073199</v>
      </c>
      <c r="T183" t="s">
        <v>23</v>
      </c>
      <c r="U183" s="1">
        <v>39722</v>
      </c>
      <c r="V183">
        <v>269084</v>
      </c>
      <c r="W183">
        <v>1706507798745.03</v>
      </c>
      <c r="X183">
        <v>56.590043091997501</v>
      </c>
      <c r="AE183" s="3">
        <v>38749</v>
      </c>
      <c r="AF183" s="5">
        <v>171.899269404645</v>
      </c>
      <c r="AG183" s="5">
        <v>88.682579573235799</v>
      </c>
      <c r="AH183" s="5">
        <f t="shared" si="2"/>
        <v>94.511898082201597</v>
      </c>
      <c r="AJ183" s="3">
        <v>39934</v>
      </c>
      <c r="AK183" s="5">
        <v>156.518848536549</v>
      </c>
      <c r="AL183" s="5">
        <v>117.80742443313601</v>
      </c>
    </row>
    <row r="184" spans="1:38" x14ac:dyDescent="0.25">
      <c r="A184" t="s">
        <v>22</v>
      </c>
      <c r="B184" s="1">
        <v>39753</v>
      </c>
      <c r="C184">
        <v>33</v>
      </c>
      <c r="D184">
        <v>7594722445.1199999</v>
      </c>
      <c r="E184">
        <v>1.34818851257356</v>
      </c>
      <c r="T184" t="s">
        <v>22</v>
      </c>
      <c r="U184" s="1">
        <v>39753</v>
      </c>
      <c r="V184">
        <v>33</v>
      </c>
      <c r="W184">
        <v>7594722445.1199999</v>
      </c>
      <c r="X184">
        <v>1.3465903508452499</v>
      </c>
      <c r="AE184" s="3">
        <v>38777</v>
      </c>
      <c r="AF184" s="5">
        <v>169.75807335717201</v>
      </c>
      <c r="AG184" s="5">
        <v>87.4881575882074</v>
      </c>
      <c r="AH184" s="5">
        <f t="shared" si="2"/>
        <v>92.6124450304156</v>
      </c>
      <c r="AJ184" s="3">
        <v>39965</v>
      </c>
      <c r="AK184" s="5">
        <v>172.032492004711</v>
      </c>
      <c r="AL184" s="5">
        <v>134.67127902460001</v>
      </c>
    </row>
    <row r="185" spans="1:38" x14ac:dyDescent="0.25">
      <c r="A185" t="s">
        <v>23</v>
      </c>
      <c r="B185" s="1">
        <v>39753</v>
      </c>
      <c r="C185">
        <v>269586</v>
      </c>
      <c r="D185">
        <v>1715320900515.99</v>
      </c>
      <c r="E185">
        <v>120.487471663715</v>
      </c>
      <c r="T185" t="s">
        <v>23</v>
      </c>
      <c r="U185" s="1">
        <v>39753</v>
      </c>
      <c r="V185">
        <v>269586</v>
      </c>
      <c r="W185">
        <v>1715320900515.99</v>
      </c>
      <c r="X185">
        <v>56.309250616390699</v>
      </c>
      <c r="AE185" s="3">
        <v>38808</v>
      </c>
      <c r="AF185" s="5">
        <v>167.378208041894</v>
      </c>
      <c r="AG185" s="5">
        <v>86.165527929335497</v>
      </c>
      <c r="AH185" s="5">
        <f t="shared" si="2"/>
        <v>90.708118089139802</v>
      </c>
      <c r="AJ185" s="3">
        <v>39995</v>
      </c>
      <c r="AK185" s="5">
        <v>175.25276261882999</v>
      </c>
      <c r="AL185" s="5">
        <v>139.57290022888401</v>
      </c>
    </row>
    <row r="186" spans="1:38" x14ac:dyDescent="0.25">
      <c r="A186" t="s">
        <v>22</v>
      </c>
      <c r="B186" s="1">
        <v>39783</v>
      </c>
      <c r="C186">
        <v>33</v>
      </c>
      <c r="D186">
        <v>7455294762.29</v>
      </c>
      <c r="E186">
        <v>3.0359649450850501</v>
      </c>
      <c r="T186" t="s">
        <v>22</v>
      </c>
      <c r="U186" s="1">
        <v>39783</v>
      </c>
      <c r="V186">
        <v>33</v>
      </c>
      <c r="W186">
        <v>7455294762.29</v>
      </c>
      <c r="X186">
        <v>2.9137773898246699</v>
      </c>
      <c r="AE186" s="3">
        <v>38838</v>
      </c>
      <c r="AF186" s="5">
        <v>163.45747552668701</v>
      </c>
      <c r="AG186" s="5">
        <v>84.032827286979099</v>
      </c>
      <c r="AH186" s="5">
        <f t="shared" si="2"/>
        <v>88.390080019625401</v>
      </c>
      <c r="AJ186" s="3">
        <v>40026</v>
      </c>
      <c r="AK186" s="5">
        <v>182.654656309079</v>
      </c>
      <c r="AL186" s="5">
        <v>148.23432581576699</v>
      </c>
    </row>
    <row r="187" spans="1:38" x14ac:dyDescent="0.25">
      <c r="A187" t="s">
        <v>23</v>
      </c>
      <c r="B187" s="1">
        <v>39783</v>
      </c>
      <c r="C187">
        <v>269880</v>
      </c>
      <c r="D187">
        <v>1722159821907.24</v>
      </c>
      <c r="E187">
        <v>120.096721831167</v>
      </c>
      <c r="T187" t="s">
        <v>23</v>
      </c>
      <c r="U187" s="1">
        <v>39783</v>
      </c>
      <c r="V187">
        <v>269880</v>
      </c>
      <c r="W187">
        <v>1722159821907.24</v>
      </c>
      <c r="X187">
        <v>56.139045583828498</v>
      </c>
      <c r="AE187" s="3">
        <v>38869</v>
      </c>
      <c r="AF187" s="5">
        <v>160.03250578758301</v>
      </c>
      <c r="AG187" s="5">
        <v>82.191683934155506</v>
      </c>
      <c r="AH187" s="5">
        <f t="shared" si="2"/>
        <v>86.371302231219005</v>
      </c>
      <c r="AJ187" s="3">
        <v>40057</v>
      </c>
      <c r="AK187" s="5">
        <v>189.592543030911</v>
      </c>
      <c r="AL187" s="5">
        <v>156.38448064298501</v>
      </c>
    </row>
    <row r="188" spans="1:38" x14ac:dyDescent="0.25">
      <c r="A188" t="s">
        <v>23</v>
      </c>
      <c r="B188" s="1">
        <v>39814</v>
      </c>
      <c r="C188">
        <v>270476</v>
      </c>
      <c r="D188">
        <v>1743795423653.5901</v>
      </c>
      <c r="E188">
        <v>126.575085527139</v>
      </c>
      <c r="T188" t="s">
        <v>23</v>
      </c>
      <c r="U188" s="1">
        <v>39814</v>
      </c>
      <c r="V188">
        <v>270476</v>
      </c>
      <c r="W188">
        <v>1743795423653.5901</v>
      </c>
      <c r="X188">
        <v>58.176542228304498</v>
      </c>
      <c r="AE188" s="3">
        <v>38899</v>
      </c>
      <c r="AF188" s="5">
        <v>156.18422837145499</v>
      </c>
      <c r="AG188" s="5">
        <v>80.112057972432595</v>
      </c>
      <c r="AH188" s="5">
        <f t="shared" si="2"/>
        <v>84.149202088753</v>
      </c>
      <c r="AJ188" s="3">
        <v>40087</v>
      </c>
      <c r="AK188" s="5">
        <v>200.23168800257</v>
      </c>
      <c r="AL188" s="5">
        <v>167.86973595464099</v>
      </c>
    </row>
    <row r="189" spans="1:38" x14ac:dyDescent="0.25">
      <c r="A189" t="s">
        <v>22</v>
      </c>
      <c r="B189" s="1">
        <v>39814</v>
      </c>
      <c r="C189">
        <v>37</v>
      </c>
      <c r="D189">
        <v>7385915358.9499998</v>
      </c>
      <c r="E189">
        <v>17.101511204033802</v>
      </c>
      <c r="T189" t="s">
        <v>22</v>
      </c>
      <c r="U189" s="1">
        <v>39814</v>
      </c>
      <c r="V189">
        <v>37</v>
      </c>
      <c r="W189">
        <v>7385915358.9499998</v>
      </c>
      <c r="X189">
        <v>15.2071608829841</v>
      </c>
      <c r="AE189" s="3">
        <v>38930</v>
      </c>
      <c r="AF189" s="5">
        <v>152.843281981096</v>
      </c>
      <c r="AG189" s="5">
        <v>78.304525949301905</v>
      </c>
      <c r="AH189" s="5">
        <f t="shared" si="2"/>
        <v>81.858411901879094</v>
      </c>
      <c r="AJ189" s="3">
        <v>40118</v>
      </c>
      <c r="AK189" s="5">
        <v>212.60255787677599</v>
      </c>
      <c r="AL189" s="5">
        <v>180.92905535228999</v>
      </c>
    </row>
    <row r="190" spans="1:38" x14ac:dyDescent="0.25">
      <c r="A190" t="s">
        <v>22</v>
      </c>
      <c r="B190" s="1">
        <v>39845</v>
      </c>
      <c r="C190">
        <v>37</v>
      </c>
      <c r="D190">
        <v>7186390255.3999996</v>
      </c>
      <c r="E190">
        <v>36.005376445200099</v>
      </c>
      <c r="T190" t="s">
        <v>22</v>
      </c>
      <c r="U190" s="1">
        <v>39845</v>
      </c>
      <c r="V190">
        <v>37</v>
      </c>
      <c r="W190">
        <v>7186390255.3999996</v>
      </c>
      <c r="X190">
        <v>30.837042987584901</v>
      </c>
      <c r="AE190" s="3">
        <v>38961</v>
      </c>
      <c r="AF190" s="5">
        <v>150.199939896443</v>
      </c>
      <c r="AG190" s="5">
        <v>76.8743361996506</v>
      </c>
      <c r="AH190" s="5">
        <f t="shared" si="2"/>
        <v>81.626861546278306</v>
      </c>
      <c r="AJ190" s="3">
        <v>40148</v>
      </c>
      <c r="AK190" s="5">
        <v>225.904790316674</v>
      </c>
      <c r="AL190" s="5">
        <v>194.901663695781</v>
      </c>
    </row>
    <row r="191" spans="1:38" x14ac:dyDescent="0.25">
      <c r="A191" t="s">
        <v>23</v>
      </c>
      <c r="B191" s="1">
        <v>39845</v>
      </c>
      <c r="C191">
        <v>270820</v>
      </c>
      <c r="D191">
        <v>1747958716979.52</v>
      </c>
      <c r="E191">
        <v>138.01338861023399</v>
      </c>
      <c r="T191" t="s">
        <v>23</v>
      </c>
      <c r="U191" s="1">
        <v>39845</v>
      </c>
      <c r="V191">
        <v>270820</v>
      </c>
      <c r="W191">
        <v>1747958716979.52</v>
      </c>
      <c r="X191">
        <v>62.479729063371103</v>
      </c>
      <c r="AE191" s="3">
        <v>38991</v>
      </c>
      <c r="AF191" s="5">
        <v>147.992617378792</v>
      </c>
      <c r="AG191" s="5">
        <v>75.603773963589205</v>
      </c>
      <c r="AH191" s="5">
        <f t="shared" si="2"/>
        <v>80.343387193599995</v>
      </c>
      <c r="AJ191" s="3">
        <v>40179</v>
      </c>
      <c r="AK191" s="5">
        <v>236.47243729526301</v>
      </c>
      <c r="AL191" s="5">
        <v>206.30192897398601</v>
      </c>
    </row>
    <row r="192" spans="1:38" x14ac:dyDescent="0.25">
      <c r="A192" t="s">
        <v>22</v>
      </c>
      <c r="B192" s="1">
        <v>39873</v>
      </c>
      <c r="C192">
        <v>57</v>
      </c>
      <c r="D192">
        <v>7517545111.1499996</v>
      </c>
      <c r="E192">
        <v>47.926256715810503</v>
      </c>
      <c r="T192" t="s">
        <v>22</v>
      </c>
      <c r="U192" s="1">
        <v>39873</v>
      </c>
      <c r="V192">
        <v>57</v>
      </c>
      <c r="W192">
        <v>7517545111.1499996</v>
      </c>
      <c r="X192">
        <v>38.406516832493097</v>
      </c>
      <c r="AE192" s="3">
        <v>39022</v>
      </c>
      <c r="AF192" s="5">
        <v>145.65623106310099</v>
      </c>
      <c r="AG192" s="5">
        <v>74.233351011369805</v>
      </c>
      <c r="AH192" s="5">
        <f t="shared" si="2"/>
        <v>79.711594520123299</v>
      </c>
      <c r="AJ192" s="3">
        <v>40210</v>
      </c>
      <c r="AK192" s="5">
        <v>245.95155327319199</v>
      </c>
      <c r="AL192" s="5">
        <v>216.43023429463</v>
      </c>
    </row>
    <row r="193" spans="1:38" x14ac:dyDescent="0.25">
      <c r="A193" t="s">
        <v>23</v>
      </c>
      <c r="B193" s="1">
        <v>39873</v>
      </c>
      <c r="C193">
        <v>271227</v>
      </c>
      <c r="D193">
        <v>1754532172587.8201</v>
      </c>
      <c r="E193">
        <v>145.66819679840501</v>
      </c>
      <c r="T193" t="s">
        <v>23</v>
      </c>
      <c r="U193" s="1">
        <v>39873</v>
      </c>
      <c r="V193">
        <v>271227</v>
      </c>
      <c r="W193">
        <v>1754532172587.8201</v>
      </c>
      <c r="X193">
        <v>65.554843239431406</v>
      </c>
      <c r="AE193" s="3">
        <v>39052</v>
      </c>
      <c r="AF193" s="5">
        <v>144.65159858000899</v>
      </c>
      <c r="AG193" s="5">
        <v>73.505457075352993</v>
      </c>
      <c r="AH193" s="5">
        <f t="shared" si="2"/>
        <v>79.554388581580199</v>
      </c>
      <c r="AJ193" s="3">
        <v>40238</v>
      </c>
      <c r="AK193" s="5">
        <v>255.59143576441099</v>
      </c>
      <c r="AL193" s="5">
        <v>226.69528927584599</v>
      </c>
    </row>
    <row r="194" spans="1:38" x14ac:dyDescent="0.25">
      <c r="A194" t="s">
        <v>22</v>
      </c>
      <c r="B194" s="1">
        <v>39904</v>
      </c>
      <c r="C194">
        <v>80</v>
      </c>
      <c r="D194">
        <v>7812894988.0100002</v>
      </c>
      <c r="E194">
        <v>57.832367647122901</v>
      </c>
      <c r="T194" t="s">
        <v>22</v>
      </c>
      <c r="U194" s="1">
        <v>39904</v>
      </c>
      <c r="V194">
        <v>80</v>
      </c>
      <c r="W194">
        <v>7812894988.0100002</v>
      </c>
      <c r="X194">
        <v>45.610057991736603</v>
      </c>
      <c r="AE194" s="3">
        <v>39083</v>
      </c>
      <c r="AF194" s="5">
        <v>144.460608852771</v>
      </c>
      <c r="AG194" s="5">
        <v>73.143515138607299</v>
      </c>
      <c r="AH194" s="5">
        <f t="shared" si="2"/>
        <v>79.403999680220295</v>
      </c>
      <c r="AJ194" s="3">
        <v>40269</v>
      </c>
      <c r="AK194" s="5">
        <v>259.86662235461802</v>
      </c>
      <c r="AL194" s="5">
        <v>230.86922382364099</v>
      </c>
    </row>
    <row r="195" spans="1:38" x14ac:dyDescent="0.25">
      <c r="A195" t="s">
        <v>23</v>
      </c>
      <c r="B195" s="1">
        <v>39904</v>
      </c>
      <c r="C195">
        <v>271839</v>
      </c>
      <c r="D195">
        <v>1783832899325.1899</v>
      </c>
      <c r="E195">
        <v>152.17805979007201</v>
      </c>
      <c r="T195" t="s">
        <v>23</v>
      </c>
      <c r="U195" s="1">
        <v>39904</v>
      </c>
      <c r="V195">
        <v>271839</v>
      </c>
      <c r="W195">
        <v>1783832899325.1899</v>
      </c>
      <c r="X195">
        <v>68.268746934619799</v>
      </c>
      <c r="AE195" s="3">
        <v>39114</v>
      </c>
      <c r="AF195" s="5">
        <v>143.55416986134199</v>
      </c>
      <c r="AG195" s="5">
        <v>72.484289280288607</v>
      </c>
      <c r="AH195" s="5">
        <f t="shared" si="2"/>
        <v>79.325698316596103</v>
      </c>
      <c r="AJ195" s="3">
        <v>40299</v>
      </c>
      <c r="AK195" s="5">
        <v>266.93689966858699</v>
      </c>
      <c r="AL195" s="5">
        <v>238.41875111459001</v>
      </c>
    </row>
    <row r="196" spans="1:38" x14ac:dyDescent="0.25">
      <c r="A196" t="s">
        <v>23</v>
      </c>
      <c r="B196" s="1">
        <v>39934</v>
      </c>
      <c r="C196">
        <v>272056</v>
      </c>
      <c r="D196">
        <v>1788604982272.3999</v>
      </c>
      <c r="E196">
        <v>163.303881183633</v>
      </c>
      <c r="T196" t="s">
        <v>23</v>
      </c>
      <c r="U196" s="1">
        <v>39934</v>
      </c>
      <c r="V196">
        <v>272056</v>
      </c>
      <c r="W196">
        <v>1788604982272.3999</v>
      </c>
      <c r="X196">
        <v>73.315152208214499</v>
      </c>
      <c r="AE196" s="3">
        <v>39142</v>
      </c>
      <c r="AF196" s="5">
        <v>142.64903215811401</v>
      </c>
      <c r="AG196" s="5">
        <v>71.847200133787396</v>
      </c>
      <c r="AH196" s="5">
        <f t="shared" si="2"/>
        <v>78.770778222774695</v>
      </c>
      <c r="AJ196" s="3">
        <v>40330</v>
      </c>
      <c r="AK196" s="5">
        <v>276.966786084783</v>
      </c>
      <c r="AL196" s="5">
        <v>248.94212149262299</v>
      </c>
    </row>
    <row r="197" spans="1:38" x14ac:dyDescent="0.25">
      <c r="A197" t="s">
        <v>22</v>
      </c>
      <c r="B197" s="1">
        <v>39934</v>
      </c>
      <c r="C197">
        <v>94</v>
      </c>
      <c r="D197">
        <v>7929838117.7600002</v>
      </c>
      <c r="E197">
        <v>70.362772519002803</v>
      </c>
      <c r="T197" t="s">
        <v>22</v>
      </c>
      <c r="U197" s="1">
        <v>39934</v>
      </c>
      <c r="V197">
        <v>94</v>
      </c>
      <c r="W197">
        <v>7929838117.7600002</v>
      </c>
      <c r="X197">
        <v>55.789485946964497</v>
      </c>
      <c r="AE197" s="3">
        <v>39173</v>
      </c>
      <c r="AF197" s="5">
        <v>142.41374196958199</v>
      </c>
      <c r="AG197" s="5">
        <v>71.538485464989606</v>
      </c>
      <c r="AH197" s="5">
        <f t="shared" ref="AH197:AH260" si="3">VLOOKUP(AE197,AJ:AL,3,0)</f>
        <v>78.820209581965798</v>
      </c>
      <c r="AJ197" s="3">
        <v>40360</v>
      </c>
      <c r="AK197" s="5">
        <v>289.18605920206198</v>
      </c>
      <c r="AL197" s="5">
        <v>261.727658039669</v>
      </c>
    </row>
    <row r="198" spans="1:38" x14ac:dyDescent="0.25">
      <c r="A198" t="s">
        <v>23</v>
      </c>
      <c r="B198" s="1">
        <v>39965</v>
      </c>
      <c r="C198">
        <v>272638</v>
      </c>
      <c r="D198">
        <v>1851247613799.7</v>
      </c>
      <c r="E198">
        <v>175.30337348788601</v>
      </c>
      <c r="T198" t="s">
        <v>23</v>
      </c>
      <c r="U198" s="1">
        <v>39965</v>
      </c>
      <c r="V198">
        <v>272638</v>
      </c>
      <c r="W198">
        <v>1851247613799.7</v>
      </c>
      <c r="X198">
        <v>90.424679800777696</v>
      </c>
      <c r="AE198" s="3">
        <v>39203</v>
      </c>
      <c r="AF198" s="5">
        <v>141.74505002812299</v>
      </c>
      <c r="AG198" s="5">
        <v>71.063345815094493</v>
      </c>
      <c r="AH198" s="5">
        <f t="shared" si="3"/>
        <v>78.908112932278797</v>
      </c>
      <c r="AJ198" s="3">
        <v>40391</v>
      </c>
      <c r="AK198" s="5">
        <v>304.27784768155101</v>
      </c>
      <c r="AL198" s="5">
        <v>277.42506919795898</v>
      </c>
    </row>
    <row r="199" spans="1:38" x14ac:dyDescent="0.25">
      <c r="A199" t="s">
        <v>22</v>
      </c>
      <c r="B199" s="1">
        <v>39965</v>
      </c>
      <c r="C199">
        <v>131</v>
      </c>
      <c r="D199">
        <v>14236149645.15</v>
      </c>
      <c r="E199">
        <v>54.922152148638098</v>
      </c>
      <c r="T199" t="s">
        <v>22</v>
      </c>
      <c r="U199" s="1">
        <v>39965</v>
      </c>
      <c r="V199">
        <v>131</v>
      </c>
      <c r="W199">
        <v>14236149645.15</v>
      </c>
      <c r="X199">
        <v>47.188865474673399</v>
      </c>
      <c r="AE199" s="3">
        <v>39234</v>
      </c>
      <c r="AF199" s="5">
        <v>139.89038619993801</v>
      </c>
      <c r="AG199" s="5">
        <v>70.065721891723797</v>
      </c>
      <c r="AH199" s="5">
        <f t="shared" si="3"/>
        <v>78.445092859628105</v>
      </c>
      <c r="AJ199" s="3">
        <v>40422</v>
      </c>
      <c r="AK199" s="5">
        <v>322.17579149750702</v>
      </c>
      <c r="AL199" s="5">
        <v>295.87878156334602</v>
      </c>
    </row>
    <row r="200" spans="1:38" x14ac:dyDescent="0.25">
      <c r="A200" t="s">
        <v>23</v>
      </c>
      <c r="B200" s="1">
        <v>39995</v>
      </c>
      <c r="C200">
        <v>273233</v>
      </c>
      <c r="D200">
        <v>1892906083080.45</v>
      </c>
      <c r="E200">
        <v>178.09386534768799</v>
      </c>
      <c r="T200" t="s">
        <v>23</v>
      </c>
      <c r="U200" s="1">
        <v>39995</v>
      </c>
      <c r="V200">
        <v>273233</v>
      </c>
      <c r="W200">
        <v>1892906083080.45</v>
      </c>
      <c r="X200">
        <v>97.190728006618102</v>
      </c>
      <c r="AE200" s="3">
        <v>39264</v>
      </c>
      <c r="AF200" s="5">
        <v>136.39465937809101</v>
      </c>
      <c r="AG200" s="5">
        <v>68.313708236519005</v>
      </c>
      <c r="AH200" s="5">
        <f t="shared" si="3"/>
        <v>76.897982892668793</v>
      </c>
      <c r="AJ200" s="3">
        <v>40452</v>
      </c>
      <c r="AK200" s="5">
        <v>339.509362166578</v>
      </c>
      <c r="AL200" s="5">
        <v>313.89928910530398</v>
      </c>
    </row>
    <row r="201" spans="1:38" x14ac:dyDescent="0.25">
      <c r="A201" t="s">
        <v>22</v>
      </c>
      <c r="B201" s="1">
        <v>39995</v>
      </c>
      <c r="C201">
        <v>168</v>
      </c>
      <c r="D201">
        <v>15653598327.879999</v>
      </c>
      <c r="E201">
        <v>54.472644049184296</v>
      </c>
      <c r="T201" t="s">
        <v>22</v>
      </c>
      <c r="U201" s="1">
        <v>39995</v>
      </c>
      <c r="V201">
        <v>168</v>
      </c>
      <c r="W201">
        <v>15653598327.879999</v>
      </c>
      <c r="X201">
        <v>47.758455597744003</v>
      </c>
      <c r="AE201" s="3">
        <v>39295</v>
      </c>
      <c r="AF201" s="5">
        <v>132.78294770510399</v>
      </c>
      <c r="AG201" s="5">
        <v>66.500571306589094</v>
      </c>
      <c r="AH201" s="5">
        <f t="shared" si="3"/>
        <v>75.480985543243193</v>
      </c>
      <c r="AJ201" s="3">
        <v>40483</v>
      </c>
      <c r="AK201" s="5">
        <v>358.76835599520399</v>
      </c>
      <c r="AL201" s="5">
        <v>333.68759744787098</v>
      </c>
    </row>
    <row r="202" spans="1:38" x14ac:dyDescent="0.25">
      <c r="A202" t="s">
        <v>23</v>
      </c>
      <c r="B202" s="1">
        <v>40026</v>
      </c>
      <c r="C202">
        <v>273609</v>
      </c>
      <c r="D202">
        <v>1911210202909.05</v>
      </c>
      <c r="E202">
        <v>185.41680261787801</v>
      </c>
      <c r="T202" t="s">
        <v>23</v>
      </c>
      <c r="U202" s="1">
        <v>40026</v>
      </c>
      <c r="V202">
        <v>273609</v>
      </c>
      <c r="W202">
        <v>1911210202909.05</v>
      </c>
      <c r="X202">
        <v>107.386334731619</v>
      </c>
      <c r="AE202" s="3">
        <v>39326</v>
      </c>
      <c r="AF202" s="5">
        <v>129.738206320953</v>
      </c>
      <c r="AG202" s="5">
        <v>64.9077026539901</v>
      </c>
      <c r="AH202" s="5">
        <f t="shared" si="3"/>
        <v>74.101103790798803</v>
      </c>
      <c r="AJ202" s="3">
        <v>40513</v>
      </c>
      <c r="AK202" s="5">
        <v>375.07101181590002</v>
      </c>
      <c r="AL202" s="5">
        <v>350.53772033319598</v>
      </c>
    </row>
    <row r="203" spans="1:38" x14ac:dyDescent="0.25">
      <c r="A203" t="s">
        <v>22</v>
      </c>
      <c r="B203" s="1">
        <v>40026</v>
      </c>
      <c r="C203">
        <v>188</v>
      </c>
      <c r="D203">
        <v>16210075077.32</v>
      </c>
      <c r="E203">
        <v>57.799142441898098</v>
      </c>
      <c r="T203" t="s">
        <v>22</v>
      </c>
      <c r="U203" s="1">
        <v>40026</v>
      </c>
      <c r="V203">
        <v>188</v>
      </c>
      <c r="W203">
        <v>16210075077.32</v>
      </c>
      <c r="X203">
        <v>51.757661907102403</v>
      </c>
      <c r="AE203" s="3">
        <v>39356</v>
      </c>
      <c r="AF203" s="5">
        <v>127.546803297056</v>
      </c>
      <c r="AG203" s="5">
        <v>63.654480696013302</v>
      </c>
      <c r="AH203" s="5">
        <f t="shared" si="3"/>
        <v>73.141335891848598</v>
      </c>
      <c r="AJ203" s="3">
        <v>40544</v>
      </c>
      <c r="AK203" s="5">
        <v>382.44246133391999</v>
      </c>
      <c r="AL203" s="5">
        <v>358.426827953832</v>
      </c>
    </row>
    <row r="204" spans="1:38" x14ac:dyDescent="0.25">
      <c r="A204" t="s">
        <v>23</v>
      </c>
      <c r="B204" s="1">
        <v>40057</v>
      </c>
      <c r="C204">
        <v>273811</v>
      </c>
      <c r="D204">
        <v>1922329055650.49</v>
      </c>
      <c r="E204">
        <v>193.9662882202</v>
      </c>
      <c r="T204" t="s">
        <v>23</v>
      </c>
      <c r="U204" s="1">
        <v>40057</v>
      </c>
      <c r="V204">
        <v>273811</v>
      </c>
      <c r="W204">
        <v>1922329055650.49</v>
      </c>
      <c r="X204">
        <v>118.111894572864</v>
      </c>
      <c r="AE204" s="3">
        <v>39387</v>
      </c>
      <c r="AF204" s="5">
        <v>125.978304712807</v>
      </c>
      <c r="AG204" s="5">
        <v>62.650643710645497</v>
      </c>
      <c r="AH204" s="5">
        <f t="shared" si="3"/>
        <v>72.971966129973495</v>
      </c>
      <c r="AJ204" s="3">
        <v>40575</v>
      </c>
      <c r="AK204" s="5">
        <v>387.96058363639997</v>
      </c>
      <c r="AL204" s="5">
        <v>364.46715383647501</v>
      </c>
    </row>
    <row r="205" spans="1:38" x14ac:dyDescent="0.25">
      <c r="A205" t="s">
        <v>22</v>
      </c>
      <c r="B205" s="1">
        <v>40057</v>
      </c>
      <c r="C205">
        <v>222</v>
      </c>
      <c r="D205">
        <v>17522334402.939999</v>
      </c>
      <c r="E205">
        <v>58.004401975674703</v>
      </c>
      <c r="T205" t="s">
        <v>22</v>
      </c>
      <c r="U205" s="1">
        <v>40057</v>
      </c>
      <c r="V205">
        <v>222</v>
      </c>
      <c r="W205">
        <v>17522334402.939999</v>
      </c>
      <c r="X205">
        <v>52.823325414255599</v>
      </c>
      <c r="AE205" s="3">
        <v>39417</v>
      </c>
      <c r="AF205" s="5">
        <v>124.78164107480499</v>
      </c>
      <c r="AG205" s="5">
        <v>61.635080387323399</v>
      </c>
      <c r="AH205" s="5">
        <f t="shared" si="3"/>
        <v>73.034395136915194</v>
      </c>
      <c r="AJ205" s="3">
        <v>40603</v>
      </c>
      <c r="AK205" s="5">
        <v>389.98884101852701</v>
      </c>
      <c r="AL205" s="5">
        <v>367.08195062699002</v>
      </c>
    </row>
    <row r="206" spans="1:38" x14ac:dyDescent="0.25">
      <c r="A206" t="s">
        <v>23</v>
      </c>
      <c r="B206" s="1">
        <v>40087</v>
      </c>
      <c r="C206">
        <v>274246</v>
      </c>
      <c r="D206">
        <v>1936230379188.45</v>
      </c>
      <c r="E206">
        <v>204.769495997593</v>
      </c>
      <c r="T206" t="s">
        <v>23</v>
      </c>
      <c r="U206" s="1">
        <v>40087</v>
      </c>
      <c r="V206">
        <v>274246</v>
      </c>
      <c r="W206">
        <v>1936230379188.45</v>
      </c>
      <c r="X206">
        <v>130.82481008693799</v>
      </c>
      <c r="AE206" s="3">
        <v>39448</v>
      </c>
      <c r="AF206" s="5">
        <v>124.24037652494</v>
      </c>
      <c r="AG206" s="5">
        <v>60.8090371781446</v>
      </c>
      <c r="AH206" s="5">
        <f t="shared" si="3"/>
        <v>73.927500603899503</v>
      </c>
      <c r="AJ206" s="3">
        <v>40634</v>
      </c>
      <c r="AK206" s="5">
        <v>397.06056780196599</v>
      </c>
      <c r="AL206" s="5">
        <v>374.54973485581098</v>
      </c>
    </row>
    <row r="207" spans="1:38" x14ac:dyDescent="0.25">
      <c r="A207" t="s">
        <v>22</v>
      </c>
      <c r="B207" s="1">
        <v>40087</v>
      </c>
      <c r="C207">
        <v>266</v>
      </c>
      <c r="D207">
        <v>20636621094.560001</v>
      </c>
      <c r="E207">
        <v>56.826063656831401</v>
      </c>
      <c r="T207" t="s">
        <v>22</v>
      </c>
      <c r="U207" s="1">
        <v>40087</v>
      </c>
      <c r="V207">
        <v>266</v>
      </c>
      <c r="W207">
        <v>20636621094.560001</v>
      </c>
      <c r="X207">
        <v>52.585446441134302</v>
      </c>
      <c r="AE207" s="3">
        <v>39479</v>
      </c>
      <c r="AF207" s="5">
        <v>128.31101783471399</v>
      </c>
      <c r="AG207" s="5">
        <v>61.548497943947801</v>
      </c>
      <c r="AH207" s="5">
        <f t="shared" si="3"/>
        <v>77.529248505587404</v>
      </c>
      <c r="AJ207" s="3">
        <v>40664</v>
      </c>
      <c r="AK207" s="5">
        <v>402.95365168642098</v>
      </c>
      <c r="AL207" s="5">
        <v>380.81887777678702</v>
      </c>
    </row>
    <row r="208" spans="1:38" x14ac:dyDescent="0.25">
      <c r="A208" t="s">
        <v>23</v>
      </c>
      <c r="B208" s="1">
        <v>40118</v>
      </c>
      <c r="C208">
        <v>274530</v>
      </c>
      <c r="D208">
        <v>1935224752959.1399</v>
      </c>
      <c r="E208">
        <v>218.14875585241001</v>
      </c>
      <c r="T208" t="s">
        <v>23</v>
      </c>
      <c r="U208" s="1">
        <v>40118</v>
      </c>
      <c r="V208">
        <v>274530</v>
      </c>
      <c r="W208">
        <v>1935224752959.1399</v>
      </c>
      <c r="X208">
        <v>145.339401379203</v>
      </c>
      <c r="AE208" s="3">
        <v>39508</v>
      </c>
      <c r="AF208" s="5">
        <v>128.133333026457</v>
      </c>
      <c r="AG208" s="5">
        <v>60.864628007882501</v>
      </c>
      <c r="AH208" s="5">
        <f t="shared" si="3"/>
        <v>78.536478303618196</v>
      </c>
      <c r="AJ208" s="3">
        <v>40695</v>
      </c>
      <c r="AK208" s="5">
        <v>412.36004942913701</v>
      </c>
      <c r="AL208" s="5">
        <v>390.56468045331599</v>
      </c>
    </row>
    <row r="209" spans="1:38" x14ac:dyDescent="0.25">
      <c r="A209" t="s">
        <v>22</v>
      </c>
      <c r="B209" s="1">
        <v>40118</v>
      </c>
      <c r="C209">
        <v>290</v>
      </c>
      <c r="D209">
        <v>24709665353.299999</v>
      </c>
      <c r="E209">
        <v>54.889424608829401</v>
      </c>
      <c r="T209" t="s">
        <v>22</v>
      </c>
      <c r="U209" s="1">
        <v>40118</v>
      </c>
      <c r="V209">
        <v>290</v>
      </c>
      <c r="W209">
        <v>24709665353.299999</v>
      </c>
      <c r="X209">
        <v>51.351181167658901</v>
      </c>
      <c r="AE209" s="3">
        <v>39539</v>
      </c>
      <c r="AF209" s="5">
        <v>128.44003221044301</v>
      </c>
      <c r="AG209" s="5">
        <v>60.664300505385498</v>
      </c>
      <c r="AH209" s="5">
        <f t="shared" si="3"/>
        <v>79.399225455212701</v>
      </c>
      <c r="AJ209" s="3">
        <v>40725</v>
      </c>
      <c r="AK209" s="5">
        <v>423.56099857394702</v>
      </c>
      <c r="AL209" s="5">
        <v>402.10195514477698</v>
      </c>
    </row>
    <row r="210" spans="1:38" x14ac:dyDescent="0.25">
      <c r="A210" t="s">
        <v>24</v>
      </c>
      <c r="B210" s="1">
        <v>40118</v>
      </c>
      <c r="C210">
        <v>3</v>
      </c>
      <c r="D210">
        <v>15327165.810000001</v>
      </c>
      <c r="E210">
        <v>1.4505423323001101</v>
      </c>
      <c r="T210" t="s">
        <v>24</v>
      </c>
      <c r="U210" s="1">
        <v>40118</v>
      </c>
      <c r="V210">
        <v>3</v>
      </c>
      <c r="W210">
        <v>15327165.810000001</v>
      </c>
      <c r="X210">
        <v>0</v>
      </c>
      <c r="AE210" s="3">
        <v>39569</v>
      </c>
      <c r="AF210" s="5">
        <v>128.62816588692201</v>
      </c>
      <c r="AG210" s="5">
        <v>60.343611792930702</v>
      </c>
      <c r="AH210" s="5">
        <f t="shared" si="3"/>
        <v>80.245144027124297</v>
      </c>
      <c r="AJ210" s="3">
        <v>40756</v>
      </c>
      <c r="AK210" s="5">
        <v>434.79807764408798</v>
      </c>
      <c r="AL210" s="5">
        <v>413.59174371674499</v>
      </c>
    </row>
    <row r="211" spans="1:38" x14ac:dyDescent="0.25">
      <c r="A211" t="s">
        <v>23</v>
      </c>
      <c r="B211" s="1">
        <v>40148</v>
      </c>
      <c r="C211">
        <v>274807</v>
      </c>
      <c r="D211">
        <v>1931516393378.1001</v>
      </c>
      <c r="E211">
        <v>232.43522442437899</v>
      </c>
      <c r="T211" t="s">
        <v>23</v>
      </c>
      <c r="U211" s="1">
        <v>40148</v>
      </c>
      <c r="V211">
        <v>274807</v>
      </c>
      <c r="W211">
        <v>1931516393378.1001</v>
      </c>
      <c r="X211">
        <v>160.63402468849301</v>
      </c>
      <c r="AE211" s="3">
        <v>39600</v>
      </c>
      <c r="AF211" s="5">
        <v>127.270086432192</v>
      </c>
      <c r="AG211" s="5">
        <v>59.515489131084799</v>
      </c>
      <c r="AH211" s="5">
        <f t="shared" si="3"/>
        <v>80.035723378384603</v>
      </c>
      <c r="AJ211" s="3">
        <v>40787</v>
      </c>
      <c r="AK211" s="5">
        <v>450.198699668828</v>
      </c>
      <c r="AL211" s="5">
        <v>429.32773990664299</v>
      </c>
    </row>
    <row r="212" spans="1:38" x14ac:dyDescent="0.25">
      <c r="A212" t="s">
        <v>22</v>
      </c>
      <c r="B212" s="1">
        <v>40148</v>
      </c>
      <c r="C212">
        <v>353</v>
      </c>
      <c r="D212">
        <v>27060927127.610001</v>
      </c>
      <c r="E212">
        <v>57.596542378112197</v>
      </c>
      <c r="T212" t="s">
        <v>22</v>
      </c>
      <c r="U212" s="1">
        <v>40148</v>
      </c>
      <c r="V212">
        <v>353</v>
      </c>
      <c r="W212">
        <v>27060927127.610001</v>
      </c>
      <c r="X212">
        <v>54.256265768974302</v>
      </c>
      <c r="AE212" s="3">
        <v>39630</v>
      </c>
      <c r="AF212" s="5">
        <v>124.70891254143299</v>
      </c>
      <c r="AG212" s="5">
        <v>58.315813476096899</v>
      </c>
      <c r="AH212" s="5">
        <f t="shared" si="3"/>
        <v>78.8975493090756</v>
      </c>
      <c r="AJ212" s="3">
        <v>40817</v>
      </c>
      <c r="AK212" s="5">
        <v>468.70826224111897</v>
      </c>
      <c r="AL212" s="5">
        <v>448.215981072273</v>
      </c>
    </row>
    <row r="213" spans="1:38" x14ac:dyDescent="0.25">
      <c r="A213" t="s">
        <v>24</v>
      </c>
      <c r="B213" s="1">
        <v>40148</v>
      </c>
      <c r="C213">
        <v>17</v>
      </c>
      <c r="D213">
        <v>106566395.2</v>
      </c>
      <c r="E213">
        <v>0.48012526158338997</v>
      </c>
      <c r="T213" t="s">
        <v>24</v>
      </c>
      <c r="U213" s="1">
        <v>40148</v>
      </c>
      <c r="V213">
        <v>17</v>
      </c>
      <c r="W213">
        <v>106566395.2</v>
      </c>
      <c r="X213">
        <v>0</v>
      </c>
      <c r="AE213" s="3">
        <v>39661</v>
      </c>
      <c r="AF213" s="5">
        <v>123.085035635572</v>
      </c>
      <c r="AG213" s="5">
        <v>57.570238039559598</v>
      </c>
      <c r="AH213" s="5">
        <f t="shared" si="3"/>
        <v>78.605814103648996</v>
      </c>
      <c r="AJ213" s="3">
        <v>40848</v>
      </c>
      <c r="AK213" s="5">
        <v>487.75750921597199</v>
      </c>
      <c r="AL213" s="5">
        <v>467.54545832834202</v>
      </c>
    </row>
    <row r="214" spans="1:38" x14ac:dyDescent="0.25">
      <c r="A214" t="s">
        <v>23</v>
      </c>
      <c r="B214" s="1">
        <v>40179</v>
      </c>
      <c r="C214">
        <v>275195</v>
      </c>
      <c r="D214">
        <v>1935480749969.53</v>
      </c>
      <c r="E214">
        <v>244.682642108903</v>
      </c>
      <c r="T214" t="s">
        <v>23</v>
      </c>
      <c r="U214" s="1">
        <v>40179</v>
      </c>
      <c r="V214">
        <v>275195</v>
      </c>
      <c r="W214">
        <v>1935480749969.53</v>
      </c>
      <c r="X214">
        <v>174.07338216993901</v>
      </c>
      <c r="AE214" s="3">
        <v>39692</v>
      </c>
      <c r="AF214" s="5">
        <v>121.692603913998</v>
      </c>
      <c r="AG214" s="5">
        <v>56.929971544460798</v>
      </c>
      <c r="AH214" s="5">
        <f t="shared" si="3"/>
        <v>77.837886555896603</v>
      </c>
      <c r="AJ214" s="3">
        <v>40878</v>
      </c>
      <c r="AK214" s="5">
        <v>508.87235068410399</v>
      </c>
      <c r="AL214" s="5">
        <v>488.919415136277</v>
      </c>
    </row>
    <row r="215" spans="1:38" x14ac:dyDescent="0.25">
      <c r="A215" t="s">
        <v>22</v>
      </c>
      <c r="B215" s="1">
        <v>40179</v>
      </c>
      <c r="C215">
        <v>414</v>
      </c>
      <c r="D215">
        <v>29069674532.27</v>
      </c>
      <c r="E215">
        <v>59.751528485308597</v>
      </c>
      <c r="T215" t="s">
        <v>22</v>
      </c>
      <c r="U215" s="1">
        <v>40179</v>
      </c>
      <c r="V215">
        <v>414</v>
      </c>
      <c r="W215">
        <v>29069674532.27</v>
      </c>
      <c r="X215">
        <v>56.396688101639697</v>
      </c>
      <c r="AE215" s="3">
        <v>39722</v>
      </c>
      <c r="AF215" s="5">
        <v>121.09275401073199</v>
      </c>
      <c r="AG215" s="5">
        <v>56.590043091997501</v>
      </c>
      <c r="AH215" s="5">
        <f t="shared" si="3"/>
        <v>78.429564400749797</v>
      </c>
      <c r="AJ215" s="3">
        <v>40909</v>
      </c>
      <c r="AK215" s="5">
        <v>531.91416706844996</v>
      </c>
      <c r="AL215" s="5">
        <v>512.17431205599598</v>
      </c>
    </row>
    <row r="216" spans="1:38" x14ac:dyDescent="0.25">
      <c r="A216" t="s">
        <v>24</v>
      </c>
      <c r="B216" s="1">
        <v>40179</v>
      </c>
      <c r="C216">
        <v>35</v>
      </c>
      <c r="D216">
        <v>234862672.03</v>
      </c>
      <c r="E216">
        <v>0.32101831082899901</v>
      </c>
      <c r="T216" t="s">
        <v>24</v>
      </c>
      <c r="U216" s="1">
        <v>40179</v>
      </c>
      <c r="V216">
        <v>35</v>
      </c>
      <c r="W216">
        <v>234862672.03</v>
      </c>
      <c r="X216">
        <v>0</v>
      </c>
      <c r="AE216" s="3">
        <v>39753</v>
      </c>
      <c r="AF216" s="5">
        <v>120.487471663715</v>
      </c>
      <c r="AG216" s="5">
        <v>56.309250616390699</v>
      </c>
      <c r="AH216" s="5">
        <f t="shared" si="3"/>
        <v>78.876855802182405</v>
      </c>
      <c r="AJ216" s="3">
        <v>40940</v>
      </c>
      <c r="AK216" s="5">
        <v>551.295311210872</v>
      </c>
      <c r="AL216" s="5">
        <v>531.91385767459803</v>
      </c>
    </row>
    <row r="217" spans="1:38" x14ac:dyDescent="0.25">
      <c r="A217" t="s">
        <v>23</v>
      </c>
      <c r="B217" s="1">
        <v>40210</v>
      </c>
      <c r="C217">
        <v>275240</v>
      </c>
      <c r="D217">
        <v>1926355203139.8799</v>
      </c>
      <c r="E217">
        <v>255.41107041852399</v>
      </c>
      <c r="T217" t="s">
        <v>23</v>
      </c>
      <c r="U217" s="1">
        <v>40210</v>
      </c>
      <c r="V217">
        <v>275240</v>
      </c>
      <c r="W217">
        <v>1926355203139.8799</v>
      </c>
      <c r="X217">
        <v>185.825144423388</v>
      </c>
      <c r="AE217" s="3">
        <v>39783</v>
      </c>
      <c r="AF217" s="5">
        <v>120.096721831167</v>
      </c>
      <c r="AG217" s="5">
        <v>56.139045583828498</v>
      </c>
      <c r="AH217" s="5">
        <f t="shared" si="3"/>
        <v>79.284068002090095</v>
      </c>
      <c r="AJ217" s="3">
        <v>40969</v>
      </c>
      <c r="AK217" s="5">
        <v>566.81589241041502</v>
      </c>
      <c r="AL217" s="5">
        <v>547.88976554188605</v>
      </c>
    </row>
    <row r="218" spans="1:38" x14ac:dyDescent="0.25">
      <c r="A218" t="s">
        <v>22</v>
      </c>
      <c r="B218" s="1">
        <v>40210</v>
      </c>
      <c r="C218">
        <v>458</v>
      </c>
      <c r="D218">
        <v>30591542409.349998</v>
      </c>
      <c r="E218">
        <v>60.3241018000951</v>
      </c>
      <c r="T218" t="s">
        <v>22</v>
      </c>
      <c r="U218" s="1">
        <v>40210</v>
      </c>
      <c r="V218">
        <v>458</v>
      </c>
      <c r="W218">
        <v>30591542409.349998</v>
      </c>
      <c r="X218">
        <v>56.894617898804697</v>
      </c>
      <c r="AE218" s="3">
        <v>39814</v>
      </c>
      <c r="AF218" s="5">
        <v>126.575085527139</v>
      </c>
      <c r="AG218" s="5">
        <v>58.176542228304498</v>
      </c>
      <c r="AH218" s="5">
        <f t="shared" si="3"/>
        <v>85.608324574413601</v>
      </c>
      <c r="AJ218" s="3">
        <v>41000</v>
      </c>
      <c r="AK218" s="5">
        <v>582.56776759953596</v>
      </c>
      <c r="AL218" s="5">
        <v>563.96306647850497</v>
      </c>
    </row>
    <row r="219" spans="1:38" x14ac:dyDescent="0.25">
      <c r="A219" t="s">
        <v>24</v>
      </c>
      <c r="B219" s="1">
        <v>40210</v>
      </c>
      <c r="C219">
        <v>52</v>
      </c>
      <c r="D219">
        <v>406767057.86000001</v>
      </c>
      <c r="E219">
        <v>0.225581910670488</v>
      </c>
      <c r="T219" t="s">
        <v>24</v>
      </c>
      <c r="U219" s="1">
        <v>40210</v>
      </c>
      <c r="V219">
        <v>52</v>
      </c>
      <c r="W219">
        <v>406767057.86000001</v>
      </c>
      <c r="X219">
        <v>0</v>
      </c>
      <c r="AE219" s="3">
        <v>39845</v>
      </c>
      <c r="AF219" s="5">
        <v>138.01338861023399</v>
      </c>
      <c r="AG219" s="5">
        <v>62.479729063371103</v>
      </c>
      <c r="AH219" s="5">
        <f t="shared" si="3"/>
        <v>95.200529415360506</v>
      </c>
      <c r="AJ219" s="3">
        <v>41030</v>
      </c>
      <c r="AK219" s="5">
        <v>599.34122865952804</v>
      </c>
      <c r="AL219" s="5">
        <v>580.99856875094997</v>
      </c>
    </row>
    <row r="220" spans="1:38" x14ac:dyDescent="0.25">
      <c r="A220" t="s">
        <v>23</v>
      </c>
      <c r="B220" s="1">
        <v>40238</v>
      </c>
      <c r="C220">
        <v>275437</v>
      </c>
      <c r="D220">
        <v>1923031361638.27</v>
      </c>
      <c r="E220">
        <v>266.16074912814298</v>
      </c>
      <c r="T220" t="s">
        <v>23</v>
      </c>
      <c r="U220" s="1">
        <v>40238</v>
      </c>
      <c r="V220">
        <v>275437</v>
      </c>
      <c r="W220">
        <v>1923031361638.27</v>
      </c>
      <c r="X220">
        <v>197.55213357036499</v>
      </c>
      <c r="AE220" s="3">
        <v>39873</v>
      </c>
      <c r="AF220" s="5">
        <v>145.66819679840501</v>
      </c>
      <c r="AG220" s="5">
        <v>65.554843239431406</v>
      </c>
      <c r="AH220" s="5">
        <f t="shared" si="3"/>
        <v>102.31471373420599</v>
      </c>
      <c r="AJ220" s="3">
        <v>41061</v>
      </c>
      <c r="AK220" s="5">
        <v>618.83459910105103</v>
      </c>
      <c r="AL220" s="5">
        <v>600.71688944682899</v>
      </c>
    </row>
    <row r="221" spans="1:38" x14ac:dyDescent="0.25">
      <c r="A221" t="s">
        <v>22</v>
      </c>
      <c r="B221" s="1">
        <v>40238</v>
      </c>
      <c r="C221">
        <v>489</v>
      </c>
      <c r="D221">
        <v>32188299766.919998</v>
      </c>
      <c r="E221">
        <v>61.4807085554677</v>
      </c>
      <c r="T221" t="s">
        <v>22</v>
      </c>
      <c r="U221" s="1">
        <v>40238</v>
      </c>
      <c r="V221">
        <v>489</v>
      </c>
      <c r="W221">
        <v>32188299766.919998</v>
      </c>
      <c r="X221">
        <v>57.823968520627297</v>
      </c>
      <c r="AE221" s="3">
        <v>39904</v>
      </c>
      <c r="AF221" s="5">
        <v>152.17805979007201</v>
      </c>
      <c r="AG221" s="5">
        <v>68.268746934619799</v>
      </c>
      <c r="AH221" s="5">
        <f t="shared" si="3"/>
        <v>108.847706227868</v>
      </c>
      <c r="AJ221" s="3">
        <v>41091</v>
      </c>
      <c r="AK221" s="5">
        <v>634.44374688916696</v>
      </c>
      <c r="AL221" s="5">
        <v>616.00009083640305</v>
      </c>
    </row>
    <row r="222" spans="1:38" x14ac:dyDescent="0.25">
      <c r="A222" t="s">
        <v>24</v>
      </c>
      <c r="B222" s="1">
        <v>40238</v>
      </c>
      <c r="C222">
        <v>66</v>
      </c>
      <c r="D222">
        <v>597072260.88</v>
      </c>
      <c r="E222">
        <v>0.18571924640176299</v>
      </c>
      <c r="T222" t="s">
        <v>24</v>
      </c>
      <c r="U222" s="1">
        <v>40238</v>
      </c>
      <c r="V222">
        <v>66</v>
      </c>
      <c r="W222">
        <v>597072260.88</v>
      </c>
      <c r="X222">
        <v>0</v>
      </c>
      <c r="AE222" s="3">
        <v>39934</v>
      </c>
      <c r="AF222" s="5">
        <v>163.303881183633</v>
      </c>
      <c r="AG222" s="5">
        <v>73.315152208214499</v>
      </c>
      <c r="AH222" s="5">
        <f t="shared" si="3"/>
        <v>117.80742443313601</v>
      </c>
      <c r="AJ222" s="3">
        <v>41122</v>
      </c>
      <c r="AK222" s="5">
        <v>656.98525579002603</v>
      </c>
      <c r="AL222" s="5">
        <v>638.03791882340602</v>
      </c>
    </row>
    <row r="223" spans="1:38" x14ac:dyDescent="0.25">
      <c r="A223" t="s">
        <v>23</v>
      </c>
      <c r="B223" s="1">
        <v>40269</v>
      </c>
      <c r="C223">
        <v>275562</v>
      </c>
      <c r="D223">
        <v>1915973684687.22</v>
      </c>
      <c r="E223">
        <v>277.08958899449402</v>
      </c>
      <c r="T223" t="s">
        <v>23</v>
      </c>
      <c r="U223" s="1">
        <v>40269</v>
      </c>
      <c r="V223">
        <v>275562</v>
      </c>
      <c r="W223">
        <v>1915973684687.22</v>
      </c>
      <c r="X223">
        <v>209.25876291568099</v>
      </c>
      <c r="AE223" s="3">
        <v>39965</v>
      </c>
      <c r="AF223" s="5">
        <v>175.30337348788601</v>
      </c>
      <c r="AG223" s="5">
        <v>90.424679800777696</v>
      </c>
      <c r="AH223" s="5">
        <f t="shared" si="3"/>
        <v>134.67127902460001</v>
      </c>
      <c r="AJ223" s="3">
        <v>41153</v>
      </c>
      <c r="AK223" s="5">
        <v>674.51724532197204</v>
      </c>
      <c r="AL223" s="5">
        <v>655.21551546296905</v>
      </c>
    </row>
    <row r="224" spans="1:38" x14ac:dyDescent="0.25">
      <c r="A224" t="s">
        <v>22</v>
      </c>
      <c r="B224" s="1">
        <v>40269</v>
      </c>
      <c r="C224">
        <v>523</v>
      </c>
      <c r="D224">
        <v>34019181733.130001</v>
      </c>
      <c r="E224">
        <v>62.235161820741503</v>
      </c>
      <c r="T224" t="s">
        <v>22</v>
      </c>
      <c r="U224" s="1">
        <v>40269</v>
      </c>
      <c r="V224">
        <v>523</v>
      </c>
      <c r="W224">
        <v>34019181733.130001</v>
      </c>
      <c r="X224">
        <v>58.360326040543001</v>
      </c>
      <c r="AE224" s="3">
        <v>39995</v>
      </c>
      <c r="AF224" s="5">
        <v>178.09386534768799</v>
      </c>
      <c r="AG224" s="5">
        <v>97.190728006618102</v>
      </c>
      <c r="AH224" s="5">
        <f t="shared" si="3"/>
        <v>139.57290022888401</v>
      </c>
      <c r="AJ224" s="3">
        <v>41183</v>
      </c>
      <c r="AK224" s="5">
        <v>695.97023140349802</v>
      </c>
      <c r="AL224" s="5">
        <v>676.226498477223</v>
      </c>
    </row>
    <row r="225" spans="1:38" x14ac:dyDescent="0.25">
      <c r="A225" t="s">
        <v>24</v>
      </c>
      <c r="B225" s="1">
        <v>40269</v>
      </c>
      <c r="C225">
        <v>83</v>
      </c>
      <c r="D225">
        <v>810653741.88</v>
      </c>
      <c r="E225">
        <v>0.16611416990135999</v>
      </c>
      <c r="T225" t="s">
        <v>24</v>
      </c>
      <c r="U225" s="1">
        <v>40269</v>
      </c>
      <c r="V225">
        <v>83</v>
      </c>
      <c r="W225">
        <v>810653741.88</v>
      </c>
      <c r="X225">
        <v>0</v>
      </c>
      <c r="AE225" s="3">
        <v>40026</v>
      </c>
      <c r="AF225" s="5">
        <v>185.41680261787801</v>
      </c>
      <c r="AG225" s="5">
        <v>107.386334731619</v>
      </c>
      <c r="AH225" s="5">
        <f t="shared" si="3"/>
        <v>148.23432581576699</v>
      </c>
      <c r="AJ225" s="3">
        <v>41214</v>
      </c>
      <c r="AK225" s="5">
        <v>713.536096710685</v>
      </c>
      <c r="AL225" s="5">
        <v>693.54144260590795</v>
      </c>
    </row>
    <row r="226" spans="1:38" x14ac:dyDescent="0.25">
      <c r="A226" t="s">
        <v>23</v>
      </c>
      <c r="B226" s="1">
        <v>40299</v>
      </c>
      <c r="C226">
        <v>274490</v>
      </c>
      <c r="D226">
        <v>1886014655841.54</v>
      </c>
      <c r="E226">
        <v>280.31661002775098</v>
      </c>
      <c r="T226" t="s">
        <v>23</v>
      </c>
      <c r="U226" s="1">
        <v>40299</v>
      </c>
      <c r="V226">
        <v>274490</v>
      </c>
      <c r="W226">
        <v>1886014655841.54</v>
      </c>
      <c r="X226">
        <v>214.23698631557801</v>
      </c>
      <c r="AE226" s="3">
        <v>40057</v>
      </c>
      <c r="AF226" s="5">
        <v>193.9662882202</v>
      </c>
      <c r="AG226" s="5">
        <v>118.111894572864</v>
      </c>
      <c r="AH226" s="5">
        <f t="shared" si="3"/>
        <v>156.38448064298501</v>
      </c>
      <c r="AJ226" s="3">
        <v>41244</v>
      </c>
      <c r="AK226" s="5">
        <v>724.78207567621803</v>
      </c>
      <c r="AL226" s="5">
        <v>704.73243867024996</v>
      </c>
    </row>
    <row r="227" spans="1:38" x14ac:dyDescent="0.25">
      <c r="A227" t="s">
        <v>22</v>
      </c>
      <c r="B227" s="1">
        <v>40299</v>
      </c>
      <c r="C227">
        <v>565</v>
      </c>
      <c r="D227">
        <v>34942230806.919998</v>
      </c>
      <c r="E227">
        <v>62.1780358171481</v>
      </c>
      <c r="T227" t="s">
        <v>22</v>
      </c>
      <c r="U227" s="1">
        <v>40299</v>
      </c>
      <c r="V227">
        <v>565</v>
      </c>
      <c r="W227">
        <v>34942230806.919998</v>
      </c>
      <c r="X227">
        <v>58.169430188909701</v>
      </c>
      <c r="AE227" s="3">
        <v>40087</v>
      </c>
      <c r="AF227" s="5">
        <v>204.769495997593</v>
      </c>
      <c r="AG227" s="5">
        <v>130.82481008693799</v>
      </c>
      <c r="AH227" s="5">
        <f t="shared" si="3"/>
        <v>167.86973595464099</v>
      </c>
      <c r="AJ227" s="3">
        <v>41275</v>
      </c>
      <c r="AK227" s="5">
        <v>747.05464298151401</v>
      </c>
      <c r="AL227" s="5">
        <v>726.61925535578303</v>
      </c>
    </row>
    <row r="228" spans="1:38" x14ac:dyDescent="0.25">
      <c r="A228" t="s">
        <v>24</v>
      </c>
      <c r="B228" s="1">
        <v>40299</v>
      </c>
      <c r="C228">
        <v>99</v>
      </c>
      <c r="D228">
        <v>1028774473.66</v>
      </c>
      <c r="E228">
        <v>0.13075737104861501</v>
      </c>
      <c r="T228" t="s">
        <v>24</v>
      </c>
      <c r="U228" s="1">
        <v>40299</v>
      </c>
      <c r="V228">
        <v>99</v>
      </c>
      <c r="W228">
        <v>1028774473.66</v>
      </c>
      <c r="X228">
        <v>0</v>
      </c>
      <c r="AE228" s="3">
        <v>40118</v>
      </c>
      <c r="AF228" s="5">
        <v>218.14875585241001</v>
      </c>
      <c r="AG228" s="5">
        <v>145.339401379203</v>
      </c>
      <c r="AH228" s="5">
        <f t="shared" si="3"/>
        <v>180.92905535228999</v>
      </c>
      <c r="AJ228" s="3">
        <v>41306</v>
      </c>
      <c r="AK228" s="5">
        <v>759.61460964686796</v>
      </c>
      <c r="AL228" s="5">
        <v>739.06007603560397</v>
      </c>
    </row>
    <row r="229" spans="1:38" x14ac:dyDescent="0.25">
      <c r="A229" t="s">
        <v>23</v>
      </c>
      <c r="B229" s="1">
        <v>40330</v>
      </c>
      <c r="C229">
        <v>274482</v>
      </c>
      <c r="D229">
        <v>1851844202005.27</v>
      </c>
      <c r="E229">
        <v>289.04500142225601</v>
      </c>
      <c r="T229" t="s">
        <v>23</v>
      </c>
      <c r="U229" s="1">
        <v>40330</v>
      </c>
      <c r="V229">
        <v>274482</v>
      </c>
      <c r="W229">
        <v>1851844202005.27</v>
      </c>
      <c r="X229">
        <v>223.85068377816401</v>
      </c>
      <c r="AE229" s="3">
        <v>40148</v>
      </c>
      <c r="AF229" s="5">
        <v>232.43522442437899</v>
      </c>
      <c r="AG229" s="5">
        <v>160.63402468849301</v>
      </c>
      <c r="AH229" s="5">
        <f t="shared" si="3"/>
        <v>194.901663695781</v>
      </c>
      <c r="AJ229" s="3">
        <v>41334</v>
      </c>
      <c r="AK229" s="5">
        <v>765.56967244850705</v>
      </c>
      <c r="AL229" s="5">
        <v>745.05382132692102</v>
      </c>
    </row>
    <row r="230" spans="1:38" x14ac:dyDescent="0.25">
      <c r="A230" t="s">
        <v>22</v>
      </c>
      <c r="B230" s="1">
        <v>40330</v>
      </c>
      <c r="C230">
        <v>596</v>
      </c>
      <c r="D230">
        <v>35952137084.459999</v>
      </c>
      <c r="E230">
        <v>65.056334736342393</v>
      </c>
      <c r="T230" t="s">
        <v>22</v>
      </c>
      <c r="U230" s="1">
        <v>40330</v>
      </c>
      <c r="V230">
        <v>596</v>
      </c>
      <c r="W230">
        <v>35952137084.459999</v>
      </c>
      <c r="X230">
        <v>60.584317696469299</v>
      </c>
      <c r="AE230" s="3">
        <v>40179</v>
      </c>
      <c r="AF230" s="5">
        <v>244.682642108903</v>
      </c>
      <c r="AG230" s="5">
        <v>174.07338216993901</v>
      </c>
      <c r="AH230" s="5">
        <f t="shared" si="3"/>
        <v>206.30192897398601</v>
      </c>
      <c r="AJ230" s="3">
        <v>41365</v>
      </c>
      <c r="AK230" s="5">
        <v>764.10078327109102</v>
      </c>
      <c r="AL230" s="5">
        <v>743.739762592494</v>
      </c>
    </row>
    <row r="231" spans="1:38" x14ac:dyDescent="0.25">
      <c r="A231" t="s">
        <v>24</v>
      </c>
      <c r="B231" s="1">
        <v>40330</v>
      </c>
      <c r="C231">
        <v>117</v>
      </c>
      <c r="D231">
        <v>1283914779.73</v>
      </c>
      <c r="E231">
        <v>0.104667908976119</v>
      </c>
      <c r="T231" t="s">
        <v>24</v>
      </c>
      <c r="U231" s="1">
        <v>40330</v>
      </c>
      <c r="V231">
        <v>117</v>
      </c>
      <c r="W231">
        <v>1283914779.73</v>
      </c>
      <c r="X231">
        <v>0</v>
      </c>
      <c r="AE231" s="3">
        <v>40210</v>
      </c>
      <c r="AF231" s="5">
        <v>255.41107041852399</v>
      </c>
      <c r="AG231" s="5">
        <v>185.825144423388</v>
      </c>
      <c r="AH231" s="5">
        <f t="shared" si="3"/>
        <v>216.43023429463</v>
      </c>
      <c r="AJ231" s="3">
        <v>41395</v>
      </c>
      <c r="AK231" s="5">
        <v>764.99685066312099</v>
      </c>
      <c r="AL231" s="5">
        <v>744.67121658412304</v>
      </c>
    </row>
    <row r="232" spans="1:38" x14ac:dyDescent="0.25">
      <c r="A232" t="s">
        <v>23</v>
      </c>
      <c r="B232" s="1">
        <v>40360</v>
      </c>
      <c r="C232">
        <v>274694</v>
      </c>
      <c r="D232">
        <v>1823788108779.51</v>
      </c>
      <c r="E232">
        <v>302.41413142220398</v>
      </c>
      <c r="T232" t="s">
        <v>23</v>
      </c>
      <c r="U232" s="1">
        <v>40360</v>
      </c>
      <c r="V232">
        <v>274694</v>
      </c>
      <c r="W232">
        <v>1823788108779.51</v>
      </c>
      <c r="X232">
        <v>237.246791594207</v>
      </c>
      <c r="AE232" s="3">
        <v>40238</v>
      </c>
      <c r="AF232" s="5">
        <v>266.16074912814298</v>
      </c>
      <c r="AG232" s="5">
        <v>197.55213357036499</v>
      </c>
      <c r="AH232" s="5">
        <f t="shared" si="3"/>
        <v>226.69528927584599</v>
      </c>
      <c r="AJ232" s="3">
        <v>41426</v>
      </c>
      <c r="AK232" s="5">
        <v>765.94570702590795</v>
      </c>
      <c r="AL232" s="5">
        <v>745.610924066454</v>
      </c>
    </row>
    <row r="233" spans="1:38" x14ac:dyDescent="0.25">
      <c r="A233" t="s">
        <v>22</v>
      </c>
      <c r="B233" s="1">
        <v>40360</v>
      </c>
      <c r="C233">
        <v>636</v>
      </c>
      <c r="D233">
        <v>36911796753.43</v>
      </c>
      <c r="E233">
        <v>71.920365827032498</v>
      </c>
      <c r="T233" t="s">
        <v>22</v>
      </c>
      <c r="U233" s="1">
        <v>40360</v>
      </c>
      <c r="V233">
        <v>636</v>
      </c>
      <c r="W233">
        <v>36911796753.43</v>
      </c>
      <c r="X233">
        <v>66.393766329051303</v>
      </c>
      <c r="AE233" s="3">
        <v>40269</v>
      </c>
      <c r="AF233" s="5">
        <v>277.08958899449402</v>
      </c>
      <c r="AG233" s="5">
        <v>209.25876291568099</v>
      </c>
      <c r="AH233" s="5">
        <f t="shared" si="3"/>
        <v>230.86922382364099</v>
      </c>
      <c r="AJ233" s="3">
        <v>41456</v>
      </c>
      <c r="AK233" s="5">
        <v>751.14390528662705</v>
      </c>
      <c r="AL233" s="5">
        <v>731.27187367586896</v>
      </c>
    </row>
    <row r="234" spans="1:38" x14ac:dyDescent="0.25">
      <c r="A234" t="s">
        <v>24</v>
      </c>
      <c r="B234" s="1">
        <v>40360</v>
      </c>
      <c r="C234">
        <v>135</v>
      </c>
      <c r="D234">
        <v>1489592023.8900001</v>
      </c>
      <c r="E234">
        <v>8.7774893331117307E-2</v>
      </c>
      <c r="T234" t="s">
        <v>24</v>
      </c>
      <c r="U234" s="1">
        <v>40360</v>
      </c>
      <c r="V234">
        <v>135</v>
      </c>
      <c r="W234">
        <v>1489592023.8900001</v>
      </c>
      <c r="X234">
        <v>0</v>
      </c>
      <c r="AE234" s="3">
        <v>40299</v>
      </c>
      <c r="AF234" s="5">
        <v>280.31661002775098</v>
      </c>
      <c r="AG234" s="5">
        <v>214.23698631557801</v>
      </c>
      <c r="AH234" s="5">
        <f t="shared" si="3"/>
        <v>238.41875111459001</v>
      </c>
      <c r="AJ234" s="3">
        <v>41487</v>
      </c>
      <c r="AK234" s="5">
        <v>735.52028110538902</v>
      </c>
      <c r="AL234" s="5">
        <v>716.16864058289502</v>
      </c>
    </row>
    <row r="235" spans="1:38" x14ac:dyDescent="0.25">
      <c r="A235" t="s">
        <v>23</v>
      </c>
      <c r="B235" s="1">
        <v>40391</v>
      </c>
      <c r="C235">
        <v>274934</v>
      </c>
      <c r="D235">
        <v>1816002763653.8401</v>
      </c>
      <c r="E235">
        <v>318.74267948661998</v>
      </c>
      <c r="T235" t="s">
        <v>23</v>
      </c>
      <c r="U235" s="1">
        <v>40391</v>
      </c>
      <c r="V235">
        <v>274934</v>
      </c>
      <c r="W235">
        <v>1816002763653.8401</v>
      </c>
      <c r="X235">
        <v>253.234953100279</v>
      </c>
      <c r="AE235" s="3">
        <v>40330</v>
      </c>
      <c r="AF235" s="5">
        <v>289.04500142225601</v>
      </c>
      <c r="AG235" s="5">
        <v>223.85068377816401</v>
      </c>
      <c r="AH235" s="5">
        <f t="shared" si="3"/>
        <v>248.94212149262299</v>
      </c>
      <c r="AJ235" s="3">
        <v>41518</v>
      </c>
      <c r="AK235" s="5">
        <v>716.841770575091</v>
      </c>
      <c r="AL235" s="5">
        <v>698.05641702828495</v>
      </c>
    </row>
    <row r="236" spans="1:38" x14ac:dyDescent="0.25">
      <c r="A236" t="s">
        <v>22</v>
      </c>
      <c r="B236" s="1">
        <v>40391</v>
      </c>
      <c r="C236">
        <v>682</v>
      </c>
      <c r="D236">
        <v>39233880521.379997</v>
      </c>
      <c r="E236">
        <v>78.434676384650501</v>
      </c>
      <c r="T236" t="s">
        <v>22</v>
      </c>
      <c r="U236" s="1">
        <v>40391</v>
      </c>
      <c r="V236">
        <v>682</v>
      </c>
      <c r="W236">
        <v>39233880521.379997</v>
      </c>
      <c r="X236">
        <v>71.899569577772397</v>
      </c>
      <c r="AE236" s="3">
        <v>40360</v>
      </c>
      <c r="AF236" s="5">
        <v>302.41413142220398</v>
      </c>
      <c r="AG236" s="5">
        <v>237.246791594207</v>
      </c>
      <c r="AH236" s="5">
        <f t="shared" si="3"/>
        <v>261.727658039669</v>
      </c>
      <c r="AJ236" s="3">
        <v>41548</v>
      </c>
      <c r="AK236" s="5">
        <v>703.76561108239105</v>
      </c>
      <c r="AL236" s="5">
        <v>685.36414873509</v>
      </c>
    </row>
    <row r="237" spans="1:38" x14ac:dyDescent="0.25">
      <c r="A237" t="s">
        <v>24</v>
      </c>
      <c r="B237" s="1">
        <v>40391</v>
      </c>
      <c r="C237">
        <v>156</v>
      </c>
      <c r="D237">
        <v>1693098544.05</v>
      </c>
      <c r="E237">
        <v>8.2587727447575296E-2</v>
      </c>
      <c r="T237" t="s">
        <v>24</v>
      </c>
      <c r="U237" s="1">
        <v>40391</v>
      </c>
      <c r="V237">
        <v>156</v>
      </c>
      <c r="W237">
        <v>1693098544.05</v>
      </c>
      <c r="X237">
        <v>0</v>
      </c>
      <c r="AE237" s="3">
        <v>40391</v>
      </c>
      <c r="AF237" s="5">
        <v>318.74267948661998</v>
      </c>
      <c r="AG237" s="5">
        <v>253.234953100279</v>
      </c>
      <c r="AH237" s="5">
        <f t="shared" si="3"/>
        <v>277.42506919795898</v>
      </c>
      <c r="AJ237" s="3">
        <v>41579</v>
      </c>
      <c r="AK237" s="5">
        <v>698.34414694911004</v>
      </c>
      <c r="AL237" s="5">
        <v>680.07648772960601</v>
      </c>
    </row>
    <row r="238" spans="1:38" x14ac:dyDescent="0.25">
      <c r="A238" t="s">
        <v>23</v>
      </c>
      <c r="B238" s="1">
        <v>40422</v>
      </c>
      <c r="C238">
        <v>275265</v>
      </c>
      <c r="D238">
        <v>1809160523507.3899</v>
      </c>
      <c r="E238">
        <v>337.17779529131599</v>
      </c>
      <c r="T238" t="s">
        <v>23</v>
      </c>
      <c r="U238" s="1">
        <v>40422</v>
      </c>
      <c r="V238">
        <v>275265</v>
      </c>
      <c r="W238">
        <v>1809160523507.3899</v>
      </c>
      <c r="X238">
        <v>270.94507749243201</v>
      </c>
      <c r="AE238" s="3">
        <v>40422</v>
      </c>
      <c r="AF238" s="5">
        <v>337.17779529131599</v>
      </c>
      <c r="AG238" s="5">
        <v>270.94507749243201</v>
      </c>
      <c r="AH238" s="5">
        <f t="shared" si="3"/>
        <v>295.87878156334602</v>
      </c>
      <c r="AJ238" s="3">
        <v>41609</v>
      </c>
      <c r="AK238" s="5">
        <v>692.28957406291499</v>
      </c>
      <c r="AL238" s="5">
        <v>674.40781469614603</v>
      </c>
    </row>
    <row r="239" spans="1:38" x14ac:dyDescent="0.25">
      <c r="A239" t="s">
        <v>22</v>
      </c>
      <c r="B239" s="1">
        <v>40422</v>
      </c>
      <c r="C239">
        <v>731</v>
      </c>
      <c r="D239">
        <v>41226846111.760002</v>
      </c>
      <c r="E239">
        <v>87.166522230573193</v>
      </c>
      <c r="T239" t="s">
        <v>22</v>
      </c>
      <c r="U239" s="1">
        <v>40422</v>
      </c>
      <c r="V239">
        <v>731</v>
      </c>
      <c r="W239">
        <v>41226846111.760002</v>
      </c>
      <c r="X239">
        <v>79.657367097569804</v>
      </c>
      <c r="AE239" s="3">
        <v>40452</v>
      </c>
      <c r="AF239" s="5">
        <v>354.30703705179002</v>
      </c>
      <c r="AG239" s="5">
        <v>287.523224174446</v>
      </c>
      <c r="AH239" s="5">
        <f t="shared" si="3"/>
        <v>313.89928910530398</v>
      </c>
      <c r="AJ239" s="3">
        <v>41640</v>
      </c>
      <c r="AK239" s="5">
        <v>684.48256454748696</v>
      </c>
      <c r="AL239" s="5">
        <v>667.01982260955003</v>
      </c>
    </row>
    <row r="240" spans="1:38" x14ac:dyDescent="0.25">
      <c r="A240" t="s">
        <v>24</v>
      </c>
      <c r="B240" s="1">
        <v>40422</v>
      </c>
      <c r="C240">
        <v>178</v>
      </c>
      <c r="D240">
        <v>1929687214.6600001</v>
      </c>
      <c r="E240">
        <v>8.3798517381121998E-2</v>
      </c>
      <c r="T240" t="s">
        <v>24</v>
      </c>
      <c r="U240" s="1">
        <v>40422</v>
      </c>
      <c r="V240">
        <v>178</v>
      </c>
      <c r="W240">
        <v>1929687214.6600001</v>
      </c>
      <c r="X240">
        <v>0</v>
      </c>
      <c r="AE240" s="3">
        <v>40483</v>
      </c>
      <c r="AF240" s="5">
        <v>373.19353374010001</v>
      </c>
      <c r="AG240" s="5">
        <v>305.41082595754699</v>
      </c>
      <c r="AH240" s="5">
        <f t="shared" si="3"/>
        <v>333.68759744787098</v>
      </c>
      <c r="AJ240" s="3">
        <v>41671</v>
      </c>
      <c r="AK240" s="5">
        <v>676.66801530276598</v>
      </c>
      <c r="AL240" s="5">
        <v>659.56092025686905</v>
      </c>
    </row>
    <row r="241" spans="1:38" x14ac:dyDescent="0.25">
      <c r="A241" t="s">
        <v>23</v>
      </c>
      <c r="B241" s="1">
        <v>40452</v>
      </c>
      <c r="C241">
        <v>275759</v>
      </c>
      <c r="D241">
        <v>1806620806982.2</v>
      </c>
      <c r="E241">
        <v>354.30703705179002</v>
      </c>
      <c r="T241" t="s">
        <v>23</v>
      </c>
      <c r="U241" s="1">
        <v>40452</v>
      </c>
      <c r="V241">
        <v>275759</v>
      </c>
      <c r="W241">
        <v>1806620806982.2</v>
      </c>
      <c r="X241">
        <v>287.523224174446</v>
      </c>
      <c r="AE241" s="3">
        <v>40513</v>
      </c>
      <c r="AF241" s="5">
        <v>389.17434625708597</v>
      </c>
      <c r="AG241" s="5">
        <v>320.62388440472103</v>
      </c>
      <c r="AH241" s="5">
        <f t="shared" si="3"/>
        <v>350.53772033319598</v>
      </c>
      <c r="AJ241" s="3">
        <v>41699</v>
      </c>
      <c r="AK241" s="5">
        <v>672.17232859710805</v>
      </c>
      <c r="AL241" s="5">
        <v>655.34296464728595</v>
      </c>
    </row>
    <row r="242" spans="1:38" x14ac:dyDescent="0.25">
      <c r="A242" t="s">
        <v>22</v>
      </c>
      <c r="B242" s="1">
        <v>40452</v>
      </c>
      <c r="C242">
        <v>783</v>
      </c>
      <c r="D242">
        <v>43877710701.519997</v>
      </c>
      <c r="E242">
        <v>93.542073706470603</v>
      </c>
      <c r="T242" t="s">
        <v>22</v>
      </c>
      <c r="U242" s="1">
        <v>40452</v>
      </c>
      <c r="V242">
        <v>783</v>
      </c>
      <c r="W242">
        <v>43877710701.519997</v>
      </c>
      <c r="X242">
        <v>85.304453833365201</v>
      </c>
      <c r="AE242" s="3">
        <v>40544</v>
      </c>
      <c r="AF242" s="5">
        <v>395.26867400662502</v>
      </c>
      <c r="AG242" s="5">
        <v>327.48338431042498</v>
      </c>
      <c r="AH242" s="5">
        <f t="shared" si="3"/>
        <v>358.426827953832</v>
      </c>
      <c r="AJ242" s="3">
        <v>41730</v>
      </c>
      <c r="AK242" s="5">
        <v>670.384491717061</v>
      </c>
      <c r="AL242" s="5">
        <v>653.58111716835697</v>
      </c>
    </row>
    <row r="243" spans="1:38" x14ac:dyDescent="0.25">
      <c r="A243" t="s">
        <v>24</v>
      </c>
      <c r="B243" s="1">
        <v>40452</v>
      </c>
      <c r="C243">
        <v>196</v>
      </c>
      <c r="D243">
        <v>2275609818.98</v>
      </c>
      <c r="E243">
        <v>8.1063263805223995E-2</v>
      </c>
      <c r="T243" t="s">
        <v>24</v>
      </c>
      <c r="U243" s="1">
        <v>40452</v>
      </c>
      <c r="V243">
        <v>196</v>
      </c>
      <c r="W243">
        <v>2275609818.98</v>
      </c>
      <c r="X243">
        <v>0</v>
      </c>
      <c r="AE243" s="3">
        <v>40575</v>
      </c>
      <c r="AF243" s="5">
        <v>401.17668456168002</v>
      </c>
      <c r="AG243" s="5">
        <v>334.11514017885003</v>
      </c>
      <c r="AH243" s="5">
        <f t="shared" si="3"/>
        <v>364.46715383647501</v>
      </c>
      <c r="AJ243" s="3">
        <v>41760</v>
      </c>
      <c r="AK243" s="5">
        <v>666.43286400783302</v>
      </c>
      <c r="AL243" s="5">
        <v>649.68410469425601</v>
      </c>
    </row>
    <row r="244" spans="1:38" x14ac:dyDescent="0.25">
      <c r="A244" t="s">
        <v>23</v>
      </c>
      <c r="B244" s="1">
        <v>40483</v>
      </c>
      <c r="C244">
        <v>276421</v>
      </c>
      <c r="D244">
        <v>1800298888880.73</v>
      </c>
      <c r="E244">
        <v>373.19353374010001</v>
      </c>
      <c r="T244" t="s">
        <v>23</v>
      </c>
      <c r="U244" s="1">
        <v>40483</v>
      </c>
      <c r="V244">
        <v>276421</v>
      </c>
      <c r="W244">
        <v>1800298888880.73</v>
      </c>
      <c r="X244">
        <v>305.41082595754699</v>
      </c>
      <c r="AE244" s="3">
        <v>40603</v>
      </c>
      <c r="AF244" s="5">
        <v>404.25895166477</v>
      </c>
      <c r="AG244" s="5">
        <v>338.280309980992</v>
      </c>
      <c r="AH244" s="5">
        <f t="shared" si="3"/>
        <v>367.08195062699002</v>
      </c>
      <c r="AJ244" s="3">
        <v>41791</v>
      </c>
      <c r="AK244" s="5">
        <v>664.69980563757599</v>
      </c>
      <c r="AL244" s="5">
        <v>647.879089848082</v>
      </c>
    </row>
    <row r="245" spans="1:38" x14ac:dyDescent="0.25">
      <c r="A245" t="s">
        <v>22</v>
      </c>
      <c r="B245" s="1">
        <v>40483</v>
      </c>
      <c r="C245">
        <v>843</v>
      </c>
      <c r="D245">
        <v>46125972276.830002</v>
      </c>
      <c r="E245">
        <v>101.666114829721</v>
      </c>
      <c r="T245" t="s">
        <v>22</v>
      </c>
      <c r="U245" s="1">
        <v>40483</v>
      </c>
      <c r="V245">
        <v>843</v>
      </c>
      <c r="W245">
        <v>46125972276.830002</v>
      </c>
      <c r="X245">
        <v>92.542633733228399</v>
      </c>
      <c r="AE245" s="3">
        <v>40634</v>
      </c>
      <c r="AF245" s="5">
        <v>407.89075041725499</v>
      </c>
      <c r="AG245" s="5">
        <v>342.85883582360498</v>
      </c>
      <c r="AH245" s="5">
        <f t="shared" si="3"/>
        <v>374.54973485581098</v>
      </c>
      <c r="AJ245" s="3">
        <v>41821</v>
      </c>
      <c r="AK245" s="5">
        <v>662.075403877383</v>
      </c>
      <c r="AL245" s="5">
        <v>645.210909291711</v>
      </c>
    </row>
    <row r="246" spans="1:38" x14ac:dyDescent="0.25">
      <c r="A246" t="s">
        <v>24</v>
      </c>
      <c r="B246" s="1">
        <v>40483</v>
      </c>
      <c r="C246">
        <v>217</v>
      </c>
      <c r="D246">
        <v>2589769137.29</v>
      </c>
      <c r="E246">
        <v>8.8173911752106704E-2</v>
      </c>
      <c r="T246" t="s">
        <v>24</v>
      </c>
      <c r="U246" s="1">
        <v>40483</v>
      </c>
      <c r="V246">
        <v>217</v>
      </c>
      <c r="W246">
        <v>2589769137.29</v>
      </c>
      <c r="X246">
        <v>0</v>
      </c>
      <c r="AE246" s="3">
        <v>40664</v>
      </c>
      <c r="AF246" s="5">
        <v>413.39892236514697</v>
      </c>
      <c r="AG246" s="5">
        <v>348.90195461920899</v>
      </c>
      <c r="AH246" s="5">
        <f t="shared" si="3"/>
        <v>380.81887777678702</v>
      </c>
      <c r="AJ246" s="3">
        <v>41852</v>
      </c>
      <c r="AK246" s="5">
        <v>659.71024280803999</v>
      </c>
      <c r="AL246" s="5">
        <v>642.76902569574804</v>
      </c>
    </row>
    <row r="247" spans="1:38" x14ac:dyDescent="0.25">
      <c r="A247" t="s">
        <v>23</v>
      </c>
      <c r="B247" s="1">
        <v>40513</v>
      </c>
      <c r="C247">
        <v>277266</v>
      </c>
      <c r="D247">
        <v>1792464139799.6499</v>
      </c>
      <c r="E247">
        <v>389.17434625708597</v>
      </c>
      <c r="T247" t="s">
        <v>23</v>
      </c>
      <c r="U247" s="1">
        <v>40513</v>
      </c>
      <c r="V247">
        <v>277266</v>
      </c>
      <c r="W247">
        <v>1792464139799.6499</v>
      </c>
      <c r="X247">
        <v>320.62388440472103</v>
      </c>
      <c r="AE247" s="3">
        <v>40695</v>
      </c>
      <c r="AF247" s="5">
        <v>422.71936045472199</v>
      </c>
      <c r="AG247" s="5">
        <v>357.95294976351198</v>
      </c>
      <c r="AH247" s="5">
        <f t="shared" si="3"/>
        <v>390.56468045331599</v>
      </c>
      <c r="AJ247" s="3">
        <v>41883</v>
      </c>
      <c r="AK247" s="5">
        <v>654.15727526874605</v>
      </c>
      <c r="AL247" s="5">
        <v>637.23237313323</v>
      </c>
    </row>
    <row r="248" spans="1:38" x14ac:dyDescent="0.25">
      <c r="A248" t="s">
        <v>22</v>
      </c>
      <c r="B248" s="1">
        <v>40513</v>
      </c>
      <c r="C248">
        <v>896</v>
      </c>
      <c r="D248">
        <v>48366176627.93</v>
      </c>
      <c r="E248">
        <v>105.823183075226</v>
      </c>
      <c r="T248" t="s">
        <v>22</v>
      </c>
      <c r="U248" s="1">
        <v>40513</v>
      </c>
      <c r="V248">
        <v>896</v>
      </c>
      <c r="W248">
        <v>48366176627.93</v>
      </c>
      <c r="X248">
        <v>95.749681003782797</v>
      </c>
      <c r="AE248" s="3">
        <v>40725</v>
      </c>
      <c r="AF248" s="5">
        <v>433.54910851368498</v>
      </c>
      <c r="AG248" s="5">
        <v>368.08830653055298</v>
      </c>
      <c r="AH248" s="5">
        <f t="shared" si="3"/>
        <v>402.10195514477698</v>
      </c>
      <c r="AJ248" s="3">
        <v>41913</v>
      </c>
      <c r="AK248" s="5">
        <v>649.49729153355804</v>
      </c>
      <c r="AL248" s="5">
        <v>632.57356396276498</v>
      </c>
    </row>
    <row r="249" spans="1:38" x14ac:dyDescent="0.25">
      <c r="A249" t="s">
        <v>24</v>
      </c>
      <c r="B249" s="1">
        <v>40513</v>
      </c>
      <c r="C249">
        <v>236</v>
      </c>
      <c r="D249">
        <v>2951365460.7199998</v>
      </c>
      <c r="E249">
        <v>8.8252045109364505E-2</v>
      </c>
      <c r="T249" t="s">
        <v>24</v>
      </c>
      <c r="U249" s="1">
        <v>40513</v>
      </c>
      <c r="V249">
        <v>236</v>
      </c>
      <c r="W249">
        <v>2951365460.7199998</v>
      </c>
      <c r="X249">
        <v>0</v>
      </c>
      <c r="AE249" s="3">
        <v>40756</v>
      </c>
      <c r="AF249" s="5">
        <v>444.68456527934302</v>
      </c>
      <c r="AG249" s="5">
        <v>378.43051447262701</v>
      </c>
      <c r="AH249" s="5">
        <f t="shared" si="3"/>
        <v>413.59174371674499</v>
      </c>
      <c r="AJ249" s="3">
        <v>41944</v>
      </c>
      <c r="AK249" s="5">
        <v>646.21962683922595</v>
      </c>
      <c r="AL249" s="5">
        <v>629.24248594360597</v>
      </c>
    </row>
    <row r="250" spans="1:38" x14ac:dyDescent="0.25">
      <c r="A250" t="s">
        <v>23</v>
      </c>
      <c r="B250" s="1">
        <v>40544</v>
      </c>
      <c r="C250">
        <v>278078</v>
      </c>
      <c r="D250">
        <v>1786702401571.8401</v>
      </c>
      <c r="E250">
        <v>395.26867400662502</v>
      </c>
      <c r="T250" t="s">
        <v>23</v>
      </c>
      <c r="U250" s="1">
        <v>40544</v>
      </c>
      <c r="V250">
        <v>278078</v>
      </c>
      <c r="W250">
        <v>1786702401571.8401</v>
      </c>
      <c r="X250">
        <v>327.48338431042498</v>
      </c>
      <c r="AE250" s="3">
        <v>40787</v>
      </c>
      <c r="AF250" s="5">
        <v>460.67966645700102</v>
      </c>
      <c r="AG250" s="5">
        <v>392.57297836115202</v>
      </c>
      <c r="AH250" s="5">
        <f t="shared" si="3"/>
        <v>429.32773990664299</v>
      </c>
      <c r="AJ250" s="3">
        <v>41974</v>
      </c>
      <c r="AK250" s="5">
        <v>644.23745909282195</v>
      </c>
      <c r="AL250" s="5">
        <v>627.175782626515</v>
      </c>
    </row>
    <row r="251" spans="1:38" x14ac:dyDescent="0.25">
      <c r="A251" t="s">
        <v>22</v>
      </c>
      <c r="B251" s="1">
        <v>40544</v>
      </c>
      <c r="C251">
        <v>949</v>
      </c>
      <c r="D251">
        <v>50759303463</v>
      </c>
      <c r="E251">
        <v>99.989594692918402</v>
      </c>
      <c r="T251" t="s">
        <v>22</v>
      </c>
      <c r="U251" s="1">
        <v>40544</v>
      </c>
      <c r="V251">
        <v>949</v>
      </c>
      <c r="W251">
        <v>50759303463</v>
      </c>
      <c r="X251">
        <v>89.611901152502796</v>
      </c>
      <c r="AE251" s="3">
        <v>40817</v>
      </c>
      <c r="AF251" s="5">
        <v>479.35715312221902</v>
      </c>
      <c r="AG251" s="5">
        <v>408.85795114946302</v>
      </c>
      <c r="AH251" s="5">
        <f t="shared" si="3"/>
        <v>448.215981072273</v>
      </c>
      <c r="AJ251" s="3">
        <v>42005</v>
      </c>
      <c r="AK251" s="5">
        <v>647.41495682305595</v>
      </c>
      <c r="AL251" s="5">
        <v>630.09389627889698</v>
      </c>
    </row>
    <row r="252" spans="1:38" x14ac:dyDescent="0.25">
      <c r="A252" t="s">
        <v>24</v>
      </c>
      <c r="B252" s="1">
        <v>40544</v>
      </c>
      <c r="C252">
        <v>259</v>
      </c>
      <c r="D252">
        <v>3379401993.3099999</v>
      </c>
      <c r="E252">
        <v>7.6971531877015303E-2</v>
      </c>
      <c r="T252" t="s">
        <v>24</v>
      </c>
      <c r="U252" s="1">
        <v>40544</v>
      </c>
      <c r="V252">
        <v>259</v>
      </c>
      <c r="W252">
        <v>3379401993.3099999</v>
      </c>
      <c r="X252">
        <v>0</v>
      </c>
      <c r="AE252" s="3">
        <v>40848</v>
      </c>
      <c r="AF252" s="5">
        <v>499.02199680696299</v>
      </c>
      <c r="AG252" s="5">
        <v>425.968912579495</v>
      </c>
      <c r="AH252" s="5">
        <f t="shared" si="3"/>
        <v>467.54545832834202</v>
      </c>
      <c r="AJ252" s="3">
        <v>42036</v>
      </c>
      <c r="AK252" s="5">
        <v>653.24988446499697</v>
      </c>
      <c r="AL252" s="5">
        <v>635.82888644838602</v>
      </c>
    </row>
    <row r="253" spans="1:38" x14ac:dyDescent="0.25">
      <c r="A253" t="s">
        <v>23</v>
      </c>
      <c r="B253" s="1">
        <v>40575</v>
      </c>
      <c r="C253">
        <v>278395</v>
      </c>
      <c r="D253">
        <v>1774777092612.05</v>
      </c>
      <c r="E253">
        <v>401.17668456168002</v>
      </c>
      <c r="T253" t="s">
        <v>23</v>
      </c>
      <c r="U253" s="1">
        <v>40575</v>
      </c>
      <c r="V253">
        <v>278395</v>
      </c>
      <c r="W253">
        <v>1774777092612.05</v>
      </c>
      <c r="X253">
        <v>334.11514017885003</v>
      </c>
      <c r="AE253" s="3">
        <v>40878</v>
      </c>
      <c r="AF253" s="5">
        <v>518.52355014971704</v>
      </c>
      <c r="AG253" s="5">
        <v>442.88219266934198</v>
      </c>
      <c r="AH253" s="5">
        <f t="shared" si="3"/>
        <v>488.919415136277</v>
      </c>
      <c r="AJ253" s="3">
        <v>42064</v>
      </c>
      <c r="AK253" s="5">
        <v>656.56218752353698</v>
      </c>
      <c r="AL253" s="5">
        <v>639.16127896912496</v>
      </c>
    </row>
    <row r="254" spans="1:38" x14ac:dyDescent="0.25">
      <c r="A254" t="s">
        <v>22</v>
      </c>
      <c r="B254" s="1">
        <v>40575</v>
      </c>
      <c r="C254">
        <v>1009</v>
      </c>
      <c r="D254">
        <v>52653026516.040001</v>
      </c>
      <c r="E254">
        <v>94.445431601527602</v>
      </c>
      <c r="T254" t="s">
        <v>22</v>
      </c>
      <c r="U254" s="1">
        <v>40575</v>
      </c>
      <c r="V254">
        <v>1009</v>
      </c>
      <c r="W254">
        <v>52653026516.040001</v>
      </c>
      <c r="X254">
        <v>83.851690465771796</v>
      </c>
      <c r="AE254" s="3">
        <v>40909</v>
      </c>
      <c r="AF254" s="5">
        <v>534.06817472760099</v>
      </c>
      <c r="AG254" s="5">
        <v>456.38912042155198</v>
      </c>
      <c r="AH254" s="5">
        <f t="shared" si="3"/>
        <v>512.17431205599598</v>
      </c>
      <c r="AJ254" s="3">
        <v>42095</v>
      </c>
      <c r="AK254" s="5">
        <v>662.36673240305197</v>
      </c>
      <c r="AL254" s="5">
        <v>644.82146556106204</v>
      </c>
    </row>
    <row r="255" spans="1:38" x14ac:dyDescent="0.25">
      <c r="A255" t="s">
        <v>24</v>
      </c>
      <c r="B255" s="1">
        <v>40575</v>
      </c>
      <c r="C255">
        <v>279</v>
      </c>
      <c r="D255">
        <v>3849888136.0700002</v>
      </c>
      <c r="E255">
        <v>6.7492856884783306E-2</v>
      </c>
      <c r="T255" t="s">
        <v>24</v>
      </c>
      <c r="U255" s="1">
        <v>40575</v>
      </c>
      <c r="V255">
        <v>279</v>
      </c>
      <c r="W255">
        <v>3849888136.0700002</v>
      </c>
      <c r="X255">
        <v>0</v>
      </c>
      <c r="AE255" s="3">
        <v>40940</v>
      </c>
      <c r="AF255" s="5">
        <v>552.03686360071799</v>
      </c>
      <c r="AG255" s="5">
        <v>471.86853414432102</v>
      </c>
      <c r="AH255" s="5">
        <f t="shared" si="3"/>
        <v>531.91385767459803</v>
      </c>
      <c r="AJ255" s="3">
        <v>42125</v>
      </c>
      <c r="AK255" s="5">
        <v>664.17191217349796</v>
      </c>
      <c r="AL255" s="5">
        <v>646.55646301511797</v>
      </c>
    </row>
    <row r="256" spans="1:38" x14ac:dyDescent="0.25">
      <c r="A256" t="s">
        <v>23</v>
      </c>
      <c r="B256" s="1">
        <v>40603</v>
      </c>
      <c r="C256">
        <v>278900</v>
      </c>
      <c r="D256">
        <v>1768365158153.76</v>
      </c>
      <c r="E256">
        <v>404.25895166477</v>
      </c>
      <c r="T256" t="s">
        <v>23</v>
      </c>
      <c r="U256" s="1">
        <v>40603</v>
      </c>
      <c r="V256">
        <v>278900</v>
      </c>
      <c r="W256">
        <v>1768365158153.76</v>
      </c>
      <c r="X256">
        <v>338.280309980992</v>
      </c>
      <c r="AE256" s="3">
        <v>40969</v>
      </c>
      <c r="AF256" s="5">
        <v>569.06609756761895</v>
      </c>
      <c r="AG256" s="5">
        <v>486.47569614838602</v>
      </c>
      <c r="AH256" s="5">
        <f t="shared" si="3"/>
        <v>547.88976554188605</v>
      </c>
      <c r="AJ256" s="3">
        <v>42156</v>
      </c>
      <c r="AK256" s="5">
        <v>661.32392022301099</v>
      </c>
      <c r="AL256" s="5">
        <v>643.70062543102699</v>
      </c>
    </row>
    <row r="257" spans="1:38" x14ac:dyDescent="0.25">
      <c r="A257" t="s">
        <v>22</v>
      </c>
      <c r="B257" s="1">
        <v>40603</v>
      </c>
      <c r="C257">
        <v>1046</v>
      </c>
      <c r="D257">
        <v>54091880308.709999</v>
      </c>
      <c r="E257">
        <v>90.396391492837296</v>
      </c>
      <c r="T257" t="s">
        <v>22</v>
      </c>
      <c r="U257" s="1">
        <v>40603</v>
      </c>
      <c r="V257">
        <v>1046</v>
      </c>
      <c r="W257">
        <v>54091880308.709999</v>
      </c>
      <c r="X257">
        <v>79.784906171070304</v>
      </c>
      <c r="AE257" s="3">
        <v>41000</v>
      </c>
      <c r="AF257" s="5">
        <v>576.984380408059</v>
      </c>
      <c r="AG257" s="5">
        <v>493.40071780423301</v>
      </c>
      <c r="AH257" s="5">
        <f t="shared" si="3"/>
        <v>563.96306647850497</v>
      </c>
      <c r="AJ257" s="3">
        <v>42186</v>
      </c>
      <c r="AK257" s="5">
        <v>654.43698267178399</v>
      </c>
      <c r="AL257" s="5">
        <v>636.906754672788</v>
      </c>
    </row>
    <row r="258" spans="1:38" x14ac:dyDescent="0.25">
      <c r="A258" t="s">
        <v>24</v>
      </c>
      <c r="B258" s="1">
        <v>40603</v>
      </c>
      <c r="C258">
        <v>297</v>
      </c>
      <c r="D258">
        <v>4348110845.5</v>
      </c>
      <c r="E258">
        <v>5.9694932427499403E-2</v>
      </c>
      <c r="T258" t="s">
        <v>24</v>
      </c>
      <c r="U258" s="1">
        <v>40603</v>
      </c>
      <c r="V258">
        <v>297</v>
      </c>
      <c r="W258">
        <v>4348110845.5</v>
      </c>
      <c r="X258">
        <v>0</v>
      </c>
      <c r="AE258" s="3">
        <v>41030</v>
      </c>
      <c r="AF258" s="5">
        <v>593.11894878672297</v>
      </c>
      <c r="AG258" s="5">
        <v>507.53313789267497</v>
      </c>
      <c r="AH258" s="5">
        <f t="shared" si="3"/>
        <v>580.99856875094997</v>
      </c>
      <c r="AJ258" s="3">
        <v>42217</v>
      </c>
      <c r="AK258" s="5">
        <v>646.87389067944696</v>
      </c>
      <c r="AL258" s="5">
        <v>629.45496636714699</v>
      </c>
    </row>
    <row r="259" spans="1:38" x14ac:dyDescent="0.25">
      <c r="A259" t="s">
        <v>23</v>
      </c>
      <c r="B259" s="1">
        <v>40634</v>
      </c>
      <c r="C259">
        <v>279791</v>
      </c>
      <c r="D259">
        <v>1771693715295.3601</v>
      </c>
      <c r="E259">
        <v>407.89075041725499</v>
      </c>
      <c r="T259" t="s">
        <v>23</v>
      </c>
      <c r="U259" s="1">
        <v>40634</v>
      </c>
      <c r="V259">
        <v>279791</v>
      </c>
      <c r="W259">
        <v>1771693715295.3601</v>
      </c>
      <c r="X259">
        <v>342.85883582360498</v>
      </c>
      <c r="AE259" s="3">
        <v>41061</v>
      </c>
      <c r="AF259" s="5">
        <v>605.54481435770003</v>
      </c>
      <c r="AG259" s="5">
        <v>518.69179042698704</v>
      </c>
      <c r="AH259" s="5">
        <f t="shared" si="3"/>
        <v>600.71688944682899</v>
      </c>
      <c r="AJ259" s="3">
        <v>42248</v>
      </c>
      <c r="AK259" s="5">
        <v>643.82448734262402</v>
      </c>
      <c r="AL259" s="5">
        <v>626.09512299882704</v>
      </c>
    </row>
    <row r="260" spans="1:38" x14ac:dyDescent="0.25">
      <c r="A260" t="s">
        <v>22</v>
      </c>
      <c r="B260" s="1">
        <v>40634</v>
      </c>
      <c r="C260">
        <v>1107</v>
      </c>
      <c r="D260">
        <v>55452548932.449997</v>
      </c>
      <c r="E260">
        <v>88.601222381465206</v>
      </c>
      <c r="T260" t="s">
        <v>22</v>
      </c>
      <c r="U260" s="1">
        <v>40634</v>
      </c>
      <c r="V260">
        <v>1107</v>
      </c>
      <c r="W260">
        <v>55452548932.449997</v>
      </c>
      <c r="X260">
        <v>77.521839788173594</v>
      </c>
      <c r="AE260" s="3">
        <v>41091</v>
      </c>
      <c r="AF260" s="5">
        <v>622.49743415937905</v>
      </c>
      <c r="AG260" s="5">
        <v>534.38959518644901</v>
      </c>
      <c r="AH260" s="5">
        <f t="shared" si="3"/>
        <v>616.00009083640305</v>
      </c>
      <c r="AJ260" s="3">
        <v>42278</v>
      </c>
      <c r="AK260" s="5">
        <v>639.98383388572699</v>
      </c>
      <c r="AL260" s="5">
        <v>621.97046728061696</v>
      </c>
    </row>
    <row r="261" spans="1:38" x14ac:dyDescent="0.25">
      <c r="A261" t="s">
        <v>24</v>
      </c>
      <c r="B261" s="1">
        <v>40634</v>
      </c>
      <c r="C261">
        <v>323</v>
      </c>
      <c r="D261">
        <v>4929321160.3199997</v>
      </c>
      <c r="E261">
        <v>5.2583262240604597E-2</v>
      </c>
      <c r="T261" t="s">
        <v>24</v>
      </c>
      <c r="U261" s="1">
        <v>40634</v>
      </c>
      <c r="V261">
        <v>323</v>
      </c>
      <c r="W261">
        <v>4929321160.3199997</v>
      </c>
      <c r="X261">
        <v>0</v>
      </c>
      <c r="AE261" s="3">
        <v>41122</v>
      </c>
      <c r="AF261" s="5">
        <v>639.67996353962599</v>
      </c>
      <c r="AG261" s="5">
        <v>550.61592956228503</v>
      </c>
      <c r="AH261" s="5">
        <f t="shared" ref="AH261:AH277" si="4">VLOOKUP(AE261,AJ:AL,3,0)</f>
        <v>638.03791882340602</v>
      </c>
      <c r="AJ261" s="3">
        <v>42309</v>
      </c>
      <c r="AK261" s="5">
        <v>639.36412548450096</v>
      </c>
      <c r="AL261" s="5">
        <v>621.01821855342905</v>
      </c>
    </row>
    <row r="262" spans="1:38" x14ac:dyDescent="0.25">
      <c r="A262" t="s">
        <v>23</v>
      </c>
      <c r="B262" s="1">
        <v>40664</v>
      </c>
      <c r="C262">
        <v>280244</v>
      </c>
      <c r="D262">
        <v>1762890974623.96</v>
      </c>
      <c r="E262">
        <v>413.39892236514697</v>
      </c>
      <c r="T262" t="s">
        <v>23</v>
      </c>
      <c r="U262" s="1">
        <v>40664</v>
      </c>
      <c r="V262">
        <v>280244</v>
      </c>
      <c r="W262">
        <v>1762890974623.96</v>
      </c>
      <c r="X262">
        <v>348.90195461920899</v>
      </c>
      <c r="AE262" s="3">
        <v>41153</v>
      </c>
      <c r="AF262" s="5">
        <v>653.69854055610995</v>
      </c>
      <c r="AG262" s="5">
        <v>564.03394458094601</v>
      </c>
      <c r="AH262" s="5">
        <f t="shared" si="4"/>
        <v>655.21551546296905</v>
      </c>
      <c r="AJ262" s="3">
        <v>42339</v>
      </c>
      <c r="AK262" s="5">
        <v>637.31831129475597</v>
      </c>
      <c r="AL262" s="5">
        <v>618.69121121969295</v>
      </c>
    </row>
    <row r="263" spans="1:38" x14ac:dyDescent="0.25">
      <c r="A263" t="s">
        <v>22</v>
      </c>
      <c r="B263" s="1">
        <v>40664</v>
      </c>
      <c r="C263">
        <v>1145</v>
      </c>
      <c r="D263">
        <v>56144173209.129997</v>
      </c>
      <c r="E263">
        <v>88.303567396259993</v>
      </c>
      <c r="T263" t="s">
        <v>22</v>
      </c>
      <c r="U263" s="1">
        <v>40664</v>
      </c>
      <c r="V263">
        <v>1145</v>
      </c>
      <c r="W263">
        <v>56144173209.129997</v>
      </c>
      <c r="X263">
        <v>76.561600970052098</v>
      </c>
      <c r="AE263" s="3">
        <v>41183</v>
      </c>
      <c r="AF263" s="5">
        <v>668.00666639783299</v>
      </c>
      <c r="AG263" s="5">
        <v>577.96787966310205</v>
      </c>
      <c r="AH263" s="5">
        <f t="shared" si="4"/>
        <v>676.226498477223</v>
      </c>
      <c r="AJ263" s="3">
        <v>42370</v>
      </c>
      <c r="AK263" s="5">
        <v>636.06150829973797</v>
      </c>
      <c r="AL263" s="5">
        <v>617.13466274150096</v>
      </c>
    </row>
    <row r="264" spans="1:38" x14ac:dyDescent="0.25">
      <c r="A264" t="s">
        <v>24</v>
      </c>
      <c r="B264" s="1">
        <v>40664</v>
      </c>
      <c r="C264">
        <v>350</v>
      </c>
      <c r="D264">
        <v>5479584254.1499996</v>
      </c>
      <c r="E264">
        <v>4.7251523728875602E-2</v>
      </c>
      <c r="T264" t="s">
        <v>24</v>
      </c>
      <c r="U264" s="1">
        <v>40664</v>
      </c>
      <c r="V264">
        <v>350</v>
      </c>
      <c r="W264">
        <v>5479584254.1499996</v>
      </c>
      <c r="X264">
        <v>0</v>
      </c>
      <c r="AE264" s="3">
        <v>41214</v>
      </c>
      <c r="AF264" s="5">
        <v>690.40388560978602</v>
      </c>
      <c r="AG264" s="5">
        <v>599.20982463912503</v>
      </c>
      <c r="AH264" s="5">
        <f t="shared" si="4"/>
        <v>693.54144260590795</v>
      </c>
      <c r="AJ264" s="3">
        <v>42401</v>
      </c>
      <c r="AK264" s="5">
        <v>635.72725812532201</v>
      </c>
      <c r="AL264" s="5">
        <v>616.50526343668798</v>
      </c>
    </row>
    <row r="265" spans="1:38" x14ac:dyDescent="0.25">
      <c r="A265" t="s">
        <v>23</v>
      </c>
      <c r="B265" s="1">
        <v>40695</v>
      </c>
      <c r="C265">
        <v>280629</v>
      </c>
      <c r="D265">
        <v>1756163628422.04</v>
      </c>
      <c r="E265">
        <v>422.71936045472199</v>
      </c>
      <c r="T265" t="s">
        <v>23</v>
      </c>
      <c r="U265" s="1">
        <v>40695</v>
      </c>
      <c r="V265">
        <v>280629</v>
      </c>
      <c r="W265">
        <v>1756163628422.04</v>
      </c>
      <c r="X265">
        <v>357.95294976351198</v>
      </c>
      <c r="AE265" s="3">
        <v>41244</v>
      </c>
      <c r="AF265" s="5">
        <v>698.16136744196297</v>
      </c>
      <c r="AG265" s="5">
        <v>607.50726816404995</v>
      </c>
      <c r="AH265" s="5">
        <f t="shared" si="4"/>
        <v>704.73243867024996</v>
      </c>
      <c r="AJ265" s="3">
        <v>42430</v>
      </c>
      <c r="AK265" s="5">
        <v>641.05199043084201</v>
      </c>
      <c r="AL265" s="5">
        <v>621.40523994562602</v>
      </c>
    </row>
    <row r="266" spans="1:38" x14ac:dyDescent="0.25">
      <c r="A266" t="s">
        <v>22</v>
      </c>
      <c r="B266" s="1">
        <v>40695</v>
      </c>
      <c r="C266">
        <v>1174</v>
      </c>
      <c r="D266">
        <v>56713020697.900002</v>
      </c>
      <c r="E266">
        <v>91.906045682089001</v>
      </c>
      <c r="T266" t="s">
        <v>22</v>
      </c>
      <c r="U266" s="1">
        <v>40695</v>
      </c>
      <c r="V266">
        <v>1174</v>
      </c>
      <c r="W266">
        <v>56713020697.900002</v>
      </c>
      <c r="X266">
        <v>78.764362600077405</v>
      </c>
      <c r="AE266" s="3">
        <v>41275</v>
      </c>
      <c r="AF266" s="5">
        <v>715.27680659579005</v>
      </c>
      <c r="AG266" s="5">
        <v>622.033666668872</v>
      </c>
      <c r="AH266" s="5">
        <f t="shared" si="4"/>
        <v>726.61925535578303</v>
      </c>
      <c r="AJ266" s="3">
        <v>42461</v>
      </c>
      <c r="AK266" s="5">
        <v>646.13716997658798</v>
      </c>
      <c r="AL266" s="5">
        <v>625.99994313622506</v>
      </c>
    </row>
    <row r="267" spans="1:38" x14ac:dyDescent="0.25">
      <c r="A267" t="s">
        <v>24</v>
      </c>
      <c r="B267" s="1">
        <v>40695</v>
      </c>
      <c r="C267">
        <v>376</v>
      </c>
      <c r="D267">
        <v>5898298960.6400003</v>
      </c>
      <c r="E267">
        <v>4.4019407053417899E-2</v>
      </c>
      <c r="T267" t="s">
        <v>24</v>
      </c>
      <c r="U267" s="1">
        <v>40695</v>
      </c>
      <c r="V267">
        <v>376</v>
      </c>
      <c r="W267">
        <v>5898298960.6400003</v>
      </c>
      <c r="X267">
        <v>0</v>
      </c>
      <c r="AE267" s="3">
        <v>41306</v>
      </c>
      <c r="AF267" s="5">
        <v>723.56810921209001</v>
      </c>
      <c r="AG267" s="5">
        <v>628.62106908960902</v>
      </c>
      <c r="AH267" s="5">
        <f t="shared" si="4"/>
        <v>739.06007603560397</v>
      </c>
      <c r="AJ267" s="3">
        <v>42491</v>
      </c>
      <c r="AK267" s="5">
        <v>652.08162898713601</v>
      </c>
      <c r="AL267" s="5">
        <v>631.38287267109195</v>
      </c>
    </row>
    <row r="268" spans="1:38" x14ac:dyDescent="0.25">
      <c r="A268" t="s">
        <v>23</v>
      </c>
      <c r="B268" s="1">
        <v>40725</v>
      </c>
      <c r="C268">
        <v>281075</v>
      </c>
      <c r="D268">
        <v>1752854091034.3601</v>
      </c>
      <c r="E268">
        <v>433.54910851368498</v>
      </c>
      <c r="T268" t="s">
        <v>23</v>
      </c>
      <c r="U268" s="1">
        <v>40725</v>
      </c>
      <c r="V268">
        <v>281075</v>
      </c>
      <c r="W268">
        <v>1752854091034.3601</v>
      </c>
      <c r="X268">
        <v>368.08830653055298</v>
      </c>
      <c r="AE268" s="3">
        <v>41334</v>
      </c>
      <c r="AF268" s="5">
        <v>726.22136923694302</v>
      </c>
      <c r="AG268" s="5">
        <v>630.16829176683802</v>
      </c>
      <c r="AH268" s="5">
        <f t="shared" si="4"/>
        <v>745.05382132692102</v>
      </c>
      <c r="AJ268" s="3">
        <v>42522</v>
      </c>
      <c r="AK268" s="5">
        <v>655.78438859935795</v>
      </c>
      <c r="AL268" s="5">
        <v>634.56144491735404</v>
      </c>
    </row>
    <row r="269" spans="1:38" x14ac:dyDescent="0.25">
      <c r="A269" t="s">
        <v>22</v>
      </c>
      <c r="B269" s="1">
        <v>40725</v>
      </c>
      <c r="C269">
        <v>1216</v>
      </c>
      <c r="D269">
        <v>57606973208.239998</v>
      </c>
      <c r="E269">
        <v>97.504253366250694</v>
      </c>
      <c r="T269" t="s">
        <v>22</v>
      </c>
      <c r="U269" s="1">
        <v>40725</v>
      </c>
      <c r="V269">
        <v>1216</v>
      </c>
      <c r="W269">
        <v>57606973208.239998</v>
      </c>
      <c r="X269">
        <v>82.867554251279302</v>
      </c>
      <c r="AE269" s="3">
        <v>41365</v>
      </c>
      <c r="AF269" s="5">
        <v>731.26866347573605</v>
      </c>
      <c r="AG269" s="5">
        <v>633.86008212267996</v>
      </c>
      <c r="AH269" s="5">
        <f t="shared" si="4"/>
        <v>743.739762592494</v>
      </c>
      <c r="AJ269" s="3">
        <v>42552</v>
      </c>
      <c r="AK269" s="5">
        <v>659.60578974607495</v>
      </c>
      <c r="AL269" s="5">
        <v>637.89670513216197</v>
      </c>
    </row>
    <row r="270" spans="1:38" x14ac:dyDescent="0.25">
      <c r="A270" t="s">
        <v>24</v>
      </c>
      <c r="B270" s="1">
        <v>40725</v>
      </c>
      <c r="C270">
        <v>398</v>
      </c>
      <c r="D270">
        <v>6434083171.8299999</v>
      </c>
      <c r="E270">
        <v>4.2265865016984101E-2</v>
      </c>
      <c r="T270" t="s">
        <v>24</v>
      </c>
      <c r="U270" s="1">
        <v>40725</v>
      </c>
      <c r="V270">
        <v>398</v>
      </c>
      <c r="W270">
        <v>6434083171.8299999</v>
      </c>
      <c r="X270">
        <v>0</v>
      </c>
      <c r="AE270" s="3">
        <v>41395</v>
      </c>
      <c r="AF270" s="5">
        <v>735.23529069617496</v>
      </c>
      <c r="AG270" s="5">
        <v>636.39248731055898</v>
      </c>
      <c r="AH270" s="5">
        <f t="shared" si="4"/>
        <v>744.67121658412304</v>
      </c>
      <c r="AJ270" s="3">
        <v>42583</v>
      </c>
      <c r="AK270" s="5">
        <v>664.220479628259</v>
      </c>
      <c r="AL270" s="5">
        <v>642.05309637272796</v>
      </c>
    </row>
    <row r="271" spans="1:38" x14ac:dyDescent="0.25">
      <c r="A271" t="s">
        <v>23</v>
      </c>
      <c r="B271" s="1">
        <v>40756</v>
      </c>
      <c r="C271">
        <v>281434</v>
      </c>
      <c r="D271">
        <v>1742063298538.3899</v>
      </c>
      <c r="E271">
        <v>444.68456527934302</v>
      </c>
      <c r="T271" t="s">
        <v>23</v>
      </c>
      <c r="U271" s="1">
        <v>40756</v>
      </c>
      <c r="V271">
        <v>281434</v>
      </c>
      <c r="W271">
        <v>1742063298538.3899</v>
      </c>
      <c r="X271">
        <v>378.43051447262701</v>
      </c>
      <c r="AE271" s="3">
        <v>41426</v>
      </c>
      <c r="AF271" s="5">
        <v>733.04077211610297</v>
      </c>
      <c r="AG271" s="5">
        <v>633.55465323159603</v>
      </c>
      <c r="AH271" s="5">
        <f t="shared" si="4"/>
        <v>745.610924066454</v>
      </c>
      <c r="AJ271" s="3">
        <v>42614</v>
      </c>
      <c r="AK271" s="5">
        <v>667.74549805829201</v>
      </c>
      <c r="AL271" s="5">
        <v>645.20654956741203</v>
      </c>
    </row>
    <row r="272" spans="1:38" x14ac:dyDescent="0.25">
      <c r="A272" t="s">
        <v>22</v>
      </c>
      <c r="B272" s="1">
        <v>40756</v>
      </c>
      <c r="C272">
        <v>1268</v>
      </c>
      <c r="D272">
        <v>58408841241.650002</v>
      </c>
      <c r="E272">
        <v>101.892979457701</v>
      </c>
      <c r="T272" t="s">
        <v>22</v>
      </c>
      <c r="U272" s="1">
        <v>40756</v>
      </c>
      <c r="V272">
        <v>1268</v>
      </c>
      <c r="W272">
        <v>58408841241.650002</v>
      </c>
      <c r="X272">
        <v>86.037621934994803</v>
      </c>
      <c r="AE272" s="3">
        <v>41456</v>
      </c>
      <c r="AF272" s="5">
        <v>720.77303970881303</v>
      </c>
      <c r="AG272" s="5">
        <v>622.09356513536204</v>
      </c>
      <c r="AH272" s="5">
        <f t="shared" si="4"/>
        <v>731.27187367586896</v>
      </c>
      <c r="AJ272" s="3">
        <v>42644</v>
      </c>
      <c r="AK272" s="5">
        <v>669.389418513603</v>
      </c>
      <c r="AL272" s="5">
        <v>646.56014305045198</v>
      </c>
    </row>
    <row r="273" spans="1:38" x14ac:dyDescent="0.25">
      <c r="A273" t="s">
        <v>24</v>
      </c>
      <c r="B273" s="1">
        <v>40756</v>
      </c>
      <c r="C273">
        <v>417</v>
      </c>
      <c r="D273">
        <v>6872090576.5200005</v>
      </c>
      <c r="E273">
        <v>4.65725180473886E-2</v>
      </c>
      <c r="T273" t="s">
        <v>24</v>
      </c>
      <c r="U273" s="1">
        <v>40756</v>
      </c>
      <c r="V273">
        <v>417</v>
      </c>
      <c r="W273">
        <v>6872090576.5200005</v>
      </c>
      <c r="X273">
        <v>0</v>
      </c>
      <c r="AE273" s="3">
        <v>41487</v>
      </c>
      <c r="AF273" s="5">
        <v>702.74934343969005</v>
      </c>
      <c r="AG273" s="5">
        <v>605.75441068210398</v>
      </c>
      <c r="AH273" s="5">
        <f t="shared" si="4"/>
        <v>716.16864058289502</v>
      </c>
      <c r="AJ273" s="3">
        <v>42675</v>
      </c>
      <c r="AK273" s="5">
        <v>673.33270063044495</v>
      </c>
      <c r="AL273" s="5">
        <v>650.15620133660104</v>
      </c>
    </row>
    <row r="274" spans="1:38" x14ac:dyDescent="0.25">
      <c r="A274" t="s">
        <v>23</v>
      </c>
      <c r="B274" s="1">
        <v>40787</v>
      </c>
      <c r="C274">
        <v>281942</v>
      </c>
      <c r="D274">
        <v>1736000312551.3601</v>
      </c>
      <c r="E274">
        <v>460.67966645700102</v>
      </c>
      <c r="T274" t="s">
        <v>23</v>
      </c>
      <c r="U274" s="1">
        <v>40787</v>
      </c>
      <c r="V274">
        <v>281942</v>
      </c>
      <c r="W274">
        <v>1736000312551.3601</v>
      </c>
      <c r="X274">
        <v>392.57297836115202</v>
      </c>
      <c r="AE274" s="3">
        <v>41518</v>
      </c>
      <c r="AF274" s="5">
        <v>684.38518572650196</v>
      </c>
      <c r="AG274" s="5">
        <v>589.033879196783</v>
      </c>
      <c r="AH274" s="5">
        <f t="shared" si="4"/>
        <v>698.05641702828495</v>
      </c>
    </row>
    <row r="275" spans="1:38" x14ac:dyDescent="0.25">
      <c r="A275" t="s">
        <v>22</v>
      </c>
      <c r="B275" s="1">
        <v>40787</v>
      </c>
      <c r="C275">
        <v>1327</v>
      </c>
      <c r="D275">
        <v>59412547411.709999</v>
      </c>
      <c r="E275">
        <v>111.80566448134999</v>
      </c>
      <c r="T275" t="s">
        <v>22</v>
      </c>
      <c r="U275" s="1">
        <v>40787</v>
      </c>
      <c r="V275">
        <v>1327</v>
      </c>
      <c r="W275">
        <v>59412547411.709999</v>
      </c>
      <c r="X275">
        <v>94.840895006817306</v>
      </c>
      <c r="AE275" s="3">
        <v>41548</v>
      </c>
      <c r="AF275" s="5">
        <v>669.07392451142596</v>
      </c>
      <c r="AG275" s="5">
        <v>574.92400237441996</v>
      </c>
      <c r="AH275" s="5">
        <f t="shared" si="4"/>
        <v>685.36414873509</v>
      </c>
    </row>
    <row r="276" spans="1:38" x14ac:dyDescent="0.25">
      <c r="A276" t="s">
        <v>24</v>
      </c>
      <c r="B276" s="1">
        <v>40787</v>
      </c>
      <c r="C276">
        <v>437</v>
      </c>
      <c r="D276">
        <v>7393854531.21</v>
      </c>
      <c r="E276">
        <v>6.8889209513225899E-2</v>
      </c>
      <c r="T276" t="s">
        <v>24</v>
      </c>
      <c r="U276" s="1">
        <v>40787</v>
      </c>
      <c r="V276">
        <v>437</v>
      </c>
      <c r="W276">
        <v>7393854531.21</v>
      </c>
      <c r="X276">
        <v>0</v>
      </c>
      <c r="AE276" s="3">
        <v>41579</v>
      </c>
      <c r="AF276" s="5">
        <v>660.823926683639</v>
      </c>
      <c r="AG276" s="5">
        <v>566.77917523128099</v>
      </c>
      <c r="AH276" s="5">
        <f t="shared" si="4"/>
        <v>680.07648772960601</v>
      </c>
    </row>
    <row r="277" spans="1:38" x14ac:dyDescent="0.25">
      <c r="A277" t="s">
        <v>23</v>
      </c>
      <c r="B277" s="1">
        <v>40817</v>
      </c>
      <c r="C277">
        <v>282590</v>
      </c>
      <c r="D277">
        <v>1730062143723.8999</v>
      </c>
      <c r="E277">
        <v>479.35715312221902</v>
      </c>
      <c r="T277" t="s">
        <v>23</v>
      </c>
      <c r="U277" s="1">
        <v>40817</v>
      </c>
      <c r="V277">
        <v>282590</v>
      </c>
      <c r="W277">
        <v>1730062143723.8999</v>
      </c>
      <c r="X277">
        <v>408.85795114946302</v>
      </c>
      <c r="AE277" s="3">
        <v>41609</v>
      </c>
      <c r="AF277" s="5">
        <v>654.00607018513494</v>
      </c>
      <c r="AG277" s="5">
        <v>559.94922089150896</v>
      </c>
      <c r="AH277" s="5">
        <f t="shared" si="4"/>
        <v>674.40781469614603</v>
      </c>
    </row>
    <row r="278" spans="1:38" x14ac:dyDescent="0.25">
      <c r="A278" t="s">
        <v>22</v>
      </c>
      <c r="B278" s="1">
        <v>40817</v>
      </c>
      <c r="C278">
        <v>1392</v>
      </c>
      <c r="D278">
        <v>60879463797.669998</v>
      </c>
      <c r="E278">
        <v>124.27176286334399</v>
      </c>
      <c r="T278" t="s">
        <v>22</v>
      </c>
      <c r="U278" s="1">
        <v>40817</v>
      </c>
      <c r="V278">
        <v>1392</v>
      </c>
      <c r="W278">
        <v>60879463797.669998</v>
      </c>
      <c r="X278">
        <v>106.429803353048</v>
      </c>
    </row>
    <row r="279" spans="1:38" x14ac:dyDescent="0.25">
      <c r="A279" t="s">
        <v>24</v>
      </c>
      <c r="B279" s="1">
        <v>40817</v>
      </c>
      <c r="C279">
        <v>461</v>
      </c>
      <c r="D279">
        <v>7990816564.1599998</v>
      </c>
      <c r="E279">
        <v>0.117437341444491</v>
      </c>
      <c r="T279" t="s">
        <v>24</v>
      </c>
      <c r="U279" s="1">
        <v>40817</v>
      </c>
      <c r="V279">
        <v>461</v>
      </c>
      <c r="W279">
        <v>7990816564.1599998</v>
      </c>
      <c r="X279">
        <v>0</v>
      </c>
    </row>
    <row r="280" spans="1:38" x14ac:dyDescent="0.25">
      <c r="A280" t="s">
        <v>23</v>
      </c>
      <c r="B280" s="1">
        <v>40848</v>
      </c>
      <c r="C280">
        <v>283012</v>
      </c>
      <c r="D280">
        <v>1716111353814.28</v>
      </c>
      <c r="E280">
        <v>499.02199680696299</v>
      </c>
      <c r="T280" t="s">
        <v>23</v>
      </c>
      <c r="U280" s="1">
        <v>40848</v>
      </c>
      <c r="V280">
        <v>283012</v>
      </c>
      <c r="W280">
        <v>1716111353814.28</v>
      </c>
      <c r="X280">
        <v>425.968912579495</v>
      </c>
    </row>
    <row r="281" spans="1:38" x14ac:dyDescent="0.25">
      <c r="A281" t="s">
        <v>22</v>
      </c>
      <c r="B281" s="1">
        <v>40848</v>
      </c>
      <c r="C281">
        <v>1471</v>
      </c>
      <c r="D281">
        <v>61528554510.57</v>
      </c>
      <c r="E281">
        <v>132.97804205374899</v>
      </c>
      <c r="T281" t="s">
        <v>22</v>
      </c>
      <c r="U281" s="1">
        <v>40848</v>
      </c>
      <c r="V281">
        <v>1471</v>
      </c>
      <c r="W281">
        <v>61528554510.57</v>
      </c>
      <c r="X281">
        <v>114.588165992667</v>
      </c>
    </row>
    <row r="282" spans="1:38" x14ac:dyDescent="0.25">
      <c r="A282" t="s">
        <v>24</v>
      </c>
      <c r="B282" s="1">
        <v>40848</v>
      </c>
      <c r="C282">
        <v>487</v>
      </c>
      <c r="D282">
        <v>8517165199.3299999</v>
      </c>
      <c r="E282">
        <v>0.15559635969707</v>
      </c>
      <c r="T282" t="s">
        <v>24</v>
      </c>
      <c r="U282" s="1">
        <v>40848</v>
      </c>
      <c r="V282">
        <v>487</v>
      </c>
      <c r="W282">
        <v>8517165199.3299999</v>
      </c>
      <c r="X282">
        <v>0</v>
      </c>
    </row>
    <row r="283" spans="1:38" x14ac:dyDescent="0.25">
      <c r="A283" t="s">
        <v>23</v>
      </c>
      <c r="B283" s="1">
        <v>40878</v>
      </c>
      <c r="C283">
        <v>283516</v>
      </c>
      <c r="D283">
        <v>1704192012667.5601</v>
      </c>
      <c r="E283">
        <v>518.52355014971704</v>
      </c>
      <c r="T283" t="s">
        <v>23</v>
      </c>
      <c r="U283" s="1">
        <v>40878</v>
      </c>
      <c r="V283">
        <v>283516</v>
      </c>
      <c r="W283">
        <v>1704192012667.5601</v>
      </c>
      <c r="X283">
        <v>442.88219266934198</v>
      </c>
    </row>
    <row r="284" spans="1:38" x14ac:dyDescent="0.25">
      <c r="A284" t="s">
        <v>22</v>
      </c>
      <c r="B284" s="1">
        <v>40878</v>
      </c>
      <c r="C284">
        <v>1523</v>
      </c>
      <c r="D284">
        <v>63432840444.580002</v>
      </c>
      <c r="E284">
        <v>141.63890301728</v>
      </c>
      <c r="T284" t="s">
        <v>22</v>
      </c>
      <c r="U284" s="1">
        <v>40878</v>
      </c>
      <c r="V284">
        <v>1523</v>
      </c>
      <c r="W284">
        <v>63432840444.580002</v>
      </c>
      <c r="X284">
        <v>122.599467292063</v>
      </c>
    </row>
    <row r="285" spans="1:38" x14ac:dyDescent="0.25">
      <c r="A285" t="s">
        <v>24</v>
      </c>
      <c r="B285" s="1">
        <v>40878</v>
      </c>
      <c r="C285">
        <v>514</v>
      </c>
      <c r="D285">
        <v>9074021450.3299999</v>
      </c>
      <c r="E285">
        <v>0.22726623749574301</v>
      </c>
      <c r="T285" t="s">
        <v>24</v>
      </c>
      <c r="U285" s="1">
        <v>40878</v>
      </c>
      <c r="V285">
        <v>514</v>
      </c>
      <c r="W285">
        <v>9074021450.3299999</v>
      </c>
      <c r="X285">
        <v>0</v>
      </c>
    </row>
    <row r="286" spans="1:38" x14ac:dyDescent="0.25">
      <c r="A286" t="s">
        <v>23</v>
      </c>
      <c r="B286" s="1">
        <v>40909</v>
      </c>
      <c r="C286">
        <v>284179</v>
      </c>
      <c r="D286">
        <v>1704718198742.55</v>
      </c>
      <c r="E286">
        <v>534.06817472760099</v>
      </c>
      <c r="T286" t="s">
        <v>23</v>
      </c>
      <c r="U286" s="1">
        <v>40909</v>
      </c>
      <c r="V286">
        <v>284179</v>
      </c>
      <c r="W286">
        <v>1704718198742.55</v>
      </c>
      <c r="X286">
        <v>456.38912042155198</v>
      </c>
    </row>
    <row r="287" spans="1:38" x14ac:dyDescent="0.25">
      <c r="A287" t="s">
        <v>22</v>
      </c>
      <c r="B287" s="1">
        <v>40909</v>
      </c>
      <c r="C287">
        <v>1561</v>
      </c>
      <c r="D287">
        <v>63431287348.879997</v>
      </c>
      <c r="E287">
        <v>154.54832395225</v>
      </c>
      <c r="T287" t="s">
        <v>22</v>
      </c>
      <c r="U287" s="1">
        <v>40909</v>
      </c>
      <c r="V287">
        <v>1561</v>
      </c>
      <c r="W287">
        <v>63431287348.879997</v>
      </c>
      <c r="X287">
        <v>134.33384587294799</v>
      </c>
    </row>
    <row r="288" spans="1:38" x14ac:dyDescent="0.25">
      <c r="A288" t="s">
        <v>24</v>
      </c>
      <c r="B288" s="1">
        <v>40909</v>
      </c>
      <c r="C288">
        <v>537</v>
      </c>
      <c r="D288">
        <v>9400322582.2900009</v>
      </c>
      <c r="E288">
        <v>0.32223042180827</v>
      </c>
      <c r="T288" t="s">
        <v>24</v>
      </c>
      <c r="U288" s="1">
        <v>40909</v>
      </c>
      <c r="V288">
        <v>537</v>
      </c>
      <c r="W288">
        <v>9400322582.2900009</v>
      </c>
      <c r="X288">
        <v>0</v>
      </c>
    </row>
    <row r="289" spans="1:24" x14ac:dyDescent="0.25">
      <c r="A289" t="s">
        <v>23</v>
      </c>
      <c r="B289" s="1">
        <v>40940</v>
      </c>
      <c r="C289">
        <v>284757</v>
      </c>
      <c r="D289">
        <v>1695810438281.72</v>
      </c>
      <c r="E289">
        <v>552.03686360071799</v>
      </c>
      <c r="T289" t="s">
        <v>23</v>
      </c>
      <c r="U289" s="1">
        <v>40940</v>
      </c>
      <c r="V289">
        <v>284757</v>
      </c>
      <c r="W289">
        <v>1695810438281.72</v>
      </c>
      <c r="X289">
        <v>471.86853414432102</v>
      </c>
    </row>
    <row r="290" spans="1:24" x14ac:dyDescent="0.25">
      <c r="A290" t="s">
        <v>22</v>
      </c>
      <c r="B290" s="1">
        <v>40940</v>
      </c>
      <c r="C290">
        <v>1581</v>
      </c>
      <c r="D290">
        <v>63028905485.379997</v>
      </c>
      <c r="E290">
        <v>167.93553505627099</v>
      </c>
      <c r="T290" t="s">
        <v>22</v>
      </c>
      <c r="U290" s="1">
        <v>40940</v>
      </c>
      <c r="V290">
        <v>1581</v>
      </c>
      <c r="W290">
        <v>63028905485.379997</v>
      </c>
      <c r="X290">
        <v>146.546582135421</v>
      </c>
    </row>
    <row r="291" spans="1:24" x14ac:dyDescent="0.25">
      <c r="A291" t="s">
        <v>24</v>
      </c>
      <c r="B291" s="1">
        <v>40940</v>
      </c>
      <c r="C291">
        <v>563</v>
      </c>
      <c r="D291">
        <v>10323435733.66</v>
      </c>
      <c r="E291">
        <v>0.39524335858127702</v>
      </c>
      <c r="T291" t="s">
        <v>24</v>
      </c>
      <c r="U291" s="1">
        <v>40940</v>
      </c>
      <c r="V291">
        <v>563</v>
      </c>
      <c r="W291">
        <v>10323435733.66</v>
      </c>
      <c r="X291">
        <v>0</v>
      </c>
    </row>
    <row r="292" spans="1:24" x14ac:dyDescent="0.25">
      <c r="A292" t="s">
        <v>23</v>
      </c>
      <c r="B292" s="1">
        <v>40969</v>
      </c>
      <c r="C292">
        <v>285377</v>
      </c>
      <c r="D292">
        <v>1691373410963.1499</v>
      </c>
      <c r="E292">
        <v>569.06609756761895</v>
      </c>
      <c r="T292" t="s">
        <v>23</v>
      </c>
      <c r="U292" s="1">
        <v>40969</v>
      </c>
      <c r="V292">
        <v>285377</v>
      </c>
      <c r="W292">
        <v>1691373410963.1499</v>
      </c>
      <c r="X292">
        <v>486.47569614838602</v>
      </c>
    </row>
    <row r="293" spans="1:24" x14ac:dyDescent="0.25">
      <c r="A293" t="s">
        <v>22</v>
      </c>
      <c r="B293" s="1">
        <v>40969</v>
      </c>
      <c r="C293">
        <v>1608</v>
      </c>
      <c r="D293">
        <v>62701545672.050003</v>
      </c>
      <c r="E293">
        <v>180.813629698547</v>
      </c>
      <c r="T293" t="s">
        <v>22</v>
      </c>
      <c r="U293" s="1">
        <v>40969</v>
      </c>
      <c r="V293">
        <v>1608</v>
      </c>
      <c r="W293">
        <v>62701545672.050003</v>
      </c>
      <c r="X293">
        <v>158.205157942732</v>
      </c>
    </row>
    <row r="294" spans="1:24" x14ac:dyDescent="0.25">
      <c r="A294" t="s">
        <v>24</v>
      </c>
      <c r="B294" s="1">
        <v>40969</v>
      </c>
      <c r="C294">
        <v>596</v>
      </c>
      <c r="D294">
        <v>11215689816.950001</v>
      </c>
      <c r="E294">
        <v>0.38642925774120401</v>
      </c>
      <c r="T294" t="s">
        <v>24</v>
      </c>
      <c r="U294" s="1">
        <v>40969</v>
      </c>
      <c r="V294">
        <v>596</v>
      </c>
      <c r="W294">
        <v>11215689816.950001</v>
      </c>
      <c r="X294">
        <v>0</v>
      </c>
    </row>
    <row r="295" spans="1:24" x14ac:dyDescent="0.25">
      <c r="A295" t="s">
        <v>23</v>
      </c>
      <c r="B295" s="1">
        <v>41000</v>
      </c>
      <c r="C295">
        <v>286478</v>
      </c>
      <c r="D295">
        <v>1700883766281.3999</v>
      </c>
      <c r="E295">
        <v>576.984380408059</v>
      </c>
      <c r="T295" t="s">
        <v>23</v>
      </c>
      <c r="U295" s="1">
        <v>41000</v>
      </c>
      <c r="V295">
        <v>286478</v>
      </c>
      <c r="W295">
        <v>1700883766281.3999</v>
      </c>
      <c r="X295">
        <v>493.40071780423301</v>
      </c>
    </row>
    <row r="296" spans="1:24" x14ac:dyDescent="0.25">
      <c r="A296" t="s">
        <v>22</v>
      </c>
      <c r="B296" s="1">
        <v>41000</v>
      </c>
      <c r="C296">
        <v>1644</v>
      </c>
      <c r="D296">
        <v>62862062606.980003</v>
      </c>
      <c r="E296">
        <v>188.167482507964</v>
      </c>
      <c r="T296" t="s">
        <v>22</v>
      </c>
      <c r="U296" s="1">
        <v>41000</v>
      </c>
      <c r="V296">
        <v>1644</v>
      </c>
      <c r="W296">
        <v>62862062606.980003</v>
      </c>
      <c r="X296">
        <v>165.27034449015201</v>
      </c>
    </row>
    <row r="297" spans="1:24" x14ac:dyDescent="0.25">
      <c r="A297" t="s">
        <v>24</v>
      </c>
      <c r="B297" s="1">
        <v>41000</v>
      </c>
      <c r="C297">
        <v>653</v>
      </c>
      <c r="D297">
        <v>12887725448.07</v>
      </c>
      <c r="E297">
        <v>0.34650454796276298</v>
      </c>
      <c r="T297" t="s">
        <v>24</v>
      </c>
      <c r="U297" s="1">
        <v>41000</v>
      </c>
      <c r="V297">
        <v>653</v>
      </c>
      <c r="W297">
        <v>12887725448.07</v>
      </c>
      <c r="X297">
        <v>0</v>
      </c>
    </row>
    <row r="298" spans="1:24" x14ac:dyDescent="0.25">
      <c r="A298" t="s">
        <v>23</v>
      </c>
      <c r="B298" s="1">
        <v>41030</v>
      </c>
      <c r="C298">
        <v>286960</v>
      </c>
      <c r="D298">
        <v>1686240153711.4299</v>
      </c>
      <c r="E298">
        <v>593.11894878672297</v>
      </c>
      <c r="T298" t="s">
        <v>23</v>
      </c>
      <c r="U298" s="1">
        <v>41030</v>
      </c>
      <c r="V298">
        <v>286960</v>
      </c>
      <c r="W298">
        <v>1686240153711.4299</v>
      </c>
      <c r="X298">
        <v>507.53313789267497</v>
      </c>
    </row>
    <row r="299" spans="1:24" x14ac:dyDescent="0.25">
      <c r="A299" t="s">
        <v>22</v>
      </c>
      <c r="B299" s="1">
        <v>41030</v>
      </c>
      <c r="C299">
        <v>1667</v>
      </c>
      <c r="D299">
        <v>61402153038.43</v>
      </c>
      <c r="E299">
        <v>199.91783472403401</v>
      </c>
      <c r="T299" t="s">
        <v>22</v>
      </c>
      <c r="U299" s="1">
        <v>41030</v>
      </c>
      <c r="V299">
        <v>1667</v>
      </c>
      <c r="W299">
        <v>61402153038.43</v>
      </c>
      <c r="X299">
        <v>176.64622231945401</v>
      </c>
    </row>
    <row r="300" spans="1:24" x14ac:dyDescent="0.25">
      <c r="A300" t="s">
        <v>24</v>
      </c>
      <c r="B300" s="1">
        <v>41030</v>
      </c>
      <c r="C300">
        <v>701</v>
      </c>
      <c r="D300">
        <v>14157505535.01</v>
      </c>
      <c r="E300">
        <v>0.32050085279919499</v>
      </c>
      <c r="T300" t="s">
        <v>24</v>
      </c>
      <c r="U300" s="1">
        <v>41030</v>
      </c>
      <c r="V300">
        <v>701</v>
      </c>
      <c r="W300">
        <v>14157505535.01</v>
      </c>
      <c r="X300">
        <v>0</v>
      </c>
    </row>
    <row r="301" spans="1:24" x14ac:dyDescent="0.25">
      <c r="A301" t="s">
        <v>23</v>
      </c>
      <c r="B301" s="1">
        <v>41061</v>
      </c>
      <c r="C301">
        <v>287883</v>
      </c>
      <c r="D301">
        <v>1687594503417.6201</v>
      </c>
      <c r="E301">
        <v>605.54481435770003</v>
      </c>
      <c r="T301" t="s">
        <v>23</v>
      </c>
      <c r="U301" s="1">
        <v>41061</v>
      </c>
      <c r="V301">
        <v>287883</v>
      </c>
      <c r="W301">
        <v>1687594503417.6201</v>
      </c>
      <c r="X301">
        <v>518.69179042698704</v>
      </c>
    </row>
    <row r="302" spans="1:24" x14ac:dyDescent="0.25">
      <c r="A302" t="s">
        <v>22</v>
      </c>
      <c r="B302" s="1">
        <v>41061</v>
      </c>
      <c r="C302">
        <v>1684</v>
      </c>
      <c r="D302">
        <v>61117631921.150002</v>
      </c>
      <c r="E302">
        <v>211.40364656590199</v>
      </c>
      <c r="T302" t="s">
        <v>22</v>
      </c>
      <c r="U302" s="1">
        <v>41061</v>
      </c>
      <c r="V302">
        <v>1684</v>
      </c>
      <c r="W302">
        <v>61117631921.150002</v>
      </c>
      <c r="X302">
        <v>188.16032246741</v>
      </c>
    </row>
    <row r="303" spans="1:24" x14ac:dyDescent="0.25">
      <c r="A303" t="s">
        <v>24</v>
      </c>
      <c r="B303" s="1">
        <v>41061</v>
      </c>
      <c r="C303">
        <v>753</v>
      </c>
      <c r="D303">
        <v>16332228361.5</v>
      </c>
      <c r="E303">
        <v>0.30315293562642898</v>
      </c>
      <c r="T303" t="s">
        <v>24</v>
      </c>
      <c r="U303" s="1">
        <v>41061</v>
      </c>
      <c r="V303">
        <v>753</v>
      </c>
      <c r="W303">
        <v>16332228361.5</v>
      </c>
      <c r="X303">
        <v>0</v>
      </c>
    </row>
    <row r="304" spans="1:24" x14ac:dyDescent="0.25">
      <c r="A304" t="s">
        <v>23</v>
      </c>
      <c r="B304" s="1">
        <v>41091</v>
      </c>
      <c r="C304">
        <v>288800</v>
      </c>
      <c r="D304">
        <v>1678034216160.9199</v>
      </c>
      <c r="E304">
        <v>622.49743415937905</v>
      </c>
      <c r="T304" t="s">
        <v>23</v>
      </c>
      <c r="U304" s="1">
        <v>41091</v>
      </c>
      <c r="V304">
        <v>288800</v>
      </c>
      <c r="W304">
        <v>1678034216160.9199</v>
      </c>
      <c r="X304">
        <v>534.38959518644901</v>
      </c>
    </row>
    <row r="305" spans="1:24" x14ac:dyDescent="0.25">
      <c r="A305" t="s">
        <v>22</v>
      </c>
      <c r="B305" s="1">
        <v>41091</v>
      </c>
      <c r="C305">
        <v>1697</v>
      </c>
      <c r="D305">
        <v>61062774148.769997</v>
      </c>
      <c r="E305">
        <v>225.17622113044601</v>
      </c>
      <c r="T305" t="s">
        <v>22</v>
      </c>
      <c r="U305" s="1">
        <v>41091</v>
      </c>
      <c r="V305">
        <v>1697</v>
      </c>
      <c r="W305">
        <v>61062774148.769997</v>
      </c>
      <c r="X305">
        <v>202.089812395537</v>
      </c>
    </row>
    <row r="306" spans="1:24" x14ac:dyDescent="0.25">
      <c r="A306" t="s">
        <v>24</v>
      </c>
      <c r="B306" s="1">
        <v>41091</v>
      </c>
      <c r="C306">
        <v>818</v>
      </c>
      <c r="D306">
        <v>18926538940.299999</v>
      </c>
      <c r="E306">
        <v>0.31978601492615</v>
      </c>
      <c r="T306" t="s">
        <v>24</v>
      </c>
      <c r="U306" s="1">
        <v>41091</v>
      </c>
      <c r="V306">
        <v>818</v>
      </c>
      <c r="W306">
        <v>18926538940.299999</v>
      </c>
      <c r="X306">
        <v>1.3765990560683501E-3</v>
      </c>
    </row>
    <row r="307" spans="1:24" x14ac:dyDescent="0.25">
      <c r="A307" t="s">
        <v>25</v>
      </c>
      <c r="B307" s="1">
        <v>41091</v>
      </c>
      <c r="C307">
        <v>91</v>
      </c>
      <c r="D307">
        <v>5555695171.1300001</v>
      </c>
      <c r="E307">
        <v>0</v>
      </c>
      <c r="T307" t="s">
        <v>25</v>
      </c>
      <c r="U307" s="1">
        <v>41091</v>
      </c>
      <c r="V307">
        <v>91</v>
      </c>
      <c r="W307">
        <v>5555695171.1300001</v>
      </c>
      <c r="X307">
        <v>0</v>
      </c>
    </row>
    <row r="308" spans="1:24" x14ac:dyDescent="0.25">
      <c r="A308" t="s">
        <v>23</v>
      </c>
      <c r="B308" s="1">
        <v>41122</v>
      </c>
      <c r="C308">
        <v>289667</v>
      </c>
      <c r="D308">
        <v>1673253636966.7</v>
      </c>
      <c r="E308">
        <v>639.67996353962599</v>
      </c>
      <c r="T308" t="s">
        <v>23</v>
      </c>
      <c r="U308" s="1">
        <v>41122</v>
      </c>
      <c r="V308">
        <v>289667</v>
      </c>
      <c r="W308">
        <v>1673253636966.7</v>
      </c>
      <c r="X308">
        <v>550.61592956228503</v>
      </c>
    </row>
    <row r="309" spans="1:24" x14ac:dyDescent="0.25">
      <c r="A309" t="s">
        <v>22</v>
      </c>
      <c r="B309" s="1">
        <v>41122</v>
      </c>
      <c r="C309">
        <v>1720</v>
      </c>
      <c r="D309">
        <v>61530216630.559998</v>
      </c>
      <c r="E309">
        <v>239.31299812226399</v>
      </c>
      <c r="T309" t="s">
        <v>22</v>
      </c>
      <c r="U309" s="1">
        <v>41122</v>
      </c>
      <c r="V309">
        <v>1720</v>
      </c>
      <c r="W309">
        <v>61530216630.559998</v>
      </c>
      <c r="X309">
        <v>216.58968523558099</v>
      </c>
    </row>
    <row r="310" spans="1:24" x14ac:dyDescent="0.25">
      <c r="A310" t="s">
        <v>24</v>
      </c>
      <c r="B310" s="1">
        <v>41122</v>
      </c>
      <c r="C310">
        <v>877</v>
      </c>
      <c r="D310">
        <v>21611125130.189999</v>
      </c>
      <c r="E310">
        <v>0.36071016661187</v>
      </c>
      <c r="T310" t="s">
        <v>24</v>
      </c>
      <c r="U310" s="1">
        <v>41122</v>
      </c>
      <c r="V310">
        <v>877</v>
      </c>
      <c r="W310">
        <v>21611125130.189999</v>
      </c>
      <c r="X310">
        <v>7.4211834335013104E-4</v>
      </c>
    </row>
    <row r="311" spans="1:24" x14ac:dyDescent="0.25">
      <c r="A311" t="s">
        <v>25</v>
      </c>
      <c r="B311" s="1">
        <v>41122</v>
      </c>
      <c r="C311">
        <v>156</v>
      </c>
      <c r="D311">
        <v>8754398274.3899994</v>
      </c>
      <c r="E311">
        <v>0</v>
      </c>
      <c r="T311" t="s">
        <v>25</v>
      </c>
      <c r="U311" s="1">
        <v>41122</v>
      </c>
      <c r="V311">
        <v>156</v>
      </c>
      <c r="W311">
        <v>8754398274.3899994</v>
      </c>
      <c r="X311">
        <v>0</v>
      </c>
    </row>
    <row r="312" spans="1:24" x14ac:dyDescent="0.25">
      <c r="A312" t="s">
        <v>23</v>
      </c>
      <c r="B312" s="1">
        <v>41153</v>
      </c>
      <c r="C312">
        <v>290751</v>
      </c>
      <c r="D312">
        <v>1668901981848.5</v>
      </c>
      <c r="E312">
        <v>653.69854055610995</v>
      </c>
      <c r="T312" t="s">
        <v>23</v>
      </c>
      <c r="U312" s="1">
        <v>41153</v>
      </c>
      <c r="V312">
        <v>290751</v>
      </c>
      <c r="W312">
        <v>1668901981848.5</v>
      </c>
      <c r="X312">
        <v>564.03394458094601</v>
      </c>
    </row>
    <row r="313" spans="1:24" x14ac:dyDescent="0.25">
      <c r="A313" t="s">
        <v>22</v>
      </c>
      <c r="B313" s="1">
        <v>41153</v>
      </c>
      <c r="C313">
        <v>1748</v>
      </c>
      <c r="D313">
        <v>61794453574.470001</v>
      </c>
      <c r="E313">
        <v>250.50276384801199</v>
      </c>
      <c r="T313" t="s">
        <v>22</v>
      </c>
      <c r="U313" s="1">
        <v>41153</v>
      </c>
      <c r="V313">
        <v>1748</v>
      </c>
      <c r="W313">
        <v>61794453574.470001</v>
      </c>
      <c r="X313">
        <v>228.232822547057</v>
      </c>
    </row>
    <row r="314" spans="1:24" x14ac:dyDescent="0.25">
      <c r="A314" t="s">
        <v>24</v>
      </c>
      <c r="B314" s="1">
        <v>41153</v>
      </c>
      <c r="C314">
        <v>932</v>
      </c>
      <c r="D314">
        <v>24194119358.029999</v>
      </c>
      <c r="E314">
        <v>0.38300337159104397</v>
      </c>
      <c r="T314" t="s">
        <v>24</v>
      </c>
      <c r="U314" s="1">
        <v>41153</v>
      </c>
      <c r="V314">
        <v>932</v>
      </c>
      <c r="W314">
        <v>24194119358.029999</v>
      </c>
      <c r="X314">
        <v>6.6212219275727196E-4</v>
      </c>
    </row>
    <row r="315" spans="1:24" x14ac:dyDescent="0.25">
      <c r="A315" t="s">
        <v>25</v>
      </c>
      <c r="B315" s="1">
        <v>41153</v>
      </c>
      <c r="C315">
        <v>210</v>
      </c>
      <c r="D315">
        <v>12053254300.4</v>
      </c>
      <c r="E315">
        <v>0</v>
      </c>
      <c r="T315" t="s">
        <v>25</v>
      </c>
      <c r="U315" s="1">
        <v>41153</v>
      </c>
      <c r="V315">
        <v>210</v>
      </c>
      <c r="W315">
        <v>12053254300.4</v>
      </c>
      <c r="X315">
        <v>0</v>
      </c>
    </row>
    <row r="316" spans="1:24" x14ac:dyDescent="0.25">
      <c r="A316" t="s">
        <v>23</v>
      </c>
      <c r="B316" s="1">
        <v>41183</v>
      </c>
      <c r="C316">
        <v>292008</v>
      </c>
      <c r="D316">
        <v>1663516641773.1899</v>
      </c>
      <c r="E316">
        <v>668.00666639783299</v>
      </c>
      <c r="T316" t="s">
        <v>23</v>
      </c>
      <c r="U316" s="1">
        <v>41183</v>
      </c>
      <c r="V316">
        <v>292008</v>
      </c>
      <c r="W316">
        <v>1663516641773.1899</v>
      </c>
      <c r="X316">
        <v>577.96787966310205</v>
      </c>
    </row>
    <row r="317" spans="1:24" x14ac:dyDescent="0.25">
      <c r="A317" t="s">
        <v>22</v>
      </c>
      <c r="B317" s="1">
        <v>41183</v>
      </c>
      <c r="C317">
        <v>1779</v>
      </c>
      <c r="D317">
        <v>61518645943.379997</v>
      </c>
      <c r="E317">
        <v>263.44836741870199</v>
      </c>
      <c r="T317" t="s">
        <v>22</v>
      </c>
      <c r="U317" s="1">
        <v>41183</v>
      </c>
      <c r="V317">
        <v>1779</v>
      </c>
      <c r="W317">
        <v>61518645943.379997</v>
      </c>
      <c r="X317">
        <v>241.48748275286101</v>
      </c>
    </row>
    <row r="318" spans="1:24" x14ac:dyDescent="0.25">
      <c r="A318" t="s">
        <v>24</v>
      </c>
      <c r="B318" s="1">
        <v>41183</v>
      </c>
      <c r="C318">
        <v>993</v>
      </c>
      <c r="D318">
        <v>26597645245.860001</v>
      </c>
      <c r="E318">
        <v>0.44391159246575901</v>
      </c>
      <c r="T318" t="s">
        <v>24</v>
      </c>
      <c r="U318" s="1">
        <v>41183</v>
      </c>
      <c r="V318">
        <v>993</v>
      </c>
      <c r="W318">
        <v>26597645245.860001</v>
      </c>
      <c r="X318">
        <v>6.0157192912084901E-4</v>
      </c>
    </row>
    <row r="319" spans="1:24" x14ac:dyDescent="0.25">
      <c r="A319" t="s">
        <v>25</v>
      </c>
      <c r="B319" s="1">
        <v>41183</v>
      </c>
      <c r="C319">
        <v>281</v>
      </c>
      <c r="D319">
        <v>15145163161.950001</v>
      </c>
      <c r="E319">
        <v>0</v>
      </c>
      <c r="T319" t="s">
        <v>25</v>
      </c>
      <c r="U319" s="1">
        <v>41183</v>
      </c>
      <c r="V319">
        <v>281</v>
      </c>
      <c r="W319">
        <v>15145163161.950001</v>
      </c>
      <c r="X319">
        <v>0</v>
      </c>
    </row>
    <row r="320" spans="1:24" x14ac:dyDescent="0.25">
      <c r="A320" t="s">
        <v>23</v>
      </c>
      <c r="B320" s="1">
        <v>41214</v>
      </c>
      <c r="C320">
        <v>292794</v>
      </c>
      <c r="D320">
        <v>1648405277502.1699</v>
      </c>
      <c r="E320">
        <v>690.40388560978602</v>
      </c>
      <c r="T320" t="s">
        <v>23</v>
      </c>
      <c r="U320" s="1">
        <v>41214</v>
      </c>
      <c r="V320">
        <v>292794</v>
      </c>
      <c r="W320">
        <v>1648405277502.1699</v>
      </c>
      <c r="X320">
        <v>599.20982463912503</v>
      </c>
    </row>
    <row r="321" spans="1:24" x14ac:dyDescent="0.25">
      <c r="A321" t="s">
        <v>22</v>
      </c>
      <c r="B321" s="1">
        <v>41214</v>
      </c>
      <c r="C321">
        <v>1797</v>
      </c>
      <c r="D321">
        <v>60741144641.419998</v>
      </c>
      <c r="E321">
        <v>280.81817473764301</v>
      </c>
      <c r="T321" t="s">
        <v>22</v>
      </c>
      <c r="U321" s="1">
        <v>41214</v>
      </c>
      <c r="V321">
        <v>1797</v>
      </c>
      <c r="W321">
        <v>60741144641.419998</v>
      </c>
      <c r="X321">
        <v>258.78731462645601</v>
      </c>
    </row>
    <row r="322" spans="1:24" x14ac:dyDescent="0.25">
      <c r="A322" t="s">
        <v>24</v>
      </c>
      <c r="B322" s="1">
        <v>41214</v>
      </c>
      <c r="C322">
        <v>1047</v>
      </c>
      <c r="D322">
        <v>28293094942.189999</v>
      </c>
      <c r="E322">
        <v>0.57488644329570104</v>
      </c>
      <c r="T322" t="s">
        <v>24</v>
      </c>
      <c r="U322" s="1">
        <v>41214</v>
      </c>
      <c r="V322">
        <v>1047</v>
      </c>
      <c r="W322">
        <v>28293094942.189999</v>
      </c>
      <c r="X322">
        <v>3.4242463600533801E-3</v>
      </c>
    </row>
    <row r="323" spans="1:24" x14ac:dyDescent="0.25">
      <c r="A323" t="s">
        <v>25</v>
      </c>
      <c r="B323" s="1">
        <v>41214</v>
      </c>
      <c r="C323">
        <v>339</v>
      </c>
      <c r="D323">
        <v>17141506906.68</v>
      </c>
      <c r="E323">
        <v>0</v>
      </c>
      <c r="T323" t="s">
        <v>25</v>
      </c>
      <c r="U323" s="1">
        <v>41214</v>
      </c>
      <c r="V323">
        <v>339</v>
      </c>
      <c r="W323">
        <v>17141506906.68</v>
      </c>
      <c r="X323">
        <v>0</v>
      </c>
    </row>
    <row r="324" spans="1:24" x14ac:dyDescent="0.25">
      <c r="A324" t="s">
        <v>23</v>
      </c>
      <c r="B324" s="1">
        <v>41244</v>
      </c>
      <c r="C324">
        <v>294272</v>
      </c>
      <c r="D324">
        <v>1656955004649.22</v>
      </c>
      <c r="E324">
        <v>698.16136744196297</v>
      </c>
      <c r="T324" t="s">
        <v>23</v>
      </c>
      <c r="U324" s="1">
        <v>41244</v>
      </c>
      <c r="V324">
        <v>294272</v>
      </c>
      <c r="W324">
        <v>1656955004649.22</v>
      </c>
      <c r="X324">
        <v>607.50726816404995</v>
      </c>
    </row>
    <row r="325" spans="1:24" x14ac:dyDescent="0.25">
      <c r="A325" t="s">
        <v>22</v>
      </c>
      <c r="B325" s="1">
        <v>41244</v>
      </c>
      <c r="C325">
        <v>1849</v>
      </c>
      <c r="D325">
        <v>61181393447.510002</v>
      </c>
      <c r="E325">
        <v>290.12467765077599</v>
      </c>
      <c r="T325" t="s">
        <v>22</v>
      </c>
      <c r="U325" s="1">
        <v>41244</v>
      </c>
      <c r="V325">
        <v>1849</v>
      </c>
      <c r="W325">
        <v>61181393447.510002</v>
      </c>
      <c r="X325">
        <v>268.727635570129</v>
      </c>
    </row>
    <row r="326" spans="1:24" x14ac:dyDescent="0.25">
      <c r="A326" t="s">
        <v>24</v>
      </c>
      <c r="B326" s="1">
        <v>41244</v>
      </c>
      <c r="C326">
        <v>1134</v>
      </c>
      <c r="D326">
        <v>31066598637.540001</v>
      </c>
      <c r="E326">
        <v>0.68356833645499604</v>
      </c>
      <c r="T326" t="s">
        <v>24</v>
      </c>
      <c r="U326" s="1">
        <v>41244</v>
      </c>
      <c r="V326">
        <v>1134</v>
      </c>
      <c r="W326">
        <v>31066598637.540001</v>
      </c>
      <c r="X326">
        <v>2.2882325504355499E-3</v>
      </c>
    </row>
    <row r="327" spans="1:24" x14ac:dyDescent="0.25">
      <c r="A327" t="s">
        <v>25</v>
      </c>
      <c r="B327" s="1">
        <v>41244</v>
      </c>
      <c r="C327">
        <v>427</v>
      </c>
      <c r="D327">
        <v>20228876583.380001</v>
      </c>
      <c r="E327">
        <v>0</v>
      </c>
      <c r="T327" t="s">
        <v>25</v>
      </c>
      <c r="U327" s="1">
        <v>41244</v>
      </c>
      <c r="V327">
        <v>427</v>
      </c>
      <c r="W327">
        <v>20228876583.380001</v>
      </c>
      <c r="X327">
        <v>3.14181197889935E-3</v>
      </c>
    </row>
    <row r="328" spans="1:24" x14ac:dyDescent="0.25">
      <c r="A328" t="s">
        <v>23</v>
      </c>
      <c r="B328" s="1">
        <v>41275</v>
      </c>
      <c r="C328">
        <v>294972</v>
      </c>
      <c r="D328">
        <v>1645019670084.6001</v>
      </c>
      <c r="E328">
        <v>715.27680659579005</v>
      </c>
      <c r="T328" t="s">
        <v>23</v>
      </c>
      <c r="U328" s="1">
        <v>41275</v>
      </c>
      <c r="V328">
        <v>294972</v>
      </c>
      <c r="W328">
        <v>1645019670084.6001</v>
      </c>
      <c r="X328">
        <v>622.033666668872</v>
      </c>
    </row>
    <row r="329" spans="1:24" x14ac:dyDescent="0.25">
      <c r="A329" t="s">
        <v>22</v>
      </c>
      <c r="B329" s="1">
        <v>41275</v>
      </c>
      <c r="C329">
        <v>1864</v>
      </c>
      <c r="D329">
        <v>59324750524.360001</v>
      </c>
      <c r="E329">
        <v>310.11286316549899</v>
      </c>
      <c r="T329" t="s">
        <v>22</v>
      </c>
      <c r="U329" s="1">
        <v>41275</v>
      </c>
      <c r="V329">
        <v>1864</v>
      </c>
      <c r="W329">
        <v>59324750524.360001</v>
      </c>
      <c r="X329">
        <v>282.61664020012199</v>
      </c>
    </row>
    <row r="330" spans="1:24" x14ac:dyDescent="0.25">
      <c r="A330" t="s">
        <v>24</v>
      </c>
      <c r="B330" s="1">
        <v>41275</v>
      </c>
      <c r="C330">
        <v>1194</v>
      </c>
      <c r="D330">
        <v>33051971704.52</v>
      </c>
      <c r="E330">
        <v>0.79595638546278502</v>
      </c>
      <c r="T330" t="s">
        <v>24</v>
      </c>
      <c r="U330" s="1">
        <v>41275</v>
      </c>
      <c r="V330">
        <v>1194</v>
      </c>
      <c r="W330">
        <v>33051971704.52</v>
      </c>
      <c r="X330">
        <v>2.14775656873323E-3</v>
      </c>
    </row>
    <row r="331" spans="1:24" x14ac:dyDescent="0.25">
      <c r="A331" t="s">
        <v>25</v>
      </c>
      <c r="B331" s="1">
        <v>41275</v>
      </c>
      <c r="C331">
        <v>493</v>
      </c>
      <c r="D331">
        <v>22634123601.41</v>
      </c>
      <c r="E331">
        <v>0</v>
      </c>
      <c r="T331" t="s">
        <v>25</v>
      </c>
      <c r="U331" s="1">
        <v>41275</v>
      </c>
      <c r="V331">
        <v>493</v>
      </c>
      <c r="W331">
        <v>22634123601.41</v>
      </c>
      <c r="X331">
        <v>7.5782558168423896E-3</v>
      </c>
    </row>
    <row r="332" spans="1:24" x14ac:dyDescent="0.25">
      <c r="A332" t="s">
        <v>23</v>
      </c>
      <c r="B332" s="1">
        <v>41306</v>
      </c>
      <c r="C332">
        <v>295747</v>
      </c>
      <c r="D332">
        <v>1641408813705.6101</v>
      </c>
      <c r="E332">
        <v>723.56810921209001</v>
      </c>
      <c r="T332" t="s">
        <v>23</v>
      </c>
      <c r="U332" s="1">
        <v>41306</v>
      </c>
      <c r="V332">
        <v>295747</v>
      </c>
      <c r="W332">
        <v>1641408813705.6101</v>
      </c>
      <c r="X332">
        <v>628.62106908960902</v>
      </c>
    </row>
    <row r="333" spans="1:24" x14ac:dyDescent="0.25">
      <c r="A333" t="s">
        <v>22</v>
      </c>
      <c r="B333" s="1">
        <v>41306</v>
      </c>
      <c r="C333">
        <v>1890</v>
      </c>
      <c r="D333">
        <v>59341253640.129997</v>
      </c>
      <c r="E333">
        <v>315.155574951304</v>
      </c>
      <c r="T333" t="s">
        <v>22</v>
      </c>
      <c r="U333" s="1">
        <v>41306</v>
      </c>
      <c r="V333">
        <v>1890</v>
      </c>
      <c r="W333">
        <v>59341253640.129997</v>
      </c>
      <c r="X333">
        <v>282.916029307869</v>
      </c>
    </row>
    <row r="334" spans="1:24" x14ac:dyDescent="0.25">
      <c r="A334" t="s">
        <v>24</v>
      </c>
      <c r="B334" s="1">
        <v>41306</v>
      </c>
      <c r="C334">
        <v>1265</v>
      </c>
      <c r="D334">
        <v>35343557017.519997</v>
      </c>
      <c r="E334">
        <v>0.84420618322463303</v>
      </c>
      <c r="T334" t="s">
        <v>24</v>
      </c>
      <c r="U334" s="1">
        <v>41306</v>
      </c>
      <c r="V334">
        <v>1265</v>
      </c>
      <c r="W334">
        <v>35343557017.519997</v>
      </c>
      <c r="X334">
        <v>2.82313660585782E-3</v>
      </c>
    </row>
    <row r="335" spans="1:24" x14ac:dyDescent="0.25">
      <c r="A335" t="s">
        <v>25</v>
      </c>
      <c r="B335" s="1">
        <v>41306</v>
      </c>
      <c r="C335">
        <v>572</v>
      </c>
      <c r="D335">
        <v>25710780014.439999</v>
      </c>
      <c r="E335">
        <v>0</v>
      </c>
      <c r="T335" t="s">
        <v>25</v>
      </c>
      <c r="U335" s="1">
        <v>41306</v>
      </c>
      <c r="V335">
        <v>572</v>
      </c>
      <c r="W335">
        <v>25710780014.439999</v>
      </c>
      <c r="X335">
        <v>6.6601953699602099E-3</v>
      </c>
    </row>
    <row r="336" spans="1:24" x14ac:dyDescent="0.25">
      <c r="A336" t="s">
        <v>23</v>
      </c>
      <c r="B336" s="1">
        <v>41334</v>
      </c>
      <c r="C336">
        <v>296480</v>
      </c>
      <c r="D336">
        <v>1639099306167.1299</v>
      </c>
      <c r="E336">
        <v>726.22136923694302</v>
      </c>
      <c r="T336" t="s">
        <v>23</v>
      </c>
      <c r="U336" s="1">
        <v>41334</v>
      </c>
      <c r="V336">
        <v>296480</v>
      </c>
      <c r="W336">
        <v>1639099306167.1299</v>
      </c>
      <c r="X336">
        <v>630.16829176683802</v>
      </c>
    </row>
    <row r="337" spans="1:24" x14ac:dyDescent="0.25">
      <c r="A337" t="s">
        <v>22</v>
      </c>
      <c r="B337" s="1">
        <v>41334</v>
      </c>
      <c r="C337">
        <v>1907</v>
      </c>
      <c r="D337">
        <v>58273862919.07</v>
      </c>
      <c r="E337">
        <v>320.96901480981302</v>
      </c>
      <c r="T337" t="s">
        <v>22</v>
      </c>
      <c r="U337" s="1">
        <v>41334</v>
      </c>
      <c r="V337">
        <v>1907</v>
      </c>
      <c r="W337">
        <v>58273862919.07</v>
      </c>
      <c r="X337">
        <v>284.52460346208898</v>
      </c>
    </row>
    <row r="338" spans="1:24" x14ac:dyDescent="0.25">
      <c r="A338" t="s">
        <v>24</v>
      </c>
      <c r="B338" s="1">
        <v>41334</v>
      </c>
      <c r="C338">
        <v>1335</v>
      </c>
      <c r="D338">
        <v>37312888521.379997</v>
      </c>
      <c r="E338">
        <v>0.83879467331671198</v>
      </c>
      <c r="T338" t="s">
        <v>24</v>
      </c>
      <c r="U338" s="1">
        <v>41334</v>
      </c>
      <c r="V338">
        <v>1335</v>
      </c>
      <c r="W338">
        <v>37312888521.379997</v>
      </c>
      <c r="X338">
        <v>3.7808411821423698E-3</v>
      </c>
    </row>
    <row r="339" spans="1:24" x14ac:dyDescent="0.25">
      <c r="A339" t="s">
        <v>25</v>
      </c>
      <c r="B339" s="1">
        <v>41334</v>
      </c>
      <c r="C339">
        <v>639</v>
      </c>
      <c r="D339">
        <v>27919269484.799999</v>
      </c>
      <c r="E339">
        <v>0</v>
      </c>
      <c r="T339" t="s">
        <v>25</v>
      </c>
      <c r="U339" s="1">
        <v>41334</v>
      </c>
      <c r="V339">
        <v>639</v>
      </c>
      <c r="W339">
        <v>27919269484.799999</v>
      </c>
      <c r="X339">
        <v>6.1218385613916199E-3</v>
      </c>
    </row>
    <row r="340" spans="1:24" x14ac:dyDescent="0.25">
      <c r="A340" t="s">
        <v>23</v>
      </c>
      <c r="B340" s="1">
        <v>41365</v>
      </c>
      <c r="C340">
        <v>296774</v>
      </c>
      <c r="D340">
        <v>1632928605681.1299</v>
      </c>
      <c r="E340">
        <v>731.26866347573605</v>
      </c>
      <c r="T340" t="s">
        <v>23</v>
      </c>
      <c r="U340" s="1">
        <v>41365</v>
      </c>
      <c r="V340">
        <v>296774</v>
      </c>
      <c r="W340">
        <v>1632928605681.1299</v>
      </c>
      <c r="X340">
        <v>633.86008212267996</v>
      </c>
    </row>
    <row r="341" spans="1:24" x14ac:dyDescent="0.25">
      <c r="A341" t="s">
        <v>22</v>
      </c>
      <c r="B341" s="1">
        <v>41365</v>
      </c>
      <c r="C341">
        <v>1927</v>
      </c>
      <c r="D341">
        <v>57984952680.769997</v>
      </c>
      <c r="E341">
        <v>323.13845437575702</v>
      </c>
      <c r="T341" t="s">
        <v>22</v>
      </c>
      <c r="U341" s="1">
        <v>41365</v>
      </c>
      <c r="V341">
        <v>1927</v>
      </c>
      <c r="W341">
        <v>57984952680.769997</v>
      </c>
      <c r="X341">
        <v>283.43038066891802</v>
      </c>
    </row>
    <row r="342" spans="1:24" x14ac:dyDescent="0.25">
      <c r="A342" t="s">
        <v>24</v>
      </c>
      <c r="B342" s="1">
        <v>41365</v>
      </c>
      <c r="C342">
        <v>1395</v>
      </c>
      <c r="D342">
        <v>39156032691.959999</v>
      </c>
      <c r="E342">
        <v>0.88038042045642095</v>
      </c>
      <c r="T342" t="s">
        <v>24</v>
      </c>
      <c r="U342" s="1">
        <v>41365</v>
      </c>
      <c r="V342">
        <v>1395</v>
      </c>
      <c r="W342">
        <v>39156032691.959999</v>
      </c>
      <c r="X342">
        <v>5.2648400349945097E-3</v>
      </c>
    </row>
    <row r="343" spans="1:24" x14ac:dyDescent="0.25">
      <c r="A343" t="s">
        <v>25</v>
      </c>
      <c r="B343" s="1">
        <v>41365</v>
      </c>
      <c r="C343">
        <v>704</v>
      </c>
      <c r="D343">
        <v>30041763432.959999</v>
      </c>
      <c r="E343">
        <v>0</v>
      </c>
      <c r="T343" t="s">
        <v>25</v>
      </c>
      <c r="U343" s="1">
        <v>41365</v>
      </c>
      <c r="V343">
        <v>704</v>
      </c>
      <c r="W343">
        <v>30041763432.959999</v>
      </c>
      <c r="X343">
        <v>5.6788815787068604E-3</v>
      </c>
    </row>
    <row r="344" spans="1:24" x14ac:dyDescent="0.25">
      <c r="A344" t="s">
        <v>23</v>
      </c>
      <c r="B344" s="1">
        <v>41395</v>
      </c>
      <c r="C344">
        <v>297206</v>
      </c>
      <c r="D344">
        <v>1630926522634.1799</v>
      </c>
      <c r="E344">
        <v>735.23529069617496</v>
      </c>
      <c r="T344" t="s">
        <v>23</v>
      </c>
      <c r="U344" s="1">
        <v>41395</v>
      </c>
      <c r="V344">
        <v>297206</v>
      </c>
      <c r="W344">
        <v>1630926522634.1799</v>
      </c>
      <c r="X344">
        <v>636.39248731055898</v>
      </c>
    </row>
    <row r="345" spans="1:24" x14ac:dyDescent="0.25">
      <c r="A345" t="s">
        <v>22</v>
      </c>
      <c r="B345" s="1">
        <v>41395</v>
      </c>
      <c r="C345">
        <v>1940</v>
      </c>
      <c r="D345">
        <v>57919460773.599998</v>
      </c>
      <c r="E345">
        <v>325.96716910816502</v>
      </c>
      <c r="T345" t="s">
        <v>22</v>
      </c>
      <c r="U345" s="1">
        <v>41395</v>
      </c>
      <c r="V345">
        <v>1940</v>
      </c>
      <c r="W345">
        <v>57919460773.599998</v>
      </c>
      <c r="X345">
        <v>283.11196877888699</v>
      </c>
    </row>
    <row r="346" spans="1:24" x14ac:dyDescent="0.25">
      <c r="A346" t="s">
        <v>24</v>
      </c>
      <c r="B346" s="1">
        <v>41395</v>
      </c>
      <c r="C346">
        <v>1447</v>
      </c>
      <c r="D346">
        <v>41135466403</v>
      </c>
      <c r="E346">
        <v>1.2000134333821</v>
      </c>
      <c r="T346" t="s">
        <v>24</v>
      </c>
      <c r="U346" s="1">
        <v>41395</v>
      </c>
      <c r="V346">
        <v>1447</v>
      </c>
      <c r="W346">
        <v>41135466403</v>
      </c>
      <c r="X346">
        <v>9.5927891626630402E-3</v>
      </c>
    </row>
    <row r="347" spans="1:24" x14ac:dyDescent="0.25">
      <c r="A347" t="s">
        <v>25</v>
      </c>
      <c r="B347" s="1">
        <v>41395</v>
      </c>
      <c r="C347">
        <v>760</v>
      </c>
      <c r="D347">
        <v>32087573394.82</v>
      </c>
      <c r="E347">
        <v>0</v>
      </c>
      <c r="T347" t="s">
        <v>25</v>
      </c>
      <c r="U347" s="1">
        <v>41395</v>
      </c>
      <c r="V347">
        <v>760</v>
      </c>
      <c r="W347">
        <v>32087573394.82</v>
      </c>
      <c r="X347">
        <v>5.3034855905790303E-3</v>
      </c>
    </row>
    <row r="348" spans="1:24" x14ac:dyDescent="0.25">
      <c r="A348" t="s">
        <v>23</v>
      </c>
      <c r="B348" s="1">
        <v>41426</v>
      </c>
      <c r="C348">
        <v>297478</v>
      </c>
      <c r="D348">
        <v>1634172612883.0801</v>
      </c>
      <c r="E348">
        <v>733.04077211610297</v>
      </c>
      <c r="T348" t="s">
        <v>23</v>
      </c>
      <c r="U348" s="1">
        <v>41426</v>
      </c>
      <c r="V348">
        <v>297478</v>
      </c>
      <c r="W348">
        <v>1634172612883.0801</v>
      </c>
      <c r="X348">
        <v>633.55465323159603</v>
      </c>
    </row>
    <row r="349" spans="1:24" x14ac:dyDescent="0.25">
      <c r="A349" t="s">
        <v>22</v>
      </c>
      <c r="B349" s="1">
        <v>41426</v>
      </c>
      <c r="C349">
        <v>1951</v>
      </c>
      <c r="D349">
        <v>57743623776.370003</v>
      </c>
      <c r="E349">
        <v>326.37355568540499</v>
      </c>
      <c r="T349" t="s">
        <v>22</v>
      </c>
      <c r="U349" s="1">
        <v>41426</v>
      </c>
      <c r="V349">
        <v>1951</v>
      </c>
      <c r="W349">
        <v>57743623776.370003</v>
      </c>
      <c r="X349">
        <v>281.31963962226303</v>
      </c>
    </row>
    <row r="350" spans="1:24" x14ac:dyDescent="0.25">
      <c r="A350" t="s">
        <v>24</v>
      </c>
      <c r="B350" s="1">
        <v>41426</v>
      </c>
      <c r="C350">
        <v>1489</v>
      </c>
      <c r="D350">
        <v>42553384727.230003</v>
      </c>
      <c r="E350">
        <v>1.99134553180713</v>
      </c>
      <c r="T350" t="s">
        <v>24</v>
      </c>
      <c r="U350" s="1">
        <v>41426</v>
      </c>
      <c r="V350">
        <v>1489</v>
      </c>
      <c r="W350">
        <v>42553384727.230003</v>
      </c>
      <c r="X350">
        <v>1.99957546878019E-2</v>
      </c>
    </row>
    <row r="351" spans="1:24" x14ac:dyDescent="0.25">
      <c r="A351" t="s">
        <v>25</v>
      </c>
      <c r="B351" s="1">
        <v>41426</v>
      </c>
      <c r="C351">
        <v>806</v>
      </c>
      <c r="D351">
        <v>33554081959.810001</v>
      </c>
      <c r="E351">
        <v>0</v>
      </c>
      <c r="T351" t="s">
        <v>25</v>
      </c>
      <c r="U351" s="1">
        <v>41426</v>
      </c>
      <c r="V351">
        <v>806</v>
      </c>
      <c r="W351">
        <v>33554081959.810001</v>
      </c>
      <c r="X351">
        <v>5.0615944476025401E-3</v>
      </c>
    </row>
    <row r="352" spans="1:24" x14ac:dyDescent="0.25">
      <c r="A352" t="s">
        <v>23</v>
      </c>
      <c r="B352" s="1">
        <v>41456</v>
      </c>
      <c r="C352">
        <v>297713</v>
      </c>
      <c r="D352">
        <v>1630715136837.8301</v>
      </c>
      <c r="E352">
        <v>720.77303970881303</v>
      </c>
      <c r="T352" t="s">
        <v>23</v>
      </c>
      <c r="U352" s="1">
        <v>41456</v>
      </c>
      <c r="V352">
        <v>297713</v>
      </c>
      <c r="W352">
        <v>1630715136837.8301</v>
      </c>
      <c r="X352">
        <v>622.09356513536204</v>
      </c>
    </row>
    <row r="353" spans="1:24" x14ac:dyDescent="0.25">
      <c r="A353" t="s">
        <v>22</v>
      </c>
      <c r="B353" s="1">
        <v>41456</v>
      </c>
      <c r="C353">
        <v>1967</v>
      </c>
      <c r="D353">
        <v>57562689788.809998</v>
      </c>
      <c r="E353">
        <v>313.62347441797499</v>
      </c>
      <c r="T353" t="s">
        <v>22</v>
      </c>
      <c r="U353" s="1">
        <v>41456</v>
      </c>
      <c r="V353">
        <v>1967</v>
      </c>
      <c r="W353">
        <v>57562689788.809998</v>
      </c>
      <c r="X353">
        <v>269.23981708000701</v>
      </c>
    </row>
    <row r="354" spans="1:24" x14ac:dyDescent="0.25">
      <c r="A354" t="s">
        <v>24</v>
      </c>
      <c r="B354" s="1">
        <v>41456</v>
      </c>
      <c r="C354">
        <v>1527</v>
      </c>
      <c r="D354">
        <v>44044353148.919998</v>
      </c>
      <c r="E354">
        <v>2.37553315179925</v>
      </c>
      <c r="T354" t="s">
        <v>24</v>
      </c>
      <c r="U354" s="1">
        <v>41456</v>
      </c>
      <c r="V354">
        <v>1527</v>
      </c>
      <c r="W354">
        <v>44044353148.919998</v>
      </c>
      <c r="X354">
        <v>2.2204230372227001E-2</v>
      </c>
    </row>
    <row r="355" spans="1:24" x14ac:dyDescent="0.25">
      <c r="A355" t="s">
        <v>25</v>
      </c>
      <c r="B355" s="1">
        <v>41456</v>
      </c>
      <c r="C355">
        <v>846</v>
      </c>
      <c r="D355">
        <v>34996952153.550003</v>
      </c>
      <c r="E355">
        <v>0</v>
      </c>
      <c r="T355" t="s">
        <v>25</v>
      </c>
      <c r="U355" s="1">
        <v>41456</v>
      </c>
      <c r="V355">
        <v>846</v>
      </c>
      <c r="W355">
        <v>34996952153.550003</v>
      </c>
      <c r="X355">
        <v>4.8354296817217897E-3</v>
      </c>
    </row>
    <row r="356" spans="1:24" x14ac:dyDescent="0.25">
      <c r="A356" t="s">
        <v>23</v>
      </c>
      <c r="B356" s="1">
        <v>41487</v>
      </c>
      <c r="C356">
        <v>297745</v>
      </c>
      <c r="D356">
        <v>1635352864892.78</v>
      </c>
      <c r="E356">
        <v>702.74934343969005</v>
      </c>
      <c r="T356" t="s">
        <v>23</v>
      </c>
      <c r="U356" s="1">
        <v>41487</v>
      </c>
      <c r="V356">
        <v>297745</v>
      </c>
      <c r="W356">
        <v>1635352864892.78</v>
      </c>
      <c r="X356">
        <v>605.75441068210398</v>
      </c>
    </row>
    <row r="357" spans="1:24" x14ac:dyDescent="0.25">
      <c r="A357" t="s">
        <v>22</v>
      </c>
      <c r="B357" s="1">
        <v>41487</v>
      </c>
      <c r="C357">
        <v>1980</v>
      </c>
      <c r="D357">
        <v>57358795381.5</v>
      </c>
      <c r="E357">
        <v>300.66868007075999</v>
      </c>
      <c r="T357" t="s">
        <v>22</v>
      </c>
      <c r="U357" s="1">
        <v>41487</v>
      </c>
      <c r="V357">
        <v>1980</v>
      </c>
      <c r="W357">
        <v>57358795381.5</v>
      </c>
      <c r="X357">
        <v>257.11883289524599</v>
      </c>
    </row>
    <row r="358" spans="1:24" x14ac:dyDescent="0.25">
      <c r="A358" t="s">
        <v>24</v>
      </c>
      <c r="B358" s="1">
        <v>41487</v>
      </c>
      <c r="C358">
        <v>1571</v>
      </c>
      <c r="D358">
        <v>45268306712.739998</v>
      </c>
      <c r="E358">
        <v>2.5159947521202</v>
      </c>
      <c r="T358" t="s">
        <v>24</v>
      </c>
      <c r="U358" s="1">
        <v>41487</v>
      </c>
      <c r="V358">
        <v>1571</v>
      </c>
      <c r="W358">
        <v>45268306712.739998</v>
      </c>
      <c r="X358">
        <v>2.20960682715006E-2</v>
      </c>
    </row>
    <row r="359" spans="1:24" x14ac:dyDescent="0.25">
      <c r="A359" t="s">
        <v>25</v>
      </c>
      <c r="B359" s="1">
        <v>41487</v>
      </c>
      <c r="C359">
        <v>890</v>
      </c>
      <c r="D359">
        <v>36201078184.980003</v>
      </c>
      <c r="E359">
        <v>0</v>
      </c>
      <c r="T359" t="s">
        <v>25</v>
      </c>
      <c r="U359" s="1">
        <v>41487</v>
      </c>
      <c r="V359">
        <v>890</v>
      </c>
      <c r="W359">
        <v>36201078184.980003</v>
      </c>
      <c r="X359">
        <v>4.6508039416748902E-3</v>
      </c>
    </row>
    <row r="360" spans="1:24" x14ac:dyDescent="0.25">
      <c r="A360" t="s">
        <v>23</v>
      </c>
      <c r="B360" s="1">
        <v>41518</v>
      </c>
      <c r="C360">
        <v>297935</v>
      </c>
      <c r="D360">
        <v>1638979706834.8101</v>
      </c>
      <c r="E360">
        <v>684.38518572650196</v>
      </c>
      <c r="T360" t="s">
        <v>23</v>
      </c>
      <c r="U360" s="1">
        <v>41518</v>
      </c>
      <c r="V360">
        <v>297935</v>
      </c>
      <c r="W360">
        <v>1638979706834.8101</v>
      </c>
      <c r="X360">
        <v>589.033879196783</v>
      </c>
    </row>
    <row r="361" spans="1:24" x14ac:dyDescent="0.25">
      <c r="A361" t="s">
        <v>22</v>
      </c>
      <c r="B361" s="1">
        <v>41518</v>
      </c>
      <c r="C361">
        <v>2002</v>
      </c>
      <c r="D361">
        <v>57378888746.93</v>
      </c>
      <c r="E361">
        <v>288.295350798051</v>
      </c>
      <c r="T361" t="s">
        <v>22</v>
      </c>
      <c r="U361" s="1">
        <v>41518</v>
      </c>
      <c r="V361">
        <v>2002</v>
      </c>
      <c r="W361">
        <v>57378888746.93</v>
      </c>
      <c r="X361">
        <v>245.70703959149299</v>
      </c>
    </row>
    <row r="362" spans="1:24" x14ac:dyDescent="0.25">
      <c r="A362" t="s">
        <v>24</v>
      </c>
      <c r="B362" s="1">
        <v>41518</v>
      </c>
      <c r="C362">
        <v>1617</v>
      </c>
      <c r="D362">
        <v>46324942815.470001</v>
      </c>
      <c r="E362">
        <v>2.6203590480539098</v>
      </c>
      <c r="T362" t="s">
        <v>24</v>
      </c>
      <c r="U362" s="1">
        <v>41518</v>
      </c>
      <c r="V362">
        <v>1617</v>
      </c>
      <c r="W362">
        <v>46324942815.470001</v>
      </c>
      <c r="X362">
        <v>2.3120276766625401E-2</v>
      </c>
    </row>
    <row r="363" spans="1:24" x14ac:dyDescent="0.25">
      <c r="A363" t="s">
        <v>25</v>
      </c>
      <c r="B363" s="1">
        <v>41518</v>
      </c>
      <c r="C363">
        <v>939</v>
      </c>
      <c r="D363">
        <v>37243354893.68</v>
      </c>
      <c r="E363">
        <v>0</v>
      </c>
      <c r="T363" t="s">
        <v>25</v>
      </c>
      <c r="U363" s="1">
        <v>41518</v>
      </c>
      <c r="V363">
        <v>939</v>
      </c>
      <c r="W363">
        <v>37243354893.68</v>
      </c>
      <c r="X363">
        <v>4.5054468015471496E-3</v>
      </c>
    </row>
    <row r="364" spans="1:24" x14ac:dyDescent="0.25">
      <c r="A364" t="s">
        <v>23</v>
      </c>
      <c r="B364" s="1">
        <v>41548</v>
      </c>
      <c r="C364">
        <v>298051</v>
      </c>
      <c r="D364">
        <v>1644012668533.9099</v>
      </c>
      <c r="E364">
        <v>669.07392451142596</v>
      </c>
      <c r="T364" t="s">
        <v>23</v>
      </c>
      <c r="U364" s="1">
        <v>41548</v>
      </c>
      <c r="V364">
        <v>298051</v>
      </c>
      <c r="W364">
        <v>1644012668533.9099</v>
      </c>
      <c r="X364">
        <v>574.92400237441996</v>
      </c>
    </row>
    <row r="365" spans="1:24" x14ac:dyDescent="0.25">
      <c r="A365" t="s">
        <v>22</v>
      </c>
      <c r="B365" s="1">
        <v>41548</v>
      </c>
      <c r="C365">
        <v>2022</v>
      </c>
      <c r="D365">
        <v>57356413673.699997</v>
      </c>
      <c r="E365">
        <v>280.59050403352001</v>
      </c>
      <c r="T365" t="s">
        <v>22</v>
      </c>
      <c r="U365" s="1">
        <v>41548</v>
      </c>
      <c r="V365">
        <v>2022</v>
      </c>
      <c r="W365">
        <v>57356413673.699997</v>
      </c>
      <c r="X365">
        <v>238.37529987866699</v>
      </c>
    </row>
    <row r="366" spans="1:24" x14ac:dyDescent="0.25">
      <c r="A366" t="s">
        <v>24</v>
      </c>
      <c r="B366" s="1">
        <v>41548</v>
      </c>
      <c r="C366">
        <v>1660</v>
      </c>
      <c r="D366">
        <v>47014770367.400002</v>
      </c>
      <c r="E366">
        <v>2.7321088151864799</v>
      </c>
      <c r="T366" t="s">
        <v>24</v>
      </c>
      <c r="U366" s="1">
        <v>41548</v>
      </c>
      <c r="V366">
        <v>1660</v>
      </c>
      <c r="W366">
        <v>47014770367.400002</v>
      </c>
      <c r="X366">
        <v>2.2109806592352298E-2</v>
      </c>
    </row>
    <row r="367" spans="1:24" x14ac:dyDescent="0.25">
      <c r="A367" t="s">
        <v>25</v>
      </c>
      <c r="B367" s="1">
        <v>41548</v>
      </c>
      <c r="C367">
        <v>980</v>
      </c>
      <c r="D367">
        <v>37852364380.050003</v>
      </c>
      <c r="E367">
        <v>0</v>
      </c>
      <c r="T367" t="s">
        <v>25</v>
      </c>
      <c r="U367" s="1">
        <v>41548</v>
      </c>
      <c r="V367">
        <v>980</v>
      </c>
      <c r="W367">
        <v>37852364380.050003</v>
      </c>
      <c r="X367">
        <v>4.41863965308858E-3</v>
      </c>
    </row>
    <row r="368" spans="1:24" x14ac:dyDescent="0.25">
      <c r="A368" t="s">
        <v>23</v>
      </c>
      <c r="B368" s="1">
        <v>41579</v>
      </c>
      <c r="C368">
        <v>298245</v>
      </c>
      <c r="D368">
        <v>1652973739227.2</v>
      </c>
      <c r="E368">
        <v>660.823926683639</v>
      </c>
      <c r="T368" t="s">
        <v>23</v>
      </c>
      <c r="U368" s="1">
        <v>41579</v>
      </c>
      <c r="V368">
        <v>298245</v>
      </c>
      <c r="W368">
        <v>1652973739227.2</v>
      </c>
      <c r="X368">
        <v>566.77917523128099</v>
      </c>
    </row>
    <row r="369" spans="1:24" x14ac:dyDescent="0.25">
      <c r="A369" t="s">
        <v>22</v>
      </c>
      <c r="B369" s="1">
        <v>41579</v>
      </c>
      <c r="C369">
        <v>2039</v>
      </c>
      <c r="D369">
        <v>57531922542.139999</v>
      </c>
      <c r="E369">
        <v>278.06931932987902</v>
      </c>
      <c r="T369" t="s">
        <v>22</v>
      </c>
      <c r="U369" s="1">
        <v>41579</v>
      </c>
      <c r="V369">
        <v>2039</v>
      </c>
      <c r="W369">
        <v>57531922542.139999</v>
      </c>
      <c r="X369">
        <v>235.248398871348</v>
      </c>
    </row>
    <row r="370" spans="1:24" x14ac:dyDescent="0.25">
      <c r="A370" t="s">
        <v>24</v>
      </c>
      <c r="B370" s="1">
        <v>41579</v>
      </c>
      <c r="C370">
        <v>1704</v>
      </c>
      <c r="D370">
        <v>47554737040.699997</v>
      </c>
      <c r="E370">
        <v>3.2868839886737602</v>
      </c>
      <c r="T370" t="s">
        <v>24</v>
      </c>
      <c r="U370" s="1">
        <v>41579</v>
      </c>
      <c r="V370">
        <v>1704</v>
      </c>
      <c r="W370">
        <v>47554737040.699997</v>
      </c>
      <c r="X370">
        <v>2.6993667235697599E-2</v>
      </c>
    </row>
    <row r="371" spans="1:24" x14ac:dyDescent="0.25">
      <c r="A371" t="s">
        <v>25</v>
      </c>
      <c r="B371" s="1">
        <v>41579</v>
      </c>
      <c r="C371">
        <v>1016</v>
      </c>
      <c r="D371">
        <v>38288256348.959999</v>
      </c>
      <c r="E371">
        <v>0</v>
      </c>
      <c r="T371" t="s">
        <v>25</v>
      </c>
      <c r="U371" s="1">
        <v>41579</v>
      </c>
      <c r="V371">
        <v>1016</v>
      </c>
      <c r="W371">
        <v>38288256348.959999</v>
      </c>
      <c r="X371">
        <v>4.3534325300905096E-3</v>
      </c>
    </row>
    <row r="372" spans="1:24" x14ac:dyDescent="0.25">
      <c r="A372" t="s">
        <v>23</v>
      </c>
      <c r="B372" s="1">
        <v>41609</v>
      </c>
      <c r="C372">
        <v>298380</v>
      </c>
      <c r="D372">
        <v>1657289777281.8</v>
      </c>
      <c r="E372">
        <v>654.00607018513494</v>
      </c>
      <c r="T372" t="s">
        <v>23</v>
      </c>
      <c r="U372" s="1">
        <v>41609</v>
      </c>
      <c r="V372">
        <v>298380</v>
      </c>
      <c r="W372">
        <v>1657289777281.8</v>
      </c>
      <c r="X372">
        <v>559.94922089150896</v>
      </c>
    </row>
    <row r="373" spans="1:24" x14ac:dyDescent="0.25">
      <c r="A373" t="s">
        <v>22</v>
      </c>
      <c r="B373" s="1">
        <v>41609</v>
      </c>
      <c r="C373">
        <v>2050</v>
      </c>
      <c r="D373">
        <v>57672150701.269997</v>
      </c>
      <c r="E373">
        <v>275.64741286547098</v>
      </c>
      <c r="T373" t="s">
        <v>22</v>
      </c>
      <c r="U373" s="1">
        <v>41609</v>
      </c>
      <c r="V373">
        <v>2050</v>
      </c>
      <c r="W373">
        <v>57672150701.269997</v>
      </c>
      <c r="X373">
        <v>232.19420794193499</v>
      </c>
    </row>
    <row r="374" spans="1:24" x14ac:dyDescent="0.25">
      <c r="A374" t="s">
        <v>24</v>
      </c>
      <c r="B374" s="1">
        <v>41609</v>
      </c>
      <c r="C374">
        <v>1735</v>
      </c>
      <c r="D374">
        <v>47935165709.389999</v>
      </c>
      <c r="E374">
        <v>3.5642966789331001</v>
      </c>
      <c r="T374" t="s">
        <v>24</v>
      </c>
      <c r="U374" s="1">
        <v>41609</v>
      </c>
      <c r="V374">
        <v>1735</v>
      </c>
      <c r="W374">
        <v>47935165709.389999</v>
      </c>
      <c r="X374">
        <v>3.1534857380747398E-2</v>
      </c>
    </row>
    <row r="375" spans="1:24" x14ac:dyDescent="0.25">
      <c r="A375" t="s">
        <v>25</v>
      </c>
      <c r="B375" s="1">
        <v>41609</v>
      </c>
      <c r="C375">
        <v>1053</v>
      </c>
      <c r="D375">
        <v>38615010697.739998</v>
      </c>
      <c r="E375">
        <v>0</v>
      </c>
      <c r="T375" t="s">
        <v>25</v>
      </c>
      <c r="U375" s="1">
        <v>41609</v>
      </c>
      <c r="V375">
        <v>1053</v>
      </c>
      <c r="W375">
        <v>38615010697.739998</v>
      </c>
      <c r="X375">
        <v>4.3051294889814504E-3</v>
      </c>
    </row>
    <row r="376" spans="1:24" x14ac:dyDescent="0.25">
      <c r="A376" t="s">
        <v>23</v>
      </c>
      <c r="B376" s="1">
        <v>41640</v>
      </c>
      <c r="C376">
        <v>298565</v>
      </c>
      <c r="D376">
        <v>1661238948532.75</v>
      </c>
      <c r="E376">
        <v>650.314789073052</v>
      </c>
      <c r="T376" t="s">
        <v>23</v>
      </c>
      <c r="U376" s="1">
        <v>41640</v>
      </c>
      <c r="V376">
        <v>298565</v>
      </c>
      <c r="W376">
        <v>1661238948532.75</v>
      </c>
      <c r="X376">
        <v>559.75469552969196</v>
      </c>
    </row>
    <row r="377" spans="1:24" x14ac:dyDescent="0.25">
      <c r="A377" t="s">
        <v>22</v>
      </c>
      <c r="B377" s="1">
        <v>41640</v>
      </c>
      <c r="C377">
        <v>2057</v>
      </c>
      <c r="D377">
        <v>57721870841.419998</v>
      </c>
      <c r="E377">
        <v>274.74023917795301</v>
      </c>
      <c r="T377" t="s">
        <v>22</v>
      </c>
      <c r="U377" s="1">
        <v>41640</v>
      </c>
      <c r="V377">
        <v>2057</v>
      </c>
      <c r="W377">
        <v>57721870841.419998</v>
      </c>
      <c r="X377">
        <v>235.628373191468</v>
      </c>
    </row>
    <row r="378" spans="1:24" x14ac:dyDescent="0.25">
      <c r="A378" t="s">
        <v>24</v>
      </c>
      <c r="B378" s="1">
        <v>41640</v>
      </c>
      <c r="C378">
        <v>1774</v>
      </c>
      <c r="D378">
        <v>48419743931.309998</v>
      </c>
      <c r="E378">
        <v>3.7179778437659698</v>
      </c>
      <c r="T378" t="s">
        <v>24</v>
      </c>
      <c r="U378" s="1">
        <v>41640</v>
      </c>
      <c r="V378">
        <v>1774</v>
      </c>
      <c r="W378">
        <v>48419743931.309998</v>
      </c>
      <c r="X378">
        <v>0.11200400279485501</v>
      </c>
    </row>
    <row r="379" spans="1:24" x14ac:dyDescent="0.25">
      <c r="A379" t="s">
        <v>25</v>
      </c>
      <c r="B379" s="1">
        <v>41640</v>
      </c>
      <c r="C379">
        <v>1080</v>
      </c>
      <c r="D379">
        <v>39260930004.410004</v>
      </c>
      <c r="E379">
        <v>1.94875521980454E-3</v>
      </c>
      <c r="T379" t="s">
        <v>25</v>
      </c>
      <c r="U379" s="1">
        <v>41640</v>
      </c>
      <c r="V379">
        <v>1080</v>
      </c>
      <c r="W379">
        <v>39260930004.410004</v>
      </c>
      <c r="X379">
        <v>6.2631244429681501E-3</v>
      </c>
    </row>
    <row r="380" spans="1:24" x14ac:dyDescent="0.25">
      <c r="A380" t="s">
        <v>23</v>
      </c>
      <c r="B380" s="1">
        <v>41671</v>
      </c>
      <c r="C380">
        <v>298522</v>
      </c>
      <c r="D380">
        <v>1659593431085.3999</v>
      </c>
      <c r="E380">
        <v>728.03734240114397</v>
      </c>
      <c r="T380" t="s">
        <v>23</v>
      </c>
      <c r="U380" s="1">
        <v>41671</v>
      </c>
      <c r="V380">
        <v>298522</v>
      </c>
      <c r="W380">
        <v>1659593431085.3999</v>
      </c>
      <c r="X380">
        <v>716.28152810165398</v>
      </c>
    </row>
    <row r="381" spans="1:24" x14ac:dyDescent="0.25">
      <c r="A381" t="s">
        <v>22</v>
      </c>
      <c r="B381" s="1">
        <v>41671</v>
      </c>
      <c r="C381">
        <v>2063</v>
      </c>
      <c r="D381">
        <v>57492039709.059998</v>
      </c>
      <c r="E381">
        <v>301.49135141110202</v>
      </c>
      <c r="T381" t="s">
        <v>22</v>
      </c>
      <c r="U381" s="1">
        <v>41671</v>
      </c>
      <c r="V381">
        <v>2063</v>
      </c>
      <c r="W381">
        <v>57492039709.059998</v>
      </c>
      <c r="X381">
        <v>301.09526498254002</v>
      </c>
    </row>
    <row r="382" spans="1:24" x14ac:dyDescent="0.25">
      <c r="A382" t="s">
        <v>24</v>
      </c>
      <c r="B382" s="1">
        <v>41671</v>
      </c>
      <c r="C382">
        <v>1801</v>
      </c>
      <c r="D382">
        <v>48560145055.739998</v>
      </c>
      <c r="E382">
        <v>2.6061217727272199</v>
      </c>
      <c r="T382" t="s">
        <v>24</v>
      </c>
      <c r="U382" s="1">
        <v>41671</v>
      </c>
      <c r="V382">
        <v>1801</v>
      </c>
      <c r="W382">
        <v>48560145055.739998</v>
      </c>
      <c r="X382">
        <v>2.6330640991372798</v>
      </c>
    </row>
    <row r="383" spans="1:24" x14ac:dyDescent="0.25">
      <c r="A383" t="s">
        <v>25</v>
      </c>
      <c r="B383" s="1">
        <v>41671</v>
      </c>
      <c r="C383">
        <v>1104</v>
      </c>
      <c r="D383">
        <v>39416596215.529999</v>
      </c>
      <c r="E383">
        <v>5.9194254619065897E-2</v>
      </c>
      <c r="T383" t="s">
        <v>25</v>
      </c>
      <c r="U383" s="1">
        <v>41671</v>
      </c>
      <c r="V383">
        <v>1104</v>
      </c>
      <c r="W383">
        <v>39416596215.529999</v>
      </c>
      <c r="X383">
        <v>6.0615870219577803E-2</v>
      </c>
    </row>
    <row r="384" spans="1:24" x14ac:dyDescent="0.25">
      <c r="A384" t="s">
        <v>23</v>
      </c>
      <c r="B384" s="1">
        <v>41699</v>
      </c>
      <c r="C384">
        <v>298590</v>
      </c>
      <c r="D384">
        <v>1661124798886</v>
      </c>
      <c r="E384">
        <v>725.03162263204797</v>
      </c>
      <c r="T384" t="s">
        <v>23</v>
      </c>
      <c r="U384" s="1">
        <v>41699</v>
      </c>
      <c r="V384">
        <v>298590</v>
      </c>
      <c r="W384">
        <v>1661124798886</v>
      </c>
      <c r="X384">
        <v>711.27184434424396</v>
      </c>
    </row>
    <row r="385" spans="1:24" x14ac:dyDescent="0.25">
      <c r="A385" t="s">
        <v>22</v>
      </c>
      <c r="B385" s="1">
        <v>41699</v>
      </c>
      <c r="C385">
        <v>2070</v>
      </c>
      <c r="D385">
        <v>57352259518.470001</v>
      </c>
      <c r="E385">
        <v>302.14721725820101</v>
      </c>
      <c r="T385" t="s">
        <v>22</v>
      </c>
      <c r="U385" s="1">
        <v>41699</v>
      </c>
      <c r="V385">
        <v>2070</v>
      </c>
      <c r="W385">
        <v>57352259518.470001</v>
      </c>
      <c r="X385">
        <v>301.338944474257</v>
      </c>
    </row>
    <row r="386" spans="1:24" x14ac:dyDescent="0.25">
      <c r="A386" t="s">
        <v>24</v>
      </c>
      <c r="B386" s="1">
        <v>41699</v>
      </c>
      <c r="C386">
        <v>1826</v>
      </c>
      <c r="D386">
        <v>48717365807.82</v>
      </c>
      <c r="E386">
        <v>5.8742340058851399</v>
      </c>
      <c r="T386" t="s">
        <v>24</v>
      </c>
      <c r="U386" s="1">
        <v>41699</v>
      </c>
      <c r="V386">
        <v>1826</v>
      </c>
      <c r="W386">
        <v>48717365807.82</v>
      </c>
      <c r="X386">
        <v>5.9309292138913499</v>
      </c>
    </row>
    <row r="387" spans="1:24" x14ac:dyDescent="0.25">
      <c r="A387" t="s">
        <v>25</v>
      </c>
      <c r="B387" s="1">
        <v>41699</v>
      </c>
      <c r="C387">
        <v>1126</v>
      </c>
      <c r="D387">
        <v>39507898369.230003</v>
      </c>
      <c r="E387">
        <v>0.159757127521549</v>
      </c>
      <c r="T387" t="s">
        <v>25</v>
      </c>
      <c r="U387" s="1">
        <v>41699</v>
      </c>
      <c r="V387">
        <v>1126</v>
      </c>
      <c r="W387">
        <v>39507898369.230003</v>
      </c>
      <c r="X387">
        <v>0.16381828813247501</v>
      </c>
    </row>
    <row r="388" spans="1:24" x14ac:dyDescent="0.25">
      <c r="A388" t="s">
        <v>23</v>
      </c>
      <c r="B388" s="1">
        <v>41730</v>
      </c>
      <c r="C388">
        <v>298754</v>
      </c>
      <c r="D388">
        <v>1661638057181.03</v>
      </c>
      <c r="E388">
        <v>723.51470141795005</v>
      </c>
      <c r="T388" t="s">
        <v>23</v>
      </c>
      <c r="U388" s="1">
        <v>41730</v>
      </c>
      <c r="V388">
        <v>298754</v>
      </c>
      <c r="W388">
        <v>1661638057181.03</v>
      </c>
      <c r="X388">
        <v>706.94895303444798</v>
      </c>
    </row>
    <row r="389" spans="1:24" x14ac:dyDescent="0.25">
      <c r="A389" t="s">
        <v>22</v>
      </c>
      <c r="B389" s="1">
        <v>41730</v>
      </c>
      <c r="C389">
        <v>2071</v>
      </c>
      <c r="D389">
        <v>57132134715.449997</v>
      </c>
      <c r="E389">
        <v>303.27255325951</v>
      </c>
      <c r="T389" t="s">
        <v>22</v>
      </c>
      <c r="U389" s="1">
        <v>41730</v>
      </c>
      <c r="V389">
        <v>2071</v>
      </c>
      <c r="W389">
        <v>57132134715.449997</v>
      </c>
      <c r="X389">
        <v>301.997745601926</v>
      </c>
    </row>
    <row r="390" spans="1:24" x14ac:dyDescent="0.25">
      <c r="A390" t="s">
        <v>24</v>
      </c>
      <c r="B390" s="1">
        <v>41730</v>
      </c>
      <c r="C390">
        <v>1844</v>
      </c>
      <c r="D390">
        <v>48775718507.580002</v>
      </c>
      <c r="E390">
        <v>9.0169565703567898</v>
      </c>
      <c r="T390" t="s">
        <v>24</v>
      </c>
      <c r="U390" s="1">
        <v>41730</v>
      </c>
      <c r="V390">
        <v>1844</v>
      </c>
      <c r="W390">
        <v>48775718507.580002</v>
      </c>
      <c r="X390">
        <v>9.0911741291327992</v>
      </c>
    </row>
    <row r="391" spans="1:24" x14ac:dyDescent="0.25">
      <c r="A391" t="s">
        <v>25</v>
      </c>
      <c r="B391" s="1">
        <v>41730</v>
      </c>
      <c r="C391">
        <v>1146</v>
      </c>
      <c r="D391">
        <v>39554921006.989998</v>
      </c>
      <c r="E391">
        <v>0.236123514378694</v>
      </c>
      <c r="T391" t="s">
        <v>25</v>
      </c>
      <c r="U391" s="1">
        <v>41730</v>
      </c>
      <c r="V391">
        <v>1146</v>
      </c>
      <c r="W391">
        <v>39554921006.989998</v>
      </c>
      <c r="X391">
        <v>0.24266285431032</v>
      </c>
    </row>
    <row r="392" spans="1:24" x14ac:dyDescent="0.25">
      <c r="A392" t="s">
        <v>23</v>
      </c>
      <c r="B392" s="1">
        <v>41760</v>
      </c>
      <c r="C392">
        <v>298806</v>
      </c>
      <c r="D392">
        <v>1662332949157.3501</v>
      </c>
      <c r="E392">
        <v>720.66428889465203</v>
      </c>
      <c r="T392" t="s">
        <v>23</v>
      </c>
      <c r="U392" s="1">
        <v>41760</v>
      </c>
      <c r="V392">
        <v>298806</v>
      </c>
      <c r="W392">
        <v>1662332949157.3501</v>
      </c>
      <c r="X392">
        <v>701.44283545124699</v>
      </c>
    </row>
    <row r="393" spans="1:24" x14ac:dyDescent="0.25">
      <c r="A393" t="s">
        <v>22</v>
      </c>
      <c r="B393" s="1">
        <v>41760</v>
      </c>
      <c r="C393">
        <v>2078</v>
      </c>
      <c r="D393">
        <v>56845766696.43</v>
      </c>
      <c r="E393">
        <v>304.49257696256802</v>
      </c>
      <c r="T393" t="s">
        <v>22</v>
      </c>
      <c r="U393" s="1">
        <v>41760</v>
      </c>
      <c r="V393">
        <v>2078</v>
      </c>
      <c r="W393">
        <v>56845766696.43</v>
      </c>
      <c r="X393">
        <v>302.77379451189898</v>
      </c>
    </row>
    <row r="394" spans="1:24" x14ac:dyDescent="0.25">
      <c r="A394" t="s">
        <v>24</v>
      </c>
      <c r="B394" s="1">
        <v>41760</v>
      </c>
      <c r="C394">
        <v>1858</v>
      </c>
      <c r="D394">
        <v>48727978881.080002</v>
      </c>
      <c r="E394">
        <v>12.257541496999099</v>
      </c>
      <c r="T394" t="s">
        <v>24</v>
      </c>
      <c r="U394" s="1">
        <v>41760</v>
      </c>
      <c r="V394">
        <v>1858</v>
      </c>
      <c r="W394">
        <v>48727978881.080002</v>
      </c>
      <c r="X394">
        <v>12.3469701053466</v>
      </c>
    </row>
    <row r="395" spans="1:24" x14ac:dyDescent="0.25">
      <c r="A395" t="s">
        <v>25</v>
      </c>
      <c r="B395" s="1">
        <v>41760</v>
      </c>
      <c r="C395">
        <v>1161</v>
      </c>
      <c r="D395">
        <v>39534993055.339996</v>
      </c>
      <c r="E395">
        <v>0.33094737309508199</v>
      </c>
      <c r="T395" t="s">
        <v>25</v>
      </c>
      <c r="U395" s="1">
        <v>41760</v>
      </c>
      <c r="V395">
        <v>1161</v>
      </c>
      <c r="W395">
        <v>39534993055.339996</v>
      </c>
      <c r="X395">
        <v>0.340378868698614</v>
      </c>
    </row>
    <row r="396" spans="1:24" x14ac:dyDescent="0.25">
      <c r="A396" t="s">
        <v>23</v>
      </c>
      <c r="B396" s="1">
        <v>41791</v>
      </c>
      <c r="C396">
        <v>298894</v>
      </c>
      <c r="D396">
        <v>1662352977660.22</v>
      </c>
      <c r="E396">
        <v>720.38954603078605</v>
      </c>
      <c r="T396" t="s">
        <v>23</v>
      </c>
      <c r="U396" s="1">
        <v>41791</v>
      </c>
      <c r="V396">
        <v>298894</v>
      </c>
      <c r="W396">
        <v>1662352977660.22</v>
      </c>
      <c r="X396">
        <v>698.17537510802697</v>
      </c>
    </row>
    <row r="397" spans="1:24" x14ac:dyDescent="0.25">
      <c r="A397" t="s">
        <v>22</v>
      </c>
      <c r="B397" s="1">
        <v>41791</v>
      </c>
      <c r="C397">
        <v>2079</v>
      </c>
      <c r="D397">
        <v>56578875659.620003</v>
      </c>
      <c r="E397">
        <v>306.91825903032901</v>
      </c>
      <c r="T397" t="s">
        <v>22</v>
      </c>
      <c r="U397" s="1">
        <v>41791</v>
      </c>
      <c r="V397">
        <v>2079</v>
      </c>
      <c r="W397">
        <v>56578875659.620003</v>
      </c>
      <c r="X397">
        <v>304.72965706994802</v>
      </c>
    </row>
    <row r="398" spans="1:24" x14ac:dyDescent="0.25">
      <c r="A398" t="s">
        <v>24</v>
      </c>
      <c r="B398" s="1">
        <v>41791</v>
      </c>
      <c r="C398">
        <v>1870</v>
      </c>
      <c r="D398">
        <v>48598619464.529999</v>
      </c>
      <c r="E398">
        <v>16.7671467431833</v>
      </c>
      <c r="T398" t="s">
        <v>24</v>
      </c>
      <c r="U398" s="1">
        <v>41791</v>
      </c>
      <c r="V398">
        <v>1870</v>
      </c>
      <c r="W398">
        <v>48598619464.529999</v>
      </c>
      <c r="X398">
        <v>16.892570197804101</v>
      </c>
    </row>
    <row r="399" spans="1:24" x14ac:dyDescent="0.25">
      <c r="A399" t="s">
        <v>25</v>
      </c>
      <c r="B399" s="1">
        <v>41791</v>
      </c>
      <c r="C399">
        <v>1174</v>
      </c>
      <c r="D399">
        <v>39463404393.919998</v>
      </c>
      <c r="E399">
        <v>0.52295455109475997</v>
      </c>
      <c r="T399" t="s">
        <v>25</v>
      </c>
      <c r="U399" s="1">
        <v>41791</v>
      </c>
      <c r="V399">
        <v>1174</v>
      </c>
      <c r="W399">
        <v>39463404393.919998</v>
      </c>
      <c r="X399">
        <v>0.53972599919960196</v>
      </c>
    </row>
    <row r="400" spans="1:24" x14ac:dyDescent="0.25">
      <c r="A400" t="s">
        <v>23</v>
      </c>
      <c r="B400" s="1">
        <v>41821</v>
      </c>
      <c r="C400">
        <v>299170</v>
      </c>
      <c r="D400">
        <v>1664665897034.6699</v>
      </c>
      <c r="E400">
        <v>719.25916398962397</v>
      </c>
      <c r="T400" t="s">
        <v>23</v>
      </c>
      <c r="U400" s="1">
        <v>41821</v>
      </c>
      <c r="V400">
        <v>299170</v>
      </c>
      <c r="W400">
        <v>1664665897034.6699</v>
      </c>
      <c r="X400">
        <v>694.17895465660797</v>
      </c>
    </row>
    <row r="401" spans="1:24" x14ac:dyDescent="0.25">
      <c r="A401" t="s">
        <v>22</v>
      </c>
      <c r="B401" s="1">
        <v>41821</v>
      </c>
      <c r="C401">
        <v>2077</v>
      </c>
      <c r="D401">
        <v>56276938887.650002</v>
      </c>
      <c r="E401">
        <v>309.36232314576102</v>
      </c>
      <c r="T401" t="s">
        <v>22</v>
      </c>
      <c r="U401" s="1">
        <v>41821</v>
      </c>
      <c r="V401">
        <v>2077</v>
      </c>
      <c r="W401">
        <v>56276938887.650002</v>
      </c>
      <c r="X401">
        <v>306.743316825882</v>
      </c>
    </row>
    <row r="402" spans="1:24" x14ac:dyDescent="0.25">
      <c r="A402" t="s">
        <v>24</v>
      </c>
      <c r="B402" s="1">
        <v>41821</v>
      </c>
      <c r="C402">
        <v>1884</v>
      </c>
      <c r="D402">
        <v>48483101276.080002</v>
      </c>
      <c r="E402">
        <v>21.453039240674201</v>
      </c>
      <c r="T402" t="s">
        <v>24</v>
      </c>
      <c r="U402" s="1">
        <v>41821</v>
      </c>
      <c r="V402">
        <v>1884</v>
      </c>
      <c r="W402">
        <v>48483101276.080002</v>
      </c>
      <c r="X402">
        <v>21.6136384490678</v>
      </c>
    </row>
    <row r="403" spans="1:24" x14ac:dyDescent="0.25">
      <c r="A403" t="s">
        <v>25</v>
      </c>
      <c r="B403" s="1">
        <v>41821</v>
      </c>
      <c r="C403">
        <v>1188</v>
      </c>
      <c r="D403">
        <v>39388794194.209999</v>
      </c>
      <c r="E403">
        <v>0.74154929764688804</v>
      </c>
      <c r="T403" t="s">
        <v>25</v>
      </c>
      <c r="U403" s="1">
        <v>41821</v>
      </c>
      <c r="V403">
        <v>1188</v>
      </c>
      <c r="W403">
        <v>39388794194.209999</v>
      </c>
      <c r="X403">
        <v>0.765867475739201</v>
      </c>
    </row>
    <row r="404" spans="1:24" x14ac:dyDescent="0.25">
      <c r="A404" t="s">
        <v>23</v>
      </c>
      <c r="B404" s="1">
        <v>41852</v>
      </c>
      <c r="C404">
        <v>299545</v>
      </c>
      <c r="D404">
        <v>1668539955684.26</v>
      </c>
      <c r="E404">
        <v>717.04918523835897</v>
      </c>
      <c r="T404" t="s">
        <v>23</v>
      </c>
      <c r="U404" s="1">
        <v>41852</v>
      </c>
      <c r="V404">
        <v>299545</v>
      </c>
      <c r="W404">
        <v>1668539955684.26</v>
      </c>
      <c r="X404">
        <v>689.23541896763902</v>
      </c>
    </row>
    <row r="405" spans="1:24" x14ac:dyDescent="0.25">
      <c r="A405" t="s">
        <v>22</v>
      </c>
      <c r="B405" s="1">
        <v>41852</v>
      </c>
      <c r="C405">
        <v>2081</v>
      </c>
      <c r="D405">
        <v>56062210355.080002</v>
      </c>
      <c r="E405">
        <v>311.45814086821002</v>
      </c>
      <c r="T405" t="s">
        <v>22</v>
      </c>
      <c r="U405" s="1">
        <v>41852</v>
      </c>
      <c r="V405">
        <v>2081</v>
      </c>
      <c r="W405">
        <v>56062210355.080002</v>
      </c>
      <c r="X405">
        <v>308.40524199502198</v>
      </c>
    </row>
    <row r="406" spans="1:24" x14ac:dyDescent="0.25">
      <c r="A406" t="s">
        <v>24</v>
      </c>
      <c r="B406" s="1">
        <v>41852</v>
      </c>
      <c r="C406">
        <v>1898</v>
      </c>
      <c r="D406">
        <v>48306769923.019997</v>
      </c>
      <c r="E406">
        <v>26.404603196462499</v>
      </c>
      <c r="T406" t="s">
        <v>24</v>
      </c>
      <c r="U406" s="1">
        <v>41852</v>
      </c>
      <c r="V406">
        <v>1898</v>
      </c>
      <c r="W406">
        <v>48306769923.019997</v>
      </c>
      <c r="X406">
        <v>26.5984945485271</v>
      </c>
    </row>
    <row r="407" spans="1:24" x14ac:dyDescent="0.25">
      <c r="A407" t="s">
        <v>25</v>
      </c>
      <c r="B407" s="1">
        <v>41852</v>
      </c>
      <c r="C407">
        <v>1198</v>
      </c>
      <c r="D407">
        <v>39294654817.349998</v>
      </c>
      <c r="E407">
        <v>0.99274737658963896</v>
      </c>
      <c r="T407" t="s">
        <v>25</v>
      </c>
      <c r="U407" s="1">
        <v>41852</v>
      </c>
      <c r="V407">
        <v>1198</v>
      </c>
      <c r="W407">
        <v>39294654817.349998</v>
      </c>
      <c r="X407">
        <v>1.0264015655787999</v>
      </c>
    </row>
    <row r="408" spans="1:24" x14ac:dyDescent="0.25">
      <c r="A408" t="s">
        <v>23</v>
      </c>
      <c r="B408" s="1">
        <v>41883</v>
      </c>
      <c r="C408">
        <v>299871</v>
      </c>
      <c r="D408">
        <v>1670343938037</v>
      </c>
      <c r="E408">
        <v>715.75889187760004</v>
      </c>
      <c r="T408" t="s">
        <v>23</v>
      </c>
      <c r="U408" s="1">
        <v>41883</v>
      </c>
      <c r="V408">
        <v>299871</v>
      </c>
      <c r="W408">
        <v>1670343938037</v>
      </c>
      <c r="X408">
        <v>685.27728701231501</v>
      </c>
    </row>
    <row r="409" spans="1:24" x14ac:dyDescent="0.25">
      <c r="A409" t="s">
        <v>22</v>
      </c>
      <c r="B409" s="1">
        <v>41883</v>
      </c>
      <c r="C409">
        <v>2087</v>
      </c>
      <c r="D409">
        <v>55645540533.309998</v>
      </c>
      <c r="E409">
        <v>313.424942841421</v>
      </c>
      <c r="T409" t="s">
        <v>22</v>
      </c>
      <c r="U409" s="1">
        <v>41883</v>
      </c>
      <c r="V409">
        <v>2087</v>
      </c>
      <c r="W409">
        <v>55645540533.309998</v>
      </c>
      <c r="X409">
        <v>310.001827701499</v>
      </c>
    </row>
    <row r="410" spans="1:24" x14ac:dyDescent="0.25">
      <c r="A410" t="s">
        <v>24</v>
      </c>
      <c r="B410" s="1">
        <v>41883</v>
      </c>
      <c r="C410">
        <v>1915</v>
      </c>
      <c r="D410">
        <v>48102232418.32</v>
      </c>
      <c r="E410">
        <v>31.579670124205801</v>
      </c>
      <c r="T410" t="s">
        <v>24</v>
      </c>
      <c r="U410" s="1">
        <v>41883</v>
      </c>
      <c r="V410">
        <v>1915</v>
      </c>
      <c r="W410">
        <v>48102232418.32</v>
      </c>
      <c r="X410">
        <v>31.804130271195501</v>
      </c>
    </row>
    <row r="411" spans="1:24" x14ac:dyDescent="0.25">
      <c r="A411" t="s">
        <v>25</v>
      </c>
      <c r="B411" s="1">
        <v>41883</v>
      </c>
      <c r="C411">
        <v>1209</v>
      </c>
      <c r="D411">
        <v>39192835810.529999</v>
      </c>
      <c r="E411">
        <v>1.28022742380558</v>
      </c>
      <c r="T411" t="s">
        <v>25</v>
      </c>
      <c r="U411" s="1">
        <v>41883</v>
      </c>
      <c r="V411">
        <v>1209</v>
      </c>
      <c r="W411">
        <v>39192835810.529999</v>
      </c>
      <c r="X411">
        <v>1.3242854465172</v>
      </c>
    </row>
    <row r="412" spans="1:24" x14ac:dyDescent="0.25">
      <c r="A412" t="s">
        <v>23</v>
      </c>
      <c r="B412" s="1">
        <v>41913</v>
      </c>
      <c r="C412">
        <v>300262</v>
      </c>
      <c r="D412">
        <v>1676850309557.6299</v>
      </c>
      <c r="E412">
        <v>713.38885099312495</v>
      </c>
      <c r="T412" t="s">
        <v>23</v>
      </c>
      <c r="U412" s="1">
        <v>41913</v>
      </c>
      <c r="V412">
        <v>300262</v>
      </c>
      <c r="W412">
        <v>1676850309557.6299</v>
      </c>
      <c r="X412">
        <v>680.52767170773495</v>
      </c>
    </row>
    <row r="413" spans="1:24" x14ac:dyDescent="0.25">
      <c r="A413" t="s">
        <v>22</v>
      </c>
      <c r="B413" s="1">
        <v>41913</v>
      </c>
      <c r="C413">
        <v>2090</v>
      </c>
      <c r="D413">
        <v>55621264788.639999</v>
      </c>
      <c r="E413">
        <v>315.27282613308603</v>
      </c>
      <c r="T413" t="s">
        <v>22</v>
      </c>
      <c r="U413" s="1">
        <v>41913</v>
      </c>
      <c r="V413">
        <v>2090</v>
      </c>
      <c r="W413">
        <v>55621264788.639999</v>
      </c>
      <c r="X413">
        <v>311.48243437314198</v>
      </c>
    </row>
    <row r="414" spans="1:24" x14ac:dyDescent="0.25">
      <c r="A414" t="s">
        <v>24</v>
      </c>
      <c r="B414" s="1">
        <v>41913</v>
      </c>
      <c r="C414">
        <v>1926</v>
      </c>
      <c r="D414">
        <v>47890424521.330002</v>
      </c>
      <c r="E414">
        <v>36.604018655583097</v>
      </c>
      <c r="T414" t="s">
        <v>24</v>
      </c>
      <c r="U414" s="1">
        <v>41913</v>
      </c>
      <c r="V414">
        <v>1926</v>
      </c>
      <c r="W414">
        <v>47890424521.330002</v>
      </c>
      <c r="X414">
        <v>36.8499378419869</v>
      </c>
    </row>
    <row r="415" spans="1:24" x14ac:dyDescent="0.25">
      <c r="A415" t="s">
        <v>25</v>
      </c>
      <c r="B415" s="1">
        <v>41913</v>
      </c>
      <c r="C415">
        <v>1218</v>
      </c>
      <c r="D415">
        <v>39081676749.080002</v>
      </c>
      <c r="E415">
        <v>1.5635807948473901</v>
      </c>
      <c r="T415" t="s">
        <v>25</v>
      </c>
      <c r="U415" s="1">
        <v>41913</v>
      </c>
      <c r="V415">
        <v>1218</v>
      </c>
      <c r="W415">
        <v>39081676749.080002</v>
      </c>
      <c r="X415">
        <v>1.61664204123942</v>
      </c>
    </row>
    <row r="416" spans="1:24" x14ac:dyDescent="0.25">
      <c r="A416" t="s">
        <v>23</v>
      </c>
      <c r="B416" s="1">
        <v>41944</v>
      </c>
      <c r="C416">
        <v>300784</v>
      </c>
      <c r="D416">
        <v>1684277646790.8601</v>
      </c>
      <c r="E416">
        <v>712.52330189223505</v>
      </c>
      <c r="T416" t="s">
        <v>23</v>
      </c>
      <c r="U416" s="1">
        <v>41944</v>
      </c>
      <c r="V416">
        <v>300784</v>
      </c>
      <c r="W416">
        <v>1684277646790.8601</v>
      </c>
      <c r="X416">
        <v>677.13700121548004</v>
      </c>
    </row>
    <row r="417" spans="1:24" x14ac:dyDescent="0.25">
      <c r="A417" t="s">
        <v>22</v>
      </c>
      <c r="B417" s="1">
        <v>41944</v>
      </c>
      <c r="C417">
        <v>2089</v>
      </c>
      <c r="D417">
        <v>55366832140.669998</v>
      </c>
      <c r="E417">
        <v>318.47831341833302</v>
      </c>
      <c r="T417" t="s">
        <v>22</v>
      </c>
      <c r="U417" s="1">
        <v>41944</v>
      </c>
      <c r="V417">
        <v>2089</v>
      </c>
      <c r="W417">
        <v>55366832140.669998</v>
      </c>
      <c r="X417">
        <v>314.30616013131998</v>
      </c>
    </row>
    <row r="418" spans="1:24" x14ac:dyDescent="0.25">
      <c r="A418" t="s">
        <v>24</v>
      </c>
      <c r="B418" s="1">
        <v>41944</v>
      </c>
      <c r="C418">
        <v>1935</v>
      </c>
      <c r="D418">
        <v>47664710255.110001</v>
      </c>
      <c r="E418">
        <v>42.8785418505366</v>
      </c>
      <c r="T418" t="s">
        <v>24</v>
      </c>
      <c r="U418" s="1">
        <v>41944</v>
      </c>
      <c r="V418">
        <v>1935</v>
      </c>
      <c r="W418">
        <v>47664710255.110001</v>
      </c>
      <c r="X418">
        <v>43.1642839441988</v>
      </c>
    </row>
    <row r="419" spans="1:24" x14ac:dyDescent="0.25">
      <c r="A419" t="s">
        <v>25</v>
      </c>
      <c r="B419" s="1">
        <v>41944</v>
      </c>
      <c r="C419">
        <v>1229</v>
      </c>
      <c r="D419">
        <v>38971879224.970001</v>
      </c>
      <c r="E419">
        <v>2.0104178490975202</v>
      </c>
      <c r="T419" t="s">
        <v>25</v>
      </c>
      <c r="U419" s="1">
        <v>41944</v>
      </c>
      <c r="V419">
        <v>1229</v>
      </c>
      <c r="W419">
        <v>38971879224.970001</v>
      </c>
      <c r="X419">
        <v>2.0812332354685901</v>
      </c>
    </row>
    <row r="420" spans="1:24" x14ac:dyDescent="0.25">
      <c r="A420" t="s">
        <v>23</v>
      </c>
      <c r="B420" s="1">
        <v>41974</v>
      </c>
      <c r="C420">
        <v>301174</v>
      </c>
      <c r="D420">
        <v>1685362593546.73</v>
      </c>
      <c r="E420">
        <v>715.525167507638</v>
      </c>
      <c r="T420" t="s">
        <v>23</v>
      </c>
      <c r="U420" s="1">
        <v>41974</v>
      </c>
      <c r="V420">
        <v>301174</v>
      </c>
      <c r="W420">
        <v>1685362593546.73</v>
      </c>
      <c r="X420">
        <v>677.549544068194</v>
      </c>
    </row>
    <row r="421" spans="1:24" x14ac:dyDescent="0.25">
      <c r="A421" t="s">
        <v>22</v>
      </c>
      <c r="B421" s="1">
        <v>41974</v>
      </c>
      <c r="C421">
        <v>2093</v>
      </c>
      <c r="D421">
        <v>55101250894.25</v>
      </c>
      <c r="E421">
        <v>322.19776216173199</v>
      </c>
      <c r="T421" t="s">
        <v>22</v>
      </c>
      <c r="U421" s="1">
        <v>41974</v>
      </c>
      <c r="V421">
        <v>2093</v>
      </c>
      <c r="W421">
        <v>55101250894.25</v>
      </c>
      <c r="X421">
        <v>317.66289222973302</v>
      </c>
    </row>
    <row r="422" spans="1:24" x14ac:dyDescent="0.25">
      <c r="A422" t="s">
        <v>24</v>
      </c>
      <c r="B422" s="1">
        <v>41974</v>
      </c>
      <c r="C422">
        <v>1943</v>
      </c>
      <c r="D422">
        <v>47405248626.07</v>
      </c>
      <c r="E422">
        <v>49.567342817077197</v>
      </c>
      <c r="T422" t="s">
        <v>24</v>
      </c>
      <c r="U422" s="1">
        <v>41974</v>
      </c>
      <c r="V422">
        <v>1943</v>
      </c>
      <c r="W422">
        <v>47405248626.07</v>
      </c>
      <c r="X422">
        <v>49.896714734482202</v>
      </c>
    </row>
    <row r="423" spans="1:24" x14ac:dyDescent="0.25">
      <c r="A423" t="s">
        <v>25</v>
      </c>
      <c r="B423" s="1">
        <v>41974</v>
      </c>
      <c r="C423">
        <v>1234</v>
      </c>
      <c r="D423">
        <v>38837765170.470001</v>
      </c>
      <c r="E423">
        <v>2.5307004775464401</v>
      </c>
      <c r="T423" t="s">
        <v>25</v>
      </c>
      <c r="U423" s="1">
        <v>41974</v>
      </c>
      <c r="V423">
        <v>1234</v>
      </c>
      <c r="W423">
        <v>38837765170.470001</v>
      </c>
      <c r="X423">
        <v>2.6222830977246998</v>
      </c>
    </row>
    <row r="424" spans="1:24" x14ac:dyDescent="0.25">
      <c r="A424" t="s">
        <v>23</v>
      </c>
      <c r="B424" s="1">
        <v>42005</v>
      </c>
      <c r="C424">
        <v>301744</v>
      </c>
      <c r="D424">
        <v>1694662663304.0601</v>
      </c>
      <c r="E424">
        <v>718.02254606309702</v>
      </c>
      <c r="T424" t="s">
        <v>23</v>
      </c>
      <c r="U424" s="1">
        <v>42005</v>
      </c>
      <c r="V424">
        <v>301744</v>
      </c>
      <c r="W424">
        <v>1694662663304.0601</v>
      </c>
      <c r="X424">
        <v>677.36599727868895</v>
      </c>
    </row>
    <row r="425" spans="1:24" x14ac:dyDescent="0.25">
      <c r="A425" t="s">
        <v>22</v>
      </c>
      <c r="B425" s="1">
        <v>42005</v>
      </c>
      <c r="C425">
        <v>2104</v>
      </c>
      <c r="D425">
        <v>54945293853.269997</v>
      </c>
      <c r="E425">
        <v>328.29435994785803</v>
      </c>
      <c r="T425" t="s">
        <v>22</v>
      </c>
      <c r="U425" s="1">
        <v>42005</v>
      </c>
      <c r="V425">
        <v>2104</v>
      </c>
      <c r="W425">
        <v>54945293853.269997</v>
      </c>
      <c r="X425">
        <v>323.422907078322</v>
      </c>
    </row>
    <row r="426" spans="1:24" x14ac:dyDescent="0.25">
      <c r="A426" t="s">
        <v>24</v>
      </c>
      <c r="B426" s="1">
        <v>42005</v>
      </c>
      <c r="C426">
        <v>1957</v>
      </c>
      <c r="D426">
        <v>47210415269.309998</v>
      </c>
      <c r="E426">
        <v>58.313612630421403</v>
      </c>
      <c r="T426" t="s">
        <v>24</v>
      </c>
      <c r="U426" s="1">
        <v>42005</v>
      </c>
      <c r="V426">
        <v>1957</v>
      </c>
      <c r="W426">
        <v>47210415269.309998</v>
      </c>
      <c r="X426">
        <v>58.723529052872699</v>
      </c>
    </row>
    <row r="427" spans="1:24" x14ac:dyDescent="0.25">
      <c r="A427" t="s">
        <v>25</v>
      </c>
      <c r="B427" s="1">
        <v>42005</v>
      </c>
      <c r="C427">
        <v>1244</v>
      </c>
      <c r="D427">
        <v>38713428394.529999</v>
      </c>
      <c r="E427">
        <v>3.4983042338093302</v>
      </c>
      <c r="T427" t="s">
        <v>25</v>
      </c>
      <c r="U427" s="1">
        <v>42005</v>
      </c>
      <c r="V427">
        <v>1244</v>
      </c>
      <c r="W427">
        <v>38713428394.529999</v>
      </c>
      <c r="X427">
        <v>3.6213205385721201</v>
      </c>
    </row>
    <row r="428" spans="1:24" x14ac:dyDescent="0.25">
      <c r="A428" t="s">
        <v>23</v>
      </c>
      <c r="B428" s="1">
        <v>42036</v>
      </c>
      <c r="C428">
        <v>302124</v>
      </c>
      <c r="D428">
        <v>1697793974754.6899</v>
      </c>
      <c r="E428">
        <v>724.66393467468504</v>
      </c>
      <c r="T428" t="s">
        <v>23</v>
      </c>
      <c r="U428" s="1">
        <v>42036</v>
      </c>
      <c r="V428">
        <v>302124</v>
      </c>
      <c r="W428">
        <v>1697793974754.6899</v>
      </c>
      <c r="X428">
        <v>681.12360102473303</v>
      </c>
    </row>
    <row r="429" spans="1:24" x14ac:dyDescent="0.25">
      <c r="A429" t="s">
        <v>22</v>
      </c>
      <c r="B429" s="1">
        <v>42036</v>
      </c>
      <c r="C429">
        <v>2112</v>
      </c>
      <c r="D429">
        <v>54539779489.800003</v>
      </c>
      <c r="E429">
        <v>337.06277889815499</v>
      </c>
      <c r="T429" t="s">
        <v>22</v>
      </c>
      <c r="U429" s="1">
        <v>42036</v>
      </c>
      <c r="V429">
        <v>2112</v>
      </c>
      <c r="W429">
        <v>54539779489.800003</v>
      </c>
      <c r="X429">
        <v>331.78876476354998</v>
      </c>
    </row>
    <row r="430" spans="1:24" x14ac:dyDescent="0.25">
      <c r="A430" t="s">
        <v>24</v>
      </c>
      <c r="B430" s="1">
        <v>42036</v>
      </c>
      <c r="C430">
        <v>1967</v>
      </c>
      <c r="D430">
        <v>46941608230.800003</v>
      </c>
      <c r="E430">
        <v>69.527040437762906</v>
      </c>
      <c r="T430" t="s">
        <v>24</v>
      </c>
      <c r="U430" s="1">
        <v>42036</v>
      </c>
      <c r="V430">
        <v>1967</v>
      </c>
      <c r="W430">
        <v>46941608230.800003</v>
      </c>
      <c r="X430">
        <v>71.094953130222805</v>
      </c>
    </row>
    <row r="431" spans="1:24" x14ac:dyDescent="0.25">
      <c r="A431" t="s">
        <v>25</v>
      </c>
      <c r="B431" s="1">
        <v>42036</v>
      </c>
      <c r="C431">
        <v>1251</v>
      </c>
      <c r="D431">
        <v>38563701206.080002</v>
      </c>
      <c r="E431">
        <v>5.0060608106881404</v>
      </c>
      <c r="T431" t="s">
        <v>25</v>
      </c>
      <c r="U431" s="1">
        <v>42036</v>
      </c>
      <c r="V431">
        <v>1251</v>
      </c>
      <c r="W431">
        <v>38563701206.080002</v>
      </c>
      <c r="X431">
        <v>5.5838324326133097</v>
      </c>
    </row>
    <row r="432" spans="1:24" x14ac:dyDescent="0.25">
      <c r="A432" t="s">
        <v>23</v>
      </c>
      <c r="B432" s="1">
        <v>42064</v>
      </c>
      <c r="C432">
        <v>302604</v>
      </c>
      <c r="D432">
        <v>1701526727197.6599</v>
      </c>
      <c r="E432">
        <v>731.92162131265195</v>
      </c>
      <c r="T432" t="s">
        <v>23</v>
      </c>
      <c r="U432" s="1">
        <v>42064</v>
      </c>
      <c r="V432">
        <v>302604</v>
      </c>
      <c r="W432">
        <v>1701526727197.6599</v>
      </c>
      <c r="X432">
        <v>685.62519758541805</v>
      </c>
    </row>
    <row r="433" spans="1:24" x14ac:dyDescent="0.25">
      <c r="A433" t="s">
        <v>22</v>
      </c>
      <c r="B433" s="1">
        <v>42064</v>
      </c>
      <c r="C433">
        <v>2123</v>
      </c>
      <c r="D433">
        <v>54424224378.089996</v>
      </c>
      <c r="E433">
        <v>344.82888003907999</v>
      </c>
      <c r="T433" t="s">
        <v>22</v>
      </c>
      <c r="U433" s="1">
        <v>42064</v>
      </c>
      <c r="V433">
        <v>2123</v>
      </c>
      <c r="W433">
        <v>54424224378.089996</v>
      </c>
      <c r="X433">
        <v>339.18227439988601</v>
      </c>
    </row>
    <row r="434" spans="1:24" x14ac:dyDescent="0.25">
      <c r="A434" t="s">
        <v>24</v>
      </c>
      <c r="B434" s="1">
        <v>42064</v>
      </c>
      <c r="C434">
        <v>1977</v>
      </c>
      <c r="D434">
        <v>46731480687.449997</v>
      </c>
      <c r="E434">
        <v>80.302982268172698</v>
      </c>
      <c r="T434" t="s">
        <v>24</v>
      </c>
      <c r="U434" s="1">
        <v>42064</v>
      </c>
      <c r="V434">
        <v>1977</v>
      </c>
      <c r="W434">
        <v>46731480687.449997</v>
      </c>
      <c r="X434">
        <v>82.922225590864301</v>
      </c>
    </row>
    <row r="435" spans="1:24" x14ac:dyDescent="0.25">
      <c r="A435" t="s">
        <v>25</v>
      </c>
      <c r="B435" s="1">
        <v>42064</v>
      </c>
      <c r="C435">
        <v>1258</v>
      </c>
      <c r="D435">
        <v>38419602868.800003</v>
      </c>
      <c r="E435">
        <v>6.4804618756583299</v>
      </c>
      <c r="T435" t="s">
        <v>25</v>
      </c>
      <c r="U435" s="1">
        <v>42064</v>
      </c>
      <c r="V435">
        <v>1258</v>
      </c>
      <c r="W435">
        <v>38419602868.800003</v>
      </c>
      <c r="X435">
        <v>7.4812375946174399</v>
      </c>
    </row>
    <row r="436" spans="1:24" x14ac:dyDescent="0.25">
      <c r="A436" t="s">
        <v>23</v>
      </c>
      <c r="B436" s="1">
        <v>42095</v>
      </c>
      <c r="C436">
        <v>303067</v>
      </c>
      <c r="D436">
        <v>1705063723228.8799</v>
      </c>
      <c r="E436">
        <v>736.15502423953205</v>
      </c>
      <c r="T436" t="s">
        <v>23</v>
      </c>
      <c r="U436" s="1">
        <v>42095</v>
      </c>
      <c r="V436">
        <v>303067</v>
      </c>
      <c r="W436">
        <v>1705063723228.8799</v>
      </c>
      <c r="X436">
        <v>687.41900371137899</v>
      </c>
    </row>
    <row r="437" spans="1:24" x14ac:dyDescent="0.25">
      <c r="A437" t="s">
        <v>22</v>
      </c>
      <c r="B437" s="1">
        <v>42095</v>
      </c>
      <c r="C437">
        <v>2127</v>
      </c>
      <c r="D437">
        <v>53980461373.160004</v>
      </c>
      <c r="E437">
        <v>350.24553939708801</v>
      </c>
      <c r="T437" t="s">
        <v>22</v>
      </c>
      <c r="U437" s="1">
        <v>42095</v>
      </c>
      <c r="V437">
        <v>2127</v>
      </c>
      <c r="W437">
        <v>53980461373.160004</v>
      </c>
      <c r="X437">
        <v>344.26014769029598</v>
      </c>
    </row>
    <row r="438" spans="1:24" x14ac:dyDescent="0.25">
      <c r="A438" t="s">
        <v>24</v>
      </c>
      <c r="B438" s="1">
        <v>42095</v>
      </c>
      <c r="C438">
        <v>1989</v>
      </c>
      <c r="D438">
        <v>46448619701.699997</v>
      </c>
      <c r="E438">
        <v>90.312533011892995</v>
      </c>
      <c r="T438" t="s">
        <v>24</v>
      </c>
      <c r="U438" s="1">
        <v>42095</v>
      </c>
      <c r="V438">
        <v>1989</v>
      </c>
      <c r="W438">
        <v>46448619701.699997</v>
      </c>
      <c r="X438">
        <v>93.853723547359195</v>
      </c>
    </row>
    <row r="439" spans="1:24" x14ac:dyDescent="0.25">
      <c r="A439" t="s">
        <v>25</v>
      </c>
      <c r="B439" s="1">
        <v>42095</v>
      </c>
      <c r="C439">
        <v>1267</v>
      </c>
      <c r="D439">
        <v>38264484535.919998</v>
      </c>
      <c r="E439">
        <v>7.8813528422884502</v>
      </c>
      <c r="T439" t="s">
        <v>25</v>
      </c>
      <c r="U439" s="1">
        <v>42095</v>
      </c>
      <c r="V439">
        <v>1267</v>
      </c>
      <c r="W439">
        <v>38264484535.919998</v>
      </c>
      <c r="X439">
        <v>9.2557772700558303</v>
      </c>
    </row>
    <row r="440" spans="1:24" x14ac:dyDescent="0.25">
      <c r="A440" t="s">
        <v>23</v>
      </c>
      <c r="B440" s="1">
        <v>42125</v>
      </c>
      <c r="C440">
        <v>303626</v>
      </c>
      <c r="D440">
        <v>1705465041251.01</v>
      </c>
      <c r="E440">
        <v>739.843484185237</v>
      </c>
      <c r="T440" t="s">
        <v>23</v>
      </c>
      <c r="U440" s="1">
        <v>42125</v>
      </c>
      <c r="V440">
        <v>303626</v>
      </c>
      <c r="W440">
        <v>1705465041251.01</v>
      </c>
      <c r="X440">
        <v>688.76268795994997</v>
      </c>
    </row>
    <row r="441" spans="1:24" x14ac:dyDescent="0.25">
      <c r="A441" t="s">
        <v>22</v>
      </c>
      <c r="B441" s="1">
        <v>42125</v>
      </c>
      <c r="C441">
        <v>2130</v>
      </c>
      <c r="D441">
        <v>53334300236</v>
      </c>
      <c r="E441">
        <v>354.95605354037599</v>
      </c>
      <c r="T441" t="s">
        <v>22</v>
      </c>
      <c r="U441" s="1">
        <v>42125</v>
      </c>
      <c r="V441">
        <v>2130</v>
      </c>
      <c r="W441">
        <v>53334300236</v>
      </c>
      <c r="X441">
        <v>348.61122099323802</v>
      </c>
    </row>
    <row r="442" spans="1:24" x14ac:dyDescent="0.25">
      <c r="A442" t="s">
        <v>24</v>
      </c>
      <c r="B442" s="1">
        <v>42125</v>
      </c>
      <c r="C442">
        <v>2000</v>
      </c>
      <c r="D442">
        <v>46068741761.550003</v>
      </c>
      <c r="E442">
        <v>101.56548285712999</v>
      </c>
      <c r="T442" t="s">
        <v>24</v>
      </c>
      <c r="U442" s="1">
        <v>42125</v>
      </c>
      <c r="V442">
        <v>2000</v>
      </c>
      <c r="W442">
        <v>46068741761.550003</v>
      </c>
      <c r="X442">
        <v>106.197906558182</v>
      </c>
    </row>
    <row r="443" spans="1:24" x14ac:dyDescent="0.25">
      <c r="A443" t="s">
        <v>25</v>
      </c>
      <c r="B443" s="1">
        <v>42125</v>
      </c>
      <c r="C443">
        <v>1274</v>
      </c>
      <c r="D443">
        <v>38076849573.309998</v>
      </c>
      <c r="E443">
        <v>9.6980354624766907</v>
      </c>
      <c r="T443" t="s">
        <v>25</v>
      </c>
      <c r="U443" s="1">
        <v>42125</v>
      </c>
      <c r="V443">
        <v>1274</v>
      </c>
      <c r="W443">
        <v>38076849573.309998</v>
      </c>
      <c r="X443">
        <v>11.548520044242</v>
      </c>
    </row>
    <row r="444" spans="1:24" x14ac:dyDescent="0.25">
      <c r="A444" t="s">
        <v>23</v>
      </c>
      <c r="B444" s="1">
        <v>42156</v>
      </c>
      <c r="C444">
        <v>304069</v>
      </c>
      <c r="D444">
        <v>1707243648596.95</v>
      </c>
      <c r="E444">
        <v>739.89458743314901</v>
      </c>
      <c r="T444" t="s">
        <v>23</v>
      </c>
      <c r="U444" s="1">
        <v>42156</v>
      </c>
      <c r="V444">
        <v>304069</v>
      </c>
      <c r="W444">
        <v>1707243648596.95</v>
      </c>
      <c r="X444">
        <v>686.98293896624102</v>
      </c>
    </row>
    <row r="445" spans="1:24" x14ac:dyDescent="0.25">
      <c r="A445" t="s">
        <v>22</v>
      </c>
      <c r="B445" s="1">
        <v>42156</v>
      </c>
      <c r="C445">
        <v>2136</v>
      </c>
      <c r="D445">
        <v>52743944187.010002</v>
      </c>
      <c r="E445">
        <v>357.51537598939802</v>
      </c>
      <c r="T445" t="s">
        <v>22</v>
      </c>
      <c r="U445" s="1">
        <v>42156</v>
      </c>
      <c r="V445">
        <v>2136</v>
      </c>
      <c r="W445">
        <v>52743944187.010002</v>
      </c>
      <c r="X445">
        <v>350.94824361080998</v>
      </c>
    </row>
    <row r="446" spans="1:24" x14ac:dyDescent="0.25">
      <c r="A446" t="s">
        <v>24</v>
      </c>
      <c r="B446" s="1">
        <v>42156</v>
      </c>
      <c r="C446">
        <v>2010</v>
      </c>
      <c r="D446">
        <v>45680607740.449997</v>
      </c>
      <c r="E446">
        <v>110.603406640489</v>
      </c>
      <c r="T446" t="s">
        <v>24</v>
      </c>
      <c r="U446" s="1">
        <v>42156</v>
      </c>
      <c r="V446">
        <v>2010</v>
      </c>
      <c r="W446">
        <v>45680607740.449997</v>
      </c>
      <c r="X446">
        <v>115.98993486574101</v>
      </c>
    </row>
    <row r="447" spans="1:24" x14ac:dyDescent="0.25">
      <c r="A447" t="s">
        <v>25</v>
      </c>
      <c r="B447" s="1">
        <v>42156</v>
      </c>
      <c r="C447">
        <v>1284</v>
      </c>
      <c r="D447">
        <v>37874463420.110001</v>
      </c>
      <c r="E447">
        <v>11.054465403836501</v>
      </c>
      <c r="T447" t="s">
        <v>25</v>
      </c>
      <c r="U447" s="1">
        <v>42156</v>
      </c>
      <c r="V447">
        <v>1284</v>
      </c>
      <c r="W447">
        <v>37874463420.110001</v>
      </c>
      <c r="X447">
        <v>13.2260350230115</v>
      </c>
    </row>
    <row r="448" spans="1:24" x14ac:dyDescent="0.25">
      <c r="A448" t="s">
        <v>23</v>
      </c>
      <c r="B448" s="1">
        <v>42186</v>
      </c>
      <c r="C448">
        <v>304526</v>
      </c>
      <c r="D448">
        <v>1710074547945.3301</v>
      </c>
      <c r="E448">
        <v>736.90207589170598</v>
      </c>
      <c r="T448" t="s">
        <v>23</v>
      </c>
      <c r="U448" s="1">
        <v>42186</v>
      </c>
      <c r="V448">
        <v>304526</v>
      </c>
      <c r="W448">
        <v>1710074547945.3301</v>
      </c>
      <c r="X448">
        <v>682.54791417108402</v>
      </c>
    </row>
    <row r="449" spans="1:24" x14ac:dyDescent="0.25">
      <c r="A449" t="s">
        <v>22</v>
      </c>
      <c r="B449" s="1">
        <v>42186</v>
      </c>
      <c r="C449">
        <v>2144</v>
      </c>
      <c r="D449">
        <v>53035541022.290001</v>
      </c>
      <c r="E449">
        <v>352.273968673024</v>
      </c>
      <c r="T449" t="s">
        <v>22</v>
      </c>
      <c r="U449" s="1">
        <v>42186</v>
      </c>
      <c r="V449">
        <v>2144</v>
      </c>
      <c r="W449">
        <v>53035541022.290001</v>
      </c>
      <c r="X449">
        <v>345.59242568832002</v>
      </c>
    </row>
    <row r="450" spans="1:24" x14ac:dyDescent="0.25">
      <c r="A450" t="s">
        <v>24</v>
      </c>
      <c r="B450" s="1">
        <v>42186</v>
      </c>
      <c r="C450">
        <v>2021</v>
      </c>
      <c r="D450">
        <v>45283690761.019997</v>
      </c>
      <c r="E450">
        <v>117.794189448691</v>
      </c>
      <c r="T450" t="s">
        <v>24</v>
      </c>
      <c r="U450" s="1">
        <v>42186</v>
      </c>
      <c r="V450">
        <v>2021</v>
      </c>
      <c r="W450">
        <v>45283690761.019997</v>
      </c>
      <c r="X450">
        <v>123.677988092034</v>
      </c>
    </row>
    <row r="451" spans="1:24" x14ac:dyDescent="0.25">
      <c r="A451" t="s">
        <v>25</v>
      </c>
      <c r="B451" s="1">
        <v>42186</v>
      </c>
      <c r="C451">
        <v>1291</v>
      </c>
      <c r="D451">
        <v>37654575557.940002</v>
      </c>
      <c r="E451">
        <v>12.1076547497369</v>
      </c>
      <c r="T451" t="s">
        <v>25</v>
      </c>
      <c r="U451" s="1">
        <v>42186</v>
      </c>
      <c r="V451">
        <v>1291</v>
      </c>
      <c r="W451">
        <v>37654575557.940002</v>
      </c>
      <c r="X451">
        <v>14.4931073715177</v>
      </c>
    </row>
    <row r="452" spans="1:24" x14ac:dyDescent="0.25">
      <c r="A452" t="s">
        <v>23</v>
      </c>
      <c r="B452" s="1">
        <v>42217</v>
      </c>
      <c r="C452">
        <v>304957</v>
      </c>
      <c r="D452">
        <v>1715173017738.5601</v>
      </c>
      <c r="E452">
        <v>731.10198483309705</v>
      </c>
      <c r="T452" t="s">
        <v>23</v>
      </c>
      <c r="U452" s="1">
        <v>42217</v>
      </c>
      <c r="V452">
        <v>304957</v>
      </c>
      <c r="W452">
        <v>1715173017738.5601</v>
      </c>
      <c r="X452">
        <v>675.66321474967401</v>
      </c>
    </row>
    <row r="453" spans="1:24" x14ac:dyDescent="0.25">
      <c r="A453" t="s">
        <v>22</v>
      </c>
      <c r="B453" s="1">
        <v>42217</v>
      </c>
      <c r="C453">
        <v>2149</v>
      </c>
      <c r="D453">
        <v>52795398936.43</v>
      </c>
      <c r="E453">
        <v>348.11748637999301</v>
      </c>
      <c r="T453" t="s">
        <v>22</v>
      </c>
      <c r="U453" s="1">
        <v>42217</v>
      </c>
      <c r="V453">
        <v>2149</v>
      </c>
      <c r="W453">
        <v>52795398936.43</v>
      </c>
      <c r="X453">
        <v>341.38658397972699</v>
      </c>
    </row>
    <row r="454" spans="1:24" x14ac:dyDescent="0.25">
      <c r="A454" t="s">
        <v>24</v>
      </c>
      <c r="B454" s="1">
        <v>42217</v>
      </c>
      <c r="C454">
        <v>2034</v>
      </c>
      <c r="D454">
        <v>44830717499.190002</v>
      </c>
      <c r="E454">
        <v>124.452292231852</v>
      </c>
      <c r="T454" t="s">
        <v>24</v>
      </c>
      <c r="U454" s="1">
        <v>42217</v>
      </c>
      <c r="V454">
        <v>2034</v>
      </c>
      <c r="W454">
        <v>44830717499.190002</v>
      </c>
      <c r="X454">
        <v>130.756244406306</v>
      </c>
    </row>
    <row r="455" spans="1:24" x14ac:dyDescent="0.25">
      <c r="A455" t="s">
        <v>25</v>
      </c>
      <c r="B455" s="1">
        <v>42217</v>
      </c>
      <c r="C455">
        <v>1300</v>
      </c>
      <c r="D455">
        <v>37410876254.669998</v>
      </c>
      <c r="E455">
        <v>13.1038358398204</v>
      </c>
      <c r="T455" t="s">
        <v>25</v>
      </c>
      <c r="U455" s="1">
        <v>42217</v>
      </c>
      <c r="V455">
        <v>1300</v>
      </c>
      <c r="W455">
        <v>37410876254.669998</v>
      </c>
      <c r="X455">
        <v>15.671334939456701</v>
      </c>
    </row>
    <row r="456" spans="1:24" x14ac:dyDescent="0.25">
      <c r="A456" t="s">
        <v>23</v>
      </c>
      <c r="B456" s="1">
        <v>42248</v>
      </c>
      <c r="C456">
        <v>305492</v>
      </c>
      <c r="D456">
        <v>1718096723563.3201</v>
      </c>
      <c r="E456">
        <v>729.83072647828703</v>
      </c>
      <c r="T456" t="s">
        <v>23</v>
      </c>
      <c r="U456" s="1">
        <v>42248</v>
      </c>
      <c r="V456">
        <v>305492</v>
      </c>
      <c r="W456">
        <v>1718096723563.3201</v>
      </c>
      <c r="X456">
        <v>671.82851647818802</v>
      </c>
    </row>
    <row r="457" spans="1:24" x14ac:dyDescent="0.25">
      <c r="A457" t="s">
        <v>22</v>
      </c>
      <c r="B457" s="1">
        <v>42248</v>
      </c>
      <c r="C457">
        <v>2162</v>
      </c>
      <c r="D457">
        <v>52770132887.830002</v>
      </c>
      <c r="E457">
        <v>346.13164964497003</v>
      </c>
      <c r="T457" t="s">
        <v>22</v>
      </c>
      <c r="U457" s="1">
        <v>42248</v>
      </c>
      <c r="V457">
        <v>2162</v>
      </c>
      <c r="W457">
        <v>52770132887.830002</v>
      </c>
      <c r="X457">
        <v>339.23221037748198</v>
      </c>
    </row>
    <row r="458" spans="1:24" x14ac:dyDescent="0.25">
      <c r="A458" t="s">
        <v>24</v>
      </c>
      <c r="B458" s="1">
        <v>42248</v>
      </c>
      <c r="C458">
        <v>2042</v>
      </c>
      <c r="D458">
        <v>44381702236.650002</v>
      </c>
      <c r="E458">
        <v>133.147844022264</v>
      </c>
      <c r="T458" t="s">
        <v>24</v>
      </c>
      <c r="U458" s="1">
        <v>42248</v>
      </c>
      <c r="V458">
        <v>2042</v>
      </c>
      <c r="W458">
        <v>44381702236.650002</v>
      </c>
      <c r="X458">
        <v>140.031484378729</v>
      </c>
    </row>
    <row r="459" spans="1:24" x14ac:dyDescent="0.25">
      <c r="A459" t="s">
        <v>25</v>
      </c>
      <c r="B459" s="1">
        <v>42248</v>
      </c>
      <c r="C459">
        <v>1307</v>
      </c>
      <c r="D459">
        <v>37159487080.809998</v>
      </c>
      <c r="E459">
        <v>14.701802670236599</v>
      </c>
      <c r="T459" t="s">
        <v>25</v>
      </c>
      <c r="U459" s="1">
        <v>42248</v>
      </c>
      <c r="V459">
        <v>1307</v>
      </c>
      <c r="W459">
        <v>37159487080.809998</v>
      </c>
      <c r="X459">
        <v>17.544268213442699</v>
      </c>
    </row>
    <row r="460" spans="1:24" x14ac:dyDescent="0.25">
      <c r="A460" t="s">
        <v>23</v>
      </c>
      <c r="B460" s="1">
        <v>42278</v>
      </c>
      <c r="C460">
        <v>306021</v>
      </c>
      <c r="D460">
        <v>1729227687203.3701</v>
      </c>
      <c r="E460">
        <v>726.43885318386401</v>
      </c>
      <c r="T460" t="s">
        <v>23</v>
      </c>
      <c r="U460" s="1">
        <v>42278</v>
      </c>
      <c r="V460">
        <v>306021</v>
      </c>
      <c r="W460">
        <v>1729227687203.3701</v>
      </c>
      <c r="X460">
        <v>666.21701564884904</v>
      </c>
    </row>
    <row r="461" spans="1:24" x14ac:dyDescent="0.25">
      <c r="A461" t="s">
        <v>22</v>
      </c>
      <c r="B461" s="1">
        <v>42278</v>
      </c>
      <c r="C461">
        <v>2173</v>
      </c>
      <c r="D461">
        <v>52633387839.209999</v>
      </c>
      <c r="E461">
        <v>346.839950265298</v>
      </c>
      <c r="T461" t="s">
        <v>22</v>
      </c>
      <c r="U461" s="1">
        <v>42278</v>
      </c>
      <c r="V461">
        <v>2173</v>
      </c>
      <c r="W461">
        <v>52633387839.209999</v>
      </c>
      <c r="X461">
        <v>339.76878849986599</v>
      </c>
    </row>
    <row r="462" spans="1:24" x14ac:dyDescent="0.25">
      <c r="A462" t="s">
        <v>24</v>
      </c>
      <c r="B462" s="1">
        <v>42278</v>
      </c>
      <c r="C462">
        <v>2052</v>
      </c>
      <c r="D462">
        <v>44008637029.370003</v>
      </c>
      <c r="E462">
        <v>142.14426015464201</v>
      </c>
      <c r="T462" t="s">
        <v>24</v>
      </c>
      <c r="U462" s="1">
        <v>42278</v>
      </c>
      <c r="V462">
        <v>2052</v>
      </c>
      <c r="W462">
        <v>44008637029.370003</v>
      </c>
      <c r="X462">
        <v>149.621624357222</v>
      </c>
    </row>
    <row r="463" spans="1:24" x14ac:dyDescent="0.25">
      <c r="A463" t="s">
        <v>25</v>
      </c>
      <c r="B463" s="1">
        <v>42278</v>
      </c>
      <c r="C463">
        <v>1315</v>
      </c>
      <c r="D463">
        <v>36939526623.260002</v>
      </c>
      <c r="E463">
        <v>16.461830373718101</v>
      </c>
      <c r="T463" t="s">
        <v>25</v>
      </c>
      <c r="U463" s="1">
        <v>42278</v>
      </c>
      <c r="V463">
        <v>1315</v>
      </c>
      <c r="W463">
        <v>36939526623.260002</v>
      </c>
      <c r="X463">
        <v>19.5981542104212</v>
      </c>
    </row>
    <row r="464" spans="1:24" x14ac:dyDescent="0.25">
      <c r="A464" t="s">
        <v>23</v>
      </c>
      <c r="B464" s="1">
        <v>42309</v>
      </c>
      <c r="C464">
        <v>306476</v>
      </c>
      <c r="D464">
        <v>1737379808198.2</v>
      </c>
      <c r="E464">
        <v>726.79546602168602</v>
      </c>
      <c r="T464" t="s">
        <v>23</v>
      </c>
      <c r="U464" s="1">
        <v>42309</v>
      </c>
      <c r="V464">
        <v>306476</v>
      </c>
      <c r="W464">
        <v>1737379808198.2</v>
      </c>
      <c r="X464">
        <v>664.14840555317096</v>
      </c>
    </row>
    <row r="465" spans="1:24" x14ac:dyDescent="0.25">
      <c r="A465" t="s">
        <v>22</v>
      </c>
      <c r="B465" s="1">
        <v>42309</v>
      </c>
      <c r="C465">
        <v>2186</v>
      </c>
      <c r="D465">
        <v>52506624208.32</v>
      </c>
      <c r="E465">
        <v>350.05221730825002</v>
      </c>
      <c r="T465" t="s">
        <v>22</v>
      </c>
      <c r="U465" s="1">
        <v>42309</v>
      </c>
      <c r="V465">
        <v>2186</v>
      </c>
      <c r="W465">
        <v>52506624208.32</v>
      </c>
      <c r="X465">
        <v>342.86528775684201</v>
      </c>
    </row>
    <row r="466" spans="1:24" x14ac:dyDescent="0.25">
      <c r="A466" t="s">
        <v>24</v>
      </c>
      <c r="B466" s="1">
        <v>42309</v>
      </c>
      <c r="C466">
        <v>2069</v>
      </c>
      <c r="D466">
        <v>43698985154.040001</v>
      </c>
      <c r="E466">
        <v>152.44624319272501</v>
      </c>
      <c r="T466" t="s">
        <v>24</v>
      </c>
      <c r="U466" s="1">
        <v>42309</v>
      </c>
      <c r="V466">
        <v>2069</v>
      </c>
      <c r="W466">
        <v>43698985154.040001</v>
      </c>
      <c r="X466">
        <v>160.638193977594</v>
      </c>
    </row>
    <row r="467" spans="1:24" x14ac:dyDescent="0.25">
      <c r="A467" t="s">
        <v>25</v>
      </c>
      <c r="B467" s="1">
        <v>42309</v>
      </c>
      <c r="C467">
        <v>1328</v>
      </c>
      <c r="D467">
        <v>36789617512.57</v>
      </c>
      <c r="E467">
        <v>18.720581154122399</v>
      </c>
      <c r="T467" t="s">
        <v>25</v>
      </c>
      <c r="U467" s="1">
        <v>42309</v>
      </c>
      <c r="V467">
        <v>1328</v>
      </c>
      <c r="W467">
        <v>36789617512.57</v>
      </c>
      <c r="X467">
        <v>22.242590195425699</v>
      </c>
    </row>
    <row r="468" spans="1:24" x14ac:dyDescent="0.25">
      <c r="A468" t="s">
        <v>23</v>
      </c>
      <c r="B468" s="1">
        <v>42339</v>
      </c>
      <c r="C468">
        <v>306761</v>
      </c>
      <c r="D468">
        <v>1734507571227.5901</v>
      </c>
      <c r="E468">
        <v>727.92157862905106</v>
      </c>
      <c r="T468" t="s">
        <v>23</v>
      </c>
      <c r="U468" s="1">
        <v>42339</v>
      </c>
      <c r="V468">
        <v>306761</v>
      </c>
      <c r="W468">
        <v>1734507571227.5901</v>
      </c>
      <c r="X468">
        <v>662.98512189021301</v>
      </c>
    </row>
    <row r="469" spans="1:24" x14ac:dyDescent="0.25">
      <c r="A469" t="s">
        <v>22</v>
      </c>
      <c r="B469" s="1">
        <v>42339</v>
      </c>
      <c r="C469">
        <v>2195</v>
      </c>
      <c r="D469">
        <v>52316553177.239998</v>
      </c>
      <c r="E469">
        <v>350.58239864557402</v>
      </c>
      <c r="T469" t="s">
        <v>22</v>
      </c>
      <c r="U469" s="1">
        <v>42339</v>
      </c>
      <c r="V469">
        <v>2195</v>
      </c>
      <c r="W469">
        <v>52316553177.239998</v>
      </c>
      <c r="X469">
        <v>343.273924688325</v>
      </c>
    </row>
    <row r="470" spans="1:24" x14ac:dyDescent="0.25">
      <c r="A470" t="s">
        <v>24</v>
      </c>
      <c r="B470" s="1">
        <v>42339</v>
      </c>
      <c r="C470">
        <v>2073</v>
      </c>
      <c r="D470">
        <v>43286317529.480003</v>
      </c>
      <c r="E470">
        <v>160.65141365334401</v>
      </c>
      <c r="T470" t="s">
        <v>24</v>
      </c>
      <c r="U470" s="1">
        <v>42339</v>
      </c>
      <c r="V470">
        <v>2073</v>
      </c>
      <c r="W470">
        <v>43286317529.480003</v>
      </c>
      <c r="X470">
        <v>169.32231866556401</v>
      </c>
    </row>
    <row r="471" spans="1:24" x14ac:dyDescent="0.25">
      <c r="A471" t="s">
        <v>25</v>
      </c>
      <c r="B471" s="1">
        <v>42339</v>
      </c>
      <c r="C471">
        <v>1332</v>
      </c>
      <c r="D471">
        <v>36550588239.07</v>
      </c>
      <c r="E471">
        <v>20.439998911384698</v>
      </c>
      <c r="T471" t="s">
        <v>25</v>
      </c>
      <c r="U471" s="1">
        <v>42339</v>
      </c>
      <c r="V471">
        <v>1332</v>
      </c>
      <c r="W471">
        <v>36550588239.07</v>
      </c>
      <c r="X471">
        <v>24.217537787201799</v>
      </c>
    </row>
    <row r="472" spans="1:24" x14ac:dyDescent="0.25">
      <c r="A472" t="s">
        <v>23</v>
      </c>
      <c r="B472" s="1">
        <v>42370</v>
      </c>
      <c r="C472">
        <v>307158</v>
      </c>
      <c r="D472">
        <v>1742660147829.8999</v>
      </c>
      <c r="E472">
        <v>725.98373192266001</v>
      </c>
      <c r="T472" t="s">
        <v>23</v>
      </c>
      <c r="U472" s="1">
        <v>42370</v>
      </c>
      <c r="V472">
        <v>307158</v>
      </c>
      <c r="W472">
        <v>1742660147829.8999</v>
      </c>
      <c r="X472">
        <v>659.13132301569703</v>
      </c>
    </row>
    <row r="473" spans="1:24" x14ac:dyDescent="0.25">
      <c r="A473" t="s">
        <v>22</v>
      </c>
      <c r="B473" s="1">
        <v>42370</v>
      </c>
      <c r="C473">
        <v>2212</v>
      </c>
      <c r="D473">
        <v>52451800097.93</v>
      </c>
      <c r="E473">
        <v>350.948366717326</v>
      </c>
      <c r="T473" t="s">
        <v>22</v>
      </c>
      <c r="U473" s="1">
        <v>42370</v>
      </c>
      <c r="V473">
        <v>2212</v>
      </c>
      <c r="W473">
        <v>52451800097.93</v>
      </c>
      <c r="X473">
        <v>343.52346561726102</v>
      </c>
    </row>
    <row r="474" spans="1:24" x14ac:dyDescent="0.25">
      <c r="A474" t="s">
        <v>24</v>
      </c>
      <c r="B474" s="1">
        <v>42370</v>
      </c>
      <c r="C474">
        <v>2082</v>
      </c>
      <c r="D474">
        <v>42975673769.300003</v>
      </c>
      <c r="E474">
        <v>168.879130213465</v>
      </c>
      <c r="T474" t="s">
        <v>24</v>
      </c>
      <c r="U474" s="1">
        <v>42370</v>
      </c>
      <c r="V474">
        <v>2082</v>
      </c>
      <c r="W474">
        <v>42975673769.300003</v>
      </c>
      <c r="X474">
        <v>177.99107436696599</v>
      </c>
    </row>
    <row r="475" spans="1:24" x14ac:dyDescent="0.25">
      <c r="A475" t="s">
        <v>25</v>
      </c>
      <c r="B475" s="1">
        <v>42370</v>
      </c>
      <c r="C475">
        <v>1339</v>
      </c>
      <c r="D475">
        <v>36350171434.389999</v>
      </c>
      <c r="E475">
        <v>22.1981216277672</v>
      </c>
      <c r="T475" t="s">
        <v>25</v>
      </c>
      <c r="U475" s="1">
        <v>42370</v>
      </c>
      <c r="V475">
        <v>1339</v>
      </c>
      <c r="W475">
        <v>36350171434.389999</v>
      </c>
      <c r="X475">
        <v>26.217616530880399</v>
      </c>
    </row>
    <row r="476" spans="1:24" x14ac:dyDescent="0.25">
      <c r="A476" t="s">
        <v>23</v>
      </c>
      <c r="B476" s="1">
        <v>42401</v>
      </c>
      <c r="C476">
        <v>307309</v>
      </c>
      <c r="D476">
        <v>1746557623903.75</v>
      </c>
      <c r="E476">
        <v>725.82682059398803</v>
      </c>
      <c r="T476" t="s">
        <v>23</v>
      </c>
      <c r="U476" s="1">
        <v>42401</v>
      </c>
      <c r="V476">
        <v>307309</v>
      </c>
      <c r="W476">
        <v>1746557623903.75</v>
      </c>
      <c r="X476">
        <v>657.01209122663101</v>
      </c>
    </row>
    <row r="477" spans="1:24" x14ac:dyDescent="0.25">
      <c r="A477" t="s">
        <v>22</v>
      </c>
      <c r="B477" s="1">
        <v>42401</v>
      </c>
      <c r="C477">
        <v>2214</v>
      </c>
      <c r="D477">
        <v>52231231146.370003</v>
      </c>
      <c r="E477">
        <v>352.79470162218303</v>
      </c>
      <c r="T477" t="s">
        <v>22</v>
      </c>
      <c r="U477" s="1">
        <v>42401</v>
      </c>
      <c r="V477">
        <v>2214</v>
      </c>
      <c r="W477">
        <v>52231231146.370003</v>
      </c>
      <c r="X477">
        <v>345.27365752574798</v>
      </c>
    </row>
    <row r="478" spans="1:24" x14ac:dyDescent="0.25">
      <c r="A478" t="s">
        <v>24</v>
      </c>
      <c r="B478" s="1">
        <v>42401</v>
      </c>
      <c r="C478">
        <v>2090</v>
      </c>
      <c r="D478">
        <v>42587228592.629997</v>
      </c>
      <c r="E478">
        <v>178.258986031749</v>
      </c>
      <c r="T478" t="s">
        <v>24</v>
      </c>
      <c r="U478" s="1">
        <v>42401</v>
      </c>
      <c r="V478">
        <v>2090</v>
      </c>
      <c r="W478">
        <v>42587228592.629997</v>
      </c>
      <c r="X478">
        <v>187.937123287812</v>
      </c>
    </row>
    <row r="479" spans="1:24" x14ac:dyDescent="0.25">
      <c r="A479" t="s">
        <v>25</v>
      </c>
      <c r="B479" s="1">
        <v>42401</v>
      </c>
      <c r="C479">
        <v>1343</v>
      </c>
      <c r="D479">
        <v>36103641907.169998</v>
      </c>
      <c r="E479">
        <v>24.436065143378698</v>
      </c>
      <c r="T479" t="s">
        <v>25</v>
      </c>
      <c r="U479" s="1">
        <v>42401</v>
      </c>
      <c r="V479">
        <v>1343</v>
      </c>
      <c r="W479">
        <v>36103641907.169998</v>
      </c>
      <c r="X479">
        <v>28.7763311655815</v>
      </c>
    </row>
    <row r="480" spans="1:24" x14ac:dyDescent="0.25">
      <c r="A480" t="s">
        <v>23</v>
      </c>
      <c r="B480" s="1">
        <v>42430</v>
      </c>
      <c r="C480">
        <v>307672</v>
      </c>
      <c r="D480">
        <v>1749230451883.8101</v>
      </c>
      <c r="E480">
        <v>733.02400168316103</v>
      </c>
      <c r="T480" t="s">
        <v>23</v>
      </c>
      <c r="U480" s="1">
        <v>42430</v>
      </c>
      <c r="V480">
        <v>307672</v>
      </c>
      <c r="W480">
        <v>1749230451883.8101</v>
      </c>
      <c r="X480">
        <v>661.64800832421997</v>
      </c>
    </row>
    <row r="481" spans="1:24" x14ac:dyDescent="0.25">
      <c r="A481" t="s">
        <v>22</v>
      </c>
      <c r="B481" s="1">
        <v>42430</v>
      </c>
      <c r="C481">
        <v>2226</v>
      </c>
      <c r="D481">
        <v>52211453665.650002</v>
      </c>
      <c r="E481">
        <v>360.02746160714901</v>
      </c>
      <c r="T481" t="s">
        <v>22</v>
      </c>
      <c r="U481" s="1">
        <v>42430</v>
      </c>
      <c r="V481">
        <v>2226</v>
      </c>
      <c r="W481">
        <v>52211453665.650002</v>
      </c>
      <c r="X481">
        <v>352.32402728956401</v>
      </c>
    </row>
    <row r="482" spans="1:24" x14ac:dyDescent="0.25">
      <c r="A482" t="s">
        <v>24</v>
      </c>
      <c r="B482" s="1">
        <v>42430</v>
      </c>
      <c r="C482">
        <v>2098</v>
      </c>
      <c r="D482">
        <v>42314996395.470001</v>
      </c>
      <c r="E482">
        <v>191.29597315982599</v>
      </c>
      <c r="T482" t="s">
        <v>24</v>
      </c>
      <c r="U482" s="1">
        <v>42430</v>
      </c>
      <c r="V482">
        <v>2098</v>
      </c>
      <c r="W482">
        <v>42314996395.470001</v>
      </c>
      <c r="X482">
        <v>201.87353719229799</v>
      </c>
    </row>
    <row r="483" spans="1:24" x14ac:dyDescent="0.25">
      <c r="A483" t="s">
        <v>25</v>
      </c>
      <c r="B483" s="1">
        <v>42430</v>
      </c>
      <c r="C483">
        <v>1347</v>
      </c>
      <c r="D483">
        <v>35909399214.110001</v>
      </c>
      <c r="E483">
        <v>27.992387201871701</v>
      </c>
      <c r="T483" t="s">
        <v>25</v>
      </c>
      <c r="U483" s="1">
        <v>42430</v>
      </c>
      <c r="V483">
        <v>1347</v>
      </c>
      <c r="W483">
        <v>35909399214.110001</v>
      </c>
      <c r="X483">
        <v>32.895969429512597</v>
      </c>
    </row>
    <row r="484" spans="1:24" x14ac:dyDescent="0.25">
      <c r="A484" t="s">
        <v>23</v>
      </c>
      <c r="B484" s="1">
        <v>42461</v>
      </c>
      <c r="C484">
        <v>308177</v>
      </c>
      <c r="D484">
        <v>1758381892008.99</v>
      </c>
      <c r="E484">
        <v>738.15946315201495</v>
      </c>
      <c r="T484" t="s">
        <v>23</v>
      </c>
      <c r="U484" s="1">
        <v>42461</v>
      </c>
      <c r="V484">
        <v>308177</v>
      </c>
      <c r="W484">
        <v>1758381892008.99</v>
      </c>
      <c r="X484">
        <v>664.61762785527799</v>
      </c>
    </row>
    <row r="485" spans="1:24" x14ac:dyDescent="0.25">
      <c r="A485" t="s">
        <v>22</v>
      </c>
      <c r="B485" s="1">
        <v>42461</v>
      </c>
      <c r="C485">
        <v>2236</v>
      </c>
      <c r="D485">
        <v>52408156377.43</v>
      </c>
      <c r="E485">
        <v>365.42703375355399</v>
      </c>
      <c r="T485" t="s">
        <v>22</v>
      </c>
      <c r="U485" s="1">
        <v>42461</v>
      </c>
      <c r="V485">
        <v>2236</v>
      </c>
      <c r="W485">
        <v>52408156377.43</v>
      </c>
      <c r="X485">
        <v>357.60417310944501</v>
      </c>
    </row>
    <row r="486" spans="1:24" x14ac:dyDescent="0.25">
      <c r="A486" t="s">
        <v>24</v>
      </c>
      <c r="B486" s="1">
        <v>42461</v>
      </c>
      <c r="C486">
        <v>2109</v>
      </c>
      <c r="D486">
        <v>42015385385.540001</v>
      </c>
      <c r="E486">
        <v>205.32849320778601</v>
      </c>
      <c r="T486" t="s">
        <v>24</v>
      </c>
      <c r="U486" s="1">
        <v>42461</v>
      </c>
      <c r="V486">
        <v>2109</v>
      </c>
      <c r="W486">
        <v>42015385385.540001</v>
      </c>
      <c r="X486">
        <v>216.75980522150499</v>
      </c>
    </row>
    <row r="487" spans="1:24" x14ac:dyDescent="0.25">
      <c r="A487" t="s">
        <v>25</v>
      </c>
      <c r="B487" s="1">
        <v>42461</v>
      </c>
      <c r="C487">
        <v>1356</v>
      </c>
      <c r="D487">
        <v>35708371081.940002</v>
      </c>
      <c r="E487">
        <v>32.438411777418501</v>
      </c>
      <c r="T487" t="s">
        <v>25</v>
      </c>
      <c r="U487" s="1">
        <v>42461</v>
      </c>
      <c r="V487">
        <v>1356</v>
      </c>
      <c r="W487">
        <v>35708371081.940002</v>
      </c>
      <c r="X487">
        <v>37.8792387810158</v>
      </c>
    </row>
    <row r="488" spans="1:24" x14ac:dyDescent="0.25">
      <c r="A488" t="s">
        <v>23</v>
      </c>
      <c r="B488" s="1">
        <v>42491</v>
      </c>
      <c r="C488">
        <v>308550</v>
      </c>
      <c r="D488">
        <v>1762538348889.95</v>
      </c>
      <c r="E488">
        <v>742.78805268502299</v>
      </c>
      <c r="T488" t="s">
        <v>23</v>
      </c>
      <c r="U488" s="1">
        <v>42491</v>
      </c>
      <c r="V488">
        <v>308550</v>
      </c>
      <c r="W488">
        <v>1762538348889.95</v>
      </c>
      <c r="X488">
        <v>667.12941718162995</v>
      </c>
    </row>
    <row r="489" spans="1:24" x14ac:dyDescent="0.25">
      <c r="A489" t="s">
        <v>22</v>
      </c>
      <c r="B489" s="1">
        <v>42491</v>
      </c>
      <c r="C489">
        <v>2249</v>
      </c>
      <c r="D489">
        <v>52597600836.050003</v>
      </c>
      <c r="E489">
        <v>369.37822472710798</v>
      </c>
      <c r="T489" t="s">
        <v>22</v>
      </c>
      <c r="U489" s="1">
        <v>42491</v>
      </c>
      <c r="V489">
        <v>2249</v>
      </c>
      <c r="W489">
        <v>52597600836.050003</v>
      </c>
      <c r="X489">
        <v>361.47208299461101</v>
      </c>
    </row>
    <row r="490" spans="1:24" x14ac:dyDescent="0.25">
      <c r="A490" t="s">
        <v>24</v>
      </c>
      <c r="B490" s="1">
        <v>42491</v>
      </c>
      <c r="C490">
        <v>2122</v>
      </c>
      <c r="D490">
        <v>41605142128.040001</v>
      </c>
      <c r="E490">
        <v>219.429131989903</v>
      </c>
      <c r="T490" t="s">
        <v>24</v>
      </c>
      <c r="U490" s="1">
        <v>42491</v>
      </c>
      <c r="V490">
        <v>2122</v>
      </c>
      <c r="W490">
        <v>41605142128.040001</v>
      </c>
      <c r="X490">
        <v>231.739816430546</v>
      </c>
    </row>
    <row r="491" spans="1:24" x14ac:dyDescent="0.25">
      <c r="A491" t="s">
        <v>25</v>
      </c>
      <c r="B491" s="1">
        <v>42491</v>
      </c>
      <c r="C491">
        <v>1361</v>
      </c>
      <c r="D491">
        <v>35410457427.75</v>
      </c>
      <c r="E491">
        <v>37.200478533520197</v>
      </c>
      <c r="T491" t="s">
        <v>25</v>
      </c>
      <c r="U491" s="1">
        <v>42491</v>
      </c>
      <c r="V491">
        <v>1361</v>
      </c>
      <c r="W491">
        <v>35410457427.75</v>
      </c>
      <c r="X491">
        <v>43.202243852006099</v>
      </c>
    </row>
    <row r="492" spans="1:24" x14ac:dyDescent="0.25">
      <c r="A492" t="s">
        <v>23</v>
      </c>
      <c r="B492" s="1">
        <v>42522</v>
      </c>
      <c r="C492">
        <v>308957</v>
      </c>
      <c r="D492">
        <v>1767039306438.99</v>
      </c>
      <c r="E492">
        <v>747.73647010487298</v>
      </c>
      <c r="T492" t="s">
        <v>23</v>
      </c>
      <c r="U492" s="1">
        <v>42522</v>
      </c>
      <c r="V492">
        <v>308957</v>
      </c>
      <c r="W492">
        <v>1767039306438.99</v>
      </c>
      <c r="X492">
        <v>670.04034855362397</v>
      </c>
    </row>
    <row r="493" spans="1:24" x14ac:dyDescent="0.25">
      <c r="A493" t="s">
        <v>22</v>
      </c>
      <c r="B493" s="1">
        <v>42522</v>
      </c>
      <c r="C493">
        <v>2258</v>
      </c>
      <c r="D493">
        <v>52812767276.599998</v>
      </c>
      <c r="E493">
        <v>372.95049997076597</v>
      </c>
      <c r="T493" t="s">
        <v>22</v>
      </c>
      <c r="U493" s="1">
        <v>42522</v>
      </c>
      <c r="V493">
        <v>2258</v>
      </c>
      <c r="W493">
        <v>52812767276.599998</v>
      </c>
      <c r="X493">
        <v>364.81981429339203</v>
      </c>
    </row>
    <row r="494" spans="1:24" x14ac:dyDescent="0.25">
      <c r="A494" t="s">
        <v>24</v>
      </c>
      <c r="B494" s="1">
        <v>42522</v>
      </c>
      <c r="C494">
        <v>2130</v>
      </c>
      <c r="D494">
        <v>41147928671</v>
      </c>
      <c r="E494">
        <v>233.85363465938599</v>
      </c>
      <c r="T494" t="s">
        <v>24</v>
      </c>
      <c r="U494" s="1">
        <v>42522</v>
      </c>
      <c r="V494">
        <v>2130</v>
      </c>
      <c r="W494">
        <v>41147928671</v>
      </c>
      <c r="X494">
        <v>247.03218916321799</v>
      </c>
    </row>
    <row r="495" spans="1:24" x14ac:dyDescent="0.25">
      <c r="A495" t="s">
        <v>25</v>
      </c>
      <c r="B495" s="1">
        <v>42522</v>
      </c>
      <c r="C495">
        <v>1367</v>
      </c>
      <c r="D495">
        <v>35129109527.150002</v>
      </c>
      <c r="E495">
        <v>42.438006838779998</v>
      </c>
      <c r="T495" t="s">
        <v>25</v>
      </c>
      <c r="U495" s="1">
        <v>42522</v>
      </c>
      <c r="V495">
        <v>1367</v>
      </c>
      <c r="W495">
        <v>35129109527.150002</v>
      </c>
      <c r="X495">
        <v>48.992581916276499</v>
      </c>
    </row>
    <row r="496" spans="1:24" x14ac:dyDescent="0.25">
      <c r="A496" t="s">
        <v>23</v>
      </c>
      <c r="B496" s="1">
        <v>42552</v>
      </c>
      <c r="C496">
        <v>309633</v>
      </c>
      <c r="D496">
        <v>1773173538779.0801</v>
      </c>
      <c r="E496">
        <v>751.72116677758299</v>
      </c>
      <c r="T496" t="s">
        <v>23</v>
      </c>
      <c r="U496" s="1">
        <v>42552</v>
      </c>
      <c r="V496">
        <v>309633</v>
      </c>
      <c r="W496">
        <v>1773173538779.0801</v>
      </c>
      <c r="X496">
        <v>672.19014624758699</v>
      </c>
    </row>
    <row r="497" spans="1:24" x14ac:dyDescent="0.25">
      <c r="A497" t="s">
        <v>22</v>
      </c>
      <c r="B497" s="1">
        <v>42552</v>
      </c>
      <c r="C497">
        <v>2265</v>
      </c>
      <c r="D497">
        <v>53682511085.900002</v>
      </c>
      <c r="E497">
        <v>372.09038575241698</v>
      </c>
      <c r="T497" t="s">
        <v>22</v>
      </c>
      <c r="U497" s="1">
        <v>42552</v>
      </c>
      <c r="V497">
        <v>2265</v>
      </c>
      <c r="W497">
        <v>53682511085.900002</v>
      </c>
      <c r="X497">
        <v>363.89801652093098</v>
      </c>
    </row>
    <row r="498" spans="1:24" x14ac:dyDescent="0.25">
      <c r="A498" t="s">
        <v>24</v>
      </c>
      <c r="B498" s="1">
        <v>42552</v>
      </c>
      <c r="C498">
        <v>2137</v>
      </c>
      <c r="D498">
        <v>40666312136.339996</v>
      </c>
      <c r="E498">
        <v>249.024681118828</v>
      </c>
      <c r="T498" t="s">
        <v>24</v>
      </c>
      <c r="U498" s="1">
        <v>42552</v>
      </c>
      <c r="V498">
        <v>2137</v>
      </c>
      <c r="W498">
        <v>40666312136.339996</v>
      </c>
      <c r="X498">
        <v>263.10201350098299</v>
      </c>
    </row>
    <row r="499" spans="1:24" x14ac:dyDescent="0.25">
      <c r="A499" t="s">
        <v>25</v>
      </c>
      <c r="B499" s="1">
        <v>42552</v>
      </c>
      <c r="C499">
        <v>1374</v>
      </c>
      <c r="D499">
        <v>34806670533.199997</v>
      </c>
      <c r="E499">
        <v>48.236817698956202</v>
      </c>
      <c r="T499" t="s">
        <v>25</v>
      </c>
      <c r="U499" s="1">
        <v>42552</v>
      </c>
      <c r="V499">
        <v>1374</v>
      </c>
      <c r="W499">
        <v>34806670533.199997</v>
      </c>
      <c r="X499">
        <v>55.373881396395603</v>
      </c>
    </row>
    <row r="500" spans="1:24" x14ac:dyDescent="0.25">
      <c r="A500" t="s">
        <v>25</v>
      </c>
      <c r="B500" s="1">
        <v>42583</v>
      </c>
      <c r="C500">
        <v>1380</v>
      </c>
      <c r="D500">
        <v>34436906908.110001</v>
      </c>
      <c r="E500">
        <v>55.508252193864401</v>
      </c>
      <c r="T500" t="s">
        <v>25</v>
      </c>
      <c r="U500" s="1">
        <v>42583</v>
      </c>
      <c r="V500">
        <v>1380</v>
      </c>
      <c r="W500">
        <v>34436906908.110001</v>
      </c>
      <c r="X500">
        <v>63.398960847482499</v>
      </c>
    </row>
    <row r="501" spans="1:24" x14ac:dyDescent="0.25">
      <c r="A501" t="s">
        <v>24</v>
      </c>
      <c r="B501" s="1">
        <v>42583</v>
      </c>
      <c r="C501">
        <v>2143</v>
      </c>
      <c r="D501">
        <v>40108011455.849998</v>
      </c>
      <c r="E501">
        <v>266.44865609146501</v>
      </c>
      <c r="T501" t="s">
        <v>24</v>
      </c>
      <c r="U501" s="1">
        <v>42583</v>
      </c>
      <c r="V501">
        <v>2143</v>
      </c>
      <c r="W501">
        <v>40108011455.849998</v>
      </c>
      <c r="X501">
        <v>281.67336170247899</v>
      </c>
    </row>
    <row r="502" spans="1:24" x14ac:dyDescent="0.25">
      <c r="A502" t="s">
        <v>22</v>
      </c>
      <c r="B502" s="1">
        <v>42583</v>
      </c>
      <c r="C502">
        <v>2278</v>
      </c>
      <c r="D502">
        <v>54334948049.68</v>
      </c>
      <c r="E502">
        <v>375.881267191034</v>
      </c>
      <c r="T502" t="s">
        <v>22</v>
      </c>
      <c r="U502" s="1">
        <v>42583</v>
      </c>
      <c r="V502">
        <v>2278</v>
      </c>
      <c r="W502">
        <v>54334948049.68</v>
      </c>
      <c r="X502">
        <v>367.60630348311099</v>
      </c>
    </row>
    <row r="503" spans="1:24" x14ac:dyDescent="0.25">
      <c r="A503" t="s">
        <v>23</v>
      </c>
      <c r="B503" s="1">
        <v>42583</v>
      </c>
      <c r="C503">
        <v>310027</v>
      </c>
      <c r="D503">
        <v>1776650798767.21</v>
      </c>
      <c r="E503">
        <v>758.90170349882305</v>
      </c>
      <c r="T503" t="s">
        <v>23</v>
      </c>
      <c r="U503" s="1">
        <v>42583</v>
      </c>
      <c r="V503">
        <v>310027</v>
      </c>
      <c r="W503">
        <v>1776650798767.21</v>
      </c>
      <c r="X503">
        <v>677.39050069334201</v>
      </c>
    </row>
    <row r="504" spans="1:24" x14ac:dyDescent="0.25">
      <c r="A504" t="s">
        <v>22</v>
      </c>
      <c r="B504" s="1">
        <v>42614</v>
      </c>
      <c r="C504">
        <v>2291</v>
      </c>
      <c r="D504">
        <v>55686999256.790001</v>
      </c>
      <c r="E504">
        <v>374.70797759033201</v>
      </c>
      <c r="T504" t="s">
        <v>22</v>
      </c>
      <c r="U504" s="1">
        <v>42614</v>
      </c>
      <c r="V504">
        <v>2291</v>
      </c>
      <c r="W504">
        <v>55686999256.790001</v>
      </c>
      <c r="X504">
        <v>366.52225613881598</v>
      </c>
    </row>
    <row r="505" spans="1:24" x14ac:dyDescent="0.25">
      <c r="A505" t="s">
        <v>24</v>
      </c>
      <c r="B505" s="1">
        <v>42614</v>
      </c>
      <c r="C505">
        <v>2148</v>
      </c>
      <c r="D505">
        <v>39586221687.860001</v>
      </c>
      <c r="E505">
        <v>284.41472839766902</v>
      </c>
      <c r="T505" t="s">
        <v>24</v>
      </c>
      <c r="U505" s="1">
        <v>42614</v>
      </c>
      <c r="V505">
        <v>2148</v>
      </c>
      <c r="W505">
        <v>39586221687.860001</v>
      </c>
      <c r="X505">
        <v>300.69494599573898</v>
      </c>
    </row>
    <row r="506" spans="1:24" x14ac:dyDescent="0.25">
      <c r="A506" t="s">
        <v>25</v>
      </c>
      <c r="B506" s="1">
        <v>42614</v>
      </c>
      <c r="C506">
        <v>1385</v>
      </c>
      <c r="D506">
        <v>34088680556.189999</v>
      </c>
      <c r="E506">
        <v>63.810247617711603</v>
      </c>
      <c r="T506" t="s">
        <v>25</v>
      </c>
      <c r="U506" s="1">
        <v>42614</v>
      </c>
      <c r="V506">
        <v>1385</v>
      </c>
      <c r="W506">
        <v>34088680556.189999</v>
      </c>
      <c r="X506">
        <v>72.385146088576803</v>
      </c>
    </row>
    <row r="507" spans="1:24" x14ac:dyDescent="0.25">
      <c r="A507" t="s">
        <v>23</v>
      </c>
      <c r="B507" s="1">
        <v>42614</v>
      </c>
      <c r="C507">
        <v>310733</v>
      </c>
      <c r="D507">
        <v>1788184749657.6001</v>
      </c>
      <c r="E507">
        <v>763.546675781006</v>
      </c>
      <c r="T507" t="s">
        <v>23</v>
      </c>
      <c r="U507" s="1">
        <v>42614</v>
      </c>
      <c r="V507">
        <v>310733</v>
      </c>
      <c r="W507">
        <v>1788184749657.6001</v>
      </c>
      <c r="X507">
        <v>680.42264988361899</v>
      </c>
    </row>
    <row r="508" spans="1:24" x14ac:dyDescent="0.25">
      <c r="A508" t="s">
        <v>25</v>
      </c>
      <c r="B508" s="1">
        <v>42644</v>
      </c>
      <c r="C508">
        <v>1390</v>
      </c>
      <c r="D508">
        <v>33686513650.32</v>
      </c>
      <c r="E508">
        <v>71.984949609967501</v>
      </c>
      <c r="T508" t="s">
        <v>25</v>
      </c>
      <c r="U508" s="1">
        <v>42644</v>
      </c>
      <c r="V508">
        <v>1390</v>
      </c>
      <c r="W508">
        <v>33686513650.32</v>
      </c>
      <c r="X508">
        <v>81.177249538561796</v>
      </c>
    </row>
    <row r="509" spans="1:24" x14ac:dyDescent="0.25">
      <c r="A509" t="s">
        <v>23</v>
      </c>
      <c r="B509" s="1">
        <v>42644</v>
      </c>
      <c r="C509">
        <v>311376</v>
      </c>
      <c r="D509">
        <v>1794130472303.8501</v>
      </c>
      <c r="E509">
        <v>766.01392175292006</v>
      </c>
      <c r="T509" t="s">
        <v>23</v>
      </c>
      <c r="U509" s="1">
        <v>42644</v>
      </c>
      <c r="V509">
        <v>311376</v>
      </c>
      <c r="W509">
        <v>1794130472303.8501</v>
      </c>
      <c r="X509">
        <v>681.46777242359803</v>
      </c>
    </row>
    <row r="510" spans="1:24" x14ac:dyDescent="0.25">
      <c r="A510" t="s">
        <v>22</v>
      </c>
      <c r="B510" s="1">
        <v>42644</v>
      </c>
      <c r="C510">
        <v>2303</v>
      </c>
      <c r="D510">
        <v>56641834722.18</v>
      </c>
      <c r="E510">
        <v>371.61985512208003</v>
      </c>
      <c r="T510" t="s">
        <v>22</v>
      </c>
      <c r="U510" s="1">
        <v>42644</v>
      </c>
      <c r="V510">
        <v>2303</v>
      </c>
      <c r="W510">
        <v>56641834722.18</v>
      </c>
      <c r="X510">
        <v>363.410223643628</v>
      </c>
    </row>
    <row r="511" spans="1:24" x14ac:dyDescent="0.25">
      <c r="A511" t="s">
        <v>24</v>
      </c>
      <c r="B511" s="1">
        <v>42644</v>
      </c>
      <c r="C511">
        <v>2155</v>
      </c>
      <c r="D511">
        <v>38990714989.599998</v>
      </c>
      <c r="E511">
        <v>301.26467144614497</v>
      </c>
      <c r="T511" t="s">
        <v>24</v>
      </c>
      <c r="U511" s="1">
        <v>42644</v>
      </c>
      <c r="V511">
        <v>2155</v>
      </c>
      <c r="W511">
        <v>38990714989.599998</v>
      </c>
      <c r="X511">
        <v>318.57619372843902</v>
      </c>
    </row>
    <row r="512" spans="1:24" x14ac:dyDescent="0.25">
      <c r="A512" t="s">
        <v>24</v>
      </c>
      <c r="B512" s="1">
        <v>42675</v>
      </c>
      <c r="C512">
        <v>2160</v>
      </c>
      <c r="D512">
        <v>38393460834.57</v>
      </c>
      <c r="E512">
        <v>318.05702810192099</v>
      </c>
      <c r="T512" t="s">
        <v>24</v>
      </c>
      <c r="U512" s="1">
        <v>42675</v>
      </c>
      <c r="V512">
        <v>2160</v>
      </c>
      <c r="W512">
        <v>38393460834.57</v>
      </c>
      <c r="X512">
        <v>336.35771665200201</v>
      </c>
    </row>
    <row r="513" spans="1:24" x14ac:dyDescent="0.25">
      <c r="A513" t="s">
        <v>23</v>
      </c>
      <c r="B513" s="1">
        <v>42675</v>
      </c>
      <c r="C513">
        <v>311865</v>
      </c>
      <c r="D513">
        <v>1801406955244.1799</v>
      </c>
      <c r="E513">
        <v>767.75810999898897</v>
      </c>
      <c r="T513" t="s">
        <v>23</v>
      </c>
      <c r="U513" s="1">
        <v>42675</v>
      </c>
      <c r="V513">
        <v>311865</v>
      </c>
      <c r="W513">
        <v>1801406955244.1799</v>
      </c>
      <c r="X513">
        <v>681.91536630773101</v>
      </c>
    </row>
    <row r="514" spans="1:24" x14ac:dyDescent="0.25">
      <c r="A514" t="s">
        <v>22</v>
      </c>
      <c r="B514" s="1">
        <v>42675</v>
      </c>
      <c r="C514">
        <v>2318</v>
      </c>
      <c r="D514">
        <v>57818867738.870003</v>
      </c>
      <c r="E514">
        <v>365.80924363430597</v>
      </c>
      <c r="T514" t="s">
        <v>22</v>
      </c>
      <c r="U514" s="1">
        <v>42675</v>
      </c>
      <c r="V514">
        <v>2318</v>
      </c>
      <c r="W514">
        <v>57818867738.870003</v>
      </c>
      <c r="X514">
        <v>357.69819943875501</v>
      </c>
    </row>
    <row r="515" spans="1:24" x14ac:dyDescent="0.25">
      <c r="A515" t="s">
        <v>25</v>
      </c>
      <c r="B515" s="1">
        <v>42675</v>
      </c>
      <c r="C515">
        <v>1393</v>
      </c>
      <c r="D515">
        <v>33302990549.639999</v>
      </c>
      <c r="E515">
        <v>80.341819271701596</v>
      </c>
      <c r="T515" t="s">
        <v>25</v>
      </c>
      <c r="U515" s="1">
        <v>42675</v>
      </c>
      <c r="V515">
        <v>1393</v>
      </c>
      <c r="W515">
        <v>33302990549.639999</v>
      </c>
      <c r="X515">
        <v>90.128570141652602</v>
      </c>
    </row>
  </sheetData>
  <pageMargins left="0.7" right="0.7" top="0.75" bottom="0.75" header="0.3" footer="0.3"/>
  <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Y141"/>
  <sheetViews>
    <sheetView workbookViewId="0">
      <selection activeCell="Y48" sqref="Y48"/>
    </sheetView>
  </sheetViews>
  <sheetFormatPr defaultRowHeight="15" x14ac:dyDescent="0.25"/>
  <cols>
    <col min="7" max="7" width="13.140625" bestFit="1" customWidth="1"/>
    <col min="8" max="8" width="20.5703125" customWidth="1"/>
    <col min="24" max="24" width="13.140625" bestFit="1" customWidth="1"/>
    <col min="25" max="25" width="20.5703125" customWidth="1"/>
  </cols>
  <sheetData>
    <row r="1" spans="1:25" x14ac:dyDescent="0.25">
      <c r="A1" t="s">
        <v>8</v>
      </c>
      <c r="B1" t="s">
        <v>2</v>
      </c>
      <c r="C1" t="s">
        <v>9</v>
      </c>
      <c r="D1" t="s">
        <v>21</v>
      </c>
      <c r="E1" t="s">
        <v>11</v>
      </c>
      <c r="G1" s="2" t="s">
        <v>8</v>
      </c>
      <c r="H1" t="s">
        <v>24</v>
      </c>
      <c r="R1" t="s">
        <v>8</v>
      </c>
      <c r="S1" t="s">
        <v>2</v>
      </c>
      <c r="T1" t="s">
        <v>9</v>
      </c>
      <c r="U1" t="s">
        <v>21</v>
      </c>
      <c r="V1" t="s">
        <v>11</v>
      </c>
      <c r="X1" s="2" t="s">
        <v>8</v>
      </c>
      <c r="Y1" t="s">
        <v>24</v>
      </c>
    </row>
    <row r="2" spans="1:25" x14ac:dyDescent="0.25">
      <c r="A2" t="s">
        <v>22</v>
      </c>
      <c r="B2" s="1">
        <v>41640</v>
      </c>
      <c r="C2">
        <v>37828</v>
      </c>
      <c r="D2">
        <v>19926412057.189999</v>
      </c>
      <c r="E2">
        <v>19.621878987759999</v>
      </c>
      <c r="R2" t="s">
        <v>22</v>
      </c>
      <c r="S2" s="1">
        <v>41640</v>
      </c>
      <c r="T2">
        <v>37828</v>
      </c>
      <c r="U2">
        <v>19926412057.189999</v>
      </c>
      <c r="V2">
        <v>19.642903016870999</v>
      </c>
    </row>
    <row r="3" spans="1:25" x14ac:dyDescent="0.25">
      <c r="A3" t="s">
        <v>23</v>
      </c>
      <c r="B3" s="1">
        <v>41640</v>
      </c>
      <c r="C3">
        <v>2112776</v>
      </c>
      <c r="D3">
        <v>450758827151.26001</v>
      </c>
      <c r="E3">
        <v>23.9561064818019</v>
      </c>
      <c r="G3" s="2" t="s">
        <v>16</v>
      </c>
      <c r="H3" t="s">
        <v>18</v>
      </c>
      <c r="R3" t="s">
        <v>23</v>
      </c>
      <c r="S3" s="1">
        <v>41640</v>
      </c>
      <c r="T3">
        <v>2112776</v>
      </c>
      <c r="U3">
        <v>450758827151.26001</v>
      </c>
      <c r="V3">
        <v>23.957708880996201</v>
      </c>
      <c r="X3" s="2" t="s">
        <v>16</v>
      </c>
      <c r="Y3" t="s">
        <v>18</v>
      </c>
    </row>
    <row r="4" spans="1:25" x14ac:dyDescent="0.25">
      <c r="A4" t="s">
        <v>24</v>
      </c>
      <c r="B4" s="1">
        <v>41640</v>
      </c>
      <c r="C4">
        <v>91949</v>
      </c>
      <c r="D4">
        <v>17744982789.599998</v>
      </c>
      <c r="E4">
        <v>0.168753523533169</v>
      </c>
      <c r="G4" s="3">
        <v>41640</v>
      </c>
      <c r="H4" s="5">
        <v>0.168753523533169</v>
      </c>
      <c r="R4" t="s">
        <v>24</v>
      </c>
      <c r="S4" s="1">
        <v>41640</v>
      </c>
      <c r="T4">
        <v>91949</v>
      </c>
      <c r="U4">
        <v>17744982789.599998</v>
      </c>
      <c r="V4">
        <v>0.193642646218533</v>
      </c>
      <c r="X4" s="3">
        <v>41640</v>
      </c>
      <c r="Y4" s="5">
        <v>0.193642646218533</v>
      </c>
    </row>
    <row r="5" spans="1:25" x14ac:dyDescent="0.25">
      <c r="A5" t="s">
        <v>25</v>
      </c>
      <c r="B5" s="1">
        <v>41640</v>
      </c>
      <c r="C5">
        <v>91858</v>
      </c>
      <c r="D5">
        <v>17481057533.18</v>
      </c>
      <c r="E5">
        <v>4.4023449487047396E-3</v>
      </c>
      <c r="G5" s="3">
        <v>41671</v>
      </c>
      <c r="H5" s="5">
        <v>2.6065904246231999</v>
      </c>
      <c r="R5" t="s">
        <v>25</v>
      </c>
      <c r="S5" s="1">
        <v>41640</v>
      </c>
      <c r="T5">
        <v>91858</v>
      </c>
      <c r="U5">
        <v>17481057533.18</v>
      </c>
      <c r="V5">
        <v>4.6227333639613398E-3</v>
      </c>
      <c r="X5" s="3">
        <v>41671</v>
      </c>
      <c r="Y5" s="5">
        <v>2.63346219491592</v>
      </c>
    </row>
    <row r="6" spans="1:25" x14ac:dyDescent="0.25">
      <c r="A6" t="s">
        <v>22</v>
      </c>
      <c r="B6" s="1">
        <v>41671</v>
      </c>
      <c r="C6">
        <v>148773</v>
      </c>
      <c r="D6">
        <v>59262029379.919998</v>
      </c>
      <c r="E6">
        <v>299.53302514693502</v>
      </c>
      <c r="G6" s="3">
        <v>41699</v>
      </c>
      <c r="H6" s="5">
        <v>5.8762523893936498</v>
      </c>
      <c r="R6" t="s">
        <v>22</v>
      </c>
      <c r="S6" s="1">
        <v>41671</v>
      </c>
      <c r="T6">
        <v>148773</v>
      </c>
      <c r="U6">
        <v>59262029379.919998</v>
      </c>
      <c r="V6">
        <v>299.16212071682003</v>
      </c>
      <c r="X6" s="3">
        <v>41699</v>
      </c>
      <c r="Y6" s="5">
        <v>5.9328141678661304</v>
      </c>
    </row>
    <row r="7" spans="1:25" x14ac:dyDescent="0.25">
      <c r="A7" t="s">
        <v>23</v>
      </c>
      <c r="B7" s="1">
        <v>41671</v>
      </c>
      <c r="C7">
        <v>11072746</v>
      </c>
      <c r="D7">
        <v>1642687948717.01</v>
      </c>
      <c r="E7">
        <v>659.20424943054195</v>
      </c>
      <c r="G7" s="3">
        <v>41730</v>
      </c>
      <c r="H7" s="5">
        <v>9.0205361898149903</v>
      </c>
      <c r="R7" t="s">
        <v>23</v>
      </c>
      <c r="S7" s="1">
        <v>41671</v>
      </c>
      <c r="T7">
        <v>11072746</v>
      </c>
      <c r="U7">
        <v>1642687948717.01</v>
      </c>
      <c r="V7">
        <v>657.12745044255905</v>
      </c>
      <c r="X7" s="3">
        <v>41730</v>
      </c>
      <c r="Y7" s="5">
        <v>9.0945542206952901</v>
      </c>
    </row>
    <row r="8" spans="1:25" x14ac:dyDescent="0.25">
      <c r="A8" t="s">
        <v>24</v>
      </c>
      <c r="B8" s="1">
        <v>41671</v>
      </c>
      <c r="C8">
        <v>248074</v>
      </c>
      <c r="D8">
        <v>48668276072.550003</v>
      </c>
      <c r="E8">
        <v>2.6065904246231999</v>
      </c>
      <c r="G8" s="3">
        <v>41760</v>
      </c>
      <c r="H8" s="5">
        <v>12.2629204869394</v>
      </c>
      <c r="R8" t="s">
        <v>24</v>
      </c>
      <c r="S8" s="1">
        <v>41671</v>
      </c>
      <c r="T8">
        <v>248074</v>
      </c>
      <c r="U8">
        <v>48668276072.550003</v>
      </c>
      <c r="V8">
        <v>2.63346219491592</v>
      </c>
      <c r="X8" s="3">
        <v>41760</v>
      </c>
      <c r="Y8" s="5">
        <v>12.352079792505</v>
      </c>
    </row>
    <row r="9" spans="1:25" x14ac:dyDescent="0.25">
      <c r="A9" t="s">
        <v>25</v>
      </c>
      <c r="B9" s="1">
        <v>41671</v>
      </c>
      <c r="C9">
        <v>203053</v>
      </c>
      <c r="D9">
        <v>39453982410.099998</v>
      </c>
      <c r="E9">
        <v>5.9409086875498202E-2</v>
      </c>
      <c r="G9" s="3">
        <v>41791</v>
      </c>
      <c r="H9" s="5">
        <v>16.776407465858998</v>
      </c>
      <c r="R9" t="s">
        <v>25</v>
      </c>
      <c r="S9" s="1">
        <v>41671</v>
      </c>
      <c r="T9">
        <v>203053</v>
      </c>
      <c r="U9">
        <v>39453982410.099998</v>
      </c>
      <c r="V9">
        <v>6.0835134463217602E-2</v>
      </c>
      <c r="X9" s="3">
        <v>41791</v>
      </c>
      <c r="Y9" s="5">
        <v>16.9014507690489</v>
      </c>
    </row>
    <row r="10" spans="1:25" x14ac:dyDescent="0.25">
      <c r="A10" t="s">
        <v>22</v>
      </c>
      <c r="B10" s="1">
        <v>41699</v>
      </c>
      <c r="C10">
        <v>149365</v>
      </c>
      <c r="D10">
        <v>59111515704</v>
      </c>
      <c r="E10">
        <v>300.226729152605</v>
      </c>
      <c r="G10" s="3">
        <v>41821</v>
      </c>
      <c r="H10" s="5">
        <v>21.466736442339499</v>
      </c>
      <c r="R10" t="s">
        <v>22</v>
      </c>
      <c r="S10" s="1">
        <v>41699</v>
      </c>
      <c r="T10">
        <v>149365</v>
      </c>
      <c r="U10">
        <v>59111515704</v>
      </c>
      <c r="V10">
        <v>299.45622450864602</v>
      </c>
      <c r="X10" s="3">
        <v>41821</v>
      </c>
      <c r="Y10" s="5">
        <v>21.626839528363199</v>
      </c>
    </row>
    <row r="11" spans="1:25" x14ac:dyDescent="0.25">
      <c r="A11" t="s">
        <v>23</v>
      </c>
      <c r="B11" s="1">
        <v>41699</v>
      </c>
      <c r="C11">
        <v>11154027</v>
      </c>
      <c r="D11">
        <v>1644961763785.54</v>
      </c>
      <c r="E11">
        <v>656.524879812834</v>
      </c>
      <c r="G11" s="3">
        <v>41852</v>
      </c>
      <c r="H11" s="5">
        <v>26.4234260988503</v>
      </c>
      <c r="R11" t="s">
        <v>23</v>
      </c>
      <c r="S11" s="1">
        <v>41699</v>
      </c>
      <c r="T11">
        <v>11154027</v>
      </c>
      <c r="U11">
        <v>1644961763785.54</v>
      </c>
      <c r="V11">
        <v>652.19508940594005</v>
      </c>
      <c r="X11" s="3">
        <v>41852</v>
      </c>
      <c r="Y11" s="5">
        <v>26.616690981363899</v>
      </c>
    </row>
    <row r="12" spans="1:25" x14ac:dyDescent="0.25">
      <c r="A12" t="s">
        <v>24</v>
      </c>
      <c r="B12" s="1">
        <v>41699</v>
      </c>
      <c r="C12">
        <v>250091</v>
      </c>
      <c r="D12">
        <v>48824847153.900002</v>
      </c>
      <c r="E12">
        <v>5.8762523893936498</v>
      </c>
      <c r="G12" s="3">
        <v>41883</v>
      </c>
      <c r="H12" s="5">
        <v>31.604229635642501</v>
      </c>
      <c r="R12" t="s">
        <v>24</v>
      </c>
      <c r="S12" s="1">
        <v>41699</v>
      </c>
      <c r="T12">
        <v>250091</v>
      </c>
      <c r="U12">
        <v>48824847153.900002</v>
      </c>
      <c r="V12">
        <v>5.9328141678661304</v>
      </c>
      <c r="X12" s="3">
        <v>41883</v>
      </c>
      <c r="Y12" s="5">
        <v>31.827901602171099</v>
      </c>
    </row>
    <row r="13" spans="1:25" x14ac:dyDescent="0.25">
      <c r="A13" t="s">
        <v>25</v>
      </c>
      <c r="B13" s="1">
        <v>41699</v>
      </c>
      <c r="C13">
        <v>204423</v>
      </c>
      <c r="D13">
        <v>39545064843.400002</v>
      </c>
      <c r="E13">
        <v>0.16027551464055301</v>
      </c>
      <c r="G13" s="3">
        <v>41913</v>
      </c>
      <c r="H13" s="5">
        <v>36.634384126789101</v>
      </c>
      <c r="R13" t="s">
        <v>25</v>
      </c>
      <c r="S13" s="1">
        <v>41699</v>
      </c>
      <c r="T13">
        <v>204423</v>
      </c>
      <c r="U13">
        <v>39545064843.400002</v>
      </c>
      <c r="V13">
        <v>0.164350192634138</v>
      </c>
      <c r="X13" s="3">
        <v>41913</v>
      </c>
      <c r="Y13" s="5">
        <v>36.879342872683097</v>
      </c>
    </row>
    <row r="14" spans="1:25" x14ac:dyDescent="0.25">
      <c r="A14" t="s">
        <v>22</v>
      </c>
      <c r="B14" s="1">
        <v>41730</v>
      </c>
      <c r="C14">
        <v>149677</v>
      </c>
      <c r="D14">
        <v>58881346224.550003</v>
      </c>
      <c r="E14">
        <v>301.37134482944202</v>
      </c>
      <c r="G14" s="3">
        <v>41944</v>
      </c>
      <c r="H14" s="5">
        <v>42.916984449227897</v>
      </c>
      <c r="R14" t="s">
        <v>22</v>
      </c>
      <c r="S14" s="1">
        <v>41730</v>
      </c>
      <c r="T14">
        <v>149677</v>
      </c>
      <c r="U14">
        <v>58881346224.550003</v>
      </c>
      <c r="V14">
        <v>300.14871885201001</v>
      </c>
      <c r="X14" s="3">
        <v>41944</v>
      </c>
      <c r="Y14" s="5">
        <v>43.201527610449602</v>
      </c>
    </row>
    <row r="15" spans="1:25" x14ac:dyDescent="0.25">
      <c r="A15" t="s">
        <v>23</v>
      </c>
      <c r="B15" s="1">
        <v>41730</v>
      </c>
      <c r="C15">
        <v>11223356</v>
      </c>
      <c r="D15">
        <v>1645790319326.8201</v>
      </c>
      <c r="E15">
        <v>655.34843436810399</v>
      </c>
      <c r="G15" s="3">
        <v>41974</v>
      </c>
      <c r="H15" s="5">
        <v>49.614786229491699</v>
      </c>
      <c r="R15" t="s">
        <v>23</v>
      </c>
      <c r="S15" s="1">
        <v>41730</v>
      </c>
      <c r="T15">
        <v>11223356</v>
      </c>
      <c r="U15">
        <v>1645790319326.8201</v>
      </c>
      <c r="V15">
        <v>647.99121040629905</v>
      </c>
      <c r="X15" s="3">
        <v>41974</v>
      </c>
      <c r="Y15" s="5">
        <v>49.942686699046902</v>
      </c>
    </row>
    <row r="16" spans="1:25" x14ac:dyDescent="0.25">
      <c r="A16" t="s">
        <v>24</v>
      </c>
      <c r="B16" s="1">
        <v>41730</v>
      </c>
      <c r="C16">
        <v>251701</v>
      </c>
      <c r="D16">
        <v>48882551619.07</v>
      </c>
      <c r="E16">
        <v>9.0205361898149903</v>
      </c>
      <c r="G16" s="3">
        <v>42005</v>
      </c>
      <c r="H16" s="5">
        <v>58.372519437461101</v>
      </c>
      <c r="R16" t="s">
        <v>24</v>
      </c>
      <c r="S16" s="1">
        <v>41730</v>
      </c>
      <c r="T16">
        <v>251701</v>
      </c>
      <c r="U16">
        <v>48882551619.07</v>
      </c>
      <c r="V16">
        <v>9.0945542206952901</v>
      </c>
      <c r="X16" s="3">
        <v>42005</v>
      </c>
      <c r="Y16" s="5">
        <v>58.780679938356499</v>
      </c>
    </row>
    <row r="17" spans="1:25" x14ac:dyDescent="0.25">
      <c r="A17" t="s">
        <v>25</v>
      </c>
      <c r="B17" s="1">
        <v>41730</v>
      </c>
      <c r="C17">
        <v>205505</v>
      </c>
      <c r="D17">
        <v>39591864047.010002</v>
      </c>
      <c r="E17">
        <v>0.236888839371933</v>
      </c>
      <c r="G17" s="3">
        <v>42036</v>
      </c>
      <c r="H17" s="5">
        <v>69.600945344366494</v>
      </c>
      <c r="R17" t="s">
        <v>25</v>
      </c>
      <c r="S17" s="1">
        <v>41730</v>
      </c>
      <c r="T17">
        <v>205505</v>
      </c>
      <c r="U17">
        <v>39591864047.010002</v>
      </c>
      <c r="V17">
        <v>0.24345028374859801</v>
      </c>
      <c r="X17" s="3">
        <v>42036</v>
      </c>
      <c r="Y17" s="5">
        <v>71.165701742703007</v>
      </c>
    </row>
    <row r="18" spans="1:25" x14ac:dyDescent="0.25">
      <c r="A18" t="s">
        <v>22</v>
      </c>
      <c r="B18" s="1">
        <v>41760</v>
      </c>
      <c r="C18">
        <v>149974</v>
      </c>
      <c r="D18">
        <v>58582890089.389999</v>
      </c>
      <c r="E18">
        <v>302.614567040775</v>
      </c>
      <c r="G18" s="3">
        <v>42064</v>
      </c>
      <c r="H18" s="5">
        <v>80.391530215792599</v>
      </c>
      <c r="R18" t="s">
        <v>22</v>
      </c>
      <c r="S18" s="1">
        <v>41760</v>
      </c>
      <c r="T18">
        <v>149974</v>
      </c>
      <c r="U18">
        <v>58582890089.389999</v>
      </c>
      <c r="V18">
        <v>300.96152416133799</v>
      </c>
      <c r="X18" s="3">
        <v>42064</v>
      </c>
      <c r="Y18" s="5">
        <v>83.006254010880596</v>
      </c>
    </row>
    <row r="19" spans="1:25" x14ac:dyDescent="0.25">
      <c r="A19" t="s">
        <v>23</v>
      </c>
      <c r="B19" s="1">
        <v>41760</v>
      </c>
      <c r="C19">
        <v>11300802</v>
      </c>
      <c r="D19">
        <v>1647096509671.45</v>
      </c>
      <c r="E19">
        <v>652.85647269067397</v>
      </c>
      <c r="G19" s="3">
        <v>42095</v>
      </c>
      <c r="H19" s="5">
        <v>90.415354510232802</v>
      </c>
      <c r="R19" t="s">
        <v>23</v>
      </c>
      <c r="S19" s="1">
        <v>41760</v>
      </c>
      <c r="T19">
        <v>11300802</v>
      </c>
      <c r="U19">
        <v>1647096509671.45</v>
      </c>
      <c r="V19">
        <v>642.61344861338796</v>
      </c>
      <c r="X19" s="3">
        <v>42095</v>
      </c>
      <c r="Y19" s="5">
        <v>93.950732245311301</v>
      </c>
    </row>
    <row r="20" spans="1:25" x14ac:dyDescent="0.25">
      <c r="A20" t="s">
        <v>24</v>
      </c>
      <c r="B20" s="1">
        <v>41760</v>
      </c>
      <c r="C20">
        <v>252880</v>
      </c>
      <c r="D20">
        <v>48833988139.910004</v>
      </c>
      <c r="E20">
        <v>12.2629204869394</v>
      </c>
      <c r="G20" s="3">
        <v>42125</v>
      </c>
      <c r="H20" s="5">
        <v>101.685031000218</v>
      </c>
      <c r="R20" t="s">
        <v>24</v>
      </c>
      <c r="S20" s="1">
        <v>41760</v>
      </c>
      <c r="T20">
        <v>252880</v>
      </c>
      <c r="U20">
        <v>48833988139.910004</v>
      </c>
      <c r="V20">
        <v>12.352079792505</v>
      </c>
      <c r="X20" s="3">
        <v>42125</v>
      </c>
      <c r="Y20" s="5">
        <v>106.309984853168</v>
      </c>
    </row>
    <row r="21" spans="1:25" x14ac:dyDescent="0.25">
      <c r="A21" t="s">
        <v>25</v>
      </c>
      <c r="B21" s="1">
        <v>41760</v>
      </c>
      <c r="C21">
        <v>206231</v>
      </c>
      <c r="D21">
        <v>39571744656.470001</v>
      </c>
      <c r="E21">
        <v>0.33200615259279997</v>
      </c>
      <c r="G21" s="3">
        <v>42156</v>
      </c>
      <c r="H21" s="5">
        <v>110.73699970408801</v>
      </c>
      <c r="R21" t="s">
        <v>25</v>
      </c>
      <c r="S21" s="1">
        <v>41760</v>
      </c>
      <c r="T21">
        <v>206231</v>
      </c>
      <c r="U21">
        <v>39571744656.470001</v>
      </c>
      <c r="V21">
        <v>0.34146695019228002</v>
      </c>
      <c r="X21" s="3">
        <v>42156</v>
      </c>
      <c r="Y21" s="5">
        <v>116.11482910506901</v>
      </c>
    </row>
    <row r="22" spans="1:25" x14ac:dyDescent="0.25">
      <c r="A22" t="s">
        <v>22</v>
      </c>
      <c r="B22" s="1">
        <v>41791</v>
      </c>
      <c r="C22">
        <v>150374</v>
      </c>
      <c r="D22">
        <v>58301966191.410004</v>
      </c>
      <c r="E22">
        <v>305.08853376933803</v>
      </c>
      <c r="G22" s="3">
        <v>42186</v>
      </c>
      <c r="H22" s="5">
        <v>117.939772616786</v>
      </c>
      <c r="R22" t="s">
        <v>22</v>
      </c>
      <c r="S22" s="1">
        <v>41791</v>
      </c>
      <c r="T22">
        <v>150374</v>
      </c>
      <c r="U22">
        <v>58301966191.410004</v>
      </c>
      <c r="V22">
        <v>302.980192023749</v>
      </c>
      <c r="X22" s="3">
        <v>42186</v>
      </c>
      <c r="Y22" s="5">
        <v>123.81398873655201</v>
      </c>
    </row>
    <row r="23" spans="1:25" x14ac:dyDescent="0.25">
      <c r="A23" t="s">
        <v>23</v>
      </c>
      <c r="B23" s="1">
        <v>41791</v>
      </c>
      <c r="C23">
        <v>11378415</v>
      </c>
      <c r="D23">
        <v>1647657458415.05</v>
      </c>
      <c r="E23">
        <v>652.91546876431403</v>
      </c>
      <c r="G23" s="3">
        <v>42217</v>
      </c>
      <c r="H23" s="5">
        <v>124.60950717752699</v>
      </c>
      <c r="R23" t="s">
        <v>23</v>
      </c>
      <c r="S23" s="1">
        <v>41791</v>
      </c>
      <c r="T23">
        <v>11378415</v>
      </c>
      <c r="U23">
        <v>1647657458415.05</v>
      </c>
      <c r="V23">
        <v>639.45467617547195</v>
      </c>
      <c r="X23" s="3">
        <v>42217</v>
      </c>
      <c r="Y23" s="5">
        <v>130.90300572871899</v>
      </c>
    </row>
    <row r="24" spans="1:25" x14ac:dyDescent="0.25">
      <c r="A24" t="s">
        <v>24</v>
      </c>
      <c r="B24" s="1">
        <v>41791</v>
      </c>
      <c r="C24">
        <v>253638</v>
      </c>
      <c r="D24">
        <v>48703897837.360001</v>
      </c>
      <c r="E24">
        <v>16.776407465858998</v>
      </c>
      <c r="G24" s="3">
        <v>42248</v>
      </c>
      <c r="H24" s="5">
        <v>133.31941672001699</v>
      </c>
      <c r="R24" t="s">
        <v>24</v>
      </c>
      <c r="S24" s="1">
        <v>41791</v>
      </c>
      <c r="T24">
        <v>253638</v>
      </c>
      <c r="U24">
        <v>48703897837.360001</v>
      </c>
      <c r="V24">
        <v>16.9014507690489</v>
      </c>
      <c r="X24" s="3">
        <v>42248</v>
      </c>
      <c r="Y24" s="5">
        <v>140.19135524917201</v>
      </c>
    </row>
    <row r="25" spans="1:25" x14ac:dyDescent="0.25">
      <c r="A25" t="s">
        <v>25</v>
      </c>
      <c r="B25" s="1">
        <v>41791</v>
      </c>
      <c r="C25">
        <v>206723</v>
      </c>
      <c r="D25">
        <v>39499963126.800003</v>
      </c>
      <c r="E25">
        <v>0.52458272412235596</v>
      </c>
      <c r="G25" s="3">
        <v>42278</v>
      </c>
      <c r="H25" s="5">
        <v>142.32989675911799</v>
      </c>
      <c r="R25" t="s">
        <v>25</v>
      </c>
      <c r="S25" s="1">
        <v>41791</v>
      </c>
      <c r="T25">
        <v>206723</v>
      </c>
      <c r="U25">
        <v>39499963126.800003</v>
      </c>
      <c r="V25">
        <v>0.54141245002326999</v>
      </c>
      <c r="X25" s="3">
        <v>42278</v>
      </c>
      <c r="Y25" s="5">
        <v>149.794291106771</v>
      </c>
    </row>
    <row r="26" spans="1:25" x14ac:dyDescent="0.25">
      <c r="A26" t="s">
        <v>22</v>
      </c>
      <c r="B26" s="1">
        <v>41821</v>
      </c>
      <c r="C26">
        <v>150747</v>
      </c>
      <c r="D26">
        <v>57985372567.089996</v>
      </c>
      <c r="E26">
        <v>307.590836054313</v>
      </c>
      <c r="G26" s="3">
        <v>42309</v>
      </c>
      <c r="H26" s="5">
        <v>152.64947521092299</v>
      </c>
      <c r="R26" t="s">
        <v>22</v>
      </c>
      <c r="S26" s="1">
        <v>41821</v>
      </c>
      <c r="T26">
        <v>150747</v>
      </c>
      <c r="U26">
        <v>57985372567.089996</v>
      </c>
      <c r="V26">
        <v>305.06508585891402</v>
      </c>
      <c r="X26" s="3">
        <v>42309</v>
      </c>
      <c r="Y26" s="5">
        <v>160.82686106133301</v>
      </c>
    </row>
    <row r="27" spans="1:25" x14ac:dyDescent="0.25">
      <c r="A27" t="s">
        <v>23</v>
      </c>
      <c r="B27" s="1">
        <v>41821</v>
      </c>
      <c r="C27">
        <v>11468052</v>
      </c>
      <c r="D27">
        <v>1650590730624.3701</v>
      </c>
      <c r="E27">
        <v>652.13691032239694</v>
      </c>
      <c r="G27" s="3">
        <v>42339</v>
      </c>
      <c r="H27" s="5">
        <v>160.86764881874001</v>
      </c>
      <c r="R27" t="s">
        <v>23</v>
      </c>
      <c r="S27" s="1">
        <v>41821</v>
      </c>
      <c r="T27">
        <v>11468052</v>
      </c>
      <c r="U27">
        <v>1650590730624.3701</v>
      </c>
      <c r="V27">
        <v>635.58398121195296</v>
      </c>
      <c r="X27" s="3">
        <v>42339</v>
      </c>
      <c r="Y27" s="5">
        <v>169.522911924147</v>
      </c>
    </row>
    <row r="28" spans="1:25" x14ac:dyDescent="0.25">
      <c r="A28" t="s">
        <v>24</v>
      </c>
      <c r="B28" s="1">
        <v>41821</v>
      </c>
      <c r="C28">
        <v>254650</v>
      </c>
      <c r="D28">
        <v>48587339087.510002</v>
      </c>
      <c r="E28">
        <v>21.466736442339499</v>
      </c>
      <c r="G28" s="3">
        <v>42370</v>
      </c>
      <c r="H28" s="5">
        <v>169.10896479519201</v>
      </c>
      <c r="R28" t="s">
        <v>24</v>
      </c>
      <c r="S28" s="1">
        <v>41821</v>
      </c>
      <c r="T28">
        <v>254650</v>
      </c>
      <c r="U28">
        <v>48587339087.510002</v>
      </c>
      <c r="V28">
        <v>21.626839528363199</v>
      </c>
      <c r="X28" s="3">
        <v>42370</v>
      </c>
      <c r="Y28" s="5">
        <v>178.20418118673501</v>
      </c>
    </row>
    <row r="29" spans="1:25" x14ac:dyDescent="0.25">
      <c r="A29" t="s">
        <v>25</v>
      </c>
      <c r="B29" s="1">
        <v>41821</v>
      </c>
      <c r="C29">
        <v>207239</v>
      </c>
      <c r="D29">
        <v>39425086133.68</v>
      </c>
      <c r="E29">
        <v>0.74383179247962905</v>
      </c>
      <c r="G29" s="3">
        <v>42401</v>
      </c>
      <c r="H29" s="5">
        <v>178.50469265926699</v>
      </c>
      <c r="R29" t="s">
        <v>25</v>
      </c>
      <c r="S29" s="1">
        <v>41821</v>
      </c>
      <c r="T29">
        <v>207239</v>
      </c>
      <c r="U29">
        <v>39425086133.68</v>
      </c>
      <c r="V29">
        <v>0.76823566679891697</v>
      </c>
      <c r="X29" s="3">
        <v>42401</v>
      </c>
      <c r="Y29" s="5">
        <v>188.16464847024801</v>
      </c>
    </row>
    <row r="30" spans="1:25" x14ac:dyDescent="0.25">
      <c r="A30" t="s">
        <v>22</v>
      </c>
      <c r="B30" s="1">
        <v>41852</v>
      </c>
      <c r="C30">
        <v>151372</v>
      </c>
      <c r="D30">
        <v>57751883561.589996</v>
      </c>
      <c r="E30">
        <v>309.76129673243901</v>
      </c>
      <c r="G30" s="3">
        <v>42430</v>
      </c>
      <c r="H30" s="5">
        <v>191.556446624459</v>
      </c>
      <c r="R30" t="s">
        <v>22</v>
      </c>
      <c r="S30" s="1">
        <v>41852</v>
      </c>
      <c r="T30">
        <v>151372</v>
      </c>
      <c r="U30">
        <v>57751883561.589996</v>
      </c>
      <c r="V30">
        <v>306.81433509056302</v>
      </c>
      <c r="X30" s="3">
        <v>42430</v>
      </c>
      <c r="Y30" s="5">
        <v>202.113323640392</v>
      </c>
    </row>
    <row r="31" spans="1:25" x14ac:dyDescent="0.25">
      <c r="A31" t="s">
        <v>23</v>
      </c>
      <c r="B31" s="1">
        <v>41852</v>
      </c>
      <c r="C31">
        <v>11569037</v>
      </c>
      <c r="D31">
        <v>1654803790597.3201</v>
      </c>
      <c r="E31">
        <v>650.44429076472102</v>
      </c>
      <c r="G31" s="3">
        <v>42461</v>
      </c>
      <c r="H31" s="5">
        <v>205.61623398203301</v>
      </c>
      <c r="R31" t="s">
        <v>23</v>
      </c>
      <c r="S31" s="1">
        <v>41852</v>
      </c>
      <c r="T31">
        <v>11569037</v>
      </c>
      <c r="U31">
        <v>1654803790597.3201</v>
      </c>
      <c r="V31">
        <v>630.92817123831105</v>
      </c>
      <c r="X31" s="3">
        <v>42461</v>
      </c>
      <c r="Y31" s="5">
        <v>217.02485451410899</v>
      </c>
    </row>
    <row r="32" spans="1:25" x14ac:dyDescent="0.25">
      <c r="A32" t="s">
        <v>24</v>
      </c>
      <c r="B32" s="1">
        <v>41852</v>
      </c>
      <c r="C32">
        <v>255445</v>
      </c>
      <c r="D32">
        <v>48410067823.459999</v>
      </c>
      <c r="E32">
        <v>26.4234260988503</v>
      </c>
      <c r="G32" s="3">
        <v>42491</v>
      </c>
      <c r="H32" s="5">
        <v>219.737786419586</v>
      </c>
      <c r="R32" t="s">
        <v>24</v>
      </c>
      <c r="S32" s="1">
        <v>41852</v>
      </c>
      <c r="T32">
        <v>255445</v>
      </c>
      <c r="U32">
        <v>48410067823.459999</v>
      </c>
      <c r="V32">
        <v>26.616690981363899</v>
      </c>
      <c r="X32" s="3">
        <v>42491</v>
      </c>
      <c r="Y32" s="5">
        <v>232.023538629764</v>
      </c>
    </row>
    <row r="33" spans="1:25" x14ac:dyDescent="0.25">
      <c r="A33" t="s">
        <v>25</v>
      </c>
      <c r="B33" s="1">
        <v>41852</v>
      </c>
      <c r="C33">
        <v>207658</v>
      </c>
      <c r="D33">
        <v>39330813211.059998</v>
      </c>
      <c r="E33">
        <v>0.995758100173185</v>
      </c>
      <c r="G33" s="3">
        <v>42522</v>
      </c>
      <c r="H33" s="5">
        <v>234.18227255772999</v>
      </c>
      <c r="R33" t="s">
        <v>25</v>
      </c>
      <c r="S33" s="1">
        <v>41852</v>
      </c>
      <c r="T33">
        <v>207658</v>
      </c>
      <c r="U33">
        <v>39330813211.059998</v>
      </c>
      <c r="V33">
        <v>1.0295243562115901</v>
      </c>
      <c r="X33" s="3">
        <v>42522</v>
      </c>
      <c r="Y33" s="5">
        <v>247.3336156828</v>
      </c>
    </row>
    <row r="34" spans="1:25" x14ac:dyDescent="0.25">
      <c r="A34" t="s">
        <v>22</v>
      </c>
      <c r="B34" s="1">
        <v>41883</v>
      </c>
      <c r="C34">
        <v>151769</v>
      </c>
      <c r="D34">
        <v>57316651873.169998</v>
      </c>
      <c r="E34">
        <v>311.82010356361701</v>
      </c>
      <c r="G34" s="3">
        <v>42552</v>
      </c>
      <c r="H34" s="5">
        <v>249.37479291360401</v>
      </c>
      <c r="R34" t="s">
        <v>22</v>
      </c>
      <c r="S34" s="1">
        <v>41883</v>
      </c>
      <c r="T34">
        <v>151769</v>
      </c>
      <c r="U34">
        <v>57316651873.169998</v>
      </c>
      <c r="V34">
        <v>308.51395868959401</v>
      </c>
      <c r="X34" s="3">
        <v>42552</v>
      </c>
      <c r="Y34" s="5">
        <v>263.422432839885</v>
      </c>
    </row>
    <row r="35" spans="1:25" x14ac:dyDescent="0.25">
      <c r="A35" t="s">
        <v>23</v>
      </c>
      <c r="B35" s="1">
        <v>41883</v>
      </c>
      <c r="C35">
        <v>11660561</v>
      </c>
      <c r="D35">
        <v>1657012348233.27</v>
      </c>
      <c r="E35">
        <v>649.59159085808699</v>
      </c>
      <c r="G35" s="3">
        <v>42583</v>
      </c>
      <c r="H35" s="5">
        <v>266.82465468974198</v>
      </c>
      <c r="R35" t="s">
        <v>23</v>
      </c>
      <c r="S35" s="1">
        <v>41883</v>
      </c>
      <c r="T35">
        <v>11660561</v>
      </c>
      <c r="U35">
        <v>1657012348233.27</v>
      </c>
      <c r="V35">
        <v>627.19390755928998</v>
      </c>
      <c r="X35" s="3">
        <v>42583</v>
      </c>
      <c r="Y35" s="5">
        <v>282.01667332387598</v>
      </c>
    </row>
    <row r="36" spans="1:25" x14ac:dyDescent="0.25">
      <c r="A36" t="s">
        <v>24</v>
      </c>
      <c r="B36" s="1">
        <v>41883</v>
      </c>
      <c r="C36">
        <v>256292</v>
      </c>
      <c r="D36">
        <v>48204367087.389999</v>
      </c>
      <c r="E36">
        <v>31.604229635642501</v>
      </c>
      <c r="G36" s="3">
        <v>42614</v>
      </c>
      <c r="H36" s="5">
        <v>284.81534645603699</v>
      </c>
      <c r="R36" t="s">
        <v>24</v>
      </c>
      <c r="S36" s="1">
        <v>41883</v>
      </c>
      <c r="T36">
        <v>256292</v>
      </c>
      <c r="U36">
        <v>48204367087.389999</v>
      </c>
      <c r="V36">
        <v>31.827901602171099</v>
      </c>
      <c r="X36" s="3">
        <v>42614</v>
      </c>
      <c r="Y36" s="5">
        <v>301.05980133496701</v>
      </c>
    </row>
    <row r="37" spans="1:25" x14ac:dyDescent="0.25">
      <c r="A37" t="s">
        <v>25</v>
      </c>
      <c r="B37" s="1">
        <v>41883</v>
      </c>
      <c r="C37">
        <v>208054</v>
      </c>
      <c r="D37">
        <v>39228889827.529999</v>
      </c>
      <c r="E37">
        <v>1.28407085956091</v>
      </c>
      <c r="G37" s="3">
        <v>42644</v>
      </c>
      <c r="H37" s="5">
        <v>301.68817035119503</v>
      </c>
      <c r="R37" t="s">
        <v>25</v>
      </c>
      <c r="S37" s="1">
        <v>41883</v>
      </c>
      <c r="T37">
        <v>208054</v>
      </c>
      <c r="U37">
        <v>39228889827.529999</v>
      </c>
      <c r="V37">
        <v>1.3282737682383401</v>
      </c>
      <c r="X37" s="3">
        <v>42644</v>
      </c>
      <c r="Y37" s="5">
        <v>318.96103167157401</v>
      </c>
    </row>
    <row r="38" spans="1:25" x14ac:dyDescent="0.25">
      <c r="A38" t="s">
        <v>22</v>
      </c>
      <c r="B38" s="1">
        <v>41913</v>
      </c>
      <c r="C38">
        <v>152752</v>
      </c>
      <c r="D38">
        <v>57276773451.800003</v>
      </c>
      <c r="E38">
        <v>313.75014253138897</v>
      </c>
      <c r="G38" s="3">
        <v>42675</v>
      </c>
      <c r="H38" s="5">
        <v>318.504636968981</v>
      </c>
      <c r="R38" t="s">
        <v>22</v>
      </c>
      <c r="S38" s="1">
        <v>41913</v>
      </c>
      <c r="T38">
        <v>152752</v>
      </c>
      <c r="U38">
        <v>57276773451.800003</v>
      </c>
      <c r="V38">
        <v>310.08696304616598</v>
      </c>
      <c r="X38" s="3">
        <v>42675</v>
      </c>
      <c r="Y38" s="5">
        <v>336.76375463465899</v>
      </c>
    </row>
    <row r="39" spans="1:25" x14ac:dyDescent="0.25">
      <c r="A39" t="s">
        <v>23</v>
      </c>
      <c r="B39" s="1">
        <v>41913</v>
      </c>
      <c r="C39">
        <v>11772431</v>
      </c>
      <c r="D39">
        <v>1664111188973.7</v>
      </c>
      <c r="E39">
        <v>647.73403713912296</v>
      </c>
      <c r="G39" s="4" t="s">
        <v>17</v>
      </c>
      <c r="H39" s="5">
        <v>4218.2041033956002</v>
      </c>
      <c r="R39" t="s">
        <v>23</v>
      </c>
      <c r="S39" s="1">
        <v>41913</v>
      </c>
      <c r="T39">
        <v>11772431</v>
      </c>
      <c r="U39">
        <v>1664111188973.7</v>
      </c>
      <c r="V39">
        <v>622.73580799464196</v>
      </c>
      <c r="X39" s="4" t="s">
        <v>17</v>
      </c>
      <c r="Y39" s="5">
        <v>4428.6714447165186</v>
      </c>
    </row>
    <row r="40" spans="1:25" x14ac:dyDescent="0.25">
      <c r="A40" t="s">
        <v>24</v>
      </c>
      <c r="B40" s="1">
        <v>41913</v>
      </c>
      <c r="C40">
        <v>256953</v>
      </c>
      <c r="D40">
        <v>47991344092.919998</v>
      </c>
      <c r="E40">
        <v>36.634384126789101</v>
      </c>
      <c r="R40" t="s">
        <v>24</v>
      </c>
      <c r="S40" s="1">
        <v>41913</v>
      </c>
      <c r="T40">
        <v>256953</v>
      </c>
      <c r="U40">
        <v>47991344092.919998</v>
      </c>
      <c r="V40">
        <v>36.879342872683097</v>
      </c>
    </row>
    <row r="41" spans="1:25" x14ac:dyDescent="0.25">
      <c r="A41" t="s">
        <v>25</v>
      </c>
      <c r="B41" s="1">
        <v>41913</v>
      </c>
      <c r="C41">
        <v>208376</v>
      </c>
      <c r="D41">
        <v>39117481982.379997</v>
      </c>
      <c r="E41">
        <v>1.5682397898577001</v>
      </c>
      <c r="R41" t="s">
        <v>25</v>
      </c>
      <c r="S41" s="1">
        <v>41913</v>
      </c>
      <c r="T41">
        <v>208376</v>
      </c>
      <c r="U41">
        <v>39117481982.379997</v>
      </c>
      <c r="V41">
        <v>1.62147412359015</v>
      </c>
    </row>
    <row r="42" spans="1:25" x14ac:dyDescent="0.25">
      <c r="A42" t="s">
        <v>22</v>
      </c>
      <c r="B42" s="1">
        <v>41944</v>
      </c>
      <c r="C42">
        <v>153317</v>
      </c>
      <c r="D42">
        <v>57005567979.699997</v>
      </c>
      <c r="E42">
        <v>317.06910299235699</v>
      </c>
      <c r="R42" t="s">
        <v>22</v>
      </c>
      <c r="S42" s="1">
        <v>41944</v>
      </c>
      <c r="T42">
        <v>153317</v>
      </c>
      <c r="U42">
        <v>57005567979.699997</v>
      </c>
      <c r="V42">
        <v>313.041456059658</v>
      </c>
    </row>
    <row r="43" spans="1:25" x14ac:dyDescent="0.25">
      <c r="A43" t="s">
        <v>23</v>
      </c>
      <c r="B43" s="1">
        <v>41944</v>
      </c>
      <c r="C43">
        <v>11878478</v>
      </c>
      <c r="D43">
        <v>1669993515914.1299</v>
      </c>
      <c r="E43">
        <v>648.17435023365704</v>
      </c>
      <c r="R43" t="s">
        <v>23</v>
      </c>
      <c r="S43" s="1">
        <v>41944</v>
      </c>
      <c r="T43">
        <v>11878478</v>
      </c>
      <c r="U43">
        <v>1669993515914.1299</v>
      </c>
      <c r="V43">
        <v>620.39818397644694</v>
      </c>
    </row>
    <row r="44" spans="1:25" x14ac:dyDescent="0.25">
      <c r="A44" t="s">
        <v>24</v>
      </c>
      <c r="B44" s="1">
        <v>41944</v>
      </c>
      <c r="C44">
        <v>257530</v>
      </c>
      <c r="D44">
        <v>47764622782.139999</v>
      </c>
      <c r="E44">
        <v>42.916984449227897</v>
      </c>
      <c r="R44" t="s">
        <v>24</v>
      </c>
      <c r="S44" s="1">
        <v>41944</v>
      </c>
      <c r="T44">
        <v>257530</v>
      </c>
      <c r="U44">
        <v>47764622782.139999</v>
      </c>
      <c r="V44">
        <v>43.201527610449602</v>
      </c>
    </row>
    <row r="45" spans="1:25" x14ac:dyDescent="0.25">
      <c r="A45" t="s">
        <v>25</v>
      </c>
      <c r="B45" s="1">
        <v>41944</v>
      </c>
      <c r="C45">
        <v>208693</v>
      </c>
      <c r="D45">
        <v>39007350455.220001</v>
      </c>
      <c r="E45">
        <v>2.0163328808570302</v>
      </c>
      <c r="R45" t="s">
        <v>25</v>
      </c>
      <c r="S45" s="1">
        <v>41944</v>
      </c>
      <c r="T45">
        <v>208693</v>
      </c>
      <c r="U45">
        <v>39007350455.220001</v>
      </c>
      <c r="V45">
        <v>2.0873685763610799</v>
      </c>
    </row>
    <row r="46" spans="1:25" x14ac:dyDescent="0.25">
      <c r="A46" t="s">
        <v>22</v>
      </c>
      <c r="B46" s="1">
        <v>41974</v>
      </c>
      <c r="C46">
        <v>153917</v>
      </c>
      <c r="D46">
        <v>56722185335.559998</v>
      </c>
      <c r="E46">
        <v>320.91458522231301</v>
      </c>
      <c r="R46" t="s">
        <v>22</v>
      </c>
      <c r="S46" s="1">
        <v>41974</v>
      </c>
      <c r="T46">
        <v>153917</v>
      </c>
      <c r="U46">
        <v>56722185335.559998</v>
      </c>
      <c r="V46">
        <v>316.529893710544</v>
      </c>
    </row>
    <row r="47" spans="1:25" x14ac:dyDescent="0.25">
      <c r="A47" t="s">
        <v>23</v>
      </c>
      <c r="B47" s="1">
        <v>41974</v>
      </c>
      <c r="C47">
        <v>11971530</v>
      </c>
      <c r="D47">
        <v>1673114034982.1201</v>
      </c>
      <c r="E47">
        <v>650.96428571355398</v>
      </c>
      <c r="R47" t="s">
        <v>23</v>
      </c>
      <c r="S47" s="1">
        <v>41974</v>
      </c>
      <c r="T47">
        <v>11971530</v>
      </c>
      <c r="U47">
        <v>1673114034982.1201</v>
      </c>
      <c r="V47">
        <v>620.43349280456403</v>
      </c>
    </row>
    <row r="48" spans="1:25" x14ac:dyDescent="0.25">
      <c r="A48" t="s">
        <v>24</v>
      </c>
      <c r="B48" s="1">
        <v>41974</v>
      </c>
      <c r="C48">
        <v>257965</v>
      </c>
      <c r="D48">
        <v>47504180677.099998</v>
      </c>
      <c r="E48">
        <v>49.614786229491699</v>
      </c>
      <c r="R48" t="s">
        <v>24</v>
      </c>
      <c r="S48" s="1">
        <v>41974</v>
      </c>
      <c r="T48">
        <v>257965</v>
      </c>
      <c r="U48">
        <v>47504180677.099998</v>
      </c>
      <c r="V48">
        <v>49.942686699046902</v>
      </c>
    </row>
    <row r="49" spans="1:22" x14ac:dyDescent="0.25">
      <c r="A49" t="s">
        <v>25</v>
      </c>
      <c r="B49" s="1">
        <v>41974</v>
      </c>
      <c r="C49">
        <v>208917</v>
      </c>
      <c r="D49">
        <v>38872946383.459999</v>
      </c>
      <c r="E49">
        <v>2.5380471966847198</v>
      </c>
      <c r="R49" t="s">
        <v>25</v>
      </c>
      <c r="S49" s="1">
        <v>41974</v>
      </c>
      <c r="T49">
        <v>208917</v>
      </c>
      <c r="U49">
        <v>38872946383.459999</v>
      </c>
      <c r="V49">
        <v>2.6299007374612402</v>
      </c>
    </row>
    <row r="50" spans="1:22" x14ac:dyDescent="0.25">
      <c r="A50" t="s">
        <v>22</v>
      </c>
      <c r="B50" s="1">
        <v>42005</v>
      </c>
      <c r="C50">
        <v>154657</v>
      </c>
      <c r="D50">
        <v>56548495480.059998</v>
      </c>
      <c r="E50">
        <v>327.151241855732</v>
      </c>
      <c r="R50" t="s">
        <v>22</v>
      </c>
      <c r="S50" s="1">
        <v>42005</v>
      </c>
      <c r="T50">
        <v>154657</v>
      </c>
      <c r="U50">
        <v>56548495480.059998</v>
      </c>
      <c r="V50">
        <v>322.43898233338598</v>
      </c>
    </row>
    <row r="51" spans="1:22" x14ac:dyDescent="0.25">
      <c r="A51" t="s">
        <v>23</v>
      </c>
      <c r="B51" s="1">
        <v>42005</v>
      </c>
      <c r="C51">
        <v>12086539</v>
      </c>
      <c r="D51">
        <v>1683810373357.04</v>
      </c>
      <c r="E51">
        <v>653.59389943128099</v>
      </c>
      <c r="R51" t="s">
        <v>23</v>
      </c>
      <c r="S51" s="1">
        <v>42005</v>
      </c>
      <c r="T51">
        <v>12086539</v>
      </c>
      <c r="U51">
        <v>1683810373357.04</v>
      </c>
      <c r="V51">
        <v>620.19764756062</v>
      </c>
    </row>
    <row r="52" spans="1:22" x14ac:dyDescent="0.25">
      <c r="A52" t="s">
        <v>24</v>
      </c>
      <c r="B52" s="1">
        <v>42005</v>
      </c>
      <c r="C52">
        <v>258439</v>
      </c>
      <c r="D52">
        <v>47308540491.080002</v>
      </c>
      <c r="E52">
        <v>58.372519437461101</v>
      </c>
      <c r="R52" t="s">
        <v>24</v>
      </c>
      <c r="S52" s="1">
        <v>42005</v>
      </c>
      <c r="T52">
        <v>258439</v>
      </c>
      <c r="U52">
        <v>47308540491.080002</v>
      </c>
      <c r="V52">
        <v>58.780679938356499</v>
      </c>
    </row>
    <row r="53" spans="1:22" x14ac:dyDescent="0.25">
      <c r="A53" t="s">
        <v>25</v>
      </c>
      <c r="B53" s="1">
        <v>42005</v>
      </c>
      <c r="C53">
        <v>209066</v>
      </c>
      <c r="D53">
        <v>38748419879.839996</v>
      </c>
      <c r="E53">
        <v>3.5080484792573401</v>
      </c>
      <c r="R53" t="s">
        <v>25</v>
      </c>
      <c r="S53" s="1">
        <v>42005</v>
      </c>
      <c r="T53">
        <v>209066</v>
      </c>
      <c r="U53">
        <v>38748419879.839996</v>
      </c>
      <c r="V53">
        <v>3.6313876592283201</v>
      </c>
    </row>
    <row r="54" spans="1:22" x14ac:dyDescent="0.25">
      <c r="A54" t="s">
        <v>22</v>
      </c>
      <c r="B54" s="1">
        <v>42036</v>
      </c>
      <c r="C54">
        <v>155146</v>
      </c>
      <c r="D54">
        <v>56121264546.629997</v>
      </c>
      <c r="E54">
        <v>336.111367255652</v>
      </c>
      <c r="R54" t="s">
        <v>22</v>
      </c>
      <c r="S54" s="1">
        <v>42036</v>
      </c>
      <c r="T54">
        <v>155146</v>
      </c>
      <c r="U54">
        <v>56121264546.629997</v>
      </c>
      <c r="V54">
        <v>331.00770739758002</v>
      </c>
    </row>
    <row r="55" spans="1:22" x14ac:dyDescent="0.25">
      <c r="A55" t="s">
        <v>23</v>
      </c>
      <c r="B55" s="1">
        <v>42036</v>
      </c>
      <c r="C55">
        <v>12176122</v>
      </c>
      <c r="D55">
        <v>1686450888597.8</v>
      </c>
      <c r="E55">
        <v>661.01601447589906</v>
      </c>
      <c r="R55" t="s">
        <v>23</v>
      </c>
      <c r="S55" s="1">
        <v>42036</v>
      </c>
      <c r="T55">
        <v>12176122</v>
      </c>
      <c r="U55">
        <v>1686450888597.8</v>
      </c>
      <c r="V55">
        <v>624.52758939163505</v>
      </c>
    </row>
    <row r="56" spans="1:22" x14ac:dyDescent="0.25">
      <c r="A56" t="s">
        <v>24</v>
      </c>
      <c r="B56" s="1">
        <v>42036</v>
      </c>
      <c r="C56">
        <v>258753</v>
      </c>
      <c r="D56">
        <v>47038724310.610001</v>
      </c>
      <c r="E56">
        <v>69.600945344366494</v>
      </c>
      <c r="R56" t="s">
        <v>24</v>
      </c>
      <c r="S56" s="1">
        <v>42036</v>
      </c>
      <c r="T56">
        <v>258753</v>
      </c>
      <c r="U56">
        <v>47038724310.610001</v>
      </c>
      <c r="V56">
        <v>71.165701742703007</v>
      </c>
    </row>
    <row r="57" spans="1:22" x14ac:dyDescent="0.25">
      <c r="A57" t="s">
        <v>25</v>
      </c>
      <c r="B57" s="1">
        <v>42036</v>
      </c>
      <c r="C57">
        <v>209152</v>
      </c>
      <c r="D57">
        <v>38598550641.82</v>
      </c>
      <c r="E57">
        <v>5.0192543369647797</v>
      </c>
      <c r="R57" t="s">
        <v>25</v>
      </c>
      <c r="S57" s="1">
        <v>42036</v>
      </c>
      <c r="T57">
        <v>209152</v>
      </c>
      <c r="U57">
        <v>38598550641.82</v>
      </c>
      <c r="V57">
        <v>5.5978421577070501</v>
      </c>
    </row>
    <row r="58" spans="1:22" x14ac:dyDescent="0.25">
      <c r="A58" t="s">
        <v>22</v>
      </c>
      <c r="B58" s="1">
        <v>42064</v>
      </c>
      <c r="C58">
        <v>155971</v>
      </c>
      <c r="D58">
        <v>55985988083.660004</v>
      </c>
      <c r="E58">
        <v>344.075216816622</v>
      </c>
      <c r="R58" t="s">
        <v>22</v>
      </c>
      <c r="S58" s="1">
        <v>42064</v>
      </c>
      <c r="T58">
        <v>155971</v>
      </c>
      <c r="U58">
        <v>55985988083.660004</v>
      </c>
      <c r="V58">
        <v>338.60219616905999</v>
      </c>
    </row>
    <row r="59" spans="1:22" x14ac:dyDescent="0.25">
      <c r="A59" t="s">
        <v>23</v>
      </c>
      <c r="B59" s="1">
        <v>42064</v>
      </c>
      <c r="C59">
        <v>12262610</v>
      </c>
      <c r="D59">
        <v>1690839850424.8201</v>
      </c>
      <c r="E59">
        <v>668.50506393968499</v>
      </c>
      <c r="R59" t="s">
        <v>23</v>
      </c>
      <c r="S59" s="1">
        <v>42064</v>
      </c>
      <c r="T59">
        <v>12262610</v>
      </c>
      <c r="U59">
        <v>1690839850424.8201</v>
      </c>
      <c r="V59">
        <v>629.09240401223599</v>
      </c>
    </row>
    <row r="60" spans="1:22" x14ac:dyDescent="0.25">
      <c r="A60" t="s">
        <v>24</v>
      </c>
      <c r="B60" s="1">
        <v>42064</v>
      </c>
      <c r="C60">
        <v>259133</v>
      </c>
      <c r="D60">
        <v>46827726772.199997</v>
      </c>
      <c r="E60">
        <v>80.391530215792599</v>
      </c>
      <c r="R60" t="s">
        <v>24</v>
      </c>
      <c r="S60" s="1">
        <v>42064</v>
      </c>
      <c r="T60">
        <v>259133</v>
      </c>
      <c r="U60">
        <v>46827726772.199997</v>
      </c>
      <c r="V60">
        <v>83.006254010880596</v>
      </c>
    </row>
    <row r="61" spans="1:22" x14ac:dyDescent="0.25">
      <c r="A61" t="s">
        <v>25</v>
      </c>
      <c r="B61" s="1">
        <v>42064</v>
      </c>
      <c r="C61">
        <v>209246</v>
      </c>
      <c r="D61">
        <v>38454280108.989998</v>
      </c>
      <c r="E61">
        <v>6.4970356414671198</v>
      </c>
      <c r="R61" t="s">
        <v>25</v>
      </c>
      <c r="S61" s="1">
        <v>42064</v>
      </c>
      <c r="T61">
        <v>209246</v>
      </c>
      <c r="U61">
        <v>38454280108.989998</v>
      </c>
      <c r="V61">
        <v>7.4990781326801796</v>
      </c>
    </row>
    <row r="62" spans="1:22" x14ac:dyDescent="0.25">
      <c r="A62" t="s">
        <v>22</v>
      </c>
      <c r="B62" s="1">
        <v>42095</v>
      </c>
      <c r="C62">
        <v>156540</v>
      </c>
      <c r="D62">
        <v>55507810623.559998</v>
      </c>
      <c r="E62">
        <v>349.70929677509002</v>
      </c>
      <c r="R62" t="s">
        <v>22</v>
      </c>
      <c r="S62" s="1">
        <v>42095</v>
      </c>
      <c r="T62">
        <v>156540</v>
      </c>
      <c r="U62">
        <v>55507810623.559998</v>
      </c>
      <c r="V62">
        <v>343.905015776874</v>
      </c>
    </row>
    <row r="63" spans="1:22" x14ac:dyDescent="0.25">
      <c r="A63" t="s">
        <v>23</v>
      </c>
      <c r="B63" s="1">
        <v>42095</v>
      </c>
      <c r="C63">
        <v>12353009</v>
      </c>
      <c r="D63">
        <v>1695038164979.97</v>
      </c>
      <c r="E63">
        <v>672.92484793594303</v>
      </c>
      <c r="R63" t="s">
        <v>23</v>
      </c>
      <c r="S63" s="1">
        <v>42095</v>
      </c>
      <c r="T63">
        <v>12353009</v>
      </c>
      <c r="U63">
        <v>1695038164979.97</v>
      </c>
      <c r="V63">
        <v>630.91588178877703</v>
      </c>
    </row>
    <row r="64" spans="1:22" x14ac:dyDescent="0.25">
      <c r="A64" t="s">
        <v>24</v>
      </c>
      <c r="B64" s="1">
        <v>42095</v>
      </c>
      <c r="C64">
        <v>259399</v>
      </c>
      <c r="D64">
        <v>46543789828.019997</v>
      </c>
      <c r="E64">
        <v>90.415354510232802</v>
      </c>
      <c r="R64" t="s">
        <v>24</v>
      </c>
      <c r="S64" s="1">
        <v>42095</v>
      </c>
      <c r="T64">
        <v>259399</v>
      </c>
      <c r="U64">
        <v>46543789828.019997</v>
      </c>
      <c r="V64">
        <v>93.950732245311301</v>
      </c>
    </row>
    <row r="65" spans="1:22" x14ac:dyDescent="0.25">
      <c r="A65" t="s">
        <v>25</v>
      </c>
      <c r="B65" s="1">
        <v>42095</v>
      </c>
      <c r="C65">
        <v>209322</v>
      </c>
      <c r="D65">
        <v>38298918804</v>
      </c>
      <c r="E65">
        <v>7.9011535347604296</v>
      </c>
      <c r="R65" t="s">
        <v>25</v>
      </c>
      <c r="S65" s="1">
        <v>42095</v>
      </c>
      <c r="T65">
        <v>209322</v>
      </c>
      <c r="U65">
        <v>38298918804</v>
      </c>
      <c r="V65">
        <v>9.27725262164358</v>
      </c>
    </row>
    <row r="66" spans="1:22" x14ac:dyDescent="0.25">
      <c r="A66" t="s">
        <v>22</v>
      </c>
      <c r="B66" s="1">
        <v>42125</v>
      </c>
      <c r="C66">
        <v>157250</v>
      </c>
      <c r="D66">
        <v>54817915506.629997</v>
      </c>
      <c r="E66">
        <v>354.70657426265899</v>
      </c>
      <c r="R66" t="s">
        <v>22</v>
      </c>
      <c r="S66" s="1">
        <v>42125</v>
      </c>
      <c r="T66">
        <v>157250</v>
      </c>
      <c r="U66">
        <v>54817915506.629997</v>
      </c>
      <c r="V66">
        <v>348.55039203933802</v>
      </c>
    </row>
    <row r="67" spans="1:22" x14ac:dyDescent="0.25">
      <c r="A67" t="s">
        <v>23</v>
      </c>
      <c r="B67" s="1">
        <v>42125</v>
      </c>
      <c r="C67">
        <v>12446552</v>
      </c>
      <c r="D67">
        <v>1695117987789.6101</v>
      </c>
      <c r="E67">
        <v>677.24280771575002</v>
      </c>
      <c r="R67" t="s">
        <v>23</v>
      </c>
      <c r="S67" s="1">
        <v>42125</v>
      </c>
      <c r="T67">
        <v>12446552</v>
      </c>
      <c r="U67">
        <v>1695117987789.6101</v>
      </c>
      <c r="V67">
        <v>632.70728548846705</v>
      </c>
    </row>
    <row r="68" spans="1:22" x14ac:dyDescent="0.25">
      <c r="A68" t="s">
        <v>24</v>
      </c>
      <c r="B68" s="1">
        <v>42125</v>
      </c>
      <c r="C68">
        <v>259651</v>
      </c>
      <c r="D68">
        <v>46162645459.139999</v>
      </c>
      <c r="E68">
        <v>101.685031000218</v>
      </c>
      <c r="R68" t="s">
        <v>24</v>
      </c>
      <c r="S68" s="1">
        <v>42125</v>
      </c>
      <c r="T68">
        <v>259651</v>
      </c>
      <c r="U68">
        <v>46162645459.139999</v>
      </c>
      <c r="V68">
        <v>106.309984853168</v>
      </c>
    </row>
    <row r="69" spans="1:22" x14ac:dyDescent="0.25">
      <c r="A69" t="s">
        <v>25</v>
      </c>
      <c r="B69" s="1">
        <v>42125</v>
      </c>
      <c r="C69">
        <v>209314</v>
      </c>
      <c r="D69">
        <v>38110813183.110001</v>
      </c>
      <c r="E69">
        <v>9.7218893280605698</v>
      </c>
      <c r="R69" t="s">
        <v>25</v>
      </c>
      <c r="S69" s="1">
        <v>42125</v>
      </c>
      <c r="T69">
        <v>209314</v>
      </c>
      <c r="U69">
        <v>38110813183.110001</v>
      </c>
      <c r="V69">
        <v>11.574531126670401</v>
      </c>
    </row>
    <row r="70" spans="1:22" x14ac:dyDescent="0.25">
      <c r="A70" t="s">
        <v>22</v>
      </c>
      <c r="B70" s="1">
        <v>42156</v>
      </c>
      <c r="C70">
        <v>157665</v>
      </c>
      <c r="D70">
        <v>54195623576.650002</v>
      </c>
      <c r="E70">
        <v>357.47506192011002</v>
      </c>
      <c r="R70" t="s">
        <v>22</v>
      </c>
      <c r="S70" s="1">
        <v>42156</v>
      </c>
      <c r="T70">
        <v>157665</v>
      </c>
      <c r="U70">
        <v>54195623576.650002</v>
      </c>
      <c r="V70">
        <v>351.10162612250002</v>
      </c>
    </row>
    <row r="71" spans="1:22" x14ac:dyDescent="0.25">
      <c r="A71" t="s">
        <v>23</v>
      </c>
      <c r="B71" s="1">
        <v>42156</v>
      </c>
      <c r="C71">
        <v>12539838</v>
      </c>
      <c r="D71">
        <v>1697254479347.27</v>
      </c>
      <c r="E71">
        <v>677.75342014069599</v>
      </c>
      <c r="R71" t="s">
        <v>23</v>
      </c>
      <c r="S71" s="1">
        <v>42156</v>
      </c>
      <c r="T71">
        <v>12539838</v>
      </c>
      <c r="U71">
        <v>1697254479347.27</v>
      </c>
      <c r="V71">
        <v>631.22126484724595</v>
      </c>
    </row>
    <row r="72" spans="1:22" x14ac:dyDescent="0.25">
      <c r="A72" t="s">
        <v>24</v>
      </c>
      <c r="B72" s="1">
        <v>42156</v>
      </c>
      <c r="C72">
        <v>259761</v>
      </c>
      <c r="D72">
        <v>45773252530.599998</v>
      </c>
      <c r="E72">
        <v>110.73699970408801</v>
      </c>
      <c r="R72" t="s">
        <v>24</v>
      </c>
      <c r="S72" s="1">
        <v>42156</v>
      </c>
      <c r="T72">
        <v>259761</v>
      </c>
      <c r="U72">
        <v>45773252530.599998</v>
      </c>
      <c r="V72">
        <v>116.11482910506901</v>
      </c>
    </row>
    <row r="73" spans="1:22" x14ac:dyDescent="0.25">
      <c r="A73" t="s">
        <v>25</v>
      </c>
      <c r="B73" s="1">
        <v>42156</v>
      </c>
      <c r="C73">
        <v>209319</v>
      </c>
      <c r="D73">
        <v>37908295682.410004</v>
      </c>
      <c r="E73">
        <v>11.081453302374699</v>
      </c>
      <c r="R73" t="s">
        <v>25</v>
      </c>
      <c r="S73" s="1">
        <v>42156</v>
      </c>
      <c r="T73">
        <v>209319</v>
      </c>
      <c r="U73">
        <v>37908295682.410004</v>
      </c>
      <c r="V73">
        <v>13.255507001634401</v>
      </c>
    </row>
    <row r="74" spans="1:22" x14ac:dyDescent="0.25">
      <c r="A74" t="s">
        <v>22</v>
      </c>
      <c r="B74" s="1">
        <v>42186</v>
      </c>
      <c r="C74">
        <v>159896</v>
      </c>
      <c r="D74">
        <v>54534840466.540001</v>
      </c>
      <c r="E74">
        <v>351.98890112186098</v>
      </c>
      <c r="R74" t="s">
        <v>22</v>
      </c>
      <c r="S74" s="1">
        <v>42186</v>
      </c>
      <c r="T74">
        <v>159896</v>
      </c>
      <c r="U74">
        <v>54534840466.540001</v>
      </c>
      <c r="V74">
        <v>345.50879995290398</v>
      </c>
    </row>
    <row r="75" spans="1:22" x14ac:dyDescent="0.25">
      <c r="A75" t="s">
        <v>23</v>
      </c>
      <c r="B75" s="1">
        <v>42186</v>
      </c>
      <c r="C75">
        <v>12637923</v>
      </c>
      <c r="D75">
        <v>1700441583716.6101</v>
      </c>
      <c r="E75">
        <v>675.22374138955195</v>
      </c>
      <c r="R75" t="s">
        <v>23</v>
      </c>
      <c r="S75" s="1">
        <v>42186</v>
      </c>
      <c r="T75">
        <v>12637923</v>
      </c>
      <c r="U75">
        <v>1700441583716.6101</v>
      </c>
      <c r="V75">
        <v>627.09334579027905</v>
      </c>
    </row>
    <row r="76" spans="1:22" x14ac:dyDescent="0.25">
      <c r="A76" t="s">
        <v>24</v>
      </c>
      <c r="B76" s="1">
        <v>42186</v>
      </c>
      <c r="C76">
        <v>259805</v>
      </c>
      <c r="D76">
        <v>45375108120.550003</v>
      </c>
      <c r="E76">
        <v>117.939772616786</v>
      </c>
      <c r="R76" t="s">
        <v>24</v>
      </c>
      <c r="S76" s="1">
        <v>42186</v>
      </c>
      <c r="T76">
        <v>259805</v>
      </c>
      <c r="U76">
        <v>45375108120.550003</v>
      </c>
      <c r="V76">
        <v>123.81398873655201</v>
      </c>
    </row>
    <row r="77" spans="1:22" x14ac:dyDescent="0.25">
      <c r="A77" t="s">
        <v>25</v>
      </c>
      <c r="B77" s="1">
        <v>42186</v>
      </c>
      <c r="C77">
        <v>209231</v>
      </c>
      <c r="D77">
        <v>37687893021.559998</v>
      </c>
      <c r="E77">
        <v>12.137305958447399</v>
      </c>
      <c r="R77" t="s">
        <v>25</v>
      </c>
      <c r="S77" s="1">
        <v>42186</v>
      </c>
      <c r="T77">
        <v>209231</v>
      </c>
      <c r="U77">
        <v>37687893021.559998</v>
      </c>
      <c r="V77">
        <v>14.5254959375144</v>
      </c>
    </row>
    <row r="78" spans="1:22" x14ac:dyDescent="0.25">
      <c r="A78" t="s">
        <v>22</v>
      </c>
      <c r="B78" s="1">
        <v>42217</v>
      </c>
      <c r="C78">
        <v>160754</v>
      </c>
      <c r="D78">
        <v>54178718533.730003</v>
      </c>
      <c r="E78">
        <v>348.58780237373401</v>
      </c>
      <c r="R78" t="s">
        <v>22</v>
      </c>
      <c r="S78" s="1">
        <v>42217</v>
      </c>
      <c r="T78">
        <v>160754</v>
      </c>
      <c r="U78">
        <v>54178718533.730003</v>
      </c>
      <c r="V78">
        <v>342.04758223433601</v>
      </c>
    </row>
    <row r="79" spans="1:22" x14ac:dyDescent="0.25">
      <c r="A79" t="s">
        <v>23</v>
      </c>
      <c r="B79" s="1">
        <v>42217</v>
      </c>
      <c r="C79">
        <v>12746766</v>
      </c>
      <c r="D79">
        <v>1705889091968.5701</v>
      </c>
      <c r="E79">
        <v>670.00569803419</v>
      </c>
      <c r="R79" t="s">
        <v>23</v>
      </c>
      <c r="S79" s="1">
        <v>42217</v>
      </c>
      <c r="T79">
        <v>12746766</v>
      </c>
      <c r="U79">
        <v>1705889091968.5701</v>
      </c>
      <c r="V79">
        <v>620.62786251105899</v>
      </c>
    </row>
    <row r="80" spans="1:22" x14ac:dyDescent="0.25">
      <c r="A80" t="s">
        <v>24</v>
      </c>
      <c r="B80" s="1">
        <v>42217</v>
      </c>
      <c r="C80">
        <v>259748</v>
      </c>
      <c r="D80">
        <v>44920759708.669998</v>
      </c>
      <c r="E80">
        <v>124.60950717752699</v>
      </c>
      <c r="R80" t="s">
        <v>24</v>
      </c>
      <c r="S80" s="1">
        <v>42217</v>
      </c>
      <c r="T80">
        <v>259748</v>
      </c>
      <c r="U80">
        <v>44920759708.669998</v>
      </c>
      <c r="V80">
        <v>130.90300572871899</v>
      </c>
    </row>
    <row r="81" spans="1:22" x14ac:dyDescent="0.25">
      <c r="A81" t="s">
        <v>25</v>
      </c>
      <c r="B81" s="1">
        <v>42217</v>
      </c>
      <c r="C81">
        <v>209110</v>
      </c>
      <c r="D81">
        <v>37443832356.82</v>
      </c>
      <c r="E81">
        <v>13.1359609731525</v>
      </c>
      <c r="R81" t="s">
        <v>25</v>
      </c>
      <c r="S81" s="1">
        <v>42217</v>
      </c>
      <c r="T81">
        <v>209110</v>
      </c>
      <c r="U81">
        <v>37443832356.82</v>
      </c>
      <c r="V81">
        <v>15.706416370360399</v>
      </c>
    </row>
    <row r="82" spans="1:22" x14ac:dyDescent="0.25">
      <c r="A82" t="s">
        <v>22</v>
      </c>
      <c r="B82" s="1">
        <v>42248</v>
      </c>
      <c r="C82">
        <v>161954</v>
      </c>
      <c r="D82">
        <v>54148011067.790001</v>
      </c>
      <c r="E82">
        <v>346.75308432680998</v>
      </c>
      <c r="R82" t="s">
        <v>22</v>
      </c>
      <c r="S82" s="1">
        <v>42248</v>
      </c>
      <c r="T82">
        <v>161954</v>
      </c>
      <c r="U82">
        <v>54148011067.790001</v>
      </c>
      <c r="V82">
        <v>340.04799447633002</v>
      </c>
    </row>
    <row r="83" spans="1:22" x14ac:dyDescent="0.25">
      <c r="A83" t="s">
        <v>23</v>
      </c>
      <c r="B83" s="1">
        <v>42248</v>
      </c>
      <c r="C83">
        <v>12839522</v>
      </c>
      <c r="D83">
        <v>1708971645626.01</v>
      </c>
      <c r="E83">
        <v>669.31232471280305</v>
      </c>
      <c r="R83" t="s">
        <v>23</v>
      </c>
      <c r="S83" s="1">
        <v>42248</v>
      </c>
      <c r="T83">
        <v>12839522</v>
      </c>
      <c r="U83">
        <v>1708971645626.01</v>
      </c>
      <c r="V83">
        <v>617.21188979764895</v>
      </c>
    </row>
    <row r="84" spans="1:22" x14ac:dyDescent="0.25">
      <c r="A84" t="s">
        <v>24</v>
      </c>
      <c r="B84" s="1">
        <v>42248</v>
      </c>
      <c r="C84">
        <v>259608</v>
      </c>
      <c r="D84">
        <v>44470352549.839996</v>
      </c>
      <c r="E84">
        <v>133.31941672001699</v>
      </c>
      <c r="R84" t="s">
        <v>24</v>
      </c>
      <c r="S84" s="1">
        <v>42248</v>
      </c>
      <c r="T84">
        <v>259608</v>
      </c>
      <c r="U84">
        <v>44470352549.839996</v>
      </c>
      <c r="V84">
        <v>140.19135524917201</v>
      </c>
    </row>
    <row r="85" spans="1:22" x14ac:dyDescent="0.25">
      <c r="A85" t="s">
        <v>25</v>
      </c>
      <c r="B85" s="1">
        <v>42248</v>
      </c>
      <c r="C85">
        <v>208906</v>
      </c>
      <c r="D85">
        <v>37192226478.370003</v>
      </c>
      <c r="E85">
        <v>14.737410114870199</v>
      </c>
      <c r="R85" t="s">
        <v>25</v>
      </c>
      <c r="S85" s="1">
        <v>42248</v>
      </c>
      <c r="T85">
        <v>208906</v>
      </c>
      <c r="U85">
        <v>37192226478.370003</v>
      </c>
      <c r="V85">
        <v>17.5831008491039</v>
      </c>
    </row>
    <row r="86" spans="1:22" x14ac:dyDescent="0.25">
      <c r="A86" t="s">
        <v>22</v>
      </c>
      <c r="B86" s="1">
        <v>42278</v>
      </c>
      <c r="C86">
        <v>162642</v>
      </c>
      <c r="D86">
        <v>53998424362.470001</v>
      </c>
      <c r="E86">
        <v>347.63440694733202</v>
      </c>
      <c r="R86" t="s">
        <v>22</v>
      </c>
      <c r="S86" s="1">
        <v>42278</v>
      </c>
      <c r="T86">
        <v>162642</v>
      </c>
      <c r="U86">
        <v>53998424362.470001</v>
      </c>
      <c r="V86">
        <v>340.75752143856101</v>
      </c>
    </row>
    <row r="87" spans="1:22" x14ac:dyDescent="0.25">
      <c r="A87" t="s">
        <v>23</v>
      </c>
      <c r="B87" s="1">
        <v>42278</v>
      </c>
      <c r="C87">
        <v>12953777</v>
      </c>
      <c r="D87">
        <v>1720110400069.6599</v>
      </c>
      <c r="E87">
        <v>666.79497305732002</v>
      </c>
      <c r="R87" t="s">
        <v>23</v>
      </c>
      <c r="S87" s="1">
        <v>42278</v>
      </c>
      <c r="T87">
        <v>12953777</v>
      </c>
      <c r="U87">
        <v>1720110400069.6599</v>
      </c>
      <c r="V87">
        <v>612.29439590869595</v>
      </c>
    </row>
    <row r="88" spans="1:22" x14ac:dyDescent="0.25">
      <c r="A88" t="s">
        <v>24</v>
      </c>
      <c r="B88" s="1">
        <v>42278</v>
      </c>
      <c r="C88">
        <v>259612</v>
      </c>
      <c r="D88">
        <v>44095942309.279999</v>
      </c>
      <c r="E88">
        <v>142.32989675911799</v>
      </c>
      <c r="R88" t="s">
        <v>24</v>
      </c>
      <c r="S88" s="1">
        <v>42278</v>
      </c>
      <c r="T88">
        <v>259612</v>
      </c>
      <c r="U88">
        <v>44095942309.279999</v>
      </c>
      <c r="V88">
        <v>149.794291106771</v>
      </c>
    </row>
    <row r="89" spans="1:22" x14ac:dyDescent="0.25">
      <c r="A89" t="s">
        <v>25</v>
      </c>
      <c r="B89" s="1">
        <v>42278</v>
      </c>
      <c r="C89">
        <v>208790</v>
      </c>
      <c r="D89">
        <v>36971870991.32</v>
      </c>
      <c r="E89">
        <v>16.501363737410799</v>
      </c>
      <c r="R89" t="s">
        <v>25</v>
      </c>
      <c r="S89" s="1">
        <v>42278</v>
      </c>
      <c r="T89">
        <v>208790</v>
      </c>
      <c r="U89">
        <v>36971870991.32</v>
      </c>
      <c r="V89">
        <v>19.641209729282298</v>
      </c>
    </row>
    <row r="90" spans="1:22" x14ac:dyDescent="0.25">
      <c r="A90" t="s">
        <v>22</v>
      </c>
      <c r="B90" s="1">
        <v>42309</v>
      </c>
      <c r="C90">
        <v>163271</v>
      </c>
      <c r="D90">
        <v>53834214423.059998</v>
      </c>
      <c r="E90">
        <v>351.16933418194901</v>
      </c>
      <c r="R90" t="s">
        <v>22</v>
      </c>
      <c r="S90" s="1">
        <v>42309</v>
      </c>
      <c r="T90">
        <v>163271</v>
      </c>
      <c r="U90">
        <v>53834214423.059998</v>
      </c>
      <c r="V90">
        <v>344.17530998764698</v>
      </c>
    </row>
    <row r="91" spans="1:22" x14ac:dyDescent="0.25">
      <c r="A91" t="s">
        <v>23</v>
      </c>
      <c r="B91" s="1">
        <v>42309</v>
      </c>
      <c r="C91">
        <v>13056392</v>
      </c>
      <c r="D91">
        <v>1728583937359.1101</v>
      </c>
      <c r="E91">
        <v>667.80142037571704</v>
      </c>
      <c r="R91" t="s">
        <v>23</v>
      </c>
      <c r="S91" s="1">
        <v>42309</v>
      </c>
      <c r="T91">
        <v>13056392</v>
      </c>
      <c r="U91">
        <v>1728583937359.1101</v>
      </c>
      <c r="V91">
        <v>610.71792350520195</v>
      </c>
    </row>
    <row r="92" spans="1:22" x14ac:dyDescent="0.25">
      <c r="A92" t="s">
        <v>24</v>
      </c>
      <c r="B92" s="1">
        <v>42309</v>
      </c>
      <c r="C92">
        <v>259871</v>
      </c>
      <c r="D92">
        <v>43785203557.769997</v>
      </c>
      <c r="E92">
        <v>152.64947521092299</v>
      </c>
      <c r="R92" t="s">
        <v>24</v>
      </c>
      <c r="S92" s="1">
        <v>42309</v>
      </c>
      <c r="T92">
        <v>259871</v>
      </c>
      <c r="U92">
        <v>43785203557.769997</v>
      </c>
      <c r="V92">
        <v>160.82686106133301</v>
      </c>
    </row>
    <row r="93" spans="1:22" x14ac:dyDescent="0.25">
      <c r="A93" t="s">
        <v>25</v>
      </c>
      <c r="B93" s="1">
        <v>42309</v>
      </c>
      <c r="C93">
        <v>209080</v>
      </c>
      <c r="D93">
        <v>36821828886.660004</v>
      </c>
      <c r="E93">
        <v>18.764602528943598</v>
      </c>
      <c r="R93" t="s">
        <v>25</v>
      </c>
      <c r="S93" s="1">
        <v>42309</v>
      </c>
      <c r="T93">
        <v>209080</v>
      </c>
      <c r="U93">
        <v>36821828886.660004</v>
      </c>
      <c r="V93">
        <v>22.2904443813261</v>
      </c>
    </row>
    <row r="94" spans="1:22" x14ac:dyDescent="0.25">
      <c r="A94" t="s">
        <v>22</v>
      </c>
      <c r="B94" s="1">
        <v>42339</v>
      </c>
      <c r="C94">
        <v>163791</v>
      </c>
      <c r="D94">
        <v>53626199769.699997</v>
      </c>
      <c r="E94">
        <v>351.85264968631299</v>
      </c>
      <c r="R94" t="s">
        <v>22</v>
      </c>
      <c r="S94" s="1">
        <v>42339</v>
      </c>
      <c r="T94">
        <v>163791</v>
      </c>
      <c r="U94">
        <v>53626199769.699997</v>
      </c>
      <c r="V94">
        <v>344.73867978153999</v>
      </c>
    </row>
    <row r="95" spans="1:22" x14ac:dyDescent="0.25">
      <c r="A95" t="s">
        <v>23</v>
      </c>
      <c r="B95" s="1">
        <v>42339</v>
      </c>
      <c r="C95">
        <v>13110649</v>
      </c>
      <c r="D95">
        <v>1725717151541.03</v>
      </c>
      <c r="E95">
        <v>669.35071380202305</v>
      </c>
      <c r="R95" t="s">
        <v>23</v>
      </c>
      <c r="S95" s="1">
        <v>42339</v>
      </c>
      <c r="T95">
        <v>13110649</v>
      </c>
      <c r="U95">
        <v>1725717151541.03</v>
      </c>
      <c r="V95">
        <v>609.84921582848995</v>
      </c>
    </row>
    <row r="96" spans="1:22" x14ac:dyDescent="0.25">
      <c r="A96" t="s">
        <v>24</v>
      </c>
      <c r="B96" s="1">
        <v>42339</v>
      </c>
      <c r="C96">
        <v>259688</v>
      </c>
      <c r="D96">
        <v>43371816682.040001</v>
      </c>
      <c r="E96">
        <v>160.86764881874001</v>
      </c>
      <c r="R96" t="s">
        <v>24</v>
      </c>
      <c r="S96" s="1">
        <v>42339</v>
      </c>
      <c r="T96">
        <v>259688</v>
      </c>
      <c r="U96">
        <v>43371816682.040001</v>
      </c>
      <c r="V96">
        <v>169.522911924147</v>
      </c>
    </row>
    <row r="97" spans="1:22" x14ac:dyDescent="0.25">
      <c r="A97" t="s">
        <v>25</v>
      </c>
      <c r="B97" s="1">
        <v>42339</v>
      </c>
      <c r="C97">
        <v>208863</v>
      </c>
      <c r="D97">
        <v>36582575508.739998</v>
      </c>
      <c r="E97">
        <v>20.487772613439098</v>
      </c>
      <c r="R97" t="s">
        <v>25</v>
      </c>
      <c r="S97" s="1">
        <v>42339</v>
      </c>
      <c r="T97">
        <v>208863</v>
      </c>
      <c r="U97">
        <v>36582575508.739998</v>
      </c>
      <c r="V97">
        <v>24.269391082443502</v>
      </c>
    </row>
    <row r="98" spans="1:22" x14ac:dyDescent="0.25">
      <c r="A98" t="s">
        <v>22</v>
      </c>
      <c r="B98" s="1">
        <v>42370</v>
      </c>
      <c r="C98">
        <v>164953</v>
      </c>
      <c r="D98">
        <v>53779885713.669998</v>
      </c>
      <c r="E98">
        <v>352.14078297751098</v>
      </c>
      <c r="R98" t="s">
        <v>22</v>
      </c>
      <c r="S98" s="1">
        <v>42370</v>
      </c>
      <c r="T98">
        <v>164953</v>
      </c>
      <c r="U98">
        <v>53779885713.669998</v>
      </c>
      <c r="V98">
        <v>344.91547232426302</v>
      </c>
    </row>
    <row r="99" spans="1:22" x14ac:dyDescent="0.25">
      <c r="A99" t="s">
        <v>23</v>
      </c>
      <c r="B99" s="1">
        <v>42370</v>
      </c>
      <c r="C99">
        <v>13203908</v>
      </c>
      <c r="D99">
        <v>1734283184873.21</v>
      </c>
      <c r="E99">
        <v>667.90500705836496</v>
      </c>
      <c r="R99" t="s">
        <v>23</v>
      </c>
      <c r="S99" s="1">
        <v>42370</v>
      </c>
      <c r="T99">
        <v>13203908</v>
      </c>
      <c r="U99">
        <v>1734283184873.21</v>
      </c>
      <c r="V99">
        <v>606.35545788586001</v>
      </c>
    </row>
    <row r="100" spans="1:22" x14ac:dyDescent="0.25">
      <c r="A100" t="s">
        <v>24</v>
      </c>
      <c r="B100" s="1">
        <v>42370</v>
      </c>
      <c r="C100">
        <v>259628</v>
      </c>
      <c r="D100">
        <v>43060278695.970001</v>
      </c>
      <c r="E100">
        <v>169.10896479519201</v>
      </c>
      <c r="R100" t="s">
        <v>24</v>
      </c>
      <c r="S100" s="1">
        <v>42370</v>
      </c>
      <c r="T100">
        <v>259628</v>
      </c>
      <c r="U100">
        <v>43060278695.970001</v>
      </c>
      <c r="V100">
        <v>178.20418118673501</v>
      </c>
    </row>
    <row r="101" spans="1:22" x14ac:dyDescent="0.25">
      <c r="A101" t="s">
        <v>25</v>
      </c>
      <c r="B101" s="1">
        <v>42370</v>
      </c>
      <c r="C101">
        <v>208746</v>
      </c>
      <c r="D101">
        <v>36381870224.529999</v>
      </c>
      <c r="E101">
        <v>22.249670283430401</v>
      </c>
      <c r="R101" t="s">
        <v>25</v>
      </c>
      <c r="S101" s="1">
        <v>42370</v>
      </c>
      <c r="T101">
        <v>208746</v>
      </c>
      <c r="U101">
        <v>36381870224.529999</v>
      </c>
      <c r="V101">
        <v>26.273451823330401</v>
      </c>
    </row>
    <row r="102" spans="1:22" x14ac:dyDescent="0.25">
      <c r="A102" t="s">
        <v>22</v>
      </c>
      <c r="B102" s="1">
        <v>42401</v>
      </c>
      <c r="C102">
        <v>165379</v>
      </c>
      <c r="D102">
        <v>53506472943.050003</v>
      </c>
      <c r="E102">
        <v>354.406106616263</v>
      </c>
      <c r="R102" t="s">
        <v>22</v>
      </c>
      <c r="S102" s="1">
        <v>42401</v>
      </c>
      <c r="T102">
        <v>165379</v>
      </c>
      <c r="U102">
        <v>53506472943.050003</v>
      </c>
      <c r="V102">
        <v>347.07976791573998</v>
      </c>
    </row>
    <row r="103" spans="1:22" x14ac:dyDescent="0.25">
      <c r="A103" t="s">
        <v>23</v>
      </c>
      <c r="B103" s="1">
        <v>42401</v>
      </c>
      <c r="C103">
        <v>13282867</v>
      </c>
      <c r="D103">
        <v>1738288304649.99</v>
      </c>
      <c r="E103">
        <v>668.26222685450296</v>
      </c>
      <c r="R103" t="s">
        <v>23</v>
      </c>
      <c r="S103" s="1">
        <v>42401</v>
      </c>
      <c r="T103">
        <v>13282867</v>
      </c>
      <c r="U103">
        <v>1738288304649.99</v>
      </c>
      <c r="V103">
        <v>604.61930034566205</v>
      </c>
    </row>
    <row r="104" spans="1:22" x14ac:dyDescent="0.25">
      <c r="A104" t="s">
        <v>24</v>
      </c>
      <c r="B104" s="1">
        <v>42401</v>
      </c>
      <c r="C104">
        <v>259461</v>
      </c>
      <c r="D104">
        <v>42670780542.980003</v>
      </c>
      <c r="E104">
        <v>178.50469265926699</v>
      </c>
      <c r="R104" t="s">
        <v>24</v>
      </c>
      <c r="S104" s="1">
        <v>42401</v>
      </c>
      <c r="T104">
        <v>259461</v>
      </c>
      <c r="U104">
        <v>42670780542.980003</v>
      </c>
      <c r="V104">
        <v>188.16464847024801</v>
      </c>
    </row>
    <row r="105" spans="1:22" x14ac:dyDescent="0.25">
      <c r="A105" t="s">
        <v>25</v>
      </c>
      <c r="B105" s="1">
        <v>42401</v>
      </c>
      <c r="C105">
        <v>208466</v>
      </c>
      <c r="D105">
        <v>36135016796.599998</v>
      </c>
      <c r="E105">
        <v>24.492214780064302</v>
      </c>
      <c r="R105" t="s">
        <v>25</v>
      </c>
      <c r="S105" s="1">
        <v>42401</v>
      </c>
      <c r="T105">
        <v>208466</v>
      </c>
      <c r="U105">
        <v>36135016796.599998</v>
      </c>
      <c r="V105">
        <v>28.837003362109499</v>
      </c>
    </row>
    <row r="106" spans="1:22" x14ac:dyDescent="0.25">
      <c r="A106" t="s">
        <v>22</v>
      </c>
      <c r="B106" s="1">
        <v>42430</v>
      </c>
      <c r="C106">
        <v>166092</v>
      </c>
      <c r="D106">
        <v>53471157352.650002</v>
      </c>
      <c r="E106">
        <v>361.83489920001398</v>
      </c>
      <c r="R106" t="s">
        <v>22</v>
      </c>
      <c r="S106" s="1">
        <v>42430</v>
      </c>
      <c r="T106">
        <v>166092</v>
      </c>
      <c r="U106">
        <v>53471157352.650002</v>
      </c>
      <c r="V106">
        <v>354.329612297854</v>
      </c>
    </row>
    <row r="107" spans="1:22" x14ac:dyDescent="0.25">
      <c r="A107" t="s">
        <v>23</v>
      </c>
      <c r="B107" s="1">
        <v>42430</v>
      </c>
      <c r="C107">
        <v>13349688</v>
      </c>
      <c r="D107">
        <v>1741258283700.8999</v>
      </c>
      <c r="E107">
        <v>675.81251489586896</v>
      </c>
      <c r="R107" t="s">
        <v>23</v>
      </c>
      <c r="S107" s="1">
        <v>42430</v>
      </c>
      <c r="T107">
        <v>13349688</v>
      </c>
      <c r="U107">
        <v>1741258283700.8999</v>
      </c>
      <c r="V107">
        <v>609.493275571087</v>
      </c>
    </row>
    <row r="108" spans="1:22" x14ac:dyDescent="0.25">
      <c r="A108" t="s">
        <v>24</v>
      </c>
      <c r="B108" s="1">
        <v>42430</v>
      </c>
      <c r="C108">
        <v>259480</v>
      </c>
      <c r="D108">
        <v>42398909168.699997</v>
      </c>
      <c r="E108">
        <v>191.556446624459</v>
      </c>
      <c r="R108" t="s">
        <v>24</v>
      </c>
      <c r="S108" s="1">
        <v>42430</v>
      </c>
      <c r="T108">
        <v>259480</v>
      </c>
      <c r="U108">
        <v>42398909168.699997</v>
      </c>
      <c r="V108">
        <v>202.113323640392</v>
      </c>
    </row>
    <row r="109" spans="1:22" x14ac:dyDescent="0.25">
      <c r="A109" t="s">
        <v>25</v>
      </c>
      <c r="B109" s="1">
        <v>42430</v>
      </c>
      <c r="C109">
        <v>208346</v>
      </c>
      <c r="D109">
        <v>35940473047.709999</v>
      </c>
      <c r="E109">
        <v>28.055037628303399</v>
      </c>
      <c r="R109" t="s">
        <v>25</v>
      </c>
      <c r="S109" s="1">
        <v>42430</v>
      </c>
      <c r="T109">
        <v>208346</v>
      </c>
      <c r="U109">
        <v>35940473047.709999</v>
      </c>
      <c r="V109">
        <v>32.963529169718697</v>
      </c>
    </row>
    <row r="110" spans="1:22" x14ac:dyDescent="0.25">
      <c r="A110" t="s">
        <v>22</v>
      </c>
      <c r="B110" s="1">
        <v>42461</v>
      </c>
      <c r="C110">
        <v>167166</v>
      </c>
      <c r="D110">
        <v>53650695425.889999</v>
      </c>
      <c r="E110">
        <v>367.44729062077403</v>
      </c>
      <c r="R110" t="s">
        <v>22</v>
      </c>
      <c r="S110" s="1">
        <v>42461</v>
      </c>
      <c r="T110">
        <v>167166</v>
      </c>
      <c r="U110">
        <v>53650695425.889999</v>
      </c>
      <c r="V110">
        <v>359.82233366207799</v>
      </c>
    </row>
    <row r="111" spans="1:22" x14ac:dyDescent="0.25">
      <c r="A111" t="s">
        <v>23</v>
      </c>
      <c r="B111" s="1">
        <v>42461</v>
      </c>
      <c r="C111">
        <v>13444852</v>
      </c>
      <c r="D111">
        <v>1751474260772.0701</v>
      </c>
      <c r="E111">
        <v>681.256462772247</v>
      </c>
      <c r="R111" t="s">
        <v>23</v>
      </c>
      <c r="S111" s="1">
        <v>42461</v>
      </c>
      <c r="T111">
        <v>13444852</v>
      </c>
      <c r="U111">
        <v>1751474260772.0701</v>
      </c>
      <c r="V111">
        <v>612.66833271247106</v>
      </c>
    </row>
    <row r="112" spans="1:22" x14ac:dyDescent="0.25">
      <c r="A112" t="s">
        <v>24</v>
      </c>
      <c r="B112" s="1">
        <v>42461</v>
      </c>
      <c r="C112">
        <v>259452</v>
      </c>
      <c r="D112">
        <v>42096786994.580002</v>
      </c>
      <c r="E112">
        <v>205.61623398203301</v>
      </c>
      <c r="R112" t="s">
        <v>24</v>
      </c>
      <c r="S112" s="1">
        <v>42461</v>
      </c>
      <c r="T112">
        <v>259452</v>
      </c>
      <c r="U112">
        <v>42096786994.580002</v>
      </c>
      <c r="V112">
        <v>217.02485451410899</v>
      </c>
    </row>
    <row r="113" spans="1:22" x14ac:dyDescent="0.25">
      <c r="A113" t="s">
        <v>25</v>
      </c>
      <c r="B113" s="1">
        <v>42461</v>
      </c>
      <c r="C113">
        <v>208235</v>
      </c>
      <c r="D113">
        <v>35738826303.349998</v>
      </c>
      <c r="E113">
        <v>32.508650149318399</v>
      </c>
      <c r="R113" t="s">
        <v>25</v>
      </c>
      <c r="S113" s="1">
        <v>42461</v>
      </c>
      <c r="T113">
        <v>208235</v>
      </c>
      <c r="U113">
        <v>35738826303.349998</v>
      </c>
      <c r="V113">
        <v>37.954762238637599</v>
      </c>
    </row>
    <row r="114" spans="1:22" x14ac:dyDescent="0.25">
      <c r="A114" t="s">
        <v>22</v>
      </c>
      <c r="B114" s="1">
        <v>42491</v>
      </c>
      <c r="C114">
        <v>168539</v>
      </c>
      <c r="D114">
        <v>53813403200.089996</v>
      </c>
      <c r="E114">
        <v>371.66355829177201</v>
      </c>
      <c r="R114" t="s">
        <v>22</v>
      </c>
      <c r="S114" s="1">
        <v>42491</v>
      </c>
      <c r="T114">
        <v>168539</v>
      </c>
      <c r="U114">
        <v>53813403200.089996</v>
      </c>
      <c r="V114">
        <v>363.94871146719498</v>
      </c>
    </row>
    <row r="115" spans="1:22" x14ac:dyDescent="0.25">
      <c r="A115" t="s">
        <v>23</v>
      </c>
      <c r="B115" s="1">
        <v>42491</v>
      </c>
      <c r="C115">
        <v>13523461</v>
      </c>
      <c r="D115">
        <v>1755119861996.8601</v>
      </c>
      <c r="E115">
        <v>686.69349785750103</v>
      </c>
      <c r="R115" t="s">
        <v>23</v>
      </c>
      <c r="S115" s="1">
        <v>42491</v>
      </c>
      <c r="T115">
        <v>13523461</v>
      </c>
      <c r="U115">
        <v>1755119861996.8601</v>
      </c>
      <c r="V115">
        <v>615.83749334265599</v>
      </c>
    </row>
    <row r="116" spans="1:22" x14ac:dyDescent="0.25">
      <c r="A116" t="s">
        <v>24</v>
      </c>
      <c r="B116" s="1">
        <v>42491</v>
      </c>
      <c r="C116">
        <v>259215</v>
      </c>
      <c r="D116">
        <v>41685381490.059998</v>
      </c>
      <c r="E116">
        <v>219.737786419586</v>
      </c>
      <c r="R116" t="s">
        <v>24</v>
      </c>
      <c r="S116" s="1">
        <v>42491</v>
      </c>
      <c r="T116">
        <v>259215</v>
      </c>
      <c r="U116">
        <v>41685381490.059998</v>
      </c>
      <c r="V116">
        <v>232.023538629764</v>
      </c>
    </row>
    <row r="117" spans="1:22" x14ac:dyDescent="0.25">
      <c r="A117" t="s">
        <v>25</v>
      </c>
      <c r="B117" s="1">
        <v>42491</v>
      </c>
      <c r="C117">
        <v>207889</v>
      </c>
      <c r="D117">
        <v>35440516018.830002</v>
      </c>
      <c r="E117">
        <v>37.2783475926948</v>
      </c>
      <c r="R117" t="s">
        <v>25</v>
      </c>
      <c r="S117" s="1">
        <v>42491</v>
      </c>
      <c r="T117">
        <v>207889</v>
      </c>
      <c r="U117">
        <v>35440516018.830002</v>
      </c>
      <c r="V117">
        <v>43.285742480421099</v>
      </c>
    </row>
    <row r="118" spans="1:22" x14ac:dyDescent="0.25">
      <c r="A118" t="s">
        <v>22</v>
      </c>
      <c r="B118" s="1">
        <v>42522</v>
      </c>
      <c r="C118">
        <v>169907</v>
      </c>
      <c r="D118">
        <v>54002793327.769997</v>
      </c>
      <c r="E118">
        <v>375.48280183760698</v>
      </c>
      <c r="R118" t="s">
        <v>22</v>
      </c>
      <c r="S118" s="1">
        <v>42522</v>
      </c>
      <c r="T118">
        <v>169907</v>
      </c>
      <c r="U118">
        <v>54002793327.769997</v>
      </c>
      <c r="V118">
        <v>367.54422126997201</v>
      </c>
    </row>
    <row r="119" spans="1:22" x14ac:dyDescent="0.25">
      <c r="A119" t="s">
        <v>23</v>
      </c>
      <c r="B119" s="1">
        <v>42522</v>
      </c>
      <c r="C119">
        <v>13608977</v>
      </c>
      <c r="D119">
        <v>1760352960476.8899</v>
      </c>
      <c r="E119">
        <v>691.90346131155502</v>
      </c>
      <c r="R119" t="s">
        <v>23</v>
      </c>
      <c r="S119" s="1">
        <v>42522</v>
      </c>
      <c r="T119">
        <v>13608977</v>
      </c>
      <c r="U119">
        <v>1760352960476.8899</v>
      </c>
      <c r="V119">
        <v>618.91799240515797</v>
      </c>
    </row>
    <row r="120" spans="1:22" x14ac:dyDescent="0.25">
      <c r="A120" t="s">
        <v>24</v>
      </c>
      <c r="B120" s="1">
        <v>42522</v>
      </c>
      <c r="C120">
        <v>258855</v>
      </c>
      <c r="D120">
        <v>41226826953.5</v>
      </c>
      <c r="E120">
        <v>234.18227255772999</v>
      </c>
      <c r="R120" t="s">
        <v>24</v>
      </c>
      <c r="S120" s="1">
        <v>42522</v>
      </c>
      <c r="T120">
        <v>258855</v>
      </c>
      <c r="U120">
        <v>41226826953.5</v>
      </c>
      <c r="V120">
        <v>247.3336156828</v>
      </c>
    </row>
    <row r="121" spans="1:22" x14ac:dyDescent="0.25">
      <c r="A121" t="s">
        <v>25</v>
      </c>
      <c r="B121" s="1">
        <v>42522</v>
      </c>
      <c r="C121">
        <v>207583</v>
      </c>
      <c r="D121">
        <v>35158787170.010002</v>
      </c>
      <c r="E121">
        <v>42.524067965519102</v>
      </c>
      <c r="R121" t="s">
        <v>25</v>
      </c>
      <c r="S121" s="1">
        <v>42522</v>
      </c>
      <c r="T121">
        <v>207583</v>
      </c>
      <c r="U121">
        <v>35158787170.010002</v>
      </c>
      <c r="V121">
        <v>49.0845891015801</v>
      </c>
    </row>
    <row r="122" spans="1:22" x14ac:dyDescent="0.25">
      <c r="A122" t="s">
        <v>22</v>
      </c>
      <c r="B122" s="1">
        <v>42552</v>
      </c>
      <c r="C122">
        <v>172538</v>
      </c>
      <c r="D122">
        <v>54842930916.82</v>
      </c>
      <c r="E122">
        <v>374.91405702639997</v>
      </c>
      <c r="R122" t="s">
        <v>22</v>
      </c>
      <c r="S122" s="1">
        <v>42552</v>
      </c>
      <c r="T122">
        <v>172538</v>
      </c>
      <c r="U122">
        <v>54842930916.82</v>
      </c>
      <c r="V122">
        <v>366.90772720016997</v>
      </c>
    </row>
    <row r="123" spans="1:22" x14ac:dyDescent="0.25">
      <c r="A123" t="s">
        <v>23</v>
      </c>
      <c r="B123" s="1">
        <v>42552</v>
      </c>
      <c r="C123">
        <v>13701980</v>
      </c>
      <c r="D123">
        <v>1766067343351.23</v>
      </c>
      <c r="E123">
        <v>696.66134421730999</v>
      </c>
      <c r="R123" t="s">
        <v>23</v>
      </c>
      <c r="S123" s="1">
        <v>42552</v>
      </c>
      <c r="T123">
        <v>13701980</v>
      </c>
      <c r="U123">
        <v>1766067343351.23</v>
      </c>
      <c r="V123">
        <v>621.69675560726296</v>
      </c>
    </row>
    <row r="124" spans="1:22" x14ac:dyDescent="0.25">
      <c r="A124" t="s">
        <v>24</v>
      </c>
      <c r="B124" s="1">
        <v>42552</v>
      </c>
      <c r="C124">
        <v>258373</v>
      </c>
      <c r="D124">
        <v>40744063784.290001</v>
      </c>
      <c r="E124">
        <v>249.37479291360401</v>
      </c>
      <c r="R124" t="s">
        <v>24</v>
      </c>
      <c r="S124" s="1">
        <v>42552</v>
      </c>
      <c r="T124">
        <v>258373</v>
      </c>
      <c r="U124">
        <v>40744063784.290001</v>
      </c>
      <c r="V124">
        <v>263.422432839885</v>
      </c>
    </row>
    <row r="125" spans="1:22" x14ac:dyDescent="0.25">
      <c r="A125" t="s">
        <v>25</v>
      </c>
      <c r="B125" s="1">
        <v>42552</v>
      </c>
      <c r="C125">
        <v>207201</v>
      </c>
      <c r="D125">
        <v>34836005942.769997</v>
      </c>
      <c r="E125">
        <v>48.331377028255702</v>
      </c>
      <c r="R125" t="s">
        <v>25</v>
      </c>
      <c r="S125" s="1">
        <v>42552</v>
      </c>
      <c r="T125">
        <v>207201</v>
      </c>
      <c r="U125">
        <v>34836005942.769997</v>
      </c>
      <c r="V125">
        <v>55.474657441939598</v>
      </c>
    </row>
    <row r="126" spans="1:22" x14ac:dyDescent="0.25">
      <c r="A126" t="s">
        <v>25</v>
      </c>
      <c r="B126" s="1">
        <v>42583</v>
      </c>
      <c r="C126">
        <v>206676</v>
      </c>
      <c r="D126">
        <v>34465714412.949997</v>
      </c>
      <c r="E126">
        <v>55.613094636318102</v>
      </c>
      <c r="R126" t="s">
        <v>25</v>
      </c>
      <c r="S126" s="1">
        <v>42583</v>
      </c>
      <c r="T126">
        <v>206676</v>
      </c>
      <c r="U126">
        <v>34465714412.949997</v>
      </c>
      <c r="V126">
        <v>63.510304846776698</v>
      </c>
    </row>
    <row r="127" spans="1:22" x14ac:dyDescent="0.25">
      <c r="A127" t="s">
        <v>24</v>
      </c>
      <c r="B127" s="1">
        <v>42583</v>
      </c>
      <c r="C127">
        <v>257784</v>
      </c>
      <c r="D127">
        <v>40184255840.540001</v>
      </c>
      <c r="E127">
        <v>266.82465468974198</v>
      </c>
      <c r="R127" t="s">
        <v>24</v>
      </c>
      <c r="S127" s="1">
        <v>42583</v>
      </c>
      <c r="T127">
        <v>257784</v>
      </c>
      <c r="U127">
        <v>40184255840.540001</v>
      </c>
      <c r="V127">
        <v>282.01667332387598</v>
      </c>
    </row>
    <row r="128" spans="1:22" x14ac:dyDescent="0.25">
      <c r="A128" t="s">
        <v>23</v>
      </c>
      <c r="B128" s="1">
        <v>42583</v>
      </c>
      <c r="C128">
        <v>13788446</v>
      </c>
      <c r="D128">
        <v>1769556809076.6899</v>
      </c>
      <c r="E128">
        <v>704.39893715109997</v>
      </c>
      <c r="R128" t="s">
        <v>23</v>
      </c>
      <c r="S128" s="1">
        <v>42583</v>
      </c>
      <c r="T128">
        <v>13788446</v>
      </c>
      <c r="U128">
        <v>1769556809076.6899</v>
      </c>
      <c r="V128">
        <v>627.33229593796796</v>
      </c>
    </row>
    <row r="129" spans="1:22" x14ac:dyDescent="0.25">
      <c r="A129" t="s">
        <v>22</v>
      </c>
      <c r="B129" s="1">
        <v>42583</v>
      </c>
      <c r="C129">
        <v>174805</v>
      </c>
      <c r="D129">
        <v>55470146560.699997</v>
      </c>
      <c r="E129">
        <v>378.982190496111</v>
      </c>
      <c r="R129" t="s">
        <v>22</v>
      </c>
      <c r="S129" s="1">
        <v>42583</v>
      </c>
      <c r="T129">
        <v>174805</v>
      </c>
      <c r="U129">
        <v>55470146560.699997</v>
      </c>
      <c r="V129">
        <v>370.88943720546399</v>
      </c>
    </row>
    <row r="130" spans="1:22" x14ac:dyDescent="0.25">
      <c r="A130" t="s">
        <v>23</v>
      </c>
      <c r="B130" s="1">
        <v>42614</v>
      </c>
      <c r="C130">
        <v>13902772</v>
      </c>
      <c r="D130">
        <v>1781589511666.3501</v>
      </c>
      <c r="E130">
        <v>709.56644123258798</v>
      </c>
      <c r="R130" t="s">
        <v>23</v>
      </c>
      <c r="S130" s="1">
        <v>42614</v>
      </c>
      <c r="T130">
        <v>13902772</v>
      </c>
      <c r="U130">
        <v>1781589511666.3501</v>
      </c>
      <c r="V130">
        <v>630.77855825684696</v>
      </c>
    </row>
    <row r="131" spans="1:22" x14ac:dyDescent="0.25">
      <c r="A131" t="s">
        <v>24</v>
      </c>
      <c r="B131" s="1">
        <v>42614</v>
      </c>
      <c r="C131">
        <v>257179</v>
      </c>
      <c r="D131">
        <v>39661130689.690002</v>
      </c>
      <c r="E131">
        <v>284.81534645603699</v>
      </c>
      <c r="R131" t="s">
        <v>24</v>
      </c>
      <c r="S131" s="1">
        <v>42614</v>
      </c>
      <c r="T131">
        <v>257179</v>
      </c>
      <c r="U131">
        <v>39661130689.690002</v>
      </c>
      <c r="V131">
        <v>301.05980133496701</v>
      </c>
    </row>
    <row r="132" spans="1:22" x14ac:dyDescent="0.25">
      <c r="A132" t="s">
        <v>25</v>
      </c>
      <c r="B132" s="1">
        <v>42614</v>
      </c>
      <c r="C132">
        <v>206170</v>
      </c>
      <c r="D132">
        <v>34117044542.400002</v>
      </c>
      <c r="E132">
        <v>63.926036453703098</v>
      </c>
      <c r="R132" t="s">
        <v>25</v>
      </c>
      <c r="S132" s="1">
        <v>42614</v>
      </c>
      <c r="T132">
        <v>206170</v>
      </c>
      <c r="U132">
        <v>34117044542.400002</v>
      </c>
      <c r="V132">
        <v>72.507580679536105</v>
      </c>
    </row>
    <row r="133" spans="1:22" x14ac:dyDescent="0.25">
      <c r="A133" t="s">
        <v>22</v>
      </c>
      <c r="B133" s="1">
        <v>42614</v>
      </c>
      <c r="C133">
        <v>178347</v>
      </c>
      <c r="D133">
        <v>56794440044.370003</v>
      </c>
      <c r="E133">
        <v>378.10815470467799</v>
      </c>
      <c r="R133" t="s">
        <v>22</v>
      </c>
      <c r="S133" s="1">
        <v>42614</v>
      </c>
      <c r="T133">
        <v>178347</v>
      </c>
      <c r="U133">
        <v>56794440044.370003</v>
      </c>
      <c r="V133">
        <v>370.09552030121199</v>
      </c>
    </row>
    <row r="134" spans="1:22" x14ac:dyDescent="0.25">
      <c r="A134" t="s">
        <v>25</v>
      </c>
      <c r="B134" s="1">
        <v>42644</v>
      </c>
      <c r="C134">
        <v>205598</v>
      </c>
      <c r="D134">
        <v>33714334567.959999</v>
      </c>
      <c r="E134">
        <v>72.111495474034001</v>
      </c>
      <c r="R134" t="s">
        <v>25</v>
      </c>
      <c r="S134" s="1">
        <v>42644</v>
      </c>
      <c r="T134">
        <v>205598</v>
      </c>
      <c r="U134">
        <v>33714334567.959999</v>
      </c>
      <c r="V134">
        <v>81.310539440898395</v>
      </c>
    </row>
    <row r="135" spans="1:22" x14ac:dyDescent="0.25">
      <c r="A135" t="s">
        <v>22</v>
      </c>
      <c r="B135" s="1">
        <v>42644</v>
      </c>
      <c r="C135">
        <v>181465</v>
      </c>
      <c r="D135">
        <v>57711924310.629997</v>
      </c>
      <c r="E135">
        <v>375.28077702021898</v>
      </c>
      <c r="R135" t="s">
        <v>22</v>
      </c>
      <c r="S135" s="1">
        <v>42644</v>
      </c>
      <c r="T135">
        <v>181465</v>
      </c>
      <c r="U135">
        <v>57711924310.629997</v>
      </c>
      <c r="V135">
        <v>367.23650092992699</v>
      </c>
    </row>
    <row r="136" spans="1:22" x14ac:dyDescent="0.25">
      <c r="A136" t="s">
        <v>23</v>
      </c>
      <c r="B136" s="1">
        <v>42644</v>
      </c>
      <c r="C136">
        <v>14006525</v>
      </c>
      <c r="D136">
        <v>1787756080618.1899</v>
      </c>
      <c r="E136">
        <v>712.59544862841801</v>
      </c>
      <c r="R136" t="s">
        <v>23</v>
      </c>
      <c r="S136" s="1">
        <v>42644</v>
      </c>
      <c r="T136">
        <v>14006525</v>
      </c>
      <c r="U136">
        <v>1787756080618.1899</v>
      </c>
      <c r="V136">
        <v>632.27443401021196</v>
      </c>
    </row>
    <row r="137" spans="1:22" x14ac:dyDescent="0.25">
      <c r="A137" t="s">
        <v>24</v>
      </c>
      <c r="B137" s="1">
        <v>42644</v>
      </c>
      <c r="C137">
        <v>256550</v>
      </c>
      <c r="D137">
        <v>39063837954.080002</v>
      </c>
      <c r="E137">
        <v>301.68817035119503</v>
      </c>
      <c r="R137" t="s">
        <v>24</v>
      </c>
      <c r="S137" s="1">
        <v>42644</v>
      </c>
      <c r="T137">
        <v>256550</v>
      </c>
      <c r="U137">
        <v>39063837954.080002</v>
      </c>
      <c r="V137">
        <v>318.96103167157401</v>
      </c>
    </row>
    <row r="138" spans="1:22" x14ac:dyDescent="0.25">
      <c r="A138" t="s">
        <v>24</v>
      </c>
      <c r="B138" s="1">
        <v>42675</v>
      </c>
      <c r="C138">
        <v>255823</v>
      </c>
      <c r="D138">
        <v>38465040650.459999</v>
      </c>
      <c r="E138">
        <v>318.504636968981</v>
      </c>
      <c r="R138" t="s">
        <v>24</v>
      </c>
      <c r="S138" s="1">
        <v>42675</v>
      </c>
      <c r="T138">
        <v>255823</v>
      </c>
      <c r="U138">
        <v>38465040650.459999</v>
      </c>
      <c r="V138">
        <v>336.76375463465899</v>
      </c>
    </row>
    <row r="139" spans="1:22" x14ac:dyDescent="0.25">
      <c r="A139" t="s">
        <v>22</v>
      </c>
      <c r="B139" s="1">
        <v>42675</v>
      </c>
      <c r="C139">
        <v>184462</v>
      </c>
      <c r="D139">
        <v>58606402575.669998</v>
      </c>
      <c r="E139">
        <v>371.25531558655899</v>
      </c>
      <c r="R139" t="s">
        <v>22</v>
      </c>
      <c r="S139" s="1">
        <v>42675</v>
      </c>
      <c r="T139">
        <v>184462</v>
      </c>
      <c r="U139">
        <v>58606402575.669998</v>
      </c>
      <c r="V139">
        <v>363.26652470549499</v>
      </c>
    </row>
    <row r="140" spans="1:22" x14ac:dyDescent="0.25">
      <c r="A140" t="s">
        <v>23</v>
      </c>
      <c r="B140" s="1">
        <v>42675</v>
      </c>
      <c r="C140">
        <v>14100552</v>
      </c>
      <c r="D140">
        <v>1793713512360.6201</v>
      </c>
      <c r="E140">
        <v>715.47347625089196</v>
      </c>
      <c r="R140" t="s">
        <v>23</v>
      </c>
      <c r="S140" s="1">
        <v>42675</v>
      </c>
      <c r="T140">
        <v>14100552</v>
      </c>
      <c r="U140">
        <v>1793713512360.6201</v>
      </c>
      <c r="V140">
        <v>633.679896757601</v>
      </c>
    </row>
    <row r="141" spans="1:22" x14ac:dyDescent="0.25">
      <c r="A141" t="s">
        <v>25</v>
      </c>
      <c r="B141" s="1">
        <v>42675</v>
      </c>
      <c r="C141">
        <v>204980</v>
      </c>
      <c r="D141">
        <v>33330364198.119999</v>
      </c>
      <c r="E141">
        <v>80.479148997419102</v>
      </c>
      <c r="R141" t="s">
        <v>25</v>
      </c>
      <c r="S141" s="1">
        <v>42675</v>
      </c>
      <c r="T141">
        <v>204980</v>
      </c>
      <c r="U141">
        <v>33330364198.119999</v>
      </c>
      <c r="V141">
        <v>90.272719680039401</v>
      </c>
    </row>
  </sheetData>
  <pageMargins left="0.7" right="0.7" top="0.75" bottom="0.75" header="0.3" footer="0.3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fhl_example</vt:lpstr>
      <vt:lpstr>Sheet7</vt:lpstr>
      <vt:lpstr>fhl_pool</vt:lpstr>
      <vt:lpstr>fnm_pool</vt:lpstr>
      <vt:lpstr>fnm_loan</vt:lpstr>
    </vt:vector>
  </TitlesOfParts>
  <Company>Hewlett-Packard Company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Lien Chen</dc:creator>
  <cp:lastModifiedBy>Lien Chen</cp:lastModifiedBy>
  <dcterms:created xsi:type="dcterms:W3CDTF">2016-12-05T19:03:16Z</dcterms:created>
  <dcterms:modified xsi:type="dcterms:W3CDTF">2016-12-12T16:56:44Z</dcterms:modified>
</cp:coreProperties>
</file>