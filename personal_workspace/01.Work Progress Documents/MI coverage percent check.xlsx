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34515" windowHeight="18705" activeTab="3"/>
  </bookViews>
  <sheets>
    <sheet name="Sheet2" sheetId="3" r:id="rId1"/>
    <sheet name="Sheet1" sheetId="4" r:id="rId2"/>
    <sheet name="temp" sheetId="1" r:id="rId3"/>
    <sheet name="Sheet4" sheetId="6" r:id="rId4"/>
    <sheet name="Sheet3" sheetId="5" r:id="rId5"/>
  </sheets>
  <calcPr calcId="145621"/>
  <pivotCaches>
    <pivotCache cacheId="12" r:id="rId6"/>
    <pivotCache cacheId="16" r:id="rId7"/>
    <pivotCache cacheId="20" r:id="rId8"/>
    <pivotCache cacheId="28" r:id="rId9"/>
  </pivotCaches>
</workbook>
</file>

<file path=xl/calcChain.xml><?xml version="1.0" encoding="utf-8"?>
<calcChain xmlns="http://schemas.openxmlformats.org/spreadsheetml/2006/main">
  <c r="AA41" i="6" l="1"/>
  <c r="AA38" i="6"/>
  <c r="AA40" i="6"/>
  <c r="AA39" i="6"/>
  <c r="AA64" i="6"/>
  <c r="AA65" i="6"/>
  <c r="AA66" i="6"/>
  <c r="AA67" i="6"/>
  <c r="AA68" i="6"/>
  <c r="AA69" i="6"/>
  <c r="AA70" i="6"/>
  <c r="AA63" i="6"/>
  <c r="AA42" i="6"/>
  <c r="AA37" i="6"/>
  <c r="AA36" i="6"/>
  <c r="AA35" i="6"/>
  <c r="AA34" i="6"/>
  <c r="AM6" i="6"/>
  <c r="AM7" i="6"/>
  <c r="AM8" i="6"/>
  <c r="AM9" i="6"/>
  <c r="AM10" i="6"/>
  <c r="AM11" i="6"/>
  <c r="AM12" i="6"/>
  <c r="AM13" i="6"/>
  <c r="AM14" i="6"/>
  <c r="AM15" i="6"/>
  <c r="AM16" i="6"/>
  <c r="AM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5" i="6"/>
  <c r="B70" i="3" l="1"/>
</calcChain>
</file>

<file path=xl/sharedStrings.xml><?xml version="1.0" encoding="utf-8"?>
<sst xmlns="http://schemas.openxmlformats.org/spreadsheetml/2006/main" count="139" uniqueCount="17">
  <si>
    <t>firstPaymtDt</t>
  </si>
  <si>
    <t>pctMtgIns</t>
  </si>
  <si>
    <t>sum(cello_loan.originalLoanAmount)</t>
  </si>
  <si>
    <t>Row Labels</t>
  </si>
  <si>
    <t>Grand Total</t>
  </si>
  <si>
    <t>Column Labels</t>
  </si>
  <si>
    <t>Sum of sum(cello_loan.originalLoanAmount)</t>
  </si>
  <si>
    <t>(blank)</t>
  </si>
  <si>
    <t>avg(cello_loan.origLTV)</t>
  </si>
  <si>
    <t>oltvBucket</t>
  </si>
  <si>
    <t>&lt;80</t>
  </si>
  <si>
    <t>else</t>
  </si>
  <si>
    <t>&gt; 97</t>
  </si>
  <si>
    <t>&lt; 80</t>
  </si>
  <si>
    <t>coverageBucket</t>
  </si>
  <si>
    <t>NULL</t>
  </si>
  <si>
    <t>&gt;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</si>
</sst>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16" fillId="33" borderId="10" xfId="0" applyFont="1" applyFill="1" applyBorder="1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16" fillId="33" borderId="10" xfId="0" applyFont="1" applyFill="1" applyBorder="1" applyAlignment="1">
      <alignment horizontal="center"/>
    </xf>
    <xf numFmtId="2" fontId="0" fillId="0" borderId="0" xfId="0" applyNumberFormat="1"/>
    <xf numFmtId="2" fontId="18" fillId="0" borderId="0" xfId="0" applyNumberFormat="1" applyFont="1"/>
    <xf numFmtId="9" fontId="0" fillId="0" borderId="0" xfId="0" applyNumberFormat="1"/>
    <xf numFmtId="9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6">
    <dxf>
      <font>
        <b/>
        <i val="0"/>
        <color rgb="FFC00000"/>
      </font>
    </dxf>
    <dxf>
      <font>
        <color theme="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color theme="0"/>
      </font>
    </dxf>
    <dxf>
      <font>
        <b/>
        <i val="0"/>
        <color rgb="FFC00000"/>
      </font>
    </dxf>
    <dxf>
      <font>
        <color theme="0"/>
      </font>
    </dxf>
    <dxf>
      <font>
        <b/>
        <i val="0"/>
        <color rgb="FFC00000"/>
      </font>
    </dxf>
    <dxf>
      <font>
        <color theme="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color theme="0"/>
      </font>
    </dxf>
    <dxf>
      <font>
        <b/>
        <i val="0"/>
        <color rgb="FFC00000"/>
      </font>
    </dxf>
    <dxf>
      <font>
        <color theme="0"/>
      </font>
    </dxf>
    <dxf>
      <font>
        <b/>
        <i val="0"/>
        <color rgb="FFC00000"/>
      </font>
    </dxf>
    <dxf>
      <font>
        <color theme="0"/>
      </font>
    </dxf>
    <dxf>
      <font>
        <b/>
        <i val="0"/>
        <color rgb="FFC00000"/>
      </font>
    </dxf>
    <dxf>
      <font>
        <color theme="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color theme="0"/>
      </font>
    </dxf>
    <dxf>
      <font>
        <b/>
        <i val="0"/>
        <color rgb="FFC00000"/>
      </font>
    </dxf>
    <dxf>
      <font>
        <color theme="0"/>
      </font>
    </dxf>
    <dxf>
      <font>
        <b/>
        <i val="0"/>
        <color rgb="FFC00000"/>
      </font>
    </dxf>
    <dxf>
      <font>
        <color theme="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color theme="0"/>
      </font>
    </dxf>
    <dxf>
      <font>
        <b/>
        <i val="0"/>
        <color rgb="FFC00000"/>
      </font>
    </dxf>
    <dxf>
      <font>
        <color theme="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color theme="0"/>
      </font>
    </dxf>
    <dxf>
      <font>
        <b/>
        <i val="0"/>
        <color rgb="FFC0000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% balance with coverage level of 30%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Sheet2!$B$43</c:f>
              <c:strCache>
                <c:ptCount val="1"/>
                <c:pt idx="0">
                  <c:v>30</c:v>
                </c:pt>
              </c:strCache>
            </c:strRef>
          </c:tx>
          <c:marker>
            <c:symbol val="none"/>
          </c:marker>
          <c:cat>
            <c:numRef>
              <c:f>Sheet2!$A$44:$A$69</c:f>
              <c:numCache>
                <c:formatCode>m/d/yyyy</c:formatCode>
                <c:ptCount val="26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</c:numCache>
            </c:numRef>
          </c:cat>
          <c:val>
            <c:numRef>
              <c:f>Sheet2!$B$44:$B$69</c:f>
              <c:numCache>
                <c:formatCode>0.0%</c:formatCode>
                <c:ptCount val="26"/>
                <c:pt idx="0">
                  <c:v>0.96377852260456087</c:v>
                </c:pt>
                <c:pt idx="1">
                  <c:v>0.96629929778667156</c:v>
                </c:pt>
                <c:pt idx="2">
                  <c:v>0.9757819849848719</c:v>
                </c:pt>
                <c:pt idx="3">
                  <c:v>0.97648780326765039</c:v>
                </c:pt>
                <c:pt idx="4">
                  <c:v>0.97189946550928852</c:v>
                </c:pt>
                <c:pt idx="5">
                  <c:v>0.9794571545876315</c:v>
                </c:pt>
                <c:pt idx="6">
                  <c:v>0.9800522571946223</c:v>
                </c:pt>
                <c:pt idx="7">
                  <c:v>0.97444217995588422</c:v>
                </c:pt>
                <c:pt idx="8">
                  <c:v>0.97795584264987623</c:v>
                </c:pt>
                <c:pt idx="9">
                  <c:v>0.9762818699743594</c:v>
                </c:pt>
                <c:pt idx="10">
                  <c:v>0.97727243133467123</c:v>
                </c:pt>
                <c:pt idx="11">
                  <c:v>0.97596431814302576</c:v>
                </c:pt>
                <c:pt idx="12">
                  <c:v>0.9774805628240496</c:v>
                </c:pt>
                <c:pt idx="13">
                  <c:v>0.97646347520908328</c:v>
                </c:pt>
                <c:pt idx="14">
                  <c:v>0.97831424371644915</c:v>
                </c:pt>
                <c:pt idx="15">
                  <c:v>0.96894022150658188</c:v>
                </c:pt>
                <c:pt idx="16">
                  <c:v>0.97003620410390845</c:v>
                </c:pt>
                <c:pt idx="17">
                  <c:v>0.97540273839108516</c:v>
                </c:pt>
                <c:pt idx="18">
                  <c:v>0.96375310559043115</c:v>
                </c:pt>
                <c:pt idx="19">
                  <c:v>0.96541097935627018</c:v>
                </c:pt>
                <c:pt idx="20">
                  <c:v>0.96272792003206842</c:v>
                </c:pt>
                <c:pt idx="21">
                  <c:v>0.96304738813675816</c:v>
                </c:pt>
                <c:pt idx="22">
                  <c:v>0.96263785561185644</c:v>
                </c:pt>
                <c:pt idx="23">
                  <c:v>0.9644689787792744</c:v>
                </c:pt>
                <c:pt idx="24">
                  <c:v>0.96164023841777024</c:v>
                </c:pt>
                <c:pt idx="25">
                  <c:v>0.96071749931991257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522368"/>
        <c:axId val="46523904"/>
      </c:lineChart>
      <c:dateAx>
        <c:axId val="465223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6523904"/>
        <c:crosses val="autoZero"/>
        <c:auto val="1"/>
        <c:lblOffset val="100"/>
        <c:baseTimeUnit val="months"/>
      </c:dateAx>
      <c:valAx>
        <c:axId val="46523904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465223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138112</xdr:colOff>
      <xdr:row>9</xdr:row>
      <xdr:rowOff>14287</xdr:rowOff>
    </xdr:from>
    <xdr:to>
      <xdr:col>23</xdr:col>
      <xdr:colOff>442912</xdr:colOff>
      <xdr:row>23</xdr:row>
      <xdr:rowOff>90487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443.571016087961" createdVersion="4" refreshedVersion="4" minRefreshableVersion="3" recordCount="176">
  <cacheSource type="worksheet">
    <worksheetSource ref="A1:C177" sheet="temp"/>
  </cacheSource>
  <cacheFields count="3">
    <cacheField name="firstPaymtDt" numFmtId="14">
      <sharedItems containsSemiMixedTypes="0" containsNonDate="0" containsDate="1" containsString="0" minDate="2014-01-01T00:00:00" maxDate="2016-04-02T00:00:00" count="33">
        <d v="2016-04-01T00:00:00"/>
        <d v="2016-03-01T00:00:00"/>
        <d v="2016-02-01T00:00:00"/>
        <d v="2016-01-01T00:00:00"/>
        <d v="2015-12-01T00:00:00"/>
        <d v="2015-11-01T00:00:00"/>
        <d v="2015-10-01T00:00:00"/>
        <d v="2015-09-01T00:00:00"/>
        <d v="2015-08-01T00:00:00"/>
        <d v="2015-07-01T00:00:00"/>
        <d v="2015-06-01T00:00:00"/>
        <d v="2015-05-01T00:00:00"/>
        <d v="2015-04-01T00:00:00"/>
        <d v="2015-03-01T00:00:00"/>
        <d v="2015-02-01T00:00:00"/>
        <d v="2015-01-01T00:00:00"/>
        <d v="2014-12-01T00:00:00"/>
        <d v="2014-11-01T00:00:00"/>
        <d v="2014-10-01T00:00:00"/>
        <d v="2014-09-01T00:00:00"/>
        <d v="2014-08-01T00:00:00"/>
        <d v="2014-07-01T00:00:00"/>
        <d v="2014-06-01T00:00:00"/>
        <d v="2014-05-01T00:00:00"/>
        <d v="2014-04-01T00:00:00"/>
        <d v="2014-03-01T00:00:00"/>
        <d v="2014-02-01T00:00:00"/>
        <d v="2014-01-01T00:00:00"/>
        <d v="2015-02-02T00:00:00" u="1"/>
        <d v="2014-09-25T00:00:00" u="1"/>
        <d v="2014-12-14T00:00:00" u="1"/>
        <d v="2015-10-17T00:00:00" u="1"/>
        <d v="2016-02-16T00:00:00" u="1"/>
      </sharedItems>
    </cacheField>
    <cacheField name="pctMtgIns" numFmtId="0">
      <sharedItems containsSemiMixedTypes="0" containsString="0" containsNumber="1" containsInteger="1" minValue="0" maxValue="40" count="12">
        <n v="16"/>
        <n v="18"/>
        <n v="25"/>
        <n v="30"/>
        <n v="35"/>
        <n v="0"/>
        <n v="12"/>
        <n v="40"/>
        <n v="33"/>
        <n v="20"/>
        <n v="27"/>
        <n v="32"/>
      </sharedItems>
    </cacheField>
    <cacheField name="sum(cello_loan.originalLoanAmount)" numFmtId="0">
      <sharedItems containsSemiMixedTypes="0" containsString="0" containsNumber="1" containsInteger="1" minValue="65075" maxValue="7038637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ien Chen" refreshedDate="42443.75056990741" createdVersion="4" refreshedVersion="4" minRefreshableVersion="3" recordCount="1346">
  <cacheSource type="worksheet">
    <worksheetSource ref="A1:C1048576" sheet="temp"/>
  </cacheSource>
  <cacheFields count="3">
    <cacheField name="firstPaymtDt" numFmtId="0">
      <sharedItems containsNonDate="0" containsDate="1" containsString="0" containsBlank="1" minDate="1986-07-01T00:00:00" maxDate="2016-04-02T00:00:00" count="312">
        <d v="2016-04-01T00:00:00"/>
        <d v="2016-03-01T00:00:00"/>
        <d v="2016-02-01T00:00:00"/>
        <d v="2016-01-01T00:00:00"/>
        <d v="2015-12-01T00:00:00"/>
        <d v="2015-11-01T00:00:00"/>
        <d v="2015-10-01T00:00:00"/>
        <d v="2015-09-01T00:00:00"/>
        <d v="2015-08-01T00:00:00"/>
        <d v="2015-07-01T00:00:00"/>
        <d v="2015-06-01T00:00:00"/>
        <d v="2015-05-01T00:00:00"/>
        <d v="2015-04-01T00:00:00"/>
        <d v="2015-03-01T00:00:00"/>
        <d v="2015-02-01T00:00:00"/>
        <d v="2015-01-01T00:00:00"/>
        <d v="2014-12-01T00:00:00"/>
        <d v="2014-11-01T00:00:00"/>
        <d v="2014-10-01T00:00:00"/>
        <d v="2014-09-01T00:00:00"/>
        <d v="2014-08-01T00:00:00"/>
        <d v="2014-07-01T00:00:00"/>
        <d v="2014-06-01T00:00:00"/>
        <d v="2014-05-01T00:00:00"/>
        <d v="2014-04-01T00:00:00"/>
        <d v="2014-03-01T00:00:00"/>
        <d v="2014-02-01T00:00:00"/>
        <d v="2014-01-01T00:00:00"/>
        <d v="2013-12-01T00:00:00"/>
        <d v="2013-11-01T00:00:00"/>
        <d v="2013-10-01T00:00:00"/>
        <d v="2013-09-01T00:00:00"/>
        <d v="2013-08-01T00:00:00"/>
        <d v="2013-07-01T00:00:00"/>
        <d v="2013-06-01T00:00:00"/>
        <d v="2013-05-01T00:00:00"/>
        <d v="2013-04-01T00:00:00"/>
        <d v="2013-03-01T00:00:00"/>
        <d v="2013-02-01T00:00:00"/>
        <d v="2013-01-01T00:00:00"/>
        <d v="2012-12-01T00:00:00"/>
        <d v="2012-11-01T00:00:00"/>
        <d v="2012-10-01T00:00:00"/>
        <d v="2012-09-01T00:00:00"/>
        <d v="2012-08-01T00:00:00"/>
        <d v="2012-07-01T00:00:00"/>
        <d v="2012-06-01T00:00:00"/>
        <d v="2012-05-01T00:00:00"/>
        <d v="2012-04-05T00:00:00"/>
        <d v="2012-04-01T00:00:00"/>
        <d v="2012-03-01T00:00:00"/>
        <d v="2012-02-01T00:00:00"/>
        <d v="2012-01-01T00:00:00"/>
        <d v="2011-12-01T00:00:00"/>
        <d v="2011-11-01T00:00:00"/>
        <d v="2011-10-01T00:00:00"/>
        <d v="2011-09-01T00:00:00"/>
        <d v="2011-08-01T00:00:00"/>
        <d v="2011-07-01T00:00:00"/>
        <d v="2011-06-01T00:00:00"/>
        <d v="2011-05-01T00:00:00"/>
        <d v="2011-04-01T00:00:00"/>
        <d v="2011-03-01T00:00:00"/>
        <d v="2011-02-01T00:00:00"/>
        <d v="2011-01-01T00:00:00"/>
        <d v="2010-12-01T00:00:00"/>
        <d v="2010-11-01T00:00:00"/>
        <d v="2010-10-14T00:00:00"/>
        <d v="2010-10-01T00:00:00"/>
        <d v="2010-09-20T00:00:00"/>
        <d v="2010-09-01T00:00:00"/>
        <d v="2010-08-01T00:00:00"/>
        <d v="2010-07-01T00:00:00"/>
        <d v="2010-06-10T00:00:00"/>
        <d v="2010-06-01T00:00:00"/>
        <d v="2010-05-05T00:00:00"/>
        <d v="2010-05-01T00:00:00"/>
        <d v="2010-04-01T00:00:00"/>
        <d v="2010-03-01T00:00:00"/>
        <d v="2010-02-01T00:00:00"/>
        <d v="2010-01-01T00:00:00"/>
        <d v="2009-12-01T00:00:00"/>
        <d v="2009-11-01T00:00:00"/>
        <d v="2009-10-01T00:00:00"/>
        <d v="2009-09-17T00:00:00"/>
        <d v="2009-09-12T00:00:00"/>
        <d v="2009-09-01T00:00:00"/>
        <d v="2009-08-01T00:00:00"/>
        <d v="2009-07-30T00:00:00"/>
        <d v="2009-07-02T00:00:00"/>
        <d v="2009-07-01T00:00:00"/>
        <d v="2009-06-01T00:00:00"/>
        <d v="2009-05-01T00:00:00"/>
        <d v="2009-04-01T00:00:00"/>
        <d v="2009-03-10T00:00:00"/>
        <d v="2009-03-01T00:00:00"/>
        <d v="2009-02-20T00:00:00"/>
        <d v="2009-02-01T00:00:00"/>
        <d v="2009-01-01T00:00:00"/>
        <d v="2008-12-01T00:00:00"/>
        <d v="2008-11-01T00:00:00"/>
        <d v="2008-10-01T00:00:00"/>
        <d v="2008-09-01T00:00:00"/>
        <d v="2008-08-30T00:00:00"/>
        <d v="2008-08-25T00:00:00"/>
        <d v="2008-08-01T00:00:00"/>
        <d v="2008-07-01T00:00:00"/>
        <d v="2008-06-01T00:00:00"/>
        <d v="2008-05-01T00:00:00"/>
        <d v="2008-04-05T00:00:00"/>
        <d v="2008-04-02T00:00:00"/>
        <d v="2008-04-01T00:00:00"/>
        <d v="2008-03-01T00:00:00"/>
        <d v="2008-02-01T00:00:00"/>
        <d v="2008-01-01T00:00:00"/>
        <d v="2007-12-01T00:00:00"/>
        <d v="2007-11-01T00:00:00"/>
        <d v="2007-10-10T00:00:00"/>
        <d v="2007-10-01T00:00:00"/>
        <d v="2007-09-29T00:00:00"/>
        <d v="2007-09-01T00:00:00"/>
        <d v="2007-08-02T00:00:00"/>
        <d v="2007-08-01T00:00:00"/>
        <d v="2007-07-01T00:00:00"/>
        <d v="2007-06-30T00:00:00"/>
        <d v="2007-06-01T00:00:00"/>
        <d v="2007-05-01T00:00:00"/>
        <d v="2007-04-01T00:00:00"/>
        <d v="2007-03-01T00:00:00"/>
        <d v="2007-02-01T00:00:00"/>
        <d v="2007-01-01T00:00:00"/>
        <d v="2006-12-01T00:00:00"/>
        <d v="2006-11-01T00:00:00"/>
        <d v="2006-10-01T00:00:00"/>
        <d v="2006-09-30T00:00:00"/>
        <d v="2006-09-01T00:00:00"/>
        <d v="2006-08-15T00:00:00"/>
        <d v="2006-08-01T00:00:00"/>
        <d v="2006-07-01T00:00:00"/>
        <d v="2006-06-30T00:00:00"/>
        <d v="2006-06-01T00:00:00"/>
        <d v="2006-05-28T00:00:00"/>
        <d v="2006-05-01T00:00:00"/>
        <d v="2006-04-01T00:00:00"/>
        <d v="2006-03-20T00:00:00"/>
        <d v="2006-03-01T00:00:00"/>
        <d v="2006-02-01T00:00:00"/>
        <d v="2006-01-20T00:00:00"/>
        <d v="2006-01-01T00:00:00"/>
        <d v="2005-12-10T00:00:00"/>
        <d v="2005-12-01T00:00:00"/>
        <d v="2005-11-01T00:00:00"/>
        <d v="2005-10-01T00:00:00"/>
        <d v="2005-09-01T00:00:00"/>
        <d v="2005-08-01T00:00:00"/>
        <d v="2005-07-01T00:00:00"/>
        <d v="2005-06-20T00:00:00"/>
        <d v="2005-06-01T00:00:00"/>
        <d v="2005-05-01T00:00:00"/>
        <d v="2005-04-01T00:00:00"/>
        <d v="2005-03-10T00:00:00"/>
        <d v="2005-03-01T00:00:00"/>
        <d v="2005-02-01T00:00:00"/>
        <d v="2005-01-20T00:00:00"/>
        <d v="2005-01-01T00:00:00"/>
        <d v="2004-12-01T00:00:00"/>
        <d v="2004-11-10T00:00:00"/>
        <d v="2004-11-01T00:00:00"/>
        <d v="2004-10-20T00:00:00"/>
        <d v="2004-10-01T00:00:00"/>
        <d v="2004-09-10T00:00:00"/>
        <d v="2004-09-01T00:00:00"/>
        <d v="2004-08-01T00:00:00"/>
        <d v="2004-07-01T00:00:00"/>
        <d v="2004-06-01T00:00:00"/>
        <d v="2004-05-20T00:00:00"/>
        <d v="2004-05-01T00:00:00"/>
        <d v="2004-04-01T00:00:00"/>
        <d v="2004-03-01T00:00:00"/>
        <d v="2004-02-01T00:00:00"/>
        <d v="2004-01-01T00:00:00"/>
        <d v="2003-12-01T00:00:00"/>
        <d v="2003-11-01T00:00:00"/>
        <d v="2003-10-10T00:00:00"/>
        <d v="2003-10-01T00:00:00"/>
        <d v="2003-09-20T00:00:00"/>
        <d v="2003-09-10T00:00:00"/>
        <d v="2003-09-01T00:00:00"/>
        <d v="2003-08-20T00:00:00"/>
        <d v="2003-08-01T00:00:00"/>
        <d v="2003-07-01T00:00:00"/>
        <d v="2003-06-20T00:00:00"/>
        <d v="2003-06-10T00:00:00"/>
        <d v="2003-06-01T00:00:00"/>
        <d v="2003-05-20T00:00:00"/>
        <d v="2003-05-10T00:00:00"/>
        <d v="2003-05-01T00:00:00"/>
        <d v="2003-04-05T00:00:00"/>
        <d v="2003-04-01T00:00:00"/>
        <d v="2003-03-10T00:00:00"/>
        <d v="2003-03-01T00:00:00"/>
        <d v="2003-02-20T00:00:00"/>
        <d v="2003-02-01T00:00:00"/>
        <d v="2003-01-01T00:00:00"/>
        <d v="2002-12-01T00:00:00"/>
        <d v="2002-11-01T00:00:00"/>
        <d v="2002-10-01T00:00:00"/>
        <d v="2002-09-01T00:00:00"/>
        <d v="2002-08-01T00:00:00"/>
        <d v="2002-07-01T00:00:00"/>
        <d v="2002-06-01T00:00:00"/>
        <d v="2002-05-01T00:00:00"/>
        <d v="2002-04-01T00:00:00"/>
        <d v="2002-03-01T00:00:00"/>
        <d v="2002-02-01T00:00:00"/>
        <d v="2002-01-01T00:00:00"/>
        <d v="2001-12-01T00:00:00"/>
        <d v="2001-11-01T00:00:00"/>
        <d v="2001-10-01T00:00:00"/>
        <d v="2001-09-01T00:00:00"/>
        <d v="2001-08-01T00:00:00"/>
        <d v="2001-07-01T00:00:00"/>
        <d v="2001-06-01T00:00:00"/>
        <d v="2001-05-20T00:00:00"/>
        <d v="2001-05-01T00:00:00"/>
        <d v="2001-04-01T00:00:00"/>
        <d v="2001-03-01T00:00:00"/>
        <d v="2001-02-01T00:00:00"/>
        <d v="2001-01-01T00:00:00"/>
        <d v="2000-12-01T00:00:00"/>
        <d v="2000-11-01T00:00:00"/>
        <d v="2000-10-01T00:00:00"/>
        <d v="2000-09-01T00:00:00"/>
        <d v="2000-07-01T00:00:00"/>
        <d v="2000-06-01T00:00:00"/>
        <d v="2000-05-20T00:00:00"/>
        <d v="2000-05-01T00:00:00"/>
        <d v="2000-04-01T00:00:00"/>
        <d v="2000-03-01T00:00:00"/>
        <d v="2000-02-01T00:00:00"/>
        <d v="2000-01-01T00:00:00"/>
        <d v="1999-12-01T00:00:00"/>
        <d v="1999-11-01T00:00:00"/>
        <d v="1999-10-01T00:00:00"/>
        <d v="1999-09-01T00:00:00"/>
        <d v="1999-08-20T00:00:00"/>
        <d v="1999-08-01T00:00:00"/>
        <d v="1999-07-01T00:00:00"/>
        <d v="1999-06-01T00:00:00"/>
        <d v="1999-05-01T00:00:00"/>
        <d v="1999-04-10T00:00:00"/>
        <d v="1999-04-01T00:00:00"/>
        <d v="1999-03-01T00:00:00"/>
        <d v="1999-02-01T00:00:00"/>
        <d v="1999-01-01T00:00:00"/>
        <d v="1998-12-01T00:00:00"/>
        <d v="1998-11-01T00:00:00"/>
        <d v="1998-10-01T00:00:00"/>
        <d v="1998-09-01T00:00:00"/>
        <d v="1998-08-01T00:00:00"/>
        <d v="1998-07-01T00:00:00"/>
        <d v="1998-06-01T00:00:00"/>
        <d v="1998-05-01T00:00:00"/>
        <d v="1998-04-01T00:00:00"/>
        <d v="1998-03-01T00:00:00"/>
        <d v="1998-02-01T00:00:00"/>
        <d v="1998-01-20T00:00:00"/>
        <d v="1998-01-01T00:00:00"/>
        <d v="1997-12-01T00:00:00"/>
        <d v="1997-11-01T00:00:00"/>
        <d v="1997-09-01T00:00:00"/>
        <d v="1997-08-01T00:00:00"/>
        <d v="1997-07-01T00:00:00"/>
        <d v="1997-06-01T00:00:00"/>
        <d v="1997-04-01T00:00:00"/>
        <d v="1997-02-01T00:00:00"/>
        <d v="1996-12-01T00:00:00"/>
        <d v="1996-10-01T00:00:00"/>
        <d v="1996-08-01T00:00:00"/>
        <d v="1996-05-01T00:00:00"/>
        <d v="1996-02-01T00:00:00"/>
        <d v="1996-01-01T00:00:00"/>
        <d v="1995-12-01T00:00:00"/>
        <d v="1995-11-01T00:00:00"/>
        <d v="1995-10-01T00:00:00"/>
        <d v="1995-09-01T00:00:00"/>
        <d v="1995-06-01T00:00:00"/>
        <d v="1995-05-01T00:00:00"/>
        <d v="1995-01-01T00:00:00"/>
        <d v="1994-11-01T00:00:00"/>
        <d v="1994-10-01T00:00:00"/>
        <d v="1994-09-01T00:00:00"/>
        <d v="1994-08-01T00:00:00"/>
        <d v="1994-07-01T00:00:00"/>
        <d v="1994-06-01T00:00:00"/>
        <d v="1994-05-01T00:00:00"/>
        <d v="1994-04-01T00:00:00"/>
        <d v="1994-03-01T00:00:00"/>
        <d v="1994-02-01T00:00:00"/>
        <d v="1994-01-01T00:00:00"/>
        <d v="1993-11-01T00:00:00"/>
        <d v="1993-10-01T00:00:00"/>
        <d v="1993-08-01T00:00:00"/>
        <d v="1993-07-01T00:00:00"/>
        <d v="1993-06-01T00:00:00"/>
        <d v="1993-04-01T00:00:00"/>
        <d v="1990-08-01T00:00:00"/>
        <d v="1989-12-01T00:00:00"/>
        <d v="1989-11-01T00:00:00"/>
        <d v="1989-09-01T00:00:00"/>
        <d v="1986-07-01T00:00:00"/>
        <m/>
      </sharedItems>
    </cacheField>
    <cacheField name="pctMtgIns" numFmtId="0">
      <sharedItems containsString="0" containsBlank="1" containsNumber="1" containsInteger="1" minValue="-999" maxValue="40" count="34">
        <n v="16"/>
        <n v="18"/>
        <n v="25"/>
        <n v="30"/>
        <n v="35"/>
        <n v="0"/>
        <n v="12"/>
        <n v="40"/>
        <n v="33"/>
        <n v="20"/>
        <n v="27"/>
        <n v="32"/>
        <n v="15"/>
        <n v="-999"/>
        <n v="17"/>
        <n v="22"/>
        <n v="37"/>
        <n v="31"/>
        <n v="28"/>
        <n v="2"/>
        <n v="1"/>
        <n v="26"/>
        <n v="6"/>
        <n v="14"/>
        <n v="29"/>
        <n v="13"/>
        <n v="11"/>
        <n v="9"/>
        <n v="5"/>
        <n v="8"/>
        <n v="10"/>
        <n v="7"/>
        <n v="3"/>
        <m/>
      </sharedItems>
    </cacheField>
    <cacheField name="sum(cello_loan.originalLoanAmount)" numFmtId="0">
      <sharedItems containsString="0" containsBlank="1" containsNumber="1" containsInteger="1" minValue="24850" maxValue="7038637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Lien Chen" refreshedDate="42443.773710300928" createdVersion="4" refreshedVersion="4" minRefreshableVersion="3" recordCount="135">
  <cacheSource type="worksheet">
    <worksheetSource ref="A1:D136" sheet="Sheet3"/>
  </cacheSource>
  <cacheFields count="4">
    <cacheField name="pctMtgIns" numFmtId="0">
      <sharedItems containsSemiMixedTypes="0" containsString="0" containsNumber="1" containsInteger="1" minValue="-999" maxValue="50" count="42">
        <n v="-999"/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30"/>
        <n v="31"/>
        <n v="32"/>
        <n v="33"/>
        <n v="34"/>
        <n v="35"/>
        <n v="36"/>
        <n v="37"/>
        <n v="38"/>
        <n v="40"/>
        <n v="44"/>
        <n v="50"/>
      </sharedItems>
    </cacheField>
    <cacheField name="avg(cello_loan.origLTV)" numFmtId="0">
      <sharedItems containsSemiMixedTypes="0" containsString="0" containsNumber="1" minValue="53.5" maxValue="102"/>
    </cacheField>
    <cacheField name="sum(cello_loan.originalLoanAmount)" numFmtId="0">
      <sharedItems containsSemiMixedTypes="0" containsString="0" containsNumber="1" containsInteger="1" minValue="52894" maxValue="88876038212"/>
    </cacheField>
    <cacheField name="oltvBucket" numFmtId="0">
      <sharedItems containsMixedTypes="1" containsNumber="1" containsInteger="1" minValue="85" maxValue="97" count="6">
        <n v="85"/>
        <n v="90"/>
        <n v="95"/>
        <n v="97"/>
        <s v="&lt;80"/>
        <s v="el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Lien Chen" refreshedDate="42444.403670717591" createdVersion="4" refreshedVersion="4" minRefreshableVersion="3" recordCount="66">
  <cacheSource type="worksheet">
    <worksheetSource ref="G1:J67" sheet="Sheet3"/>
  </cacheSource>
  <cacheFields count="4">
    <cacheField name="avg(cello_loan.origLTV)" numFmtId="0">
      <sharedItems containsSemiMixedTypes="0" containsString="0" containsNumber="1" minValue="53.5" maxValue="101.169286120053"/>
    </cacheField>
    <cacheField name="sum(cello_loan.originalLoanAmount)" numFmtId="0">
      <sharedItems containsSemiMixedTypes="0" containsString="0" containsNumber="1" containsInteger="1" minValue="102723" maxValue="88876038212"/>
    </cacheField>
    <cacheField name="oltvBucket" numFmtId="0">
      <sharedItems containsMixedTypes="1" containsNumber="1" containsInteger="1" minValue="85" maxValue="97" count="6">
        <n v="85"/>
        <n v="90"/>
        <n v="97"/>
        <s v="else"/>
        <n v="95"/>
        <s v="&lt;80"/>
      </sharedItems>
    </cacheField>
    <cacheField name="coverageBucket" numFmtId="0">
      <sharedItems containsMixedTypes="1" containsNumber="1" containsInteger="1" minValue="6" maxValue="85" count="13">
        <n v="12"/>
        <n v="17"/>
        <n v="18"/>
        <n v="20"/>
        <n v="22"/>
        <n v="25"/>
        <n v="30"/>
        <n v="35"/>
        <n v="40"/>
        <n v="6"/>
        <s v="NULL"/>
        <s v="else"/>
        <n v="8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6">
  <r>
    <x v="0"/>
    <x v="0"/>
    <n v="2790505"/>
  </r>
  <r>
    <x v="0"/>
    <x v="1"/>
    <n v="93100"/>
  </r>
  <r>
    <x v="0"/>
    <x v="2"/>
    <n v="404190"/>
  </r>
  <r>
    <x v="0"/>
    <x v="3"/>
    <n v="75486242"/>
  </r>
  <r>
    <x v="0"/>
    <x v="4"/>
    <n v="166250"/>
  </r>
  <r>
    <x v="1"/>
    <x v="5"/>
    <n v="412520"/>
  </r>
  <r>
    <x v="1"/>
    <x v="6"/>
    <n v="271860"/>
  </r>
  <r>
    <x v="1"/>
    <x v="0"/>
    <n v="10919012"/>
  </r>
  <r>
    <x v="1"/>
    <x v="1"/>
    <n v="438653"/>
  </r>
  <r>
    <x v="1"/>
    <x v="2"/>
    <n v="3195880"/>
  </r>
  <r>
    <x v="1"/>
    <x v="3"/>
    <n v="281741387"/>
  </r>
  <r>
    <x v="1"/>
    <x v="4"/>
    <n v="1247600"/>
  </r>
  <r>
    <x v="2"/>
    <x v="3"/>
    <n v="274550"/>
  </r>
  <r>
    <x v="2"/>
    <x v="5"/>
    <n v="581184"/>
  </r>
  <r>
    <x v="2"/>
    <x v="6"/>
    <n v="141551"/>
  </r>
  <r>
    <x v="2"/>
    <x v="0"/>
    <n v="13379525"/>
  </r>
  <r>
    <x v="2"/>
    <x v="1"/>
    <n v="483850"/>
  </r>
  <r>
    <x v="2"/>
    <x v="2"/>
    <n v="7890550"/>
  </r>
  <r>
    <x v="2"/>
    <x v="3"/>
    <n v="574746871"/>
  </r>
  <r>
    <x v="2"/>
    <x v="4"/>
    <n v="1035225"/>
  </r>
  <r>
    <x v="3"/>
    <x v="5"/>
    <n v="71799"/>
  </r>
  <r>
    <x v="3"/>
    <x v="0"/>
    <n v="13141851"/>
  </r>
  <r>
    <x v="3"/>
    <x v="1"/>
    <n v="332928"/>
  </r>
  <r>
    <x v="3"/>
    <x v="2"/>
    <n v="5801516"/>
  </r>
  <r>
    <x v="3"/>
    <x v="3"/>
    <n v="494932408"/>
  </r>
  <r>
    <x v="3"/>
    <x v="4"/>
    <n v="199975"/>
  </r>
  <r>
    <x v="3"/>
    <x v="7"/>
    <n v="194750"/>
  </r>
  <r>
    <x v="4"/>
    <x v="5"/>
    <n v="164550"/>
  </r>
  <r>
    <x v="4"/>
    <x v="0"/>
    <n v="12137095"/>
  </r>
  <r>
    <x v="4"/>
    <x v="1"/>
    <n v="1188635"/>
  </r>
  <r>
    <x v="4"/>
    <x v="2"/>
    <n v="6451314"/>
  </r>
  <r>
    <x v="4"/>
    <x v="3"/>
    <n v="580889756"/>
  </r>
  <r>
    <x v="4"/>
    <x v="4"/>
    <n v="1458375"/>
  </r>
  <r>
    <x v="5"/>
    <x v="5"/>
    <n v="155248"/>
  </r>
  <r>
    <x v="5"/>
    <x v="0"/>
    <n v="13125823"/>
  </r>
  <r>
    <x v="5"/>
    <x v="1"/>
    <n v="185150"/>
  </r>
  <r>
    <x v="5"/>
    <x v="2"/>
    <n v="9340279"/>
  </r>
  <r>
    <x v="5"/>
    <x v="3"/>
    <n v="604744583"/>
  </r>
  <r>
    <x v="5"/>
    <x v="4"/>
    <n v="665000"/>
  </r>
  <r>
    <x v="6"/>
    <x v="3"/>
    <n v="123500"/>
  </r>
  <r>
    <x v="6"/>
    <x v="5"/>
    <n v="528356"/>
  </r>
  <r>
    <x v="6"/>
    <x v="6"/>
    <n v="520360"/>
  </r>
  <r>
    <x v="6"/>
    <x v="0"/>
    <n v="14036515"/>
  </r>
  <r>
    <x v="6"/>
    <x v="1"/>
    <n v="1223750"/>
  </r>
  <r>
    <x v="6"/>
    <x v="2"/>
    <n v="7588399"/>
  </r>
  <r>
    <x v="6"/>
    <x v="3"/>
    <n v="627113014"/>
  </r>
  <r>
    <x v="6"/>
    <x v="4"/>
    <n v="170000"/>
  </r>
  <r>
    <x v="7"/>
    <x v="5"/>
    <n v="1081470"/>
  </r>
  <r>
    <x v="7"/>
    <x v="6"/>
    <n v="213118"/>
  </r>
  <r>
    <x v="7"/>
    <x v="0"/>
    <n v="13537130"/>
  </r>
  <r>
    <x v="7"/>
    <x v="1"/>
    <n v="731805"/>
  </r>
  <r>
    <x v="7"/>
    <x v="2"/>
    <n v="8325253"/>
  </r>
  <r>
    <x v="7"/>
    <x v="3"/>
    <n v="643508464"/>
  </r>
  <r>
    <x v="7"/>
    <x v="4"/>
    <n v="1024700"/>
  </r>
  <r>
    <x v="8"/>
    <x v="5"/>
    <n v="1207900"/>
  </r>
  <r>
    <x v="8"/>
    <x v="6"/>
    <n v="140859"/>
  </r>
  <r>
    <x v="8"/>
    <x v="0"/>
    <n v="13499233"/>
  </r>
  <r>
    <x v="8"/>
    <x v="1"/>
    <n v="746600"/>
  </r>
  <r>
    <x v="8"/>
    <x v="2"/>
    <n v="8525786"/>
  </r>
  <r>
    <x v="8"/>
    <x v="3"/>
    <n v="703863730"/>
  </r>
  <r>
    <x v="8"/>
    <x v="8"/>
    <n v="65075"/>
  </r>
  <r>
    <x v="8"/>
    <x v="4"/>
    <n v="1032778"/>
  </r>
  <r>
    <x v="9"/>
    <x v="5"/>
    <n v="304030"/>
  </r>
  <r>
    <x v="9"/>
    <x v="0"/>
    <n v="12772861"/>
  </r>
  <r>
    <x v="9"/>
    <x v="1"/>
    <n v="238450"/>
  </r>
  <r>
    <x v="9"/>
    <x v="2"/>
    <n v="9781794"/>
  </r>
  <r>
    <x v="9"/>
    <x v="3"/>
    <n v="648772685"/>
  </r>
  <r>
    <x v="9"/>
    <x v="4"/>
    <n v="1303300"/>
  </r>
  <r>
    <x v="10"/>
    <x v="5"/>
    <n v="617870"/>
  </r>
  <r>
    <x v="10"/>
    <x v="0"/>
    <n v="6956675"/>
  </r>
  <r>
    <x v="10"/>
    <x v="9"/>
    <n v="85975"/>
  </r>
  <r>
    <x v="10"/>
    <x v="2"/>
    <n v="7095143"/>
  </r>
  <r>
    <x v="10"/>
    <x v="3"/>
    <n v="615845021"/>
  </r>
  <r>
    <x v="10"/>
    <x v="4"/>
    <n v="774436"/>
  </r>
  <r>
    <x v="11"/>
    <x v="5"/>
    <n v="514805"/>
  </r>
  <r>
    <x v="11"/>
    <x v="0"/>
    <n v="6721918"/>
  </r>
  <r>
    <x v="11"/>
    <x v="1"/>
    <n v="356295"/>
  </r>
  <r>
    <x v="11"/>
    <x v="2"/>
    <n v="8350745"/>
  </r>
  <r>
    <x v="11"/>
    <x v="3"/>
    <n v="545912538"/>
  </r>
  <r>
    <x v="11"/>
    <x v="4"/>
    <n v="638875"/>
  </r>
  <r>
    <x v="11"/>
    <x v="7"/>
    <n v="280250"/>
  </r>
  <r>
    <x v="12"/>
    <x v="5"/>
    <n v="259825"/>
  </r>
  <r>
    <x v="12"/>
    <x v="0"/>
    <n v="4956310"/>
  </r>
  <r>
    <x v="12"/>
    <x v="1"/>
    <n v="355000"/>
  </r>
  <r>
    <x v="12"/>
    <x v="2"/>
    <n v="5697375"/>
  </r>
  <r>
    <x v="12"/>
    <x v="3"/>
    <n v="378056467"/>
  </r>
  <r>
    <x v="12"/>
    <x v="4"/>
    <n v="850246"/>
  </r>
  <r>
    <x v="13"/>
    <x v="5"/>
    <n v="180500"/>
  </r>
  <r>
    <x v="13"/>
    <x v="0"/>
    <n v="2455482"/>
  </r>
  <r>
    <x v="13"/>
    <x v="2"/>
    <n v="4730894"/>
  </r>
  <r>
    <x v="13"/>
    <x v="10"/>
    <n v="106400"/>
  </r>
  <r>
    <x v="13"/>
    <x v="3"/>
    <n v="366605210"/>
  </r>
  <r>
    <x v="13"/>
    <x v="4"/>
    <n v="653061"/>
  </r>
  <r>
    <x v="14"/>
    <x v="3"/>
    <n v="186200"/>
  </r>
  <r>
    <x v="14"/>
    <x v="5"/>
    <n v="912072"/>
  </r>
  <r>
    <x v="14"/>
    <x v="0"/>
    <n v="4464453"/>
  </r>
  <r>
    <x v="14"/>
    <x v="2"/>
    <n v="5750135"/>
  </r>
  <r>
    <x v="14"/>
    <x v="3"/>
    <n v="490612456"/>
  </r>
  <r>
    <x v="14"/>
    <x v="4"/>
    <n v="703475"/>
  </r>
  <r>
    <x v="15"/>
    <x v="5"/>
    <n v="289750"/>
  </r>
  <r>
    <x v="15"/>
    <x v="0"/>
    <n v="3447040"/>
  </r>
  <r>
    <x v="15"/>
    <x v="2"/>
    <n v="6049411"/>
  </r>
  <r>
    <x v="15"/>
    <x v="3"/>
    <n v="457613363"/>
  </r>
  <r>
    <x v="15"/>
    <x v="4"/>
    <n v="756408"/>
  </r>
  <r>
    <x v="16"/>
    <x v="0"/>
    <n v="90000"/>
  </r>
  <r>
    <x v="16"/>
    <x v="5"/>
    <n v="894350"/>
  </r>
  <r>
    <x v="16"/>
    <x v="0"/>
    <n v="3299025"/>
  </r>
  <r>
    <x v="16"/>
    <x v="1"/>
    <n v="248160"/>
  </r>
  <r>
    <x v="16"/>
    <x v="9"/>
    <n v="375725"/>
  </r>
  <r>
    <x v="16"/>
    <x v="2"/>
    <n v="6293998"/>
  </r>
  <r>
    <x v="16"/>
    <x v="3"/>
    <n v="487202509"/>
  </r>
  <r>
    <x v="16"/>
    <x v="4"/>
    <n v="797382"/>
  </r>
  <r>
    <x v="17"/>
    <x v="5"/>
    <n v="1559812"/>
  </r>
  <r>
    <x v="17"/>
    <x v="0"/>
    <n v="3650000"/>
  </r>
  <r>
    <x v="17"/>
    <x v="1"/>
    <n v="256450"/>
  </r>
  <r>
    <x v="17"/>
    <x v="2"/>
    <n v="7292689"/>
  </r>
  <r>
    <x v="17"/>
    <x v="3"/>
    <n v="560187979"/>
  </r>
  <r>
    <x v="17"/>
    <x v="4"/>
    <n v="268850"/>
  </r>
  <r>
    <x v="18"/>
    <x v="5"/>
    <n v="1873926"/>
  </r>
  <r>
    <x v="18"/>
    <x v="0"/>
    <n v="4086648"/>
  </r>
  <r>
    <x v="18"/>
    <x v="1"/>
    <n v="501600"/>
  </r>
  <r>
    <x v="18"/>
    <x v="2"/>
    <n v="9002773"/>
  </r>
  <r>
    <x v="18"/>
    <x v="3"/>
    <n v="639498453"/>
  </r>
  <r>
    <x v="18"/>
    <x v="4"/>
    <n v="71250"/>
  </r>
  <r>
    <x v="19"/>
    <x v="3"/>
    <n v="94050"/>
  </r>
  <r>
    <x v="19"/>
    <x v="5"/>
    <n v="857737"/>
  </r>
  <r>
    <x v="19"/>
    <x v="0"/>
    <n v="4697700"/>
  </r>
  <r>
    <x v="19"/>
    <x v="1"/>
    <n v="309700"/>
  </r>
  <r>
    <x v="19"/>
    <x v="2"/>
    <n v="8514380"/>
  </r>
  <r>
    <x v="19"/>
    <x v="3"/>
    <n v="655791772"/>
  </r>
  <r>
    <x v="19"/>
    <x v="4"/>
    <n v="404842"/>
  </r>
  <r>
    <x v="20"/>
    <x v="5"/>
    <n v="2097982"/>
  </r>
  <r>
    <x v="20"/>
    <x v="6"/>
    <n v="140808"/>
  </r>
  <r>
    <x v="20"/>
    <x v="0"/>
    <n v="3763455"/>
  </r>
  <r>
    <x v="20"/>
    <x v="1"/>
    <n v="527152"/>
  </r>
  <r>
    <x v="20"/>
    <x v="2"/>
    <n v="10445940"/>
  </r>
  <r>
    <x v="20"/>
    <x v="3"/>
    <n v="688636061"/>
  </r>
  <r>
    <x v="20"/>
    <x v="11"/>
    <n v="74575"/>
  </r>
  <r>
    <x v="20"/>
    <x v="4"/>
    <n v="1011741"/>
  </r>
  <r>
    <x v="21"/>
    <x v="5"/>
    <n v="1037605"/>
  </r>
  <r>
    <x v="21"/>
    <x v="0"/>
    <n v="2986390"/>
  </r>
  <r>
    <x v="21"/>
    <x v="2"/>
    <n v="7479309"/>
  </r>
  <r>
    <x v="21"/>
    <x v="3"/>
    <n v="577991060"/>
  </r>
  <r>
    <x v="21"/>
    <x v="4"/>
    <n v="260984"/>
  </r>
  <r>
    <x v="22"/>
    <x v="5"/>
    <n v="1831585"/>
  </r>
  <r>
    <x v="22"/>
    <x v="0"/>
    <n v="2287540"/>
  </r>
  <r>
    <x v="22"/>
    <x v="1"/>
    <n v="81700"/>
  </r>
  <r>
    <x v="22"/>
    <x v="2"/>
    <n v="6124291"/>
  </r>
  <r>
    <x v="22"/>
    <x v="3"/>
    <n v="497900395"/>
  </r>
  <r>
    <x v="22"/>
    <x v="4"/>
    <n v="117700"/>
  </r>
  <r>
    <x v="23"/>
    <x v="5"/>
    <n v="1604695"/>
  </r>
  <r>
    <x v="23"/>
    <x v="0"/>
    <n v="2815559"/>
  </r>
  <r>
    <x v="23"/>
    <x v="2"/>
    <n v="7351848"/>
  </r>
  <r>
    <x v="23"/>
    <x v="3"/>
    <n v="426291969"/>
  </r>
  <r>
    <x v="23"/>
    <x v="4"/>
    <n v="553280"/>
  </r>
  <r>
    <x v="24"/>
    <x v="5"/>
    <n v="1005980"/>
  </r>
  <r>
    <x v="24"/>
    <x v="0"/>
    <n v="1184895"/>
  </r>
  <r>
    <x v="24"/>
    <x v="2"/>
    <n v="3408057"/>
  </r>
  <r>
    <x v="24"/>
    <x v="3"/>
    <n v="276561193"/>
  </r>
  <r>
    <x v="24"/>
    <x v="4"/>
    <n v="1060200"/>
  </r>
  <r>
    <x v="25"/>
    <x v="5"/>
    <n v="885818"/>
  </r>
  <r>
    <x v="25"/>
    <x v="0"/>
    <n v="905200"/>
  </r>
  <r>
    <x v="25"/>
    <x v="2"/>
    <n v="4303331"/>
  </r>
  <r>
    <x v="25"/>
    <x v="3"/>
    <n v="245550924"/>
  </r>
  <r>
    <x v="26"/>
    <x v="5"/>
    <n v="2239182"/>
  </r>
  <r>
    <x v="26"/>
    <x v="0"/>
    <n v="726667"/>
  </r>
  <r>
    <x v="26"/>
    <x v="2"/>
    <n v="9951429"/>
  </r>
  <r>
    <x v="26"/>
    <x v="3"/>
    <n v="392553634"/>
  </r>
  <r>
    <x v="26"/>
    <x v="4"/>
    <n v="773442"/>
  </r>
  <r>
    <x v="27"/>
    <x v="5"/>
    <n v="3330336"/>
  </r>
  <r>
    <x v="27"/>
    <x v="0"/>
    <n v="1042293"/>
  </r>
  <r>
    <x v="27"/>
    <x v="1"/>
    <n v="387000"/>
  </r>
  <r>
    <x v="27"/>
    <x v="9"/>
    <n v="125400"/>
  </r>
  <r>
    <x v="27"/>
    <x v="2"/>
    <n v="7735423"/>
  </r>
  <r>
    <x v="27"/>
    <x v="3"/>
    <n v="339001707"/>
  </r>
  <r>
    <x v="27"/>
    <x v="4"/>
    <n v="12017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46">
  <r>
    <x v="0"/>
    <x v="0"/>
    <n v="2790505"/>
  </r>
  <r>
    <x v="0"/>
    <x v="1"/>
    <n v="93100"/>
  </r>
  <r>
    <x v="0"/>
    <x v="2"/>
    <n v="404190"/>
  </r>
  <r>
    <x v="0"/>
    <x v="3"/>
    <n v="75486242"/>
  </r>
  <r>
    <x v="0"/>
    <x v="4"/>
    <n v="166250"/>
  </r>
  <r>
    <x v="1"/>
    <x v="5"/>
    <n v="412520"/>
  </r>
  <r>
    <x v="1"/>
    <x v="6"/>
    <n v="271860"/>
  </r>
  <r>
    <x v="1"/>
    <x v="0"/>
    <n v="10919012"/>
  </r>
  <r>
    <x v="1"/>
    <x v="1"/>
    <n v="438653"/>
  </r>
  <r>
    <x v="1"/>
    <x v="2"/>
    <n v="3195880"/>
  </r>
  <r>
    <x v="1"/>
    <x v="3"/>
    <n v="281741387"/>
  </r>
  <r>
    <x v="1"/>
    <x v="4"/>
    <n v="1247600"/>
  </r>
  <r>
    <x v="2"/>
    <x v="3"/>
    <n v="274550"/>
  </r>
  <r>
    <x v="2"/>
    <x v="5"/>
    <n v="581184"/>
  </r>
  <r>
    <x v="2"/>
    <x v="6"/>
    <n v="141551"/>
  </r>
  <r>
    <x v="2"/>
    <x v="0"/>
    <n v="13379525"/>
  </r>
  <r>
    <x v="2"/>
    <x v="1"/>
    <n v="483850"/>
  </r>
  <r>
    <x v="2"/>
    <x v="2"/>
    <n v="7890550"/>
  </r>
  <r>
    <x v="2"/>
    <x v="3"/>
    <n v="574746871"/>
  </r>
  <r>
    <x v="2"/>
    <x v="4"/>
    <n v="1035225"/>
  </r>
  <r>
    <x v="3"/>
    <x v="5"/>
    <n v="71799"/>
  </r>
  <r>
    <x v="3"/>
    <x v="0"/>
    <n v="13141851"/>
  </r>
  <r>
    <x v="3"/>
    <x v="1"/>
    <n v="332928"/>
  </r>
  <r>
    <x v="3"/>
    <x v="2"/>
    <n v="5801516"/>
  </r>
  <r>
    <x v="3"/>
    <x v="3"/>
    <n v="494932408"/>
  </r>
  <r>
    <x v="3"/>
    <x v="4"/>
    <n v="199975"/>
  </r>
  <r>
    <x v="3"/>
    <x v="7"/>
    <n v="194750"/>
  </r>
  <r>
    <x v="4"/>
    <x v="5"/>
    <n v="164550"/>
  </r>
  <r>
    <x v="4"/>
    <x v="0"/>
    <n v="12137095"/>
  </r>
  <r>
    <x v="4"/>
    <x v="1"/>
    <n v="1188635"/>
  </r>
  <r>
    <x v="4"/>
    <x v="2"/>
    <n v="6451314"/>
  </r>
  <r>
    <x v="4"/>
    <x v="3"/>
    <n v="580889756"/>
  </r>
  <r>
    <x v="4"/>
    <x v="4"/>
    <n v="1458375"/>
  </r>
  <r>
    <x v="5"/>
    <x v="5"/>
    <n v="155248"/>
  </r>
  <r>
    <x v="5"/>
    <x v="0"/>
    <n v="13125823"/>
  </r>
  <r>
    <x v="5"/>
    <x v="1"/>
    <n v="185150"/>
  </r>
  <r>
    <x v="5"/>
    <x v="2"/>
    <n v="9340279"/>
  </r>
  <r>
    <x v="5"/>
    <x v="3"/>
    <n v="604744583"/>
  </r>
  <r>
    <x v="5"/>
    <x v="4"/>
    <n v="665000"/>
  </r>
  <r>
    <x v="6"/>
    <x v="3"/>
    <n v="123500"/>
  </r>
  <r>
    <x v="6"/>
    <x v="5"/>
    <n v="528356"/>
  </r>
  <r>
    <x v="6"/>
    <x v="6"/>
    <n v="520360"/>
  </r>
  <r>
    <x v="6"/>
    <x v="0"/>
    <n v="14036515"/>
  </r>
  <r>
    <x v="6"/>
    <x v="1"/>
    <n v="1223750"/>
  </r>
  <r>
    <x v="6"/>
    <x v="2"/>
    <n v="7588399"/>
  </r>
  <r>
    <x v="6"/>
    <x v="3"/>
    <n v="627113014"/>
  </r>
  <r>
    <x v="6"/>
    <x v="4"/>
    <n v="170000"/>
  </r>
  <r>
    <x v="7"/>
    <x v="5"/>
    <n v="1081470"/>
  </r>
  <r>
    <x v="7"/>
    <x v="6"/>
    <n v="213118"/>
  </r>
  <r>
    <x v="7"/>
    <x v="0"/>
    <n v="13537130"/>
  </r>
  <r>
    <x v="7"/>
    <x v="1"/>
    <n v="731805"/>
  </r>
  <r>
    <x v="7"/>
    <x v="2"/>
    <n v="8325253"/>
  </r>
  <r>
    <x v="7"/>
    <x v="3"/>
    <n v="643508464"/>
  </r>
  <r>
    <x v="7"/>
    <x v="4"/>
    <n v="1024700"/>
  </r>
  <r>
    <x v="8"/>
    <x v="5"/>
    <n v="1207900"/>
  </r>
  <r>
    <x v="8"/>
    <x v="6"/>
    <n v="140859"/>
  </r>
  <r>
    <x v="8"/>
    <x v="0"/>
    <n v="13499233"/>
  </r>
  <r>
    <x v="8"/>
    <x v="1"/>
    <n v="746600"/>
  </r>
  <r>
    <x v="8"/>
    <x v="2"/>
    <n v="8525786"/>
  </r>
  <r>
    <x v="8"/>
    <x v="3"/>
    <n v="703863730"/>
  </r>
  <r>
    <x v="8"/>
    <x v="8"/>
    <n v="65075"/>
  </r>
  <r>
    <x v="8"/>
    <x v="4"/>
    <n v="1032778"/>
  </r>
  <r>
    <x v="9"/>
    <x v="5"/>
    <n v="304030"/>
  </r>
  <r>
    <x v="9"/>
    <x v="0"/>
    <n v="12772861"/>
  </r>
  <r>
    <x v="9"/>
    <x v="1"/>
    <n v="238450"/>
  </r>
  <r>
    <x v="9"/>
    <x v="2"/>
    <n v="9781794"/>
  </r>
  <r>
    <x v="9"/>
    <x v="3"/>
    <n v="648772685"/>
  </r>
  <r>
    <x v="9"/>
    <x v="4"/>
    <n v="1303300"/>
  </r>
  <r>
    <x v="10"/>
    <x v="5"/>
    <n v="617870"/>
  </r>
  <r>
    <x v="10"/>
    <x v="0"/>
    <n v="6956675"/>
  </r>
  <r>
    <x v="10"/>
    <x v="9"/>
    <n v="85975"/>
  </r>
  <r>
    <x v="10"/>
    <x v="2"/>
    <n v="7095143"/>
  </r>
  <r>
    <x v="10"/>
    <x v="3"/>
    <n v="615845021"/>
  </r>
  <r>
    <x v="10"/>
    <x v="4"/>
    <n v="774436"/>
  </r>
  <r>
    <x v="11"/>
    <x v="5"/>
    <n v="514805"/>
  </r>
  <r>
    <x v="11"/>
    <x v="0"/>
    <n v="6721918"/>
  </r>
  <r>
    <x v="11"/>
    <x v="1"/>
    <n v="356295"/>
  </r>
  <r>
    <x v="11"/>
    <x v="2"/>
    <n v="8350745"/>
  </r>
  <r>
    <x v="11"/>
    <x v="3"/>
    <n v="545912538"/>
  </r>
  <r>
    <x v="11"/>
    <x v="4"/>
    <n v="638875"/>
  </r>
  <r>
    <x v="11"/>
    <x v="7"/>
    <n v="280250"/>
  </r>
  <r>
    <x v="12"/>
    <x v="5"/>
    <n v="259825"/>
  </r>
  <r>
    <x v="12"/>
    <x v="0"/>
    <n v="4956310"/>
  </r>
  <r>
    <x v="12"/>
    <x v="1"/>
    <n v="355000"/>
  </r>
  <r>
    <x v="12"/>
    <x v="2"/>
    <n v="5697375"/>
  </r>
  <r>
    <x v="12"/>
    <x v="3"/>
    <n v="378056467"/>
  </r>
  <r>
    <x v="12"/>
    <x v="4"/>
    <n v="850246"/>
  </r>
  <r>
    <x v="13"/>
    <x v="5"/>
    <n v="180500"/>
  </r>
  <r>
    <x v="13"/>
    <x v="0"/>
    <n v="2455482"/>
  </r>
  <r>
    <x v="13"/>
    <x v="2"/>
    <n v="4730894"/>
  </r>
  <r>
    <x v="13"/>
    <x v="10"/>
    <n v="106400"/>
  </r>
  <r>
    <x v="13"/>
    <x v="3"/>
    <n v="366605210"/>
  </r>
  <r>
    <x v="13"/>
    <x v="4"/>
    <n v="653061"/>
  </r>
  <r>
    <x v="14"/>
    <x v="3"/>
    <n v="186200"/>
  </r>
  <r>
    <x v="14"/>
    <x v="5"/>
    <n v="912072"/>
  </r>
  <r>
    <x v="14"/>
    <x v="0"/>
    <n v="4464453"/>
  </r>
  <r>
    <x v="14"/>
    <x v="2"/>
    <n v="5750135"/>
  </r>
  <r>
    <x v="14"/>
    <x v="3"/>
    <n v="490612456"/>
  </r>
  <r>
    <x v="14"/>
    <x v="4"/>
    <n v="703475"/>
  </r>
  <r>
    <x v="15"/>
    <x v="5"/>
    <n v="289750"/>
  </r>
  <r>
    <x v="15"/>
    <x v="0"/>
    <n v="3447040"/>
  </r>
  <r>
    <x v="15"/>
    <x v="2"/>
    <n v="6049411"/>
  </r>
  <r>
    <x v="15"/>
    <x v="3"/>
    <n v="457613363"/>
  </r>
  <r>
    <x v="15"/>
    <x v="4"/>
    <n v="756408"/>
  </r>
  <r>
    <x v="16"/>
    <x v="0"/>
    <n v="90000"/>
  </r>
  <r>
    <x v="16"/>
    <x v="5"/>
    <n v="894350"/>
  </r>
  <r>
    <x v="16"/>
    <x v="0"/>
    <n v="3299025"/>
  </r>
  <r>
    <x v="16"/>
    <x v="1"/>
    <n v="248160"/>
  </r>
  <r>
    <x v="16"/>
    <x v="9"/>
    <n v="375725"/>
  </r>
  <r>
    <x v="16"/>
    <x v="2"/>
    <n v="6293998"/>
  </r>
  <r>
    <x v="16"/>
    <x v="3"/>
    <n v="487202509"/>
  </r>
  <r>
    <x v="16"/>
    <x v="4"/>
    <n v="797382"/>
  </r>
  <r>
    <x v="17"/>
    <x v="5"/>
    <n v="1559812"/>
  </r>
  <r>
    <x v="17"/>
    <x v="0"/>
    <n v="3650000"/>
  </r>
  <r>
    <x v="17"/>
    <x v="1"/>
    <n v="256450"/>
  </r>
  <r>
    <x v="17"/>
    <x v="2"/>
    <n v="7292689"/>
  </r>
  <r>
    <x v="17"/>
    <x v="3"/>
    <n v="560187979"/>
  </r>
  <r>
    <x v="17"/>
    <x v="4"/>
    <n v="268850"/>
  </r>
  <r>
    <x v="18"/>
    <x v="5"/>
    <n v="1873926"/>
  </r>
  <r>
    <x v="18"/>
    <x v="0"/>
    <n v="4086648"/>
  </r>
  <r>
    <x v="18"/>
    <x v="1"/>
    <n v="501600"/>
  </r>
  <r>
    <x v="18"/>
    <x v="2"/>
    <n v="9002773"/>
  </r>
  <r>
    <x v="18"/>
    <x v="3"/>
    <n v="639498453"/>
  </r>
  <r>
    <x v="18"/>
    <x v="4"/>
    <n v="71250"/>
  </r>
  <r>
    <x v="19"/>
    <x v="3"/>
    <n v="94050"/>
  </r>
  <r>
    <x v="19"/>
    <x v="5"/>
    <n v="857737"/>
  </r>
  <r>
    <x v="19"/>
    <x v="0"/>
    <n v="4697700"/>
  </r>
  <r>
    <x v="19"/>
    <x v="1"/>
    <n v="309700"/>
  </r>
  <r>
    <x v="19"/>
    <x v="2"/>
    <n v="8514380"/>
  </r>
  <r>
    <x v="19"/>
    <x v="3"/>
    <n v="655791772"/>
  </r>
  <r>
    <x v="19"/>
    <x v="4"/>
    <n v="404842"/>
  </r>
  <r>
    <x v="20"/>
    <x v="5"/>
    <n v="2097982"/>
  </r>
  <r>
    <x v="20"/>
    <x v="6"/>
    <n v="140808"/>
  </r>
  <r>
    <x v="20"/>
    <x v="0"/>
    <n v="3763455"/>
  </r>
  <r>
    <x v="20"/>
    <x v="1"/>
    <n v="527152"/>
  </r>
  <r>
    <x v="20"/>
    <x v="2"/>
    <n v="10445940"/>
  </r>
  <r>
    <x v="20"/>
    <x v="3"/>
    <n v="688636061"/>
  </r>
  <r>
    <x v="20"/>
    <x v="11"/>
    <n v="74575"/>
  </r>
  <r>
    <x v="20"/>
    <x v="4"/>
    <n v="1011741"/>
  </r>
  <r>
    <x v="21"/>
    <x v="5"/>
    <n v="1037605"/>
  </r>
  <r>
    <x v="21"/>
    <x v="0"/>
    <n v="2986390"/>
  </r>
  <r>
    <x v="21"/>
    <x v="2"/>
    <n v="7479309"/>
  </r>
  <r>
    <x v="21"/>
    <x v="3"/>
    <n v="577991060"/>
  </r>
  <r>
    <x v="21"/>
    <x v="4"/>
    <n v="260984"/>
  </r>
  <r>
    <x v="22"/>
    <x v="5"/>
    <n v="1831585"/>
  </r>
  <r>
    <x v="22"/>
    <x v="0"/>
    <n v="2287540"/>
  </r>
  <r>
    <x v="22"/>
    <x v="1"/>
    <n v="81700"/>
  </r>
  <r>
    <x v="22"/>
    <x v="2"/>
    <n v="6124291"/>
  </r>
  <r>
    <x v="22"/>
    <x v="3"/>
    <n v="497900395"/>
  </r>
  <r>
    <x v="22"/>
    <x v="4"/>
    <n v="117700"/>
  </r>
  <r>
    <x v="23"/>
    <x v="5"/>
    <n v="1604695"/>
  </r>
  <r>
    <x v="23"/>
    <x v="0"/>
    <n v="2815559"/>
  </r>
  <r>
    <x v="23"/>
    <x v="2"/>
    <n v="7351848"/>
  </r>
  <r>
    <x v="23"/>
    <x v="3"/>
    <n v="426291969"/>
  </r>
  <r>
    <x v="23"/>
    <x v="4"/>
    <n v="553280"/>
  </r>
  <r>
    <x v="24"/>
    <x v="5"/>
    <n v="1005980"/>
  </r>
  <r>
    <x v="24"/>
    <x v="0"/>
    <n v="1184895"/>
  </r>
  <r>
    <x v="24"/>
    <x v="2"/>
    <n v="3408057"/>
  </r>
  <r>
    <x v="24"/>
    <x v="3"/>
    <n v="276561193"/>
  </r>
  <r>
    <x v="24"/>
    <x v="4"/>
    <n v="1060200"/>
  </r>
  <r>
    <x v="25"/>
    <x v="5"/>
    <n v="885818"/>
  </r>
  <r>
    <x v="25"/>
    <x v="0"/>
    <n v="905200"/>
  </r>
  <r>
    <x v="25"/>
    <x v="2"/>
    <n v="4303331"/>
  </r>
  <r>
    <x v="25"/>
    <x v="3"/>
    <n v="245550924"/>
  </r>
  <r>
    <x v="26"/>
    <x v="5"/>
    <n v="2239182"/>
  </r>
  <r>
    <x v="26"/>
    <x v="0"/>
    <n v="726667"/>
  </r>
  <r>
    <x v="26"/>
    <x v="2"/>
    <n v="9951429"/>
  </r>
  <r>
    <x v="26"/>
    <x v="3"/>
    <n v="392553634"/>
  </r>
  <r>
    <x v="26"/>
    <x v="4"/>
    <n v="773442"/>
  </r>
  <r>
    <x v="27"/>
    <x v="5"/>
    <n v="3330336"/>
  </r>
  <r>
    <x v="27"/>
    <x v="0"/>
    <n v="1042293"/>
  </r>
  <r>
    <x v="27"/>
    <x v="1"/>
    <n v="387000"/>
  </r>
  <r>
    <x v="27"/>
    <x v="9"/>
    <n v="125400"/>
  </r>
  <r>
    <x v="27"/>
    <x v="2"/>
    <n v="7735423"/>
  </r>
  <r>
    <x v="27"/>
    <x v="3"/>
    <n v="339001707"/>
  </r>
  <r>
    <x v="27"/>
    <x v="4"/>
    <n v="120175"/>
  </r>
  <r>
    <x v="28"/>
    <x v="5"/>
    <n v="2673854"/>
  </r>
  <r>
    <x v="28"/>
    <x v="0"/>
    <n v="672655"/>
  </r>
  <r>
    <x v="28"/>
    <x v="2"/>
    <n v="6969204"/>
  </r>
  <r>
    <x v="28"/>
    <x v="3"/>
    <n v="327201228"/>
  </r>
  <r>
    <x v="28"/>
    <x v="4"/>
    <n v="338255"/>
  </r>
  <r>
    <x v="29"/>
    <x v="5"/>
    <n v="2407575"/>
  </r>
  <r>
    <x v="29"/>
    <x v="0"/>
    <n v="442700"/>
  </r>
  <r>
    <x v="29"/>
    <x v="1"/>
    <n v="270750"/>
  </r>
  <r>
    <x v="29"/>
    <x v="2"/>
    <n v="7219783"/>
  </r>
  <r>
    <x v="29"/>
    <x v="3"/>
    <n v="296324245"/>
  </r>
  <r>
    <x v="29"/>
    <x v="4"/>
    <n v="885400"/>
  </r>
  <r>
    <x v="30"/>
    <x v="5"/>
    <n v="3198367"/>
  </r>
  <r>
    <x v="30"/>
    <x v="0"/>
    <n v="557960"/>
  </r>
  <r>
    <x v="30"/>
    <x v="1"/>
    <n v="205912"/>
  </r>
  <r>
    <x v="30"/>
    <x v="2"/>
    <n v="10645146"/>
  </r>
  <r>
    <x v="30"/>
    <x v="3"/>
    <n v="327519813"/>
  </r>
  <r>
    <x v="30"/>
    <x v="4"/>
    <n v="280250"/>
  </r>
  <r>
    <x v="31"/>
    <x v="5"/>
    <n v="3206230"/>
  </r>
  <r>
    <x v="31"/>
    <x v="0"/>
    <n v="185195"/>
  </r>
  <r>
    <x v="31"/>
    <x v="1"/>
    <n v="160550"/>
  </r>
  <r>
    <x v="31"/>
    <x v="2"/>
    <n v="11719865"/>
  </r>
  <r>
    <x v="31"/>
    <x v="3"/>
    <n v="356682019"/>
  </r>
  <r>
    <x v="32"/>
    <x v="5"/>
    <n v="3641601"/>
  </r>
  <r>
    <x v="32"/>
    <x v="12"/>
    <n v="169575"/>
  </r>
  <r>
    <x v="32"/>
    <x v="2"/>
    <n v="12114340"/>
  </r>
  <r>
    <x v="32"/>
    <x v="3"/>
    <n v="352835397"/>
  </r>
  <r>
    <x v="32"/>
    <x v="4"/>
    <n v="251750"/>
  </r>
  <r>
    <x v="33"/>
    <x v="5"/>
    <n v="4728244"/>
  </r>
  <r>
    <x v="33"/>
    <x v="0"/>
    <n v="162900"/>
  </r>
  <r>
    <x v="33"/>
    <x v="2"/>
    <n v="8214662"/>
  </r>
  <r>
    <x v="33"/>
    <x v="3"/>
    <n v="373277377"/>
  </r>
  <r>
    <x v="33"/>
    <x v="4"/>
    <n v="252320"/>
  </r>
  <r>
    <x v="34"/>
    <x v="5"/>
    <n v="4013039"/>
  </r>
  <r>
    <x v="34"/>
    <x v="0"/>
    <n v="29450"/>
  </r>
  <r>
    <x v="34"/>
    <x v="2"/>
    <n v="7377236"/>
  </r>
  <r>
    <x v="34"/>
    <x v="3"/>
    <n v="273795897"/>
  </r>
  <r>
    <x v="34"/>
    <x v="4"/>
    <n v="429300"/>
  </r>
  <r>
    <x v="35"/>
    <x v="5"/>
    <n v="3899075"/>
  </r>
  <r>
    <x v="35"/>
    <x v="0"/>
    <n v="156750"/>
  </r>
  <r>
    <x v="35"/>
    <x v="1"/>
    <n v="82650"/>
  </r>
  <r>
    <x v="35"/>
    <x v="2"/>
    <n v="6429370"/>
  </r>
  <r>
    <x v="35"/>
    <x v="3"/>
    <n v="242055637"/>
  </r>
  <r>
    <x v="35"/>
    <x v="4"/>
    <n v="288800"/>
  </r>
  <r>
    <x v="35"/>
    <x v="7"/>
    <n v="93100"/>
  </r>
  <r>
    <x v="36"/>
    <x v="5"/>
    <n v="3016000"/>
  </r>
  <r>
    <x v="36"/>
    <x v="2"/>
    <n v="2219037"/>
  </r>
  <r>
    <x v="36"/>
    <x v="3"/>
    <n v="214257756"/>
  </r>
  <r>
    <x v="36"/>
    <x v="4"/>
    <n v="461700"/>
  </r>
  <r>
    <x v="37"/>
    <x v="5"/>
    <n v="2260100"/>
  </r>
  <r>
    <x v="37"/>
    <x v="2"/>
    <n v="2215253"/>
  </r>
  <r>
    <x v="37"/>
    <x v="3"/>
    <n v="189281646"/>
  </r>
  <r>
    <x v="37"/>
    <x v="4"/>
    <n v="884090"/>
  </r>
  <r>
    <x v="38"/>
    <x v="5"/>
    <n v="2315132"/>
  </r>
  <r>
    <x v="38"/>
    <x v="0"/>
    <n v="133950"/>
  </r>
  <r>
    <x v="38"/>
    <x v="2"/>
    <n v="2816700"/>
  </r>
  <r>
    <x v="38"/>
    <x v="3"/>
    <n v="213965687"/>
  </r>
  <r>
    <x v="38"/>
    <x v="4"/>
    <n v="432954"/>
  </r>
  <r>
    <x v="38"/>
    <x v="7"/>
    <n v="167675"/>
  </r>
  <r>
    <x v="39"/>
    <x v="5"/>
    <n v="2174253"/>
  </r>
  <r>
    <x v="39"/>
    <x v="6"/>
    <n v="155830"/>
  </r>
  <r>
    <x v="39"/>
    <x v="0"/>
    <n v="89750"/>
  </r>
  <r>
    <x v="39"/>
    <x v="1"/>
    <n v="135850"/>
  </r>
  <r>
    <x v="39"/>
    <x v="2"/>
    <n v="3868715"/>
  </r>
  <r>
    <x v="39"/>
    <x v="3"/>
    <n v="188337902"/>
  </r>
  <r>
    <x v="39"/>
    <x v="4"/>
    <n v="723528"/>
  </r>
  <r>
    <x v="40"/>
    <x v="5"/>
    <n v="1652151"/>
  </r>
  <r>
    <x v="40"/>
    <x v="1"/>
    <n v="208952"/>
  </r>
  <r>
    <x v="40"/>
    <x v="2"/>
    <n v="4630467"/>
  </r>
  <r>
    <x v="40"/>
    <x v="3"/>
    <n v="222005034"/>
  </r>
  <r>
    <x v="40"/>
    <x v="4"/>
    <n v="206150"/>
  </r>
  <r>
    <x v="40"/>
    <x v="7"/>
    <n v="250800"/>
  </r>
  <r>
    <x v="41"/>
    <x v="5"/>
    <n v="4117610"/>
  </r>
  <r>
    <x v="41"/>
    <x v="0"/>
    <n v="465200"/>
  </r>
  <r>
    <x v="41"/>
    <x v="1"/>
    <n v="213750"/>
  </r>
  <r>
    <x v="41"/>
    <x v="9"/>
    <n v="228000"/>
  </r>
  <r>
    <x v="41"/>
    <x v="2"/>
    <n v="6485689"/>
  </r>
  <r>
    <x v="41"/>
    <x v="3"/>
    <n v="229842264"/>
  </r>
  <r>
    <x v="41"/>
    <x v="4"/>
    <n v="617500"/>
  </r>
  <r>
    <x v="42"/>
    <x v="5"/>
    <n v="1931997"/>
  </r>
  <r>
    <x v="42"/>
    <x v="0"/>
    <n v="319010"/>
  </r>
  <r>
    <x v="42"/>
    <x v="2"/>
    <n v="5907360"/>
  </r>
  <r>
    <x v="42"/>
    <x v="3"/>
    <n v="225399111"/>
  </r>
  <r>
    <x v="42"/>
    <x v="4"/>
    <n v="420050"/>
  </r>
  <r>
    <x v="43"/>
    <x v="5"/>
    <n v="1845297"/>
  </r>
  <r>
    <x v="43"/>
    <x v="0"/>
    <n v="237500"/>
  </r>
  <r>
    <x v="43"/>
    <x v="2"/>
    <n v="4522088"/>
  </r>
  <r>
    <x v="43"/>
    <x v="3"/>
    <n v="245728895"/>
  </r>
  <r>
    <x v="43"/>
    <x v="4"/>
    <n v="229425"/>
  </r>
  <r>
    <x v="44"/>
    <x v="5"/>
    <n v="3220974"/>
  </r>
  <r>
    <x v="44"/>
    <x v="0"/>
    <n v="144850"/>
  </r>
  <r>
    <x v="44"/>
    <x v="1"/>
    <n v="161500"/>
  </r>
  <r>
    <x v="44"/>
    <x v="2"/>
    <n v="3458249"/>
  </r>
  <r>
    <x v="44"/>
    <x v="3"/>
    <n v="222204492"/>
  </r>
  <r>
    <x v="44"/>
    <x v="4"/>
    <n v="390177"/>
  </r>
  <r>
    <x v="45"/>
    <x v="5"/>
    <n v="1470292"/>
  </r>
  <r>
    <x v="45"/>
    <x v="0"/>
    <n v="235600"/>
  </r>
  <r>
    <x v="45"/>
    <x v="2"/>
    <n v="2493233"/>
  </r>
  <r>
    <x v="45"/>
    <x v="3"/>
    <n v="147081587"/>
  </r>
  <r>
    <x v="45"/>
    <x v="4"/>
    <n v="280250"/>
  </r>
  <r>
    <x v="46"/>
    <x v="13"/>
    <n v="354350"/>
  </r>
  <r>
    <x v="46"/>
    <x v="5"/>
    <n v="1349181"/>
  </r>
  <r>
    <x v="46"/>
    <x v="0"/>
    <n v="250300"/>
  </r>
  <r>
    <x v="46"/>
    <x v="1"/>
    <n v="244250"/>
  </r>
  <r>
    <x v="46"/>
    <x v="2"/>
    <n v="1984927"/>
  </r>
  <r>
    <x v="46"/>
    <x v="3"/>
    <n v="108526650"/>
  </r>
  <r>
    <x v="46"/>
    <x v="4"/>
    <n v="704235"/>
  </r>
  <r>
    <x v="47"/>
    <x v="5"/>
    <n v="534350"/>
  </r>
  <r>
    <x v="47"/>
    <x v="2"/>
    <n v="2684042"/>
  </r>
  <r>
    <x v="47"/>
    <x v="3"/>
    <n v="74445551"/>
  </r>
  <r>
    <x v="47"/>
    <x v="4"/>
    <n v="90250"/>
  </r>
  <r>
    <x v="48"/>
    <x v="3"/>
    <n v="34200"/>
  </r>
  <r>
    <x v="49"/>
    <x v="5"/>
    <n v="337800"/>
  </r>
  <r>
    <x v="49"/>
    <x v="2"/>
    <n v="1114478"/>
  </r>
  <r>
    <x v="49"/>
    <x v="3"/>
    <n v="54424866"/>
  </r>
  <r>
    <x v="50"/>
    <x v="5"/>
    <n v="208900"/>
  </r>
  <r>
    <x v="50"/>
    <x v="0"/>
    <n v="506825"/>
  </r>
  <r>
    <x v="50"/>
    <x v="2"/>
    <n v="1240746"/>
  </r>
  <r>
    <x v="50"/>
    <x v="3"/>
    <n v="52537591"/>
  </r>
  <r>
    <x v="50"/>
    <x v="4"/>
    <n v="80750"/>
  </r>
  <r>
    <x v="51"/>
    <x v="5"/>
    <n v="602500"/>
  </r>
  <r>
    <x v="51"/>
    <x v="0"/>
    <n v="245100"/>
  </r>
  <r>
    <x v="51"/>
    <x v="2"/>
    <n v="3362265"/>
  </r>
  <r>
    <x v="51"/>
    <x v="3"/>
    <n v="87333600"/>
  </r>
  <r>
    <x v="51"/>
    <x v="4"/>
    <n v="346750"/>
  </r>
  <r>
    <x v="52"/>
    <x v="5"/>
    <n v="773610"/>
  </r>
  <r>
    <x v="52"/>
    <x v="0"/>
    <n v="127319"/>
  </r>
  <r>
    <x v="52"/>
    <x v="1"/>
    <n v="299250"/>
  </r>
  <r>
    <x v="52"/>
    <x v="2"/>
    <n v="3255856"/>
  </r>
  <r>
    <x v="52"/>
    <x v="3"/>
    <n v="79549186"/>
  </r>
  <r>
    <x v="53"/>
    <x v="5"/>
    <n v="674500"/>
  </r>
  <r>
    <x v="53"/>
    <x v="0"/>
    <n v="117325"/>
  </r>
  <r>
    <x v="53"/>
    <x v="2"/>
    <n v="1680937"/>
  </r>
  <r>
    <x v="53"/>
    <x v="3"/>
    <n v="74881747"/>
  </r>
  <r>
    <x v="54"/>
    <x v="5"/>
    <n v="506646"/>
  </r>
  <r>
    <x v="54"/>
    <x v="0"/>
    <n v="558184"/>
  </r>
  <r>
    <x v="54"/>
    <x v="2"/>
    <n v="3749885"/>
  </r>
  <r>
    <x v="54"/>
    <x v="3"/>
    <n v="94816560"/>
  </r>
  <r>
    <x v="54"/>
    <x v="4"/>
    <n v="209475"/>
  </r>
  <r>
    <x v="55"/>
    <x v="5"/>
    <n v="386587"/>
  </r>
  <r>
    <x v="55"/>
    <x v="6"/>
    <n v="186950"/>
  </r>
  <r>
    <x v="55"/>
    <x v="0"/>
    <n v="665725"/>
  </r>
  <r>
    <x v="55"/>
    <x v="2"/>
    <n v="2345291"/>
  </r>
  <r>
    <x v="55"/>
    <x v="3"/>
    <n v="120150400"/>
  </r>
  <r>
    <x v="55"/>
    <x v="4"/>
    <n v="132525"/>
  </r>
  <r>
    <x v="56"/>
    <x v="5"/>
    <n v="529000"/>
  </r>
  <r>
    <x v="56"/>
    <x v="0"/>
    <n v="231055"/>
  </r>
  <r>
    <x v="56"/>
    <x v="2"/>
    <n v="3570700"/>
  </r>
  <r>
    <x v="56"/>
    <x v="3"/>
    <n v="119299148"/>
  </r>
  <r>
    <x v="56"/>
    <x v="4"/>
    <n v="44650"/>
  </r>
  <r>
    <x v="57"/>
    <x v="5"/>
    <n v="63730"/>
  </r>
  <r>
    <x v="57"/>
    <x v="0"/>
    <n v="71250"/>
  </r>
  <r>
    <x v="57"/>
    <x v="1"/>
    <n v="343900"/>
  </r>
  <r>
    <x v="57"/>
    <x v="2"/>
    <n v="3754899"/>
  </r>
  <r>
    <x v="57"/>
    <x v="3"/>
    <n v="132953640"/>
  </r>
  <r>
    <x v="57"/>
    <x v="4"/>
    <n v="175400"/>
  </r>
  <r>
    <x v="58"/>
    <x v="5"/>
    <n v="436575"/>
  </r>
  <r>
    <x v="58"/>
    <x v="2"/>
    <n v="3929662"/>
  </r>
  <r>
    <x v="58"/>
    <x v="3"/>
    <n v="93926715"/>
  </r>
  <r>
    <x v="58"/>
    <x v="4"/>
    <n v="394700"/>
  </r>
  <r>
    <x v="59"/>
    <x v="5"/>
    <n v="147755"/>
  </r>
  <r>
    <x v="59"/>
    <x v="0"/>
    <n v="100700"/>
  </r>
  <r>
    <x v="59"/>
    <x v="2"/>
    <n v="1415727"/>
  </r>
  <r>
    <x v="59"/>
    <x v="3"/>
    <n v="64105765"/>
  </r>
  <r>
    <x v="60"/>
    <x v="5"/>
    <n v="359373"/>
  </r>
  <r>
    <x v="60"/>
    <x v="0"/>
    <n v="109250"/>
  </r>
  <r>
    <x v="60"/>
    <x v="2"/>
    <n v="1532536"/>
  </r>
  <r>
    <x v="60"/>
    <x v="3"/>
    <n v="54189086"/>
  </r>
  <r>
    <x v="60"/>
    <x v="4"/>
    <n v="215175"/>
  </r>
  <r>
    <x v="61"/>
    <x v="5"/>
    <n v="305500"/>
  </r>
  <r>
    <x v="61"/>
    <x v="2"/>
    <n v="1288927"/>
  </r>
  <r>
    <x v="61"/>
    <x v="3"/>
    <n v="32315734"/>
  </r>
  <r>
    <x v="61"/>
    <x v="4"/>
    <n v="209000"/>
  </r>
  <r>
    <x v="62"/>
    <x v="5"/>
    <n v="625910"/>
  </r>
  <r>
    <x v="62"/>
    <x v="0"/>
    <n v="71250"/>
  </r>
  <r>
    <x v="62"/>
    <x v="2"/>
    <n v="1395644"/>
  </r>
  <r>
    <x v="62"/>
    <x v="3"/>
    <n v="43882564"/>
  </r>
  <r>
    <x v="63"/>
    <x v="13"/>
    <n v="320000"/>
  </r>
  <r>
    <x v="63"/>
    <x v="0"/>
    <n v="308750"/>
  </r>
  <r>
    <x v="63"/>
    <x v="2"/>
    <n v="2140692"/>
  </r>
  <r>
    <x v="63"/>
    <x v="3"/>
    <n v="77701045"/>
  </r>
  <r>
    <x v="63"/>
    <x v="4"/>
    <n v="190000"/>
  </r>
  <r>
    <x v="64"/>
    <x v="5"/>
    <n v="515200"/>
  </r>
  <r>
    <x v="64"/>
    <x v="0"/>
    <n v="87400"/>
  </r>
  <r>
    <x v="64"/>
    <x v="2"/>
    <n v="1446048"/>
  </r>
  <r>
    <x v="64"/>
    <x v="3"/>
    <n v="61245778"/>
  </r>
  <r>
    <x v="64"/>
    <x v="4"/>
    <n v="76000"/>
  </r>
  <r>
    <x v="65"/>
    <x v="0"/>
    <n v="150275"/>
  </r>
  <r>
    <x v="65"/>
    <x v="2"/>
    <n v="1351643"/>
  </r>
  <r>
    <x v="65"/>
    <x v="3"/>
    <n v="51783270"/>
  </r>
  <r>
    <x v="65"/>
    <x v="4"/>
    <n v="599153"/>
  </r>
  <r>
    <x v="66"/>
    <x v="0"/>
    <n v="335635"/>
  </r>
  <r>
    <x v="66"/>
    <x v="2"/>
    <n v="880263"/>
  </r>
  <r>
    <x v="66"/>
    <x v="3"/>
    <n v="61042333"/>
  </r>
  <r>
    <x v="67"/>
    <x v="3"/>
    <n v="156750"/>
  </r>
  <r>
    <x v="68"/>
    <x v="5"/>
    <n v="596600"/>
  </r>
  <r>
    <x v="68"/>
    <x v="0"/>
    <n v="97850"/>
  </r>
  <r>
    <x v="68"/>
    <x v="2"/>
    <n v="2152450"/>
  </r>
  <r>
    <x v="68"/>
    <x v="3"/>
    <n v="69698035"/>
  </r>
  <r>
    <x v="68"/>
    <x v="4"/>
    <n v="159600"/>
  </r>
  <r>
    <x v="69"/>
    <x v="3"/>
    <n v="228000"/>
  </r>
  <r>
    <x v="70"/>
    <x v="5"/>
    <n v="96188"/>
  </r>
  <r>
    <x v="70"/>
    <x v="1"/>
    <n v="225150"/>
  </r>
  <r>
    <x v="70"/>
    <x v="2"/>
    <n v="1715913"/>
  </r>
  <r>
    <x v="70"/>
    <x v="3"/>
    <n v="79352424"/>
  </r>
  <r>
    <x v="70"/>
    <x v="4"/>
    <n v="187255"/>
  </r>
  <r>
    <x v="71"/>
    <x v="5"/>
    <n v="1248829"/>
  </r>
  <r>
    <x v="71"/>
    <x v="0"/>
    <n v="526650"/>
  </r>
  <r>
    <x v="71"/>
    <x v="2"/>
    <n v="3569320"/>
  </r>
  <r>
    <x v="71"/>
    <x v="3"/>
    <n v="107522470"/>
  </r>
  <r>
    <x v="71"/>
    <x v="4"/>
    <n v="415815"/>
  </r>
  <r>
    <x v="72"/>
    <x v="5"/>
    <n v="1208385"/>
  </r>
  <r>
    <x v="72"/>
    <x v="0"/>
    <n v="519650"/>
  </r>
  <r>
    <x v="72"/>
    <x v="1"/>
    <n v="97850"/>
  </r>
  <r>
    <x v="72"/>
    <x v="2"/>
    <n v="2344884"/>
  </r>
  <r>
    <x v="72"/>
    <x v="3"/>
    <n v="81278392"/>
  </r>
  <r>
    <x v="73"/>
    <x v="3"/>
    <n v="59850"/>
  </r>
  <r>
    <x v="74"/>
    <x v="5"/>
    <n v="1070425"/>
  </r>
  <r>
    <x v="74"/>
    <x v="0"/>
    <n v="171020"/>
  </r>
  <r>
    <x v="74"/>
    <x v="2"/>
    <n v="1438603"/>
  </r>
  <r>
    <x v="74"/>
    <x v="3"/>
    <n v="74071224"/>
  </r>
  <r>
    <x v="74"/>
    <x v="4"/>
    <n v="331550"/>
  </r>
  <r>
    <x v="75"/>
    <x v="5"/>
    <n v="37000"/>
  </r>
  <r>
    <x v="76"/>
    <x v="5"/>
    <n v="1246820"/>
  </r>
  <r>
    <x v="76"/>
    <x v="0"/>
    <n v="370500"/>
  </r>
  <r>
    <x v="76"/>
    <x v="1"/>
    <n v="70250"/>
  </r>
  <r>
    <x v="76"/>
    <x v="2"/>
    <n v="2717845"/>
  </r>
  <r>
    <x v="76"/>
    <x v="3"/>
    <n v="62420247"/>
  </r>
  <r>
    <x v="76"/>
    <x v="4"/>
    <n v="147250"/>
  </r>
  <r>
    <x v="77"/>
    <x v="5"/>
    <n v="1034630"/>
  </r>
  <r>
    <x v="77"/>
    <x v="0"/>
    <n v="290875"/>
  </r>
  <r>
    <x v="77"/>
    <x v="2"/>
    <n v="1478657"/>
  </r>
  <r>
    <x v="77"/>
    <x v="3"/>
    <n v="49011366"/>
  </r>
  <r>
    <x v="77"/>
    <x v="4"/>
    <n v="474050"/>
  </r>
  <r>
    <x v="78"/>
    <x v="5"/>
    <n v="350040"/>
  </r>
  <r>
    <x v="78"/>
    <x v="2"/>
    <n v="3926105"/>
  </r>
  <r>
    <x v="78"/>
    <x v="3"/>
    <n v="34639614"/>
  </r>
  <r>
    <x v="79"/>
    <x v="5"/>
    <n v="2207160"/>
  </r>
  <r>
    <x v="79"/>
    <x v="0"/>
    <n v="239000"/>
  </r>
  <r>
    <x v="79"/>
    <x v="14"/>
    <n v="245654"/>
  </r>
  <r>
    <x v="79"/>
    <x v="9"/>
    <n v="166229"/>
  </r>
  <r>
    <x v="79"/>
    <x v="2"/>
    <n v="11262027"/>
  </r>
  <r>
    <x v="79"/>
    <x v="3"/>
    <n v="45217709"/>
  </r>
  <r>
    <x v="79"/>
    <x v="4"/>
    <n v="648815"/>
  </r>
  <r>
    <x v="80"/>
    <x v="5"/>
    <n v="4610844"/>
  </r>
  <r>
    <x v="80"/>
    <x v="0"/>
    <n v="65550"/>
  </r>
  <r>
    <x v="80"/>
    <x v="2"/>
    <n v="20838740"/>
  </r>
  <r>
    <x v="80"/>
    <x v="3"/>
    <n v="53789263"/>
  </r>
  <r>
    <x v="80"/>
    <x v="4"/>
    <n v="488796"/>
  </r>
  <r>
    <x v="81"/>
    <x v="13"/>
    <n v="63000"/>
  </r>
  <r>
    <x v="81"/>
    <x v="5"/>
    <n v="2419938"/>
  </r>
  <r>
    <x v="81"/>
    <x v="0"/>
    <n v="120650"/>
  </r>
  <r>
    <x v="81"/>
    <x v="14"/>
    <n v="746858"/>
  </r>
  <r>
    <x v="81"/>
    <x v="1"/>
    <n v="223155"/>
  </r>
  <r>
    <x v="81"/>
    <x v="2"/>
    <n v="22803216"/>
  </r>
  <r>
    <x v="81"/>
    <x v="3"/>
    <n v="56390606"/>
  </r>
  <r>
    <x v="81"/>
    <x v="4"/>
    <n v="337513"/>
  </r>
  <r>
    <x v="82"/>
    <x v="5"/>
    <n v="3327327"/>
  </r>
  <r>
    <x v="82"/>
    <x v="0"/>
    <n v="476900"/>
  </r>
  <r>
    <x v="82"/>
    <x v="14"/>
    <n v="886670"/>
  </r>
  <r>
    <x v="82"/>
    <x v="1"/>
    <n v="145000"/>
  </r>
  <r>
    <x v="82"/>
    <x v="2"/>
    <n v="21221072"/>
  </r>
  <r>
    <x v="82"/>
    <x v="3"/>
    <n v="50307056"/>
  </r>
  <r>
    <x v="83"/>
    <x v="5"/>
    <n v="1283832"/>
  </r>
  <r>
    <x v="83"/>
    <x v="0"/>
    <n v="351500"/>
  </r>
  <r>
    <x v="83"/>
    <x v="1"/>
    <n v="174800"/>
  </r>
  <r>
    <x v="83"/>
    <x v="2"/>
    <n v="24090697"/>
  </r>
  <r>
    <x v="83"/>
    <x v="3"/>
    <n v="61451031"/>
  </r>
  <r>
    <x v="83"/>
    <x v="4"/>
    <n v="967250"/>
  </r>
  <r>
    <x v="84"/>
    <x v="3"/>
    <n v="232655"/>
  </r>
  <r>
    <x v="85"/>
    <x v="3"/>
    <n v="339625"/>
  </r>
  <r>
    <x v="86"/>
    <x v="5"/>
    <n v="3777783"/>
  </r>
  <r>
    <x v="86"/>
    <x v="0"/>
    <n v="851540"/>
  </r>
  <r>
    <x v="86"/>
    <x v="14"/>
    <n v="1390297"/>
  </r>
  <r>
    <x v="86"/>
    <x v="2"/>
    <n v="29171868"/>
  </r>
  <r>
    <x v="86"/>
    <x v="3"/>
    <n v="61004144"/>
  </r>
  <r>
    <x v="86"/>
    <x v="4"/>
    <n v="800850"/>
  </r>
  <r>
    <x v="87"/>
    <x v="5"/>
    <n v="2105740"/>
  </r>
  <r>
    <x v="87"/>
    <x v="0"/>
    <n v="383380"/>
  </r>
  <r>
    <x v="87"/>
    <x v="14"/>
    <n v="606453"/>
  </r>
  <r>
    <x v="87"/>
    <x v="1"/>
    <n v="305425"/>
  </r>
  <r>
    <x v="87"/>
    <x v="2"/>
    <n v="27439570"/>
  </r>
  <r>
    <x v="87"/>
    <x v="3"/>
    <n v="71843480"/>
  </r>
  <r>
    <x v="87"/>
    <x v="4"/>
    <n v="487150"/>
  </r>
  <r>
    <x v="88"/>
    <x v="3"/>
    <n v="304000"/>
  </r>
  <r>
    <x v="89"/>
    <x v="5"/>
    <n v="63700"/>
  </r>
  <r>
    <x v="90"/>
    <x v="5"/>
    <n v="2136165"/>
  </r>
  <r>
    <x v="90"/>
    <x v="0"/>
    <n v="281380"/>
  </r>
  <r>
    <x v="90"/>
    <x v="1"/>
    <n v="170900"/>
  </r>
  <r>
    <x v="90"/>
    <x v="2"/>
    <n v="18764025"/>
  </r>
  <r>
    <x v="90"/>
    <x v="3"/>
    <n v="61210583"/>
  </r>
  <r>
    <x v="90"/>
    <x v="4"/>
    <n v="506825"/>
  </r>
  <r>
    <x v="91"/>
    <x v="13"/>
    <n v="172900"/>
  </r>
  <r>
    <x v="91"/>
    <x v="5"/>
    <n v="3052165"/>
  </r>
  <r>
    <x v="91"/>
    <x v="0"/>
    <n v="360050"/>
  </r>
  <r>
    <x v="91"/>
    <x v="14"/>
    <n v="360730"/>
  </r>
  <r>
    <x v="91"/>
    <x v="1"/>
    <n v="655350"/>
  </r>
  <r>
    <x v="91"/>
    <x v="2"/>
    <n v="20298922"/>
  </r>
  <r>
    <x v="91"/>
    <x v="3"/>
    <n v="60727094"/>
  </r>
  <r>
    <x v="91"/>
    <x v="4"/>
    <n v="546250"/>
  </r>
  <r>
    <x v="92"/>
    <x v="5"/>
    <n v="2713425"/>
  </r>
  <r>
    <x v="92"/>
    <x v="0"/>
    <n v="594300"/>
  </r>
  <r>
    <x v="92"/>
    <x v="2"/>
    <n v="30047716"/>
  </r>
  <r>
    <x v="92"/>
    <x v="10"/>
    <n v="115000"/>
  </r>
  <r>
    <x v="92"/>
    <x v="3"/>
    <n v="70288207"/>
  </r>
  <r>
    <x v="92"/>
    <x v="4"/>
    <n v="1138380"/>
  </r>
  <r>
    <x v="93"/>
    <x v="5"/>
    <n v="975750"/>
  </r>
  <r>
    <x v="93"/>
    <x v="0"/>
    <n v="207550"/>
  </r>
  <r>
    <x v="93"/>
    <x v="14"/>
    <n v="510653"/>
  </r>
  <r>
    <x v="93"/>
    <x v="2"/>
    <n v="17768744"/>
  </r>
  <r>
    <x v="93"/>
    <x v="3"/>
    <n v="52913468"/>
  </r>
  <r>
    <x v="93"/>
    <x v="4"/>
    <n v="61655"/>
  </r>
  <r>
    <x v="94"/>
    <x v="3"/>
    <n v="157928"/>
  </r>
  <r>
    <x v="95"/>
    <x v="5"/>
    <n v="1184790"/>
  </r>
  <r>
    <x v="95"/>
    <x v="0"/>
    <n v="1205000"/>
  </r>
  <r>
    <x v="95"/>
    <x v="14"/>
    <n v="312816"/>
  </r>
  <r>
    <x v="95"/>
    <x v="2"/>
    <n v="18413085"/>
  </r>
  <r>
    <x v="95"/>
    <x v="3"/>
    <n v="52873531"/>
  </r>
  <r>
    <x v="95"/>
    <x v="4"/>
    <n v="787825"/>
  </r>
  <r>
    <x v="96"/>
    <x v="2"/>
    <n v="139783"/>
  </r>
  <r>
    <x v="97"/>
    <x v="5"/>
    <n v="609216"/>
  </r>
  <r>
    <x v="97"/>
    <x v="0"/>
    <n v="58900"/>
  </r>
  <r>
    <x v="97"/>
    <x v="14"/>
    <n v="589242"/>
  </r>
  <r>
    <x v="97"/>
    <x v="1"/>
    <n v="457830"/>
  </r>
  <r>
    <x v="97"/>
    <x v="2"/>
    <n v="39361205"/>
  </r>
  <r>
    <x v="97"/>
    <x v="3"/>
    <n v="87747931"/>
  </r>
  <r>
    <x v="97"/>
    <x v="4"/>
    <n v="2758827"/>
  </r>
  <r>
    <x v="98"/>
    <x v="5"/>
    <n v="649405"/>
  </r>
  <r>
    <x v="98"/>
    <x v="0"/>
    <n v="1365400"/>
  </r>
  <r>
    <x v="98"/>
    <x v="14"/>
    <n v="349156"/>
  </r>
  <r>
    <x v="98"/>
    <x v="15"/>
    <n v="144400"/>
  </r>
  <r>
    <x v="98"/>
    <x v="2"/>
    <n v="28320109"/>
  </r>
  <r>
    <x v="98"/>
    <x v="3"/>
    <n v="65036696"/>
  </r>
  <r>
    <x v="98"/>
    <x v="4"/>
    <n v="1456612"/>
  </r>
  <r>
    <x v="99"/>
    <x v="5"/>
    <n v="227050"/>
  </r>
  <r>
    <x v="99"/>
    <x v="0"/>
    <n v="2501380"/>
  </r>
  <r>
    <x v="99"/>
    <x v="14"/>
    <n v="116959"/>
  </r>
  <r>
    <x v="99"/>
    <x v="1"/>
    <n v="95000"/>
  </r>
  <r>
    <x v="99"/>
    <x v="9"/>
    <n v="90250"/>
  </r>
  <r>
    <x v="99"/>
    <x v="2"/>
    <n v="35729495"/>
  </r>
  <r>
    <x v="99"/>
    <x v="3"/>
    <n v="108189571"/>
  </r>
  <r>
    <x v="99"/>
    <x v="4"/>
    <n v="1557840"/>
  </r>
  <r>
    <x v="100"/>
    <x v="5"/>
    <n v="303800"/>
  </r>
  <r>
    <x v="100"/>
    <x v="0"/>
    <n v="3248113"/>
  </r>
  <r>
    <x v="100"/>
    <x v="14"/>
    <n v="427375"/>
  </r>
  <r>
    <x v="100"/>
    <x v="1"/>
    <n v="474952"/>
  </r>
  <r>
    <x v="100"/>
    <x v="2"/>
    <n v="42734070"/>
  </r>
  <r>
    <x v="100"/>
    <x v="3"/>
    <n v="141836951"/>
  </r>
  <r>
    <x v="100"/>
    <x v="4"/>
    <n v="3490713"/>
  </r>
  <r>
    <x v="101"/>
    <x v="5"/>
    <n v="271400"/>
  </r>
  <r>
    <x v="101"/>
    <x v="0"/>
    <n v="5590180"/>
  </r>
  <r>
    <x v="101"/>
    <x v="1"/>
    <n v="209000"/>
  </r>
  <r>
    <x v="101"/>
    <x v="15"/>
    <n v="249850"/>
  </r>
  <r>
    <x v="101"/>
    <x v="2"/>
    <n v="50112333"/>
  </r>
  <r>
    <x v="101"/>
    <x v="3"/>
    <n v="140538463"/>
  </r>
  <r>
    <x v="101"/>
    <x v="4"/>
    <n v="2218717"/>
  </r>
  <r>
    <x v="102"/>
    <x v="5"/>
    <n v="847300"/>
  </r>
  <r>
    <x v="102"/>
    <x v="0"/>
    <n v="4563334"/>
  </r>
  <r>
    <x v="102"/>
    <x v="1"/>
    <n v="136325"/>
  </r>
  <r>
    <x v="102"/>
    <x v="9"/>
    <n v="228250"/>
  </r>
  <r>
    <x v="102"/>
    <x v="2"/>
    <n v="62607345"/>
  </r>
  <r>
    <x v="102"/>
    <x v="3"/>
    <n v="196710981"/>
  </r>
  <r>
    <x v="102"/>
    <x v="4"/>
    <n v="2721397"/>
  </r>
  <r>
    <x v="103"/>
    <x v="2"/>
    <n v="190213"/>
  </r>
  <r>
    <x v="104"/>
    <x v="3"/>
    <n v="185250"/>
  </r>
  <r>
    <x v="105"/>
    <x v="5"/>
    <n v="730461"/>
  </r>
  <r>
    <x v="105"/>
    <x v="0"/>
    <n v="8626126"/>
  </r>
  <r>
    <x v="105"/>
    <x v="14"/>
    <n v="365220"/>
  </r>
  <r>
    <x v="105"/>
    <x v="1"/>
    <n v="203260"/>
  </r>
  <r>
    <x v="105"/>
    <x v="9"/>
    <n v="448400"/>
  </r>
  <r>
    <x v="105"/>
    <x v="2"/>
    <n v="68671556"/>
  </r>
  <r>
    <x v="105"/>
    <x v="3"/>
    <n v="255474409"/>
  </r>
  <r>
    <x v="105"/>
    <x v="11"/>
    <n v="287030"/>
  </r>
  <r>
    <x v="105"/>
    <x v="4"/>
    <n v="7315160"/>
  </r>
  <r>
    <x v="106"/>
    <x v="5"/>
    <n v="746386"/>
  </r>
  <r>
    <x v="106"/>
    <x v="0"/>
    <n v="12437052"/>
  </r>
  <r>
    <x v="106"/>
    <x v="14"/>
    <n v="558097"/>
  </r>
  <r>
    <x v="106"/>
    <x v="1"/>
    <n v="800655"/>
  </r>
  <r>
    <x v="106"/>
    <x v="2"/>
    <n v="66219177"/>
  </r>
  <r>
    <x v="106"/>
    <x v="3"/>
    <n v="201046773"/>
  </r>
  <r>
    <x v="106"/>
    <x v="11"/>
    <n v="723375"/>
  </r>
  <r>
    <x v="106"/>
    <x v="4"/>
    <n v="7156653"/>
  </r>
  <r>
    <x v="106"/>
    <x v="16"/>
    <n v="229500"/>
  </r>
  <r>
    <x v="107"/>
    <x v="5"/>
    <n v="1234460"/>
  </r>
  <r>
    <x v="107"/>
    <x v="0"/>
    <n v="19606565"/>
  </r>
  <r>
    <x v="107"/>
    <x v="14"/>
    <n v="699250"/>
  </r>
  <r>
    <x v="107"/>
    <x v="1"/>
    <n v="1514250"/>
  </r>
  <r>
    <x v="107"/>
    <x v="9"/>
    <n v="133000"/>
  </r>
  <r>
    <x v="107"/>
    <x v="2"/>
    <n v="58893346"/>
  </r>
  <r>
    <x v="107"/>
    <x v="3"/>
    <n v="205040542"/>
  </r>
  <r>
    <x v="107"/>
    <x v="11"/>
    <n v="2263660"/>
  </r>
  <r>
    <x v="107"/>
    <x v="4"/>
    <n v="11829909"/>
  </r>
  <r>
    <x v="108"/>
    <x v="13"/>
    <n v="436500"/>
  </r>
  <r>
    <x v="108"/>
    <x v="5"/>
    <n v="742037"/>
  </r>
  <r>
    <x v="108"/>
    <x v="0"/>
    <n v="20107245"/>
  </r>
  <r>
    <x v="108"/>
    <x v="14"/>
    <n v="516550"/>
  </r>
  <r>
    <x v="108"/>
    <x v="1"/>
    <n v="1853457"/>
  </r>
  <r>
    <x v="108"/>
    <x v="9"/>
    <n v="1181100"/>
  </r>
  <r>
    <x v="108"/>
    <x v="2"/>
    <n v="66064970"/>
  </r>
  <r>
    <x v="108"/>
    <x v="3"/>
    <n v="297941086"/>
  </r>
  <r>
    <x v="108"/>
    <x v="17"/>
    <n v="71250"/>
  </r>
  <r>
    <x v="108"/>
    <x v="11"/>
    <n v="2419170"/>
  </r>
  <r>
    <x v="108"/>
    <x v="8"/>
    <n v="87112"/>
  </r>
  <r>
    <x v="108"/>
    <x v="4"/>
    <n v="23759301"/>
  </r>
  <r>
    <x v="109"/>
    <x v="9"/>
    <n v="190000"/>
  </r>
  <r>
    <x v="110"/>
    <x v="3"/>
    <n v="52250"/>
  </r>
  <r>
    <x v="111"/>
    <x v="13"/>
    <n v="261373"/>
  </r>
  <r>
    <x v="111"/>
    <x v="5"/>
    <n v="547200"/>
  </r>
  <r>
    <x v="111"/>
    <x v="0"/>
    <n v="17514084"/>
  </r>
  <r>
    <x v="111"/>
    <x v="14"/>
    <n v="276012"/>
  </r>
  <r>
    <x v="111"/>
    <x v="1"/>
    <n v="2263450"/>
  </r>
  <r>
    <x v="111"/>
    <x v="9"/>
    <n v="1504824"/>
  </r>
  <r>
    <x v="111"/>
    <x v="2"/>
    <n v="48641184"/>
  </r>
  <r>
    <x v="111"/>
    <x v="10"/>
    <n v="83362"/>
  </r>
  <r>
    <x v="111"/>
    <x v="3"/>
    <n v="285662030"/>
  </r>
  <r>
    <x v="111"/>
    <x v="11"/>
    <n v="2104009"/>
  </r>
  <r>
    <x v="111"/>
    <x v="4"/>
    <n v="11530420"/>
  </r>
  <r>
    <x v="111"/>
    <x v="7"/>
    <n v="83100"/>
  </r>
  <r>
    <x v="112"/>
    <x v="13"/>
    <n v="2247245"/>
  </r>
  <r>
    <x v="112"/>
    <x v="5"/>
    <n v="1427617"/>
  </r>
  <r>
    <x v="112"/>
    <x v="0"/>
    <n v="15640993"/>
  </r>
  <r>
    <x v="112"/>
    <x v="14"/>
    <n v="565011"/>
  </r>
  <r>
    <x v="112"/>
    <x v="1"/>
    <n v="795925"/>
  </r>
  <r>
    <x v="112"/>
    <x v="9"/>
    <n v="322525"/>
  </r>
  <r>
    <x v="112"/>
    <x v="2"/>
    <n v="47717985"/>
  </r>
  <r>
    <x v="112"/>
    <x v="3"/>
    <n v="243784179"/>
  </r>
  <r>
    <x v="112"/>
    <x v="11"/>
    <n v="1767475"/>
  </r>
  <r>
    <x v="112"/>
    <x v="4"/>
    <n v="10645006"/>
  </r>
  <r>
    <x v="113"/>
    <x v="13"/>
    <n v="4884324"/>
  </r>
  <r>
    <x v="113"/>
    <x v="5"/>
    <n v="172956"/>
  </r>
  <r>
    <x v="113"/>
    <x v="6"/>
    <n v="39131"/>
  </r>
  <r>
    <x v="113"/>
    <x v="0"/>
    <n v="11868235"/>
  </r>
  <r>
    <x v="113"/>
    <x v="1"/>
    <n v="718038"/>
  </r>
  <r>
    <x v="113"/>
    <x v="9"/>
    <n v="995700"/>
  </r>
  <r>
    <x v="113"/>
    <x v="2"/>
    <n v="46624880"/>
  </r>
  <r>
    <x v="113"/>
    <x v="3"/>
    <n v="288076913"/>
  </r>
  <r>
    <x v="113"/>
    <x v="11"/>
    <n v="2577151"/>
  </r>
  <r>
    <x v="113"/>
    <x v="4"/>
    <n v="10448678"/>
  </r>
  <r>
    <x v="113"/>
    <x v="16"/>
    <n v="90250"/>
  </r>
  <r>
    <x v="114"/>
    <x v="13"/>
    <n v="4554083"/>
  </r>
  <r>
    <x v="114"/>
    <x v="5"/>
    <n v="757900"/>
  </r>
  <r>
    <x v="114"/>
    <x v="0"/>
    <n v="11400581"/>
  </r>
  <r>
    <x v="114"/>
    <x v="14"/>
    <n v="168650"/>
  </r>
  <r>
    <x v="114"/>
    <x v="1"/>
    <n v="1536581"/>
  </r>
  <r>
    <x v="114"/>
    <x v="9"/>
    <n v="769265"/>
  </r>
  <r>
    <x v="114"/>
    <x v="15"/>
    <n v="120000"/>
  </r>
  <r>
    <x v="114"/>
    <x v="2"/>
    <n v="39378296"/>
  </r>
  <r>
    <x v="114"/>
    <x v="3"/>
    <n v="289957146"/>
  </r>
  <r>
    <x v="114"/>
    <x v="11"/>
    <n v="3812467"/>
  </r>
  <r>
    <x v="114"/>
    <x v="4"/>
    <n v="5665904"/>
  </r>
  <r>
    <x v="115"/>
    <x v="13"/>
    <n v="11013669"/>
  </r>
  <r>
    <x v="115"/>
    <x v="5"/>
    <n v="778450"/>
  </r>
  <r>
    <x v="115"/>
    <x v="0"/>
    <n v="12882571"/>
  </r>
  <r>
    <x v="115"/>
    <x v="14"/>
    <n v="763886"/>
  </r>
  <r>
    <x v="115"/>
    <x v="1"/>
    <n v="1272007"/>
  </r>
  <r>
    <x v="115"/>
    <x v="9"/>
    <n v="507300"/>
  </r>
  <r>
    <x v="115"/>
    <x v="2"/>
    <n v="40745773"/>
  </r>
  <r>
    <x v="115"/>
    <x v="10"/>
    <n v="359350"/>
  </r>
  <r>
    <x v="115"/>
    <x v="3"/>
    <n v="284846800"/>
  </r>
  <r>
    <x v="115"/>
    <x v="11"/>
    <n v="1463597"/>
  </r>
  <r>
    <x v="115"/>
    <x v="4"/>
    <n v="7897763"/>
  </r>
  <r>
    <x v="116"/>
    <x v="13"/>
    <n v="16114688"/>
  </r>
  <r>
    <x v="116"/>
    <x v="5"/>
    <n v="525317"/>
  </r>
  <r>
    <x v="116"/>
    <x v="0"/>
    <n v="14509929"/>
  </r>
  <r>
    <x v="116"/>
    <x v="14"/>
    <n v="277942"/>
  </r>
  <r>
    <x v="116"/>
    <x v="1"/>
    <n v="821880"/>
  </r>
  <r>
    <x v="116"/>
    <x v="9"/>
    <n v="795875"/>
  </r>
  <r>
    <x v="116"/>
    <x v="2"/>
    <n v="32535963"/>
  </r>
  <r>
    <x v="116"/>
    <x v="10"/>
    <n v="607710"/>
  </r>
  <r>
    <x v="116"/>
    <x v="18"/>
    <n v="308750"/>
  </r>
  <r>
    <x v="116"/>
    <x v="3"/>
    <n v="258429434"/>
  </r>
  <r>
    <x v="116"/>
    <x v="11"/>
    <n v="2456950"/>
  </r>
  <r>
    <x v="116"/>
    <x v="4"/>
    <n v="5314954"/>
  </r>
  <r>
    <x v="117"/>
    <x v="3"/>
    <n v="303000"/>
  </r>
  <r>
    <x v="118"/>
    <x v="13"/>
    <n v="26768984"/>
  </r>
  <r>
    <x v="118"/>
    <x v="5"/>
    <n v="913855"/>
  </r>
  <r>
    <x v="118"/>
    <x v="0"/>
    <n v="15607798"/>
  </r>
  <r>
    <x v="118"/>
    <x v="1"/>
    <n v="1787354"/>
  </r>
  <r>
    <x v="118"/>
    <x v="9"/>
    <n v="469405"/>
  </r>
  <r>
    <x v="118"/>
    <x v="2"/>
    <n v="36203218"/>
  </r>
  <r>
    <x v="118"/>
    <x v="10"/>
    <n v="710959"/>
  </r>
  <r>
    <x v="118"/>
    <x v="3"/>
    <n v="257255382"/>
  </r>
  <r>
    <x v="118"/>
    <x v="11"/>
    <n v="2550910"/>
  </r>
  <r>
    <x v="118"/>
    <x v="4"/>
    <n v="6103592"/>
  </r>
  <r>
    <x v="119"/>
    <x v="3"/>
    <n v="220000"/>
  </r>
  <r>
    <x v="120"/>
    <x v="13"/>
    <n v="26959526"/>
  </r>
  <r>
    <x v="120"/>
    <x v="5"/>
    <n v="2422436"/>
  </r>
  <r>
    <x v="120"/>
    <x v="19"/>
    <n v="103950"/>
  </r>
  <r>
    <x v="120"/>
    <x v="0"/>
    <n v="13917186"/>
  </r>
  <r>
    <x v="120"/>
    <x v="14"/>
    <n v="406450"/>
  </r>
  <r>
    <x v="120"/>
    <x v="1"/>
    <n v="1116473"/>
  </r>
  <r>
    <x v="120"/>
    <x v="9"/>
    <n v="1309955"/>
  </r>
  <r>
    <x v="120"/>
    <x v="2"/>
    <n v="37065551"/>
  </r>
  <r>
    <x v="120"/>
    <x v="10"/>
    <n v="430350"/>
  </r>
  <r>
    <x v="120"/>
    <x v="3"/>
    <n v="232810625"/>
  </r>
  <r>
    <x v="120"/>
    <x v="11"/>
    <n v="3202877"/>
  </r>
  <r>
    <x v="120"/>
    <x v="4"/>
    <n v="6226227"/>
  </r>
  <r>
    <x v="120"/>
    <x v="16"/>
    <n v="139550"/>
  </r>
  <r>
    <x v="121"/>
    <x v="3"/>
    <n v="70300"/>
  </r>
  <r>
    <x v="122"/>
    <x v="13"/>
    <n v="17930286"/>
  </r>
  <r>
    <x v="122"/>
    <x v="5"/>
    <n v="961713"/>
  </r>
  <r>
    <x v="122"/>
    <x v="20"/>
    <n v="99400"/>
  </r>
  <r>
    <x v="122"/>
    <x v="0"/>
    <n v="14039003"/>
  </r>
  <r>
    <x v="122"/>
    <x v="14"/>
    <n v="742095"/>
  </r>
  <r>
    <x v="122"/>
    <x v="1"/>
    <n v="1603862"/>
  </r>
  <r>
    <x v="122"/>
    <x v="9"/>
    <n v="1087491"/>
  </r>
  <r>
    <x v="122"/>
    <x v="2"/>
    <n v="41913986"/>
  </r>
  <r>
    <x v="122"/>
    <x v="10"/>
    <n v="365700"/>
  </r>
  <r>
    <x v="122"/>
    <x v="3"/>
    <n v="213481240"/>
  </r>
  <r>
    <x v="122"/>
    <x v="11"/>
    <n v="1928036"/>
  </r>
  <r>
    <x v="122"/>
    <x v="4"/>
    <n v="8134715"/>
  </r>
  <r>
    <x v="123"/>
    <x v="13"/>
    <n v="11231511"/>
  </r>
  <r>
    <x v="123"/>
    <x v="5"/>
    <n v="2289640"/>
  </r>
  <r>
    <x v="123"/>
    <x v="0"/>
    <n v="9773873"/>
  </r>
  <r>
    <x v="123"/>
    <x v="14"/>
    <n v="329184"/>
  </r>
  <r>
    <x v="123"/>
    <x v="1"/>
    <n v="2239792"/>
  </r>
  <r>
    <x v="123"/>
    <x v="9"/>
    <n v="768445"/>
  </r>
  <r>
    <x v="123"/>
    <x v="15"/>
    <n v="156650"/>
  </r>
  <r>
    <x v="123"/>
    <x v="2"/>
    <n v="30912663"/>
  </r>
  <r>
    <x v="123"/>
    <x v="10"/>
    <n v="595200"/>
  </r>
  <r>
    <x v="123"/>
    <x v="3"/>
    <n v="192866303"/>
  </r>
  <r>
    <x v="123"/>
    <x v="11"/>
    <n v="2467512"/>
  </r>
  <r>
    <x v="123"/>
    <x v="4"/>
    <n v="4267432"/>
  </r>
  <r>
    <x v="124"/>
    <x v="3"/>
    <n v="346655"/>
  </r>
  <r>
    <x v="125"/>
    <x v="13"/>
    <n v="10096640"/>
  </r>
  <r>
    <x v="125"/>
    <x v="5"/>
    <n v="3740390"/>
  </r>
  <r>
    <x v="125"/>
    <x v="0"/>
    <n v="5545236"/>
  </r>
  <r>
    <x v="125"/>
    <x v="1"/>
    <n v="1023420"/>
  </r>
  <r>
    <x v="125"/>
    <x v="9"/>
    <n v="928175"/>
  </r>
  <r>
    <x v="125"/>
    <x v="2"/>
    <n v="25973369"/>
  </r>
  <r>
    <x v="125"/>
    <x v="21"/>
    <n v="121125"/>
  </r>
  <r>
    <x v="125"/>
    <x v="10"/>
    <n v="558750"/>
  </r>
  <r>
    <x v="125"/>
    <x v="3"/>
    <n v="147157793"/>
  </r>
  <r>
    <x v="125"/>
    <x v="11"/>
    <n v="3207230"/>
  </r>
  <r>
    <x v="125"/>
    <x v="4"/>
    <n v="6629948"/>
  </r>
  <r>
    <x v="125"/>
    <x v="16"/>
    <n v="297376"/>
  </r>
  <r>
    <x v="126"/>
    <x v="13"/>
    <n v="13982680"/>
  </r>
  <r>
    <x v="126"/>
    <x v="5"/>
    <n v="3495900"/>
  </r>
  <r>
    <x v="126"/>
    <x v="0"/>
    <n v="6263357"/>
  </r>
  <r>
    <x v="126"/>
    <x v="14"/>
    <n v="333756"/>
  </r>
  <r>
    <x v="126"/>
    <x v="1"/>
    <n v="367600"/>
  </r>
  <r>
    <x v="126"/>
    <x v="9"/>
    <n v="144400"/>
  </r>
  <r>
    <x v="126"/>
    <x v="15"/>
    <n v="110000"/>
  </r>
  <r>
    <x v="126"/>
    <x v="2"/>
    <n v="25519006"/>
  </r>
  <r>
    <x v="126"/>
    <x v="10"/>
    <n v="771590"/>
  </r>
  <r>
    <x v="126"/>
    <x v="3"/>
    <n v="131982469"/>
  </r>
  <r>
    <x v="126"/>
    <x v="11"/>
    <n v="1361705"/>
  </r>
  <r>
    <x v="126"/>
    <x v="4"/>
    <n v="7446093"/>
  </r>
  <r>
    <x v="126"/>
    <x v="16"/>
    <n v="111150"/>
  </r>
  <r>
    <x v="127"/>
    <x v="13"/>
    <n v="10978825"/>
  </r>
  <r>
    <x v="127"/>
    <x v="5"/>
    <n v="2819184"/>
  </r>
  <r>
    <x v="127"/>
    <x v="0"/>
    <n v="4948233"/>
  </r>
  <r>
    <x v="127"/>
    <x v="1"/>
    <n v="1745260"/>
  </r>
  <r>
    <x v="127"/>
    <x v="15"/>
    <n v="212300"/>
  </r>
  <r>
    <x v="127"/>
    <x v="2"/>
    <n v="19521085"/>
  </r>
  <r>
    <x v="127"/>
    <x v="10"/>
    <n v="434625"/>
  </r>
  <r>
    <x v="127"/>
    <x v="3"/>
    <n v="97440214"/>
  </r>
  <r>
    <x v="127"/>
    <x v="11"/>
    <n v="1102830"/>
  </r>
  <r>
    <x v="127"/>
    <x v="4"/>
    <n v="3373994"/>
  </r>
  <r>
    <x v="128"/>
    <x v="13"/>
    <n v="8968269"/>
  </r>
  <r>
    <x v="128"/>
    <x v="5"/>
    <n v="2038569"/>
  </r>
  <r>
    <x v="128"/>
    <x v="0"/>
    <n v="3340520"/>
  </r>
  <r>
    <x v="128"/>
    <x v="14"/>
    <n v="278800"/>
  </r>
  <r>
    <x v="128"/>
    <x v="1"/>
    <n v="258700"/>
  </r>
  <r>
    <x v="128"/>
    <x v="9"/>
    <n v="301850"/>
  </r>
  <r>
    <x v="128"/>
    <x v="2"/>
    <n v="13495270"/>
  </r>
  <r>
    <x v="128"/>
    <x v="10"/>
    <n v="509200"/>
  </r>
  <r>
    <x v="128"/>
    <x v="3"/>
    <n v="79265366"/>
  </r>
  <r>
    <x v="128"/>
    <x v="11"/>
    <n v="935155"/>
  </r>
  <r>
    <x v="128"/>
    <x v="4"/>
    <n v="3529026"/>
  </r>
  <r>
    <x v="129"/>
    <x v="13"/>
    <n v="12496064"/>
  </r>
  <r>
    <x v="129"/>
    <x v="5"/>
    <n v="3035534"/>
  </r>
  <r>
    <x v="129"/>
    <x v="0"/>
    <n v="3696221"/>
  </r>
  <r>
    <x v="129"/>
    <x v="1"/>
    <n v="331249"/>
  </r>
  <r>
    <x v="129"/>
    <x v="9"/>
    <n v="545507"/>
  </r>
  <r>
    <x v="129"/>
    <x v="2"/>
    <n v="18032606"/>
  </r>
  <r>
    <x v="129"/>
    <x v="10"/>
    <n v="1126280"/>
  </r>
  <r>
    <x v="129"/>
    <x v="3"/>
    <n v="96138138"/>
  </r>
  <r>
    <x v="129"/>
    <x v="11"/>
    <n v="760075"/>
  </r>
  <r>
    <x v="129"/>
    <x v="4"/>
    <n v="5150546"/>
  </r>
  <r>
    <x v="130"/>
    <x v="13"/>
    <n v="12281883"/>
  </r>
  <r>
    <x v="130"/>
    <x v="5"/>
    <n v="1608342"/>
  </r>
  <r>
    <x v="130"/>
    <x v="0"/>
    <n v="3478924"/>
  </r>
  <r>
    <x v="130"/>
    <x v="14"/>
    <n v="159900"/>
  </r>
  <r>
    <x v="130"/>
    <x v="1"/>
    <n v="282510"/>
  </r>
  <r>
    <x v="130"/>
    <x v="9"/>
    <n v="139900"/>
  </r>
  <r>
    <x v="130"/>
    <x v="2"/>
    <n v="20739941"/>
  </r>
  <r>
    <x v="130"/>
    <x v="10"/>
    <n v="1294700"/>
  </r>
  <r>
    <x v="130"/>
    <x v="3"/>
    <n v="90689758"/>
  </r>
  <r>
    <x v="130"/>
    <x v="11"/>
    <n v="1770281"/>
  </r>
  <r>
    <x v="130"/>
    <x v="4"/>
    <n v="4242951"/>
  </r>
  <r>
    <x v="131"/>
    <x v="13"/>
    <n v="17701490"/>
  </r>
  <r>
    <x v="131"/>
    <x v="5"/>
    <n v="3177405"/>
  </r>
  <r>
    <x v="131"/>
    <x v="0"/>
    <n v="3235765"/>
  </r>
  <r>
    <x v="131"/>
    <x v="14"/>
    <n v="901302"/>
  </r>
  <r>
    <x v="131"/>
    <x v="1"/>
    <n v="628950"/>
  </r>
  <r>
    <x v="131"/>
    <x v="2"/>
    <n v="22123303"/>
  </r>
  <r>
    <x v="131"/>
    <x v="10"/>
    <n v="1364991"/>
  </r>
  <r>
    <x v="131"/>
    <x v="3"/>
    <n v="90319977"/>
  </r>
  <r>
    <x v="131"/>
    <x v="11"/>
    <n v="973950"/>
  </r>
  <r>
    <x v="131"/>
    <x v="4"/>
    <n v="4580322"/>
  </r>
  <r>
    <x v="131"/>
    <x v="16"/>
    <n v="148340"/>
  </r>
  <r>
    <x v="132"/>
    <x v="13"/>
    <n v="24284615"/>
  </r>
  <r>
    <x v="132"/>
    <x v="5"/>
    <n v="2672520"/>
  </r>
  <r>
    <x v="132"/>
    <x v="22"/>
    <n v="134900"/>
  </r>
  <r>
    <x v="132"/>
    <x v="0"/>
    <n v="3270897"/>
  </r>
  <r>
    <x v="132"/>
    <x v="14"/>
    <n v="1081582"/>
  </r>
  <r>
    <x v="132"/>
    <x v="1"/>
    <n v="922114"/>
  </r>
  <r>
    <x v="132"/>
    <x v="9"/>
    <n v="548925"/>
  </r>
  <r>
    <x v="132"/>
    <x v="2"/>
    <n v="20060843"/>
  </r>
  <r>
    <x v="132"/>
    <x v="10"/>
    <n v="165000"/>
  </r>
  <r>
    <x v="132"/>
    <x v="3"/>
    <n v="87750003"/>
  </r>
  <r>
    <x v="132"/>
    <x v="11"/>
    <n v="349025"/>
  </r>
  <r>
    <x v="132"/>
    <x v="4"/>
    <n v="6244365"/>
  </r>
  <r>
    <x v="133"/>
    <x v="13"/>
    <n v="33983278"/>
  </r>
  <r>
    <x v="133"/>
    <x v="5"/>
    <n v="4013977"/>
  </r>
  <r>
    <x v="133"/>
    <x v="23"/>
    <n v="66445"/>
  </r>
  <r>
    <x v="133"/>
    <x v="0"/>
    <n v="3198706"/>
  </r>
  <r>
    <x v="133"/>
    <x v="14"/>
    <n v="994491"/>
  </r>
  <r>
    <x v="133"/>
    <x v="1"/>
    <n v="142500"/>
  </r>
  <r>
    <x v="133"/>
    <x v="9"/>
    <n v="232180"/>
  </r>
  <r>
    <x v="133"/>
    <x v="2"/>
    <n v="19424412"/>
  </r>
  <r>
    <x v="133"/>
    <x v="10"/>
    <n v="1110529"/>
  </r>
  <r>
    <x v="133"/>
    <x v="24"/>
    <n v="72200"/>
  </r>
  <r>
    <x v="133"/>
    <x v="3"/>
    <n v="92507454"/>
  </r>
  <r>
    <x v="133"/>
    <x v="11"/>
    <n v="586250"/>
  </r>
  <r>
    <x v="133"/>
    <x v="4"/>
    <n v="5620611"/>
  </r>
  <r>
    <x v="134"/>
    <x v="3"/>
    <n v="241300"/>
  </r>
  <r>
    <x v="135"/>
    <x v="13"/>
    <n v="40360606"/>
  </r>
  <r>
    <x v="135"/>
    <x v="5"/>
    <n v="3853715"/>
  </r>
  <r>
    <x v="135"/>
    <x v="0"/>
    <n v="3391897"/>
  </r>
  <r>
    <x v="135"/>
    <x v="14"/>
    <n v="626272"/>
  </r>
  <r>
    <x v="135"/>
    <x v="1"/>
    <n v="314925"/>
  </r>
  <r>
    <x v="135"/>
    <x v="9"/>
    <n v="247700"/>
  </r>
  <r>
    <x v="135"/>
    <x v="2"/>
    <n v="18948974"/>
  </r>
  <r>
    <x v="135"/>
    <x v="10"/>
    <n v="554655"/>
  </r>
  <r>
    <x v="135"/>
    <x v="24"/>
    <n v="1046325"/>
  </r>
  <r>
    <x v="135"/>
    <x v="3"/>
    <n v="104235545"/>
  </r>
  <r>
    <x v="135"/>
    <x v="11"/>
    <n v="1622773"/>
  </r>
  <r>
    <x v="135"/>
    <x v="4"/>
    <n v="6494949"/>
  </r>
  <r>
    <x v="135"/>
    <x v="16"/>
    <n v="105450"/>
  </r>
  <r>
    <x v="136"/>
    <x v="3"/>
    <n v="187625"/>
  </r>
  <r>
    <x v="137"/>
    <x v="13"/>
    <n v="47919376"/>
  </r>
  <r>
    <x v="137"/>
    <x v="5"/>
    <n v="5552350"/>
  </r>
  <r>
    <x v="137"/>
    <x v="0"/>
    <n v="3149741"/>
  </r>
  <r>
    <x v="137"/>
    <x v="14"/>
    <n v="808261"/>
  </r>
  <r>
    <x v="137"/>
    <x v="1"/>
    <n v="338293"/>
  </r>
  <r>
    <x v="137"/>
    <x v="2"/>
    <n v="24498596"/>
  </r>
  <r>
    <x v="137"/>
    <x v="10"/>
    <n v="959350"/>
  </r>
  <r>
    <x v="137"/>
    <x v="24"/>
    <n v="345532"/>
  </r>
  <r>
    <x v="137"/>
    <x v="3"/>
    <n v="119050815"/>
  </r>
  <r>
    <x v="137"/>
    <x v="11"/>
    <n v="1121969"/>
  </r>
  <r>
    <x v="137"/>
    <x v="4"/>
    <n v="6385123"/>
  </r>
  <r>
    <x v="138"/>
    <x v="13"/>
    <n v="40758677"/>
  </r>
  <r>
    <x v="138"/>
    <x v="5"/>
    <n v="4620475"/>
  </r>
  <r>
    <x v="138"/>
    <x v="25"/>
    <n v="95130"/>
  </r>
  <r>
    <x v="138"/>
    <x v="12"/>
    <n v="116400"/>
  </r>
  <r>
    <x v="138"/>
    <x v="0"/>
    <n v="2808128"/>
  </r>
  <r>
    <x v="138"/>
    <x v="1"/>
    <n v="454100"/>
  </r>
  <r>
    <x v="138"/>
    <x v="9"/>
    <n v="342655"/>
  </r>
  <r>
    <x v="138"/>
    <x v="2"/>
    <n v="25354920"/>
  </r>
  <r>
    <x v="138"/>
    <x v="10"/>
    <n v="227050"/>
  </r>
  <r>
    <x v="138"/>
    <x v="3"/>
    <n v="104700269"/>
  </r>
  <r>
    <x v="138"/>
    <x v="11"/>
    <n v="1101080"/>
  </r>
  <r>
    <x v="138"/>
    <x v="4"/>
    <n v="5419630"/>
  </r>
  <r>
    <x v="138"/>
    <x v="16"/>
    <n v="349500"/>
  </r>
  <r>
    <x v="139"/>
    <x v="3"/>
    <n v="123500"/>
  </r>
  <r>
    <x v="140"/>
    <x v="13"/>
    <n v="26962273"/>
  </r>
  <r>
    <x v="140"/>
    <x v="5"/>
    <n v="2954339"/>
  </r>
  <r>
    <x v="140"/>
    <x v="25"/>
    <n v="75000"/>
  </r>
  <r>
    <x v="140"/>
    <x v="23"/>
    <n v="176000"/>
  </r>
  <r>
    <x v="140"/>
    <x v="0"/>
    <n v="1870480"/>
  </r>
  <r>
    <x v="140"/>
    <x v="14"/>
    <n v="873576"/>
  </r>
  <r>
    <x v="140"/>
    <x v="1"/>
    <n v="467023"/>
  </r>
  <r>
    <x v="140"/>
    <x v="9"/>
    <n v="448780"/>
  </r>
  <r>
    <x v="140"/>
    <x v="2"/>
    <n v="25098122"/>
  </r>
  <r>
    <x v="140"/>
    <x v="10"/>
    <n v="541305"/>
  </r>
  <r>
    <x v="140"/>
    <x v="3"/>
    <n v="90120008"/>
  </r>
  <r>
    <x v="140"/>
    <x v="11"/>
    <n v="1528216"/>
  </r>
  <r>
    <x v="140"/>
    <x v="4"/>
    <n v="4421417"/>
  </r>
  <r>
    <x v="141"/>
    <x v="3"/>
    <n v="247000"/>
  </r>
  <r>
    <x v="142"/>
    <x v="13"/>
    <n v="25951953"/>
  </r>
  <r>
    <x v="142"/>
    <x v="5"/>
    <n v="4612077"/>
  </r>
  <r>
    <x v="142"/>
    <x v="0"/>
    <n v="1686535"/>
  </r>
  <r>
    <x v="142"/>
    <x v="14"/>
    <n v="135788"/>
  </r>
  <r>
    <x v="142"/>
    <x v="1"/>
    <n v="442096"/>
  </r>
  <r>
    <x v="142"/>
    <x v="9"/>
    <n v="61850"/>
  </r>
  <r>
    <x v="142"/>
    <x v="2"/>
    <n v="17712486"/>
  </r>
  <r>
    <x v="142"/>
    <x v="10"/>
    <n v="760000"/>
  </r>
  <r>
    <x v="142"/>
    <x v="3"/>
    <n v="92448130"/>
  </r>
  <r>
    <x v="142"/>
    <x v="11"/>
    <n v="206600"/>
  </r>
  <r>
    <x v="142"/>
    <x v="4"/>
    <n v="5669398"/>
  </r>
  <r>
    <x v="142"/>
    <x v="16"/>
    <n v="295450"/>
  </r>
  <r>
    <x v="143"/>
    <x v="13"/>
    <n v="24463496"/>
  </r>
  <r>
    <x v="143"/>
    <x v="5"/>
    <n v="1736515"/>
  </r>
  <r>
    <x v="143"/>
    <x v="6"/>
    <n v="111800"/>
  </r>
  <r>
    <x v="143"/>
    <x v="0"/>
    <n v="1697825"/>
  </r>
  <r>
    <x v="143"/>
    <x v="14"/>
    <n v="498498"/>
  </r>
  <r>
    <x v="143"/>
    <x v="1"/>
    <n v="321300"/>
  </r>
  <r>
    <x v="143"/>
    <x v="9"/>
    <n v="106305"/>
  </r>
  <r>
    <x v="143"/>
    <x v="2"/>
    <n v="16696097"/>
  </r>
  <r>
    <x v="143"/>
    <x v="10"/>
    <n v="403750"/>
  </r>
  <r>
    <x v="143"/>
    <x v="3"/>
    <n v="79690739"/>
  </r>
  <r>
    <x v="143"/>
    <x v="11"/>
    <n v="165299"/>
  </r>
  <r>
    <x v="143"/>
    <x v="4"/>
    <n v="3912225"/>
  </r>
  <r>
    <x v="144"/>
    <x v="2"/>
    <n v="98781"/>
  </r>
  <r>
    <x v="144"/>
    <x v="3"/>
    <n v="60000"/>
  </r>
  <r>
    <x v="145"/>
    <x v="13"/>
    <n v="23392207"/>
  </r>
  <r>
    <x v="145"/>
    <x v="5"/>
    <n v="2896657"/>
  </r>
  <r>
    <x v="145"/>
    <x v="12"/>
    <n v="56000"/>
  </r>
  <r>
    <x v="145"/>
    <x v="0"/>
    <n v="499275"/>
  </r>
  <r>
    <x v="145"/>
    <x v="1"/>
    <n v="380659"/>
  </r>
  <r>
    <x v="145"/>
    <x v="9"/>
    <n v="182250"/>
  </r>
  <r>
    <x v="145"/>
    <x v="2"/>
    <n v="16265001"/>
  </r>
  <r>
    <x v="145"/>
    <x v="10"/>
    <n v="868655"/>
  </r>
  <r>
    <x v="145"/>
    <x v="3"/>
    <n v="61138129"/>
  </r>
  <r>
    <x v="145"/>
    <x v="11"/>
    <n v="1763836"/>
  </r>
  <r>
    <x v="145"/>
    <x v="4"/>
    <n v="3948520"/>
  </r>
  <r>
    <x v="146"/>
    <x v="13"/>
    <n v="34635464"/>
  </r>
  <r>
    <x v="146"/>
    <x v="5"/>
    <n v="3410178"/>
  </r>
  <r>
    <x v="146"/>
    <x v="26"/>
    <n v="141000"/>
  </r>
  <r>
    <x v="146"/>
    <x v="0"/>
    <n v="404800"/>
  </r>
  <r>
    <x v="146"/>
    <x v="14"/>
    <n v="160020"/>
  </r>
  <r>
    <x v="146"/>
    <x v="2"/>
    <n v="22909612"/>
  </r>
  <r>
    <x v="146"/>
    <x v="10"/>
    <n v="1255305"/>
  </r>
  <r>
    <x v="146"/>
    <x v="3"/>
    <n v="88860760"/>
  </r>
  <r>
    <x v="146"/>
    <x v="11"/>
    <n v="204250"/>
  </r>
  <r>
    <x v="146"/>
    <x v="4"/>
    <n v="3856155"/>
  </r>
  <r>
    <x v="147"/>
    <x v="2"/>
    <n v="82241"/>
  </r>
  <r>
    <x v="148"/>
    <x v="13"/>
    <n v="30909563"/>
  </r>
  <r>
    <x v="148"/>
    <x v="5"/>
    <n v="2643054"/>
  </r>
  <r>
    <x v="148"/>
    <x v="27"/>
    <n v="57645"/>
  </r>
  <r>
    <x v="148"/>
    <x v="0"/>
    <n v="583786"/>
  </r>
  <r>
    <x v="148"/>
    <x v="14"/>
    <n v="333756"/>
  </r>
  <r>
    <x v="148"/>
    <x v="9"/>
    <n v="80750"/>
  </r>
  <r>
    <x v="148"/>
    <x v="2"/>
    <n v="24292728"/>
  </r>
  <r>
    <x v="148"/>
    <x v="10"/>
    <n v="1123125"/>
  </r>
  <r>
    <x v="148"/>
    <x v="3"/>
    <n v="96876321"/>
  </r>
  <r>
    <x v="148"/>
    <x v="11"/>
    <n v="878995"/>
  </r>
  <r>
    <x v="148"/>
    <x v="4"/>
    <n v="4555451"/>
  </r>
  <r>
    <x v="148"/>
    <x v="16"/>
    <n v="270750"/>
  </r>
  <r>
    <x v="149"/>
    <x v="2"/>
    <n v="173672"/>
  </r>
  <r>
    <x v="150"/>
    <x v="13"/>
    <n v="16560409"/>
  </r>
  <r>
    <x v="150"/>
    <x v="5"/>
    <n v="1883255"/>
  </r>
  <r>
    <x v="150"/>
    <x v="28"/>
    <n v="104000"/>
  </r>
  <r>
    <x v="150"/>
    <x v="29"/>
    <n v="63050"/>
  </r>
  <r>
    <x v="150"/>
    <x v="23"/>
    <n v="77600"/>
  </r>
  <r>
    <x v="150"/>
    <x v="12"/>
    <n v="106000"/>
  </r>
  <r>
    <x v="150"/>
    <x v="14"/>
    <n v="159870"/>
  </r>
  <r>
    <x v="150"/>
    <x v="1"/>
    <n v="480185"/>
  </r>
  <r>
    <x v="150"/>
    <x v="2"/>
    <n v="15544710"/>
  </r>
  <r>
    <x v="150"/>
    <x v="10"/>
    <n v="380000"/>
  </r>
  <r>
    <x v="150"/>
    <x v="3"/>
    <n v="51446573"/>
  </r>
  <r>
    <x v="150"/>
    <x v="11"/>
    <n v="305532"/>
  </r>
  <r>
    <x v="150"/>
    <x v="4"/>
    <n v="2337725"/>
  </r>
  <r>
    <x v="151"/>
    <x v="13"/>
    <n v="3518331"/>
  </r>
  <r>
    <x v="151"/>
    <x v="5"/>
    <n v="3075472"/>
  </r>
  <r>
    <x v="151"/>
    <x v="23"/>
    <n v="95000"/>
  </r>
  <r>
    <x v="151"/>
    <x v="0"/>
    <n v="479450"/>
  </r>
  <r>
    <x v="151"/>
    <x v="2"/>
    <n v="3362531"/>
  </r>
  <r>
    <x v="151"/>
    <x v="3"/>
    <n v="14151761"/>
  </r>
  <r>
    <x v="151"/>
    <x v="4"/>
    <n v="1211037"/>
  </r>
  <r>
    <x v="152"/>
    <x v="13"/>
    <n v="1895075"/>
  </r>
  <r>
    <x v="152"/>
    <x v="5"/>
    <n v="2462948"/>
  </r>
  <r>
    <x v="152"/>
    <x v="28"/>
    <n v="157450"/>
  </r>
  <r>
    <x v="152"/>
    <x v="12"/>
    <n v="138085"/>
  </r>
  <r>
    <x v="152"/>
    <x v="0"/>
    <n v="190000"/>
  </r>
  <r>
    <x v="152"/>
    <x v="9"/>
    <n v="248900"/>
  </r>
  <r>
    <x v="152"/>
    <x v="2"/>
    <n v="741950"/>
  </r>
  <r>
    <x v="152"/>
    <x v="3"/>
    <n v="8047974"/>
  </r>
  <r>
    <x v="152"/>
    <x v="4"/>
    <n v="211080"/>
  </r>
  <r>
    <x v="153"/>
    <x v="13"/>
    <n v="1686750"/>
  </r>
  <r>
    <x v="153"/>
    <x v="5"/>
    <n v="1600002"/>
  </r>
  <r>
    <x v="153"/>
    <x v="0"/>
    <n v="105633"/>
  </r>
  <r>
    <x v="153"/>
    <x v="14"/>
    <n v="234543"/>
  </r>
  <r>
    <x v="153"/>
    <x v="2"/>
    <n v="1868359"/>
  </r>
  <r>
    <x v="153"/>
    <x v="3"/>
    <n v="4063775"/>
  </r>
  <r>
    <x v="153"/>
    <x v="4"/>
    <n v="357511"/>
  </r>
  <r>
    <x v="154"/>
    <x v="13"/>
    <n v="666140"/>
  </r>
  <r>
    <x v="154"/>
    <x v="5"/>
    <n v="3212138"/>
  </r>
  <r>
    <x v="154"/>
    <x v="23"/>
    <n v="52500"/>
  </r>
  <r>
    <x v="154"/>
    <x v="2"/>
    <n v="347858"/>
  </r>
  <r>
    <x v="154"/>
    <x v="3"/>
    <n v="4111345"/>
  </r>
  <r>
    <x v="154"/>
    <x v="4"/>
    <n v="147250"/>
  </r>
  <r>
    <x v="155"/>
    <x v="13"/>
    <n v="531050"/>
  </r>
  <r>
    <x v="155"/>
    <x v="5"/>
    <n v="1275977"/>
  </r>
  <r>
    <x v="155"/>
    <x v="23"/>
    <n v="57400"/>
  </r>
  <r>
    <x v="155"/>
    <x v="0"/>
    <n v="102920"/>
  </r>
  <r>
    <x v="155"/>
    <x v="2"/>
    <n v="159500"/>
  </r>
  <r>
    <x v="155"/>
    <x v="3"/>
    <n v="3790257"/>
  </r>
  <r>
    <x v="156"/>
    <x v="2"/>
    <n v="148622"/>
  </r>
  <r>
    <x v="157"/>
    <x v="13"/>
    <n v="447635"/>
  </r>
  <r>
    <x v="157"/>
    <x v="5"/>
    <n v="734528"/>
  </r>
  <r>
    <x v="157"/>
    <x v="2"/>
    <n v="140000"/>
  </r>
  <r>
    <x v="157"/>
    <x v="3"/>
    <n v="1474577"/>
  </r>
  <r>
    <x v="157"/>
    <x v="4"/>
    <n v="196650"/>
  </r>
  <r>
    <x v="158"/>
    <x v="13"/>
    <n v="259300"/>
  </r>
  <r>
    <x v="158"/>
    <x v="5"/>
    <n v="1730173"/>
  </r>
  <r>
    <x v="158"/>
    <x v="26"/>
    <n v="80500"/>
  </r>
  <r>
    <x v="158"/>
    <x v="0"/>
    <n v="80500"/>
  </r>
  <r>
    <x v="158"/>
    <x v="2"/>
    <n v="816820"/>
  </r>
  <r>
    <x v="158"/>
    <x v="3"/>
    <n v="1356276"/>
  </r>
  <r>
    <x v="158"/>
    <x v="4"/>
    <n v="97498"/>
  </r>
  <r>
    <x v="159"/>
    <x v="13"/>
    <n v="262425"/>
  </r>
  <r>
    <x v="159"/>
    <x v="5"/>
    <n v="820770"/>
  </r>
  <r>
    <x v="159"/>
    <x v="25"/>
    <n v="145200"/>
  </r>
  <r>
    <x v="159"/>
    <x v="0"/>
    <n v="237500"/>
  </r>
  <r>
    <x v="159"/>
    <x v="3"/>
    <n v="2338300"/>
  </r>
  <r>
    <x v="160"/>
    <x v="3"/>
    <n v="89904"/>
  </r>
  <r>
    <x v="161"/>
    <x v="13"/>
    <n v="172438"/>
  </r>
  <r>
    <x v="161"/>
    <x v="5"/>
    <n v="1386683"/>
  </r>
  <r>
    <x v="161"/>
    <x v="27"/>
    <n v="98000"/>
  </r>
  <r>
    <x v="161"/>
    <x v="25"/>
    <n v="80510"/>
  </r>
  <r>
    <x v="161"/>
    <x v="3"/>
    <n v="2087711"/>
  </r>
  <r>
    <x v="162"/>
    <x v="13"/>
    <n v="808750"/>
  </r>
  <r>
    <x v="162"/>
    <x v="5"/>
    <n v="2005324"/>
  </r>
  <r>
    <x v="162"/>
    <x v="30"/>
    <n v="100500"/>
  </r>
  <r>
    <x v="162"/>
    <x v="6"/>
    <n v="100000"/>
  </r>
  <r>
    <x v="162"/>
    <x v="3"/>
    <n v="2046337"/>
  </r>
  <r>
    <x v="162"/>
    <x v="4"/>
    <n v="351500"/>
  </r>
  <r>
    <x v="163"/>
    <x v="3"/>
    <n v="121215"/>
  </r>
  <r>
    <x v="164"/>
    <x v="13"/>
    <n v="932900"/>
  </r>
  <r>
    <x v="164"/>
    <x v="5"/>
    <n v="811345"/>
  </r>
  <r>
    <x v="164"/>
    <x v="29"/>
    <n v="175000"/>
  </r>
  <r>
    <x v="164"/>
    <x v="26"/>
    <n v="265000"/>
  </r>
  <r>
    <x v="164"/>
    <x v="2"/>
    <n v="521205"/>
  </r>
  <r>
    <x v="164"/>
    <x v="3"/>
    <n v="2153905"/>
  </r>
  <r>
    <x v="164"/>
    <x v="4"/>
    <n v="497950"/>
  </r>
  <r>
    <x v="165"/>
    <x v="13"/>
    <n v="359947"/>
  </r>
  <r>
    <x v="165"/>
    <x v="5"/>
    <n v="907030"/>
  </r>
  <r>
    <x v="165"/>
    <x v="2"/>
    <n v="416875"/>
  </r>
  <r>
    <x v="165"/>
    <x v="3"/>
    <n v="1625750"/>
  </r>
  <r>
    <x v="166"/>
    <x v="13"/>
    <n v="85770"/>
  </r>
  <r>
    <x v="167"/>
    <x v="13"/>
    <n v="780825"/>
  </r>
  <r>
    <x v="167"/>
    <x v="5"/>
    <n v="1595192"/>
  </r>
  <r>
    <x v="167"/>
    <x v="2"/>
    <n v="414925"/>
  </r>
  <r>
    <x v="167"/>
    <x v="3"/>
    <n v="2115322"/>
  </r>
  <r>
    <x v="167"/>
    <x v="4"/>
    <n v="113950"/>
  </r>
  <r>
    <x v="168"/>
    <x v="2"/>
    <n v="128514"/>
  </r>
  <r>
    <x v="169"/>
    <x v="13"/>
    <n v="1189900"/>
  </r>
  <r>
    <x v="169"/>
    <x v="5"/>
    <n v="2192829"/>
  </r>
  <r>
    <x v="169"/>
    <x v="22"/>
    <n v="185250"/>
  </r>
  <r>
    <x v="169"/>
    <x v="25"/>
    <n v="70000"/>
  </r>
  <r>
    <x v="169"/>
    <x v="2"/>
    <n v="226750"/>
  </r>
  <r>
    <x v="169"/>
    <x v="3"/>
    <n v="1818103"/>
  </r>
  <r>
    <x v="170"/>
    <x v="3"/>
    <n v="156000"/>
  </r>
  <r>
    <x v="171"/>
    <x v="13"/>
    <n v="234650"/>
  </r>
  <r>
    <x v="171"/>
    <x v="5"/>
    <n v="1858705"/>
  </r>
  <r>
    <x v="171"/>
    <x v="6"/>
    <n v="212750"/>
  </r>
  <r>
    <x v="171"/>
    <x v="0"/>
    <n v="108600"/>
  </r>
  <r>
    <x v="171"/>
    <x v="2"/>
    <n v="117500"/>
  </r>
  <r>
    <x v="171"/>
    <x v="3"/>
    <n v="1991085"/>
  </r>
  <r>
    <x v="171"/>
    <x v="4"/>
    <n v="57000"/>
  </r>
  <r>
    <x v="172"/>
    <x v="13"/>
    <n v="217375"/>
  </r>
  <r>
    <x v="172"/>
    <x v="5"/>
    <n v="1192460"/>
  </r>
  <r>
    <x v="172"/>
    <x v="2"/>
    <n v="163850"/>
  </r>
  <r>
    <x v="172"/>
    <x v="3"/>
    <n v="1245005"/>
  </r>
  <r>
    <x v="172"/>
    <x v="4"/>
    <n v="196460"/>
  </r>
  <r>
    <x v="173"/>
    <x v="13"/>
    <n v="111150"/>
  </r>
  <r>
    <x v="173"/>
    <x v="5"/>
    <n v="1324700"/>
  </r>
  <r>
    <x v="173"/>
    <x v="30"/>
    <n v="88000"/>
  </r>
  <r>
    <x v="173"/>
    <x v="2"/>
    <n v="349900"/>
  </r>
  <r>
    <x v="173"/>
    <x v="3"/>
    <n v="1418721"/>
  </r>
  <r>
    <x v="174"/>
    <x v="13"/>
    <n v="257350"/>
  </r>
  <r>
    <x v="174"/>
    <x v="5"/>
    <n v="547475"/>
  </r>
  <r>
    <x v="174"/>
    <x v="2"/>
    <n v="308449"/>
  </r>
  <r>
    <x v="174"/>
    <x v="3"/>
    <n v="769273"/>
  </r>
  <r>
    <x v="175"/>
    <x v="2"/>
    <n v="110268"/>
  </r>
  <r>
    <x v="176"/>
    <x v="13"/>
    <n v="419700"/>
  </r>
  <r>
    <x v="176"/>
    <x v="5"/>
    <n v="1735593"/>
  </r>
  <r>
    <x v="176"/>
    <x v="22"/>
    <n v="166155"/>
  </r>
  <r>
    <x v="176"/>
    <x v="26"/>
    <n v="292110"/>
  </r>
  <r>
    <x v="176"/>
    <x v="2"/>
    <n v="130435"/>
  </r>
  <r>
    <x v="176"/>
    <x v="3"/>
    <n v="1365032"/>
  </r>
  <r>
    <x v="177"/>
    <x v="13"/>
    <n v="304000"/>
  </r>
  <r>
    <x v="177"/>
    <x v="5"/>
    <n v="2274953"/>
  </r>
  <r>
    <x v="177"/>
    <x v="27"/>
    <n v="97400"/>
  </r>
  <r>
    <x v="177"/>
    <x v="2"/>
    <n v="260300"/>
  </r>
  <r>
    <x v="177"/>
    <x v="3"/>
    <n v="1438394"/>
  </r>
  <r>
    <x v="178"/>
    <x v="13"/>
    <n v="362753"/>
  </r>
  <r>
    <x v="178"/>
    <x v="5"/>
    <n v="460745"/>
  </r>
  <r>
    <x v="178"/>
    <x v="22"/>
    <n v="115000"/>
  </r>
  <r>
    <x v="178"/>
    <x v="25"/>
    <n v="201400"/>
  </r>
  <r>
    <x v="178"/>
    <x v="2"/>
    <n v="773100"/>
  </r>
  <r>
    <x v="178"/>
    <x v="3"/>
    <n v="1406405"/>
  </r>
  <r>
    <x v="179"/>
    <x v="13"/>
    <n v="513050"/>
  </r>
  <r>
    <x v="179"/>
    <x v="5"/>
    <n v="1116386"/>
  </r>
  <r>
    <x v="179"/>
    <x v="22"/>
    <n v="62700"/>
  </r>
  <r>
    <x v="179"/>
    <x v="29"/>
    <n v="86500"/>
  </r>
  <r>
    <x v="179"/>
    <x v="6"/>
    <n v="126150"/>
  </r>
  <r>
    <x v="179"/>
    <x v="3"/>
    <n v="1234712"/>
  </r>
  <r>
    <x v="180"/>
    <x v="13"/>
    <n v="415550"/>
  </r>
  <r>
    <x v="180"/>
    <x v="5"/>
    <n v="1220550"/>
  </r>
  <r>
    <x v="180"/>
    <x v="2"/>
    <n v="71250"/>
  </r>
  <r>
    <x v="180"/>
    <x v="3"/>
    <n v="1971788"/>
  </r>
  <r>
    <x v="181"/>
    <x v="13"/>
    <n v="358100"/>
  </r>
  <r>
    <x v="181"/>
    <x v="5"/>
    <n v="1368739"/>
  </r>
  <r>
    <x v="181"/>
    <x v="22"/>
    <n v="151500"/>
  </r>
  <r>
    <x v="181"/>
    <x v="2"/>
    <n v="162886"/>
  </r>
  <r>
    <x v="181"/>
    <x v="3"/>
    <n v="1551225"/>
  </r>
  <r>
    <x v="182"/>
    <x v="13"/>
    <n v="375000"/>
  </r>
  <r>
    <x v="182"/>
    <x v="5"/>
    <n v="1294679"/>
  </r>
  <r>
    <x v="182"/>
    <x v="31"/>
    <n v="95000"/>
  </r>
  <r>
    <x v="182"/>
    <x v="9"/>
    <n v="125400"/>
  </r>
  <r>
    <x v="182"/>
    <x v="2"/>
    <n v="268546"/>
  </r>
  <r>
    <x v="182"/>
    <x v="3"/>
    <n v="2053904"/>
  </r>
  <r>
    <x v="182"/>
    <x v="4"/>
    <n v="89300"/>
  </r>
  <r>
    <x v="183"/>
    <x v="3"/>
    <n v="65070"/>
  </r>
  <r>
    <x v="184"/>
    <x v="13"/>
    <n v="171225"/>
  </r>
  <r>
    <x v="184"/>
    <x v="5"/>
    <n v="1167744"/>
  </r>
  <r>
    <x v="184"/>
    <x v="6"/>
    <n v="108500"/>
  </r>
  <r>
    <x v="184"/>
    <x v="0"/>
    <n v="120000"/>
  </r>
  <r>
    <x v="184"/>
    <x v="2"/>
    <n v="132050"/>
  </r>
  <r>
    <x v="184"/>
    <x v="3"/>
    <n v="1647455"/>
  </r>
  <r>
    <x v="185"/>
    <x v="3"/>
    <n v="93100"/>
  </r>
  <r>
    <x v="186"/>
    <x v="2"/>
    <n v="217767"/>
  </r>
  <r>
    <x v="187"/>
    <x v="13"/>
    <n v="212655"/>
  </r>
  <r>
    <x v="187"/>
    <x v="5"/>
    <n v="1927218"/>
  </r>
  <r>
    <x v="187"/>
    <x v="30"/>
    <n v="121505"/>
  </r>
  <r>
    <x v="187"/>
    <x v="2"/>
    <n v="362788"/>
  </r>
  <r>
    <x v="187"/>
    <x v="3"/>
    <n v="1397588"/>
  </r>
  <r>
    <x v="187"/>
    <x v="4"/>
    <n v="55737"/>
  </r>
  <r>
    <x v="188"/>
    <x v="2"/>
    <n v="107975"/>
  </r>
  <r>
    <x v="188"/>
    <x v="3"/>
    <n v="156920"/>
  </r>
  <r>
    <x v="189"/>
    <x v="13"/>
    <n v="866208"/>
  </r>
  <r>
    <x v="189"/>
    <x v="5"/>
    <n v="1346625"/>
  </r>
  <r>
    <x v="189"/>
    <x v="22"/>
    <n v="87305"/>
  </r>
  <r>
    <x v="189"/>
    <x v="2"/>
    <n v="115537"/>
  </r>
  <r>
    <x v="189"/>
    <x v="3"/>
    <n v="1752402"/>
  </r>
  <r>
    <x v="189"/>
    <x v="4"/>
    <n v="61175"/>
  </r>
  <r>
    <x v="190"/>
    <x v="13"/>
    <n v="699826"/>
  </r>
  <r>
    <x v="190"/>
    <x v="5"/>
    <n v="1152523"/>
  </r>
  <r>
    <x v="190"/>
    <x v="22"/>
    <n v="102800"/>
  </r>
  <r>
    <x v="190"/>
    <x v="27"/>
    <n v="123500"/>
  </r>
  <r>
    <x v="190"/>
    <x v="0"/>
    <n v="164347"/>
  </r>
  <r>
    <x v="190"/>
    <x v="2"/>
    <n v="139550"/>
  </r>
  <r>
    <x v="190"/>
    <x v="3"/>
    <n v="2028466"/>
  </r>
  <r>
    <x v="191"/>
    <x v="5"/>
    <n v="70300"/>
  </r>
  <r>
    <x v="191"/>
    <x v="2"/>
    <n v="104348"/>
  </r>
  <r>
    <x v="192"/>
    <x v="3"/>
    <n v="131950"/>
  </r>
  <r>
    <x v="193"/>
    <x v="13"/>
    <n v="321715"/>
  </r>
  <r>
    <x v="193"/>
    <x v="5"/>
    <n v="479175"/>
  </r>
  <r>
    <x v="193"/>
    <x v="3"/>
    <n v="2478668"/>
  </r>
  <r>
    <x v="194"/>
    <x v="13"/>
    <n v="153382"/>
  </r>
  <r>
    <x v="195"/>
    <x v="13"/>
    <n v="76475"/>
  </r>
  <r>
    <x v="196"/>
    <x v="13"/>
    <n v="126131"/>
  </r>
  <r>
    <x v="196"/>
    <x v="5"/>
    <n v="1075610"/>
  </r>
  <r>
    <x v="196"/>
    <x v="2"/>
    <n v="423964"/>
  </r>
  <r>
    <x v="196"/>
    <x v="3"/>
    <n v="1254320"/>
  </r>
  <r>
    <x v="197"/>
    <x v="5"/>
    <n v="52250"/>
  </r>
  <r>
    <x v="198"/>
    <x v="13"/>
    <n v="99750"/>
  </r>
  <r>
    <x v="198"/>
    <x v="5"/>
    <n v="563733"/>
  </r>
  <r>
    <x v="198"/>
    <x v="2"/>
    <n v="478900"/>
  </r>
  <r>
    <x v="198"/>
    <x v="3"/>
    <n v="1168620"/>
  </r>
  <r>
    <x v="199"/>
    <x v="13"/>
    <n v="52595"/>
  </r>
  <r>
    <x v="200"/>
    <x v="13"/>
    <n v="576231"/>
  </r>
  <r>
    <x v="200"/>
    <x v="5"/>
    <n v="259525"/>
  </r>
  <r>
    <x v="200"/>
    <x v="2"/>
    <n v="177700"/>
  </r>
  <r>
    <x v="200"/>
    <x v="3"/>
    <n v="1290065"/>
  </r>
  <r>
    <x v="201"/>
    <x v="13"/>
    <n v="99981"/>
  </r>
  <r>
    <x v="201"/>
    <x v="3"/>
    <n v="130327"/>
  </r>
  <r>
    <x v="202"/>
    <x v="13"/>
    <n v="114000"/>
  </r>
  <r>
    <x v="202"/>
    <x v="5"/>
    <n v="640271"/>
  </r>
  <r>
    <x v="202"/>
    <x v="2"/>
    <n v="323850"/>
  </r>
  <r>
    <x v="202"/>
    <x v="3"/>
    <n v="663535"/>
  </r>
  <r>
    <x v="202"/>
    <x v="4"/>
    <n v="55850"/>
  </r>
  <r>
    <x v="203"/>
    <x v="13"/>
    <n v="795600"/>
  </r>
  <r>
    <x v="203"/>
    <x v="5"/>
    <n v="346150"/>
  </r>
  <r>
    <x v="203"/>
    <x v="2"/>
    <n v="434150"/>
  </r>
  <r>
    <x v="203"/>
    <x v="3"/>
    <n v="573750"/>
  </r>
  <r>
    <x v="203"/>
    <x v="4"/>
    <n v="24850"/>
  </r>
  <r>
    <x v="204"/>
    <x v="13"/>
    <n v="342000"/>
  </r>
  <r>
    <x v="204"/>
    <x v="5"/>
    <n v="376555"/>
  </r>
  <r>
    <x v="204"/>
    <x v="2"/>
    <n v="28400"/>
  </r>
  <r>
    <x v="204"/>
    <x v="3"/>
    <n v="1058121"/>
  </r>
  <r>
    <x v="205"/>
    <x v="13"/>
    <n v="240350"/>
  </r>
  <r>
    <x v="205"/>
    <x v="5"/>
    <n v="200345"/>
  </r>
  <r>
    <x v="205"/>
    <x v="3"/>
    <n v="283300"/>
  </r>
  <r>
    <x v="206"/>
    <x v="13"/>
    <n v="75900"/>
  </r>
  <r>
    <x v="206"/>
    <x v="5"/>
    <n v="643305"/>
  </r>
  <r>
    <x v="206"/>
    <x v="6"/>
    <n v="103000"/>
  </r>
  <r>
    <x v="206"/>
    <x v="2"/>
    <n v="95000"/>
  </r>
  <r>
    <x v="206"/>
    <x v="3"/>
    <n v="581450"/>
  </r>
  <r>
    <x v="206"/>
    <x v="4"/>
    <n v="154079"/>
  </r>
  <r>
    <x v="207"/>
    <x v="13"/>
    <n v="654635"/>
  </r>
  <r>
    <x v="207"/>
    <x v="5"/>
    <n v="626005"/>
  </r>
  <r>
    <x v="207"/>
    <x v="3"/>
    <n v="140050"/>
  </r>
  <r>
    <x v="208"/>
    <x v="5"/>
    <n v="1024350"/>
  </r>
  <r>
    <x v="208"/>
    <x v="2"/>
    <n v="113905"/>
  </r>
  <r>
    <x v="208"/>
    <x v="3"/>
    <n v="278100"/>
  </r>
  <r>
    <x v="209"/>
    <x v="5"/>
    <n v="498875"/>
  </r>
  <r>
    <x v="209"/>
    <x v="3"/>
    <n v="327700"/>
  </r>
  <r>
    <x v="210"/>
    <x v="13"/>
    <n v="61750"/>
  </r>
  <r>
    <x v="210"/>
    <x v="5"/>
    <n v="194268"/>
  </r>
  <r>
    <x v="210"/>
    <x v="32"/>
    <n v="86991"/>
  </r>
  <r>
    <x v="210"/>
    <x v="3"/>
    <n v="451350"/>
  </r>
  <r>
    <x v="211"/>
    <x v="5"/>
    <n v="314263"/>
  </r>
  <r>
    <x v="211"/>
    <x v="3"/>
    <n v="397100"/>
  </r>
  <r>
    <x v="212"/>
    <x v="5"/>
    <n v="160290"/>
  </r>
  <r>
    <x v="212"/>
    <x v="3"/>
    <n v="58900"/>
  </r>
  <r>
    <x v="213"/>
    <x v="13"/>
    <n v="222500"/>
  </r>
  <r>
    <x v="213"/>
    <x v="5"/>
    <n v="296900"/>
  </r>
  <r>
    <x v="213"/>
    <x v="3"/>
    <n v="227900"/>
  </r>
  <r>
    <x v="214"/>
    <x v="13"/>
    <n v="172400"/>
  </r>
  <r>
    <x v="214"/>
    <x v="5"/>
    <n v="682105"/>
  </r>
  <r>
    <x v="214"/>
    <x v="28"/>
    <n v="52250"/>
  </r>
  <r>
    <x v="214"/>
    <x v="3"/>
    <n v="858838"/>
  </r>
  <r>
    <x v="214"/>
    <x v="4"/>
    <n v="37000"/>
  </r>
  <r>
    <x v="215"/>
    <x v="13"/>
    <n v="521855"/>
  </r>
  <r>
    <x v="215"/>
    <x v="5"/>
    <n v="458600"/>
  </r>
  <r>
    <x v="215"/>
    <x v="3"/>
    <n v="1218826"/>
  </r>
  <r>
    <x v="216"/>
    <x v="13"/>
    <n v="85400"/>
  </r>
  <r>
    <x v="216"/>
    <x v="5"/>
    <n v="553675"/>
  </r>
  <r>
    <x v="216"/>
    <x v="2"/>
    <n v="218768"/>
  </r>
  <r>
    <x v="216"/>
    <x v="3"/>
    <n v="981130"/>
  </r>
  <r>
    <x v="216"/>
    <x v="4"/>
    <n v="54200"/>
  </r>
  <r>
    <x v="217"/>
    <x v="5"/>
    <n v="99600"/>
  </r>
  <r>
    <x v="217"/>
    <x v="3"/>
    <n v="1092983"/>
  </r>
  <r>
    <x v="218"/>
    <x v="13"/>
    <n v="83980"/>
  </r>
  <r>
    <x v="218"/>
    <x v="5"/>
    <n v="237500"/>
  </r>
  <r>
    <x v="218"/>
    <x v="2"/>
    <n v="52250"/>
  </r>
  <r>
    <x v="218"/>
    <x v="3"/>
    <n v="295750"/>
  </r>
  <r>
    <x v="219"/>
    <x v="5"/>
    <n v="331002"/>
  </r>
  <r>
    <x v="219"/>
    <x v="2"/>
    <n v="66000"/>
  </r>
  <r>
    <x v="219"/>
    <x v="3"/>
    <n v="186005"/>
  </r>
  <r>
    <x v="220"/>
    <x v="5"/>
    <n v="249730"/>
  </r>
  <r>
    <x v="220"/>
    <x v="2"/>
    <n v="69825"/>
  </r>
  <r>
    <x v="220"/>
    <x v="3"/>
    <n v="137750"/>
  </r>
  <r>
    <x v="221"/>
    <x v="5"/>
    <n v="103000"/>
  </r>
  <r>
    <x v="221"/>
    <x v="3"/>
    <n v="134845"/>
  </r>
  <r>
    <x v="222"/>
    <x v="13"/>
    <n v="123250"/>
  </r>
  <r>
    <x v="222"/>
    <x v="5"/>
    <n v="785259"/>
  </r>
  <r>
    <x v="222"/>
    <x v="3"/>
    <n v="360040"/>
  </r>
  <r>
    <x v="223"/>
    <x v="3"/>
    <n v="46550"/>
  </r>
  <r>
    <x v="224"/>
    <x v="13"/>
    <n v="55000"/>
  </r>
  <r>
    <x v="224"/>
    <x v="5"/>
    <n v="95000"/>
  </r>
  <r>
    <x v="224"/>
    <x v="3"/>
    <n v="327000"/>
  </r>
  <r>
    <x v="225"/>
    <x v="13"/>
    <n v="48900"/>
  </r>
  <r>
    <x v="225"/>
    <x v="5"/>
    <n v="115100"/>
  </r>
  <r>
    <x v="225"/>
    <x v="3"/>
    <n v="94000"/>
  </r>
  <r>
    <x v="226"/>
    <x v="5"/>
    <n v="72350"/>
  </r>
  <r>
    <x v="227"/>
    <x v="13"/>
    <n v="180500"/>
  </r>
  <r>
    <x v="227"/>
    <x v="5"/>
    <n v="33150"/>
  </r>
  <r>
    <x v="228"/>
    <x v="13"/>
    <n v="38000"/>
  </r>
  <r>
    <x v="228"/>
    <x v="3"/>
    <n v="55100"/>
  </r>
  <r>
    <x v="229"/>
    <x v="13"/>
    <n v="101000"/>
  </r>
  <r>
    <x v="229"/>
    <x v="5"/>
    <n v="79800"/>
  </r>
  <r>
    <x v="230"/>
    <x v="3"/>
    <n v="98300"/>
  </r>
  <r>
    <x v="231"/>
    <x v="4"/>
    <n v="124650"/>
  </r>
  <r>
    <x v="232"/>
    <x v="13"/>
    <n v="218500"/>
  </r>
  <r>
    <x v="232"/>
    <x v="5"/>
    <n v="362710"/>
  </r>
  <r>
    <x v="232"/>
    <x v="3"/>
    <n v="54000"/>
  </r>
  <r>
    <x v="233"/>
    <x v="13"/>
    <n v="50350"/>
  </r>
  <r>
    <x v="234"/>
    <x v="5"/>
    <n v="28500"/>
  </r>
  <r>
    <x v="235"/>
    <x v="2"/>
    <n v="30400"/>
  </r>
  <r>
    <x v="236"/>
    <x v="3"/>
    <n v="93150"/>
  </r>
  <r>
    <x v="237"/>
    <x v="2"/>
    <n v="96425"/>
  </r>
  <r>
    <x v="237"/>
    <x v="3"/>
    <n v="132525"/>
  </r>
  <r>
    <x v="238"/>
    <x v="2"/>
    <n v="57000"/>
  </r>
  <r>
    <x v="239"/>
    <x v="5"/>
    <n v="89300"/>
  </r>
  <r>
    <x v="239"/>
    <x v="3"/>
    <n v="175750"/>
  </r>
  <r>
    <x v="240"/>
    <x v="5"/>
    <n v="223250"/>
  </r>
  <r>
    <x v="241"/>
    <x v="5"/>
    <n v="53350"/>
  </r>
  <r>
    <x v="241"/>
    <x v="3"/>
    <n v="51300"/>
  </r>
  <r>
    <x v="242"/>
    <x v="5"/>
    <n v="72100"/>
  </r>
  <r>
    <x v="242"/>
    <x v="3"/>
    <n v="75750"/>
  </r>
  <r>
    <x v="243"/>
    <x v="5"/>
    <n v="207220"/>
  </r>
  <r>
    <x v="244"/>
    <x v="3"/>
    <n v="96900"/>
  </r>
  <r>
    <x v="245"/>
    <x v="2"/>
    <n v="32258"/>
  </r>
  <r>
    <x v="246"/>
    <x v="5"/>
    <n v="191850"/>
  </r>
  <r>
    <x v="247"/>
    <x v="5"/>
    <n v="89300"/>
  </r>
  <r>
    <x v="247"/>
    <x v="3"/>
    <n v="436050"/>
  </r>
  <r>
    <x v="248"/>
    <x v="5"/>
    <n v="79290"/>
  </r>
  <r>
    <x v="248"/>
    <x v="2"/>
    <n v="207800"/>
  </r>
  <r>
    <x v="248"/>
    <x v="3"/>
    <n v="53200"/>
  </r>
  <r>
    <x v="249"/>
    <x v="3"/>
    <n v="347000"/>
  </r>
  <r>
    <x v="250"/>
    <x v="2"/>
    <n v="80140"/>
  </r>
  <r>
    <x v="251"/>
    <x v="5"/>
    <n v="388740"/>
  </r>
  <r>
    <x v="251"/>
    <x v="3"/>
    <n v="239675"/>
  </r>
  <r>
    <x v="252"/>
    <x v="5"/>
    <n v="84550"/>
  </r>
  <r>
    <x v="252"/>
    <x v="3"/>
    <n v="80750"/>
  </r>
  <r>
    <x v="253"/>
    <x v="5"/>
    <n v="321850"/>
  </r>
  <r>
    <x v="253"/>
    <x v="3"/>
    <n v="413087"/>
  </r>
  <r>
    <x v="254"/>
    <x v="3"/>
    <n v="321752"/>
  </r>
  <r>
    <x v="255"/>
    <x v="5"/>
    <n v="39900"/>
  </r>
  <r>
    <x v="255"/>
    <x v="3"/>
    <n v="674818"/>
  </r>
  <r>
    <x v="256"/>
    <x v="3"/>
    <n v="230250"/>
  </r>
  <r>
    <x v="257"/>
    <x v="5"/>
    <n v="131500"/>
  </r>
  <r>
    <x v="257"/>
    <x v="3"/>
    <n v="211975"/>
  </r>
  <r>
    <x v="258"/>
    <x v="5"/>
    <n v="309750"/>
  </r>
  <r>
    <x v="258"/>
    <x v="3"/>
    <n v="28405"/>
  </r>
  <r>
    <x v="259"/>
    <x v="5"/>
    <n v="404350"/>
  </r>
  <r>
    <x v="259"/>
    <x v="3"/>
    <n v="379285"/>
  </r>
  <r>
    <x v="260"/>
    <x v="3"/>
    <n v="79800"/>
  </r>
  <r>
    <x v="261"/>
    <x v="5"/>
    <n v="121506"/>
  </r>
  <r>
    <x v="261"/>
    <x v="3"/>
    <n v="69000"/>
  </r>
  <r>
    <x v="262"/>
    <x v="3"/>
    <n v="45600"/>
  </r>
  <r>
    <x v="263"/>
    <x v="5"/>
    <n v="148200"/>
  </r>
  <r>
    <x v="263"/>
    <x v="3"/>
    <n v="69500"/>
  </r>
  <r>
    <x v="264"/>
    <x v="5"/>
    <n v="137200"/>
  </r>
  <r>
    <x v="264"/>
    <x v="3"/>
    <n v="36000"/>
  </r>
  <r>
    <x v="265"/>
    <x v="5"/>
    <n v="72105"/>
  </r>
  <r>
    <x v="266"/>
    <x v="13"/>
    <n v="66250"/>
  </r>
  <r>
    <x v="267"/>
    <x v="5"/>
    <n v="135850"/>
  </r>
  <r>
    <x v="267"/>
    <x v="3"/>
    <n v="149150"/>
  </r>
  <r>
    <x v="268"/>
    <x v="5"/>
    <n v="82550"/>
  </r>
  <r>
    <x v="268"/>
    <x v="8"/>
    <n v="38000"/>
  </r>
  <r>
    <x v="269"/>
    <x v="5"/>
    <n v="69350"/>
  </r>
  <r>
    <x v="269"/>
    <x v="3"/>
    <n v="35625"/>
  </r>
  <r>
    <x v="270"/>
    <x v="5"/>
    <n v="37900"/>
  </r>
  <r>
    <x v="271"/>
    <x v="5"/>
    <n v="84050"/>
  </r>
  <r>
    <x v="272"/>
    <x v="5"/>
    <n v="266000"/>
  </r>
  <r>
    <x v="273"/>
    <x v="5"/>
    <n v="125875"/>
  </r>
  <r>
    <x v="274"/>
    <x v="2"/>
    <n v="89300"/>
  </r>
  <r>
    <x v="275"/>
    <x v="5"/>
    <n v="35600"/>
  </r>
  <r>
    <x v="276"/>
    <x v="5"/>
    <n v="132800"/>
  </r>
  <r>
    <x v="277"/>
    <x v="13"/>
    <n v="44000"/>
  </r>
  <r>
    <x v="277"/>
    <x v="5"/>
    <n v="79800"/>
  </r>
  <r>
    <x v="277"/>
    <x v="3"/>
    <n v="39900"/>
  </r>
  <r>
    <x v="278"/>
    <x v="13"/>
    <n v="37900"/>
  </r>
  <r>
    <x v="279"/>
    <x v="5"/>
    <n v="33250"/>
  </r>
  <r>
    <x v="280"/>
    <x v="5"/>
    <n v="50800"/>
  </r>
  <r>
    <x v="281"/>
    <x v="5"/>
    <n v="62700"/>
  </r>
  <r>
    <x v="281"/>
    <x v="3"/>
    <n v="120650"/>
  </r>
  <r>
    <x v="282"/>
    <x v="5"/>
    <n v="47000"/>
  </r>
  <r>
    <x v="282"/>
    <x v="3"/>
    <n v="109250"/>
  </r>
  <r>
    <x v="283"/>
    <x v="5"/>
    <n v="118750"/>
  </r>
  <r>
    <x v="284"/>
    <x v="5"/>
    <n v="45600"/>
  </r>
  <r>
    <x v="284"/>
    <x v="3"/>
    <n v="57000"/>
  </r>
  <r>
    <x v="285"/>
    <x v="5"/>
    <n v="69350"/>
  </r>
  <r>
    <x v="285"/>
    <x v="3"/>
    <n v="63650"/>
  </r>
  <r>
    <x v="286"/>
    <x v="3"/>
    <n v="40300"/>
  </r>
  <r>
    <x v="287"/>
    <x v="2"/>
    <n v="45000"/>
  </r>
  <r>
    <x v="288"/>
    <x v="5"/>
    <n v="149910"/>
  </r>
  <r>
    <x v="289"/>
    <x v="5"/>
    <n v="107800"/>
  </r>
  <r>
    <x v="290"/>
    <x v="2"/>
    <n v="109600"/>
  </r>
  <r>
    <x v="291"/>
    <x v="13"/>
    <n v="58400"/>
  </r>
  <r>
    <x v="291"/>
    <x v="5"/>
    <n v="50000"/>
  </r>
  <r>
    <x v="292"/>
    <x v="5"/>
    <n v="63500"/>
  </r>
  <r>
    <x v="292"/>
    <x v="2"/>
    <n v="51750"/>
  </r>
  <r>
    <x v="293"/>
    <x v="5"/>
    <n v="46250"/>
  </r>
  <r>
    <x v="293"/>
    <x v="2"/>
    <n v="119400"/>
  </r>
  <r>
    <x v="294"/>
    <x v="5"/>
    <n v="109150"/>
  </r>
  <r>
    <x v="294"/>
    <x v="15"/>
    <n v="125400"/>
  </r>
  <r>
    <x v="294"/>
    <x v="2"/>
    <n v="346600"/>
  </r>
  <r>
    <x v="295"/>
    <x v="2"/>
    <n v="93200"/>
  </r>
  <r>
    <x v="296"/>
    <x v="15"/>
    <n v="115900"/>
  </r>
  <r>
    <x v="296"/>
    <x v="2"/>
    <n v="54600"/>
  </r>
  <r>
    <x v="297"/>
    <x v="5"/>
    <n v="135850"/>
  </r>
  <r>
    <x v="297"/>
    <x v="2"/>
    <n v="46050"/>
  </r>
  <r>
    <x v="298"/>
    <x v="5"/>
    <n v="144900"/>
  </r>
  <r>
    <x v="298"/>
    <x v="15"/>
    <n v="153900"/>
  </r>
  <r>
    <x v="298"/>
    <x v="2"/>
    <n v="93500"/>
  </r>
  <r>
    <x v="298"/>
    <x v="3"/>
    <n v="35600"/>
  </r>
  <r>
    <x v="299"/>
    <x v="5"/>
    <n v="145800"/>
  </r>
  <r>
    <x v="299"/>
    <x v="2"/>
    <n v="66000"/>
  </r>
  <r>
    <x v="300"/>
    <x v="5"/>
    <n v="138510"/>
  </r>
  <r>
    <x v="300"/>
    <x v="3"/>
    <n v="102500"/>
  </r>
  <r>
    <x v="301"/>
    <x v="5"/>
    <n v="51750"/>
  </r>
  <r>
    <x v="302"/>
    <x v="13"/>
    <n v="63650"/>
  </r>
  <r>
    <x v="302"/>
    <x v="5"/>
    <n v="102550"/>
  </r>
  <r>
    <x v="302"/>
    <x v="3"/>
    <n v="130600"/>
  </r>
  <r>
    <x v="303"/>
    <x v="5"/>
    <n v="46450"/>
  </r>
  <r>
    <x v="304"/>
    <x v="5"/>
    <n v="40850"/>
  </r>
  <r>
    <x v="305"/>
    <x v="5"/>
    <n v="52250"/>
  </r>
  <r>
    <x v="306"/>
    <x v="5"/>
    <n v="28500"/>
  </r>
  <r>
    <x v="307"/>
    <x v="5"/>
    <n v="57000"/>
  </r>
  <r>
    <x v="308"/>
    <x v="5"/>
    <n v="80750"/>
  </r>
  <r>
    <x v="309"/>
    <x v="5"/>
    <n v="80600"/>
  </r>
  <r>
    <x v="310"/>
    <x v="5"/>
    <n v="71200"/>
  </r>
  <r>
    <x v="311"/>
    <x v="33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35">
  <r>
    <x v="0"/>
    <n v="80.033595715329"/>
    <n v="5343753994"/>
    <x v="0"/>
  </r>
  <r>
    <x v="0"/>
    <n v="86.510156249999994"/>
    <n v="258973315"/>
    <x v="1"/>
  </r>
  <r>
    <x v="0"/>
    <n v="90.312759429705807"/>
    <n v="968908129"/>
    <x v="2"/>
  </r>
  <r>
    <x v="0"/>
    <n v="95.006549757025098"/>
    <n v="920084712"/>
    <x v="3"/>
  </r>
  <r>
    <x v="0"/>
    <n v="61.276737108320098"/>
    <n v="5047080668"/>
    <x v="4"/>
  </r>
  <r>
    <x v="0"/>
    <n v="99.837514623683802"/>
    <n v="1196380109"/>
    <x v="5"/>
  </r>
  <r>
    <x v="1"/>
    <n v="80.002161636478107"/>
    <n v="88876038212"/>
    <x v="0"/>
  </r>
  <r>
    <x v="1"/>
    <n v="86.623164763458405"/>
    <n v="109406493"/>
    <x v="1"/>
  </r>
  <r>
    <x v="1"/>
    <n v="91.027160493827097"/>
    <n v="214477151"/>
    <x v="2"/>
  </r>
  <r>
    <x v="1"/>
    <n v="95.154584221748394"/>
    <n v="162146292"/>
    <x v="3"/>
  </r>
  <r>
    <x v="1"/>
    <n v="62.3610991051561"/>
    <n v="74754582503"/>
    <x v="4"/>
  </r>
  <r>
    <x v="1"/>
    <n v="101.169286120053"/>
    <n v="1641972213"/>
    <x v="5"/>
  </r>
  <r>
    <x v="2"/>
    <n v="90.75"/>
    <n v="579600"/>
    <x v="2"/>
  </r>
  <r>
    <x v="3"/>
    <n v="91.75"/>
    <n v="503998"/>
    <x v="2"/>
  </r>
  <r>
    <x v="4"/>
    <n v="93"/>
    <n v="312000"/>
    <x v="2"/>
  </r>
  <r>
    <x v="5"/>
    <n v="94"/>
    <n v="689690"/>
    <x v="2"/>
  </r>
  <r>
    <x v="6"/>
    <n v="94"/>
    <n v="349310"/>
    <x v="2"/>
  </r>
  <r>
    <x v="6"/>
    <n v="95"/>
    <n v="175000"/>
    <x v="3"/>
  </r>
  <r>
    <x v="7"/>
    <n v="83.054878048780395"/>
    <n v="39143154"/>
    <x v="0"/>
  </r>
  <r>
    <x v="7"/>
    <n v="85.002564102564094"/>
    <n v="56010590"/>
    <x v="1"/>
  </r>
  <r>
    <x v="7"/>
    <n v="95"/>
    <n v="999875"/>
    <x v="3"/>
  </r>
  <r>
    <x v="7"/>
    <n v="100"/>
    <n v="86600"/>
    <x v="5"/>
  </r>
  <r>
    <x v="8"/>
    <n v="86"/>
    <n v="86000"/>
    <x v="1"/>
  </r>
  <r>
    <x v="9"/>
    <n v="84"/>
    <n v="325000"/>
    <x v="0"/>
  </r>
  <r>
    <x v="9"/>
    <n v="97.0625"/>
    <n v="4287716"/>
    <x v="5"/>
  </r>
  <r>
    <x v="10"/>
    <n v="83.125"/>
    <n v="2810405"/>
    <x v="0"/>
  </r>
  <r>
    <x v="10"/>
    <n v="85"/>
    <n v="7224139"/>
    <x v="1"/>
  </r>
  <r>
    <x v="10"/>
    <n v="99"/>
    <n v="249673"/>
    <x v="5"/>
  </r>
  <r>
    <x v="11"/>
    <n v="88.25"/>
    <n v="667300"/>
    <x v="1"/>
  </r>
  <r>
    <x v="11"/>
    <n v="100"/>
    <n v="322375"/>
    <x v="5"/>
  </r>
  <r>
    <x v="12"/>
    <n v="100"/>
    <n v="12129692"/>
    <x v="5"/>
  </r>
  <r>
    <x v="13"/>
    <n v="83.129982668977405"/>
    <n v="988848650"/>
    <x v="0"/>
  </r>
  <r>
    <x v="13"/>
    <n v="85.166525628626601"/>
    <n v="3111825393"/>
    <x v="1"/>
  </r>
  <r>
    <x v="13"/>
    <n v="90.002718446601904"/>
    <n v="418720749"/>
    <x v="2"/>
  </r>
  <r>
    <x v="13"/>
    <n v="65.599999999999994"/>
    <n v="8234300"/>
    <x v="4"/>
  </r>
  <r>
    <x v="14"/>
    <n v="81"/>
    <n v="218700"/>
    <x v="0"/>
  </r>
  <r>
    <x v="14"/>
    <n v="85"/>
    <n v="246900"/>
    <x v="1"/>
  </r>
  <r>
    <x v="14"/>
    <n v="90"/>
    <n v="266850"/>
    <x v="2"/>
  </r>
  <r>
    <x v="15"/>
    <n v="83.46"/>
    <n v="8740731"/>
    <x v="0"/>
  </r>
  <r>
    <x v="15"/>
    <n v="85"/>
    <n v="27553412"/>
    <x v="1"/>
  </r>
  <r>
    <x v="15"/>
    <n v="90"/>
    <n v="349559"/>
    <x v="2"/>
  </r>
  <r>
    <x v="15"/>
    <n v="95"/>
    <n v="104650"/>
    <x v="3"/>
  </r>
  <r>
    <x v="16"/>
    <n v="85"/>
    <n v="342200"/>
    <x v="1"/>
  </r>
  <r>
    <x v="16"/>
    <n v="90"/>
    <n v="296100"/>
    <x v="2"/>
  </r>
  <r>
    <x v="16"/>
    <n v="100"/>
    <n v="60000"/>
    <x v="5"/>
  </r>
  <r>
    <x v="17"/>
    <n v="83.25"/>
    <n v="462750"/>
    <x v="0"/>
  </r>
  <r>
    <x v="17"/>
    <n v="87.3333333333333"/>
    <n v="742650"/>
    <x v="1"/>
  </r>
  <r>
    <x v="17"/>
    <n v="92.764670296430694"/>
    <n v="229163567"/>
    <x v="2"/>
  </r>
  <r>
    <x v="17"/>
    <n v="95.000743273375903"/>
    <n v="1092029499"/>
    <x v="3"/>
  </r>
  <r>
    <x v="17"/>
    <n v="97"/>
    <n v="116867"/>
    <x v="5"/>
  </r>
  <r>
    <x v="18"/>
    <n v="82.911564625850303"/>
    <n v="19464621"/>
    <x v="0"/>
  </r>
  <r>
    <x v="18"/>
    <n v="87.582542694497107"/>
    <n v="619167396"/>
    <x v="1"/>
  </r>
  <r>
    <x v="18"/>
    <n v="90.024996566405704"/>
    <n v="3074074218"/>
    <x v="2"/>
  </r>
  <r>
    <x v="18"/>
    <n v="95"/>
    <n v="1853050"/>
    <x v="3"/>
  </r>
  <r>
    <x v="18"/>
    <n v="53.5"/>
    <n v="387000"/>
    <x v="4"/>
  </r>
  <r>
    <x v="19"/>
    <n v="81.599999999999994"/>
    <n v="717636"/>
    <x v="0"/>
  </r>
  <r>
    <x v="19"/>
    <n v="87.1"/>
    <n v="2580964"/>
    <x v="1"/>
  </r>
  <r>
    <x v="19"/>
    <n v="92.209090909090904"/>
    <n v="33906828"/>
    <x v="2"/>
  </r>
  <r>
    <x v="19"/>
    <n v="95.549630844954805"/>
    <n v="189090615"/>
    <x v="3"/>
  </r>
  <r>
    <x v="19"/>
    <n v="69"/>
    <n v="102723"/>
    <x v="4"/>
  </r>
  <r>
    <x v="19"/>
    <n v="97.002758937808906"/>
    <n v="1304177348"/>
    <x v="5"/>
  </r>
  <r>
    <x v="20"/>
    <n v="82.7777777777777"/>
    <n v="1162938"/>
    <x v="0"/>
  </r>
  <r>
    <x v="20"/>
    <n v="85"/>
    <n v="368950"/>
    <x v="1"/>
  </r>
  <r>
    <x v="20"/>
    <n v="95"/>
    <n v="171000"/>
    <x v="3"/>
  </r>
  <r>
    <x v="20"/>
    <n v="97.5"/>
    <n v="259875"/>
    <x v="5"/>
  </r>
  <r>
    <x v="21"/>
    <n v="82.428571428571402"/>
    <n v="3901873"/>
    <x v="0"/>
  </r>
  <r>
    <x v="21"/>
    <n v="86.254237288135499"/>
    <n v="10201191"/>
    <x v="1"/>
  </r>
  <r>
    <x v="21"/>
    <n v="91.444999999999993"/>
    <n v="29202915"/>
    <x v="2"/>
  </r>
  <r>
    <x v="21"/>
    <n v="95.220108695652101"/>
    <n v="57699354"/>
    <x v="3"/>
  </r>
  <r>
    <x v="21"/>
    <n v="65.6875"/>
    <n v="1823419"/>
    <x v="4"/>
  </r>
  <r>
    <x v="21"/>
    <n v="99.977851709408895"/>
    <n v="16411951637"/>
    <x v="5"/>
  </r>
  <r>
    <x v="22"/>
    <n v="83"/>
    <n v="148500"/>
    <x v="0"/>
  </r>
  <r>
    <x v="22"/>
    <n v="100"/>
    <n v="191410"/>
    <x v="5"/>
  </r>
  <r>
    <x v="23"/>
    <n v="84"/>
    <n v="390000"/>
    <x v="0"/>
  </r>
  <r>
    <x v="23"/>
    <n v="87.714285714285694"/>
    <n v="9036890"/>
    <x v="1"/>
  </r>
  <r>
    <x v="23"/>
    <n v="90.042944785276006"/>
    <n v="31252781"/>
    <x v="2"/>
  </r>
  <r>
    <x v="23"/>
    <n v="95"/>
    <n v="2596550"/>
    <x v="3"/>
  </r>
  <r>
    <x v="23"/>
    <n v="73"/>
    <n v="165500"/>
    <x v="4"/>
  </r>
  <r>
    <x v="23"/>
    <n v="100"/>
    <n v="829300"/>
    <x v="5"/>
  </r>
  <r>
    <x v="24"/>
    <n v="101"/>
    <n v="1638009"/>
    <x v="5"/>
  </r>
  <r>
    <x v="25"/>
    <n v="89"/>
    <n v="109200"/>
    <x v="1"/>
  </r>
  <r>
    <x v="25"/>
    <n v="90"/>
    <n v="137000"/>
    <x v="2"/>
  </r>
  <r>
    <x v="25"/>
    <n v="100"/>
    <n v="618300"/>
    <x v="5"/>
  </r>
  <r>
    <x v="26"/>
    <n v="81.964071856287404"/>
    <n v="33726669"/>
    <x v="0"/>
  </r>
  <r>
    <x v="26"/>
    <n v="87.764407421431201"/>
    <n v="2582890238"/>
    <x v="1"/>
  </r>
  <r>
    <x v="26"/>
    <n v="90.087389590298898"/>
    <n v="18342869246"/>
    <x v="2"/>
  </r>
  <r>
    <x v="26"/>
    <n v="95.001254516258498"/>
    <n v="3966270354"/>
    <x v="3"/>
  </r>
  <r>
    <x v="26"/>
    <n v="66.729729729729698"/>
    <n v="12521748"/>
    <x v="4"/>
  </r>
  <r>
    <x v="26"/>
    <n v="99.895305907172897"/>
    <n v="645673275"/>
    <x v="5"/>
  </r>
  <r>
    <x v="27"/>
    <n v="88"/>
    <n v="197000"/>
    <x v="1"/>
  </r>
  <r>
    <x v="27"/>
    <n v="90"/>
    <n v="225900"/>
    <x v="2"/>
  </r>
  <r>
    <x v="27"/>
    <n v="95"/>
    <n v="296875"/>
    <x v="3"/>
  </r>
  <r>
    <x v="27"/>
    <n v="100"/>
    <n v="52894"/>
    <x v="5"/>
  </r>
  <r>
    <x v="28"/>
    <n v="87.748148148148104"/>
    <n v="22454186"/>
    <x v="1"/>
  </r>
  <r>
    <x v="28"/>
    <n v="90.120437956204299"/>
    <n v="139359623"/>
    <x v="2"/>
  </r>
  <r>
    <x v="28"/>
    <n v="95"/>
    <n v="37549274"/>
    <x v="3"/>
  </r>
  <r>
    <x v="28"/>
    <n v="102"/>
    <n v="281695"/>
    <x v="5"/>
  </r>
  <r>
    <x v="29"/>
    <n v="95"/>
    <n v="501600"/>
    <x v="3"/>
  </r>
  <r>
    <x v="29"/>
    <n v="99"/>
    <n v="481605"/>
    <x v="5"/>
  </r>
  <r>
    <x v="30"/>
    <n v="80.849462365591293"/>
    <n v="21764872"/>
    <x v="0"/>
  </r>
  <r>
    <x v="30"/>
    <n v="87.584337349397501"/>
    <n v="71464603"/>
    <x v="1"/>
  </r>
  <r>
    <x v="30"/>
    <n v="92.2322227030145"/>
    <n v="2504723227"/>
    <x v="2"/>
  </r>
  <r>
    <x v="30"/>
    <n v="95.000338530401905"/>
    <n v="19451501363"/>
    <x v="3"/>
  </r>
  <r>
    <x v="30"/>
    <n v="63.507042253521099"/>
    <n v="11249037"/>
    <x v="4"/>
  </r>
  <r>
    <x v="30"/>
    <n v="98.584589614740295"/>
    <n v="102975686"/>
    <x v="5"/>
  </r>
  <r>
    <x v="31"/>
    <n v="95"/>
    <n v="430350"/>
    <x v="3"/>
  </r>
  <r>
    <x v="31"/>
    <n v="100"/>
    <n v="130000"/>
    <x v="5"/>
  </r>
  <r>
    <x v="32"/>
    <n v="87.3333333333333"/>
    <n v="3115876"/>
    <x v="1"/>
  </r>
  <r>
    <x v="32"/>
    <n v="91.949152542372801"/>
    <n v="27405978"/>
    <x v="2"/>
  </r>
  <r>
    <x v="32"/>
    <n v="95"/>
    <n v="158248372"/>
    <x v="3"/>
  </r>
  <r>
    <x v="32"/>
    <n v="99.8125"/>
    <n v="12260510"/>
    <x v="5"/>
  </r>
  <r>
    <x v="33"/>
    <n v="92"/>
    <n v="87112"/>
    <x v="2"/>
  </r>
  <r>
    <x v="33"/>
    <n v="95"/>
    <n v="120650"/>
    <x v="3"/>
  </r>
  <r>
    <x v="33"/>
    <n v="100"/>
    <n v="79957"/>
    <x v="5"/>
  </r>
  <r>
    <x v="34"/>
    <n v="85"/>
    <n v="110415"/>
    <x v="1"/>
  </r>
  <r>
    <x v="34"/>
    <n v="90"/>
    <n v="139050"/>
    <x v="2"/>
  </r>
  <r>
    <x v="34"/>
    <n v="100"/>
    <n v="170000"/>
    <x v="5"/>
  </r>
  <r>
    <x v="35"/>
    <n v="81.400000000000006"/>
    <n v="2631163"/>
    <x v="0"/>
  </r>
  <r>
    <x v="35"/>
    <n v="86.897435897435798"/>
    <n v="6333270"/>
    <x v="1"/>
  </r>
  <r>
    <x v="35"/>
    <n v="91.349714285714199"/>
    <n v="147913282"/>
    <x v="2"/>
  </r>
  <r>
    <x v="35"/>
    <n v="95.0963323022536"/>
    <n v="748575148"/>
    <x v="3"/>
  </r>
  <r>
    <x v="35"/>
    <n v="63"/>
    <n v="499005"/>
    <x v="4"/>
  </r>
  <r>
    <x v="35"/>
    <n v="99.709581904083805"/>
    <n v="10419001014"/>
    <x v="5"/>
  </r>
  <r>
    <x v="36"/>
    <n v="85"/>
    <n v="133450"/>
    <x v="1"/>
  </r>
  <r>
    <x v="36"/>
    <n v="95"/>
    <n v="156750"/>
    <x v="3"/>
  </r>
  <r>
    <x v="36"/>
    <n v="100"/>
    <n v="422480"/>
    <x v="5"/>
  </r>
  <r>
    <x v="37"/>
    <n v="91.3333333333333"/>
    <n v="969786"/>
    <x v="2"/>
  </r>
  <r>
    <x v="37"/>
    <n v="95"/>
    <n v="5192252"/>
    <x v="3"/>
  </r>
  <r>
    <x v="37"/>
    <n v="99.623853211009106"/>
    <n v="54449328"/>
    <x v="5"/>
  </r>
  <r>
    <x v="38"/>
    <n v="100"/>
    <n v="841000"/>
    <x v="5"/>
  </r>
  <r>
    <x v="39"/>
    <n v="90"/>
    <n v="202500"/>
    <x v="2"/>
  </r>
  <r>
    <x v="39"/>
    <n v="95.5"/>
    <n v="193100"/>
    <x v="3"/>
  </r>
  <r>
    <x v="39"/>
    <n v="99.941176470588204"/>
    <n v="11595474"/>
    <x v="5"/>
  </r>
  <r>
    <x v="40"/>
    <n v="100"/>
    <n v="90000"/>
    <x v="5"/>
  </r>
  <r>
    <x v="41"/>
    <n v="100"/>
    <n v="132000"/>
    <x v="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66">
  <r>
    <n v="83.063583815028906"/>
    <n v="42278559"/>
    <x v="0"/>
    <x v="0"/>
  </r>
  <r>
    <n v="85.034642032332499"/>
    <n v="63988029"/>
    <x v="1"/>
    <x v="0"/>
  </r>
  <r>
    <n v="95"/>
    <n v="999875"/>
    <x v="2"/>
    <x v="0"/>
  </r>
  <r>
    <n v="99.244094488188907"/>
    <n v="17076056"/>
    <x v="3"/>
    <x v="0"/>
  </r>
  <r>
    <n v="83.1328125"/>
    <n v="998270831"/>
    <x v="0"/>
    <x v="1"/>
  </r>
  <r>
    <n v="85.165838174522307"/>
    <n v="3140710555"/>
    <x v="1"/>
    <x v="1"/>
  </r>
  <r>
    <n v="91.080500472143498"/>
    <n v="648796825"/>
    <x v="4"/>
    <x v="1"/>
  </r>
  <r>
    <n v="95.000743052459498"/>
    <n v="1092134149"/>
    <x v="2"/>
    <x v="1"/>
  </r>
  <r>
    <n v="65.599999999999994"/>
    <n v="8234300"/>
    <x v="5"/>
    <x v="1"/>
  </r>
  <r>
    <n v="98.5"/>
    <n v="176867"/>
    <x v="3"/>
    <x v="1"/>
  </r>
  <r>
    <n v="82.911564625850303"/>
    <n v="19464621"/>
    <x v="0"/>
    <x v="2"/>
  </r>
  <r>
    <n v="87.582542694497107"/>
    <n v="619167396"/>
    <x v="1"/>
    <x v="2"/>
  </r>
  <r>
    <n v="90.024996566405704"/>
    <n v="3074074218"/>
    <x v="4"/>
    <x v="2"/>
  </r>
  <r>
    <n v="95"/>
    <n v="1853050"/>
    <x v="2"/>
    <x v="2"/>
  </r>
  <r>
    <n v="53.5"/>
    <n v="387000"/>
    <x v="5"/>
    <x v="2"/>
  </r>
  <r>
    <n v="82.357142857142804"/>
    <n v="1880574"/>
    <x v="0"/>
    <x v="3"/>
  </r>
  <r>
    <n v="86.75"/>
    <n v="2949914"/>
    <x v="1"/>
    <x v="3"/>
  </r>
  <r>
    <n v="92.209090909090904"/>
    <n v="33906828"/>
    <x v="4"/>
    <x v="3"/>
  </r>
  <r>
    <n v="95.548730548730504"/>
    <n v="189261615"/>
    <x v="2"/>
    <x v="3"/>
  </r>
  <r>
    <n v="69"/>
    <n v="102723"/>
    <x v="5"/>
    <x v="3"/>
  </r>
  <r>
    <n v="97.002873232961704"/>
    <n v="1304437223"/>
    <x v="3"/>
    <x v="3"/>
  </r>
  <r>
    <n v="82.448275862068897"/>
    <n v="4050373"/>
    <x v="0"/>
    <x v="4"/>
  </r>
  <r>
    <n v="86.254237288135499"/>
    <n v="10201191"/>
    <x v="1"/>
    <x v="4"/>
  </r>
  <r>
    <n v="91.444999999999993"/>
    <n v="29202915"/>
    <x v="4"/>
    <x v="4"/>
  </r>
  <r>
    <n v="95.220108695652101"/>
    <n v="57699354"/>
    <x v="2"/>
    <x v="4"/>
  </r>
  <r>
    <n v="65.6875"/>
    <n v="1823419"/>
    <x v="5"/>
    <x v="4"/>
  </r>
  <r>
    <n v="99.977852086311302"/>
    <n v="16412143047"/>
    <x v="3"/>
    <x v="4"/>
  </r>
  <r>
    <n v="84"/>
    <n v="390000"/>
    <x v="0"/>
    <x v="5"/>
  </r>
  <r>
    <n v="87.744186046511601"/>
    <n v="9146090"/>
    <x v="1"/>
    <x v="5"/>
  </r>
  <r>
    <n v="90.042682926829201"/>
    <n v="31389781"/>
    <x v="4"/>
    <x v="5"/>
  </r>
  <r>
    <n v="95"/>
    <n v="2596550"/>
    <x v="2"/>
    <x v="5"/>
  </r>
  <r>
    <n v="73"/>
    <n v="165500"/>
    <x v="5"/>
    <x v="5"/>
  </r>
  <r>
    <n v="100.54545454545401"/>
    <n v="3085609"/>
    <x v="3"/>
    <x v="5"/>
  </r>
  <r>
    <n v="81.964071856287404"/>
    <n v="33726669"/>
    <x v="0"/>
    <x v="6"/>
  </r>
  <r>
    <n v="87.764260550183593"/>
    <n v="2605541424"/>
    <x v="1"/>
    <x v="6"/>
  </r>
  <r>
    <n v="90.0876567774379"/>
    <n v="18482454769"/>
    <x v="4"/>
    <x v="6"/>
  </r>
  <r>
    <n v="95.001243100790603"/>
    <n v="4004618103"/>
    <x v="2"/>
    <x v="6"/>
  </r>
  <r>
    <n v="66.729729729729698"/>
    <n v="12521748"/>
    <x v="5"/>
    <x v="6"/>
  </r>
  <r>
    <n v="99.895498815477694"/>
    <n v="646489469"/>
    <x v="3"/>
    <x v="6"/>
  </r>
  <r>
    <n v="80.849462365591293"/>
    <n v="21764872"/>
    <x v="0"/>
    <x v="7"/>
  </r>
  <r>
    <n v="87.570599613152794"/>
    <n v="74690894"/>
    <x v="1"/>
    <x v="7"/>
  </r>
  <r>
    <n v="92.228479886080393"/>
    <n v="2532355367"/>
    <x v="4"/>
    <x v="7"/>
  </r>
  <r>
    <n v="95.000335670595206"/>
    <n v="19610300735"/>
    <x v="2"/>
    <x v="7"/>
  </r>
  <r>
    <n v="63.507042253521099"/>
    <n v="11249037"/>
    <x v="5"/>
    <x v="7"/>
  </r>
  <r>
    <n v="98.709337349397501"/>
    <n v="115616153"/>
    <x v="3"/>
    <x v="7"/>
  </r>
  <r>
    <n v="81.400000000000006"/>
    <n v="2631163"/>
    <x v="0"/>
    <x v="8"/>
  </r>
  <r>
    <n v="86.85"/>
    <n v="6466720"/>
    <x v="1"/>
    <x v="8"/>
  </r>
  <r>
    <n v="91.349602724177004"/>
    <n v="148883068"/>
    <x v="4"/>
    <x v="8"/>
  </r>
  <r>
    <n v="95.095425694900399"/>
    <n v="753924150"/>
    <x v="2"/>
    <x v="8"/>
  </r>
  <r>
    <n v="63"/>
    <n v="499005"/>
    <x v="5"/>
    <x v="8"/>
  </r>
  <r>
    <n v="99.709163474846306"/>
    <n v="10474713822"/>
    <x v="3"/>
    <x v="8"/>
  </r>
  <r>
    <n v="80.002161636478107"/>
    <n v="88876038212"/>
    <x v="0"/>
    <x v="9"/>
  </r>
  <r>
    <n v="86.623164763458405"/>
    <n v="109406493"/>
    <x v="1"/>
    <x v="9"/>
  </r>
  <r>
    <n v="91.051094890510896"/>
    <n v="216911749"/>
    <x v="4"/>
    <x v="9"/>
  </r>
  <r>
    <n v="95.154419595314096"/>
    <n v="162321292"/>
    <x v="2"/>
    <x v="9"/>
  </r>
  <r>
    <n v="62.3610991051561"/>
    <n v="74754582503"/>
    <x v="5"/>
    <x v="9"/>
  </r>
  <r>
    <n v="101.169286120053"/>
    <n v="1641972213"/>
    <x v="3"/>
    <x v="9"/>
  </r>
  <r>
    <n v="80.033595715329"/>
    <n v="5343753994"/>
    <x v="0"/>
    <x v="10"/>
  </r>
  <r>
    <n v="86.510156249999994"/>
    <n v="258973315"/>
    <x v="1"/>
    <x v="10"/>
  </r>
  <r>
    <n v="90.312759429705807"/>
    <n v="968908129"/>
    <x v="4"/>
    <x v="10"/>
  </r>
  <r>
    <n v="95.006549757025098"/>
    <n v="920084712"/>
    <x v="2"/>
    <x v="10"/>
  </r>
  <r>
    <n v="61.276737108320098"/>
    <n v="5047080668"/>
    <x v="5"/>
    <x v="10"/>
  </r>
  <r>
    <n v="99.837514623683802"/>
    <n v="1196380109"/>
    <x v="3"/>
    <x v="10"/>
  </r>
  <r>
    <n v="90"/>
    <n v="202500"/>
    <x v="4"/>
    <x v="11"/>
  </r>
  <r>
    <n v="95.5"/>
    <n v="193100"/>
    <x v="2"/>
    <x v="11"/>
  </r>
  <r>
    <n v="99.942857142857093"/>
    <n v="11817474"/>
    <x v="3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1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N32" firstHeaderRow="1" firstDataRow="2" firstDataCol="1"/>
  <pivotFields count="3">
    <pivotField axis="axisRow" numFmtId="14" showAll="0">
      <items count="34">
        <item x="27"/>
        <item x="26"/>
        <item x="25"/>
        <item x="24"/>
        <item x="23"/>
        <item x="22"/>
        <item x="21"/>
        <item x="20"/>
        <item x="19"/>
        <item m="1" x="29"/>
        <item x="18"/>
        <item x="17"/>
        <item x="16"/>
        <item m="1" x="30"/>
        <item x="15"/>
        <item x="14"/>
        <item m="1" x="28"/>
        <item x="13"/>
        <item x="12"/>
        <item x="11"/>
        <item x="10"/>
        <item x="9"/>
        <item x="8"/>
        <item x="7"/>
        <item x="6"/>
        <item m="1" x="31"/>
        <item x="5"/>
        <item x="4"/>
        <item x="3"/>
        <item x="2"/>
        <item m="1" x="32"/>
        <item x="1"/>
        <item h="1" x="0"/>
        <item t="default"/>
      </items>
    </pivotField>
    <pivotField axis="axisCol" showAll="0">
      <items count="13">
        <item x="5"/>
        <item x="6"/>
        <item x="0"/>
        <item x="1"/>
        <item x="9"/>
        <item x="2"/>
        <item x="10"/>
        <item x="3"/>
        <item x="11"/>
        <item x="8"/>
        <item x="4"/>
        <item x="7"/>
        <item t="default"/>
      </items>
    </pivotField>
    <pivotField dataField="1" showAll="0"/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4"/>
    </i>
    <i>
      <x v="15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6"/>
    </i>
    <i>
      <x v="27"/>
    </i>
    <i>
      <x v="28"/>
    </i>
    <i>
      <x v="29"/>
    </i>
    <i>
      <x v="31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sum(cello_loan.originalLoanAmount)" fld="2" showDataAs="percentOfRow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AJ317" firstHeaderRow="1" firstDataRow="2" firstDataCol="1"/>
  <pivotFields count="3">
    <pivotField axis="axisRow" showAll="0">
      <items count="313"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311"/>
        <item t="default"/>
      </items>
    </pivotField>
    <pivotField axis="axisCol" showAll="0">
      <items count="35">
        <item x="13"/>
        <item x="5"/>
        <item x="20"/>
        <item x="19"/>
        <item x="32"/>
        <item x="28"/>
        <item x="22"/>
        <item x="31"/>
        <item x="29"/>
        <item x="27"/>
        <item x="30"/>
        <item x="26"/>
        <item x="6"/>
        <item x="25"/>
        <item x="23"/>
        <item x="12"/>
        <item x="0"/>
        <item x="14"/>
        <item x="1"/>
        <item x="9"/>
        <item x="15"/>
        <item x="2"/>
        <item x="21"/>
        <item x="10"/>
        <item x="18"/>
        <item x="24"/>
        <item x="3"/>
        <item x="17"/>
        <item x="11"/>
        <item x="8"/>
        <item x="4"/>
        <item x="16"/>
        <item x="7"/>
        <item x="33"/>
        <item t="default"/>
      </items>
    </pivotField>
    <pivotField dataField="1" showAll="0"/>
  </pivotFields>
  <rowFields count="1">
    <field x="0"/>
  </rowFields>
  <rowItems count="3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 t="grand">
      <x/>
    </i>
  </rowItems>
  <colFields count="1">
    <field x="1"/>
  </colFields>
  <col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colItems>
  <dataFields count="1">
    <dataField name="Sum of sum(cello_loan.originalLoanAmount)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2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E23:AL37" firstHeaderRow="1" firstDataRow="2" firstDataCol="1"/>
  <pivotFields count="4">
    <pivotField showAll="0"/>
    <pivotField dataField="1" showAll="0"/>
    <pivotField axis="axisCol" showAll="0">
      <items count="7">
        <item x="0"/>
        <item x="1"/>
        <item x="4"/>
        <item x="2"/>
        <item x="5"/>
        <item x="3"/>
        <item t="default"/>
      </items>
    </pivotField>
    <pivotField axis="axisRow" showAll="0" sortType="ascending">
      <items count="14">
        <item x="9"/>
        <item x="0"/>
        <item x="1"/>
        <item x="2"/>
        <item x="3"/>
        <item x="4"/>
        <item x="5"/>
        <item x="6"/>
        <item x="7"/>
        <item x="8"/>
        <item m="1" x="12"/>
        <item x="11"/>
        <item x="10"/>
        <item t="default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um(cello_loan.originalLoanAmount)" fld="1" baseField="0" baseItem="0"/>
  </dataFields>
  <conditionalFormats count="5">
    <conditionalFormat priority="1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6" selected="0">
              <x v="0"/>
              <x v="1"/>
              <x v="2"/>
              <x v="3"/>
              <x v="4"/>
              <x v="5"/>
            </reference>
            <reference field="3" count="1">
              <x v="1"/>
            </reference>
          </references>
        </pivotArea>
      </pivotAreas>
    </conditionalFormat>
    <conditionalFormat priority="1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6" selected="0">
              <x v="0"/>
              <x v="1"/>
              <x v="2"/>
              <x v="3"/>
              <x v="4"/>
              <x v="5"/>
            </reference>
            <reference field="3" count="1">
              <x v="1"/>
            </reference>
          </references>
        </pivotArea>
      </pivotAreas>
    </conditionalFormat>
    <conditionalFormat priority="1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6" selected="0">
              <x v="0"/>
              <x v="1"/>
              <x v="2"/>
              <x v="3"/>
              <x v="4"/>
              <x v="5"/>
            </reference>
            <reference field="3" count="11"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  <conditionalFormat priority="1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6" selected="0">
              <x v="0"/>
              <x v="1"/>
              <x v="2"/>
              <x v="3"/>
              <x v="4"/>
              <x v="5"/>
            </reference>
            <reference field="3" count="11"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  <conditionalFormat priority="1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6" selected="0">
              <x v="0"/>
              <x v="1"/>
              <x v="2"/>
              <x v="3"/>
              <x v="4"/>
              <x v="5"/>
            </reference>
            <reference field="3" count="9"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2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E3:AL17" firstHeaderRow="1" firstDataRow="2" firstDataCol="1"/>
  <pivotFields count="4">
    <pivotField showAll="0"/>
    <pivotField dataField="1" showAll="0"/>
    <pivotField axis="axisCol" showAll="0">
      <items count="7">
        <item x="0"/>
        <item x="1"/>
        <item x="4"/>
        <item x="2"/>
        <item x="5"/>
        <item x="3"/>
        <item t="default"/>
      </items>
    </pivotField>
    <pivotField axis="axisRow" showAll="0" sortType="ascending">
      <items count="14">
        <item x="9"/>
        <item x="0"/>
        <item x="1"/>
        <item x="2"/>
        <item x="3"/>
        <item x="4"/>
        <item x="5"/>
        <item x="6"/>
        <item x="7"/>
        <item x="8"/>
        <item m="1" x="12"/>
        <item x="11"/>
        <item x="10"/>
        <item t="default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um(cello_loan.originalLoanAmount)" fld="1" showDataAs="percentOfRow" baseField="0" baseItem="0" numFmtId="10"/>
  </dataFields>
  <conditionalFormats count="6">
    <conditionalFormat priority="2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6" selected="0">
              <x v="0"/>
              <x v="1"/>
              <x v="2"/>
              <x v="3"/>
              <x v="4"/>
              <x v="5"/>
            </reference>
            <reference field="3" count="1">
              <x v="1"/>
            </reference>
          </references>
        </pivotArea>
      </pivotAreas>
    </conditionalFormat>
    <conditionalFormat priority="2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6" selected="0">
              <x v="0"/>
              <x v="1"/>
              <x v="2"/>
              <x v="3"/>
              <x v="4"/>
              <x v="5"/>
            </reference>
            <reference field="3" count="1">
              <x v="1"/>
            </reference>
          </references>
        </pivotArea>
      </pivotAreas>
    </conditionalFormat>
    <conditionalFormat priority="2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6" selected="0">
              <x v="0"/>
              <x v="1"/>
              <x v="2"/>
              <x v="3"/>
              <x v="4"/>
              <x v="5"/>
            </reference>
            <reference field="3" count="11"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  <conditionalFormat priority="2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6" selected="0">
              <x v="0"/>
              <x v="1"/>
              <x v="2"/>
              <x v="3"/>
              <x v="4"/>
              <x v="5"/>
            </reference>
            <reference field="3" count="11"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  <conditionalFormat priority="1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6" selected="0">
              <x v="0"/>
              <x v="1"/>
              <x v="2"/>
              <x v="3"/>
              <x v="4"/>
              <x v="5"/>
            </reference>
            <reference field="3" count="1">
              <x v="0"/>
            </reference>
          </references>
        </pivotArea>
      </pivotAreas>
    </conditionalFormat>
    <conditionalFormat priority="1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6" selected="0">
              <x v="0"/>
              <x v="1"/>
              <x v="2"/>
              <x v="3"/>
              <x v="4"/>
              <x v="5"/>
            </reference>
            <reference field="3" count="1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2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H47" firstHeaderRow="1" firstDataRow="2" firstDataCol="1"/>
  <pivotFields count="4">
    <pivotField axis="axisRow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showAll="0"/>
    <pivotField dataField="1" showAll="0"/>
    <pivotField axis="axisCol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0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um(cello_loan.originalLoanAmount)" fld="2" showDataAs="percentOfRow" baseField="0" baseItem="0" numFmtId="10"/>
  </dataFields>
  <conditionalFormats count="4">
    <conditionalFormat priority="34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3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"/>
            </reference>
            <reference field="3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3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0"/>
            </reference>
            <reference field="3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2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40"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</reference>
            <reference field="3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70"/>
  <sheetViews>
    <sheetView workbookViewId="0">
      <selection activeCell="AC29" sqref="AC29"/>
    </sheetView>
  </sheetViews>
  <sheetFormatPr defaultRowHeight="15" x14ac:dyDescent="0.25"/>
  <cols>
    <col min="1" max="1" width="41.42578125" bestFit="1" customWidth="1"/>
    <col min="2" max="2" width="16.28515625" bestFit="1" customWidth="1"/>
    <col min="3" max="8" width="5.140625" customWidth="1"/>
    <col min="9" max="9" width="6.140625" customWidth="1"/>
    <col min="10" max="13" width="5.140625" customWidth="1"/>
    <col min="14" max="14" width="11.28515625" customWidth="1"/>
  </cols>
  <sheetData>
    <row r="3" spans="1:14" x14ac:dyDescent="0.25">
      <c r="A3" s="2" t="s">
        <v>6</v>
      </c>
      <c r="B3" s="2" t="s">
        <v>5</v>
      </c>
    </row>
    <row r="4" spans="1:14" x14ac:dyDescent="0.25">
      <c r="A4" s="2" t="s">
        <v>3</v>
      </c>
      <c r="B4">
        <v>0</v>
      </c>
      <c r="C4">
        <v>12</v>
      </c>
      <c r="D4">
        <v>16</v>
      </c>
      <c r="E4">
        <v>18</v>
      </c>
      <c r="F4">
        <v>20</v>
      </c>
      <c r="G4">
        <v>25</v>
      </c>
      <c r="H4">
        <v>27</v>
      </c>
      <c r="I4">
        <v>30</v>
      </c>
      <c r="J4">
        <v>32</v>
      </c>
      <c r="K4">
        <v>33</v>
      </c>
      <c r="L4">
        <v>35</v>
      </c>
      <c r="M4">
        <v>40</v>
      </c>
      <c r="N4" t="s">
        <v>4</v>
      </c>
    </row>
    <row r="5" spans="1:14" x14ac:dyDescent="0.25">
      <c r="A5" s="3">
        <v>41640</v>
      </c>
      <c r="B5" s="5">
        <v>9.4681125303501291E-3</v>
      </c>
      <c r="C5" s="5">
        <v>0</v>
      </c>
      <c r="D5" s="5">
        <v>2.9632287593793017E-3</v>
      </c>
      <c r="E5" s="5">
        <v>1.1002371980621474E-3</v>
      </c>
      <c r="F5" s="5">
        <v>3.5651096805424623E-4</v>
      </c>
      <c r="G5" s="5">
        <v>2.1991731595207984E-2</v>
      </c>
      <c r="H5" s="5">
        <v>0</v>
      </c>
      <c r="I5" s="5">
        <v>0.96377852260456087</v>
      </c>
      <c r="J5" s="5">
        <v>0</v>
      </c>
      <c r="K5" s="5">
        <v>0</v>
      </c>
      <c r="L5" s="5">
        <v>3.4165634438531928E-4</v>
      </c>
      <c r="M5" s="5">
        <v>0</v>
      </c>
      <c r="N5" s="5">
        <v>1</v>
      </c>
    </row>
    <row r="6" spans="1:14" x14ac:dyDescent="0.25">
      <c r="A6" s="3">
        <v>41671</v>
      </c>
      <c r="B6" s="5">
        <v>5.5119092190509559E-3</v>
      </c>
      <c r="C6" s="5">
        <v>0</v>
      </c>
      <c r="D6" s="5">
        <v>1.7887436289145326E-3</v>
      </c>
      <c r="E6" s="5">
        <v>0</v>
      </c>
      <c r="F6" s="5">
        <v>0</v>
      </c>
      <c r="G6" s="5">
        <v>2.4496165674711138E-2</v>
      </c>
      <c r="H6" s="5">
        <v>0</v>
      </c>
      <c r="I6" s="5">
        <v>0.96629929778667156</v>
      </c>
      <c r="J6" s="5">
        <v>0</v>
      </c>
      <c r="K6" s="5">
        <v>0</v>
      </c>
      <c r="L6" s="5">
        <v>1.9038836906518583E-3</v>
      </c>
      <c r="M6" s="5">
        <v>0</v>
      </c>
      <c r="N6" s="5">
        <v>1</v>
      </c>
    </row>
    <row r="7" spans="1:14" x14ac:dyDescent="0.25">
      <c r="A7" s="3">
        <v>41699</v>
      </c>
      <c r="B7" s="5">
        <v>3.5201058594889639E-3</v>
      </c>
      <c r="C7" s="5">
        <v>0</v>
      </c>
      <c r="D7" s="5">
        <v>3.5971269764324162E-3</v>
      </c>
      <c r="E7" s="5">
        <v>0</v>
      </c>
      <c r="F7" s="5">
        <v>0</v>
      </c>
      <c r="G7" s="5">
        <v>1.7100782179206679E-2</v>
      </c>
      <c r="H7" s="5">
        <v>0</v>
      </c>
      <c r="I7" s="5">
        <v>0.9757819849848719</v>
      </c>
      <c r="J7" s="5">
        <v>0</v>
      </c>
      <c r="K7" s="5">
        <v>0</v>
      </c>
      <c r="L7" s="5">
        <v>0</v>
      </c>
      <c r="M7" s="5">
        <v>0</v>
      </c>
      <c r="N7" s="5">
        <v>1</v>
      </c>
    </row>
    <row r="8" spans="1:14" x14ac:dyDescent="0.25">
      <c r="A8" s="3">
        <v>41730</v>
      </c>
      <c r="B8" s="5">
        <v>3.5519343465197986E-3</v>
      </c>
      <c r="C8" s="5">
        <v>0</v>
      </c>
      <c r="D8" s="5">
        <v>4.183651014453147E-3</v>
      </c>
      <c r="E8" s="5">
        <v>0</v>
      </c>
      <c r="F8" s="5">
        <v>0</v>
      </c>
      <c r="G8" s="5">
        <v>1.2033235962143608E-2</v>
      </c>
      <c r="H8" s="5">
        <v>0</v>
      </c>
      <c r="I8" s="5">
        <v>0.97648780326765039</v>
      </c>
      <c r="J8" s="5">
        <v>0</v>
      </c>
      <c r="K8" s="5">
        <v>0</v>
      </c>
      <c r="L8" s="5">
        <v>3.7433754092330769E-3</v>
      </c>
      <c r="M8" s="5">
        <v>0</v>
      </c>
      <c r="N8" s="5">
        <v>1</v>
      </c>
    </row>
    <row r="9" spans="1:14" x14ac:dyDescent="0.25">
      <c r="A9" s="3">
        <v>41760</v>
      </c>
      <c r="B9" s="5">
        <v>3.6585305992603108E-3</v>
      </c>
      <c r="C9" s="5">
        <v>0</v>
      </c>
      <c r="D9" s="5">
        <v>6.4191692225144094E-3</v>
      </c>
      <c r="E9" s="5">
        <v>0</v>
      </c>
      <c r="F9" s="5">
        <v>0</v>
      </c>
      <c r="G9" s="5">
        <v>1.6761416262349366E-2</v>
      </c>
      <c r="H9" s="5">
        <v>0</v>
      </c>
      <c r="I9" s="5">
        <v>0.97189946550928852</v>
      </c>
      <c r="J9" s="5">
        <v>0</v>
      </c>
      <c r="K9" s="5">
        <v>0</v>
      </c>
      <c r="L9" s="5">
        <v>1.2614184065873855E-3</v>
      </c>
      <c r="M9" s="5">
        <v>0</v>
      </c>
      <c r="N9" s="5">
        <v>1</v>
      </c>
    </row>
    <row r="10" spans="1:14" x14ac:dyDescent="0.25">
      <c r="A10" s="3">
        <v>41791</v>
      </c>
      <c r="B10" s="5">
        <v>3.6030480202478795E-3</v>
      </c>
      <c r="C10" s="5">
        <v>0</v>
      </c>
      <c r="D10" s="5">
        <v>4.4999912470553285E-3</v>
      </c>
      <c r="E10" s="5">
        <v>1.6071818848388241E-4</v>
      </c>
      <c r="F10" s="5">
        <v>0</v>
      </c>
      <c r="G10" s="5">
        <v>1.2047551472070313E-2</v>
      </c>
      <c r="H10" s="5">
        <v>0</v>
      </c>
      <c r="I10" s="5">
        <v>0.9794571545876315</v>
      </c>
      <c r="J10" s="5">
        <v>0</v>
      </c>
      <c r="K10" s="5">
        <v>0</v>
      </c>
      <c r="L10" s="5">
        <v>2.3153648451105212E-4</v>
      </c>
      <c r="M10" s="5">
        <v>0</v>
      </c>
      <c r="N10" s="5">
        <v>1</v>
      </c>
    </row>
    <row r="11" spans="1:14" x14ac:dyDescent="0.25">
      <c r="A11" s="3">
        <v>41821</v>
      </c>
      <c r="B11" s="5">
        <v>1.759382095505813E-3</v>
      </c>
      <c r="C11" s="5">
        <v>0</v>
      </c>
      <c r="D11" s="5">
        <v>5.0637777344920325E-3</v>
      </c>
      <c r="E11" s="5">
        <v>0</v>
      </c>
      <c r="F11" s="5">
        <v>0</v>
      </c>
      <c r="G11" s="5">
        <v>1.2682053711533279E-2</v>
      </c>
      <c r="H11" s="5">
        <v>0</v>
      </c>
      <c r="I11" s="5">
        <v>0.9800522571946223</v>
      </c>
      <c r="J11" s="5">
        <v>0</v>
      </c>
      <c r="K11" s="5">
        <v>0</v>
      </c>
      <c r="L11" s="5">
        <v>4.4252926384653998E-4</v>
      </c>
      <c r="M11" s="5">
        <v>0</v>
      </c>
      <c r="N11" s="5">
        <v>1</v>
      </c>
    </row>
    <row r="12" spans="1:14" x14ac:dyDescent="0.25">
      <c r="A12" s="3">
        <v>41852</v>
      </c>
      <c r="B12" s="5">
        <v>2.9687120227475366E-3</v>
      </c>
      <c r="C12" s="5">
        <v>1.9924784983809922E-4</v>
      </c>
      <c r="D12" s="5">
        <v>5.3254098965431207E-3</v>
      </c>
      <c r="E12" s="5">
        <v>7.4593703864733317E-4</v>
      </c>
      <c r="F12" s="5">
        <v>0</v>
      </c>
      <c r="G12" s="5">
        <v>1.4781341149208812E-2</v>
      </c>
      <c r="H12" s="5">
        <v>0</v>
      </c>
      <c r="I12" s="5">
        <v>0.97444217995588422</v>
      </c>
      <c r="J12" s="5">
        <v>1.0552602410144489E-4</v>
      </c>
      <c r="K12" s="5">
        <v>0</v>
      </c>
      <c r="L12" s="5">
        <v>1.4316460630294328E-3</v>
      </c>
      <c r="M12" s="5">
        <v>0</v>
      </c>
      <c r="N12" s="5">
        <v>1</v>
      </c>
    </row>
    <row r="13" spans="1:14" x14ac:dyDescent="0.25">
      <c r="A13" s="3">
        <v>41883</v>
      </c>
      <c r="B13" s="5">
        <v>1.2789252069043456E-3</v>
      </c>
      <c r="C13" s="5">
        <v>0</v>
      </c>
      <c r="D13" s="5">
        <v>7.0044861588978262E-3</v>
      </c>
      <c r="E13" s="5">
        <v>4.6177690431714602E-4</v>
      </c>
      <c r="F13" s="5">
        <v>0</v>
      </c>
      <c r="G13" s="5">
        <v>1.2695331090022027E-2</v>
      </c>
      <c r="H13" s="5">
        <v>0</v>
      </c>
      <c r="I13" s="5">
        <v>0.97795584264987623</v>
      </c>
      <c r="J13" s="5">
        <v>0</v>
      </c>
      <c r="K13" s="5">
        <v>0</v>
      </c>
      <c r="L13" s="5">
        <v>6.0363798998244115E-4</v>
      </c>
      <c r="M13" s="5">
        <v>0</v>
      </c>
      <c r="N13" s="5">
        <v>1</v>
      </c>
    </row>
    <row r="14" spans="1:14" x14ac:dyDescent="0.25">
      <c r="A14" s="3">
        <v>41913</v>
      </c>
      <c r="B14" s="5">
        <v>2.8608043864549759E-3</v>
      </c>
      <c r="C14" s="5">
        <v>0</v>
      </c>
      <c r="D14" s="5">
        <v>6.2388272131863555E-3</v>
      </c>
      <c r="E14" s="5">
        <v>7.6576101737518766E-4</v>
      </c>
      <c r="F14" s="5">
        <v>0</v>
      </c>
      <c r="G14" s="5">
        <v>1.374396453683786E-2</v>
      </c>
      <c r="H14" s="5">
        <v>0</v>
      </c>
      <c r="I14" s="5">
        <v>0.9762818699743594</v>
      </c>
      <c r="J14" s="5">
        <v>0</v>
      </c>
      <c r="K14" s="5">
        <v>0</v>
      </c>
      <c r="L14" s="5">
        <v>1.0877287178624825E-4</v>
      </c>
      <c r="M14" s="5">
        <v>0</v>
      </c>
      <c r="N14" s="5">
        <v>1</v>
      </c>
    </row>
    <row r="15" spans="1:14" x14ac:dyDescent="0.25">
      <c r="A15" s="3">
        <v>41944</v>
      </c>
      <c r="B15" s="5">
        <v>2.721160258358554E-3</v>
      </c>
      <c r="C15" s="5">
        <v>0</v>
      </c>
      <c r="D15" s="5">
        <v>6.3675846467450706E-3</v>
      </c>
      <c r="E15" s="5">
        <v>4.473882418240475E-4</v>
      </c>
      <c r="F15" s="5">
        <v>0</v>
      </c>
      <c r="G15" s="5">
        <v>1.2722414934215524E-2</v>
      </c>
      <c r="H15" s="5">
        <v>0</v>
      </c>
      <c r="I15" s="5">
        <v>0.97727243133467123</v>
      </c>
      <c r="J15" s="5">
        <v>0</v>
      </c>
      <c r="K15" s="5">
        <v>0</v>
      </c>
      <c r="L15" s="5">
        <v>4.6902058418559238E-4</v>
      </c>
      <c r="M15" s="5">
        <v>0</v>
      </c>
      <c r="N15" s="5">
        <v>1</v>
      </c>
    </row>
    <row r="16" spans="1:14" x14ac:dyDescent="0.25">
      <c r="A16" s="3">
        <v>41974</v>
      </c>
      <c r="B16" s="5">
        <v>1.7915623828021277E-3</v>
      </c>
      <c r="C16" s="5">
        <v>0</v>
      </c>
      <c r="D16" s="5">
        <v>6.7888966337295029E-3</v>
      </c>
      <c r="E16" s="5">
        <v>4.9711424041614131E-4</v>
      </c>
      <c r="F16" s="5">
        <v>7.5265251442760601E-4</v>
      </c>
      <c r="G16" s="5">
        <v>1.2608140050575084E-2</v>
      </c>
      <c r="H16" s="5">
        <v>0</v>
      </c>
      <c r="I16" s="5">
        <v>0.97596431814302576</v>
      </c>
      <c r="J16" s="5">
        <v>0</v>
      </c>
      <c r="K16" s="5">
        <v>0</v>
      </c>
      <c r="L16" s="5">
        <v>1.5973160350237895E-3</v>
      </c>
      <c r="M16" s="5">
        <v>0</v>
      </c>
      <c r="N16" s="5">
        <v>1</v>
      </c>
    </row>
    <row r="17" spans="1:14" x14ac:dyDescent="0.25">
      <c r="A17" s="3">
        <v>42005</v>
      </c>
      <c r="B17" s="5">
        <v>6.1891766276560495E-4</v>
      </c>
      <c r="C17" s="5">
        <v>0</v>
      </c>
      <c r="D17" s="5">
        <v>7.3630161872633333E-3</v>
      </c>
      <c r="E17" s="5">
        <v>0</v>
      </c>
      <c r="F17" s="5">
        <v>0</v>
      </c>
      <c r="G17" s="5">
        <v>1.2921785391642937E-2</v>
      </c>
      <c r="H17" s="5">
        <v>0</v>
      </c>
      <c r="I17" s="5">
        <v>0.9774805628240496</v>
      </c>
      <c r="J17" s="5">
        <v>0</v>
      </c>
      <c r="K17" s="5">
        <v>0</v>
      </c>
      <c r="L17" s="5">
        <v>1.6157179342785356E-3</v>
      </c>
      <c r="M17" s="5">
        <v>0</v>
      </c>
      <c r="N17" s="5">
        <v>1</v>
      </c>
    </row>
    <row r="18" spans="1:14" x14ac:dyDescent="0.25">
      <c r="A18" s="3">
        <v>42036</v>
      </c>
      <c r="B18" s="5">
        <v>1.8146035729178912E-3</v>
      </c>
      <c r="C18" s="5">
        <v>0</v>
      </c>
      <c r="D18" s="5">
        <v>8.8822070679990157E-3</v>
      </c>
      <c r="E18" s="5">
        <v>0</v>
      </c>
      <c r="F18" s="5">
        <v>0</v>
      </c>
      <c r="G18" s="5">
        <v>1.1440122617249755E-2</v>
      </c>
      <c r="H18" s="5">
        <v>0</v>
      </c>
      <c r="I18" s="5">
        <v>0.97646347520908328</v>
      </c>
      <c r="J18" s="5">
        <v>0</v>
      </c>
      <c r="K18" s="5">
        <v>0</v>
      </c>
      <c r="L18" s="5">
        <v>1.3995915327500608E-3</v>
      </c>
      <c r="M18" s="5">
        <v>0</v>
      </c>
      <c r="N18" s="5">
        <v>1</v>
      </c>
    </row>
    <row r="19" spans="1:14" x14ac:dyDescent="0.25">
      <c r="A19" s="3">
        <v>42064</v>
      </c>
      <c r="B19" s="5">
        <v>4.8167815452164215E-4</v>
      </c>
      <c r="C19" s="5">
        <v>0</v>
      </c>
      <c r="D19" s="5">
        <v>6.5526428710310849E-3</v>
      </c>
      <c r="E19" s="5">
        <v>0</v>
      </c>
      <c r="F19" s="5">
        <v>0</v>
      </c>
      <c r="G19" s="5">
        <v>1.2624755075664873E-2</v>
      </c>
      <c r="H19" s="5">
        <v>2.8393659634959957E-4</v>
      </c>
      <c r="I19" s="5">
        <v>0.97831424371644915</v>
      </c>
      <c r="J19" s="5">
        <v>0</v>
      </c>
      <c r="K19" s="5">
        <v>0</v>
      </c>
      <c r="L19" s="5">
        <v>1.7427435859837016E-3</v>
      </c>
      <c r="M19" s="5">
        <v>0</v>
      </c>
      <c r="N19" s="5">
        <v>1</v>
      </c>
    </row>
    <row r="20" spans="1:14" x14ac:dyDescent="0.25">
      <c r="A20" s="3">
        <v>42095</v>
      </c>
      <c r="B20" s="5">
        <v>6.6591875824980305E-4</v>
      </c>
      <c r="C20" s="5">
        <v>0</v>
      </c>
      <c r="D20" s="5">
        <v>1.2702779950740234E-2</v>
      </c>
      <c r="E20" s="5">
        <v>9.098476250502457E-4</v>
      </c>
      <c r="F20" s="5">
        <v>0</v>
      </c>
      <c r="G20" s="5">
        <v>1.4602093275410264E-2</v>
      </c>
      <c r="H20" s="5">
        <v>0</v>
      </c>
      <c r="I20" s="5">
        <v>0.96894022150658188</v>
      </c>
      <c r="J20" s="5">
        <v>0</v>
      </c>
      <c r="K20" s="5">
        <v>0</v>
      </c>
      <c r="L20" s="5">
        <v>2.1791388839675243E-3</v>
      </c>
      <c r="M20" s="5">
        <v>0</v>
      </c>
      <c r="N20" s="5">
        <v>1</v>
      </c>
    </row>
    <row r="21" spans="1:14" x14ac:dyDescent="0.25">
      <c r="A21" s="3">
        <v>42125</v>
      </c>
      <c r="B21" s="5">
        <v>9.147609796309763E-4</v>
      </c>
      <c r="C21" s="5">
        <v>0</v>
      </c>
      <c r="D21" s="5">
        <v>1.1944227998327702E-2</v>
      </c>
      <c r="E21" s="5">
        <v>6.3310333667625349E-4</v>
      </c>
      <c r="F21" s="5">
        <v>0</v>
      </c>
      <c r="G21" s="5">
        <v>1.4838503271818411E-2</v>
      </c>
      <c r="H21" s="5">
        <v>0</v>
      </c>
      <c r="I21" s="5">
        <v>0.97003620410390845</v>
      </c>
      <c r="J21" s="5">
        <v>0</v>
      </c>
      <c r="K21" s="5">
        <v>0</v>
      </c>
      <c r="L21" s="5">
        <v>1.1352219206529463E-3</v>
      </c>
      <c r="M21" s="5">
        <v>4.9797838898530723E-4</v>
      </c>
      <c r="N21" s="5">
        <v>1</v>
      </c>
    </row>
    <row r="22" spans="1:14" x14ac:dyDescent="0.25">
      <c r="A22" s="3">
        <v>42156</v>
      </c>
      <c r="B22" s="5">
        <v>9.7860999020677277E-4</v>
      </c>
      <c r="C22" s="5">
        <v>0</v>
      </c>
      <c r="D22" s="5">
        <v>1.1018291313094505E-2</v>
      </c>
      <c r="E22" s="5">
        <v>0</v>
      </c>
      <c r="F22" s="5">
        <v>1.3617102935573389E-4</v>
      </c>
      <c r="G22" s="5">
        <v>1.1237603090853501E-2</v>
      </c>
      <c r="H22" s="5">
        <v>0</v>
      </c>
      <c r="I22" s="5">
        <v>0.97540273839108516</v>
      </c>
      <c r="J22" s="5">
        <v>0</v>
      </c>
      <c r="K22" s="5">
        <v>0</v>
      </c>
      <c r="L22" s="5">
        <v>1.2265861854043282E-3</v>
      </c>
      <c r="M22" s="5">
        <v>0</v>
      </c>
      <c r="N22" s="5">
        <v>1</v>
      </c>
    </row>
    <row r="23" spans="1:14" x14ac:dyDescent="0.25">
      <c r="A23" s="3">
        <v>42186</v>
      </c>
      <c r="B23" s="5">
        <v>4.516371657858234E-4</v>
      </c>
      <c r="C23" s="5">
        <v>0</v>
      </c>
      <c r="D23" s="5">
        <v>1.8974110255620426E-2</v>
      </c>
      <c r="E23" s="5">
        <v>3.5421794619488073E-4</v>
      </c>
      <c r="F23" s="5">
        <v>0</v>
      </c>
      <c r="G23" s="5">
        <v>1.453087431655025E-2</v>
      </c>
      <c r="H23" s="5">
        <v>0</v>
      </c>
      <c r="I23" s="5">
        <v>0.96375310559043115</v>
      </c>
      <c r="J23" s="5">
        <v>0</v>
      </c>
      <c r="K23" s="5">
        <v>0</v>
      </c>
      <c r="L23" s="5">
        <v>1.9360547254174379E-3</v>
      </c>
      <c r="M23" s="5">
        <v>0</v>
      </c>
      <c r="N23" s="5">
        <v>1</v>
      </c>
    </row>
    <row r="24" spans="1:14" x14ac:dyDescent="0.25">
      <c r="A24" s="3">
        <v>42217</v>
      </c>
      <c r="B24" s="5">
        <v>1.6567410313420166E-3</v>
      </c>
      <c r="C24" s="5">
        <v>1.9320050081447564E-4</v>
      </c>
      <c r="D24" s="5">
        <v>1.8515384719551442E-2</v>
      </c>
      <c r="E24" s="5">
        <v>1.0240275304246624E-3</v>
      </c>
      <c r="F24" s="5">
        <v>0</v>
      </c>
      <c r="G24" s="5">
        <v>1.169386496451803E-2</v>
      </c>
      <c r="H24" s="5">
        <v>0</v>
      </c>
      <c r="I24" s="5">
        <v>0.96541097935627018</v>
      </c>
      <c r="J24" s="5">
        <v>0</v>
      </c>
      <c r="K24" s="5">
        <v>8.9256082965958878E-5</v>
      </c>
      <c r="L24" s="5">
        <v>1.4165458141132091E-3</v>
      </c>
      <c r="M24" s="5">
        <v>0</v>
      </c>
      <c r="N24" s="5">
        <v>1</v>
      </c>
    </row>
    <row r="25" spans="1:14" x14ac:dyDescent="0.25">
      <c r="A25" s="3">
        <v>42248</v>
      </c>
      <c r="B25" s="5">
        <v>1.6179450961768252E-3</v>
      </c>
      <c r="C25" s="5">
        <v>3.1883752948025612E-4</v>
      </c>
      <c r="D25" s="5">
        <v>2.0252372326378155E-2</v>
      </c>
      <c r="E25" s="5">
        <v>1.0948249245080136E-3</v>
      </c>
      <c r="F25" s="5">
        <v>0</v>
      </c>
      <c r="G25" s="5">
        <v>1.2455086378523123E-2</v>
      </c>
      <c r="H25" s="5">
        <v>0</v>
      </c>
      <c r="I25" s="5">
        <v>0.96272792003206842</v>
      </c>
      <c r="J25" s="5">
        <v>0</v>
      </c>
      <c r="K25" s="5">
        <v>0</v>
      </c>
      <c r="L25" s="5">
        <v>1.5330137128652598E-3</v>
      </c>
      <c r="M25" s="5">
        <v>0</v>
      </c>
      <c r="N25" s="5">
        <v>1</v>
      </c>
    </row>
    <row r="26" spans="1:14" x14ac:dyDescent="0.25">
      <c r="A26" s="3">
        <v>42278</v>
      </c>
      <c r="B26" s="5">
        <v>8.112280685980361E-4</v>
      </c>
      <c r="C26" s="5">
        <v>7.9895115750682128E-4</v>
      </c>
      <c r="D26" s="5">
        <v>2.1551406538957374E-2</v>
      </c>
      <c r="E26" s="5">
        <v>1.87892320508681E-3</v>
      </c>
      <c r="F26" s="5">
        <v>0</v>
      </c>
      <c r="G26" s="5">
        <v>1.1651088024970415E-2</v>
      </c>
      <c r="H26" s="5">
        <v>0</v>
      </c>
      <c r="I26" s="5">
        <v>0.96304738813675816</v>
      </c>
      <c r="J26" s="5">
        <v>0</v>
      </c>
      <c r="K26" s="5">
        <v>0</v>
      </c>
      <c r="L26" s="5">
        <v>2.6101486812237607E-4</v>
      </c>
      <c r="M26" s="5">
        <v>0</v>
      </c>
      <c r="N26" s="5">
        <v>1</v>
      </c>
    </row>
    <row r="27" spans="1:14" x14ac:dyDescent="0.25">
      <c r="A27" s="3">
        <v>42309</v>
      </c>
      <c r="B27" s="5">
        <v>2.4712515995869527E-4</v>
      </c>
      <c r="C27" s="5">
        <v>0</v>
      </c>
      <c r="D27" s="5">
        <v>2.0893802873238443E-2</v>
      </c>
      <c r="E27" s="5">
        <v>2.9472343196918757E-4</v>
      </c>
      <c r="F27" s="5">
        <v>0</v>
      </c>
      <c r="G27" s="5">
        <v>1.4867939953711756E-2</v>
      </c>
      <c r="H27" s="5">
        <v>0</v>
      </c>
      <c r="I27" s="5">
        <v>0.96263785561185644</v>
      </c>
      <c r="J27" s="5">
        <v>0</v>
      </c>
      <c r="K27" s="5">
        <v>0</v>
      </c>
      <c r="L27" s="5">
        <v>1.0585529692655131E-3</v>
      </c>
      <c r="M27" s="5">
        <v>0</v>
      </c>
      <c r="N27" s="5">
        <v>1</v>
      </c>
    </row>
    <row r="28" spans="1:14" x14ac:dyDescent="0.25">
      <c r="A28" s="3">
        <v>42339</v>
      </c>
      <c r="B28" s="5">
        <v>2.7320738370557461E-4</v>
      </c>
      <c r="C28" s="5">
        <v>0</v>
      </c>
      <c r="D28" s="5">
        <v>2.0151589004776729E-2</v>
      </c>
      <c r="E28" s="5">
        <v>1.9735269433660023E-3</v>
      </c>
      <c r="F28" s="5">
        <v>0</v>
      </c>
      <c r="G28" s="5">
        <v>1.0711313396555122E-2</v>
      </c>
      <c r="H28" s="5">
        <v>0</v>
      </c>
      <c r="I28" s="5">
        <v>0.9644689787792744</v>
      </c>
      <c r="J28" s="5">
        <v>0</v>
      </c>
      <c r="K28" s="5">
        <v>0</v>
      </c>
      <c r="L28" s="5">
        <v>2.421384492322196E-3</v>
      </c>
      <c r="M28" s="5">
        <v>0</v>
      </c>
      <c r="N28" s="5">
        <v>1</v>
      </c>
    </row>
    <row r="29" spans="1:14" x14ac:dyDescent="0.25">
      <c r="A29" s="3">
        <v>42370</v>
      </c>
      <c r="B29" s="5">
        <v>1.3950350868548799E-4</v>
      </c>
      <c r="C29" s="5">
        <v>0</v>
      </c>
      <c r="D29" s="5">
        <v>2.5534259879968928E-2</v>
      </c>
      <c r="E29" s="5">
        <v>6.4687006977314648E-4</v>
      </c>
      <c r="F29" s="5">
        <v>0</v>
      </c>
      <c r="G29" s="5">
        <v>1.1272188159932556E-2</v>
      </c>
      <c r="H29" s="5">
        <v>0</v>
      </c>
      <c r="I29" s="5">
        <v>0.96164023841777024</v>
      </c>
      <c r="J29" s="5">
        <v>0</v>
      </c>
      <c r="K29" s="5">
        <v>0</v>
      </c>
      <c r="L29" s="5">
        <v>3.8854599854288305E-4</v>
      </c>
      <c r="M29" s="5">
        <v>3.7839396532679824E-4</v>
      </c>
      <c r="N29" s="5">
        <v>1</v>
      </c>
    </row>
    <row r="30" spans="1:14" x14ac:dyDescent="0.25">
      <c r="A30" s="3">
        <v>42401</v>
      </c>
      <c r="B30" s="5">
        <v>9.7101363311601573E-4</v>
      </c>
      <c r="C30" s="5">
        <v>2.3649644653191615E-4</v>
      </c>
      <c r="D30" s="5">
        <v>2.2353852101256334E-2</v>
      </c>
      <c r="E30" s="5">
        <v>8.0839277472054326E-4</v>
      </c>
      <c r="F30" s="5">
        <v>0</v>
      </c>
      <c r="G30" s="5">
        <v>1.3183142727231957E-2</v>
      </c>
      <c r="H30" s="5">
        <v>0</v>
      </c>
      <c r="I30" s="5">
        <v>0.96071749931991257</v>
      </c>
      <c r="J30" s="5">
        <v>0</v>
      </c>
      <c r="K30" s="5">
        <v>0</v>
      </c>
      <c r="L30" s="5">
        <v>1.7296029972307006E-3</v>
      </c>
      <c r="M30" s="5">
        <v>0</v>
      </c>
      <c r="N30" s="5">
        <v>1</v>
      </c>
    </row>
    <row r="31" spans="1:14" x14ac:dyDescent="0.25">
      <c r="A31" s="3">
        <v>42430</v>
      </c>
      <c r="B31" s="5">
        <v>1.3832420328316983E-3</v>
      </c>
      <c r="C31" s="5">
        <v>9.1158775100752814E-4</v>
      </c>
      <c r="D31" s="5">
        <v>3.6613100832429232E-2</v>
      </c>
      <c r="E31" s="5">
        <v>1.4708699394640817E-3</v>
      </c>
      <c r="F31" s="5">
        <v>0</v>
      </c>
      <c r="G31" s="5">
        <v>1.0716269630287423E-2</v>
      </c>
      <c r="H31" s="5">
        <v>0</v>
      </c>
      <c r="I31" s="5">
        <v>0.94472153807500781</v>
      </c>
      <c r="J31" s="5">
        <v>0</v>
      </c>
      <c r="K31" s="5">
        <v>0</v>
      </c>
      <c r="L31" s="5">
        <v>4.1833917389722357E-3</v>
      </c>
      <c r="M31" s="5">
        <v>0</v>
      </c>
      <c r="N31" s="5">
        <v>1</v>
      </c>
    </row>
    <row r="32" spans="1:14" x14ac:dyDescent="0.25">
      <c r="A32" s="3" t="s">
        <v>4</v>
      </c>
      <c r="B32" s="5">
        <v>1.8625670540062451E-3</v>
      </c>
      <c r="C32" s="5">
        <v>1.0040348235902239E-4</v>
      </c>
      <c r="D32" s="5">
        <v>1.244619090610178E-2</v>
      </c>
      <c r="E32" s="5">
        <v>6.0393493477765771E-4</v>
      </c>
      <c r="F32" s="5">
        <v>4.126326478834714E-5</v>
      </c>
      <c r="G32" s="5">
        <v>1.3527965059891201E-2</v>
      </c>
      <c r="H32" s="5">
        <v>7.4781321299269899E-6</v>
      </c>
      <c r="I32" s="5">
        <v>0.97010518228359732</v>
      </c>
      <c r="J32" s="5">
        <v>5.2413693946363276E-6</v>
      </c>
      <c r="K32" s="5">
        <v>4.5736790258928468E-6</v>
      </c>
      <c r="L32" s="5">
        <v>1.2618153154907729E-3</v>
      </c>
      <c r="M32" s="5">
        <v>3.3384518437174061E-5</v>
      </c>
      <c r="N32" s="5">
        <v>1</v>
      </c>
    </row>
    <row r="43" spans="1:2" x14ac:dyDescent="0.25">
      <c r="B43" s="4">
        <v>30</v>
      </c>
    </row>
    <row r="44" spans="1:2" x14ac:dyDescent="0.25">
      <c r="A44" s="3">
        <v>41640</v>
      </c>
      <c r="B44" s="5">
        <v>0.96377852260456087</v>
      </c>
    </row>
    <row r="45" spans="1:2" x14ac:dyDescent="0.25">
      <c r="A45" s="3">
        <v>41671</v>
      </c>
      <c r="B45" s="5">
        <v>0.96629929778667156</v>
      </c>
    </row>
    <row r="46" spans="1:2" x14ac:dyDescent="0.25">
      <c r="A46" s="3">
        <v>41699</v>
      </c>
      <c r="B46" s="5">
        <v>0.9757819849848719</v>
      </c>
    </row>
    <row r="47" spans="1:2" x14ac:dyDescent="0.25">
      <c r="A47" s="3">
        <v>41730</v>
      </c>
      <c r="B47" s="5">
        <v>0.97648780326765039</v>
      </c>
    </row>
    <row r="48" spans="1:2" x14ac:dyDescent="0.25">
      <c r="A48" s="3">
        <v>41760</v>
      </c>
      <c r="B48" s="5">
        <v>0.97189946550928852</v>
      </c>
    </row>
    <row r="49" spans="1:2" x14ac:dyDescent="0.25">
      <c r="A49" s="3">
        <v>41791</v>
      </c>
      <c r="B49" s="5">
        <v>0.9794571545876315</v>
      </c>
    </row>
    <row r="50" spans="1:2" x14ac:dyDescent="0.25">
      <c r="A50" s="3">
        <v>41821</v>
      </c>
      <c r="B50" s="5">
        <v>0.9800522571946223</v>
      </c>
    </row>
    <row r="51" spans="1:2" x14ac:dyDescent="0.25">
      <c r="A51" s="3">
        <v>41852</v>
      </c>
      <c r="B51" s="5">
        <v>0.97444217995588422</v>
      </c>
    </row>
    <row r="52" spans="1:2" x14ac:dyDescent="0.25">
      <c r="A52" s="3">
        <v>41883</v>
      </c>
      <c r="B52" s="5">
        <v>0.97795584264987623</v>
      </c>
    </row>
    <row r="53" spans="1:2" x14ac:dyDescent="0.25">
      <c r="A53" s="3">
        <v>41913</v>
      </c>
      <c r="B53" s="5">
        <v>0.9762818699743594</v>
      </c>
    </row>
    <row r="54" spans="1:2" x14ac:dyDescent="0.25">
      <c r="A54" s="3">
        <v>41944</v>
      </c>
      <c r="B54" s="5">
        <v>0.97727243133467123</v>
      </c>
    </row>
    <row r="55" spans="1:2" x14ac:dyDescent="0.25">
      <c r="A55" s="3">
        <v>41974</v>
      </c>
      <c r="B55" s="5">
        <v>0.97596431814302576</v>
      </c>
    </row>
    <row r="56" spans="1:2" x14ac:dyDescent="0.25">
      <c r="A56" s="3">
        <v>42005</v>
      </c>
      <c r="B56" s="5">
        <v>0.9774805628240496</v>
      </c>
    </row>
    <row r="57" spans="1:2" x14ac:dyDescent="0.25">
      <c r="A57" s="3">
        <v>42036</v>
      </c>
      <c r="B57" s="5">
        <v>0.97646347520908328</v>
      </c>
    </row>
    <row r="58" spans="1:2" x14ac:dyDescent="0.25">
      <c r="A58" s="3">
        <v>42064</v>
      </c>
      <c r="B58" s="5">
        <v>0.97831424371644915</v>
      </c>
    </row>
    <row r="59" spans="1:2" x14ac:dyDescent="0.25">
      <c r="A59" s="3">
        <v>42095</v>
      </c>
      <c r="B59" s="5">
        <v>0.96894022150658188</v>
      </c>
    </row>
    <row r="60" spans="1:2" x14ac:dyDescent="0.25">
      <c r="A60" s="3">
        <v>42125</v>
      </c>
      <c r="B60" s="5">
        <v>0.97003620410390845</v>
      </c>
    </row>
    <row r="61" spans="1:2" x14ac:dyDescent="0.25">
      <c r="A61" s="3">
        <v>42156</v>
      </c>
      <c r="B61" s="5">
        <v>0.97540273839108516</v>
      </c>
    </row>
    <row r="62" spans="1:2" x14ac:dyDescent="0.25">
      <c r="A62" s="3">
        <v>42186</v>
      </c>
      <c r="B62" s="5">
        <v>0.96375310559043115</v>
      </c>
    </row>
    <row r="63" spans="1:2" x14ac:dyDescent="0.25">
      <c r="A63" s="3">
        <v>42217</v>
      </c>
      <c r="B63" s="5">
        <v>0.96541097935627018</v>
      </c>
    </row>
    <row r="64" spans="1:2" x14ac:dyDescent="0.25">
      <c r="A64" s="3">
        <v>42248</v>
      </c>
      <c r="B64" s="5">
        <v>0.96272792003206842</v>
      </c>
    </row>
    <row r="65" spans="1:2" x14ac:dyDescent="0.25">
      <c r="A65" s="3">
        <v>42278</v>
      </c>
      <c r="B65" s="5">
        <v>0.96304738813675816</v>
      </c>
    </row>
    <row r="66" spans="1:2" x14ac:dyDescent="0.25">
      <c r="A66" s="3">
        <v>42309</v>
      </c>
      <c r="B66" s="5">
        <v>0.96263785561185644</v>
      </c>
    </row>
    <row r="67" spans="1:2" x14ac:dyDescent="0.25">
      <c r="A67" s="3">
        <v>42339</v>
      </c>
      <c r="B67" s="5">
        <v>0.9644689787792744</v>
      </c>
    </row>
    <row r="68" spans="1:2" x14ac:dyDescent="0.25">
      <c r="A68" s="3">
        <v>42370</v>
      </c>
      <c r="B68" s="5">
        <v>0.96164023841777024</v>
      </c>
    </row>
    <row r="69" spans="1:2" x14ac:dyDescent="0.25">
      <c r="A69" s="3">
        <v>42401</v>
      </c>
      <c r="B69" s="5">
        <v>0.96071749931991257</v>
      </c>
    </row>
    <row r="70" spans="1:2" x14ac:dyDescent="0.25">
      <c r="A70" s="3">
        <v>42430</v>
      </c>
      <c r="B70" s="5">
        <f>AVERAGE(B44:B69)</f>
        <v>0.97102748226879299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317"/>
  <sheetViews>
    <sheetView topLeftCell="B1" workbookViewId="0">
      <selection activeCell="W18" sqref="W18"/>
    </sheetView>
  </sheetViews>
  <sheetFormatPr defaultRowHeight="15" x14ac:dyDescent="0.25"/>
  <cols>
    <col min="1" max="1" width="41.42578125" bestFit="1" customWidth="1"/>
    <col min="2" max="2" width="16.28515625" bestFit="1" customWidth="1"/>
    <col min="3" max="3" width="10" bestFit="1" customWidth="1"/>
    <col min="4" max="4" width="6" bestFit="1" customWidth="1"/>
    <col min="5" max="5" width="7" bestFit="1" customWidth="1"/>
    <col min="6" max="6" width="6" bestFit="1" customWidth="1"/>
    <col min="7" max="7" width="7" bestFit="1" customWidth="1"/>
    <col min="8" max="8" width="8" bestFit="1" customWidth="1"/>
    <col min="9" max="9" width="6" bestFit="1" customWidth="1"/>
    <col min="10" max="13" width="7" bestFit="1" customWidth="1"/>
    <col min="14" max="14" width="8" bestFit="1" customWidth="1"/>
    <col min="15" max="17" width="7" bestFit="1" customWidth="1"/>
    <col min="18" max="18" width="10" bestFit="1" customWidth="1"/>
    <col min="19" max="21" width="9" bestFit="1" customWidth="1"/>
    <col min="22" max="22" width="8" bestFit="1" customWidth="1"/>
    <col min="23" max="23" width="11" bestFit="1" customWidth="1"/>
    <col min="24" max="24" width="7" bestFit="1" customWidth="1"/>
    <col min="25" max="25" width="9" bestFit="1" customWidth="1"/>
    <col min="26" max="26" width="7" bestFit="1" customWidth="1"/>
    <col min="27" max="27" width="8" bestFit="1" customWidth="1"/>
    <col min="28" max="28" width="12" bestFit="1" customWidth="1"/>
    <col min="29" max="29" width="6" bestFit="1" customWidth="1"/>
    <col min="30" max="30" width="9" bestFit="1" customWidth="1"/>
    <col min="31" max="31" width="7" bestFit="1" customWidth="1"/>
    <col min="32" max="32" width="10" bestFit="1" customWidth="1"/>
    <col min="33" max="34" width="8" bestFit="1" customWidth="1"/>
    <col min="35" max="35" width="7.28515625" bestFit="1" customWidth="1"/>
    <col min="36" max="36" width="12" bestFit="1" customWidth="1"/>
  </cols>
  <sheetData>
    <row r="3" spans="1:36" x14ac:dyDescent="0.25">
      <c r="A3" s="2" t="s">
        <v>6</v>
      </c>
      <c r="B3" s="2" t="s">
        <v>5</v>
      </c>
    </row>
    <row r="4" spans="1:36" x14ac:dyDescent="0.25">
      <c r="A4" s="2" t="s">
        <v>3</v>
      </c>
      <c r="B4">
        <v>-999</v>
      </c>
      <c r="C4">
        <v>0</v>
      </c>
      <c r="D4">
        <v>1</v>
      </c>
      <c r="E4">
        <v>2</v>
      </c>
      <c r="F4">
        <v>3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20</v>
      </c>
      <c r="V4">
        <v>22</v>
      </c>
      <c r="W4">
        <v>25</v>
      </c>
      <c r="X4">
        <v>26</v>
      </c>
      <c r="Y4">
        <v>27</v>
      </c>
      <c r="Z4">
        <v>28</v>
      </c>
      <c r="AA4">
        <v>29</v>
      </c>
      <c r="AB4">
        <v>30</v>
      </c>
      <c r="AC4">
        <v>31</v>
      </c>
      <c r="AD4">
        <v>32</v>
      </c>
      <c r="AE4">
        <v>33</v>
      </c>
      <c r="AF4">
        <v>35</v>
      </c>
      <c r="AG4">
        <v>37</v>
      </c>
      <c r="AH4">
        <v>40</v>
      </c>
      <c r="AI4" t="s">
        <v>7</v>
      </c>
      <c r="AJ4" t="s">
        <v>4</v>
      </c>
    </row>
    <row r="5" spans="1:36" x14ac:dyDescent="0.25">
      <c r="A5" s="3">
        <v>31594</v>
      </c>
      <c r="B5" s="7"/>
      <c r="C5" s="7">
        <v>71200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>
        <v>71200</v>
      </c>
    </row>
    <row r="6" spans="1:36" x14ac:dyDescent="0.25">
      <c r="A6" s="3">
        <v>32752</v>
      </c>
      <c r="B6" s="7"/>
      <c r="C6" s="7">
        <v>80600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>
        <v>80600</v>
      </c>
    </row>
    <row r="7" spans="1:36" x14ac:dyDescent="0.25">
      <c r="A7" s="3">
        <v>32813</v>
      </c>
      <c r="B7" s="7"/>
      <c r="C7" s="7">
        <v>80750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>
        <v>80750</v>
      </c>
    </row>
    <row r="8" spans="1:36" x14ac:dyDescent="0.25">
      <c r="A8" s="3">
        <v>32843</v>
      </c>
      <c r="B8" s="7"/>
      <c r="C8" s="7">
        <v>57000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>
        <v>57000</v>
      </c>
    </row>
    <row r="9" spans="1:36" x14ac:dyDescent="0.25">
      <c r="A9" s="3">
        <v>33086</v>
      </c>
      <c r="B9" s="7"/>
      <c r="C9" s="7">
        <v>28500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>
        <v>28500</v>
      </c>
    </row>
    <row r="10" spans="1:36" x14ac:dyDescent="0.25">
      <c r="A10" s="3">
        <v>34060</v>
      </c>
      <c r="B10" s="7"/>
      <c r="C10" s="7">
        <v>52250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>
        <v>52250</v>
      </c>
    </row>
    <row r="11" spans="1:36" x14ac:dyDescent="0.25">
      <c r="A11" s="3">
        <v>34121</v>
      </c>
      <c r="B11" s="7"/>
      <c r="C11" s="7">
        <v>40850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>
        <v>40850</v>
      </c>
    </row>
    <row r="12" spans="1:36" x14ac:dyDescent="0.25">
      <c r="A12" s="3">
        <v>34151</v>
      </c>
      <c r="B12" s="7"/>
      <c r="C12" s="7">
        <v>46450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>
        <v>46450</v>
      </c>
    </row>
    <row r="13" spans="1:36" x14ac:dyDescent="0.25">
      <c r="A13" s="3">
        <v>34182</v>
      </c>
      <c r="B13" s="7">
        <v>63650</v>
      </c>
      <c r="C13" s="7">
        <v>102550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>
        <v>130600</v>
      </c>
      <c r="AC13" s="7"/>
      <c r="AD13" s="7"/>
      <c r="AE13" s="7"/>
      <c r="AF13" s="7"/>
      <c r="AG13" s="7"/>
      <c r="AH13" s="7"/>
      <c r="AI13" s="7"/>
      <c r="AJ13" s="7">
        <v>296800</v>
      </c>
    </row>
    <row r="14" spans="1:36" x14ac:dyDescent="0.25">
      <c r="A14" s="3">
        <v>34243</v>
      </c>
      <c r="B14" s="7"/>
      <c r="C14" s="7">
        <v>51750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>
        <v>51750</v>
      </c>
    </row>
    <row r="15" spans="1:36" x14ac:dyDescent="0.25">
      <c r="A15" s="3">
        <v>34274</v>
      </c>
      <c r="B15" s="7"/>
      <c r="C15" s="7">
        <v>138510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>
        <v>102500</v>
      </c>
      <c r="AC15" s="7"/>
      <c r="AD15" s="7"/>
      <c r="AE15" s="7"/>
      <c r="AF15" s="7"/>
      <c r="AG15" s="7"/>
      <c r="AH15" s="7"/>
      <c r="AI15" s="7"/>
      <c r="AJ15" s="7">
        <v>241010</v>
      </c>
    </row>
    <row r="16" spans="1:36" x14ac:dyDescent="0.25">
      <c r="A16" s="3">
        <v>34335</v>
      </c>
      <c r="B16" s="7"/>
      <c r="C16" s="7">
        <v>145800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>
        <v>66000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>
        <v>211800</v>
      </c>
    </row>
    <row r="17" spans="1:36" x14ac:dyDescent="0.25">
      <c r="A17" s="3">
        <v>34366</v>
      </c>
      <c r="B17" s="7"/>
      <c r="C17" s="7">
        <v>144900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>
        <v>153900</v>
      </c>
      <c r="W17" s="7">
        <v>93500</v>
      </c>
      <c r="X17" s="7"/>
      <c r="Y17" s="7"/>
      <c r="Z17" s="7"/>
      <c r="AA17" s="7"/>
      <c r="AB17" s="7">
        <v>35600</v>
      </c>
      <c r="AC17" s="7"/>
      <c r="AD17" s="7"/>
      <c r="AE17" s="7"/>
      <c r="AF17" s="7"/>
      <c r="AG17" s="7"/>
      <c r="AH17" s="7"/>
      <c r="AI17" s="7"/>
      <c r="AJ17" s="7">
        <v>427900</v>
      </c>
    </row>
    <row r="18" spans="1:36" x14ac:dyDescent="0.25">
      <c r="A18" s="3">
        <v>34394</v>
      </c>
      <c r="B18" s="7"/>
      <c r="C18" s="7">
        <v>135850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>
        <v>46050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>
        <v>181900</v>
      </c>
    </row>
    <row r="19" spans="1:36" x14ac:dyDescent="0.25">
      <c r="A19" s="3">
        <v>34425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>
        <v>115900</v>
      </c>
      <c r="W19" s="7">
        <v>54600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>
        <v>170500</v>
      </c>
    </row>
    <row r="20" spans="1:36" x14ac:dyDescent="0.25">
      <c r="A20" s="3">
        <v>34455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>
        <v>93200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>
        <v>93200</v>
      </c>
    </row>
    <row r="21" spans="1:36" x14ac:dyDescent="0.25">
      <c r="A21" s="3">
        <v>34486</v>
      </c>
      <c r="B21" s="7"/>
      <c r="C21" s="7">
        <v>109150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>
        <v>125400</v>
      </c>
      <c r="W21" s="7">
        <v>346600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>
        <v>581150</v>
      </c>
    </row>
    <row r="22" spans="1:36" x14ac:dyDescent="0.25">
      <c r="A22" s="3">
        <v>34516</v>
      </c>
      <c r="B22" s="7"/>
      <c r="C22" s="7">
        <v>46250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>
        <v>119400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>
        <v>165650</v>
      </c>
    </row>
    <row r="23" spans="1:36" x14ac:dyDescent="0.25">
      <c r="A23" s="3">
        <v>34547</v>
      </c>
      <c r="B23" s="7"/>
      <c r="C23" s="7">
        <v>63500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>
        <v>51750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>
        <v>115250</v>
      </c>
    </row>
    <row r="24" spans="1:36" x14ac:dyDescent="0.25">
      <c r="A24" s="3">
        <v>34578</v>
      </c>
      <c r="B24" s="7">
        <v>58400</v>
      </c>
      <c r="C24" s="7">
        <v>50000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>
        <v>108400</v>
      </c>
    </row>
    <row r="25" spans="1:36" x14ac:dyDescent="0.25">
      <c r="A25" s="3">
        <v>34608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>
        <v>109600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>
        <v>109600</v>
      </c>
    </row>
    <row r="26" spans="1:36" x14ac:dyDescent="0.25">
      <c r="A26" s="3">
        <v>34639</v>
      </c>
      <c r="B26" s="7"/>
      <c r="C26" s="7">
        <v>107800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>
        <v>107800</v>
      </c>
    </row>
    <row r="27" spans="1:36" x14ac:dyDescent="0.25">
      <c r="A27" s="3">
        <v>34700</v>
      </c>
      <c r="B27" s="7"/>
      <c r="C27" s="7">
        <v>149910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>
        <v>149910</v>
      </c>
    </row>
    <row r="28" spans="1:36" x14ac:dyDescent="0.25">
      <c r="A28" s="3">
        <v>34820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>
        <v>45000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>
        <v>45000</v>
      </c>
    </row>
    <row r="29" spans="1:36" x14ac:dyDescent="0.25">
      <c r="A29" s="3">
        <v>34851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>
        <v>40300</v>
      </c>
      <c r="AC29" s="7"/>
      <c r="AD29" s="7"/>
      <c r="AE29" s="7"/>
      <c r="AF29" s="7"/>
      <c r="AG29" s="7"/>
      <c r="AH29" s="7"/>
      <c r="AI29" s="7"/>
      <c r="AJ29" s="7">
        <v>40300</v>
      </c>
    </row>
    <row r="30" spans="1:36" x14ac:dyDescent="0.25">
      <c r="A30" s="3">
        <v>34943</v>
      </c>
      <c r="B30" s="7"/>
      <c r="C30" s="7">
        <v>69350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>
        <v>63650</v>
      </c>
      <c r="AC30" s="7"/>
      <c r="AD30" s="7"/>
      <c r="AE30" s="7"/>
      <c r="AF30" s="7"/>
      <c r="AG30" s="7"/>
      <c r="AH30" s="7"/>
      <c r="AI30" s="7"/>
      <c r="AJ30" s="7">
        <v>133000</v>
      </c>
    </row>
    <row r="31" spans="1:36" x14ac:dyDescent="0.25">
      <c r="A31" s="3">
        <v>34973</v>
      </c>
      <c r="B31" s="7"/>
      <c r="C31" s="7">
        <v>45600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>
        <v>57000</v>
      </c>
      <c r="AC31" s="7"/>
      <c r="AD31" s="7"/>
      <c r="AE31" s="7"/>
      <c r="AF31" s="7"/>
      <c r="AG31" s="7"/>
      <c r="AH31" s="7"/>
      <c r="AI31" s="7"/>
      <c r="AJ31" s="7">
        <v>102600</v>
      </c>
    </row>
    <row r="32" spans="1:36" x14ac:dyDescent="0.25">
      <c r="A32" s="3">
        <v>35004</v>
      </c>
      <c r="B32" s="7"/>
      <c r="C32" s="7">
        <v>118750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>
        <v>118750</v>
      </c>
    </row>
    <row r="33" spans="1:36" x14ac:dyDescent="0.25">
      <c r="A33" s="3">
        <v>35034</v>
      </c>
      <c r="B33" s="7"/>
      <c r="C33" s="7">
        <v>47000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>
        <v>109250</v>
      </c>
      <c r="AC33" s="7"/>
      <c r="AD33" s="7"/>
      <c r="AE33" s="7"/>
      <c r="AF33" s="7"/>
      <c r="AG33" s="7"/>
      <c r="AH33" s="7"/>
      <c r="AI33" s="7"/>
      <c r="AJ33" s="7">
        <v>156250</v>
      </c>
    </row>
    <row r="34" spans="1:36" x14ac:dyDescent="0.25">
      <c r="A34" s="3">
        <v>35065</v>
      </c>
      <c r="B34" s="7"/>
      <c r="C34" s="7">
        <v>62700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>
        <v>120650</v>
      </c>
      <c r="AC34" s="7"/>
      <c r="AD34" s="7"/>
      <c r="AE34" s="7"/>
      <c r="AF34" s="7"/>
      <c r="AG34" s="7"/>
      <c r="AH34" s="7"/>
      <c r="AI34" s="7"/>
      <c r="AJ34" s="7">
        <v>183350</v>
      </c>
    </row>
    <row r="35" spans="1:36" x14ac:dyDescent="0.25">
      <c r="A35" s="3">
        <v>35096</v>
      </c>
      <c r="B35" s="7"/>
      <c r="C35" s="7">
        <v>50800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>
        <v>50800</v>
      </c>
    </row>
    <row r="36" spans="1:36" x14ac:dyDescent="0.25">
      <c r="A36" s="3">
        <v>35186</v>
      </c>
      <c r="B36" s="7"/>
      <c r="C36" s="7">
        <v>33250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>
        <v>33250</v>
      </c>
    </row>
    <row r="37" spans="1:36" x14ac:dyDescent="0.25">
      <c r="A37" s="3">
        <v>35278</v>
      </c>
      <c r="B37" s="7">
        <v>37900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>
        <v>37900</v>
      </c>
    </row>
    <row r="38" spans="1:36" x14ac:dyDescent="0.25">
      <c r="A38" s="3">
        <v>35339</v>
      </c>
      <c r="B38" s="7">
        <v>44000</v>
      </c>
      <c r="C38" s="7">
        <v>79800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>
        <v>39900</v>
      </c>
      <c r="AC38" s="7"/>
      <c r="AD38" s="7"/>
      <c r="AE38" s="7"/>
      <c r="AF38" s="7"/>
      <c r="AG38" s="7"/>
      <c r="AH38" s="7"/>
      <c r="AI38" s="7"/>
      <c r="AJ38" s="7">
        <v>163700</v>
      </c>
    </row>
    <row r="39" spans="1:36" x14ac:dyDescent="0.25">
      <c r="A39" s="3">
        <v>35400</v>
      </c>
      <c r="B39" s="7"/>
      <c r="C39" s="7">
        <v>132800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>
        <v>132800</v>
      </c>
    </row>
    <row r="40" spans="1:36" x14ac:dyDescent="0.25">
      <c r="A40" s="3">
        <v>35462</v>
      </c>
      <c r="B40" s="7"/>
      <c r="C40" s="7">
        <v>35600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>
        <v>35600</v>
      </c>
    </row>
    <row r="41" spans="1:36" x14ac:dyDescent="0.25">
      <c r="A41" s="3">
        <v>35521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>
        <v>89300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>
        <v>89300</v>
      </c>
    </row>
    <row r="42" spans="1:36" x14ac:dyDescent="0.25">
      <c r="A42" s="3">
        <v>35582</v>
      </c>
      <c r="B42" s="7"/>
      <c r="C42" s="7">
        <v>125875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>
        <v>125875</v>
      </c>
    </row>
    <row r="43" spans="1:36" x14ac:dyDescent="0.25">
      <c r="A43" s="3">
        <v>35612</v>
      </c>
      <c r="B43" s="7"/>
      <c r="C43" s="7">
        <v>266000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>
        <v>266000</v>
      </c>
    </row>
    <row r="44" spans="1:36" x14ac:dyDescent="0.25">
      <c r="A44" s="3">
        <v>35643</v>
      </c>
      <c r="B44" s="7"/>
      <c r="C44" s="7">
        <v>84050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>
        <v>84050</v>
      </c>
    </row>
    <row r="45" spans="1:36" x14ac:dyDescent="0.25">
      <c r="A45" s="3">
        <v>35674</v>
      </c>
      <c r="B45" s="7"/>
      <c r="C45" s="7">
        <v>37900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>
        <v>37900</v>
      </c>
    </row>
    <row r="46" spans="1:36" x14ac:dyDescent="0.25">
      <c r="A46" s="3">
        <v>35735</v>
      </c>
      <c r="B46" s="7"/>
      <c r="C46" s="7">
        <v>69350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>
        <v>35625</v>
      </c>
      <c r="AC46" s="7"/>
      <c r="AD46" s="7"/>
      <c r="AE46" s="7"/>
      <c r="AF46" s="7"/>
      <c r="AG46" s="7"/>
      <c r="AH46" s="7"/>
      <c r="AI46" s="7"/>
      <c r="AJ46" s="7">
        <v>104975</v>
      </c>
    </row>
    <row r="47" spans="1:36" x14ac:dyDescent="0.25">
      <c r="A47" s="3">
        <v>35765</v>
      </c>
      <c r="B47" s="7"/>
      <c r="C47" s="7">
        <v>82550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>
        <v>38000</v>
      </c>
      <c r="AF47" s="7"/>
      <c r="AG47" s="7"/>
      <c r="AH47" s="7"/>
      <c r="AI47" s="7"/>
      <c r="AJ47" s="7">
        <v>120550</v>
      </c>
    </row>
    <row r="48" spans="1:36" x14ac:dyDescent="0.25">
      <c r="A48" s="3">
        <v>35796</v>
      </c>
      <c r="B48" s="7"/>
      <c r="C48" s="7">
        <v>135850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>
        <v>149150</v>
      </c>
      <c r="AC48" s="7"/>
      <c r="AD48" s="7"/>
      <c r="AE48" s="7"/>
      <c r="AF48" s="7"/>
      <c r="AG48" s="7"/>
      <c r="AH48" s="7"/>
      <c r="AI48" s="7"/>
      <c r="AJ48" s="7">
        <v>285000</v>
      </c>
    </row>
    <row r="49" spans="1:36" x14ac:dyDescent="0.25">
      <c r="A49" s="3">
        <v>35815</v>
      </c>
      <c r="B49" s="7">
        <v>66250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>
        <v>66250</v>
      </c>
    </row>
    <row r="50" spans="1:36" x14ac:dyDescent="0.25">
      <c r="A50" s="3">
        <v>35827</v>
      </c>
      <c r="B50" s="7"/>
      <c r="C50" s="7">
        <v>72105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>
        <v>72105</v>
      </c>
    </row>
    <row r="51" spans="1:36" x14ac:dyDescent="0.25">
      <c r="A51" s="3">
        <v>35855</v>
      </c>
      <c r="B51" s="7"/>
      <c r="C51" s="7">
        <v>137200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>
        <v>36000</v>
      </c>
      <c r="AC51" s="7"/>
      <c r="AD51" s="7"/>
      <c r="AE51" s="7"/>
      <c r="AF51" s="7"/>
      <c r="AG51" s="7"/>
      <c r="AH51" s="7"/>
      <c r="AI51" s="7"/>
      <c r="AJ51" s="7">
        <v>173200</v>
      </c>
    </row>
    <row r="52" spans="1:36" x14ac:dyDescent="0.25">
      <c r="A52" s="3">
        <v>35886</v>
      </c>
      <c r="B52" s="7"/>
      <c r="C52" s="7">
        <v>148200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>
        <v>69500</v>
      </c>
      <c r="AC52" s="7"/>
      <c r="AD52" s="7"/>
      <c r="AE52" s="7"/>
      <c r="AF52" s="7"/>
      <c r="AG52" s="7"/>
      <c r="AH52" s="7"/>
      <c r="AI52" s="7"/>
      <c r="AJ52" s="7">
        <v>217700</v>
      </c>
    </row>
    <row r="53" spans="1:36" x14ac:dyDescent="0.25">
      <c r="A53" s="3">
        <v>35916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>
        <v>45600</v>
      </c>
      <c r="AC53" s="7"/>
      <c r="AD53" s="7"/>
      <c r="AE53" s="7"/>
      <c r="AF53" s="7"/>
      <c r="AG53" s="7"/>
      <c r="AH53" s="7"/>
      <c r="AI53" s="7"/>
      <c r="AJ53" s="7">
        <v>45600</v>
      </c>
    </row>
    <row r="54" spans="1:36" x14ac:dyDescent="0.25">
      <c r="A54" s="3">
        <v>35947</v>
      </c>
      <c r="B54" s="7"/>
      <c r="C54" s="7">
        <v>121506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>
        <v>69000</v>
      </c>
      <c r="AC54" s="7"/>
      <c r="AD54" s="7"/>
      <c r="AE54" s="7"/>
      <c r="AF54" s="7"/>
      <c r="AG54" s="7"/>
      <c r="AH54" s="7"/>
      <c r="AI54" s="7"/>
      <c r="AJ54" s="7">
        <v>190506</v>
      </c>
    </row>
    <row r="55" spans="1:36" x14ac:dyDescent="0.25">
      <c r="A55" s="3">
        <v>35977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>
        <v>79800</v>
      </c>
      <c r="AC55" s="7"/>
      <c r="AD55" s="7"/>
      <c r="AE55" s="7"/>
      <c r="AF55" s="7"/>
      <c r="AG55" s="7"/>
      <c r="AH55" s="7"/>
      <c r="AI55" s="7"/>
      <c r="AJ55" s="7">
        <v>79800</v>
      </c>
    </row>
    <row r="56" spans="1:36" x14ac:dyDescent="0.25">
      <c r="A56" s="3">
        <v>36008</v>
      </c>
      <c r="B56" s="7"/>
      <c r="C56" s="7">
        <v>404350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>
        <v>379285</v>
      </c>
      <c r="AC56" s="7"/>
      <c r="AD56" s="7"/>
      <c r="AE56" s="7"/>
      <c r="AF56" s="7"/>
      <c r="AG56" s="7"/>
      <c r="AH56" s="7"/>
      <c r="AI56" s="7"/>
      <c r="AJ56" s="7">
        <v>783635</v>
      </c>
    </row>
    <row r="57" spans="1:36" x14ac:dyDescent="0.25">
      <c r="A57" s="3">
        <v>36039</v>
      </c>
      <c r="B57" s="7"/>
      <c r="C57" s="7">
        <v>309750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>
        <v>28405</v>
      </c>
      <c r="AC57" s="7"/>
      <c r="AD57" s="7"/>
      <c r="AE57" s="7"/>
      <c r="AF57" s="7"/>
      <c r="AG57" s="7"/>
      <c r="AH57" s="7"/>
      <c r="AI57" s="7"/>
      <c r="AJ57" s="7">
        <v>338155</v>
      </c>
    </row>
    <row r="58" spans="1:36" x14ac:dyDescent="0.25">
      <c r="A58" s="3">
        <v>36069</v>
      </c>
      <c r="B58" s="7"/>
      <c r="C58" s="7">
        <v>131500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>
        <v>211975</v>
      </c>
      <c r="AC58" s="7"/>
      <c r="AD58" s="7"/>
      <c r="AE58" s="7"/>
      <c r="AF58" s="7"/>
      <c r="AG58" s="7"/>
      <c r="AH58" s="7"/>
      <c r="AI58" s="7"/>
      <c r="AJ58" s="7">
        <v>343475</v>
      </c>
    </row>
    <row r="59" spans="1:36" x14ac:dyDescent="0.25">
      <c r="A59" s="3">
        <v>36100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>
        <v>230250</v>
      </c>
      <c r="AC59" s="7"/>
      <c r="AD59" s="7"/>
      <c r="AE59" s="7"/>
      <c r="AF59" s="7"/>
      <c r="AG59" s="7"/>
      <c r="AH59" s="7"/>
      <c r="AI59" s="7"/>
      <c r="AJ59" s="7">
        <v>230250</v>
      </c>
    </row>
    <row r="60" spans="1:36" x14ac:dyDescent="0.25">
      <c r="A60" s="3">
        <v>36130</v>
      </c>
      <c r="B60" s="7"/>
      <c r="C60" s="7">
        <v>39900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>
        <v>674818</v>
      </c>
      <c r="AC60" s="7"/>
      <c r="AD60" s="7"/>
      <c r="AE60" s="7"/>
      <c r="AF60" s="7"/>
      <c r="AG60" s="7"/>
      <c r="AH60" s="7"/>
      <c r="AI60" s="7"/>
      <c r="AJ60" s="7">
        <v>714718</v>
      </c>
    </row>
    <row r="61" spans="1:36" x14ac:dyDescent="0.25">
      <c r="A61" s="3">
        <v>36161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>
        <v>321752</v>
      </c>
      <c r="AC61" s="7"/>
      <c r="AD61" s="7"/>
      <c r="AE61" s="7"/>
      <c r="AF61" s="7"/>
      <c r="AG61" s="7"/>
      <c r="AH61" s="7"/>
      <c r="AI61" s="7"/>
      <c r="AJ61" s="7">
        <v>321752</v>
      </c>
    </row>
    <row r="62" spans="1:36" x14ac:dyDescent="0.25">
      <c r="A62" s="3">
        <v>36192</v>
      </c>
      <c r="B62" s="7"/>
      <c r="C62" s="7">
        <v>321850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>
        <v>413087</v>
      </c>
      <c r="AC62" s="7"/>
      <c r="AD62" s="7"/>
      <c r="AE62" s="7"/>
      <c r="AF62" s="7"/>
      <c r="AG62" s="7"/>
      <c r="AH62" s="7"/>
      <c r="AI62" s="7"/>
      <c r="AJ62" s="7">
        <v>734937</v>
      </c>
    </row>
    <row r="63" spans="1:36" x14ac:dyDescent="0.25">
      <c r="A63" s="3">
        <v>36220</v>
      </c>
      <c r="B63" s="7"/>
      <c r="C63" s="7">
        <v>84550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>
        <v>80750</v>
      </c>
      <c r="AC63" s="7"/>
      <c r="AD63" s="7"/>
      <c r="AE63" s="7"/>
      <c r="AF63" s="7"/>
      <c r="AG63" s="7"/>
      <c r="AH63" s="7"/>
      <c r="AI63" s="7"/>
      <c r="AJ63" s="7">
        <v>165300</v>
      </c>
    </row>
    <row r="64" spans="1:36" x14ac:dyDescent="0.25">
      <c r="A64" s="3">
        <v>36251</v>
      </c>
      <c r="B64" s="7"/>
      <c r="C64" s="7">
        <v>388740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>
        <v>239675</v>
      </c>
      <c r="AC64" s="7"/>
      <c r="AD64" s="7"/>
      <c r="AE64" s="7"/>
      <c r="AF64" s="7"/>
      <c r="AG64" s="7"/>
      <c r="AH64" s="7"/>
      <c r="AI64" s="7"/>
      <c r="AJ64" s="7">
        <v>628415</v>
      </c>
    </row>
    <row r="65" spans="1:36" x14ac:dyDescent="0.25">
      <c r="A65" s="3">
        <v>36260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>
        <v>80140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>
        <v>80140</v>
      </c>
    </row>
    <row r="66" spans="1:36" x14ac:dyDescent="0.25">
      <c r="A66" s="3">
        <v>36281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>
        <v>347000</v>
      </c>
      <c r="AC66" s="7"/>
      <c r="AD66" s="7"/>
      <c r="AE66" s="7"/>
      <c r="AF66" s="7"/>
      <c r="AG66" s="7"/>
      <c r="AH66" s="7"/>
      <c r="AI66" s="7"/>
      <c r="AJ66" s="7">
        <v>347000</v>
      </c>
    </row>
    <row r="67" spans="1:36" x14ac:dyDescent="0.25">
      <c r="A67" s="3">
        <v>36312</v>
      </c>
      <c r="B67" s="7"/>
      <c r="C67" s="7">
        <v>79290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>
        <v>207800</v>
      </c>
      <c r="X67" s="7"/>
      <c r="Y67" s="7"/>
      <c r="Z67" s="7"/>
      <c r="AA67" s="7"/>
      <c r="AB67" s="7">
        <v>53200</v>
      </c>
      <c r="AC67" s="7"/>
      <c r="AD67" s="7"/>
      <c r="AE67" s="7"/>
      <c r="AF67" s="7"/>
      <c r="AG67" s="7"/>
      <c r="AH67" s="7"/>
      <c r="AI67" s="7"/>
      <c r="AJ67" s="7">
        <v>340290</v>
      </c>
    </row>
    <row r="68" spans="1:36" x14ac:dyDescent="0.25">
      <c r="A68" s="3">
        <v>36342</v>
      </c>
      <c r="B68" s="7"/>
      <c r="C68" s="7">
        <v>89300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>
        <v>436050</v>
      </c>
      <c r="AC68" s="7"/>
      <c r="AD68" s="7"/>
      <c r="AE68" s="7"/>
      <c r="AF68" s="7"/>
      <c r="AG68" s="7"/>
      <c r="AH68" s="7"/>
      <c r="AI68" s="7"/>
      <c r="AJ68" s="7">
        <v>525350</v>
      </c>
    </row>
    <row r="69" spans="1:36" x14ac:dyDescent="0.25">
      <c r="A69" s="3">
        <v>36373</v>
      </c>
      <c r="B69" s="7"/>
      <c r="C69" s="7">
        <v>191850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>
        <v>191850</v>
      </c>
    </row>
    <row r="70" spans="1:36" x14ac:dyDescent="0.25">
      <c r="A70" s="3">
        <v>36392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>
        <v>32258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>
        <v>32258</v>
      </c>
    </row>
    <row r="71" spans="1:36" x14ac:dyDescent="0.25">
      <c r="A71" s="3">
        <v>36404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>
        <v>96900</v>
      </c>
      <c r="AC71" s="7"/>
      <c r="AD71" s="7"/>
      <c r="AE71" s="7"/>
      <c r="AF71" s="7"/>
      <c r="AG71" s="7"/>
      <c r="AH71" s="7"/>
      <c r="AI71" s="7"/>
      <c r="AJ71" s="7">
        <v>96900</v>
      </c>
    </row>
    <row r="72" spans="1:36" x14ac:dyDescent="0.25">
      <c r="A72" s="3">
        <v>36434</v>
      </c>
      <c r="B72" s="7"/>
      <c r="C72" s="7">
        <v>207220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>
        <v>207220</v>
      </c>
    </row>
    <row r="73" spans="1:36" x14ac:dyDescent="0.25">
      <c r="A73" s="3">
        <v>36465</v>
      </c>
      <c r="B73" s="7"/>
      <c r="C73" s="7">
        <v>72100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>
        <v>75750</v>
      </c>
      <c r="AC73" s="7"/>
      <c r="AD73" s="7"/>
      <c r="AE73" s="7"/>
      <c r="AF73" s="7"/>
      <c r="AG73" s="7"/>
      <c r="AH73" s="7"/>
      <c r="AI73" s="7"/>
      <c r="AJ73" s="7">
        <v>147850</v>
      </c>
    </row>
    <row r="74" spans="1:36" x14ac:dyDescent="0.25">
      <c r="A74" s="3">
        <v>36495</v>
      </c>
      <c r="B74" s="7"/>
      <c r="C74" s="7">
        <v>53350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>
        <v>51300</v>
      </c>
      <c r="AC74" s="7"/>
      <c r="AD74" s="7"/>
      <c r="AE74" s="7"/>
      <c r="AF74" s="7"/>
      <c r="AG74" s="7"/>
      <c r="AH74" s="7"/>
      <c r="AI74" s="7"/>
      <c r="AJ74" s="7">
        <v>104650</v>
      </c>
    </row>
    <row r="75" spans="1:36" x14ac:dyDescent="0.25">
      <c r="A75" s="3">
        <v>36526</v>
      </c>
      <c r="B75" s="7"/>
      <c r="C75" s="7">
        <v>223250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>
        <v>223250</v>
      </c>
    </row>
    <row r="76" spans="1:36" x14ac:dyDescent="0.25">
      <c r="A76" s="3">
        <v>36557</v>
      </c>
      <c r="B76" s="7"/>
      <c r="C76" s="7">
        <v>89300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>
        <v>175750</v>
      </c>
      <c r="AC76" s="7"/>
      <c r="AD76" s="7"/>
      <c r="AE76" s="7"/>
      <c r="AF76" s="7"/>
      <c r="AG76" s="7"/>
      <c r="AH76" s="7"/>
      <c r="AI76" s="7"/>
      <c r="AJ76" s="7">
        <v>265050</v>
      </c>
    </row>
    <row r="77" spans="1:36" x14ac:dyDescent="0.25">
      <c r="A77" s="3">
        <v>36586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>
        <v>57000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>
        <v>57000</v>
      </c>
    </row>
    <row r="78" spans="1:36" x14ac:dyDescent="0.25">
      <c r="A78" s="3">
        <v>36617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>
        <v>96425</v>
      </c>
      <c r="X78" s="7"/>
      <c r="Y78" s="7"/>
      <c r="Z78" s="7"/>
      <c r="AA78" s="7"/>
      <c r="AB78" s="7">
        <v>132525</v>
      </c>
      <c r="AC78" s="7"/>
      <c r="AD78" s="7"/>
      <c r="AE78" s="7"/>
      <c r="AF78" s="7"/>
      <c r="AG78" s="7"/>
      <c r="AH78" s="7"/>
      <c r="AI78" s="7"/>
      <c r="AJ78" s="7">
        <v>228950</v>
      </c>
    </row>
    <row r="79" spans="1:36" x14ac:dyDescent="0.25">
      <c r="A79" s="3">
        <v>36647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>
        <v>93150</v>
      </c>
      <c r="AC79" s="7"/>
      <c r="AD79" s="7"/>
      <c r="AE79" s="7"/>
      <c r="AF79" s="7"/>
      <c r="AG79" s="7"/>
      <c r="AH79" s="7"/>
      <c r="AI79" s="7"/>
      <c r="AJ79" s="7">
        <v>93150</v>
      </c>
    </row>
    <row r="80" spans="1:36" x14ac:dyDescent="0.25">
      <c r="A80" s="3">
        <v>36666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>
        <v>30400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>
        <v>30400</v>
      </c>
    </row>
    <row r="81" spans="1:36" x14ac:dyDescent="0.25">
      <c r="A81" s="3">
        <v>36678</v>
      </c>
      <c r="B81" s="7"/>
      <c r="C81" s="7">
        <v>28500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>
        <v>28500</v>
      </c>
    </row>
    <row r="82" spans="1:36" x14ac:dyDescent="0.25">
      <c r="A82" s="3">
        <v>36708</v>
      </c>
      <c r="B82" s="7">
        <v>50350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>
        <v>50350</v>
      </c>
    </row>
    <row r="83" spans="1:36" x14ac:dyDescent="0.25">
      <c r="A83" s="3">
        <v>36770</v>
      </c>
      <c r="B83" s="7">
        <v>218500</v>
      </c>
      <c r="C83" s="7">
        <v>362710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>
        <v>54000</v>
      </c>
      <c r="AC83" s="7"/>
      <c r="AD83" s="7"/>
      <c r="AE83" s="7"/>
      <c r="AF83" s="7"/>
      <c r="AG83" s="7"/>
      <c r="AH83" s="7"/>
      <c r="AI83" s="7"/>
      <c r="AJ83" s="7">
        <v>635210</v>
      </c>
    </row>
    <row r="84" spans="1:36" x14ac:dyDescent="0.25">
      <c r="A84" s="3">
        <v>36800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>
        <v>124650</v>
      </c>
      <c r="AG84" s="7"/>
      <c r="AH84" s="7"/>
      <c r="AI84" s="7"/>
      <c r="AJ84" s="7">
        <v>124650</v>
      </c>
    </row>
    <row r="85" spans="1:36" x14ac:dyDescent="0.25">
      <c r="A85" s="3">
        <v>36831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>
        <v>98300</v>
      </c>
      <c r="AC85" s="7"/>
      <c r="AD85" s="7"/>
      <c r="AE85" s="7"/>
      <c r="AF85" s="7"/>
      <c r="AG85" s="7"/>
      <c r="AH85" s="7"/>
      <c r="AI85" s="7"/>
      <c r="AJ85" s="7">
        <v>98300</v>
      </c>
    </row>
    <row r="86" spans="1:36" x14ac:dyDescent="0.25">
      <c r="A86" s="3">
        <v>36861</v>
      </c>
      <c r="B86" s="7">
        <v>101000</v>
      </c>
      <c r="C86" s="7">
        <v>79800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>
        <v>180800</v>
      </c>
    </row>
    <row r="87" spans="1:36" x14ac:dyDescent="0.25">
      <c r="A87" s="3">
        <v>36892</v>
      </c>
      <c r="B87" s="7">
        <v>38000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>
        <v>55100</v>
      </c>
      <c r="AC87" s="7"/>
      <c r="AD87" s="7"/>
      <c r="AE87" s="7"/>
      <c r="AF87" s="7"/>
      <c r="AG87" s="7"/>
      <c r="AH87" s="7"/>
      <c r="AI87" s="7"/>
      <c r="AJ87" s="7">
        <v>93100</v>
      </c>
    </row>
    <row r="88" spans="1:36" x14ac:dyDescent="0.25">
      <c r="A88" s="3">
        <v>36923</v>
      </c>
      <c r="B88" s="7">
        <v>180500</v>
      </c>
      <c r="C88" s="7">
        <v>33150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>
        <v>213650</v>
      </c>
    </row>
    <row r="89" spans="1:36" x14ac:dyDescent="0.25">
      <c r="A89" s="3">
        <v>36951</v>
      </c>
      <c r="B89" s="7"/>
      <c r="C89" s="7">
        <v>72350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>
        <v>72350</v>
      </c>
    </row>
    <row r="90" spans="1:36" x14ac:dyDescent="0.25">
      <c r="A90" s="3">
        <v>36982</v>
      </c>
      <c r="B90" s="7">
        <v>48900</v>
      </c>
      <c r="C90" s="7">
        <v>115100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>
        <v>94000</v>
      </c>
      <c r="AC90" s="7"/>
      <c r="AD90" s="7"/>
      <c r="AE90" s="7"/>
      <c r="AF90" s="7"/>
      <c r="AG90" s="7"/>
      <c r="AH90" s="7"/>
      <c r="AI90" s="7"/>
      <c r="AJ90" s="7">
        <v>258000</v>
      </c>
    </row>
    <row r="91" spans="1:36" x14ac:dyDescent="0.25">
      <c r="A91" s="3">
        <v>37012</v>
      </c>
      <c r="B91" s="7">
        <v>55000</v>
      </c>
      <c r="C91" s="7">
        <v>95000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>
        <v>327000</v>
      </c>
      <c r="AC91" s="7"/>
      <c r="AD91" s="7"/>
      <c r="AE91" s="7"/>
      <c r="AF91" s="7"/>
      <c r="AG91" s="7"/>
      <c r="AH91" s="7"/>
      <c r="AI91" s="7"/>
      <c r="AJ91" s="7">
        <v>477000</v>
      </c>
    </row>
    <row r="92" spans="1:36" x14ac:dyDescent="0.25">
      <c r="A92" s="3">
        <v>37031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>
        <v>46550</v>
      </c>
      <c r="AC92" s="7"/>
      <c r="AD92" s="7"/>
      <c r="AE92" s="7"/>
      <c r="AF92" s="7"/>
      <c r="AG92" s="7"/>
      <c r="AH92" s="7"/>
      <c r="AI92" s="7"/>
      <c r="AJ92" s="7">
        <v>46550</v>
      </c>
    </row>
    <row r="93" spans="1:36" x14ac:dyDescent="0.25">
      <c r="A93" s="3">
        <v>37043</v>
      </c>
      <c r="B93" s="7">
        <v>123250</v>
      </c>
      <c r="C93" s="7">
        <v>785259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>
        <v>360040</v>
      </c>
      <c r="AC93" s="7"/>
      <c r="AD93" s="7"/>
      <c r="AE93" s="7"/>
      <c r="AF93" s="7"/>
      <c r="AG93" s="7"/>
      <c r="AH93" s="7"/>
      <c r="AI93" s="7"/>
      <c r="AJ93" s="7">
        <v>1268549</v>
      </c>
    </row>
    <row r="94" spans="1:36" x14ac:dyDescent="0.25">
      <c r="A94" s="3">
        <v>37073</v>
      </c>
      <c r="B94" s="7"/>
      <c r="C94" s="7">
        <v>103000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>
        <v>134845</v>
      </c>
      <c r="AC94" s="7"/>
      <c r="AD94" s="7"/>
      <c r="AE94" s="7"/>
      <c r="AF94" s="7"/>
      <c r="AG94" s="7"/>
      <c r="AH94" s="7"/>
      <c r="AI94" s="7"/>
      <c r="AJ94" s="7">
        <v>237845</v>
      </c>
    </row>
    <row r="95" spans="1:36" x14ac:dyDescent="0.25">
      <c r="A95" s="3">
        <v>37104</v>
      </c>
      <c r="B95" s="7"/>
      <c r="C95" s="7">
        <v>249730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>
        <v>69825</v>
      </c>
      <c r="X95" s="7"/>
      <c r="Y95" s="7"/>
      <c r="Z95" s="7"/>
      <c r="AA95" s="7"/>
      <c r="AB95" s="7">
        <v>137750</v>
      </c>
      <c r="AC95" s="7"/>
      <c r="AD95" s="7"/>
      <c r="AE95" s="7"/>
      <c r="AF95" s="7"/>
      <c r="AG95" s="7"/>
      <c r="AH95" s="7"/>
      <c r="AI95" s="7"/>
      <c r="AJ95" s="7">
        <v>457305</v>
      </c>
    </row>
    <row r="96" spans="1:36" x14ac:dyDescent="0.25">
      <c r="A96" s="3">
        <v>37135</v>
      </c>
      <c r="B96" s="7"/>
      <c r="C96" s="7">
        <v>331002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>
        <v>66000</v>
      </c>
      <c r="X96" s="7"/>
      <c r="Y96" s="7"/>
      <c r="Z96" s="7"/>
      <c r="AA96" s="7"/>
      <c r="AB96" s="7">
        <v>186005</v>
      </c>
      <c r="AC96" s="7"/>
      <c r="AD96" s="7"/>
      <c r="AE96" s="7"/>
      <c r="AF96" s="7"/>
      <c r="AG96" s="7"/>
      <c r="AH96" s="7"/>
      <c r="AI96" s="7"/>
      <c r="AJ96" s="7">
        <v>583007</v>
      </c>
    </row>
    <row r="97" spans="1:36" x14ac:dyDescent="0.25">
      <c r="A97" s="3">
        <v>37165</v>
      </c>
      <c r="B97" s="7">
        <v>83980</v>
      </c>
      <c r="C97" s="7">
        <v>237500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>
        <v>52250</v>
      </c>
      <c r="X97" s="7"/>
      <c r="Y97" s="7"/>
      <c r="Z97" s="7"/>
      <c r="AA97" s="7"/>
      <c r="AB97" s="7">
        <v>295750</v>
      </c>
      <c r="AC97" s="7"/>
      <c r="AD97" s="7"/>
      <c r="AE97" s="7"/>
      <c r="AF97" s="7"/>
      <c r="AG97" s="7"/>
      <c r="AH97" s="7"/>
      <c r="AI97" s="7"/>
      <c r="AJ97" s="7">
        <v>669480</v>
      </c>
    </row>
    <row r="98" spans="1:36" x14ac:dyDescent="0.25">
      <c r="A98" s="3">
        <v>37196</v>
      </c>
      <c r="B98" s="7"/>
      <c r="C98" s="7">
        <v>99600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>
        <v>1092983</v>
      </c>
      <c r="AC98" s="7"/>
      <c r="AD98" s="7"/>
      <c r="AE98" s="7"/>
      <c r="AF98" s="7"/>
      <c r="AG98" s="7"/>
      <c r="AH98" s="7"/>
      <c r="AI98" s="7"/>
      <c r="AJ98" s="7">
        <v>1192583</v>
      </c>
    </row>
    <row r="99" spans="1:36" x14ac:dyDescent="0.25">
      <c r="A99" s="3">
        <v>37226</v>
      </c>
      <c r="B99" s="7">
        <v>85400</v>
      </c>
      <c r="C99" s="7">
        <v>553675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>
        <v>218768</v>
      </c>
      <c r="X99" s="7"/>
      <c r="Y99" s="7"/>
      <c r="Z99" s="7"/>
      <c r="AA99" s="7"/>
      <c r="AB99" s="7">
        <v>981130</v>
      </c>
      <c r="AC99" s="7"/>
      <c r="AD99" s="7"/>
      <c r="AE99" s="7"/>
      <c r="AF99" s="7">
        <v>54200</v>
      </c>
      <c r="AG99" s="7"/>
      <c r="AH99" s="7"/>
      <c r="AI99" s="7"/>
      <c r="AJ99" s="7">
        <v>1893173</v>
      </c>
    </row>
    <row r="100" spans="1:36" x14ac:dyDescent="0.25">
      <c r="A100" s="3">
        <v>37257</v>
      </c>
      <c r="B100" s="7">
        <v>521855</v>
      </c>
      <c r="C100" s="7">
        <v>458600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>
        <v>1218826</v>
      </c>
      <c r="AC100" s="7"/>
      <c r="AD100" s="7"/>
      <c r="AE100" s="7"/>
      <c r="AF100" s="7"/>
      <c r="AG100" s="7"/>
      <c r="AH100" s="7"/>
      <c r="AI100" s="7"/>
      <c r="AJ100" s="7">
        <v>2199281</v>
      </c>
    </row>
    <row r="101" spans="1:36" x14ac:dyDescent="0.25">
      <c r="A101" s="3">
        <v>37288</v>
      </c>
      <c r="B101" s="7">
        <v>172400</v>
      </c>
      <c r="C101" s="7">
        <v>682105</v>
      </c>
      <c r="D101" s="7"/>
      <c r="E101" s="7"/>
      <c r="F101" s="7"/>
      <c r="G101" s="7">
        <v>52250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>
        <v>858838</v>
      </c>
      <c r="AC101" s="7"/>
      <c r="AD101" s="7"/>
      <c r="AE101" s="7"/>
      <c r="AF101" s="7">
        <v>37000</v>
      </c>
      <c r="AG101" s="7"/>
      <c r="AH101" s="7"/>
      <c r="AI101" s="7"/>
      <c r="AJ101" s="7">
        <v>1802593</v>
      </c>
    </row>
    <row r="102" spans="1:36" x14ac:dyDescent="0.25">
      <c r="A102" s="3">
        <v>37316</v>
      </c>
      <c r="B102" s="7">
        <v>222500</v>
      </c>
      <c r="C102" s="7">
        <v>296900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>
        <v>227900</v>
      </c>
      <c r="AC102" s="7"/>
      <c r="AD102" s="7"/>
      <c r="AE102" s="7"/>
      <c r="AF102" s="7"/>
      <c r="AG102" s="7"/>
      <c r="AH102" s="7"/>
      <c r="AI102" s="7"/>
      <c r="AJ102" s="7">
        <v>747300</v>
      </c>
    </row>
    <row r="103" spans="1:36" x14ac:dyDescent="0.25">
      <c r="A103" s="3">
        <v>37347</v>
      </c>
      <c r="B103" s="7"/>
      <c r="C103" s="7">
        <v>160290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>
        <v>58900</v>
      </c>
      <c r="AC103" s="7"/>
      <c r="AD103" s="7"/>
      <c r="AE103" s="7"/>
      <c r="AF103" s="7"/>
      <c r="AG103" s="7"/>
      <c r="AH103" s="7"/>
      <c r="AI103" s="7"/>
      <c r="AJ103" s="7">
        <v>219190</v>
      </c>
    </row>
    <row r="104" spans="1:36" x14ac:dyDescent="0.25">
      <c r="A104" s="3">
        <v>37377</v>
      </c>
      <c r="B104" s="7"/>
      <c r="C104" s="7">
        <v>314263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>
        <v>397100</v>
      </c>
      <c r="AC104" s="7"/>
      <c r="AD104" s="7"/>
      <c r="AE104" s="7"/>
      <c r="AF104" s="7"/>
      <c r="AG104" s="7"/>
      <c r="AH104" s="7"/>
      <c r="AI104" s="7"/>
      <c r="AJ104" s="7">
        <v>711363</v>
      </c>
    </row>
    <row r="105" spans="1:36" x14ac:dyDescent="0.25">
      <c r="A105" s="3">
        <v>37408</v>
      </c>
      <c r="B105" s="7">
        <v>61750</v>
      </c>
      <c r="C105" s="7">
        <v>194268</v>
      </c>
      <c r="D105" s="7"/>
      <c r="E105" s="7"/>
      <c r="F105" s="7">
        <v>86991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>
        <v>451350</v>
      </c>
      <c r="AC105" s="7"/>
      <c r="AD105" s="7"/>
      <c r="AE105" s="7"/>
      <c r="AF105" s="7"/>
      <c r="AG105" s="7"/>
      <c r="AH105" s="7"/>
      <c r="AI105" s="7"/>
      <c r="AJ105" s="7">
        <v>794359</v>
      </c>
    </row>
    <row r="106" spans="1:36" x14ac:dyDescent="0.25">
      <c r="A106" s="3">
        <v>37438</v>
      </c>
      <c r="B106" s="7"/>
      <c r="C106" s="7">
        <v>498875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>
        <v>327700</v>
      </c>
      <c r="AC106" s="7"/>
      <c r="AD106" s="7"/>
      <c r="AE106" s="7"/>
      <c r="AF106" s="7"/>
      <c r="AG106" s="7"/>
      <c r="AH106" s="7"/>
      <c r="AI106" s="7"/>
      <c r="AJ106" s="7">
        <v>826575</v>
      </c>
    </row>
    <row r="107" spans="1:36" x14ac:dyDescent="0.25">
      <c r="A107" s="3">
        <v>37469</v>
      </c>
      <c r="B107" s="7"/>
      <c r="C107" s="7">
        <v>1024350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>
        <v>113905</v>
      </c>
      <c r="X107" s="7"/>
      <c r="Y107" s="7"/>
      <c r="Z107" s="7"/>
      <c r="AA107" s="7"/>
      <c r="AB107" s="7">
        <v>278100</v>
      </c>
      <c r="AC107" s="7"/>
      <c r="AD107" s="7"/>
      <c r="AE107" s="7"/>
      <c r="AF107" s="7"/>
      <c r="AG107" s="7"/>
      <c r="AH107" s="7"/>
      <c r="AI107" s="7"/>
      <c r="AJ107" s="7">
        <v>1416355</v>
      </c>
    </row>
    <row r="108" spans="1:36" x14ac:dyDescent="0.25">
      <c r="A108" s="3">
        <v>37500</v>
      </c>
      <c r="B108" s="7">
        <v>654635</v>
      </c>
      <c r="C108" s="7">
        <v>626005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>
        <v>140050</v>
      </c>
      <c r="AC108" s="7"/>
      <c r="AD108" s="7"/>
      <c r="AE108" s="7"/>
      <c r="AF108" s="7"/>
      <c r="AG108" s="7"/>
      <c r="AH108" s="7"/>
      <c r="AI108" s="7"/>
      <c r="AJ108" s="7">
        <v>1420690</v>
      </c>
    </row>
    <row r="109" spans="1:36" x14ac:dyDescent="0.25">
      <c r="A109" s="3">
        <v>37530</v>
      </c>
      <c r="B109" s="7">
        <v>75900</v>
      </c>
      <c r="C109" s="7">
        <v>643305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>
        <v>103000</v>
      </c>
      <c r="O109" s="7"/>
      <c r="P109" s="7"/>
      <c r="Q109" s="7"/>
      <c r="R109" s="7"/>
      <c r="S109" s="7"/>
      <c r="T109" s="7"/>
      <c r="U109" s="7"/>
      <c r="V109" s="7"/>
      <c r="W109" s="7">
        <v>95000</v>
      </c>
      <c r="X109" s="7"/>
      <c r="Y109" s="7"/>
      <c r="Z109" s="7"/>
      <c r="AA109" s="7"/>
      <c r="AB109" s="7">
        <v>581450</v>
      </c>
      <c r="AC109" s="7"/>
      <c r="AD109" s="7"/>
      <c r="AE109" s="7"/>
      <c r="AF109" s="7">
        <v>154079</v>
      </c>
      <c r="AG109" s="7"/>
      <c r="AH109" s="7"/>
      <c r="AI109" s="7"/>
      <c r="AJ109" s="7">
        <v>1652734</v>
      </c>
    </row>
    <row r="110" spans="1:36" x14ac:dyDescent="0.25">
      <c r="A110" s="3">
        <v>37561</v>
      </c>
      <c r="B110" s="7">
        <v>240350</v>
      </c>
      <c r="C110" s="7">
        <v>200345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>
        <v>283300</v>
      </c>
      <c r="AC110" s="7"/>
      <c r="AD110" s="7"/>
      <c r="AE110" s="7"/>
      <c r="AF110" s="7"/>
      <c r="AG110" s="7"/>
      <c r="AH110" s="7"/>
      <c r="AI110" s="7"/>
      <c r="AJ110" s="7">
        <v>723995</v>
      </c>
    </row>
    <row r="111" spans="1:36" x14ac:dyDescent="0.25">
      <c r="A111" s="3">
        <v>37591</v>
      </c>
      <c r="B111" s="7">
        <v>342000</v>
      </c>
      <c r="C111" s="7">
        <v>376555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>
        <v>28400</v>
      </c>
      <c r="X111" s="7"/>
      <c r="Y111" s="7"/>
      <c r="Z111" s="7"/>
      <c r="AA111" s="7"/>
      <c r="AB111" s="7">
        <v>1058121</v>
      </c>
      <c r="AC111" s="7"/>
      <c r="AD111" s="7"/>
      <c r="AE111" s="7"/>
      <c r="AF111" s="7"/>
      <c r="AG111" s="7"/>
      <c r="AH111" s="7"/>
      <c r="AI111" s="7"/>
      <c r="AJ111" s="7">
        <v>1805076</v>
      </c>
    </row>
    <row r="112" spans="1:36" x14ac:dyDescent="0.25">
      <c r="A112" s="3">
        <v>37622</v>
      </c>
      <c r="B112" s="7">
        <v>795600</v>
      </c>
      <c r="C112" s="7">
        <v>346150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>
        <v>434150</v>
      </c>
      <c r="X112" s="7"/>
      <c r="Y112" s="7"/>
      <c r="Z112" s="7"/>
      <c r="AA112" s="7"/>
      <c r="AB112" s="7">
        <v>573750</v>
      </c>
      <c r="AC112" s="7"/>
      <c r="AD112" s="7"/>
      <c r="AE112" s="7"/>
      <c r="AF112" s="7">
        <v>24850</v>
      </c>
      <c r="AG112" s="7"/>
      <c r="AH112" s="7"/>
      <c r="AI112" s="7"/>
      <c r="AJ112" s="7">
        <v>2174500</v>
      </c>
    </row>
    <row r="113" spans="1:36" x14ac:dyDescent="0.25">
      <c r="A113" s="3">
        <v>37653</v>
      </c>
      <c r="B113" s="7">
        <v>114000</v>
      </c>
      <c r="C113" s="7">
        <v>640271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>
        <v>323850</v>
      </c>
      <c r="X113" s="7"/>
      <c r="Y113" s="7"/>
      <c r="Z113" s="7"/>
      <c r="AA113" s="7"/>
      <c r="AB113" s="7">
        <v>663535</v>
      </c>
      <c r="AC113" s="7"/>
      <c r="AD113" s="7"/>
      <c r="AE113" s="7"/>
      <c r="AF113" s="7">
        <v>55850</v>
      </c>
      <c r="AG113" s="7"/>
      <c r="AH113" s="7"/>
      <c r="AI113" s="7"/>
      <c r="AJ113" s="7">
        <v>1797506</v>
      </c>
    </row>
    <row r="114" spans="1:36" x14ac:dyDescent="0.25">
      <c r="A114" s="3">
        <v>37672</v>
      </c>
      <c r="B114" s="7">
        <v>99981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>
        <v>130327</v>
      </c>
      <c r="AC114" s="7"/>
      <c r="AD114" s="7"/>
      <c r="AE114" s="7"/>
      <c r="AF114" s="7"/>
      <c r="AG114" s="7"/>
      <c r="AH114" s="7"/>
      <c r="AI114" s="7"/>
      <c r="AJ114" s="7">
        <v>230308</v>
      </c>
    </row>
    <row r="115" spans="1:36" x14ac:dyDescent="0.25">
      <c r="A115" s="3">
        <v>37681</v>
      </c>
      <c r="B115" s="7">
        <v>576231</v>
      </c>
      <c r="C115" s="7">
        <v>259525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>
        <v>177700</v>
      </c>
      <c r="X115" s="7"/>
      <c r="Y115" s="7"/>
      <c r="Z115" s="7"/>
      <c r="AA115" s="7"/>
      <c r="AB115" s="7">
        <v>1290065</v>
      </c>
      <c r="AC115" s="7"/>
      <c r="AD115" s="7"/>
      <c r="AE115" s="7"/>
      <c r="AF115" s="7"/>
      <c r="AG115" s="7"/>
      <c r="AH115" s="7"/>
      <c r="AI115" s="7"/>
      <c r="AJ115" s="7">
        <v>2303521</v>
      </c>
    </row>
    <row r="116" spans="1:36" x14ac:dyDescent="0.25">
      <c r="A116" s="3">
        <v>37690</v>
      </c>
      <c r="B116" s="7">
        <v>52595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>
        <v>52595</v>
      </c>
    </row>
    <row r="117" spans="1:36" x14ac:dyDescent="0.25">
      <c r="A117" s="3">
        <v>37712</v>
      </c>
      <c r="B117" s="7">
        <v>99750</v>
      </c>
      <c r="C117" s="7">
        <v>563733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>
        <v>478900</v>
      </c>
      <c r="X117" s="7"/>
      <c r="Y117" s="7"/>
      <c r="Z117" s="7"/>
      <c r="AA117" s="7"/>
      <c r="AB117" s="7">
        <v>1168620</v>
      </c>
      <c r="AC117" s="7"/>
      <c r="AD117" s="7"/>
      <c r="AE117" s="7"/>
      <c r="AF117" s="7"/>
      <c r="AG117" s="7"/>
      <c r="AH117" s="7"/>
      <c r="AI117" s="7"/>
      <c r="AJ117" s="7">
        <v>2311003</v>
      </c>
    </row>
    <row r="118" spans="1:36" x14ac:dyDescent="0.25">
      <c r="A118" s="3">
        <v>37716</v>
      </c>
      <c r="B118" s="7"/>
      <c r="C118" s="7">
        <v>52250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>
        <v>52250</v>
      </c>
    </row>
    <row r="119" spans="1:36" x14ac:dyDescent="0.25">
      <c r="A119" s="3">
        <v>37742</v>
      </c>
      <c r="B119" s="7">
        <v>126131</v>
      </c>
      <c r="C119" s="7">
        <v>1075610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>
        <v>423964</v>
      </c>
      <c r="X119" s="7"/>
      <c r="Y119" s="7"/>
      <c r="Z119" s="7"/>
      <c r="AA119" s="7"/>
      <c r="AB119" s="7">
        <v>1254320</v>
      </c>
      <c r="AC119" s="7"/>
      <c r="AD119" s="7"/>
      <c r="AE119" s="7"/>
      <c r="AF119" s="7"/>
      <c r="AG119" s="7"/>
      <c r="AH119" s="7"/>
      <c r="AI119" s="7"/>
      <c r="AJ119" s="7">
        <v>2880025</v>
      </c>
    </row>
    <row r="120" spans="1:36" x14ac:dyDescent="0.25">
      <c r="A120" s="3">
        <v>37751</v>
      </c>
      <c r="B120" s="7">
        <v>76475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>
        <v>76475</v>
      </c>
    </row>
    <row r="121" spans="1:36" x14ac:dyDescent="0.25">
      <c r="A121" s="3">
        <v>37761</v>
      </c>
      <c r="B121" s="7">
        <v>153382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>
        <v>153382</v>
      </c>
    </row>
    <row r="122" spans="1:36" x14ac:dyDescent="0.25">
      <c r="A122" s="3">
        <v>37773</v>
      </c>
      <c r="B122" s="7">
        <v>321715</v>
      </c>
      <c r="C122" s="7">
        <v>479175</v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>
        <v>2478668</v>
      </c>
      <c r="AC122" s="7"/>
      <c r="AD122" s="7"/>
      <c r="AE122" s="7"/>
      <c r="AF122" s="7"/>
      <c r="AG122" s="7"/>
      <c r="AH122" s="7"/>
      <c r="AI122" s="7"/>
      <c r="AJ122" s="7">
        <v>3279558</v>
      </c>
    </row>
    <row r="123" spans="1:36" x14ac:dyDescent="0.25">
      <c r="A123" s="3">
        <v>37782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>
        <v>131950</v>
      </c>
      <c r="AC123" s="7"/>
      <c r="AD123" s="7"/>
      <c r="AE123" s="7"/>
      <c r="AF123" s="7"/>
      <c r="AG123" s="7"/>
      <c r="AH123" s="7"/>
      <c r="AI123" s="7"/>
      <c r="AJ123" s="7">
        <v>131950</v>
      </c>
    </row>
    <row r="124" spans="1:36" x14ac:dyDescent="0.25">
      <c r="A124" s="3">
        <v>37792</v>
      </c>
      <c r="B124" s="7"/>
      <c r="C124" s="7">
        <v>70300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>
        <v>104348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>
        <v>174648</v>
      </c>
    </row>
    <row r="125" spans="1:36" x14ac:dyDescent="0.25">
      <c r="A125" s="3">
        <v>37803</v>
      </c>
      <c r="B125" s="7">
        <v>699826</v>
      </c>
      <c r="C125" s="7">
        <v>1152523</v>
      </c>
      <c r="D125" s="7"/>
      <c r="E125" s="7"/>
      <c r="F125" s="7"/>
      <c r="G125" s="7"/>
      <c r="H125" s="7">
        <v>102800</v>
      </c>
      <c r="I125" s="7"/>
      <c r="J125" s="7"/>
      <c r="K125" s="7">
        <v>123500</v>
      </c>
      <c r="L125" s="7"/>
      <c r="M125" s="7"/>
      <c r="N125" s="7"/>
      <c r="O125" s="7"/>
      <c r="P125" s="7"/>
      <c r="Q125" s="7"/>
      <c r="R125" s="7">
        <v>164347</v>
      </c>
      <c r="S125" s="7"/>
      <c r="T125" s="7"/>
      <c r="U125" s="7"/>
      <c r="V125" s="7"/>
      <c r="W125" s="7">
        <v>139550</v>
      </c>
      <c r="X125" s="7"/>
      <c r="Y125" s="7"/>
      <c r="Z125" s="7"/>
      <c r="AA125" s="7"/>
      <c r="AB125" s="7">
        <v>2028466</v>
      </c>
      <c r="AC125" s="7"/>
      <c r="AD125" s="7"/>
      <c r="AE125" s="7"/>
      <c r="AF125" s="7"/>
      <c r="AG125" s="7"/>
      <c r="AH125" s="7"/>
      <c r="AI125" s="7"/>
      <c r="AJ125" s="7">
        <v>4411012</v>
      </c>
    </row>
    <row r="126" spans="1:36" x14ac:dyDescent="0.25">
      <c r="A126" s="3">
        <v>37834</v>
      </c>
      <c r="B126" s="7">
        <v>866208</v>
      </c>
      <c r="C126" s="7">
        <v>1346625</v>
      </c>
      <c r="D126" s="7"/>
      <c r="E126" s="7"/>
      <c r="F126" s="7"/>
      <c r="G126" s="7"/>
      <c r="H126" s="7">
        <v>87305</v>
      </c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>
        <v>115537</v>
      </c>
      <c r="X126" s="7"/>
      <c r="Y126" s="7"/>
      <c r="Z126" s="7"/>
      <c r="AA126" s="7"/>
      <c r="AB126" s="7">
        <v>1752402</v>
      </c>
      <c r="AC126" s="7"/>
      <c r="AD126" s="7"/>
      <c r="AE126" s="7"/>
      <c r="AF126" s="7">
        <v>61175</v>
      </c>
      <c r="AG126" s="7"/>
      <c r="AH126" s="7"/>
      <c r="AI126" s="7"/>
      <c r="AJ126" s="7">
        <v>4229252</v>
      </c>
    </row>
    <row r="127" spans="1:36" x14ac:dyDescent="0.25">
      <c r="A127" s="3">
        <v>37853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>
        <v>107975</v>
      </c>
      <c r="X127" s="7"/>
      <c r="Y127" s="7"/>
      <c r="Z127" s="7"/>
      <c r="AA127" s="7"/>
      <c r="AB127" s="7">
        <v>156920</v>
      </c>
      <c r="AC127" s="7"/>
      <c r="AD127" s="7"/>
      <c r="AE127" s="7"/>
      <c r="AF127" s="7"/>
      <c r="AG127" s="7"/>
      <c r="AH127" s="7"/>
      <c r="AI127" s="7"/>
      <c r="AJ127" s="7">
        <v>264895</v>
      </c>
    </row>
    <row r="128" spans="1:36" x14ac:dyDescent="0.25">
      <c r="A128" s="3">
        <v>37865</v>
      </c>
      <c r="B128" s="7">
        <v>212655</v>
      </c>
      <c r="C128" s="7">
        <v>1927218</v>
      </c>
      <c r="D128" s="7"/>
      <c r="E128" s="7"/>
      <c r="F128" s="7"/>
      <c r="G128" s="7"/>
      <c r="H128" s="7"/>
      <c r="I128" s="7"/>
      <c r="J128" s="7"/>
      <c r="K128" s="7"/>
      <c r="L128" s="7">
        <v>121505</v>
      </c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>
        <v>362788</v>
      </c>
      <c r="X128" s="7"/>
      <c r="Y128" s="7"/>
      <c r="Z128" s="7"/>
      <c r="AA128" s="7"/>
      <c r="AB128" s="7">
        <v>1397588</v>
      </c>
      <c r="AC128" s="7"/>
      <c r="AD128" s="7"/>
      <c r="AE128" s="7"/>
      <c r="AF128" s="7">
        <v>55737</v>
      </c>
      <c r="AG128" s="7"/>
      <c r="AH128" s="7"/>
      <c r="AI128" s="7"/>
      <c r="AJ128" s="7">
        <v>4077491</v>
      </c>
    </row>
    <row r="129" spans="1:36" x14ac:dyDescent="0.25">
      <c r="A129" s="3">
        <v>37874</v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>
        <v>217767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>
        <v>217767</v>
      </c>
    </row>
    <row r="130" spans="1:36" x14ac:dyDescent="0.25">
      <c r="A130" s="3">
        <v>37884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>
        <v>93100</v>
      </c>
      <c r="AC130" s="7"/>
      <c r="AD130" s="7"/>
      <c r="AE130" s="7"/>
      <c r="AF130" s="7"/>
      <c r="AG130" s="7"/>
      <c r="AH130" s="7"/>
      <c r="AI130" s="7"/>
      <c r="AJ130" s="7">
        <v>93100</v>
      </c>
    </row>
    <row r="131" spans="1:36" x14ac:dyDescent="0.25">
      <c r="A131" s="3">
        <v>37895</v>
      </c>
      <c r="B131" s="7">
        <v>171225</v>
      </c>
      <c r="C131" s="7">
        <v>1167744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>
        <v>108500</v>
      </c>
      <c r="O131" s="7"/>
      <c r="P131" s="7"/>
      <c r="Q131" s="7"/>
      <c r="R131" s="7">
        <v>120000</v>
      </c>
      <c r="S131" s="7"/>
      <c r="T131" s="7"/>
      <c r="U131" s="7"/>
      <c r="V131" s="7"/>
      <c r="W131" s="7">
        <v>132050</v>
      </c>
      <c r="X131" s="7"/>
      <c r="Y131" s="7"/>
      <c r="Z131" s="7"/>
      <c r="AA131" s="7"/>
      <c r="AB131" s="7">
        <v>1647455</v>
      </c>
      <c r="AC131" s="7"/>
      <c r="AD131" s="7"/>
      <c r="AE131" s="7"/>
      <c r="AF131" s="7"/>
      <c r="AG131" s="7"/>
      <c r="AH131" s="7"/>
      <c r="AI131" s="7"/>
      <c r="AJ131" s="7">
        <v>3346974</v>
      </c>
    </row>
    <row r="132" spans="1:36" x14ac:dyDescent="0.25">
      <c r="A132" s="3">
        <v>37904</v>
      </c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>
        <v>65070</v>
      </c>
      <c r="AC132" s="7"/>
      <c r="AD132" s="7"/>
      <c r="AE132" s="7"/>
      <c r="AF132" s="7"/>
      <c r="AG132" s="7"/>
      <c r="AH132" s="7"/>
      <c r="AI132" s="7"/>
      <c r="AJ132" s="7">
        <v>65070</v>
      </c>
    </row>
    <row r="133" spans="1:36" x14ac:dyDescent="0.25">
      <c r="A133" s="3">
        <v>37926</v>
      </c>
      <c r="B133" s="7">
        <v>375000</v>
      </c>
      <c r="C133" s="7">
        <v>1294679</v>
      </c>
      <c r="D133" s="7"/>
      <c r="E133" s="7"/>
      <c r="F133" s="7"/>
      <c r="G133" s="7"/>
      <c r="H133" s="7"/>
      <c r="I133" s="7">
        <v>95000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>
        <v>125400</v>
      </c>
      <c r="V133" s="7"/>
      <c r="W133" s="7">
        <v>268546</v>
      </c>
      <c r="X133" s="7"/>
      <c r="Y133" s="7"/>
      <c r="Z133" s="7"/>
      <c r="AA133" s="7"/>
      <c r="AB133" s="7">
        <v>2053904</v>
      </c>
      <c r="AC133" s="7"/>
      <c r="AD133" s="7"/>
      <c r="AE133" s="7"/>
      <c r="AF133" s="7">
        <v>89300</v>
      </c>
      <c r="AG133" s="7"/>
      <c r="AH133" s="7"/>
      <c r="AI133" s="7"/>
      <c r="AJ133" s="7">
        <v>4301829</v>
      </c>
    </row>
    <row r="134" spans="1:36" x14ac:dyDescent="0.25">
      <c r="A134" s="3">
        <v>37956</v>
      </c>
      <c r="B134" s="7">
        <v>358100</v>
      </c>
      <c r="C134" s="7">
        <v>1368739</v>
      </c>
      <c r="D134" s="7"/>
      <c r="E134" s="7"/>
      <c r="F134" s="7"/>
      <c r="G134" s="7"/>
      <c r="H134" s="7">
        <v>151500</v>
      </c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>
        <v>162886</v>
      </c>
      <c r="X134" s="7"/>
      <c r="Y134" s="7"/>
      <c r="Z134" s="7"/>
      <c r="AA134" s="7"/>
      <c r="AB134" s="7">
        <v>1551225</v>
      </c>
      <c r="AC134" s="7"/>
      <c r="AD134" s="7"/>
      <c r="AE134" s="7"/>
      <c r="AF134" s="7"/>
      <c r="AG134" s="7"/>
      <c r="AH134" s="7"/>
      <c r="AI134" s="7"/>
      <c r="AJ134" s="7">
        <v>3592450</v>
      </c>
    </row>
    <row r="135" spans="1:36" x14ac:dyDescent="0.25">
      <c r="A135" s="3">
        <v>37987</v>
      </c>
      <c r="B135" s="7">
        <v>415550</v>
      </c>
      <c r="C135" s="7">
        <v>1220550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>
        <v>71250</v>
      </c>
      <c r="X135" s="7"/>
      <c r="Y135" s="7"/>
      <c r="Z135" s="7"/>
      <c r="AA135" s="7"/>
      <c r="AB135" s="7">
        <v>1971788</v>
      </c>
      <c r="AC135" s="7"/>
      <c r="AD135" s="7"/>
      <c r="AE135" s="7"/>
      <c r="AF135" s="7"/>
      <c r="AG135" s="7"/>
      <c r="AH135" s="7"/>
      <c r="AI135" s="7"/>
      <c r="AJ135" s="7">
        <v>3679138</v>
      </c>
    </row>
    <row r="136" spans="1:36" x14ac:dyDescent="0.25">
      <c r="A136" s="3">
        <v>38018</v>
      </c>
      <c r="B136" s="7">
        <v>513050</v>
      </c>
      <c r="C136" s="7">
        <v>1116386</v>
      </c>
      <c r="D136" s="7"/>
      <c r="E136" s="7"/>
      <c r="F136" s="7"/>
      <c r="G136" s="7"/>
      <c r="H136" s="7">
        <v>62700</v>
      </c>
      <c r="I136" s="7"/>
      <c r="J136" s="7">
        <v>86500</v>
      </c>
      <c r="K136" s="7"/>
      <c r="L136" s="7"/>
      <c r="M136" s="7"/>
      <c r="N136" s="7">
        <v>126150</v>
      </c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>
        <v>1234712</v>
      </c>
      <c r="AC136" s="7"/>
      <c r="AD136" s="7"/>
      <c r="AE136" s="7"/>
      <c r="AF136" s="7"/>
      <c r="AG136" s="7"/>
      <c r="AH136" s="7"/>
      <c r="AI136" s="7"/>
      <c r="AJ136" s="7">
        <v>3139498</v>
      </c>
    </row>
    <row r="137" spans="1:36" x14ac:dyDescent="0.25">
      <c r="A137" s="3">
        <v>38047</v>
      </c>
      <c r="B137" s="7">
        <v>362753</v>
      </c>
      <c r="C137" s="7">
        <v>460745</v>
      </c>
      <c r="D137" s="7"/>
      <c r="E137" s="7"/>
      <c r="F137" s="7"/>
      <c r="G137" s="7"/>
      <c r="H137" s="7">
        <v>115000</v>
      </c>
      <c r="I137" s="7"/>
      <c r="J137" s="7"/>
      <c r="K137" s="7"/>
      <c r="L137" s="7"/>
      <c r="M137" s="7"/>
      <c r="N137" s="7"/>
      <c r="O137" s="7">
        <v>201400</v>
      </c>
      <c r="P137" s="7"/>
      <c r="Q137" s="7"/>
      <c r="R137" s="7"/>
      <c r="S137" s="7"/>
      <c r="T137" s="7"/>
      <c r="U137" s="7"/>
      <c r="V137" s="7"/>
      <c r="W137" s="7">
        <v>773100</v>
      </c>
      <c r="X137" s="7"/>
      <c r="Y137" s="7"/>
      <c r="Z137" s="7"/>
      <c r="AA137" s="7"/>
      <c r="AB137" s="7">
        <v>1406405</v>
      </c>
      <c r="AC137" s="7"/>
      <c r="AD137" s="7"/>
      <c r="AE137" s="7"/>
      <c r="AF137" s="7"/>
      <c r="AG137" s="7"/>
      <c r="AH137" s="7"/>
      <c r="AI137" s="7"/>
      <c r="AJ137" s="7">
        <v>3319403</v>
      </c>
    </row>
    <row r="138" spans="1:36" x14ac:dyDescent="0.25">
      <c r="A138" s="3">
        <v>38078</v>
      </c>
      <c r="B138" s="7">
        <v>304000</v>
      </c>
      <c r="C138" s="7">
        <v>2274953</v>
      </c>
      <c r="D138" s="7"/>
      <c r="E138" s="7"/>
      <c r="F138" s="7"/>
      <c r="G138" s="7"/>
      <c r="H138" s="7"/>
      <c r="I138" s="7"/>
      <c r="J138" s="7"/>
      <c r="K138" s="7">
        <v>97400</v>
      </c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>
        <v>260300</v>
      </c>
      <c r="X138" s="7"/>
      <c r="Y138" s="7"/>
      <c r="Z138" s="7"/>
      <c r="AA138" s="7"/>
      <c r="AB138" s="7">
        <v>1438394</v>
      </c>
      <c r="AC138" s="7"/>
      <c r="AD138" s="7"/>
      <c r="AE138" s="7"/>
      <c r="AF138" s="7"/>
      <c r="AG138" s="7"/>
      <c r="AH138" s="7"/>
      <c r="AI138" s="7"/>
      <c r="AJ138" s="7">
        <v>4375047</v>
      </c>
    </row>
    <row r="139" spans="1:36" x14ac:dyDescent="0.25">
      <c r="A139" s="3">
        <v>38108</v>
      </c>
      <c r="B139" s="7">
        <v>419700</v>
      </c>
      <c r="C139" s="7">
        <v>1735593</v>
      </c>
      <c r="D139" s="7"/>
      <c r="E139" s="7"/>
      <c r="F139" s="7"/>
      <c r="G139" s="7"/>
      <c r="H139" s="7">
        <v>166155</v>
      </c>
      <c r="I139" s="7"/>
      <c r="J139" s="7"/>
      <c r="K139" s="7"/>
      <c r="L139" s="7"/>
      <c r="M139" s="7">
        <v>292110</v>
      </c>
      <c r="N139" s="7"/>
      <c r="O139" s="7"/>
      <c r="P139" s="7"/>
      <c r="Q139" s="7"/>
      <c r="R139" s="7"/>
      <c r="S139" s="7"/>
      <c r="T139" s="7"/>
      <c r="U139" s="7"/>
      <c r="V139" s="7"/>
      <c r="W139" s="7">
        <v>130435</v>
      </c>
      <c r="X139" s="7"/>
      <c r="Y139" s="7"/>
      <c r="Z139" s="7"/>
      <c r="AA139" s="7"/>
      <c r="AB139" s="7">
        <v>1365032</v>
      </c>
      <c r="AC139" s="7"/>
      <c r="AD139" s="7"/>
      <c r="AE139" s="7"/>
      <c r="AF139" s="7"/>
      <c r="AG139" s="7"/>
      <c r="AH139" s="7"/>
      <c r="AI139" s="7"/>
      <c r="AJ139" s="7">
        <v>4109025</v>
      </c>
    </row>
    <row r="140" spans="1:36" x14ac:dyDescent="0.25">
      <c r="A140" s="3">
        <v>38127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>
        <v>110268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>
        <v>110268</v>
      </c>
    </row>
    <row r="141" spans="1:36" x14ac:dyDescent="0.25">
      <c r="A141" s="3">
        <v>38139</v>
      </c>
      <c r="B141" s="7">
        <v>257350</v>
      </c>
      <c r="C141" s="7">
        <v>547475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>
        <v>308449</v>
      </c>
      <c r="X141" s="7"/>
      <c r="Y141" s="7"/>
      <c r="Z141" s="7"/>
      <c r="AA141" s="7"/>
      <c r="AB141" s="7">
        <v>769273</v>
      </c>
      <c r="AC141" s="7"/>
      <c r="AD141" s="7"/>
      <c r="AE141" s="7"/>
      <c r="AF141" s="7"/>
      <c r="AG141" s="7"/>
      <c r="AH141" s="7"/>
      <c r="AI141" s="7"/>
      <c r="AJ141" s="7">
        <v>1882547</v>
      </c>
    </row>
    <row r="142" spans="1:36" x14ac:dyDescent="0.25">
      <c r="A142" s="3">
        <v>38169</v>
      </c>
      <c r="B142" s="7">
        <v>111150</v>
      </c>
      <c r="C142" s="7">
        <v>1324700</v>
      </c>
      <c r="D142" s="7"/>
      <c r="E142" s="7"/>
      <c r="F142" s="7"/>
      <c r="G142" s="7"/>
      <c r="H142" s="7"/>
      <c r="I142" s="7"/>
      <c r="J142" s="7"/>
      <c r="K142" s="7"/>
      <c r="L142" s="7">
        <v>88000</v>
      </c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>
        <v>349900</v>
      </c>
      <c r="X142" s="7"/>
      <c r="Y142" s="7"/>
      <c r="Z142" s="7"/>
      <c r="AA142" s="7"/>
      <c r="AB142" s="7">
        <v>1418721</v>
      </c>
      <c r="AC142" s="7"/>
      <c r="AD142" s="7"/>
      <c r="AE142" s="7"/>
      <c r="AF142" s="7"/>
      <c r="AG142" s="7"/>
      <c r="AH142" s="7"/>
      <c r="AI142" s="7"/>
      <c r="AJ142" s="7">
        <v>3292471</v>
      </c>
    </row>
    <row r="143" spans="1:36" x14ac:dyDescent="0.25">
      <c r="A143" s="3">
        <v>38200</v>
      </c>
      <c r="B143" s="7">
        <v>217375</v>
      </c>
      <c r="C143" s="7">
        <v>1192460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>
        <v>163850</v>
      </c>
      <c r="X143" s="7"/>
      <c r="Y143" s="7"/>
      <c r="Z143" s="7"/>
      <c r="AA143" s="7"/>
      <c r="AB143" s="7">
        <v>1245005</v>
      </c>
      <c r="AC143" s="7"/>
      <c r="AD143" s="7"/>
      <c r="AE143" s="7"/>
      <c r="AF143" s="7">
        <v>196460</v>
      </c>
      <c r="AG143" s="7"/>
      <c r="AH143" s="7"/>
      <c r="AI143" s="7"/>
      <c r="AJ143" s="7">
        <v>3015150</v>
      </c>
    </row>
    <row r="144" spans="1:36" x14ac:dyDescent="0.25">
      <c r="A144" s="3">
        <v>38231</v>
      </c>
      <c r="B144" s="7">
        <v>234650</v>
      </c>
      <c r="C144" s="7">
        <v>1858705</v>
      </c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>
        <v>212750</v>
      </c>
      <c r="O144" s="7"/>
      <c r="P144" s="7"/>
      <c r="Q144" s="7"/>
      <c r="R144" s="7">
        <v>108600</v>
      </c>
      <c r="S144" s="7"/>
      <c r="T144" s="7"/>
      <c r="U144" s="7"/>
      <c r="V144" s="7"/>
      <c r="W144" s="7">
        <v>117500</v>
      </c>
      <c r="X144" s="7"/>
      <c r="Y144" s="7"/>
      <c r="Z144" s="7"/>
      <c r="AA144" s="7"/>
      <c r="AB144" s="7">
        <v>1991085</v>
      </c>
      <c r="AC144" s="7"/>
      <c r="AD144" s="7"/>
      <c r="AE144" s="7"/>
      <c r="AF144" s="7">
        <v>57000</v>
      </c>
      <c r="AG144" s="7"/>
      <c r="AH144" s="7"/>
      <c r="AI144" s="7"/>
      <c r="AJ144" s="7">
        <v>4580290</v>
      </c>
    </row>
    <row r="145" spans="1:36" x14ac:dyDescent="0.25">
      <c r="A145" s="3">
        <v>38240</v>
      </c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>
        <v>156000</v>
      </c>
      <c r="AC145" s="7"/>
      <c r="AD145" s="7"/>
      <c r="AE145" s="7"/>
      <c r="AF145" s="7"/>
      <c r="AG145" s="7"/>
      <c r="AH145" s="7"/>
      <c r="AI145" s="7"/>
      <c r="AJ145" s="7">
        <v>156000</v>
      </c>
    </row>
    <row r="146" spans="1:36" x14ac:dyDescent="0.25">
      <c r="A146" s="3">
        <v>38261</v>
      </c>
      <c r="B146" s="7">
        <v>1189900</v>
      </c>
      <c r="C146" s="7">
        <v>2192829</v>
      </c>
      <c r="D146" s="7"/>
      <c r="E146" s="7"/>
      <c r="F146" s="7"/>
      <c r="G146" s="7"/>
      <c r="H146" s="7">
        <v>185250</v>
      </c>
      <c r="I146" s="7"/>
      <c r="J146" s="7"/>
      <c r="K146" s="7"/>
      <c r="L146" s="7"/>
      <c r="M146" s="7"/>
      <c r="N146" s="7"/>
      <c r="O146" s="7">
        <v>70000</v>
      </c>
      <c r="P146" s="7"/>
      <c r="Q146" s="7"/>
      <c r="R146" s="7"/>
      <c r="S146" s="7"/>
      <c r="T146" s="7"/>
      <c r="U146" s="7"/>
      <c r="V146" s="7"/>
      <c r="W146" s="7">
        <v>226750</v>
      </c>
      <c r="X146" s="7"/>
      <c r="Y146" s="7"/>
      <c r="Z146" s="7"/>
      <c r="AA146" s="7"/>
      <c r="AB146" s="7">
        <v>1818103</v>
      </c>
      <c r="AC146" s="7"/>
      <c r="AD146" s="7"/>
      <c r="AE146" s="7"/>
      <c r="AF146" s="7"/>
      <c r="AG146" s="7"/>
      <c r="AH146" s="7"/>
      <c r="AI146" s="7"/>
      <c r="AJ146" s="7">
        <v>5682832</v>
      </c>
    </row>
    <row r="147" spans="1:36" x14ac:dyDescent="0.25">
      <c r="A147" s="3">
        <v>38280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>
        <v>128514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>
        <v>128514</v>
      </c>
    </row>
    <row r="148" spans="1:36" x14ac:dyDescent="0.25">
      <c r="A148" s="3">
        <v>38292</v>
      </c>
      <c r="B148" s="7">
        <v>780825</v>
      </c>
      <c r="C148" s="7">
        <v>1595192</v>
      </c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>
        <v>414925</v>
      </c>
      <c r="X148" s="7"/>
      <c r="Y148" s="7"/>
      <c r="Z148" s="7"/>
      <c r="AA148" s="7"/>
      <c r="AB148" s="7">
        <v>2115322</v>
      </c>
      <c r="AC148" s="7"/>
      <c r="AD148" s="7"/>
      <c r="AE148" s="7"/>
      <c r="AF148" s="7">
        <v>113950</v>
      </c>
      <c r="AG148" s="7"/>
      <c r="AH148" s="7"/>
      <c r="AI148" s="7"/>
      <c r="AJ148" s="7">
        <v>5020214</v>
      </c>
    </row>
    <row r="149" spans="1:36" x14ac:dyDescent="0.25">
      <c r="A149" s="3">
        <v>38301</v>
      </c>
      <c r="B149" s="7">
        <v>85770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>
        <v>85770</v>
      </c>
    </row>
    <row r="150" spans="1:36" x14ac:dyDescent="0.25">
      <c r="A150" s="3">
        <v>38322</v>
      </c>
      <c r="B150" s="7">
        <v>359947</v>
      </c>
      <c r="C150" s="7">
        <v>907030</v>
      </c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>
        <v>416875</v>
      </c>
      <c r="X150" s="7"/>
      <c r="Y150" s="7"/>
      <c r="Z150" s="7"/>
      <c r="AA150" s="7"/>
      <c r="AB150" s="7">
        <v>1625750</v>
      </c>
      <c r="AC150" s="7"/>
      <c r="AD150" s="7"/>
      <c r="AE150" s="7"/>
      <c r="AF150" s="7"/>
      <c r="AG150" s="7"/>
      <c r="AH150" s="7"/>
      <c r="AI150" s="7"/>
      <c r="AJ150" s="7">
        <v>3309602</v>
      </c>
    </row>
    <row r="151" spans="1:36" x14ac:dyDescent="0.25">
      <c r="A151" s="3">
        <v>38353</v>
      </c>
      <c r="B151" s="7">
        <v>932900</v>
      </c>
      <c r="C151" s="7">
        <v>811345</v>
      </c>
      <c r="D151" s="7"/>
      <c r="E151" s="7"/>
      <c r="F151" s="7"/>
      <c r="G151" s="7"/>
      <c r="H151" s="7"/>
      <c r="I151" s="7"/>
      <c r="J151" s="7">
        <v>175000</v>
      </c>
      <c r="K151" s="7"/>
      <c r="L151" s="7"/>
      <c r="M151" s="7">
        <v>265000</v>
      </c>
      <c r="N151" s="7"/>
      <c r="O151" s="7"/>
      <c r="P151" s="7"/>
      <c r="Q151" s="7"/>
      <c r="R151" s="7"/>
      <c r="S151" s="7"/>
      <c r="T151" s="7"/>
      <c r="U151" s="7"/>
      <c r="V151" s="7"/>
      <c r="W151" s="7">
        <v>521205</v>
      </c>
      <c r="X151" s="7"/>
      <c r="Y151" s="7"/>
      <c r="Z151" s="7"/>
      <c r="AA151" s="7"/>
      <c r="AB151" s="7">
        <v>2153905</v>
      </c>
      <c r="AC151" s="7"/>
      <c r="AD151" s="7"/>
      <c r="AE151" s="7"/>
      <c r="AF151" s="7">
        <v>497950</v>
      </c>
      <c r="AG151" s="7"/>
      <c r="AH151" s="7"/>
      <c r="AI151" s="7"/>
      <c r="AJ151" s="7">
        <v>5357305</v>
      </c>
    </row>
    <row r="152" spans="1:36" x14ac:dyDescent="0.25">
      <c r="A152" s="3">
        <v>38372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>
        <v>121215</v>
      </c>
      <c r="AC152" s="7"/>
      <c r="AD152" s="7"/>
      <c r="AE152" s="7"/>
      <c r="AF152" s="7"/>
      <c r="AG152" s="7"/>
      <c r="AH152" s="7"/>
      <c r="AI152" s="7"/>
      <c r="AJ152" s="7">
        <v>121215</v>
      </c>
    </row>
    <row r="153" spans="1:36" x14ac:dyDescent="0.25">
      <c r="A153" s="3">
        <v>38384</v>
      </c>
      <c r="B153" s="7">
        <v>808750</v>
      </c>
      <c r="C153" s="7">
        <v>2005324</v>
      </c>
      <c r="D153" s="7"/>
      <c r="E153" s="7"/>
      <c r="F153" s="7"/>
      <c r="G153" s="7"/>
      <c r="H153" s="7"/>
      <c r="I153" s="7"/>
      <c r="J153" s="7"/>
      <c r="K153" s="7"/>
      <c r="L153" s="7">
        <v>100500</v>
      </c>
      <c r="M153" s="7"/>
      <c r="N153" s="7">
        <v>100000</v>
      </c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>
        <v>2046337</v>
      </c>
      <c r="AC153" s="7"/>
      <c r="AD153" s="7"/>
      <c r="AE153" s="7"/>
      <c r="AF153" s="7">
        <v>351500</v>
      </c>
      <c r="AG153" s="7"/>
      <c r="AH153" s="7"/>
      <c r="AI153" s="7"/>
      <c r="AJ153" s="7">
        <v>5412411</v>
      </c>
    </row>
    <row r="154" spans="1:36" x14ac:dyDescent="0.25">
      <c r="A154" s="3">
        <v>38412</v>
      </c>
      <c r="B154" s="7">
        <v>172438</v>
      </c>
      <c r="C154" s="7">
        <v>1386683</v>
      </c>
      <c r="D154" s="7"/>
      <c r="E154" s="7"/>
      <c r="F154" s="7"/>
      <c r="G154" s="7"/>
      <c r="H154" s="7"/>
      <c r="I154" s="7"/>
      <c r="J154" s="7"/>
      <c r="K154" s="7">
        <v>98000</v>
      </c>
      <c r="L154" s="7"/>
      <c r="M154" s="7"/>
      <c r="N154" s="7"/>
      <c r="O154" s="7">
        <v>80510</v>
      </c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>
        <v>2087711</v>
      </c>
      <c r="AC154" s="7"/>
      <c r="AD154" s="7"/>
      <c r="AE154" s="7"/>
      <c r="AF154" s="7"/>
      <c r="AG154" s="7"/>
      <c r="AH154" s="7"/>
      <c r="AI154" s="7"/>
      <c r="AJ154" s="7">
        <v>3825342</v>
      </c>
    </row>
    <row r="155" spans="1:36" x14ac:dyDescent="0.25">
      <c r="A155" s="3">
        <v>38421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>
        <v>89904</v>
      </c>
      <c r="AC155" s="7"/>
      <c r="AD155" s="7"/>
      <c r="AE155" s="7"/>
      <c r="AF155" s="7"/>
      <c r="AG155" s="7"/>
      <c r="AH155" s="7"/>
      <c r="AI155" s="7"/>
      <c r="AJ155" s="7">
        <v>89904</v>
      </c>
    </row>
    <row r="156" spans="1:36" x14ac:dyDescent="0.25">
      <c r="A156" s="3">
        <v>38443</v>
      </c>
      <c r="B156" s="7">
        <v>262425</v>
      </c>
      <c r="C156" s="7">
        <v>820770</v>
      </c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>
        <v>145200</v>
      </c>
      <c r="P156" s="7"/>
      <c r="Q156" s="7"/>
      <c r="R156" s="7">
        <v>237500</v>
      </c>
      <c r="S156" s="7"/>
      <c r="T156" s="7"/>
      <c r="U156" s="7"/>
      <c r="V156" s="7"/>
      <c r="W156" s="7"/>
      <c r="X156" s="7"/>
      <c r="Y156" s="7"/>
      <c r="Z156" s="7"/>
      <c r="AA156" s="7"/>
      <c r="AB156" s="7">
        <v>2338300</v>
      </c>
      <c r="AC156" s="7"/>
      <c r="AD156" s="7"/>
      <c r="AE156" s="7"/>
      <c r="AF156" s="7"/>
      <c r="AG156" s="7"/>
      <c r="AH156" s="7"/>
      <c r="AI156" s="7"/>
      <c r="AJ156" s="7">
        <v>3804195</v>
      </c>
    </row>
    <row r="157" spans="1:36" x14ac:dyDescent="0.25">
      <c r="A157" s="3">
        <v>38473</v>
      </c>
      <c r="B157" s="7">
        <v>259300</v>
      </c>
      <c r="C157" s="7">
        <v>1730173</v>
      </c>
      <c r="D157" s="7"/>
      <c r="E157" s="7"/>
      <c r="F157" s="7"/>
      <c r="G157" s="7"/>
      <c r="H157" s="7"/>
      <c r="I157" s="7"/>
      <c r="J157" s="7"/>
      <c r="K157" s="7"/>
      <c r="L157" s="7"/>
      <c r="M157" s="7">
        <v>80500</v>
      </c>
      <c r="N157" s="7"/>
      <c r="O157" s="7"/>
      <c r="P157" s="7"/>
      <c r="Q157" s="7"/>
      <c r="R157" s="7">
        <v>80500</v>
      </c>
      <c r="S157" s="7"/>
      <c r="T157" s="7"/>
      <c r="U157" s="7"/>
      <c r="V157" s="7"/>
      <c r="W157" s="7">
        <v>816820</v>
      </c>
      <c r="X157" s="7"/>
      <c r="Y157" s="7"/>
      <c r="Z157" s="7"/>
      <c r="AA157" s="7"/>
      <c r="AB157" s="7">
        <v>1356276</v>
      </c>
      <c r="AC157" s="7"/>
      <c r="AD157" s="7"/>
      <c r="AE157" s="7"/>
      <c r="AF157" s="7">
        <v>97498</v>
      </c>
      <c r="AG157" s="7"/>
      <c r="AH157" s="7"/>
      <c r="AI157" s="7"/>
      <c r="AJ157" s="7">
        <v>4421067</v>
      </c>
    </row>
    <row r="158" spans="1:36" x14ac:dyDescent="0.25">
      <c r="A158" s="3">
        <v>38504</v>
      </c>
      <c r="B158" s="7">
        <v>447635</v>
      </c>
      <c r="C158" s="7">
        <v>734528</v>
      </c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>
        <v>140000</v>
      </c>
      <c r="X158" s="7"/>
      <c r="Y158" s="7"/>
      <c r="Z158" s="7"/>
      <c r="AA158" s="7"/>
      <c r="AB158" s="7">
        <v>1474577</v>
      </c>
      <c r="AC158" s="7"/>
      <c r="AD158" s="7"/>
      <c r="AE158" s="7"/>
      <c r="AF158" s="7">
        <v>196650</v>
      </c>
      <c r="AG158" s="7"/>
      <c r="AH158" s="7"/>
      <c r="AI158" s="7"/>
      <c r="AJ158" s="7">
        <v>2993390</v>
      </c>
    </row>
    <row r="159" spans="1:36" x14ac:dyDescent="0.25">
      <c r="A159" s="3">
        <v>38523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>
        <v>148622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>
        <v>148622</v>
      </c>
    </row>
    <row r="160" spans="1:36" x14ac:dyDescent="0.25">
      <c r="A160" s="3">
        <v>38534</v>
      </c>
      <c r="B160" s="7">
        <v>531050</v>
      </c>
      <c r="C160" s="7">
        <v>1275977</v>
      </c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>
        <v>57400</v>
      </c>
      <c r="Q160" s="7"/>
      <c r="R160" s="7">
        <v>102920</v>
      </c>
      <c r="S160" s="7"/>
      <c r="T160" s="7"/>
      <c r="U160" s="7"/>
      <c r="V160" s="7"/>
      <c r="W160" s="7">
        <v>159500</v>
      </c>
      <c r="X160" s="7"/>
      <c r="Y160" s="7"/>
      <c r="Z160" s="7"/>
      <c r="AA160" s="7"/>
      <c r="AB160" s="7">
        <v>3790257</v>
      </c>
      <c r="AC160" s="7"/>
      <c r="AD160" s="7"/>
      <c r="AE160" s="7"/>
      <c r="AF160" s="7"/>
      <c r="AG160" s="7"/>
      <c r="AH160" s="7"/>
      <c r="AI160" s="7"/>
      <c r="AJ160" s="7">
        <v>5917104</v>
      </c>
    </row>
    <row r="161" spans="1:36" x14ac:dyDescent="0.25">
      <c r="A161" s="3">
        <v>38565</v>
      </c>
      <c r="B161" s="7">
        <v>666140</v>
      </c>
      <c r="C161" s="7">
        <v>3212138</v>
      </c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>
        <v>52500</v>
      </c>
      <c r="Q161" s="7"/>
      <c r="R161" s="7"/>
      <c r="S161" s="7"/>
      <c r="T161" s="7"/>
      <c r="U161" s="7"/>
      <c r="V161" s="7"/>
      <c r="W161" s="7">
        <v>347858</v>
      </c>
      <c r="X161" s="7"/>
      <c r="Y161" s="7"/>
      <c r="Z161" s="7"/>
      <c r="AA161" s="7"/>
      <c r="AB161" s="7">
        <v>4111345</v>
      </c>
      <c r="AC161" s="7"/>
      <c r="AD161" s="7"/>
      <c r="AE161" s="7"/>
      <c r="AF161" s="7">
        <v>147250</v>
      </c>
      <c r="AG161" s="7"/>
      <c r="AH161" s="7"/>
      <c r="AI161" s="7"/>
      <c r="AJ161" s="7">
        <v>8537231</v>
      </c>
    </row>
    <row r="162" spans="1:36" x14ac:dyDescent="0.25">
      <c r="A162" s="3">
        <v>38596</v>
      </c>
      <c r="B162" s="7">
        <v>1686750</v>
      </c>
      <c r="C162" s="7">
        <v>1600002</v>
      </c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>
        <v>105633</v>
      </c>
      <c r="S162" s="7">
        <v>234543</v>
      </c>
      <c r="T162" s="7"/>
      <c r="U162" s="7"/>
      <c r="V162" s="7"/>
      <c r="W162" s="7">
        <v>1868359</v>
      </c>
      <c r="X162" s="7"/>
      <c r="Y162" s="7"/>
      <c r="Z162" s="7"/>
      <c r="AA162" s="7"/>
      <c r="AB162" s="7">
        <v>4063775</v>
      </c>
      <c r="AC162" s="7"/>
      <c r="AD162" s="7"/>
      <c r="AE162" s="7"/>
      <c r="AF162" s="7">
        <v>357511</v>
      </c>
      <c r="AG162" s="7"/>
      <c r="AH162" s="7"/>
      <c r="AI162" s="7"/>
      <c r="AJ162" s="7">
        <v>9916573</v>
      </c>
    </row>
    <row r="163" spans="1:36" x14ac:dyDescent="0.25">
      <c r="A163" s="3">
        <v>38626</v>
      </c>
      <c r="B163" s="7">
        <v>1895075</v>
      </c>
      <c r="C163" s="7">
        <v>2462948</v>
      </c>
      <c r="D163" s="7"/>
      <c r="E163" s="7"/>
      <c r="F163" s="7"/>
      <c r="G163" s="7">
        <v>157450</v>
      </c>
      <c r="H163" s="7"/>
      <c r="I163" s="7"/>
      <c r="J163" s="7"/>
      <c r="K163" s="7"/>
      <c r="L163" s="7"/>
      <c r="M163" s="7"/>
      <c r="N163" s="7"/>
      <c r="O163" s="7"/>
      <c r="P163" s="7"/>
      <c r="Q163" s="7">
        <v>138085</v>
      </c>
      <c r="R163" s="7">
        <v>190000</v>
      </c>
      <c r="S163" s="7"/>
      <c r="T163" s="7"/>
      <c r="U163" s="7">
        <v>248900</v>
      </c>
      <c r="V163" s="7"/>
      <c r="W163" s="7">
        <v>741950</v>
      </c>
      <c r="X163" s="7"/>
      <c r="Y163" s="7"/>
      <c r="Z163" s="7"/>
      <c r="AA163" s="7"/>
      <c r="AB163" s="7">
        <v>8047974</v>
      </c>
      <c r="AC163" s="7"/>
      <c r="AD163" s="7"/>
      <c r="AE163" s="7"/>
      <c r="AF163" s="7">
        <v>211080</v>
      </c>
      <c r="AG163" s="7"/>
      <c r="AH163" s="7"/>
      <c r="AI163" s="7"/>
      <c r="AJ163" s="7">
        <v>14093462</v>
      </c>
    </row>
    <row r="164" spans="1:36" x14ac:dyDescent="0.25">
      <c r="A164" s="3">
        <v>38657</v>
      </c>
      <c r="B164" s="7">
        <v>3518331</v>
      </c>
      <c r="C164" s="7">
        <v>3075472</v>
      </c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>
        <v>95000</v>
      </c>
      <c r="Q164" s="7"/>
      <c r="R164" s="7">
        <v>479450</v>
      </c>
      <c r="S164" s="7"/>
      <c r="T164" s="7"/>
      <c r="U164" s="7"/>
      <c r="V164" s="7"/>
      <c r="W164" s="7">
        <v>3362531</v>
      </c>
      <c r="X164" s="7"/>
      <c r="Y164" s="7"/>
      <c r="Z164" s="7"/>
      <c r="AA164" s="7"/>
      <c r="AB164" s="7">
        <v>14151761</v>
      </c>
      <c r="AC164" s="7"/>
      <c r="AD164" s="7"/>
      <c r="AE164" s="7"/>
      <c r="AF164" s="7">
        <v>1211037</v>
      </c>
      <c r="AG164" s="7"/>
      <c r="AH164" s="7"/>
      <c r="AI164" s="7"/>
      <c r="AJ164" s="7">
        <v>25893582</v>
      </c>
    </row>
    <row r="165" spans="1:36" x14ac:dyDescent="0.25">
      <c r="A165" s="3">
        <v>38687</v>
      </c>
      <c r="B165" s="7">
        <v>16560409</v>
      </c>
      <c r="C165" s="7">
        <v>1883255</v>
      </c>
      <c r="D165" s="7"/>
      <c r="E165" s="7"/>
      <c r="F165" s="7"/>
      <c r="G165" s="7">
        <v>104000</v>
      </c>
      <c r="H165" s="7"/>
      <c r="I165" s="7"/>
      <c r="J165" s="7">
        <v>63050</v>
      </c>
      <c r="K165" s="7"/>
      <c r="L165" s="7"/>
      <c r="M165" s="7"/>
      <c r="N165" s="7"/>
      <c r="O165" s="7"/>
      <c r="P165" s="7">
        <v>77600</v>
      </c>
      <c r="Q165" s="7">
        <v>106000</v>
      </c>
      <c r="R165" s="7"/>
      <c r="S165" s="7">
        <v>159870</v>
      </c>
      <c r="T165" s="7">
        <v>480185</v>
      </c>
      <c r="U165" s="7"/>
      <c r="V165" s="7"/>
      <c r="W165" s="7">
        <v>15544710</v>
      </c>
      <c r="X165" s="7"/>
      <c r="Y165" s="7">
        <v>380000</v>
      </c>
      <c r="Z165" s="7"/>
      <c r="AA165" s="7"/>
      <c r="AB165" s="7">
        <v>51446573</v>
      </c>
      <c r="AC165" s="7"/>
      <c r="AD165" s="7">
        <v>305532</v>
      </c>
      <c r="AE165" s="7"/>
      <c r="AF165" s="7">
        <v>2337725</v>
      </c>
      <c r="AG165" s="7"/>
      <c r="AH165" s="7"/>
      <c r="AI165" s="7"/>
      <c r="AJ165" s="7">
        <v>89448909</v>
      </c>
    </row>
    <row r="166" spans="1:36" x14ac:dyDescent="0.25">
      <c r="A166" s="3">
        <v>38696</v>
      </c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>
        <v>173672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>
        <v>173672</v>
      </c>
    </row>
    <row r="167" spans="1:36" x14ac:dyDescent="0.25">
      <c r="A167" s="3">
        <v>38718</v>
      </c>
      <c r="B167" s="7">
        <v>30909563</v>
      </c>
      <c r="C167" s="7">
        <v>2643054</v>
      </c>
      <c r="D167" s="7"/>
      <c r="E167" s="7"/>
      <c r="F167" s="7"/>
      <c r="G167" s="7"/>
      <c r="H167" s="7"/>
      <c r="I167" s="7"/>
      <c r="J167" s="7"/>
      <c r="K167" s="7">
        <v>57645</v>
      </c>
      <c r="L167" s="7"/>
      <c r="M167" s="7"/>
      <c r="N167" s="7"/>
      <c r="O167" s="7"/>
      <c r="P167" s="7"/>
      <c r="Q167" s="7"/>
      <c r="R167" s="7">
        <v>583786</v>
      </c>
      <c r="S167" s="7">
        <v>333756</v>
      </c>
      <c r="T167" s="7"/>
      <c r="U167" s="7">
        <v>80750</v>
      </c>
      <c r="V167" s="7"/>
      <c r="W167" s="7">
        <v>24292728</v>
      </c>
      <c r="X167" s="7"/>
      <c r="Y167" s="7">
        <v>1123125</v>
      </c>
      <c r="Z167" s="7"/>
      <c r="AA167" s="7"/>
      <c r="AB167" s="7">
        <v>96876321</v>
      </c>
      <c r="AC167" s="7"/>
      <c r="AD167" s="7">
        <v>878995</v>
      </c>
      <c r="AE167" s="7"/>
      <c r="AF167" s="7">
        <v>4555451</v>
      </c>
      <c r="AG167" s="7">
        <v>270750</v>
      </c>
      <c r="AH167" s="7"/>
      <c r="AI167" s="7"/>
      <c r="AJ167" s="7">
        <v>162605924</v>
      </c>
    </row>
    <row r="168" spans="1:36" x14ac:dyDescent="0.25">
      <c r="A168" s="3">
        <v>38737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>
        <v>82241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>
        <v>82241</v>
      </c>
    </row>
    <row r="169" spans="1:36" x14ac:dyDescent="0.25">
      <c r="A169" s="3">
        <v>38749</v>
      </c>
      <c r="B169" s="7">
        <v>34635464</v>
      </c>
      <c r="C169" s="7">
        <v>3410178</v>
      </c>
      <c r="D169" s="7"/>
      <c r="E169" s="7"/>
      <c r="F169" s="7"/>
      <c r="G169" s="7"/>
      <c r="H169" s="7"/>
      <c r="I169" s="7"/>
      <c r="J169" s="7"/>
      <c r="K169" s="7"/>
      <c r="L169" s="7"/>
      <c r="M169" s="7">
        <v>141000</v>
      </c>
      <c r="N169" s="7"/>
      <c r="O169" s="7"/>
      <c r="P169" s="7"/>
      <c r="Q169" s="7"/>
      <c r="R169" s="7">
        <v>404800</v>
      </c>
      <c r="S169" s="7">
        <v>160020</v>
      </c>
      <c r="T169" s="7"/>
      <c r="U169" s="7"/>
      <c r="V169" s="7"/>
      <c r="W169" s="7">
        <v>22909612</v>
      </c>
      <c r="X169" s="7"/>
      <c r="Y169" s="7">
        <v>1255305</v>
      </c>
      <c r="Z169" s="7"/>
      <c r="AA169" s="7"/>
      <c r="AB169" s="7">
        <v>88860760</v>
      </c>
      <c r="AC169" s="7"/>
      <c r="AD169" s="7">
        <v>204250</v>
      </c>
      <c r="AE169" s="7"/>
      <c r="AF169" s="7">
        <v>3856155</v>
      </c>
      <c r="AG169" s="7"/>
      <c r="AH169" s="7"/>
      <c r="AI169" s="7"/>
      <c r="AJ169" s="7">
        <v>155837544</v>
      </c>
    </row>
    <row r="170" spans="1:36" x14ac:dyDescent="0.25">
      <c r="A170" s="3">
        <v>38777</v>
      </c>
      <c r="B170" s="7">
        <v>23392207</v>
      </c>
      <c r="C170" s="7">
        <v>2896657</v>
      </c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>
        <v>56000</v>
      </c>
      <c r="R170" s="7">
        <v>499275</v>
      </c>
      <c r="S170" s="7"/>
      <c r="T170" s="7">
        <v>380659</v>
      </c>
      <c r="U170" s="7">
        <v>182250</v>
      </c>
      <c r="V170" s="7"/>
      <c r="W170" s="7">
        <v>16265001</v>
      </c>
      <c r="X170" s="7"/>
      <c r="Y170" s="7">
        <v>868655</v>
      </c>
      <c r="Z170" s="7"/>
      <c r="AA170" s="7"/>
      <c r="AB170" s="7">
        <v>61138129</v>
      </c>
      <c r="AC170" s="7"/>
      <c r="AD170" s="7">
        <v>1763836</v>
      </c>
      <c r="AE170" s="7"/>
      <c r="AF170" s="7">
        <v>3948520</v>
      </c>
      <c r="AG170" s="7"/>
      <c r="AH170" s="7"/>
      <c r="AI170" s="7"/>
      <c r="AJ170" s="7">
        <v>111391189</v>
      </c>
    </row>
    <row r="171" spans="1:36" x14ac:dyDescent="0.25">
      <c r="A171" s="3">
        <v>38796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>
        <v>98781</v>
      </c>
      <c r="X171" s="7"/>
      <c r="Y171" s="7"/>
      <c r="Z171" s="7"/>
      <c r="AA171" s="7"/>
      <c r="AB171" s="7">
        <v>60000</v>
      </c>
      <c r="AC171" s="7"/>
      <c r="AD171" s="7"/>
      <c r="AE171" s="7"/>
      <c r="AF171" s="7"/>
      <c r="AG171" s="7"/>
      <c r="AH171" s="7"/>
      <c r="AI171" s="7"/>
      <c r="AJ171" s="7">
        <v>158781</v>
      </c>
    </row>
    <row r="172" spans="1:36" x14ac:dyDescent="0.25">
      <c r="A172" s="3">
        <v>38808</v>
      </c>
      <c r="B172" s="7">
        <v>24463496</v>
      </c>
      <c r="C172" s="7">
        <v>1736515</v>
      </c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>
        <v>111800</v>
      </c>
      <c r="O172" s="7"/>
      <c r="P172" s="7"/>
      <c r="Q172" s="7"/>
      <c r="R172" s="7">
        <v>1697825</v>
      </c>
      <c r="S172" s="7">
        <v>498498</v>
      </c>
      <c r="T172" s="7">
        <v>321300</v>
      </c>
      <c r="U172" s="7">
        <v>106305</v>
      </c>
      <c r="V172" s="7"/>
      <c r="W172" s="7">
        <v>16696097</v>
      </c>
      <c r="X172" s="7"/>
      <c r="Y172" s="7">
        <v>403750</v>
      </c>
      <c r="Z172" s="7"/>
      <c r="AA172" s="7"/>
      <c r="AB172" s="7">
        <v>79690739</v>
      </c>
      <c r="AC172" s="7"/>
      <c r="AD172" s="7">
        <v>165299</v>
      </c>
      <c r="AE172" s="7"/>
      <c r="AF172" s="7">
        <v>3912225</v>
      </c>
      <c r="AG172" s="7"/>
      <c r="AH172" s="7"/>
      <c r="AI172" s="7"/>
      <c r="AJ172" s="7">
        <v>129803849</v>
      </c>
    </row>
    <row r="173" spans="1:36" x14ac:dyDescent="0.25">
      <c r="A173" s="3">
        <v>38838</v>
      </c>
      <c r="B173" s="7">
        <v>25951953</v>
      </c>
      <c r="C173" s="7">
        <v>4612077</v>
      </c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>
        <v>1686535</v>
      </c>
      <c r="S173" s="7">
        <v>135788</v>
      </c>
      <c r="T173" s="7">
        <v>442096</v>
      </c>
      <c r="U173" s="7">
        <v>61850</v>
      </c>
      <c r="V173" s="7"/>
      <c r="W173" s="7">
        <v>17712486</v>
      </c>
      <c r="X173" s="7"/>
      <c r="Y173" s="7">
        <v>760000</v>
      </c>
      <c r="Z173" s="7"/>
      <c r="AA173" s="7"/>
      <c r="AB173" s="7">
        <v>92448130</v>
      </c>
      <c r="AC173" s="7"/>
      <c r="AD173" s="7">
        <v>206600</v>
      </c>
      <c r="AE173" s="7"/>
      <c r="AF173" s="7">
        <v>5669398</v>
      </c>
      <c r="AG173" s="7">
        <v>295450</v>
      </c>
      <c r="AH173" s="7"/>
      <c r="AI173" s="7"/>
      <c r="AJ173" s="7">
        <v>149982363</v>
      </c>
    </row>
    <row r="174" spans="1:36" x14ac:dyDescent="0.25">
      <c r="A174" s="3">
        <v>38865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>
        <v>247000</v>
      </c>
      <c r="AC174" s="7"/>
      <c r="AD174" s="7"/>
      <c r="AE174" s="7"/>
      <c r="AF174" s="7"/>
      <c r="AG174" s="7"/>
      <c r="AH174" s="7"/>
      <c r="AI174" s="7"/>
      <c r="AJ174" s="7">
        <v>247000</v>
      </c>
    </row>
    <row r="175" spans="1:36" x14ac:dyDescent="0.25">
      <c r="A175" s="3">
        <v>38869</v>
      </c>
      <c r="B175" s="7">
        <v>26962273</v>
      </c>
      <c r="C175" s="7">
        <v>2954339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>
        <v>75000</v>
      </c>
      <c r="P175" s="7">
        <v>176000</v>
      </c>
      <c r="Q175" s="7"/>
      <c r="R175" s="7">
        <v>1870480</v>
      </c>
      <c r="S175" s="7">
        <v>873576</v>
      </c>
      <c r="T175" s="7">
        <v>467023</v>
      </c>
      <c r="U175" s="7">
        <v>448780</v>
      </c>
      <c r="V175" s="7"/>
      <c r="W175" s="7">
        <v>25098122</v>
      </c>
      <c r="X175" s="7"/>
      <c r="Y175" s="7">
        <v>541305</v>
      </c>
      <c r="Z175" s="7"/>
      <c r="AA175" s="7"/>
      <c r="AB175" s="7">
        <v>90120008</v>
      </c>
      <c r="AC175" s="7"/>
      <c r="AD175" s="7">
        <v>1528216</v>
      </c>
      <c r="AE175" s="7"/>
      <c r="AF175" s="7">
        <v>4421417</v>
      </c>
      <c r="AG175" s="7"/>
      <c r="AH175" s="7"/>
      <c r="AI175" s="7"/>
      <c r="AJ175" s="7">
        <v>155536539</v>
      </c>
    </row>
    <row r="176" spans="1:36" x14ac:dyDescent="0.25">
      <c r="A176" s="3">
        <v>38898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>
        <v>123500</v>
      </c>
      <c r="AC176" s="7"/>
      <c r="AD176" s="7"/>
      <c r="AE176" s="7"/>
      <c r="AF176" s="7"/>
      <c r="AG176" s="7"/>
      <c r="AH176" s="7"/>
      <c r="AI176" s="7"/>
      <c r="AJ176" s="7">
        <v>123500</v>
      </c>
    </row>
    <row r="177" spans="1:36" x14ac:dyDescent="0.25">
      <c r="A177" s="3">
        <v>38899</v>
      </c>
      <c r="B177" s="7">
        <v>40758677</v>
      </c>
      <c r="C177" s="7">
        <v>4620475</v>
      </c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>
        <v>95130</v>
      </c>
      <c r="P177" s="7"/>
      <c r="Q177" s="7">
        <v>116400</v>
      </c>
      <c r="R177" s="7">
        <v>2808128</v>
      </c>
      <c r="S177" s="7"/>
      <c r="T177" s="7">
        <v>454100</v>
      </c>
      <c r="U177" s="7">
        <v>342655</v>
      </c>
      <c r="V177" s="7"/>
      <c r="W177" s="7">
        <v>25354920</v>
      </c>
      <c r="X177" s="7"/>
      <c r="Y177" s="7">
        <v>227050</v>
      </c>
      <c r="Z177" s="7"/>
      <c r="AA177" s="7"/>
      <c r="AB177" s="7">
        <v>104700269</v>
      </c>
      <c r="AC177" s="7"/>
      <c r="AD177" s="7">
        <v>1101080</v>
      </c>
      <c r="AE177" s="7"/>
      <c r="AF177" s="7">
        <v>5419630</v>
      </c>
      <c r="AG177" s="7">
        <v>349500</v>
      </c>
      <c r="AH177" s="7"/>
      <c r="AI177" s="7"/>
      <c r="AJ177" s="7">
        <v>186348014</v>
      </c>
    </row>
    <row r="178" spans="1:36" x14ac:dyDescent="0.25">
      <c r="A178" s="3">
        <v>38930</v>
      </c>
      <c r="B178" s="7">
        <v>47919376</v>
      </c>
      <c r="C178" s="7">
        <v>5552350</v>
      </c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>
        <v>3149741</v>
      </c>
      <c r="S178" s="7">
        <v>808261</v>
      </c>
      <c r="T178" s="7">
        <v>338293</v>
      </c>
      <c r="U178" s="7"/>
      <c r="V178" s="7"/>
      <c r="W178" s="7">
        <v>24498596</v>
      </c>
      <c r="X178" s="7"/>
      <c r="Y178" s="7">
        <v>959350</v>
      </c>
      <c r="Z178" s="7"/>
      <c r="AA178" s="7">
        <v>345532</v>
      </c>
      <c r="AB178" s="7">
        <v>119050815</v>
      </c>
      <c r="AC178" s="7"/>
      <c r="AD178" s="7">
        <v>1121969</v>
      </c>
      <c r="AE178" s="7"/>
      <c r="AF178" s="7">
        <v>6385123</v>
      </c>
      <c r="AG178" s="7"/>
      <c r="AH178" s="7"/>
      <c r="AI178" s="7"/>
      <c r="AJ178" s="7">
        <v>210129406</v>
      </c>
    </row>
    <row r="179" spans="1:36" x14ac:dyDescent="0.25">
      <c r="A179" s="3">
        <v>38944</v>
      </c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>
        <v>187625</v>
      </c>
      <c r="AC179" s="7"/>
      <c r="AD179" s="7"/>
      <c r="AE179" s="7"/>
      <c r="AF179" s="7"/>
      <c r="AG179" s="7"/>
      <c r="AH179" s="7"/>
      <c r="AI179" s="7"/>
      <c r="AJ179" s="7">
        <v>187625</v>
      </c>
    </row>
    <row r="180" spans="1:36" x14ac:dyDescent="0.25">
      <c r="A180" s="3">
        <v>38961</v>
      </c>
      <c r="B180" s="7">
        <v>40360606</v>
      </c>
      <c r="C180" s="7">
        <v>3853715</v>
      </c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>
        <v>3391897</v>
      </c>
      <c r="S180" s="7">
        <v>626272</v>
      </c>
      <c r="T180" s="7">
        <v>314925</v>
      </c>
      <c r="U180" s="7">
        <v>247700</v>
      </c>
      <c r="V180" s="7"/>
      <c r="W180" s="7">
        <v>18948974</v>
      </c>
      <c r="X180" s="7"/>
      <c r="Y180" s="7">
        <v>554655</v>
      </c>
      <c r="Z180" s="7"/>
      <c r="AA180" s="7">
        <v>1046325</v>
      </c>
      <c r="AB180" s="7">
        <v>104235545</v>
      </c>
      <c r="AC180" s="7"/>
      <c r="AD180" s="7">
        <v>1622773</v>
      </c>
      <c r="AE180" s="7"/>
      <c r="AF180" s="7">
        <v>6494949</v>
      </c>
      <c r="AG180" s="7">
        <v>105450</v>
      </c>
      <c r="AH180" s="7"/>
      <c r="AI180" s="7"/>
      <c r="AJ180" s="7">
        <v>181803786</v>
      </c>
    </row>
    <row r="181" spans="1:36" x14ac:dyDescent="0.25">
      <c r="A181" s="3">
        <v>38990</v>
      </c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>
        <v>241300</v>
      </c>
      <c r="AC181" s="7"/>
      <c r="AD181" s="7"/>
      <c r="AE181" s="7"/>
      <c r="AF181" s="7"/>
      <c r="AG181" s="7"/>
      <c r="AH181" s="7"/>
      <c r="AI181" s="7"/>
      <c r="AJ181" s="7">
        <v>241300</v>
      </c>
    </row>
    <row r="182" spans="1:36" x14ac:dyDescent="0.25">
      <c r="A182" s="3">
        <v>38991</v>
      </c>
      <c r="B182" s="7">
        <v>33983278</v>
      </c>
      <c r="C182" s="7">
        <v>4013977</v>
      </c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>
        <v>66445</v>
      </c>
      <c r="Q182" s="7"/>
      <c r="R182" s="7">
        <v>3198706</v>
      </c>
      <c r="S182" s="7">
        <v>994491</v>
      </c>
      <c r="T182" s="7">
        <v>142500</v>
      </c>
      <c r="U182" s="7">
        <v>232180</v>
      </c>
      <c r="V182" s="7"/>
      <c r="W182" s="7">
        <v>19424412</v>
      </c>
      <c r="X182" s="7"/>
      <c r="Y182" s="7">
        <v>1110529</v>
      </c>
      <c r="Z182" s="7"/>
      <c r="AA182" s="7">
        <v>72200</v>
      </c>
      <c r="AB182" s="7">
        <v>92507454</v>
      </c>
      <c r="AC182" s="7"/>
      <c r="AD182" s="7">
        <v>586250</v>
      </c>
      <c r="AE182" s="7"/>
      <c r="AF182" s="7">
        <v>5620611</v>
      </c>
      <c r="AG182" s="7"/>
      <c r="AH182" s="7"/>
      <c r="AI182" s="7"/>
      <c r="AJ182" s="7">
        <v>161953033</v>
      </c>
    </row>
    <row r="183" spans="1:36" x14ac:dyDescent="0.25">
      <c r="A183" s="3">
        <v>39022</v>
      </c>
      <c r="B183" s="7">
        <v>24284615</v>
      </c>
      <c r="C183" s="7">
        <v>2672520</v>
      </c>
      <c r="D183" s="7"/>
      <c r="E183" s="7"/>
      <c r="F183" s="7"/>
      <c r="G183" s="7"/>
      <c r="H183" s="7">
        <v>134900</v>
      </c>
      <c r="I183" s="7"/>
      <c r="J183" s="7"/>
      <c r="K183" s="7"/>
      <c r="L183" s="7"/>
      <c r="M183" s="7"/>
      <c r="N183" s="7"/>
      <c r="O183" s="7"/>
      <c r="P183" s="7"/>
      <c r="Q183" s="7"/>
      <c r="R183" s="7">
        <v>3270897</v>
      </c>
      <c r="S183" s="7">
        <v>1081582</v>
      </c>
      <c r="T183" s="7">
        <v>922114</v>
      </c>
      <c r="U183" s="7">
        <v>548925</v>
      </c>
      <c r="V183" s="7"/>
      <c r="W183" s="7">
        <v>20060843</v>
      </c>
      <c r="X183" s="7"/>
      <c r="Y183" s="7">
        <v>165000</v>
      </c>
      <c r="Z183" s="7"/>
      <c r="AA183" s="7"/>
      <c r="AB183" s="7">
        <v>87750003</v>
      </c>
      <c r="AC183" s="7"/>
      <c r="AD183" s="7">
        <v>349025</v>
      </c>
      <c r="AE183" s="7"/>
      <c r="AF183" s="7">
        <v>6244365</v>
      </c>
      <c r="AG183" s="7"/>
      <c r="AH183" s="7"/>
      <c r="AI183" s="7"/>
      <c r="AJ183" s="7">
        <v>147484789</v>
      </c>
    </row>
    <row r="184" spans="1:36" x14ac:dyDescent="0.25">
      <c r="A184" s="3">
        <v>39052</v>
      </c>
      <c r="B184" s="7">
        <v>17701490</v>
      </c>
      <c r="C184" s="7">
        <v>3177405</v>
      </c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>
        <v>3235765</v>
      </c>
      <c r="S184" s="7">
        <v>901302</v>
      </c>
      <c r="T184" s="7">
        <v>628950</v>
      </c>
      <c r="U184" s="7"/>
      <c r="V184" s="7"/>
      <c r="W184" s="7">
        <v>22123303</v>
      </c>
      <c r="X184" s="7"/>
      <c r="Y184" s="7">
        <v>1364991</v>
      </c>
      <c r="Z184" s="7"/>
      <c r="AA184" s="7"/>
      <c r="AB184" s="7">
        <v>90319977</v>
      </c>
      <c r="AC184" s="7"/>
      <c r="AD184" s="7">
        <v>973950</v>
      </c>
      <c r="AE184" s="7"/>
      <c r="AF184" s="7">
        <v>4580322</v>
      </c>
      <c r="AG184" s="7">
        <v>148340</v>
      </c>
      <c r="AH184" s="7"/>
      <c r="AI184" s="7"/>
      <c r="AJ184" s="7">
        <v>145155795</v>
      </c>
    </row>
    <row r="185" spans="1:36" x14ac:dyDescent="0.25">
      <c r="A185" s="3">
        <v>39083</v>
      </c>
      <c r="B185" s="7">
        <v>12281883</v>
      </c>
      <c r="C185" s="7">
        <v>1608342</v>
      </c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>
        <v>3478924</v>
      </c>
      <c r="S185" s="7">
        <v>159900</v>
      </c>
      <c r="T185" s="7">
        <v>282510</v>
      </c>
      <c r="U185" s="7">
        <v>139900</v>
      </c>
      <c r="V185" s="7"/>
      <c r="W185" s="7">
        <v>20739941</v>
      </c>
      <c r="X185" s="7"/>
      <c r="Y185" s="7">
        <v>1294700</v>
      </c>
      <c r="Z185" s="7"/>
      <c r="AA185" s="7"/>
      <c r="AB185" s="7">
        <v>90689758</v>
      </c>
      <c r="AC185" s="7"/>
      <c r="AD185" s="7">
        <v>1770281</v>
      </c>
      <c r="AE185" s="7"/>
      <c r="AF185" s="7">
        <v>4242951</v>
      </c>
      <c r="AG185" s="7"/>
      <c r="AH185" s="7"/>
      <c r="AI185" s="7"/>
      <c r="AJ185" s="7">
        <v>136689090</v>
      </c>
    </row>
    <row r="186" spans="1:36" x14ac:dyDescent="0.25">
      <c r="A186" s="3">
        <v>39114</v>
      </c>
      <c r="B186" s="7">
        <v>12496064</v>
      </c>
      <c r="C186" s="7">
        <v>3035534</v>
      </c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>
        <v>3696221</v>
      </c>
      <c r="S186" s="7"/>
      <c r="T186" s="7">
        <v>331249</v>
      </c>
      <c r="U186" s="7">
        <v>545507</v>
      </c>
      <c r="V186" s="7"/>
      <c r="W186" s="7">
        <v>18032606</v>
      </c>
      <c r="X186" s="7"/>
      <c r="Y186" s="7">
        <v>1126280</v>
      </c>
      <c r="Z186" s="7"/>
      <c r="AA186" s="7"/>
      <c r="AB186" s="7">
        <v>96138138</v>
      </c>
      <c r="AC186" s="7"/>
      <c r="AD186" s="7">
        <v>760075</v>
      </c>
      <c r="AE186" s="7"/>
      <c r="AF186" s="7">
        <v>5150546</v>
      </c>
      <c r="AG186" s="7"/>
      <c r="AH186" s="7"/>
      <c r="AI186" s="7"/>
      <c r="AJ186" s="7">
        <v>141312220</v>
      </c>
    </row>
    <row r="187" spans="1:36" x14ac:dyDescent="0.25">
      <c r="A187" s="3">
        <v>39142</v>
      </c>
      <c r="B187" s="7">
        <v>8968269</v>
      </c>
      <c r="C187" s="7">
        <v>2038569</v>
      </c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>
        <v>3340520</v>
      </c>
      <c r="S187" s="7">
        <v>278800</v>
      </c>
      <c r="T187" s="7">
        <v>258700</v>
      </c>
      <c r="U187" s="7">
        <v>301850</v>
      </c>
      <c r="V187" s="7"/>
      <c r="W187" s="7">
        <v>13495270</v>
      </c>
      <c r="X187" s="7"/>
      <c r="Y187" s="7">
        <v>509200</v>
      </c>
      <c r="Z187" s="7"/>
      <c r="AA187" s="7"/>
      <c r="AB187" s="7">
        <v>79265366</v>
      </c>
      <c r="AC187" s="7"/>
      <c r="AD187" s="7">
        <v>935155</v>
      </c>
      <c r="AE187" s="7"/>
      <c r="AF187" s="7">
        <v>3529026</v>
      </c>
      <c r="AG187" s="7"/>
      <c r="AH187" s="7"/>
      <c r="AI187" s="7"/>
      <c r="AJ187" s="7">
        <v>112920725</v>
      </c>
    </row>
    <row r="188" spans="1:36" x14ac:dyDescent="0.25">
      <c r="A188" s="3">
        <v>39173</v>
      </c>
      <c r="B188" s="7">
        <v>10978825</v>
      </c>
      <c r="C188" s="7">
        <v>2819184</v>
      </c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>
        <v>4948233</v>
      </c>
      <c r="S188" s="7"/>
      <c r="T188" s="7">
        <v>1745260</v>
      </c>
      <c r="U188" s="7"/>
      <c r="V188" s="7">
        <v>212300</v>
      </c>
      <c r="W188" s="7">
        <v>19521085</v>
      </c>
      <c r="X188" s="7"/>
      <c r="Y188" s="7">
        <v>434625</v>
      </c>
      <c r="Z188" s="7"/>
      <c r="AA188" s="7"/>
      <c r="AB188" s="7">
        <v>97440214</v>
      </c>
      <c r="AC188" s="7"/>
      <c r="AD188" s="7">
        <v>1102830</v>
      </c>
      <c r="AE188" s="7"/>
      <c r="AF188" s="7">
        <v>3373994</v>
      </c>
      <c r="AG188" s="7"/>
      <c r="AH188" s="7"/>
      <c r="AI188" s="7"/>
      <c r="AJ188" s="7">
        <v>142576550</v>
      </c>
    </row>
    <row r="189" spans="1:36" x14ac:dyDescent="0.25">
      <c r="A189" s="3">
        <v>39203</v>
      </c>
      <c r="B189" s="7">
        <v>13982680</v>
      </c>
      <c r="C189" s="7">
        <v>3495900</v>
      </c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>
        <v>6263357</v>
      </c>
      <c r="S189" s="7">
        <v>333756</v>
      </c>
      <c r="T189" s="7">
        <v>367600</v>
      </c>
      <c r="U189" s="7">
        <v>144400</v>
      </c>
      <c r="V189" s="7">
        <v>110000</v>
      </c>
      <c r="W189" s="7">
        <v>25519006</v>
      </c>
      <c r="X189" s="7"/>
      <c r="Y189" s="7">
        <v>771590</v>
      </c>
      <c r="Z189" s="7"/>
      <c r="AA189" s="7"/>
      <c r="AB189" s="7">
        <v>131982469</v>
      </c>
      <c r="AC189" s="7"/>
      <c r="AD189" s="7">
        <v>1361705</v>
      </c>
      <c r="AE189" s="7"/>
      <c r="AF189" s="7">
        <v>7446093</v>
      </c>
      <c r="AG189" s="7">
        <v>111150</v>
      </c>
      <c r="AH189" s="7"/>
      <c r="AI189" s="7"/>
      <c r="AJ189" s="7">
        <v>191889706</v>
      </c>
    </row>
    <row r="190" spans="1:36" x14ac:dyDescent="0.25">
      <c r="A190" s="3">
        <v>39234</v>
      </c>
      <c r="B190" s="7">
        <v>10096640</v>
      </c>
      <c r="C190" s="7">
        <v>3740390</v>
      </c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>
        <v>5545236</v>
      </c>
      <c r="S190" s="7"/>
      <c r="T190" s="7">
        <v>1023420</v>
      </c>
      <c r="U190" s="7">
        <v>928175</v>
      </c>
      <c r="V190" s="7"/>
      <c r="W190" s="7">
        <v>25973369</v>
      </c>
      <c r="X190" s="7">
        <v>121125</v>
      </c>
      <c r="Y190" s="7">
        <v>558750</v>
      </c>
      <c r="Z190" s="7"/>
      <c r="AA190" s="7"/>
      <c r="AB190" s="7">
        <v>147157793</v>
      </c>
      <c r="AC190" s="7"/>
      <c r="AD190" s="7">
        <v>3207230</v>
      </c>
      <c r="AE190" s="7"/>
      <c r="AF190" s="7">
        <v>6629948</v>
      </c>
      <c r="AG190" s="7">
        <v>297376</v>
      </c>
      <c r="AH190" s="7"/>
      <c r="AI190" s="7"/>
      <c r="AJ190" s="7">
        <v>205279452</v>
      </c>
    </row>
    <row r="191" spans="1:36" x14ac:dyDescent="0.25">
      <c r="A191" s="3">
        <v>39263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>
        <v>346655</v>
      </c>
      <c r="AC191" s="7"/>
      <c r="AD191" s="7"/>
      <c r="AE191" s="7"/>
      <c r="AF191" s="7"/>
      <c r="AG191" s="7"/>
      <c r="AH191" s="7"/>
      <c r="AI191" s="7"/>
      <c r="AJ191" s="7">
        <v>346655</v>
      </c>
    </row>
    <row r="192" spans="1:36" x14ac:dyDescent="0.25">
      <c r="A192" s="3">
        <v>39264</v>
      </c>
      <c r="B192" s="7">
        <v>11231511</v>
      </c>
      <c r="C192" s="7">
        <v>2289640</v>
      </c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>
        <v>9773873</v>
      </c>
      <c r="S192" s="7">
        <v>329184</v>
      </c>
      <c r="T192" s="7">
        <v>2239792</v>
      </c>
      <c r="U192" s="7">
        <v>768445</v>
      </c>
      <c r="V192" s="7">
        <v>156650</v>
      </c>
      <c r="W192" s="7">
        <v>30912663</v>
      </c>
      <c r="X192" s="7"/>
      <c r="Y192" s="7">
        <v>595200</v>
      </c>
      <c r="Z192" s="7"/>
      <c r="AA192" s="7"/>
      <c r="AB192" s="7">
        <v>192866303</v>
      </c>
      <c r="AC192" s="7"/>
      <c r="AD192" s="7">
        <v>2467512</v>
      </c>
      <c r="AE192" s="7"/>
      <c r="AF192" s="7">
        <v>4267432</v>
      </c>
      <c r="AG192" s="7"/>
      <c r="AH192" s="7"/>
      <c r="AI192" s="7"/>
      <c r="AJ192" s="7">
        <v>257898205</v>
      </c>
    </row>
    <row r="193" spans="1:36" x14ac:dyDescent="0.25">
      <c r="A193" s="3">
        <v>39295</v>
      </c>
      <c r="B193" s="7">
        <v>17930286</v>
      </c>
      <c r="C193" s="7">
        <v>961713</v>
      </c>
      <c r="D193" s="7">
        <v>99400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>
        <v>14039003</v>
      </c>
      <c r="S193" s="7">
        <v>742095</v>
      </c>
      <c r="T193" s="7">
        <v>1603862</v>
      </c>
      <c r="U193" s="7">
        <v>1087491</v>
      </c>
      <c r="V193" s="7"/>
      <c r="W193" s="7">
        <v>41913986</v>
      </c>
      <c r="X193" s="7"/>
      <c r="Y193" s="7">
        <v>365700</v>
      </c>
      <c r="Z193" s="7"/>
      <c r="AA193" s="7"/>
      <c r="AB193" s="7">
        <v>213481240</v>
      </c>
      <c r="AC193" s="7"/>
      <c r="AD193" s="7">
        <v>1928036</v>
      </c>
      <c r="AE193" s="7"/>
      <c r="AF193" s="7">
        <v>8134715</v>
      </c>
      <c r="AG193" s="7"/>
      <c r="AH193" s="7"/>
      <c r="AI193" s="7"/>
      <c r="AJ193" s="7">
        <v>302287527</v>
      </c>
    </row>
    <row r="194" spans="1:36" x14ac:dyDescent="0.25">
      <c r="A194" s="3">
        <v>39296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>
        <v>70300</v>
      </c>
      <c r="AC194" s="7"/>
      <c r="AD194" s="7"/>
      <c r="AE194" s="7"/>
      <c r="AF194" s="7"/>
      <c r="AG194" s="7"/>
      <c r="AH194" s="7"/>
      <c r="AI194" s="7"/>
      <c r="AJ194" s="7">
        <v>70300</v>
      </c>
    </row>
    <row r="195" spans="1:36" x14ac:dyDescent="0.25">
      <c r="A195" s="3">
        <v>39326</v>
      </c>
      <c r="B195" s="7">
        <v>26959526</v>
      </c>
      <c r="C195" s="7">
        <v>2422436</v>
      </c>
      <c r="D195" s="7"/>
      <c r="E195" s="7">
        <v>103950</v>
      </c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>
        <v>13917186</v>
      </c>
      <c r="S195" s="7">
        <v>406450</v>
      </c>
      <c r="T195" s="7">
        <v>1116473</v>
      </c>
      <c r="U195" s="7">
        <v>1309955</v>
      </c>
      <c r="V195" s="7"/>
      <c r="W195" s="7">
        <v>37065551</v>
      </c>
      <c r="X195" s="7"/>
      <c r="Y195" s="7">
        <v>430350</v>
      </c>
      <c r="Z195" s="7"/>
      <c r="AA195" s="7"/>
      <c r="AB195" s="7">
        <v>232810625</v>
      </c>
      <c r="AC195" s="7"/>
      <c r="AD195" s="7">
        <v>3202877</v>
      </c>
      <c r="AE195" s="7"/>
      <c r="AF195" s="7">
        <v>6226227</v>
      </c>
      <c r="AG195" s="7">
        <v>139550</v>
      </c>
      <c r="AH195" s="7"/>
      <c r="AI195" s="7"/>
      <c r="AJ195" s="7">
        <v>326111156</v>
      </c>
    </row>
    <row r="196" spans="1:36" x14ac:dyDescent="0.25">
      <c r="A196" s="3">
        <v>39354</v>
      </c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>
        <v>220000</v>
      </c>
      <c r="AC196" s="7"/>
      <c r="AD196" s="7"/>
      <c r="AE196" s="7"/>
      <c r="AF196" s="7"/>
      <c r="AG196" s="7"/>
      <c r="AH196" s="7"/>
      <c r="AI196" s="7"/>
      <c r="AJ196" s="7">
        <v>220000</v>
      </c>
    </row>
    <row r="197" spans="1:36" x14ac:dyDescent="0.25">
      <c r="A197" s="3">
        <v>39356</v>
      </c>
      <c r="B197" s="7">
        <v>26768984</v>
      </c>
      <c r="C197" s="7">
        <v>913855</v>
      </c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>
        <v>15607798</v>
      </c>
      <c r="S197" s="7"/>
      <c r="T197" s="7">
        <v>1787354</v>
      </c>
      <c r="U197" s="7">
        <v>469405</v>
      </c>
      <c r="V197" s="7"/>
      <c r="W197" s="7">
        <v>36203218</v>
      </c>
      <c r="X197" s="7"/>
      <c r="Y197" s="7">
        <v>710959</v>
      </c>
      <c r="Z197" s="7"/>
      <c r="AA197" s="7"/>
      <c r="AB197" s="7">
        <v>257255382</v>
      </c>
      <c r="AC197" s="7"/>
      <c r="AD197" s="7">
        <v>2550910</v>
      </c>
      <c r="AE197" s="7"/>
      <c r="AF197" s="7">
        <v>6103592</v>
      </c>
      <c r="AG197" s="7"/>
      <c r="AH197" s="7"/>
      <c r="AI197" s="7"/>
      <c r="AJ197" s="7">
        <v>348371457</v>
      </c>
    </row>
    <row r="198" spans="1:36" x14ac:dyDescent="0.25">
      <c r="A198" s="3">
        <v>39365</v>
      </c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>
        <v>303000</v>
      </c>
      <c r="AC198" s="7"/>
      <c r="AD198" s="7"/>
      <c r="AE198" s="7"/>
      <c r="AF198" s="7"/>
      <c r="AG198" s="7"/>
      <c r="AH198" s="7"/>
      <c r="AI198" s="7"/>
      <c r="AJ198" s="7">
        <v>303000</v>
      </c>
    </row>
    <row r="199" spans="1:36" x14ac:dyDescent="0.25">
      <c r="A199" s="3">
        <v>39387</v>
      </c>
      <c r="B199" s="7">
        <v>16114688</v>
      </c>
      <c r="C199" s="7">
        <v>525317</v>
      </c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>
        <v>14509929</v>
      </c>
      <c r="S199" s="7">
        <v>277942</v>
      </c>
      <c r="T199" s="7">
        <v>821880</v>
      </c>
      <c r="U199" s="7">
        <v>795875</v>
      </c>
      <c r="V199" s="7"/>
      <c r="W199" s="7">
        <v>32535963</v>
      </c>
      <c r="X199" s="7"/>
      <c r="Y199" s="7">
        <v>607710</v>
      </c>
      <c r="Z199" s="7">
        <v>308750</v>
      </c>
      <c r="AA199" s="7"/>
      <c r="AB199" s="7">
        <v>258429434</v>
      </c>
      <c r="AC199" s="7"/>
      <c r="AD199" s="7">
        <v>2456950</v>
      </c>
      <c r="AE199" s="7"/>
      <c r="AF199" s="7">
        <v>5314954</v>
      </c>
      <c r="AG199" s="7"/>
      <c r="AH199" s="7"/>
      <c r="AI199" s="7"/>
      <c r="AJ199" s="7">
        <v>332699392</v>
      </c>
    </row>
    <row r="200" spans="1:36" x14ac:dyDescent="0.25">
      <c r="A200" s="3">
        <v>39417</v>
      </c>
      <c r="B200" s="7">
        <v>11013669</v>
      </c>
      <c r="C200" s="7">
        <v>778450</v>
      </c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>
        <v>12882571</v>
      </c>
      <c r="S200" s="7">
        <v>763886</v>
      </c>
      <c r="T200" s="7">
        <v>1272007</v>
      </c>
      <c r="U200" s="7">
        <v>507300</v>
      </c>
      <c r="V200" s="7"/>
      <c r="W200" s="7">
        <v>40745773</v>
      </c>
      <c r="X200" s="7"/>
      <c r="Y200" s="7">
        <v>359350</v>
      </c>
      <c r="Z200" s="7"/>
      <c r="AA200" s="7"/>
      <c r="AB200" s="7">
        <v>284846800</v>
      </c>
      <c r="AC200" s="7"/>
      <c r="AD200" s="7">
        <v>1463597</v>
      </c>
      <c r="AE200" s="7"/>
      <c r="AF200" s="7">
        <v>7897763</v>
      </c>
      <c r="AG200" s="7"/>
      <c r="AH200" s="7"/>
      <c r="AI200" s="7"/>
      <c r="AJ200" s="7">
        <v>362531166</v>
      </c>
    </row>
    <row r="201" spans="1:36" x14ac:dyDescent="0.25">
      <c r="A201" s="3">
        <v>39448</v>
      </c>
      <c r="B201" s="7">
        <v>4554083</v>
      </c>
      <c r="C201" s="7">
        <v>757900</v>
      </c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>
        <v>11400581</v>
      </c>
      <c r="S201" s="7">
        <v>168650</v>
      </c>
      <c r="T201" s="7">
        <v>1536581</v>
      </c>
      <c r="U201" s="7">
        <v>769265</v>
      </c>
      <c r="V201" s="7">
        <v>120000</v>
      </c>
      <c r="W201" s="7">
        <v>39378296</v>
      </c>
      <c r="X201" s="7"/>
      <c r="Y201" s="7"/>
      <c r="Z201" s="7"/>
      <c r="AA201" s="7"/>
      <c r="AB201" s="7">
        <v>289957146</v>
      </c>
      <c r="AC201" s="7"/>
      <c r="AD201" s="7">
        <v>3812467</v>
      </c>
      <c r="AE201" s="7"/>
      <c r="AF201" s="7">
        <v>5665904</v>
      </c>
      <c r="AG201" s="7"/>
      <c r="AH201" s="7"/>
      <c r="AI201" s="7"/>
      <c r="AJ201" s="7">
        <v>358120873</v>
      </c>
    </row>
    <row r="202" spans="1:36" x14ac:dyDescent="0.25">
      <c r="A202" s="3">
        <v>39479</v>
      </c>
      <c r="B202" s="7">
        <v>4884324</v>
      </c>
      <c r="C202" s="7">
        <v>172956</v>
      </c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>
        <v>39131</v>
      </c>
      <c r="O202" s="7"/>
      <c r="P202" s="7"/>
      <c r="Q202" s="7"/>
      <c r="R202" s="7">
        <v>11868235</v>
      </c>
      <c r="S202" s="7"/>
      <c r="T202" s="7">
        <v>718038</v>
      </c>
      <c r="U202" s="7">
        <v>995700</v>
      </c>
      <c r="V202" s="7"/>
      <c r="W202" s="7">
        <v>46624880</v>
      </c>
      <c r="X202" s="7"/>
      <c r="Y202" s="7"/>
      <c r="Z202" s="7"/>
      <c r="AA202" s="7"/>
      <c r="AB202" s="7">
        <v>288076913</v>
      </c>
      <c r="AC202" s="7"/>
      <c r="AD202" s="7">
        <v>2577151</v>
      </c>
      <c r="AE202" s="7"/>
      <c r="AF202" s="7">
        <v>10448678</v>
      </c>
      <c r="AG202" s="7">
        <v>90250</v>
      </c>
      <c r="AH202" s="7"/>
      <c r="AI202" s="7"/>
      <c r="AJ202" s="7">
        <v>366496256</v>
      </c>
    </row>
    <row r="203" spans="1:36" x14ac:dyDescent="0.25">
      <c r="A203" s="3">
        <v>39508</v>
      </c>
      <c r="B203" s="7">
        <v>2247245</v>
      </c>
      <c r="C203" s="7">
        <v>1427617</v>
      </c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>
        <v>15640993</v>
      </c>
      <c r="S203" s="7">
        <v>565011</v>
      </c>
      <c r="T203" s="7">
        <v>795925</v>
      </c>
      <c r="U203" s="7">
        <v>322525</v>
      </c>
      <c r="V203" s="7"/>
      <c r="W203" s="7">
        <v>47717985</v>
      </c>
      <c r="X203" s="7"/>
      <c r="Y203" s="7"/>
      <c r="Z203" s="7"/>
      <c r="AA203" s="7"/>
      <c r="AB203" s="7">
        <v>243784179</v>
      </c>
      <c r="AC203" s="7"/>
      <c r="AD203" s="7">
        <v>1767475</v>
      </c>
      <c r="AE203" s="7"/>
      <c r="AF203" s="7">
        <v>10645006</v>
      </c>
      <c r="AG203" s="7"/>
      <c r="AH203" s="7"/>
      <c r="AI203" s="7"/>
      <c r="AJ203" s="7">
        <v>324913961</v>
      </c>
    </row>
    <row r="204" spans="1:36" x14ac:dyDescent="0.25">
      <c r="A204" s="3">
        <v>39539</v>
      </c>
      <c r="B204" s="7">
        <v>261373</v>
      </c>
      <c r="C204" s="7">
        <v>547200</v>
      </c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>
        <v>17514084</v>
      </c>
      <c r="S204" s="7">
        <v>276012</v>
      </c>
      <c r="T204" s="7">
        <v>2263450</v>
      </c>
      <c r="U204" s="7">
        <v>1504824</v>
      </c>
      <c r="V204" s="7"/>
      <c r="W204" s="7">
        <v>48641184</v>
      </c>
      <c r="X204" s="7"/>
      <c r="Y204" s="7">
        <v>83362</v>
      </c>
      <c r="Z204" s="7"/>
      <c r="AA204" s="7"/>
      <c r="AB204" s="7">
        <v>285662030</v>
      </c>
      <c r="AC204" s="7"/>
      <c r="AD204" s="7">
        <v>2104009</v>
      </c>
      <c r="AE204" s="7"/>
      <c r="AF204" s="7">
        <v>11530420</v>
      </c>
      <c r="AG204" s="7"/>
      <c r="AH204" s="7">
        <v>83100</v>
      </c>
      <c r="AI204" s="7"/>
      <c r="AJ204" s="7">
        <v>370471048</v>
      </c>
    </row>
    <row r="205" spans="1:36" x14ac:dyDescent="0.25">
      <c r="A205" s="3">
        <v>39540</v>
      </c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>
        <v>52250</v>
      </c>
      <c r="AC205" s="7"/>
      <c r="AD205" s="7"/>
      <c r="AE205" s="7"/>
      <c r="AF205" s="7"/>
      <c r="AG205" s="7"/>
      <c r="AH205" s="7"/>
      <c r="AI205" s="7"/>
      <c r="AJ205" s="7">
        <v>52250</v>
      </c>
    </row>
    <row r="206" spans="1:36" x14ac:dyDescent="0.25">
      <c r="A206" s="3">
        <v>39543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>
        <v>190000</v>
      </c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>
        <v>190000</v>
      </c>
    </row>
    <row r="207" spans="1:36" x14ac:dyDescent="0.25">
      <c r="A207" s="3">
        <v>39569</v>
      </c>
      <c r="B207" s="7">
        <v>436500</v>
      </c>
      <c r="C207" s="7">
        <v>742037</v>
      </c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>
        <v>20107245</v>
      </c>
      <c r="S207" s="7">
        <v>516550</v>
      </c>
      <c r="T207" s="7">
        <v>1853457</v>
      </c>
      <c r="U207" s="7">
        <v>1181100</v>
      </c>
      <c r="V207" s="7"/>
      <c r="W207" s="7">
        <v>66064970</v>
      </c>
      <c r="X207" s="7"/>
      <c r="Y207" s="7"/>
      <c r="Z207" s="7"/>
      <c r="AA207" s="7"/>
      <c r="AB207" s="7">
        <v>297941086</v>
      </c>
      <c r="AC207" s="7">
        <v>71250</v>
      </c>
      <c r="AD207" s="7">
        <v>2419170</v>
      </c>
      <c r="AE207" s="7">
        <v>87112</v>
      </c>
      <c r="AF207" s="7">
        <v>23759301</v>
      </c>
      <c r="AG207" s="7"/>
      <c r="AH207" s="7"/>
      <c r="AI207" s="7"/>
      <c r="AJ207" s="7">
        <v>415179778</v>
      </c>
    </row>
    <row r="208" spans="1:36" x14ac:dyDescent="0.25">
      <c r="A208" s="3">
        <v>39600</v>
      </c>
      <c r="B208" s="7"/>
      <c r="C208" s="7">
        <v>1234460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>
        <v>19606565</v>
      </c>
      <c r="S208" s="7">
        <v>699250</v>
      </c>
      <c r="T208" s="7">
        <v>1514250</v>
      </c>
      <c r="U208" s="7">
        <v>133000</v>
      </c>
      <c r="V208" s="7"/>
      <c r="W208" s="7">
        <v>58893346</v>
      </c>
      <c r="X208" s="7"/>
      <c r="Y208" s="7"/>
      <c r="Z208" s="7"/>
      <c r="AA208" s="7"/>
      <c r="AB208" s="7">
        <v>205040542</v>
      </c>
      <c r="AC208" s="7"/>
      <c r="AD208" s="7">
        <v>2263660</v>
      </c>
      <c r="AE208" s="7"/>
      <c r="AF208" s="7">
        <v>11829909</v>
      </c>
      <c r="AG208" s="7"/>
      <c r="AH208" s="7"/>
      <c r="AI208" s="7"/>
      <c r="AJ208" s="7">
        <v>301214982</v>
      </c>
    </row>
    <row r="209" spans="1:36" x14ac:dyDescent="0.25">
      <c r="A209" s="3">
        <v>39630</v>
      </c>
      <c r="B209" s="7"/>
      <c r="C209" s="7">
        <v>746386</v>
      </c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>
        <v>12437052</v>
      </c>
      <c r="S209" s="7">
        <v>558097</v>
      </c>
      <c r="T209" s="7">
        <v>800655</v>
      </c>
      <c r="U209" s="7"/>
      <c r="V209" s="7"/>
      <c r="W209" s="7">
        <v>66219177</v>
      </c>
      <c r="X209" s="7"/>
      <c r="Y209" s="7"/>
      <c r="Z209" s="7"/>
      <c r="AA209" s="7"/>
      <c r="AB209" s="7">
        <v>201046773</v>
      </c>
      <c r="AC209" s="7"/>
      <c r="AD209" s="7">
        <v>723375</v>
      </c>
      <c r="AE209" s="7"/>
      <c r="AF209" s="7">
        <v>7156653</v>
      </c>
      <c r="AG209" s="7">
        <v>229500</v>
      </c>
      <c r="AH209" s="7"/>
      <c r="AI209" s="7"/>
      <c r="AJ209" s="7">
        <v>289917668</v>
      </c>
    </row>
    <row r="210" spans="1:36" x14ac:dyDescent="0.25">
      <c r="A210" s="3">
        <v>39661</v>
      </c>
      <c r="B210" s="7"/>
      <c r="C210" s="7">
        <v>730461</v>
      </c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>
        <v>8626126</v>
      </c>
      <c r="S210" s="7">
        <v>365220</v>
      </c>
      <c r="T210" s="7">
        <v>203260</v>
      </c>
      <c r="U210" s="7">
        <v>448400</v>
      </c>
      <c r="V210" s="7"/>
      <c r="W210" s="7">
        <v>68671556</v>
      </c>
      <c r="X210" s="7"/>
      <c r="Y210" s="7"/>
      <c r="Z210" s="7"/>
      <c r="AA210" s="7"/>
      <c r="AB210" s="7">
        <v>255474409</v>
      </c>
      <c r="AC210" s="7"/>
      <c r="AD210" s="7">
        <v>287030</v>
      </c>
      <c r="AE210" s="7"/>
      <c r="AF210" s="7">
        <v>7315160</v>
      </c>
      <c r="AG210" s="7"/>
      <c r="AH210" s="7"/>
      <c r="AI210" s="7"/>
      <c r="AJ210" s="7">
        <v>342121622</v>
      </c>
    </row>
    <row r="211" spans="1:36" x14ac:dyDescent="0.25">
      <c r="A211" s="3">
        <v>39685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>
        <v>185250</v>
      </c>
      <c r="AC211" s="7"/>
      <c r="AD211" s="7"/>
      <c r="AE211" s="7"/>
      <c r="AF211" s="7"/>
      <c r="AG211" s="7"/>
      <c r="AH211" s="7"/>
      <c r="AI211" s="7"/>
      <c r="AJ211" s="7">
        <v>185250</v>
      </c>
    </row>
    <row r="212" spans="1:36" x14ac:dyDescent="0.25">
      <c r="A212" s="3">
        <v>39690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>
        <v>190213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>
        <v>190213</v>
      </c>
    </row>
    <row r="213" spans="1:36" x14ac:dyDescent="0.25">
      <c r="A213" s="3">
        <v>39692</v>
      </c>
      <c r="B213" s="7"/>
      <c r="C213" s="7">
        <v>847300</v>
      </c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>
        <v>4563334</v>
      </c>
      <c r="S213" s="7"/>
      <c r="T213" s="7">
        <v>136325</v>
      </c>
      <c r="U213" s="7">
        <v>228250</v>
      </c>
      <c r="V213" s="7"/>
      <c r="W213" s="7">
        <v>62607345</v>
      </c>
      <c r="X213" s="7"/>
      <c r="Y213" s="7"/>
      <c r="Z213" s="7"/>
      <c r="AA213" s="7"/>
      <c r="AB213" s="7">
        <v>196710981</v>
      </c>
      <c r="AC213" s="7"/>
      <c r="AD213" s="7"/>
      <c r="AE213" s="7"/>
      <c r="AF213" s="7">
        <v>2721397</v>
      </c>
      <c r="AG213" s="7"/>
      <c r="AH213" s="7"/>
      <c r="AI213" s="7"/>
      <c r="AJ213" s="7">
        <v>267814932</v>
      </c>
    </row>
    <row r="214" spans="1:36" x14ac:dyDescent="0.25">
      <c r="A214" s="3">
        <v>39722</v>
      </c>
      <c r="B214" s="7"/>
      <c r="C214" s="7">
        <v>271400</v>
      </c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>
        <v>5590180</v>
      </c>
      <c r="S214" s="7"/>
      <c r="T214" s="7">
        <v>209000</v>
      </c>
      <c r="U214" s="7"/>
      <c r="V214" s="7">
        <v>249850</v>
      </c>
      <c r="W214" s="7">
        <v>50112333</v>
      </c>
      <c r="X214" s="7"/>
      <c r="Y214" s="7"/>
      <c r="Z214" s="7"/>
      <c r="AA214" s="7"/>
      <c r="AB214" s="7">
        <v>140538463</v>
      </c>
      <c r="AC214" s="7"/>
      <c r="AD214" s="7"/>
      <c r="AE214" s="7"/>
      <c r="AF214" s="7">
        <v>2218717</v>
      </c>
      <c r="AG214" s="7"/>
      <c r="AH214" s="7"/>
      <c r="AI214" s="7"/>
      <c r="AJ214" s="7">
        <v>199189943</v>
      </c>
    </row>
    <row r="215" spans="1:36" x14ac:dyDescent="0.25">
      <c r="A215" s="3">
        <v>39753</v>
      </c>
      <c r="B215" s="7"/>
      <c r="C215" s="7">
        <v>303800</v>
      </c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>
        <v>3248113</v>
      </c>
      <c r="S215" s="7">
        <v>427375</v>
      </c>
      <c r="T215" s="7">
        <v>474952</v>
      </c>
      <c r="U215" s="7"/>
      <c r="V215" s="7"/>
      <c r="W215" s="7">
        <v>42734070</v>
      </c>
      <c r="X215" s="7"/>
      <c r="Y215" s="7"/>
      <c r="Z215" s="7"/>
      <c r="AA215" s="7"/>
      <c r="AB215" s="7">
        <v>141836951</v>
      </c>
      <c r="AC215" s="7"/>
      <c r="AD215" s="7"/>
      <c r="AE215" s="7"/>
      <c r="AF215" s="7">
        <v>3490713</v>
      </c>
      <c r="AG215" s="7"/>
      <c r="AH215" s="7"/>
      <c r="AI215" s="7"/>
      <c r="AJ215" s="7">
        <v>192515974</v>
      </c>
    </row>
    <row r="216" spans="1:36" x14ac:dyDescent="0.25">
      <c r="A216" s="3">
        <v>39783</v>
      </c>
      <c r="B216" s="7"/>
      <c r="C216" s="7">
        <v>227050</v>
      </c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>
        <v>2501380</v>
      </c>
      <c r="S216" s="7">
        <v>116959</v>
      </c>
      <c r="T216" s="7">
        <v>95000</v>
      </c>
      <c r="U216" s="7">
        <v>90250</v>
      </c>
      <c r="V216" s="7"/>
      <c r="W216" s="7">
        <v>35729495</v>
      </c>
      <c r="X216" s="7"/>
      <c r="Y216" s="7"/>
      <c r="Z216" s="7"/>
      <c r="AA216" s="7"/>
      <c r="AB216" s="7">
        <v>108189571</v>
      </c>
      <c r="AC216" s="7"/>
      <c r="AD216" s="7"/>
      <c r="AE216" s="7"/>
      <c r="AF216" s="7">
        <v>1557840</v>
      </c>
      <c r="AG216" s="7"/>
      <c r="AH216" s="7"/>
      <c r="AI216" s="7"/>
      <c r="AJ216" s="7">
        <v>148507545</v>
      </c>
    </row>
    <row r="217" spans="1:36" x14ac:dyDescent="0.25">
      <c r="A217" s="3">
        <v>39814</v>
      </c>
      <c r="B217" s="7"/>
      <c r="C217" s="7">
        <v>649405</v>
      </c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>
        <v>1365400</v>
      </c>
      <c r="S217" s="7">
        <v>349156</v>
      </c>
      <c r="T217" s="7"/>
      <c r="U217" s="7"/>
      <c r="V217" s="7">
        <v>144400</v>
      </c>
      <c r="W217" s="7">
        <v>28320109</v>
      </c>
      <c r="X217" s="7"/>
      <c r="Y217" s="7"/>
      <c r="Z217" s="7"/>
      <c r="AA217" s="7"/>
      <c r="AB217" s="7">
        <v>65036696</v>
      </c>
      <c r="AC217" s="7"/>
      <c r="AD217" s="7"/>
      <c r="AE217" s="7"/>
      <c r="AF217" s="7">
        <v>1456612</v>
      </c>
      <c r="AG217" s="7"/>
      <c r="AH217" s="7"/>
      <c r="AI217" s="7"/>
      <c r="AJ217" s="7">
        <v>97321778</v>
      </c>
    </row>
    <row r="218" spans="1:36" x14ac:dyDescent="0.25">
      <c r="A218" s="3">
        <v>39845</v>
      </c>
      <c r="B218" s="7"/>
      <c r="C218" s="7">
        <v>609216</v>
      </c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>
        <v>58900</v>
      </c>
      <c r="S218" s="7">
        <v>589242</v>
      </c>
      <c r="T218" s="7">
        <v>457830</v>
      </c>
      <c r="U218" s="7"/>
      <c r="V218" s="7"/>
      <c r="W218" s="7">
        <v>39361205</v>
      </c>
      <c r="X218" s="7"/>
      <c r="Y218" s="7"/>
      <c r="Z218" s="7"/>
      <c r="AA218" s="7"/>
      <c r="AB218" s="7">
        <v>87747931</v>
      </c>
      <c r="AC218" s="7"/>
      <c r="AD218" s="7"/>
      <c r="AE218" s="7"/>
      <c r="AF218" s="7">
        <v>2758827</v>
      </c>
      <c r="AG218" s="7"/>
      <c r="AH218" s="7"/>
      <c r="AI218" s="7"/>
      <c r="AJ218" s="7">
        <v>131583151</v>
      </c>
    </row>
    <row r="219" spans="1:36" x14ac:dyDescent="0.25">
      <c r="A219" s="3">
        <v>39864</v>
      </c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>
        <v>139783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>
        <v>139783</v>
      </c>
    </row>
    <row r="220" spans="1:36" x14ac:dyDescent="0.25">
      <c r="A220" s="3">
        <v>39873</v>
      </c>
      <c r="B220" s="7"/>
      <c r="C220" s="7">
        <v>1184790</v>
      </c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>
        <v>1205000</v>
      </c>
      <c r="S220" s="7">
        <v>312816</v>
      </c>
      <c r="T220" s="7"/>
      <c r="U220" s="7"/>
      <c r="V220" s="7"/>
      <c r="W220" s="7">
        <v>18413085</v>
      </c>
      <c r="X220" s="7"/>
      <c r="Y220" s="7"/>
      <c r="Z220" s="7"/>
      <c r="AA220" s="7"/>
      <c r="AB220" s="7">
        <v>52873531</v>
      </c>
      <c r="AC220" s="7"/>
      <c r="AD220" s="7"/>
      <c r="AE220" s="7"/>
      <c r="AF220" s="7">
        <v>787825</v>
      </c>
      <c r="AG220" s="7"/>
      <c r="AH220" s="7"/>
      <c r="AI220" s="7"/>
      <c r="AJ220" s="7">
        <v>74777047</v>
      </c>
    </row>
    <row r="221" spans="1:36" x14ac:dyDescent="0.25">
      <c r="A221" s="3">
        <v>39882</v>
      </c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>
        <v>157928</v>
      </c>
      <c r="AC221" s="7"/>
      <c r="AD221" s="7"/>
      <c r="AE221" s="7"/>
      <c r="AF221" s="7"/>
      <c r="AG221" s="7"/>
      <c r="AH221" s="7"/>
      <c r="AI221" s="7"/>
      <c r="AJ221" s="7">
        <v>157928</v>
      </c>
    </row>
    <row r="222" spans="1:36" x14ac:dyDescent="0.25">
      <c r="A222" s="3">
        <v>39904</v>
      </c>
      <c r="B222" s="7"/>
      <c r="C222" s="7">
        <v>975750</v>
      </c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>
        <v>207550</v>
      </c>
      <c r="S222" s="7">
        <v>510653</v>
      </c>
      <c r="T222" s="7"/>
      <c r="U222" s="7"/>
      <c r="V222" s="7"/>
      <c r="W222" s="7">
        <v>17768744</v>
      </c>
      <c r="X222" s="7"/>
      <c r="Y222" s="7"/>
      <c r="Z222" s="7"/>
      <c r="AA222" s="7"/>
      <c r="AB222" s="7">
        <v>52913468</v>
      </c>
      <c r="AC222" s="7"/>
      <c r="AD222" s="7"/>
      <c r="AE222" s="7"/>
      <c r="AF222" s="7">
        <v>61655</v>
      </c>
      <c r="AG222" s="7"/>
      <c r="AH222" s="7"/>
      <c r="AI222" s="7"/>
      <c r="AJ222" s="7">
        <v>72437820</v>
      </c>
    </row>
    <row r="223" spans="1:36" x14ac:dyDescent="0.25">
      <c r="A223" s="3">
        <v>39934</v>
      </c>
      <c r="B223" s="7"/>
      <c r="C223" s="7">
        <v>2713425</v>
      </c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>
        <v>594300</v>
      </c>
      <c r="S223" s="7"/>
      <c r="T223" s="7"/>
      <c r="U223" s="7"/>
      <c r="V223" s="7"/>
      <c r="W223" s="7">
        <v>30047716</v>
      </c>
      <c r="X223" s="7"/>
      <c r="Y223" s="7">
        <v>115000</v>
      </c>
      <c r="Z223" s="7"/>
      <c r="AA223" s="7"/>
      <c r="AB223" s="7">
        <v>70288207</v>
      </c>
      <c r="AC223" s="7"/>
      <c r="AD223" s="7"/>
      <c r="AE223" s="7"/>
      <c r="AF223" s="7">
        <v>1138380</v>
      </c>
      <c r="AG223" s="7"/>
      <c r="AH223" s="7"/>
      <c r="AI223" s="7"/>
      <c r="AJ223" s="7">
        <v>104897028</v>
      </c>
    </row>
    <row r="224" spans="1:36" x14ac:dyDescent="0.25">
      <c r="A224" s="3">
        <v>39965</v>
      </c>
      <c r="B224" s="7">
        <v>172900</v>
      </c>
      <c r="C224" s="7">
        <v>3052165</v>
      </c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>
        <v>360050</v>
      </c>
      <c r="S224" s="7">
        <v>360730</v>
      </c>
      <c r="T224" s="7">
        <v>655350</v>
      </c>
      <c r="U224" s="7"/>
      <c r="V224" s="7"/>
      <c r="W224" s="7">
        <v>20298922</v>
      </c>
      <c r="X224" s="7"/>
      <c r="Y224" s="7"/>
      <c r="Z224" s="7"/>
      <c r="AA224" s="7"/>
      <c r="AB224" s="7">
        <v>60727094</v>
      </c>
      <c r="AC224" s="7"/>
      <c r="AD224" s="7"/>
      <c r="AE224" s="7"/>
      <c r="AF224" s="7">
        <v>546250</v>
      </c>
      <c r="AG224" s="7"/>
      <c r="AH224" s="7"/>
      <c r="AI224" s="7"/>
      <c r="AJ224" s="7">
        <v>86173461</v>
      </c>
    </row>
    <row r="225" spans="1:36" x14ac:dyDescent="0.25">
      <c r="A225" s="3">
        <v>39995</v>
      </c>
      <c r="B225" s="7"/>
      <c r="C225" s="7">
        <v>2136165</v>
      </c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>
        <v>281380</v>
      </c>
      <c r="S225" s="7"/>
      <c r="T225" s="7">
        <v>170900</v>
      </c>
      <c r="U225" s="7"/>
      <c r="V225" s="7"/>
      <c r="W225" s="7">
        <v>18764025</v>
      </c>
      <c r="X225" s="7"/>
      <c r="Y225" s="7"/>
      <c r="Z225" s="7"/>
      <c r="AA225" s="7"/>
      <c r="AB225" s="7">
        <v>61210583</v>
      </c>
      <c r="AC225" s="7"/>
      <c r="AD225" s="7"/>
      <c r="AE225" s="7"/>
      <c r="AF225" s="7">
        <v>506825</v>
      </c>
      <c r="AG225" s="7"/>
      <c r="AH225" s="7"/>
      <c r="AI225" s="7"/>
      <c r="AJ225" s="7">
        <v>83069878</v>
      </c>
    </row>
    <row r="226" spans="1:36" x14ac:dyDescent="0.25">
      <c r="A226" s="3">
        <v>39996</v>
      </c>
      <c r="B226" s="7"/>
      <c r="C226" s="7">
        <v>63700</v>
      </c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>
        <v>63700</v>
      </c>
    </row>
    <row r="227" spans="1:36" x14ac:dyDescent="0.25">
      <c r="A227" s="3">
        <v>40024</v>
      </c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>
        <v>304000</v>
      </c>
      <c r="AC227" s="7"/>
      <c r="AD227" s="7"/>
      <c r="AE227" s="7"/>
      <c r="AF227" s="7"/>
      <c r="AG227" s="7"/>
      <c r="AH227" s="7"/>
      <c r="AI227" s="7"/>
      <c r="AJ227" s="7">
        <v>304000</v>
      </c>
    </row>
    <row r="228" spans="1:36" x14ac:dyDescent="0.25">
      <c r="A228" s="3">
        <v>40026</v>
      </c>
      <c r="B228" s="7"/>
      <c r="C228" s="7">
        <v>2105740</v>
      </c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>
        <v>383380</v>
      </c>
      <c r="S228" s="7">
        <v>606453</v>
      </c>
      <c r="T228" s="7">
        <v>305425</v>
      </c>
      <c r="U228" s="7"/>
      <c r="V228" s="7"/>
      <c r="W228" s="7">
        <v>27439570</v>
      </c>
      <c r="X228" s="7"/>
      <c r="Y228" s="7"/>
      <c r="Z228" s="7"/>
      <c r="AA228" s="7"/>
      <c r="AB228" s="7">
        <v>71843480</v>
      </c>
      <c r="AC228" s="7"/>
      <c r="AD228" s="7"/>
      <c r="AE228" s="7"/>
      <c r="AF228" s="7">
        <v>487150</v>
      </c>
      <c r="AG228" s="7"/>
      <c r="AH228" s="7"/>
      <c r="AI228" s="7"/>
      <c r="AJ228" s="7">
        <v>103171198</v>
      </c>
    </row>
    <row r="229" spans="1:36" x14ac:dyDescent="0.25">
      <c r="A229" s="3">
        <v>40057</v>
      </c>
      <c r="B229" s="7"/>
      <c r="C229" s="7">
        <v>3777783</v>
      </c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>
        <v>851540</v>
      </c>
      <c r="S229" s="7">
        <v>1390297</v>
      </c>
      <c r="T229" s="7"/>
      <c r="U229" s="7"/>
      <c r="V229" s="7"/>
      <c r="W229" s="7">
        <v>29171868</v>
      </c>
      <c r="X229" s="7"/>
      <c r="Y229" s="7"/>
      <c r="Z229" s="7"/>
      <c r="AA229" s="7"/>
      <c r="AB229" s="7">
        <v>61004144</v>
      </c>
      <c r="AC229" s="7"/>
      <c r="AD229" s="7"/>
      <c r="AE229" s="7"/>
      <c r="AF229" s="7">
        <v>800850</v>
      </c>
      <c r="AG229" s="7"/>
      <c r="AH229" s="7"/>
      <c r="AI229" s="7"/>
      <c r="AJ229" s="7">
        <v>96996482</v>
      </c>
    </row>
    <row r="230" spans="1:36" x14ac:dyDescent="0.25">
      <c r="A230" s="3">
        <v>40068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>
        <v>339625</v>
      </c>
      <c r="AC230" s="7"/>
      <c r="AD230" s="7"/>
      <c r="AE230" s="7"/>
      <c r="AF230" s="7"/>
      <c r="AG230" s="7"/>
      <c r="AH230" s="7"/>
      <c r="AI230" s="7"/>
      <c r="AJ230" s="7">
        <v>339625</v>
      </c>
    </row>
    <row r="231" spans="1:36" x14ac:dyDescent="0.25">
      <c r="A231" s="3">
        <v>40073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>
        <v>232655</v>
      </c>
      <c r="AC231" s="7"/>
      <c r="AD231" s="7"/>
      <c r="AE231" s="7"/>
      <c r="AF231" s="7"/>
      <c r="AG231" s="7"/>
      <c r="AH231" s="7"/>
      <c r="AI231" s="7"/>
      <c r="AJ231" s="7">
        <v>232655</v>
      </c>
    </row>
    <row r="232" spans="1:36" x14ac:dyDescent="0.25">
      <c r="A232" s="3">
        <v>40087</v>
      </c>
      <c r="B232" s="7"/>
      <c r="C232" s="7">
        <v>1283832</v>
      </c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>
        <v>351500</v>
      </c>
      <c r="S232" s="7"/>
      <c r="T232" s="7">
        <v>174800</v>
      </c>
      <c r="U232" s="7"/>
      <c r="V232" s="7"/>
      <c r="W232" s="7">
        <v>24090697</v>
      </c>
      <c r="X232" s="7"/>
      <c r="Y232" s="7"/>
      <c r="Z232" s="7"/>
      <c r="AA232" s="7"/>
      <c r="AB232" s="7">
        <v>61451031</v>
      </c>
      <c r="AC232" s="7"/>
      <c r="AD232" s="7"/>
      <c r="AE232" s="7"/>
      <c r="AF232" s="7">
        <v>967250</v>
      </c>
      <c r="AG232" s="7"/>
      <c r="AH232" s="7"/>
      <c r="AI232" s="7"/>
      <c r="AJ232" s="7">
        <v>88319110</v>
      </c>
    </row>
    <row r="233" spans="1:36" x14ac:dyDescent="0.25">
      <c r="A233" s="3">
        <v>40118</v>
      </c>
      <c r="B233" s="7"/>
      <c r="C233" s="7">
        <v>3327327</v>
      </c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>
        <v>476900</v>
      </c>
      <c r="S233" s="7">
        <v>886670</v>
      </c>
      <c r="T233" s="7">
        <v>145000</v>
      </c>
      <c r="U233" s="7"/>
      <c r="V233" s="7"/>
      <c r="W233" s="7">
        <v>21221072</v>
      </c>
      <c r="X233" s="7"/>
      <c r="Y233" s="7"/>
      <c r="Z233" s="7"/>
      <c r="AA233" s="7"/>
      <c r="AB233" s="7">
        <v>50307056</v>
      </c>
      <c r="AC233" s="7"/>
      <c r="AD233" s="7"/>
      <c r="AE233" s="7"/>
      <c r="AF233" s="7"/>
      <c r="AG233" s="7"/>
      <c r="AH233" s="7"/>
      <c r="AI233" s="7"/>
      <c r="AJ233" s="7">
        <v>76364025</v>
      </c>
    </row>
    <row r="234" spans="1:36" x14ac:dyDescent="0.25">
      <c r="A234" s="3">
        <v>40148</v>
      </c>
      <c r="B234" s="7">
        <v>63000</v>
      </c>
      <c r="C234" s="7">
        <v>2419938</v>
      </c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>
        <v>120650</v>
      </c>
      <c r="S234" s="7">
        <v>746858</v>
      </c>
      <c r="T234" s="7">
        <v>223155</v>
      </c>
      <c r="U234" s="7"/>
      <c r="V234" s="7"/>
      <c r="W234" s="7">
        <v>22803216</v>
      </c>
      <c r="X234" s="7"/>
      <c r="Y234" s="7"/>
      <c r="Z234" s="7"/>
      <c r="AA234" s="7"/>
      <c r="AB234" s="7">
        <v>56390606</v>
      </c>
      <c r="AC234" s="7"/>
      <c r="AD234" s="7"/>
      <c r="AE234" s="7"/>
      <c r="AF234" s="7">
        <v>337513</v>
      </c>
      <c r="AG234" s="7"/>
      <c r="AH234" s="7"/>
      <c r="AI234" s="7"/>
      <c r="AJ234" s="7">
        <v>83104936</v>
      </c>
    </row>
    <row r="235" spans="1:36" x14ac:dyDescent="0.25">
      <c r="A235" s="3">
        <v>40179</v>
      </c>
      <c r="B235" s="7"/>
      <c r="C235" s="7">
        <v>4610844</v>
      </c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>
        <v>65550</v>
      </c>
      <c r="S235" s="7"/>
      <c r="T235" s="7"/>
      <c r="U235" s="7"/>
      <c r="V235" s="7"/>
      <c r="W235" s="7">
        <v>20838740</v>
      </c>
      <c r="X235" s="7"/>
      <c r="Y235" s="7"/>
      <c r="Z235" s="7"/>
      <c r="AA235" s="7"/>
      <c r="AB235" s="7">
        <v>53789263</v>
      </c>
      <c r="AC235" s="7"/>
      <c r="AD235" s="7"/>
      <c r="AE235" s="7"/>
      <c r="AF235" s="7">
        <v>488796</v>
      </c>
      <c r="AG235" s="7"/>
      <c r="AH235" s="7"/>
      <c r="AI235" s="7"/>
      <c r="AJ235" s="7">
        <v>79793193</v>
      </c>
    </row>
    <row r="236" spans="1:36" x14ac:dyDescent="0.25">
      <c r="A236" s="3">
        <v>40210</v>
      </c>
      <c r="B236" s="7"/>
      <c r="C236" s="7">
        <v>2207160</v>
      </c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>
        <v>239000</v>
      </c>
      <c r="S236" s="7">
        <v>245654</v>
      </c>
      <c r="T236" s="7"/>
      <c r="U236" s="7">
        <v>166229</v>
      </c>
      <c r="V236" s="7"/>
      <c r="W236" s="7">
        <v>11262027</v>
      </c>
      <c r="X236" s="7"/>
      <c r="Y236" s="7"/>
      <c r="Z236" s="7"/>
      <c r="AA236" s="7"/>
      <c r="AB236" s="7">
        <v>45217709</v>
      </c>
      <c r="AC236" s="7"/>
      <c r="AD236" s="7"/>
      <c r="AE236" s="7"/>
      <c r="AF236" s="7">
        <v>648815</v>
      </c>
      <c r="AG236" s="7"/>
      <c r="AH236" s="7"/>
      <c r="AI236" s="7"/>
      <c r="AJ236" s="7">
        <v>59986594</v>
      </c>
    </row>
    <row r="237" spans="1:36" x14ac:dyDescent="0.25">
      <c r="A237" s="3">
        <v>40238</v>
      </c>
      <c r="B237" s="7"/>
      <c r="C237" s="7">
        <v>350040</v>
      </c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>
        <v>3926105</v>
      </c>
      <c r="X237" s="7"/>
      <c r="Y237" s="7"/>
      <c r="Z237" s="7"/>
      <c r="AA237" s="7"/>
      <c r="AB237" s="7">
        <v>34639614</v>
      </c>
      <c r="AC237" s="7"/>
      <c r="AD237" s="7"/>
      <c r="AE237" s="7"/>
      <c r="AF237" s="7"/>
      <c r="AG237" s="7"/>
      <c r="AH237" s="7"/>
      <c r="AI237" s="7"/>
      <c r="AJ237" s="7">
        <v>38915759</v>
      </c>
    </row>
    <row r="238" spans="1:36" x14ac:dyDescent="0.25">
      <c r="A238" s="3">
        <v>40269</v>
      </c>
      <c r="B238" s="7"/>
      <c r="C238" s="7">
        <v>1034630</v>
      </c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>
        <v>290875</v>
      </c>
      <c r="S238" s="7"/>
      <c r="T238" s="7"/>
      <c r="U238" s="7"/>
      <c r="V238" s="7"/>
      <c r="W238" s="7">
        <v>1478657</v>
      </c>
      <c r="X238" s="7"/>
      <c r="Y238" s="7"/>
      <c r="Z238" s="7"/>
      <c r="AA238" s="7"/>
      <c r="AB238" s="7">
        <v>49011366</v>
      </c>
      <c r="AC238" s="7"/>
      <c r="AD238" s="7"/>
      <c r="AE238" s="7"/>
      <c r="AF238" s="7">
        <v>474050</v>
      </c>
      <c r="AG238" s="7"/>
      <c r="AH238" s="7"/>
      <c r="AI238" s="7"/>
      <c r="AJ238" s="7">
        <v>52289578</v>
      </c>
    </row>
    <row r="239" spans="1:36" x14ac:dyDescent="0.25">
      <c r="A239" s="3">
        <v>40299</v>
      </c>
      <c r="B239" s="7"/>
      <c r="C239" s="7">
        <v>1246820</v>
      </c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>
        <v>370500</v>
      </c>
      <c r="S239" s="7"/>
      <c r="T239" s="7">
        <v>70250</v>
      </c>
      <c r="U239" s="7"/>
      <c r="V239" s="7"/>
      <c r="W239" s="7">
        <v>2717845</v>
      </c>
      <c r="X239" s="7"/>
      <c r="Y239" s="7"/>
      <c r="Z239" s="7"/>
      <c r="AA239" s="7"/>
      <c r="AB239" s="7">
        <v>62420247</v>
      </c>
      <c r="AC239" s="7"/>
      <c r="AD239" s="7"/>
      <c r="AE239" s="7"/>
      <c r="AF239" s="7">
        <v>147250</v>
      </c>
      <c r="AG239" s="7"/>
      <c r="AH239" s="7"/>
      <c r="AI239" s="7"/>
      <c r="AJ239" s="7">
        <v>66972912</v>
      </c>
    </row>
    <row r="240" spans="1:36" x14ac:dyDescent="0.25">
      <c r="A240" s="3">
        <v>40303</v>
      </c>
      <c r="B240" s="7"/>
      <c r="C240" s="7">
        <v>37000</v>
      </c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>
        <v>37000</v>
      </c>
    </row>
    <row r="241" spans="1:36" x14ac:dyDescent="0.25">
      <c r="A241" s="3">
        <v>40330</v>
      </c>
      <c r="B241" s="7"/>
      <c r="C241" s="7">
        <v>1070425</v>
      </c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>
        <v>171020</v>
      </c>
      <c r="S241" s="7"/>
      <c r="T241" s="7"/>
      <c r="U241" s="7"/>
      <c r="V241" s="7"/>
      <c r="W241" s="7">
        <v>1438603</v>
      </c>
      <c r="X241" s="7"/>
      <c r="Y241" s="7"/>
      <c r="Z241" s="7"/>
      <c r="AA241" s="7"/>
      <c r="AB241" s="7">
        <v>74071224</v>
      </c>
      <c r="AC241" s="7"/>
      <c r="AD241" s="7"/>
      <c r="AE241" s="7"/>
      <c r="AF241" s="7">
        <v>331550</v>
      </c>
      <c r="AG241" s="7"/>
      <c r="AH241" s="7"/>
      <c r="AI241" s="7"/>
      <c r="AJ241" s="7">
        <v>77082822</v>
      </c>
    </row>
    <row r="242" spans="1:36" x14ac:dyDescent="0.25">
      <c r="A242" s="3">
        <v>40339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>
        <v>59850</v>
      </c>
      <c r="AC242" s="7"/>
      <c r="AD242" s="7"/>
      <c r="AE242" s="7"/>
      <c r="AF242" s="7"/>
      <c r="AG242" s="7"/>
      <c r="AH242" s="7"/>
      <c r="AI242" s="7"/>
      <c r="AJ242" s="7">
        <v>59850</v>
      </c>
    </row>
    <row r="243" spans="1:36" x14ac:dyDescent="0.25">
      <c r="A243" s="3">
        <v>40360</v>
      </c>
      <c r="B243" s="7"/>
      <c r="C243" s="7">
        <v>1208385</v>
      </c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>
        <v>519650</v>
      </c>
      <c r="S243" s="7"/>
      <c r="T243" s="7">
        <v>97850</v>
      </c>
      <c r="U243" s="7"/>
      <c r="V243" s="7"/>
      <c r="W243" s="7">
        <v>2344884</v>
      </c>
      <c r="X243" s="7"/>
      <c r="Y243" s="7"/>
      <c r="Z243" s="7"/>
      <c r="AA243" s="7"/>
      <c r="AB243" s="7">
        <v>81278392</v>
      </c>
      <c r="AC243" s="7"/>
      <c r="AD243" s="7"/>
      <c r="AE243" s="7"/>
      <c r="AF243" s="7"/>
      <c r="AG243" s="7"/>
      <c r="AH243" s="7"/>
      <c r="AI243" s="7"/>
      <c r="AJ243" s="7">
        <v>85449161</v>
      </c>
    </row>
    <row r="244" spans="1:36" x14ac:dyDescent="0.25">
      <c r="A244" s="3">
        <v>40391</v>
      </c>
      <c r="B244" s="7"/>
      <c r="C244" s="7">
        <v>1248829</v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>
        <v>526650</v>
      </c>
      <c r="S244" s="7"/>
      <c r="T244" s="7"/>
      <c r="U244" s="7"/>
      <c r="V244" s="7"/>
      <c r="W244" s="7">
        <v>3569320</v>
      </c>
      <c r="X244" s="7"/>
      <c r="Y244" s="7"/>
      <c r="Z244" s="7"/>
      <c r="AA244" s="7"/>
      <c r="AB244" s="7">
        <v>107522470</v>
      </c>
      <c r="AC244" s="7"/>
      <c r="AD244" s="7"/>
      <c r="AE244" s="7"/>
      <c r="AF244" s="7">
        <v>415815</v>
      </c>
      <c r="AG244" s="7"/>
      <c r="AH244" s="7"/>
      <c r="AI244" s="7"/>
      <c r="AJ244" s="7">
        <v>113283084</v>
      </c>
    </row>
    <row r="245" spans="1:36" x14ac:dyDescent="0.25">
      <c r="A245" s="3">
        <v>40422</v>
      </c>
      <c r="B245" s="7"/>
      <c r="C245" s="7">
        <v>96188</v>
      </c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>
        <v>225150</v>
      </c>
      <c r="U245" s="7"/>
      <c r="V245" s="7"/>
      <c r="W245" s="7">
        <v>1715913</v>
      </c>
      <c r="X245" s="7"/>
      <c r="Y245" s="7"/>
      <c r="Z245" s="7"/>
      <c r="AA245" s="7"/>
      <c r="AB245" s="7">
        <v>79352424</v>
      </c>
      <c r="AC245" s="7"/>
      <c r="AD245" s="7"/>
      <c r="AE245" s="7"/>
      <c r="AF245" s="7">
        <v>187255</v>
      </c>
      <c r="AG245" s="7"/>
      <c r="AH245" s="7"/>
      <c r="AI245" s="7"/>
      <c r="AJ245" s="7">
        <v>81576930</v>
      </c>
    </row>
    <row r="246" spans="1:36" x14ac:dyDescent="0.25">
      <c r="A246" s="3">
        <v>40441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>
        <v>228000</v>
      </c>
      <c r="AC246" s="7"/>
      <c r="AD246" s="7"/>
      <c r="AE246" s="7"/>
      <c r="AF246" s="7"/>
      <c r="AG246" s="7"/>
      <c r="AH246" s="7"/>
      <c r="AI246" s="7"/>
      <c r="AJ246" s="7">
        <v>228000</v>
      </c>
    </row>
    <row r="247" spans="1:36" x14ac:dyDescent="0.25">
      <c r="A247" s="3">
        <v>40452</v>
      </c>
      <c r="B247" s="7"/>
      <c r="C247" s="7">
        <v>596600</v>
      </c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>
        <v>97850</v>
      </c>
      <c r="S247" s="7"/>
      <c r="T247" s="7"/>
      <c r="U247" s="7"/>
      <c r="V247" s="7"/>
      <c r="W247" s="7">
        <v>2152450</v>
      </c>
      <c r="X247" s="7"/>
      <c r="Y247" s="7"/>
      <c r="Z247" s="7"/>
      <c r="AA247" s="7"/>
      <c r="AB247" s="7">
        <v>69698035</v>
      </c>
      <c r="AC247" s="7"/>
      <c r="AD247" s="7"/>
      <c r="AE247" s="7"/>
      <c r="AF247" s="7">
        <v>159600</v>
      </c>
      <c r="AG247" s="7"/>
      <c r="AH247" s="7"/>
      <c r="AI247" s="7"/>
      <c r="AJ247" s="7">
        <v>72704535</v>
      </c>
    </row>
    <row r="248" spans="1:36" x14ac:dyDescent="0.25">
      <c r="A248" s="3">
        <v>40465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>
        <v>156750</v>
      </c>
      <c r="AC248" s="7"/>
      <c r="AD248" s="7"/>
      <c r="AE248" s="7"/>
      <c r="AF248" s="7"/>
      <c r="AG248" s="7"/>
      <c r="AH248" s="7"/>
      <c r="AI248" s="7"/>
      <c r="AJ248" s="7">
        <v>156750</v>
      </c>
    </row>
    <row r="249" spans="1:36" x14ac:dyDescent="0.25">
      <c r="A249" s="3">
        <v>40483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>
        <v>335635</v>
      </c>
      <c r="S249" s="7"/>
      <c r="T249" s="7"/>
      <c r="U249" s="7"/>
      <c r="V249" s="7"/>
      <c r="W249" s="7">
        <v>880263</v>
      </c>
      <c r="X249" s="7"/>
      <c r="Y249" s="7"/>
      <c r="Z249" s="7"/>
      <c r="AA249" s="7"/>
      <c r="AB249" s="7">
        <v>61042333</v>
      </c>
      <c r="AC249" s="7"/>
      <c r="AD249" s="7"/>
      <c r="AE249" s="7"/>
      <c r="AF249" s="7"/>
      <c r="AG249" s="7"/>
      <c r="AH249" s="7"/>
      <c r="AI249" s="7"/>
      <c r="AJ249" s="7">
        <v>62258231</v>
      </c>
    </row>
    <row r="250" spans="1:36" x14ac:dyDescent="0.25">
      <c r="A250" s="3">
        <v>40513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>
        <v>150275</v>
      </c>
      <c r="S250" s="7"/>
      <c r="T250" s="7"/>
      <c r="U250" s="7"/>
      <c r="V250" s="7"/>
      <c r="W250" s="7">
        <v>1351643</v>
      </c>
      <c r="X250" s="7"/>
      <c r="Y250" s="7"/>
      <c r="Z250" s="7"/>
      <c r="AA250" s="7"/>
      <c r="AB250" s="7">
        <v>51783270</v>
      </c>
      <c r="AC250" s="7"/>
      <c r="AD250" s="7"/>
      <c r="AE250" s="7"/>
      <c r="AF250" s="7">
        <v>599153</v>
      </c>
      <c r="AG250" s="7"/>
      <c r="AH250" s="7"/>
      <c r="AI250" s="7"/>
      <c r="AJ250" s="7">
        <v>53884341</v>
      </c>
    </row>
    <row r="251" spans="1:36" x14ac:dyDescent="0.25">
      <c r="A251" s="3">
        <v>40544</v>
      </c>
      <c r="B251" s="7"/>
      <c r="C251" s="7">
        <v>515200</v>
      </c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>
        <v>87400</v>
      </c>
      <c r="S251" s="7"/>
      <c r="T251" s="7"/>
      <c r="U251" s="7"/>
      <c r="V251" s="7"/>
      <c r="W251" s="7">
        <v>1446048</v>
      </c>
      <c r="X251" s="7"/>
      <c r="Y251" s="7"/>
      <c r="Z251" s="7"/>
      <c r="AA251" s="7"/>
      <c r="AB251" s="7">
        <v>61245778</v>
      </c>
      <c r="AC251" s="7"/>
      <c r="AD251" s="7"/>
      <c r="AE251" s="7"/>
      <c r="AF251" s="7">
        <v>76000</v>
      </c>
      <c r="AG251" s="7"/>
      <c r="AH251" s="7"/>
      <c r="AI251" s="7"/>
      <c r="AJ251" s="7">
        <v>63370426</v>
      </c>
    </row>
    <row r="252" spans="1:36" x14ac:dyDescent="0.25">
      <c r="A252" s="3">
        <v>40575</v>
      </c>
      <c r="B252" s="7">
        <v>320000</v>
      </c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>
        <v>308750</v>
      </c>
      <c r="S252" s="7"/>
      <c r="T252" s="7"/>
      <c r="U252" s="7"/>
      <c r="V252" s="7"/>
      <c r="W252" s="7">
        <v>2140692</v>
      </c>
      <c r="X252" s="7"/>
      <c r="Y252" s="7"/>
      <c r="Z252" s="7"/>
      <c r="AA252" s="7"/>
      <c r="AB252" s="7">
        <v>77701045</v>
      </c>
      <c r="AC252" s="7"/>
      <c r="AD252" s="7"/>
      <c r="AE252" s="7"/>
      <c r="AF252" s="7">
        <v>190000</v>
      </c>
      <c r="AG252" s="7"/>
      <c r="AH252" s="7"/>
      <c r="AI252" s="7"/>
      <c r="AJ252" s="7">
        <v>80660487</v>
      </c>
    </row>
    <row r="253" spans="1:36" x14ac:dyDescent="0.25">
      <c r="A253" s="3">
        <v>40603</v>
      </c>
      <c r="B253" s="7"/>
      <c r="C253" s="7">
        <v>625910</v>
      </c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>
        <v>71250</v>
      </c>
      <c r="S253" s="7"/>
      <c r="T253" s="7"/>
      <c r="U253" s="7"/>
      <c r="V253" s="7"/>
      <c r="W253" s="7">
        <v>1395644</v>
      </c>
      <c r="X253" s="7"/>
      <c r="Y253" s="7"/>
      <c r="Z253" s="7"/>
      <c r="AA253" s="7"/>
      <c r="AB253" s="7">
        <v>43882564</v>
      </c>
      <c r="AC253" s="7"/>
      <c r="AD253" s="7"/>
      <c r="AE253" s="7"/>
      <c r="AF253" s="7"/>
      <c r="AG253" s="7"/>
      <c r="AH253" s="7"/>
      <c r="AI253" s="7"/>
      <c r="AJ253" s="7">
        <v>45975368</v>
      </c>
    </row>
    <row r="254" spans="1:36" x14ac:dyDescent="0.25">
      <c r="A254" s="3">
        <v>40634</v>
      </c>
      <c r="B254" s="7"/>
      <c r="C254" s="7">
        <v>305500</v>
      </c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>
        <v>1288927</v>
      </c>
      <c r="X254" s="7"/>
      <c r="Y254" s="7"/>
      <c r="Z254" s="7"/>
      <c r="AA254" s="7"/>
      <c r="AB254" s="7">
        <v>32315734</v>
      </c>
      <c r="AC254" s="7"/>
      <c r="AD254" s="7"/>
      <c r="AE254" s="7"/>
      <c r="AF254" s="7">
        <v>209000</v>
      </c>
      <c r="AG254" s="7"/>
      <c r="AH254" s="7"/>
      <c r="AI254" s="7"/>
      <c r="AJ254" s="7">
        <v>34119161</v>
      </c>
    </row>
    <row r="255" spans="1:36" x14ac:dyDescent="0.25">
      <c r="A255" s="3">
        <v>40664</v>
      </c>
      <c r="B255" s="7"/>
      <c r="C255" s="7">
        <v>359373</v>
      </c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>
        <v>109250</v>
      </c>
      <c r="S255" s="7"/>
      <c r="T255" s="7"/>
      <c r="U255" s="7"/>
      <c r="V255" s="7"/>
      <c r="W255" s="7">
        <v>1532536</v>
      </c>
      <c r="X255" s="7"/>
      <c r="Y255" s="7"/>
      <c r="Z255" s="7"/>
      <c r="AA255" s="7"/>
      <c r="AB255" s="7">
        <v>54189086</v>
      </c>
      <c r="AC255" s="7"/>
      <c r="AD255" s="7"/>
      <c r="AE255" s="7"/>
      <c r="AF255" s="7">
        <v>215175</v>
      </c>
      <c r="AG255" s="7"/>
      <c r="AH255" s="7"/>
      <c r="AI255" s="7"/>
      <c r="AJ255" s="7">
        <v>56405420</v>
      </c>
    </row>
    <row r="256" spans="1:36" x14ac:dyDescent="0.25">
      <c r="A256" s="3">
        <v>40695</v>
      </c>
      <c r="B256" s="7"/>
      <c r="C256" s="7">
        <v>147755</v>
      </c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>
        <v>100700</v>
      </c>
      <c r="S256" s="7"/>
      <c r="T256" s="7"/>
      <c r="U256" s="7"/>
      <c r="V256" s="7"/>
      <c r="W256" s="7">
        <v>1415727</v>
      </c>
      <c r="X256" s="7"/>
      <c r="Y256" s="7"/>
      <c r="Z256" s="7"/>
      <c r="AA256" s="7"/>
      <c r="AB256" s="7">
        <v>64105765</v>
      </c>
      <c r="AC256" s="7"/>
      <c r="AD256" s="7"/>
      <c r="AE256" s="7"/>
      <c r="AF256" s="7"/>
      <c r="AG256" s="7"/>
      <c r="AH256" s="7"/>
      <c r="AI256" s="7"/>
      <c r="AJ256" s="7">
        <v>65769947</v>
      </c>
    </row>
    <row r="257" spans="1:36" x14ac:dyDescent="0.25">
      <c r="A257" s="3">
        <v>40725</v>
      </c>
      <c r="B257" s="7"/>
      <c r="C257" s="7">
        <v>436575</v>
      </c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>
        <v>3929662</v>
      </c>
      <c r="X257" s="7"/>
      <c r="Y257" s="7"/>
      <c r="Z257" s="7"/>
      <c r="AA257" s="7"/>
      <c r="AB257" s="7">
        <v>93926715</v>
      </c>
      <c r="AC257" s="7"/>
      <c r="AD257" s="7"/>
      <c r="AE257" s="7"/>
      <c r="AF257" s="7">
        <v>394700</v>
      </c>
      <c r="AG257" s="7"/>
      <c r="AH257" s="7"/>
      <c r="AI257" s="7"/>
      <c r="AJ257" s="7">
        <v>98687652</v>
      </c>
    </row>
    <row r="258" spans="1:36" x14ac:dyDescent="0.25">
      <c r="A258" s="3">
        <v>40756</v>
      </c>
      <c r="B258" s="7"/>
      <c r="C258" s="7">
        <v>63730</v>
      </c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>
        <v>71250</v>
      </c>
      <c r="S258" s="7"/>
      <c r="T258" s="7">
        <v>343900</v>
      </c>
      <c r="U258" s="7"/>
      <c r="V258" s="7"/>
      <c r="W258" s="7">
        <v>3754899</v>
      </c>
      <c r="X258" s="7"/>
      <c r="Y258" s="7"/>
      <c r="Z258" s="7"/>
      <c r="AA258" s="7"/>
      <c r="AB258" s="7">
        <v>132953640</v>
      </c>
      <c r="AC258" s="7"/>
      <c r="AD258" s="7"/>
      <c r="AE258" s="7"/>
      <c r="AF258" s="7">
        <v>175400</v>
      </c>
      <c r="AG258" s="7"/>
      <c r="AH258" s="7"/>
      <c r="AI258" s="7"/>
      <c r="AJ258" s="7">
        <v>137362819</v>
      </c>
    </row>
    <row r="259" spans="1:36" x14ac:dyDescent="0.25">
      <c r="A259" s="3">
        <v>40787</v>
      </c>
      <c r="B259" s="7"/>
      <c r="C259" s="7">
        <v>529000</v>
      </c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>
        <v>231055</v>
      </c>
      <c r="S259" s="7"/>
      <c r="T259" s="7"/>
      <c r="U259" s="7"/>
      <c r="V259" s="7"/>
      <c r="W259" s="7">
        <v>3570700</v>
      </c>
      <c r="X259" s="7"/>
      <c r="Y259" s="7"/>
      <c r="Z259" s="7"/>
      <c r="AA259" s="7"/>
      <c r="AB259" s="7">
        <v>119299148</v>
      </c>
      <c r="AC259" s="7"/>
      <c r="AD259" s="7"/>
      <c r="AE259" s="7"/>
      <c r="AF259" s="7">
        <v>44650</v>
      </c>
      <c r="AG259" s="7"/>
      <c r="AH259" s="7"/>
      <c r="AI259" s="7"/>
      <c r="AJ259" s="7">
        <v>123674553</v>
      </c>
    </row>
    <row r="260" spans="1:36" x14ac:dyDescent="0.25">
      <c r="A260" s="3">
        <v>40817</v>
      </c>
      <c r="B260" s="7"/>
      <c r="C260" s="7">
        <v>386587</v>
      </c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>
        <v>186950</v>
      </c>
      <c r="O260" s="7"/>
      <c r="P260" s="7"/>
      <c r="Q260" s="7"/>
      <c r="R260" s="7">
        <v>665725</v>
      </c>
      <c r="S260" s="7"/>
      <c r="T260" s="7"/>
      <c r="U260" s="7"/>
      <c r="V260" s="7"/>
      <c r="W260" s="7">
        <v>2345291</v>
      </c>
      <c r="X260" s="7"/>
      <c r="Y260" s="7"/>
      <c r="Z260" s="7"/>
      <c r="AA260" s="7"/>
      <c r="AB260" s="7">
        <v>120150400</v>
      </c>
      <c r="AC260" s="7"/>
      <c r="AD260" s="7"/>
      <c r="AE260" s="7"/>
      <c r="AF260" s="7">
        <v>132525</v>
      </c>
      <c r="AG260" s="7"/>
      <c r="AH260" s="7"/>
      <c r="AI260" s="7"/>
      <c r="AJ260" s="7">
        <v>123867478</v>
      </c>
    </row>
    <row r="261" spans="1:36" x14ac:dyDescent="0.25">
      <c r="A261" s="3">
        <v>40848</v>
      </c>
      <c r="B261" s="7"/>
      <c r="C261" s="7">
        <v>506646</v>
      </c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>
        <v>558184</v>
      </c>
      <c r="S261" s="7"/>
      <c r="T261" s="7"/>
      <c r="U261" s="7"/>
      <c r="V261" s="7"/>
      <c r="W261" s="7">
        <v>3749885</v>
      </c>
      <c r="X261" s="7"/>
      <c r="Y261" s="7"/>
      <c r="Z261" s="7"/>
      <c r="AA261" s="7"/>
      <c r="AB261" s="7">
        <v>94816560</v>
      </c>
      <c r="AC261" s="7"/>
      <c r="AD261" s="7"/>
      <c r="AE261" s="7"/>
      <c r="AF261" s="7">
        <v>209475</v>
      </c>
      <c r="AG261" s="7"/>
      <c r="AH261" s="7"/>
      <c r="AI261" s="7"/>
      <c r="AJ261" s="7">
        <v>99840750</v>
      </c>
    </row>
    <row r="262" spans="1:36" x14ac:dyDescent="0.25">
      <c r="A262" s="3">
        <v>40878</v>
      </c>
      <c r="B262" s="7"/>
      <c r="C262" s="7">
        <v>674500</v>
      </c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>
        <v>117325</v>
      </c>
      <c r="S262" s="7"/>
      <c r="T262" s="7"/>
      <c r="U262" s="7"/>
      <c r="V262" s="7"/>
      <c r="W262" s="7">
        <v>1680937</v>
      </c>
      <c r="X262" s="7"/>
      <c r="Y262" s="7"/>
      <c r="Z262" s="7"/>
      <c r="AA262" s="7"/>
      <c r="AB262" s="7">
        <v>74881747</v>
      </c>
      <c r="AC262" s="7"/>
      <c r="AD262" s="7"/>
      <c r="AE262" s="7"/>
      <c r="AF262" s="7"/>
      <c r="AG262" s="7"/>
      <c r="AH262" s="7"/>
      <c r="AI262" s="7"/>
      <c r="AJ262" s="7">
        <v>77354509</v>
      </c>
    </row>
    <row r="263" spans="1:36" x14ac:dyDescent="0.25">
      <c r="A263" s="3">
        <v>40909</v>
      </c>
      <c r="B263" s="7"/>
      <c r="C263" s="7">
        <v>773610</v>
      </c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>
        <v>127319</v>
      </c>
      <c r="S263" s="7"/>
      <c r="T263" s="7">
        <v>299250</v>
      </c>
      <c r="U263" s="7"/>
      <c r="V263" s="7"/>
      <c r="W263" s="7">
        <v>3255856</v>
      </c>
      <c r="X263" s="7"/>
      <c r="Y263" s="7"/>
      <c r="Z263" s="7"/>
      <c r="AA263" s="7"/>
      <c r="AB263" s="7">
        <v>79549186</v>
      </c>
      <c r="AC263" s="7"/>
      <c r="AD263" s="7"/>
      <c r="AE263" s="7"/>
      <c r="AF263" s="7"/>
      <c r="AG263" s="7"/>
      <c r="AH263" s="7"/>
      <c r="AI263" s="7"/>
      <c r="AJ263" s="7">
        <v>84005221</v>
      </c>
    </row>
    <row r="264" spans="1:36" x14ac:dyDescent="0.25">
      <c r="A264" s="3">
        <v>40940</v>
      </c>
      <c r="B264" s="7"/>
      <c r="C264" s="7">
        <v>602500</v>
      </c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>
        <v>245100</v>
      </c>
      <c r="S264" s="7"/>
      <c r="T264" s="7"/>
      <c r="U264" s="7"/>
      <c r="V264" s="7"/>
      <c r="W264" s="7">
        <v>3362265</v>
      </c>
      <c r="X264" s="7"/>
      <c r="Y264" s="7"/>
      <c r="Z264" s="7"/>
      <c r="AA264" s="7"/>
      <c r="AB264" s="7">
        <v>87333600</v>
      </c>
      <c r="AC264" s="7"/>
      <c r="AD264" s="7"/>
      <c r="AE264" s="7"/>
      <c r="AF264" s="7">
        <v>346750</v>
      </c>
      <c r="AG264" s="7"/>
      <c r="AH264" s="7"/>
      <c r="AI264" s="7"/>
      <c r="AJ264" s="7">
        <v>91890215</v>
      </c>
    </row>
    <row r="265" spans="1:36" x14ac:dyDescent="0.25">
      <c r="A265" s="3">
        <v>40969</v>
      </c>
      <c r="B265" s="7"/>
      <c r="C265" s="7">
        <v>208900</v>
      </c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>
        <v>506825</v>
      </c>
      <c r="S265" s="7"/>
      <c r="T265" s="7"/>
      <c r="U265" s="7"/>
      <c r="V265" s="7"/>
      <c r="W265" s="7">
        <v>1240746</v>
      </c>
      <c r="X265" s="7"/>
      <c r="Y265" s="7"/>
      <c r="Z265" s="7"/>
      <c r="AA265" s="7"/>
      <c r="AB265" s="7">
        <v>52537591</v>
      </c>
      <c r="AC265" s="7"/>
      <c r="AD265" s="7"/>
      <c r="AE265" s="7"/>
      <c r="AF265" s="7">
        <v>80750</v>
      </c>
      <c r="AG265" s="7"/>
      <c r="AH265" s="7"/>
      <c r="AI265" s="7"/>
      <c r="AJ265" s="7">
        <v>54574812</v>
      </c>
    </row>
    <row r="266" spans="1:36" x14ac:dyDescent="0.25">
      <c r="A266" s="3">
        <v>41000</v>
      </c>
      <c r="B266" s="7"/>
      <c r="C266" s="7">
        <v>337800</v>
      </c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>
        <v>1114478</v>
      </c>
      <c r="X266" s="7"/>
      <c r="Y266" s="7"/>
      <c r="Z266" s="7"/>
      <c r="AA266" s="7"/>
      <c r="AB266" s="7">
        <v>54424866</v>
      </c>
      <c r="AC266" s="7"/>
      <c r="AD266" s="7"/>
      <c r="AE266" s="7"/>
      <c r="AF266" s="7"/>
      <c r="AG266" s="7"/>
      <c r="AH266" s="7"/>
      <c r="AI266" s="7"/>
      <c r="AJ266" s="7">
        <v>55877144</v>
      </c>
    </row>
    <row r="267" spans="1:36" x14ac:dyDescent="0.25">
      <c r="A267" s="3">
        <v>41004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>
        <v>34200</v>
      </c>
      <c r="AC267" s="7"/>
      <c r="AD267" s="7"/>
      <c r="AE267" s="7"/>
      <c r="AF267" s="7"/>
      <c r="AG267" s="7"/>
      <c r="AH267" s="7"/>
      <c r="AI267" s="7"/>
      <c r="AJ267" s="7">
        <v>34200</v>
      </c>
    </row>
    <row r="268" spans="1:36" x14ac:dyDescent="0.25">
      <c r="A268" s="3">
        <v>41030</v>
      </c>
      <c r="B268" s="7"/>
      <c r="C268" s="7">
        <v>534350</v>
      </c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>
        <v>2684042</v>
      </c>
      <c r="X268" s="7"/>
      <c r="Y268" s="7"/>
      <c r="Z268" s="7"/>
      <c r="AA268" s="7"/>
      <c r="AB268" s="7">
        <v>74445551</v>
      </c>
      <c r="AC268" s="7"/>
      <c r="AD268" s="7"/>
      <c r="AE268" s="7"/>
      <c r="AF268" s="7">
        <v>90250</v>
      </c>
      <c r="AG268" s="7"/>
      <c r="AH268" s="7"/>
      <c r="AI268" s="7"/>
      <c r="AJ268" s="7">
        <v>77754193</v>
      </c>
    </row>
    <row r="269" spans="1:36" x14ac:dyDescent="0.25">
      <c r="A269" s="3">
        <v>41061</v>
      </c>
      <c r="B269" s="7">
        <v>354350</v>
      </c>
      <c r="C269" s="7">
        <v>1349181</v>
      </c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>
        <v>250300</v>
      </c>
      <c r="S269" s="7"/>
      <c r="T269" s="7">
        <v>244250</v>
      </c>
      <c r="U269" s="7"/>
      <c r="V269" s="7"/>
      <c r="W269" s="7">
        <v>1984927</v>
      </c>
      <c r="X269" s="7"/>
      <c r="Y269" s="7"/>
      <c r="Z269" s="7"/>
      <c r="AA269" s="7"/>
      <c r="AB269" s="7">
        <v>108526650</v>
      </c>
      <c r="AC269" s="7"/>
      <c r="AD269" s="7"/>
      <c r="AE269" s="7"/>
      <c r="AF269" s="7">
        <v>704235</v>
      </c>
      <c r="AG269" s="7"/>
      <c r="AH269" s="7"/>
      <c r="AI269" s="7"/>
      <c r="AJ269" s="7">
        <v>113413893</v>
      </c>
    </row>
    <row r="270" spans="1:36" x14ac:dyDescent="0.25">
      <c r="A270" s="3">
        <v>41091</v>
      </c>
      <c r="B270" s="7"/>
      <c r="C270" s="7">
        <v>1470292</v>
      </c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>
        <v>235600</v>
      </c>
      <c r="S270" s="7"/>
      <c r="T270" s="7"/>
      <c r="U270" s="7"/>
      <c r="V270" s="7"/>
      <c r="W270" s="7">
        <v>2493233</v>
      </c>
      <c r="X270" s="7"/>
      <c r="Y270" s="7"/>
      <c r="Z270" s="7"/>
      <c r="AA270" s="7"/>
      <c r="AB270" s="7">
        <v>147081587</v>
      </c>
      <c r="AC270" s="7"/>
      <c r="AD270" s="7"/>
      <c r="AE270" s="7"/>
      <c r="AF270" s="7">
        <v>280250</v>
      </c>
      <c r="AG270" s="7"/>
      <c r="AH270" s="7"/>
      <c r="AI270" s="7"/>
      <c r="AJ270" s="7">
        <v>151560962</v>
      </c>
    </row>
    <row r="271" spans="1:36" x14ac:dyDescent="0.25">
      <c r="A271" s="3">
        <v>41122</v>
      </c>
      <c r="B271" s="7"/>
      <c r="C271" s="7">
        <v>3220974</v>
      </c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>
        <v>144850</v>
      </c>
      <c r="S271" s="7"/>
      <c r="T271" s="7">
        <v>161500</v>
      </c>
      <c r="U271" s="7"/>
      <c r="V271" s="7"/>
      <c r="W271" s="7">
        <v>3458249</v>
      </c>
      <c r="X271" s="7"/>
      <c r="Y271" s="7"/>
      <c r="Z271" s="7"/>
      <c r="AA271" s="7"/>
      <c r="AB271" s="7">
        <v>222204492</v>
      </c>
      <c r="AC271" s="7"/>
      <c r="AD271" s="7"/>
      <c r="AE271" s="7"/>
      <c r="AF271" s="7">
        <v>390177</v>
      </c>
      <c r="AG271" s="7"/>
      <c r="AH271" s="7"/>
      <c r="AI271" s="7"/>
      <c r="AJ271" s="7">
        <v>229580242</v>
      </c>
    </row>
    <row r="272" spans="1:36" x14ac:dyDescent="0.25">
      <c r="A272" s="3">
        <v>41153</v>
      </c>
      <c r="B272" s="7"/>
      <c r="C272" s="7">
        <v>1845297</v>
      </c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>
        <v>237500</v>
      </c>
      <c r="S272" s="7"/>
      <c r="T272" s="7"/>
      <c r="U272" s="7"/>
      <c r="V272" s="7"/>
      <c r="W272" s="7">
        <v>4522088</v>
      </c>
      <c r="X272" s="7"/>
      <c r="Y272" s="7"/>
      <c r="Z272" s="7"/>
      <c r="AA272" s="7"/>
      <c r="AB272" s="7">
        <v>245728895</v>
      </c>
      <c r="AC272" s="7"/>
      <c r="AD272" s="7"/>
      <c r="AE272" s="7"/>
      <c r="AF272" s="7">
        <v>229425</v>
      </c>
      <c r="AG272" s="7"/>
      <c r="AH272" s="7"/>
      <c r="AI272" s="7"/>
      <c r="AJ272" s="7">
        <v>252563205</v>
      </c>
    </row>
    <row r="273" spans="1:36" x14ac:dyDescent="0.25">
      <c r="A273" s="3">
        <v>41183</v>
      </c>
      <c r="B273" s="7"/>
      <c r="C273" s="7">
        <v>1931997</v>
      </c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>
        <v>319010</v>
      </c>
      <c r="S273" s="7"/>
      <c r="T273" s="7"/>
      <c r="U273" s="7"/>
      <c r="V273" s="7"/>
      <c r="W273" s="7">
        <v>5907360</v>
      </c>
      <c r="X273" s="7"/>
      <c r="Y273" s="7"/>
      <c r="Z273" s="7"/>
      <c r="AA273" s="7"/>
      <c r="AB273" s="7">
        <v>225399111</v>
      </c>
      <c r="AC273" s="7"/>
      <c r="AD273" s="7"/>
      <c r="AE273" s="7"/>
      <c r="AF273" s="7">
        <v>420050</v>
      </c>
      <c r="AG273" s="7"/>
      <c r="AH273" s="7"/>
      <c r="AI273" s="7"/>
      <c r="AJ273" s="7">
        <v>233977528</v>
      </c>
    </row>
    <row r="274" spans="1:36" x14ac:dyDescent="0.25">
      <c r="A274" s="3">
        <v>41214</v>
      </c>
      <c r="B274" s="7"/>
      <c r="C274" s="7">
        <v>4117610</v>
      </c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>
        <v>465200</v>
      </c>
      <c r="S274" s="7"/>
      <c r="T274" s="7">
        <v>213750</v>
      </c>
      <c r="U274" s="7">
        <v>228000</v>
      </c>
      <c r="V274" s="7"/>
      <c r="W274" s="7">
        <v>6485689</v>
      </c>
      <c r="X274" s="7"/>
      <c r="Y274" s="7"/>
      <c r="Z274" s="7"/>
      <c r="AA274" s="7"/>
      <c r="AB274" s="7">
        <v>229842264</v>
      </c>
      <c r="AC274" s="7"/>
      <c r="AD274" s="7"/>
      <c r="AE274" s="7"/>
      <c r="AF274" s="7">
        <v>617500</v>
      </c>
      <c r="AG274" s="7"/>
      <c r="AH274" s="7"/>
      <c r="AI274" s="7"/>
      <c r="AJ274" s="7">
        <v>241970013</v>
      </c>
    </row>
    <row r="275" spans="1:36" x14ac:dyDescent="0.25">
      <c r="A275" s="3">
        <v>41244</v>
      </c>
      <c r="B275" s="7"/>
      <c r="C275" s="7">
        <v>1652151</v>
      </c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>
        <v>208952</v>
      </c>
      <c r="U275" s="7"/>
      <c r="V275" s="7"/>
      <c r="W275" s="7">
        <v>4630467</v>
      </c>
      <c r="X275" s="7"/>
      <c r="Y275" s="7"/>
      <c r="Z275" s="7"/>
      <c r="AA275" s="7"/>
      <c r="AB275" s="7">
        <v>222005034</v>
      </c>
      <c r="AC275" s="7"/>
      <c r="AD275" s="7"/>
      <c r="AE275" s="7"/>
      <c r="AF275" s="7">
        <v>206150</v>
      </c>
      <c r="AG275" s="7"/>
      <c r="AH275" s="7">
        <v>250800</v>
      </c>
      <c r="AI275" s="7"/>
      <c r="AJ275" s="7">
        <v>228953554</v>
      </c>
    </row>
    <row r="276" spans="1:36" x14ac:dyDescent="0.25">
      <c r="A276" s="3">
        <v>41275</v>
      </c>
      <c r="B276" s="7"/>
      <c r="C276" s="7">
        <v>2174253</v>
      </c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>
        <v>155830</v>
      </c>
      <c r="O276" s="7"/>
      <c r="P276" s="7"/>
      <c r="Q276" s="7"/>
      <c r="R276" s="7">
        <v>89750</v>
      </c>
      <c r="S276" s="7"/>
      <c r="T276" s="7">
        <v>135850</v>
      </c>
      <c r="U276" s="7"/>
      <c r="V276" s="7"/>
      <c r="W276" s="7">
        <v>3868715</v>
      </c>
      <c r="X276" s="7"/>
      <c r="Y276" s="7"/>
      <c r="Z276" s="7"/>
      <c r="AA276" s="7"/>
      <c r="AB276" s="7">
        <v>188337902</v>
      </c>
      <c r="AC276" s="7"/>
      <c r="AD276" s="7"/>
      <c r="AE276" s="7"/>
      <c r="AF276" s="7">
        <v>723528</v>
      </c>
      <c r="AG276" s="7"/>
      <c r="AH276" s="7"/>
      <c r="AI276" s="7"/>
      <c r="AJ276" s="7">
        <v>195485828</v>
      </c>
    </row>
    <row r="277" spans="1:36" x14ac:dyDescent="0.25">
      <c r="A277" s="3">
        <v>41306</v>
      </c>
      <c r="B277" s="7"/>
      <c r="C277" s="7">
        <v>2315132</v>
      </c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>
        <v>133950</v>
      </c>
      <c r="S277" s="7"/>
      <c r="T277" s="7"/>
      <c r="U277" s="7"/>
      <c r="V277" s="7"/>
      <c r="W277" s="7">
        <v>2816700</v>
      </c>
      <c r="X277" s="7"/>
      <c r="Y277" s="7"/>
      <c r="Z277" s="7"/>
      <c r="AA277" s="7"/>
      <c r="AB277" s="7">
        <v>213965687</v>
      </c>
      <c r="AC277" s="7"/>
      <c r="AD277" s="7"/>
      <c r="AE277" s="7"/>
      <c r="AF277" s="7">
        <v>432954</v>
      </c>
      <c r="AG277" s="7"/>
      <c r="AH277" s="7">
        <v>167675</v>
      </c>
      <c r="AI277" s="7"/>
      <c r="AJ277" s="7">
        <v>219832098</v>
      </c>
    </row>
    <row r="278" spans="1:36" x14ac:dyDescent="0.25">
      <c r="A278" s="3">
        <v>41334</v>
      </c>
      <c r="B278" s="7"/>
      <c r="C278" s="7">
        <v>2260100</v>
      </c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>
        <v>2215253</v>
      </c>
      <c r="X278" s="7"/>
      <c r="Y278" s="7"/>
      <c r="Z278" s="7"/>
      <c r="AA278" s="7"/>
      <c r="AB278" s="7">
        <v>189281646</v>
      </c>
      <c r="AC278" s="7"/>
      <c r="AD278" s="7"/>
      <c r="AE278" s="7"/>
      <c r="AF278" s="7">
        <v>884090</v>
      </c>
      <c r="AG278" s="7"/>
      <c r="AH278" s="7"/>
      <c r="AI278" s="7"/>
      <c r="AJ278" s="7">
        <v>194641089</v>
      </c>
    </row>
    <row r="279" spans="1:36" x14ac:dyDescent="0.25">
      <c r="A279" s="3">
        <v>41365</v>
      </c>
      <c r="B279" s="7"/>
      <c r="C279" s="7">
        <v>3016000</v>
      </c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>
        <v>2219037</v>
      </c>
      <c r="X279" s="7"/>
      <c r="Y279" s="7"/>
      <c r="Z279" s="7"/>
      <c r="AA279" s="7"/>
      <c r="AB279" s="7">
        <v>214257756</v>
      </c>
      <c r="AC279" s="7"/>
      <c r="AD279" s="7"/>
      <c r="AE279" s="7"/>
      <c r="AF279" s="7">
        <v>461700</v>
      </c>
      <c r="AG279" s="7"/>
      <c r="AH279" s="7"/>
      <c r="AI279" s="7"/>
      <c r="AJ279" s="7">
        <v>219954493</v>
      </c>
    </row>
    <row r="280" spans="1:36" x14ac:dyDescent="0.25">
      <c r="A280" s="3">
        <v>41395</v>
      </c>
      <c r="B280" s="7"/>
      <c r="C280" s="7">
        <v>3899075</v>
      </c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>
        <v>156750</v>
      </c>
      <c r="S280" s="7"/>
      <c r="T280" s="7">
        <v>82650</v>
      </c>
      <c r="U280" s="7"/>
      <c r="V280" s="7"/>
      <c r="W280" s="7">
        <v>6429370</v>
      </c>
      <c r="X280" s="7"/>
      <c r="Y280" s="7"/>
      <c r="Z280" s="7"/>
      <c r="AA280" s="7"/>
      <c r="AB280" s="7">
        <v>242055637</v>
      </c>
      <c r="AC280" s="7"/>
      <c r="AD280" s="7"/>
      <c r="AE280" s="7"/>
      <c r="AF280" s="7">
        <v>288800</v>
      </c>
      <c r="AG280" s="7"/>
      <c r="AH280" s="7">
        <v>93100</v>
      </c>
      <c r="AI280" s="7"/>
      <c r="AJ280" s="7">
        <v>253005382</v>
      </c>
    </row>
    <row r="281" spans="1:36" x14ac:dyDescent="0.25">
      <c r="A281" s="3">
        <v>41426</v>
      </c>
      <c r="B281" s="7"/>
      <c r="C281" s="7">
        <v>4013039</v>
      </c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>
        <v>29450</v>
      </c>
      <c r="S281" s="7"/>
      <c r="T281" s="7"/>
      <c r="U281" s="7"/>
      <c r="V281" s="7"/>
      <c r="W281" s="7">
        <v>7377236</v>
      </c>
      <c r="X281" s="7"/>
      <c r="Y281" s="7"/>
      <c r="Z281" s="7"/>
      <c r="AA281" s="7"/>
      <c r="AB281" s="7">
        <v>273795897</v>
      </c>
      <c r="AC281" s="7"/>
      <c r="AD281" s="7"/>
      <c r="AE281" s="7"/>
      <c r="AF281" s="7">
        <v>429300</v>
      </c>
      <c r="AG281" s="7"/>
      <c r="AH281" s="7"/>
      <c r="AI281" s="7"/>
      <c r="AJ281" s="7">
        <v>285644922</v>
      </c>
    </row>
    <row r="282" spans="1:36" x14ac:dyDescent="0.25">
      <c r="A282" s="3">
        <v>41456</v>
      </c>
      <c r="B282" s="7"/>
      <c r="C282" s="7">
        <v>4728244</v>
      </c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>
        <v>162900</v>
      </c>
      <c r="S282" s="7"/>
      <c r="T282" s="7"/>
      <c r="U282" s="7"/>
      <c r="V282" s="7"/>
      <c r="W282" s="7">
        <v>8214662</v>
      </c>
      <c r="X282" s="7"/>
      <c r="Y282" s="7"/>
      <c r="Z282" s="7"/>
      <c r="AA282" s="7"/>
      <c r="AB282" s="7">
        <v>373277377</v>
      </c>
      <c r="AC282" s="7"/>
      <c r="AD282" s="7"/>
      <c r="AE282" s="7"/>
      <c r="AF282" s="7">
        <v>252320</v>
      </c>
      <c r="AG282" s="7"/>
      <c r="AH282" s="7"/>
      <c r="AI282" s="7"/>
      <c r="AJ282" s="7">
        <v>386635503</v>
      </c>
    </row>
    <row r="283" spans="1:36" x14ac:dyDescent="0.25">
      <c r="A283" s="3">
        <v>41487</v>
      </c>
      <c r="B283" s="7"/>
      <c r="C283" s="7">
        <v>3641601</v>
      </c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>
        <v>169575</v>
      </c>
      <c r="R283" s="7"/>
      <c r="S283" s="7"/>
      <c r="T283" s="7"/>
      <c r="U283" s="7"/>
      <c r="V283" s="7"/>
      <c r="W283" s="7">
        <v>12114340</v>
      </c>
      <c r="X283" s="7"/>
      <c r="Y283" s="7"/>
      <c r="Z283" s="7"/>
      <c r="AA283" s="7"/>
      <c r="AB283" s="7">
        <v>352835397</v>
      </c>
      <c r="AC283" s="7"/>
      <c r="AD283" s="7"/>
      <c r="AE283" s="7"/>
      <c r="AF283" s="7">
        <v>251750</v>
      </c>
      <c r="AG283" s="7"/>
      <c r="AH283" s="7"/>
      <c r="AI283" s="7"/>
      <c r="AJ283" s="7">
        <v>369012663</v>
      </c>
    </row>
    <row r="284" spans="1:36" x14ac:dyDescent="0.25">
      <c r="A284" s="3">
        <v>41518</v>
      </c>
      <c r="B284" s="7"/>
      <c r="C284" s="7">
        <v>3206230</v>
      </c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>
        <v>185195</v>
      </c>
      <c r="S284" s="7"/>
      <c r="T284" s="7">
        <v>160550</v>
      </c>
      <c r="U284" s="7"/>
      <c r="V284" s="7"/>
      <c r="W284" s="7">
        <v>11719865</v>
      </c>
      <c r="X284" s="7"/>
      <c r="Y284" s="7"/>
      <c r="Z284" s="7"/>
      <c r="AA284" s="7"/>
      <c r="AB284" s="7">
        <v>356682019</v>
      </c>
      <c r="AC284" s="7"/>
      <c r="AD284" s="7"/>
      <c r="AE284" s="7"/>
      <c r="AF284" s="7"/>
      <c r="AG284" s="7"/>
      <c r="AH284" s="7"/>
      <c r="AI284" s="7"/>
      <c r="AJ284" s="7">
        <v>371953859</v>
      </c>
    </row>
    <row r="285" spans="1:36" x14ac:dyDescent="0.25">
      <c r="A285" s="3">
        <v>41548</v>
      </c>
      <c r="B285" s="7"/>
      <c r="C285" s="7">
        <v>3198367</v>
      </c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>
        <v>557960</v>
      </c>
      <c r="S285" s="7"/>
      <c r="T285" s="7">
        <v>205912</v>
      </c>
      <c r="U285" s="7"/>
      <c r="V285" s="7"/>
      <c r="W285" s="7">
        <v>10645146</v>
      </c>
      <c r="X285" s="7"/>
      <c r="Y285" s="7"/>
      <c r="Z285" s="7"/>
      <c r="AA285" s="7"/>
      <c r="AB285" s="7">
        <v>327519813</v>
      </c>
      <c r="AC285" s="7"/>
      <c r="AD285" s="7"/>
      <c r="AE285" s="7"/>
      <c r="AF285" s="7">
        <v>280250</v>
      </c>
      <c r="AG285" s="7"/>
      <c r="AH285" s="7"/>
      <c r="AI285" s="7"/>
      <c r="AJ285" s="7">
        <v>342407448</v>
      </c>
    </row>
    <row r="286" spans="1:36" x14ac:dyDescent="0.25">
      <c r="A286" s="3">
        <v>41579</v>
      </c>
      <c r="B286" s="7"/>
      <c r="C286" s="7">
        <v>2407575</v>
      </c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>
        <v>442700</v>
      </c>
      <c r="S286" s="7"/>
      <c r="T286" s="7">
        <v>270750</v>
      </c>
      <c r="U286" s="7"/>
      <c r="V286" s="7"/>
      <c r="W286" s="7">
        <v>7219783</v>
      </c>
      <c r="X286" s="7"/>
      <c r="Y286" s="7"/>
      <c r="Z286" s="7"/>
      <c r="AA286" s="7"/>
      <c r="AB286" s="7">
        <v>296324245</v>
      </c>
      <c r="AC286" s="7"/>
      <c r="AD286" s="7"/>
      <c r="AE286" s="7"/>
      <c r="AF286" s="7">
        <v>885400</v>
      </c>
      <c r="AG286" s="7"/>
      <c r="AH286" s="7"/>
      <c r="AI286" s="7"/>
      <c r="AJ286" s="7">
        <v>307550453</v>
      </c>
    </row>
    <row r="287" spans="1:36" x14ac:dyDescent="0.25">
      <c r="A287" s="3">
        <v>41609</v>
      </c>
      <c r="B287" s="7"/>
      <c r="C287" s="7">
        <v>2673854</v>
      </c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>
        <v>672655</v>
      </c>
      <c r="S287" s="7"/>
      <c r="T287" s="7"/>
      <c r="U287" s="7"/>
      <c r="V287" s="7"/>
      <c r="W287" s="7">
        <v>6969204</v>
      </c>
      <c r="X287" s="7"/>
      <c r="Y287" s="7"/>
      <c r="Z287" s="7"/>
      <c r="AA287" s="7"/>
      <c r="AB287" s="7">
        <v>327201228</v>
      </c>
      <c r="AC287" s="7"/>
      <c r="AD287" s="7"/>
      <c r="AE287" s="7"/>
      <c r="AF287" s="7">
        <v>338255</v>
      </c>
      <c r="AG287" s="7"/>
      <c r="AH287" s="7"/>
      <c r="AI287" s="7"/>
      <c r="AJ287" s="7">
        <v>337855196</v>
      </c>
    </row>
    <row r="288" spans="1:36" x14ac:dyDescent="0.25">
      <c r="A288" s="3">
        <v>41640</v>
      </c>
      <c r="B288" s="7"/>
      <c r="C288" s="7">
        <v>3330336</v>
      </c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>
        <v>1042293</v>
      </c>
      <c r="S288" s="7"/>
      <c r="T288" s="7">
        <v>387000</v>
      </c>
      <c r="U288" s="7">
        <v>125400</v>
      </c>
      <c r="V288" s="7"/>
      <c r="W288" s="7">
        <v>7735423</v>
      </c>
      <c r="X288" s="7"/>
      <c r="Y288" s="7"/>
      <c r="Z288" s="7"/>
      <c r="AA288" s="7"/>
      <c r="AB288" s="7">
        <v>339001707</v>
      </c>
      <c r="AC288" s="7"/>
      <c r="AD288" s="7"/>
      <c r="AE288" s="7"/>
      <c r="AF288" s="7">
        <v>120175</v>
      </c>
      <c r="AG288" s="7"/>
      <c r="AH288" s="7"/>
      <c r="AI288" s="7"/>
      <c r="AJ288" s="7">
        <v>351742334</v>
      </c>
    </row>
    <row r="289" spans="1:36" x14ac:dyDescent="0.25">
      <c r="A289" s="3">
        <v>41671</v>
      </c>
      <c r="B289" s="7"/>
      <c r="C289" s="7">
        <v>2239182</v>
      </c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>
        <v>726667</v>
      </c>
      <c r="S289" s="7"/>
      <c r="T289" s="7"/>
      <c r="U289" s="7"/>
      <c r="V289" s="7"/>
      <c r="W289" s="7">
        <v>9951429</v>
      </c>
      <c r="X289" s="7"/>
      <c r="Y289" s="7"/>
      <c r="Z289" s="7"/>
      <c r="AA289" s="7"/>
      <c r="AB289" s="7">
        <v>392553634</v>
      </c>
      <c r="AC289" s="7"/>
      <c r="AD289" s="7"/>
      <c r="AE289" s="7"/>
      <c r="AF289" s="7">
        <v>773442</v>
      </c>
      <c r="AG289" s="7"/>
      <c r="AH289" s="7"/>
      <c r="AI289" s="7"/>
      <c r="AJ289" s="7">
        <v>406244354</v>
      </c>
    </row>
    <row r="290" spans="1:36" x14ac:dyDescent="0.25">
      <c r="A290" s="3">
        <v>41699</v>
      </c>
      <c r="B290" s="7"/>
      <c r="C290" s="7">
        <v>885818</v>
      </c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>
        <v>905200</v>
      </c>
      <c r="S290" s="7"/>
      <c r="T290" s="7"/>
      <c r="U290" s="7"/>
      <c r="V290" s="7"/>
      <c r="W290" s="7">
        <v>4303331</v>
      </c>
      <c r="X290" s="7"/>
      <c r="Y290" s="7"/>
      <c r="Z290" s="7"/>
      <c r="AA290" s="7"/>
      <c r="AB290" s="7">
        <v>245550924</v>
      </c>
      <c r="AC290" s="7"/>
      <c r="AD290" s="7"/>
      <c r="AE290" s="7"/>
      <c r="AF290" s="7"/>
      <c r="AG290" s="7"/>
      <c r="AH290" s="7"/>
      <c r="AI290" s="7"/>
      <c r="AJ290" s="7">
        <v>251645273</v>
      </c>
    </row>
    <row r="291" spans="1:36" x14ac:dyDescent="0.25">
      <c r="A291" s="3">
        <v>41730</v>
      </c>
      <c r="B291" s="7"/>
      <c r="C291" s="7">
        <v>1005980</v>
      </c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>
        <v>1184895</v>
      </c>
      <c r="S291" s="7"/>
      <c r="T291" s="7"/>
      <c r="U291" s="7"/>
      <c r="V291" s="7"/>
      <c r="W291" s="7">
        <v>3408057</v>
      </c>
      <c r="X291" s="7"/>
      <c r="Y291" s="7"/>
      <c r="Z291" s="7"/>
      <c r="AA291" s="7"/>
      <c r="AB291" s="7">
        <v>276561193</v>
      </c>
      <c r="AC291" s="7"/>
      <c r="AD291" s="7"/>
      <c r="AE291" s="7"/>
      <c r="AF291" s="7">
        <v>1060200</v>
      </c>
      <c r="AG291" s="7"/>
      <c r="AH291" s="7"/>
      <c r="AI291" s="7"/>
      <c r="AJ291" s="7">
        <v>283220325</v>
      </c>
    </row>
    <row r="292" spans="1:36" x14ac:dyDescent="0.25">
      <c r="A292" s="3">
        <v>41760</v>
      </c>
      <c r="B292" s="7"/>
      <c r="C292" s="7">
        <v>1604695</v>
      </c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>
        <v>2815559</v>
      </c>
      <c r="S292" s="7"/>
      <c r="T292" s="7"/>
      <c r="U292" s="7"/>
      <c r="V292" s="7"/>
      <c r="W292" s="7">
        <v>7351848</v>
      </c>
      <c r="X292" s="7"/>
      <c r="Y292" s="7"/>
      <c r="Z292" s="7"/>
      <c r="AA292" s="7"/>
      <c r="AB292" s="7">
        <v>426291969</v>
      </c>
      <c r="AC292" s="7"/>
      <c r="AD292" s="7"/>
      <c r="AE292" s="7"/>
      <c r="AF292" s="7">
        <v>553280</v>
      </c>
      <c r="AG292" s="7"/>
      <c r="AH292" s="7"/>
      <c r="AI292" s="7"/>
      <c r="AJ292" s="7">
        <v>438617351</v>
      </c>
    </row>
    <row r="293" spans="1:36" x14ac:dyDescent="0.25">
      <c r="A293" s="3">
        <v>41791</v>
      </c>
      <c r="B293" s="7"/>
      <c r="C293" s="7">
        <v>1831585</v>
      </c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>
        <v>2287540</v>
      </c>
      <c r="S293" s="7"/>
      <c r="T293" s="7">
        <v>81700</v>
      </c>
      <c r="U293" s="7"/>
      <c r="V293" s="7"/>
      <c r="W293" s="7">
        <v>6124291</v>
      </c>
      <c r="X293" s="7"/>
      <c r="Y293" s="7"/>
      <c r="Z293" s="7"/>
      <c r="AA293" s="7"/>
      <c r="AB293" s="7">
        <v>497900395</v>
      </c>
      <c r="AC293" s="7"/>
      <c r="AD293" s="7"/>
      <c r="AE293" s="7"/>
      <c r="AF293" s="7">
        <v>117700</v>
      </c>
      <c r="AG293" s="7"/>
      <c r="AH293" s="7"/>
      <c r="AI293" s="7"/>
      <c r="AJ293" s="7">
        <v>508343211</v>
      </c>
    </row>
    <row r="294" spans="1:36" x14ac:dyDescent="0.25">
      <c r="A294" s="3">
        <v>41821</v>
      </c>
      <c r="B294" s="7"/>
      <c r="C294" s="7">
        <v>1037605</v>
      </c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>
        <v>2986390</v>
      </c>
      <c r="S294" s="7"/>
      <c r="T294" s="7"/>
      <c r="U294" s="7"/>
      <c r="V294" s="7"/>
      <c r="W294" s="7">
        <v>7479309</v>
      </c>
      <c r="X294" s="7"/>
      <c r="Y294" s="7"/>
      <c r="Z294" s="7"/>
      <c r="AA294" s="7"/>
      <c r="AB294" s="7">
        <v>577991060</v>
      </c>
      <c r="AC294" s="7"/>
      <c r="AD294" s="7"/>
      <c r="AE294" s="7"/>
      <c r="AF294" s="7">
        <v>260984</v>
      </c>
      <c r="AG294" s="7"/>
      <c r="AH294" s="7"/>
      <c r="AI294" s="7"/>
      <c r="AJ294" s="7">
        <v>589755348</v>
      </c>
    </row>
    <row r="295" spans="1:36" x14ac:dyDescent="0.25">
      <c r="A295" s="3">
        <v>41852</v>
      </c>
      <c r="B295" s="7"/>
      <c r="C295" s="7">
        <v>2097982</v>
      </c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>
        <v>140808</v>
      </c>
      <c r="O295" s="7"/>
      <c r="P295" s="7"/>
      <c r="Q295" s="7"/>
      <c r="R295" s="7">
        <v>3763455</v>
      </c>
      <c r="S295" s="7"/>
      <c r="T295" s="7">
        <v>527152</v>
      </c>
      <c r="U295" s="7"/>
      <c r="V295" s="7"/>
      <c r="W295" s="7">
        <v>10445940</v>
      </c>
      <c r="X295" s="7"/>
      <c r="Y295" s="7"/>
      <c r="Z295" s="7"/>
      <c r="AA295" s="7"/>
      <c r="AB295" s="7">
        <v>688636061</v>
      </c>
      <c r="AC295" s="7"/>
      <c r="AD295" s="7">
        <v>74575</v>
      </c>
      <c r="AE295" s="7"/>
      <c r="AF295" s="7">
        <v>1011741</v>
      </c>
      <c r="AG295" s="7"/>
      <c r="AH295" s="7"/>
      <c r="AI295" s="7"/>
      <c r="AJ295" s="7">
        <v>706697714</v>
      </c>
    </row>
    <row r="296" spans="1:36" x14ac:dyDescent="0.25">
      <c r="A296" s="3">
        <v>41883</v>
      </c>
      <c r="B296" s="7"/>
      <c r="C296" s="7">
        <v>857737</v>
      </c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>
        <v>4697700</v>
      </c>
      <c r="S296" s="7"/>
      <c r="T296" s="7">
        <v>309700</v>
      </c>
      <c r="U296" s="7"/>
      <c r="V296" s="7"/>
      <c r="W296" s="7">
        <v>8514380</v>
      </c>
      <c r="X296" s="7"/>
      <c r="Y296" s="7"/>
      <c r="Z296" s="7"/>
      <c r="AA296" s="7"/>
      <c r="AB296" s="7">
        <v>655885822</v>
      </c>
      <c r="AC296" s="7"/>
      <c r="AD296" s="7"/>
      <c r="AE296" s="7"/>
      <c r="AF296" s="7">
        <v>404842</v>
      </c>
      <c r="AG296" s="7"/>
      <c r="AH296" s="7"/>
      <c r="AI296" s="7"/>
      <c r="AJ296" s="7">
        <v>670670181</v>
      </c>
    </row>
    <row r="297" spans="1:36" x14ac:dyDescent="0.25">
      <c r="A297" s="3">
        <v>41913</v>
      </c>
      <c r="B297" s="7"/>
      <c r="C297" s="7">
        <v>1873926</v>
      </c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>
        <v>4086648</v>
      </c>
      <c r="S297" s="7"/>
      <c r="T297" s="7">
        <v>501600</v>
      </c>
      <c r="U297" s="7"/>
      <c r="V297" s="7"/>
      <c r="W297" s="7">
        <v>9002773</v>
      </c>
      <c r="X297" s="7"/>
      <c r="Y297" s="7"/>
      <c r="Z297" s="7"/>
      <c r="AA297" s="7"/>
      <c r="AB297" s="7">
        <v>639498453</v>
      </c>
      <c r="AC297" s="7"/>
      <c r="AD297" s="7"/>
      <c r="AE297" s="7"/>
      <c r="AF297" s="7">
        <v>71250</v>
      </c>
      <c r="AG297" s="7"/>
      <c r="AH297" s="7"/>
      <c r="AI297" s="7"/>
      <c r="AJ297" s="7">
        <v>655034650</v>
      </c>
    </row>
    <row r="298" spans="1:36" x14ac:dyDescent="0.25">
      <c r="A298" s="3">
        <v>41944</v>
      </c>
      <c r="B298" s="7"/>
      <c r="C298" s="7">
        <v>1559812</v>
      </c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>
        <v>3650000</v>
      </c>
      <c r="S298" s="7"/>
      <c r="T298" s="7">
        <v>256450</v>
      </c>
      <c r="U298" s="7"/>
      <c r="V298" s="7"/>
      <c r="W298" s="7">
        <v>7292689</v>
      </c>
      <c r="X298" s="7"/>
      <c r="Y298" s="7"/>
      <c r="Z298" s="7"/>
      <c r="AA298" s="7"/>
      <c r="AB298" s="7">
        <v>560187979</v>
      </c>
      <c r="AC298" s="7"/>
      <c r="AD298" s="7"/>
      <c r="AE298" s="7"/>
      <c r="AF298" s="7">
        <v>268850</v>
      </c>
      <c r="AG298" s="7"/>
      <c r="AH298" s="7"/>
      <c r="AI298" s="7"/>
      <c r="AJ298" s="7">
        <v>573215780</v>
      </c>
    </row>
    <row r="299" spans="1:36" x14ac:dyDescent="0.25">
      <c r="A299" s="3">
        <v>41974</v>
      </c>
      <c r="B299" s="7"/>
      <c r="C299" s="7">
        <v>894350</v>
      </c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>
        <v>3389025</v>
      </c>
      <c r="S299" s="7"/>
      <c r="T299" s="7">
        <v>248160</v>
      </c>
      <c r="U299" s="7">
        <v>375725</v>
      </c>
      <c r="V299" s="7"/>
      <c r="W299" s="7">
        <v>6293998</v>
      </c>
      <c r="X299" s="7"/>
      <c r="Y299" s="7"/>
      <c r="Z299" s="7"/>
      <c r="AA299" s="7"/>
      <c r="AB299" s="7">
        <v>487202509</v>
      </c>
      <c r="AC299" s="7"/>
      <c r="AD299" s="7"/>
      <c r="AE299" s="7"/>
      <c r="AF299" s="7">
        <v>797382</v>
      </c>
      <c r="AG299" s="7"/>
      <c r="AH299" s="7"/>
      <c r="AI299" s="7"/>
      <c r="AJ299" s="7">
        <v>499201149</v>
      </c>
    </row>
    <row r="300" spans="1:36" x14ac:dyDescent="0.25">
      <c r="A300" s="3">
        <v>42005</v>
      </c>
      <c r="B300" s="7"/>
      <c r="C300" s="7">
        <v>289750</v>
      </c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>
        <v>3447040</v>
      </c>
      <c r="S300" s="7"/>
      <c r="T300" s="7"/>
      <c r="U300" s="7"/>
      <c r="V300" s="7"/>
      <c r="W300" s="7">
        <v>6049411</v>
      </c>
      <c r="X300" s="7"/>
      <c r="Y300" s="7"/>
      <c r="Z300" s="7"/>
      <c r="AA300" s="7"/>
      <c r="AB300" s="7">
        <v>457613363</v>
      </c>
      <c r="AC300" s="7"/>
      <c r="AD300" s="7"/>
      <c r="AE300" s="7"/>
      <c r="AF300" s="7">
        <v>756408</v>
      </c>
      <c r="AG300" s="7"/>
      <c r="AH300" s="7"/>
      <c r="AI300" s="7"/>
      <c r="AJ300" s="7">
        <v>468155972</v>
      </c>
    </row>
    <row r="301" spans="1:36" x14ac:dyDescent="0.25">
      <c r="A301" s="3">
        <v>42036</v>
      </c>
      <c r="B301" s="7"/>
      <c r="C301" s="7">
        <v>912072</v>
      </c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>
        <v>4464453</v>
      </c>
      <c r="S301" s="7"/>
      <c r="T301" s="7"/>
      <c r="U301" s="7"/>
      <c r="V301" s="7"/>
      <c r="W301" s="7">
        <v>5750135</v>
      </c>
      <c r="X301" s="7"/>
      <c r="Y301" s="7"/>
      <c r="Z301" s="7"/>
      <c r="AA301" s="7"/>
      <c r="AB301" s="7">
        <v>490798656</v>
      </c>
      <c r="AC301" s="7"/>
      <c r="AD301" s="7"/>
      <c r="AE301" s="7"/>
      <c r="AF301" s="7">
        <v>703475</v>
      </c>
      <c r="AG301" s="7"/>
      <c r="AH301" s="7"/>
      <c r="AI301" s="7"/>
      <c r="AJ301" s="7">
        <v>502628791</v>
      </c>
    </row>
    <row r="302" spans="1:36" x14ac:dyDescent="0.25">
      <c r="A302" s="3">
        <v>42064</v>
      </c>
      <c r="B302" s="7"/>
      <c r="C302" s="7">
        <v>180500</v>
      </c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>
        <v>2455482</v>
      </c>
      <c r="S302" s="7"/>
      <c r="T302" s="7"/>
      <c r="U302" s="7"/>
      <c r="V302" s="7"/>
      <c r="W302" s="7">
        <v>4730894</v>
      </c>
      <c r="X302" s="7"/>
      <c r="Y302" s="7">
        <v>106400</v>
      </c>
      <c r="Z302" s="7"/>
      <c r="AA302" s="7"/>
      <c r="AB302" s="7">
        <v>366605210</v>
      </c>
      <c r="AC302" s="7"/>
      <c r="AD302" s="7"/>
      <c r="AE302" s="7"/>
      <c r="AF302" s="7">
        <v>653061</v>
      </c>
      <c r="AG302" s="7"/>
      <c r="AH302" s="7"/>
      <c r="AI302" s="7"/>
      <c r="AJ302" s="7">
        <v>374731547</v>
      </c>
    </row>
    <row r="303" spans="1:36" x14ac:dyDescent="0.25">
      <c r="A303" s="3">
        <v>42095</v>
      </c>
      <c r="B303" s="7"/>
      <c r="C303" s="7">
        <v>259825</v>
      </c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>
        <v>4956310</v>
      </c>
      <c r="S303" s="7"/>
      <c r="T303" s="7">
        <v>355000</v>
      </c>
      <c r="U303" s="7"/>
      <c r="V303" s="7"/>
      <c r="W303" s="7">
        <v>5697375</v>
      </c>
      <c r="X303" s="7"/>
      <c r="Y303" s="7"/>
      <c r="Z303" s="7"/>
      <c r="AA303" s="7"/>
      <c r="AB303" s="7">
        <v>378056467</v>
      </c>
      <c r="AC303" s="7"/>
      <c r="AD303" s="7"/>
      <c r="AE303" s="7"/>
      <c r="AF303" s="7">
        <v>850246</v>
      </c>
      <c r="AG303" s="7"/>
      <c r="AH303" s="7"/>
      <c r="AI303" s="7"/>
      <c r="AJ303" s="7">
        <v>390175223</v>
      </c>
    </row>
    <row r="304" spans="1:36" x14ac:dyDescent="0.25">
      <c r="A304" s="3">
        <v>42125</v>
      </c>
      <c r="B304" s="7"/>
      <c r="C304" s="7">
        <v>514805</v>
      </c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>
        <v>6721918</v>
      </c>
      <c r="S304" s="7"/>
      <c r="T304" s="7">
        <v>356295</v>
      </c>
      <c r="U304" s="7"/>
      <c r="V304" s="7"/>
      <c r="W304" s="7">
        <v>8350745</v>
      </c>
      <c r="X304" s="7"/>
      <c r="Y304" s="7"/>
      <c r="Z304" s="7"/>
      <c r="AA304" s="7"/>
      <c r="AB304" s="7">
        <v>545912538</v>
      </c>
      <c r="AC304" s="7"/>
      <c r="AD304" s="7"/>
      <c r="AE304" s="7"/>
      <c r="AF304" s="7">
        <v>638875</v>
      </c>
      <c r="AG304" s="7"/>
      <c r="AH304" s="7">
        <v>280250</v>
      </c>
      <c r="AI304" s="7"/>
      <c r="AJ304" s="7">
        <v>562775426</v>
      </c>
    </row>
    <row r="305" spans="1:36" x14ac:dyDescent="0.25">
      <c r="A305" s="3">
        <v>42156</v>
      </c>
      <c r="B305" s="7"/>
      <c r="C305" s="7">
        <v>617870</v>
      </c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>
        <v>6956675</v>
      </c>
      <c r="S305" s="7"/>
      <c r="T305" s="7"/>
      <c r="U305" s="7">
        <v>85975</v>
      </c>
      <c r="V305" s="7"/>
      <c r="W305" s="7">
        <v>7095143</v>
      </c>
      <c r="X305" s="7"/>
      <c r="Y305" s="7"/>
      <c r="Z305" s="7"/>
      <c r="AA305" s="7"/>
      <c r="AB305" s="7">
        <v>615845021</v>
      </c>
      <c r="AC305" s="7"/>
      <c r="AD305" s="7"/>
      <c r="AE305" s="7"/>
      <c r="AF305" s="7">
        <v>774436</v>
      </c>
      <c r="AG305" s="7"/>
      <c r="AH305" s="7"/>
      <c r="AI305" s="7"/>
      <c r="AJ305" s="7">
        <v>631375120</v>
      </c>
    </row>
    <row r="306" spans="1:36" x14ac:dyDescent="0.25">
      <c r="A306" s="3">
        <v>42186</v>
      </c>
      <c r="B306" s="7"/>
      <c r="C306" s="7">
        <v>304030</v>
      </c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>
        <v>12772861</v>
      </c>
      <c r="S306" s="7"/>
      <c r="T306" s="7">
        <v>238450</v>
      </c>
      <c r="U306" s="7"/>
      <c r="V306" s="7"/>
      <c r="W306" s="7">
        <v>9781794</v>
      </c>
      <c r="X306" s="7"/>
      <c r="Y306" s="7"/>
      <c r="Z306" s="7"/>
      <c r="AA306" s="7"/>
      <c r="AB306" s="7">
        <v>648772685</v>
      </c>
      <c r="AC306" s="7"/>
      <c r="AD306" s="7"/>
      <c r="AE306" s="7"/>
      <c r="AF306" s="7">
        <v>1303300</v>
      </c>
      <c r="AG306" s="7"/>
      <c r="AH306" s="7"/>
      <c r="AI306" s="7"/>
      <c r="AJ306" s="7">
        <v>673173120</v>
      </c>
    </row>
    <row r="307" spans="1:36" x14ac:dyDescent="0.25">
      <c r="A307" s="3">
        <v>42217</v>
      </c>
      <c r="B307" s="7"/>
      <c r="C307" s="7">
        <v>1207900</v>
      </c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>
        <v>140859</v>
      </c>
      <c r="O307" s="7"/>
      <c r="P307" s="7"/>
      <c r="Q307" s="7"/>
      <c r="R307" s="7">
        <v>13499233</v>
      </c>
      <c r="S307" s="7"/>
      <c r="T307" s="7">
        <v>746600</v>
      </c>
      <c r="U307" s="7"/>
      <c r="V307" s="7"/>
      <c r="W307" s="7">
        <v>8525786</v>
      </c>
      <c r="X307" s="7"/>
      <c r="Y307" s="7"/>
      <c r="Z307" s="7"/>
      <c r="AA307" s="7"/>
      <c r="AB307" s="7">
        <v>703863730</v>
      </c>
      <c r="AC307" s="7"/>
      <c r="AD307" s="7"/>
      <c r="AE307" s="7">
        <v>65075</v>
      </c>
      <c r="AF307" s="7">
        <v>1032778</v>
      </c>
      <c r="AG307" s="7"/>
      <c r="AH307" s="7"/>
      <c r="AI307" s="7"/>
      <c r="AJ307" s="7">
        <v>729081961</v>
      </c>
    </row>
    <row r="308" spans="1:36" x14ac:dyDescent="0.25">
      <c r="A308" s="3">
        <v>42248</v>
      </c>
      <c r="B308" s="7"/>
      <c r="C308" s="7">
        <v>1081470</v>
      </c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>
        <v>213118</v>
      </c>
      <c r="O308" s="7"/>
      <c r="P308" s="7"/>
      <c r="Q308" s="7"/>
      <c r="R308" s="7">
        <v>13537130</v>
      </c>
      <c r="S308" s="7"/>
      <c r="T308" s="7">
        <v>731805</v>
      </c>
      <c r="U308" s="7"/>
      <c r="V308" s="7"/>
      <c r="W308" s="7">
        <v>8325253</v>
      </c>
      <c r="X308" s="7"/>
      <c r="Y308" s="7"/>
      <c r="Z308" s="7"/>
      <c r="AA308" s="7"/>
      <c r="AB308" s="7">
        <v>643508464</v>
      </c>
      <c r="AC308" s="7"/>
      <c r="AD308" s="7"/>
      <c r="AE308" s="7"/>
      <c r="AF308" s="7">
        <v>1024700</v>
      </c>
      <c r="AG308" s="7"/>
      <c r="AH308" s="7"/>
      <c r="AI308" s="7"/>
      <c r="AJ308" s="7">
        <v>668421940</v>
      </c>
    </row>
    <row r="309" spans="1:36" x14ac:dyDescent="0.25">
      <c r="A309" s="3">
        <v>42278</v>
      </c>
      <c r="B309" s="7"/>
      <c r="C309" s="7">
        <v>528356</v>
      </c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>
        <v>520360</v>
      </c>
      <c r="O309" s="7"/>
      <c r="P309" s="7"/>
      <c r="Q309" s="7"/>
      <c r="R309" s="7">
        <v>14036515</v>
      </c>
      <c r="S309" s="7"/>
      <c r="T309" s="7">
        <v>1223750</v>
      </c>
      <c r="U309" s="7"/>
      <c r="V309" s="7"/>
      <c r="W309" s="7">
        <v>7588399</v>
      </c>
      <c r="X309" s="7"/>
      <c r="Y309" s="7"/>
      <c r="Z309" s="7"/>
      <c r="AA309" s="7"/>
      <c r="AB309" s="7">
        <v>627236514</v>
      </c>
      <c r="AC309" s="7"/>
      <c r="AD309" s="7"/>
      <c r="AE309" s="7"/>
      <c r="AF309" s="7">
        <v>170000</v>
      </c>
      <c r="AG309" s="7"/>
      <c r="AH309" s="7"/>
      <c r="AI309" s="7"/>
      <c r="AJ309" s="7">
        <v>651303894</v>
      </c>
    </row>
    <row r="310" spans="1:36" x14ac:dyDescent="0.25">
      <c r="A310" s="3">
        <v>42309</v>
      </c>
      <c r="B310" s="7"/>
      <c r="C310" s="7">
        <v>155248</v>
      </c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>
        <v>13125823</v>
      </c>
      <c r="S310" s="7"/>
      <c r="T310" s="7">
        <v>185150</v>
      </c>
      <c r="U310" s="7"/>
      <c r="V310" s="7"/>
      <c r="W310" s="7">
        <v>9340279</v>
      </c>
      <c r="X310" s="7"/>
      <c r="Y310" s="7"/>
      <c r="Z310" s="7"/>
      <c r="AA310" s="7"/>
      <c r="AB310" s="7">
        <v>604744583</v>
      </c>
      <c r="AC310" s="7"/>
      <c r="AD310" s="7"/>
      <c r="AE310" s="7"/>
      <c r="AF310" s="7">
        <v>665000</v>
      </c>
      <c r="AG310" s="7"/>
      <c r="AH310" s="7"/>
      <c r="AI310" s="7"/>
      <c r="AJ310" s="7">
        <v>628216083</v>
      </c>
    </row>
    <row r="311" spans="1:36" x14ac:dyDescent="0.25">
      <c r="A311" s="3">
        <v>42339</v>
      </c>
      <c r="B311" s="7"/>
      <c r="C311" s="7">
        <v>164550</v>
      </c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>
        <v>12137095</v>
      </c>
      <c r="S311" s="7"/>
      <c r="T311" s="7">
        <v>1188635</v>
      </c>
      <c r="U311" s="7"/>
      <c r="V311" s="7"/>
      <c r="W311" s="7">
        <v>6451314</v>
      </c>
      <c r="X311" s="7"/>
      <c r="Y311" s="7"/>
      <c r="Z311" s="7"/>
      <c r="AA311" s="7"/>
      <c r="AB311" s="7">
        <v>580889756</v>
      </c>
      <c r="AC311" s="7"/>
      <c r="AD311" s="7"/>
      <c r="AE311" s="7"/>
      <c r="AF311" s="7">
        <v>1458375</v>
      </c>
      <c r="AG311" s="7"/>
      <c r="AH311" s="7"/>
      <c r="AI311" s="7"/>
      <c r="AJ311" s="7">
        <v>602289725</v>
      </c>
    </row>
    <row r="312" spans="1:36" x14ac:dyDescent="0.25">
      <c r="A312" s="3">
        <v>42370</v>
      </c>
      <c r="B312" s="7"/>
      <c r="C312" s="7">
        <v>71799</v>
      </c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>
        <v>13141851</v>
      </c>
      <c r="S312" s="7"/>
      <c r="T312" s="7">
        <v>332928</v>
      </c>
      <c r="U312" s="7"/>
      <c r="V312" s="7"/>
      <c r="W312" s="7">
        <v>5801516</v>
      </c>
      <c r="X312" s="7"/>
      <c r="Y312" s="7"/>
      <c r="Z312" s="7"/>
      <c r="AA312" s="7"/>
      <c r="AB312" s="7">
        <v>494932408</v>
      </c>
      <c r="AC312" s="7"/>
      <c r="AD312" s="7"/>
      <c r="AE312" s="7"/>
      <c r="AF312" s="7">
        <v>199975</v>
      </c>
      <c r="AG312" s="7"/>
      <c r="AH312" s="7">
        <v>194750</v>
      </c>
      <c r="AI312" s="7"/>
      <c r="AJ312" s="7">
        <v>514675227</v>
      </c>
    </row>
    <row r="313" spans="1:36" x14ac:dyDescent="0.25">
      <c r="A313" s="3">
        <v>42401</v>
      </c>
      <c r="B313" s="7"/>
      <c r="C313" s="7">
        <v>581184</v>
      </c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>
        <v>141551</v>
      </c>
      <c r="O313" s="7"/>
      <c r="P313" s="7"/>
      <c r="Q313" s="7"/>
      <c r="R313" s="7">
        <v>13379525</v>
      </c>
      <c r="S313" s="7"/>
      <c r="T313" s="7">
        <v>483850</v>
      </c>
      <c r="U313" s="7"/>
      <c r="V313" s="7"/>
      <c r="W313" s="7">
        <v>7890550</v>
      </c>
      <c r="X313" s="7"/>
      <c r="Y313" s="7"/>
      <c r="Z313" s="7"/>
      <c r="AA313" s="7"/>
      <c r="AB313" s="7">
        <v>575021421</v>
      </c>
      <c r="AC313" s="7"/>
      <c r="AD313" s="7"/>
      <c r="AE313" s="7"/>
      <c r="AF313" s="7">
        <v>1035225</v>
      </c>
      <c r="AG313" s="7"/>
      <c r="AH313" s="7"/>
      <c r="AI313" s="7"/>
      <c r="AJ313" s="7">
        <v>598533306</v>
      </c>
    </row>
    <row r="314" spans="1:36" x14ac:dyDescent="0.25">
      <c r="A314" s="3">
        <v>42430</v>
      </c>
      <c r="B314" s="7"/>
      <c r="C314" s="7">
        <v>412520</v>
      </c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>
        <v>271860</v>
      </c>
      <c r="O314" s="7"/>
      <c r="P314" s="7"/>
      <c r="Q314" s="7"/>
      <c r="R314" s="7">
        <v>10919012</v>
      </c>
      <c r="S314" s="7"/>
      <c r="T314" s="7">
        <v>438653</v>
      </c>
      <c r="U314" s="7"/>
      <c r="V314" s="7"/>
      <c r="W314" s="7">
        <v>3195880</v>
      </c>
      <c r="X314" s="7"/>
      <c r="Y314" s="7"/>
      <c r="Z314" s="7"/>
      <c r="AA314" s="7"/>
      <c r="AB314" s="7">
        <v>281741387</v>
      </c>
      <c r="AC314" s="7"/>
      <c r="AD314" s="7"/>
      <c r="AE314" s="7"/>
      <c r="AF314" s="7">
        <v>1247600</v>
      </c>
      <c r="AG314" s="7"/>
      <c r="AH314" s="7"/>
      <c r="AI314" s="7"/>
      <c r="AJ314" s="7">
        <v>298226912</v>
      </c>
    </row>
    <row r="315" spans="1:36" x14ac:dyDescent="0.25">
      <c r="A315" s="3">
        <v>42461</v>
      </c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>
        <v>2790505</v>
      </c>
      <c r="S315" s="7"/>
      <c r="T315" s="7">
        <v>93100</v>
      </c>
      <c r="U315" s="7"/>
      <c r="V315" s="7"/>
      <c r="W315" s="7">
        <v>404190</v>
      </c>
      <c r="X315" s="7"/>
      <c r="Y315" s="7"/>
      <c r="Z315" s="7"/>
      <c r="AA315" s="7"/>
      <c r="AB315" s="7">
        <v>75486242</v>
      </c>
      <c r="AC315" s="7"/>
      <c r="AD315" s="7"/>
      <c r="AE315" s="7"/>
      <c r="AF315" s="7">
        <v>166250</v>
      </c>
      <c r="AG315" s="7"/>
      <c r="AH315" s="7"/>
      <c r="AI315" s="7"/>
      <c r="AJ315" s="7">
        <v>78940287</v>
      </c>
    </row>
    <row r="316" spans="1:36" x14ac:dyDescent="0.25">
      <c r="A316" s="6" t="s">
        <v>7</v>
      </c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</row>
    <row r="317" spans="1:36" x14ac:dyDescent="0.25">
      <c r="A317" s="6" t="s">
        <v>4</v>
      </c>
      <c r="B317" s="7">
        <v>605078365</v>
      </c>
      <c r="C317" s="7">
        <v>263555229</v>
      </c>
      <c r="D317" s="7">
        <v>99400</v>
      </c>
      <c r="E317" s="7">
        <v>103950</v>
      </c>
      <c r="F317" s="7">
        <v>86991</v>
      </c>
      <c r="G317" s="7">
        <v>313700</v>
      </c>
      <c r="H317" s="7">
        <v>1005610</v>
      </c>
      <c r="I317" s="7">
        <v>95000</v>
      </c>
      <c r="J317" s="7">
        <v>324550</v>
      </c>
      <c r="K317" s="7">
        <v>376545</v>
      </c>
      <c r="L317" s="7">
        <v>310005</v>
      </c>
      <c r="M317" s="7">
        <v>778610</v>
      </c>
      <c r="N317" s="7">
        <v>2572667</v>
      </c>
      <c r="O317" s="7">
        <v>667240</v>
      </c>
      <c r="P317" s="7">
        <v>524945</v>
      </c>
      <c r="Q317" s="7">
        <v>586060</v>
      </c>
      <c r="R317" s="7">
        <v>464677782</v>
      </c>
      <c r="S317" s="7">
        <v>19791625</v>
      </c>
      <c r="T317" s="7">
        <v>41882147</v>
      </c>
      <c r="U317" s="7">
        <v>16468641</v>
      </c>
      <c r="V317" s="7">
        <v>1388400</v>
      </c>
      <c r="W317" s="7">
        <v>1958418175</v>
      </c>
      <c r="X317" s="7">
        <v>121125</v>
      </c>
      <c r="Y317" s="7">
        <v>17782891</v>
      </c>
      <c r="Z317" s="7">
        <v>308750</v>
      </c>
      <c r="AA317" s="7">
        <v>1464057</v>
      </c>
      <c r="AB317" s="7">
        <v>27471106242</v>
      </c>
      <c r="AC317" s="7">
        <v>71250</v>
      </c>
      <c r="AD317" s="7">
        <v>50043845</v>
      </c>
      <c r="AE317" s="7">
        <v>190187</v>
      </c>
      <c r="AF317" s="7">
        <v>275859337</v>
      </c>
      <c r="AG317" s="7">
        <v>2037316</v>
      </c>
      <c r="AH317" s="7">
        <v>1069675</v>
      </c>
      <c r="AI317" s="7"/>
      <c r="AJ317" s="7">
        <v>31199160312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46"/>
  <sheetViews>
    <sheetView topLeftCell="A88" workbookViewId="0">
      <selection activeCell="A88" sqref="A1:C1048576"/>
    </sheetView>
  </sheetViews>
  <sheetFormatPr defaultRowHeight="15" x14ac:dyDescent="0.25"/>
  <cols>
    <col min="1" max="1" width="12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42461</v>
      </c>
      <c r="B2">
        <v>16</v>
      </c>
      <c r="C2">
        <v>2790505</v>
      </c>
    </row>
    <row r="3" spans="1:3" x14ac:dyDescent="0.25">
      <c r="A3" s="1">
        <v>42461</v>
      </c>
      <c r="B3">
        <v>18</v>
      </c>
      <c r="C3">
        <v>93100</v>
      </c>
    </row>
    <row r="4" spans="1:3" x14ac:dyDescent="0.25">
      <c r="A4" s="1">
        <v>42461</v>
      </c>
      <c r="B4">
        <v>25</v>
      </c>
      <c r="C4">
        <v>404190</v>
      </c>
    </row>
    <row r="5" spans="1:3" x14ac:dyDescent="0.25">
      <c r="A5" s="1">
        <v>42461</v>
      </c>
      <c r="B5">
        <v>30</v>
      </c>
      <c r="C5">
        <v>75486242</v>
      </c>
    </row>
    <row r="6" spans="1:3" x14ac:dyDescent="0.25">
      <c r="A6" s="1">
        <v>42461</v>
      </c>
      <c r="B6">
        <v>35</v>
      </c>
      <c r="C6">
        <v>166250</v>
      </c>
    </row>
    <row r="7" spans="1:3" x14ac:dyDescent="0.25">
      <c r="A7" s="1">
        <v>42430</v>
      </c>
      <c r="B7">
        <v>0</v>
      </c>
      <c r="C7">
        <v>412520</v>
      </c>
    </row>
    <row r="8" spans="1:3" x14ac:dyDescent="0.25">
      <c r="A8" s="1">
        <v>42430</v>
      </c>
      <c r="B8">
        <v>12</v>
      </c>
      <c r="C8">
        <v>271860</v>
      </c>
    </row>
    <row r="9" spans="1:3" x14ac:dyDescent="0.25">
      <c r="A9" s="1">
        <v>42430</v>
      </c>
      <c r="B9">
        <v>16</v>
      </c>
      <c r="C9">
        <v>10919012</v>
      </c>
    </row>
    <row r="10" spans="1:3" x14ac:dyDescent="0.25">
      <c r="A10" s="1">
        <v>42430</v>
      </c>
      <c r="B10">
        <v>18</v>
      </c>
      <c r="C10">
        <v>438653</v>
      </c>
    </row>
    <row r="11" spans="1:3" x14ac:dyDescent="0.25">
      <c r="A11" s="1">
        <v>42430</v>
      </c>
      <c r="B11">
        <v>25</v>
      </c>
      <c r="C11">
        <v>3195880</v>
      </c>
    </row>
    <row r="12" spans="1:3" x14ac:dyDescent="0.25">
      <c r="A12" s="1">
        <v>42430</v>
      </c>
      <c r="B12">
        <v>30</v>
      </c>
      <c r="C12">
        <v>281741387</v>
      </c>
    </row>
    <row r="13" spans="1:3" x14ac:dyDescent="0.25">
      <c r="A13" s="1">
        <v>42430</v>
      </c>
      <c r="B13">
        <v>35</v>
      </c>
      <c r="C13">
        <v>1247600</v>
      </c>
    </row>
    <row r="14" spans="1:3" x14ac:dyDescent="0.25">
      <c r="A14" s="1">
        <v>42401</v>
      </c>
      <c r="B14">
        <v>30</v>
      </c>
      <c r="C14">
        <v>274550</v>
      </c>
    </row>
    <row r="15" spans="1:3" x14ac:dyDescent="0.25">
      <c r="A15" s="1">
        <v>42401</v>
      </c>
      <c r="B15">
        <v>0</v>
      </c>
      <c r="C15">
        <v>581184</v>
      </c>
    </row>
    <row r="16" spans="1:3" x14ac:dyDescent="0.25">
      <c r="A16" s="1">
        <v>42401</v>
      </c>
      <c r="B16">
        <v>12</v>
      </c>
      <c r="C16">
        <v>141551</v>
      </c>
    </row>
    <row r="17" spans="1:3" x14ac:dyDescent="0.25">
      <c r="A17" s="1">
        <v>42401</v>
      </c>
      <c r="B17">
        <v>16</v>
      </c>
      <c r="C17">
        <v>13379525</v>
      </c>
    </row>
    <row r="18" spans="1:3" x14ac:dyDescent="0.25">
      <c r="A18" s="1">
        <v>42401</v>
      </c>
      <c r="B18">
        <v>18</v>
      </c>
      <c r="C18">
        <v>483850</v>
      </c>
    </row>
    <row r="19" spans="1:3" x14ac:dyDescent="0.25">
      <c r="A19" s="1">
        <v>42401</v>
      </c>
      <c r="B19">
        <v>25</v>
      </c>
      <c r="C19">
        <v>7890550</v>
      </c>
    </row>
    <row r="20" spans="1:3" x14ac:dyDescent="0.25">
      <c r="A20" s="1">
        <v>42401</v>
      </c>
      <c r="B20">
        <v>30</v>
      </c>
      <c r="C20">
        <v>574746871</v>
      </c>
    </row>
    <row r="21" spans="1:3" x14ac:dyDescent="0.25">
      <c r="A21" s="1">
        <v>42401</v>
      </c>
      <c r="B21">
        <v>35</v>
      </c>
      <c r="C21">
        <v>1035225</v>
      </c>
    </row>
    <row r="22" spans="1:3" x14ac:dyDescent="0.25">
      <c r="A22" s="1">
        <v>42370</v>
      </c>
      <c r="B22">
        <v>0</v>
      </c>
      <c r="C22">
        <v>71799</v>
      </c>
    </row>
    <row r="23" spans="1:3" x14ac:dyDescent="0.25">
      <c r="A23" s="1">
        <v>42370</v>
      </c>
      <c r="B23">
        <v>16</v>
      </c>
      <c r="C23">
        <v>13141851</v>
      </c>
    </row>
    <row r="24" spans="1:3" x14ac:dyDescent="0.25">
      <c r="A24" s="1">
        <v>42370</v>
      </c>
      <c r="B24">
        <v>18</v>
      </c>
      <c r="C24">
        <v>332928</v>
      </c>
    </row>
    <row r="25" spans="1:3" x14ac:dyDescent="0.25">
      <c r="A25" s="1">
        <v>42370</v>
      </c>
      <c r="B25">
        <v>25</v>
      </c>
      <c r="C25">
        <v>5801516</v>
      </c>
    </row>
    <row r="26" spans="1:3" x14ac:dyDescent="0.25">
      <c r="A26" s="1">
        <v>42370</v>
      </c>
      <c r="B26">
        <v>30</v>
      </c>
      <c r="C26">
        <v>494932408</v>
      </c>
    </row>
    <row r="27" spans="1:3" x14ac:dyDescent="0.25">
      <c r="A27" s="1">
        <v>42370</v>
      </c>
      <c r="B27">
        <v>35</v>
      </c>
      <c r="C27">
        <v>199975</v>
      </c>
    </row>
    <row r="28" spans="1:3" x14ac:dyDescent="0.25">
      <c r="A28" s="1">
        <v>42370</v>
      </c>
      <c r="B28">
        <v>40</v>
      </c>
      <c r="C28">
        <v>194750</v>
      </c>
    </row>
    <row r="29" spans="1:3" x14ac:dyDescent="0.25">
      <c r="A29" s="1">
        <v>42339</v>
      </c>
      <c r="B29">
        <v>0</v>
      </c>
      <c r="C29">
        <v>164550</v>
      </c>
    </row>
    <row r="30" spans="1:3" x14ac:dyDescent="0.25">
      <c r="A30" s="1">
        <v>42339</v>
      </c>
      <c r="B30">
        <v>16</v>
      </c>
      <c r="C30">
        <v>12137095</v>
      </c>
    </row>
    <row r="31" spans="1:3" x14ac:dyDescent="0.25">
      <c r="A31" s="1">
        <v>42339</v>
      </c>
      <c r="B31">
        <v>18</v>
      </c>
      <c r="C31">
        <v>1188635</v>
      </c>
    </row>
    <row r="32" spans="1:3" x14ac:dyDescent="0.25">
      <c r="A32" s="1">
        <v>42339</v>
      </c>
      <c r="B32">
        <v>25</v>
      </c>
      <c r="C32">
        <v>6451314</v>
      </c>
    </row>
    <row r="33" spans="1:3" x14ac:dyDescent="0.25">
      <c r="A33" s="1">
        <v>42339</v>
      </c>
      <c r="B33">
        <v>30</v>
      </c>
      <c r="C33">
        <v>580889756</v>
      </c>
    </row>
    <row r="34" spans="1:3" x14ac:dyDescent="0.25">
      <c r="A34" s="1">
        <v>42339</v>
      </c>
      <c r="B34">
        <v>35</v>
      </c>
      <c r="C34">
        <v>1458375</v>
      </c>
    </row>
    <row r="35" spans="1:3" x14ac:dyDescent="0.25">
      <c r="A35" s="1">
        <v>42309</v>
      </c>
      <c r="B35">
        <v>0</v>
      </c>
      <c r="C35">
        <v>155248</v>
      </c>
    </row>
    <row r="36" spans="1:3" x14ac:dyDescent="0.25">
      <c r="A36" s="1">
        <v>42309</v>
      </c>
      <c r="B36">
        <v>16</v>
      </c>
      <c r="C36">
        <v>13125823</v>
      </c>
    </row>
    <row r="37" spans="1:3" x14ac:dyDescent="0.25">
      <c r="A37" s="1">
        <v>42309</v>
      </c>
      <c r="B37">
        <v>18</v>
      </c>
      <c r="C37">
        <v>185150</v>
      </c>
    </row>
    <row r="38" spans="1:3" x14ac:dyDescent="0.25">
      <c r="A38" s="1">
        <v>42309</v>
      </c>
      <c r="B38">
        <v>25</v>
      </c>
      <c r="C38">
        <v>9340279</v>
      </c>
    </row>
    <row r="39" spans="1:3" x14ac:dyDescent="0.25">
      <c r="A39" s="1">
        <v>42309</v>
      </c>
      <c r="B39">
        <v>30</v>
      </c>
      <c r="C39">
        <v>604744583</v>
      </c>
    </row>
    <row r="40" spans="1:3" x14ac:dyDescent="0.25">
      <c r="A40" s="1">
        <v>42309</v>
      </c>
      <c r="B40">
        <v>35</v>
      </c>
      <c r="C40">
        <v>665000</v>
      </c>
    </row>
    <row r="41" spans="1:3" x14ac:dyDescent="0.25">
      <c r="A41" s="1">
        <v>42278</v>
      </c>
      <c r="B41">
        <v>30</v>
      </c>
      <c r="C41">
        <v>123500</v>
      </c>
    </row>
    <row r="42" spans="1:3" x14ac:dyDescent="0.25">
      <c r="A42" s="1">
        <v>42278</v>
      </c>
      <c r="B42">
        <v>0</v>
      </c>
      <c r="C42">
        <v>528356</v>
      </c>
    </row>
    <row r="43" spans="1:3" x14ac:dyDescent="0.25">
      <c r="A43" s="1">
        <v>42278</v>
      </c>
      <c r="B43">
        <v>12</v>
      </c>
      <c r="C43">
        <v>520360</v>
      </c>
    </row>
    <row r="44" spans="1:3" x14ac:dyDescent="0.25">
      <c r="A44" s="1">
        <v>42278</v>
      </c>
      <c r="B44">
        <v>16</v>
      </c>
      <c r="C44">
        <v>14036515</v>
      </c>
    </row>
    <row r="45" spans="1:3" x14ac:dyDescent="0.25">
      <c r="A45" s="1">
        <v>42278</v>
      </c>
      <c r="B45">
        <v>18</v>
      </c>
      <c r="C45">
        <v>1223750</v>
      </c>
    </row>
    <row r="46" spans="1:3" x14ac:dyDescent="0.25">
      <c r="A46" s="1">
        <v>42278</v>
      </c>
      <c r="B46">
        <v>25</v>
      </c>
      <c r="C46">
        <v>7588399</v>
      </c>
    </row>
    <row r="47" spans="1:3" x14ac:dyDescent="0.25">
      <c r="A47" s="1">
        <v>42278</v>
      </c>
      <c r="B47">
        <v>30</v>
      </c>
      <c r="C47">
        <v>627113014</v>
      </c>
    </row>
    <row r="48" spans="1:3" x14ac:dyDescent="0.25">
      <c r="A48" s="1">
        <v>42278</v>
      </c>
      <c r="B48">
        <v>35</v>
      </c>
      <c r="C48">
        <v>170000</v>
      </c>
    </row>
    <row r="49" spans="1:3" x14ac:dyDescent="0.25">
      <c r="A49" s="1">
        <v>42248</v>
      </c>
      <c r="B49">
        <v>0</v>
      </c>
      <c r="C49">
        <v>1081470</v>
      </c>
    </row>
    <row r="50" spans="1:3" x14ac:dyDescent="0.25">
      <c r="A50" s="1">
        <v>42248</v>
      </c>
      <c r="B50">
        <v>12</v>
      </c>
      <c r="C50">
        <v>213118</v>
      </c>
    </row>
    <row r="51" spans="1:3" x14ac:dyDescent="0.25">
      <c r="A51" s="1">
        <v>42248</v>
      </c>
      <c r="B51">
        <v>16</v>
      </c>
      <c r="C51">
        <v>13537130</v>
      </c>
    </row>
    <row r="52" spans="1:3" x14ac:dyDescent="0.25">
      <c r="A52" s="1">
        <v>42248</v>
      </c>
      <c r="B52">
        <v>18</v>
      </c>
      <c r="C52">
        <v>731805</v>
      </c>
    </row>
    <row r="53" spans="1:3" x14ac:dyDescent="0.25">
      <c r="A53" s="1">
        <v>42248</v>
      </c>
      <c r="B53">
        <v>25</v>
      </c>
      <c r="C53">
        <v>8325253</v>
      </c>
    </row>
    <row r="54" spans="1:3" x14ac:dyDescent="0.25">
      <c r="A54" s="1">
        <v>42248</v>
      </c>
      <c r="B54">
        <v>30</v>
      </c>
      <c r="C54">
        <v>643508464</v>
      </c>
    </row>
    <row r="55" spans="1:3" x14ac:dyDescent="0.25">
      <c r="A55" s="1">
        <v>42248</v>
      </c>
      <c r="B55">
        <v>35</v>
      </c>
      <c r="C55">
        <v>1024700</v>
      </c>
    </row>
    <row r="56" spans="1:3" x14ac:dyDescent="0.25">
      <c r="A56" s="1">
        <v>42217</v>
      </c>
      <c r="B56">
        <v>0</v>
      </c>
      <c r="C56">
        <v>1207900</v>
      </c>
    </row>
    <row r="57" spans="1:3" x14ac:dyDescent="0.25">
      <c r="A57" s="1">
        <v>42217</v>
      </c>
      <c r="B57">
        <v>12</v>
      </c>
      <c r="C57">
        <v>140859</v>
      </c>
    </row>
    <row r="58" spans="1:3" x14ac:dyDescent="0.25">
      <c r="A58" s="1">
        <v>42217</v>
      </c>
      <c r="B58">
        <v>16</v>
      </c>
      <c r="C58">
        <v>13499233</v>
      </c>
    </row>
    <row r="59" spans="1:3" x14ac:dyDescent="0.25">
      <c r="A59" s="1">
        <v>42217</v>
      </c>
      <c r="B59">
        <v>18</v>
      </c>
      <c r="C59">
        <v>746600</v>
      </c>
    </row>
    <row r="60" spans="1:3" x14ac:dyDescent="0.25">
      <c r="A60" s="1">
        <v>42217</v>
      </c>
      <c r="B60">
        <v>25</v>
      </c>
      <c r="C60">
        <v>8525786</v>
      </c>
    </row>
    <row r="61" spans="1:3" x14ac:dyDescent="0.25">
      <c r="A61" s="1">
        <v>42217</v>
      </c>
      <c r="B61">
        <v>30</v>
      </c>
      <c r="C61">
        <v>703863730</v>
      </c>
    </row>
    <row r="62" spans="1:3" x14ac:dyDescent="0.25">
      <c r="A62" s="1">
        <v>42217</v>
      </c>
      <c r="B62">
        <v>33</v>
      </c>
      <c r="C62">
        <v>65075</v>
      </c>
    </row>
    <row r="63" spans="1:3" x14ac:dyDescent="0.25">
      <c r="A63" s="1">
        <v>42217</v>
      </c>
      <c r="B63">
        <v>35</v>
      </c>
      <c r="C63">
        <v>1032778</v>
      </c>
    </row>
    <row r="64" spans="1:3" x14ac:dyDescent="0.25">
      <c r="A64" s="1">
        <v>42186</v>
      </c>
      <c r="B64">
        <v>0</v>
      </c>
      <c r="C64">
        <v>304030</v>
      </c>
    </row>
    <row r="65" spans="1:3" x14ac:dyDescent="0.25">
      <c r="A65" s="1">
        <v>42186</v>
      </c>
      <c r="B65">
        <v>16</v>
      </c>
      <c r="C65">
        <v>12772861</v>
      </c>
    </row>
    <row r="66" spans="1:3" x14ac:dyDescent="0.25">
      <c r="A66" s="1">
        <v>42186</v>
      </c>
      <c r="B66">
        <v>18</v>
      </c>
      <c r="C66">
        <v>238450</v>
      </c>
    </row>
    <row r="67" spans="1:3" x14ac:dyDescent="0.25">
      <c r="A67" s="1">
        <v>42186</v>
      </c>
      <c r="B67">
        <v>25</v>
      </c>
      <c r="C67">
        <v>9781794</v>
      </c>
    </row>
    <row r="68" spans="1:3" x14ac:dyDescent="0.25">
      <c r="A68" s="1">
        <v>42186</v>
      </c>
      <c r="B68">
        <v>30</v>
      </c>
      <c r="C68">
        <v>648772685</v>
      </c>
    </row>
    <row r="69" spans="1:3" x14ac:dyDescent="0.25">
      <c r="A69" s="1">
        <v>42186</v>
      </c>
      <c r="B69">
        <v>35</v>
      </c>
      <c r="C69">
        <v>1303300</v>
      </c>
    </row>
    <row r="70" spans="1:3" x14ac:dyDescent="0.25">
      <c r="A70" s="1">
        <v>42156</v>
      </c>
      <c r="B70">
        <v>0</v>
      </c>
      <c r="C70">
        <v>617870</v>
      </c>
    </row>
    <row r="71" spans="1:3" x14ac:dyDescent="0.25">
      <c r="A71" s="1">
        <v>42156</v>
      </c>
      <c r="B71">
        <v>16</v>
      </c>
      <c r="C71">
        <v>6956675</v>
      </c>
    </row>
    <row r="72" spans="1:3" x14ac:dyDescent="0.25">
      <c r="A72" s="1">
        <v>42156</v>
      </c>
      <c r="B72">
        <v>20</v>
      </c>
      <c r="C72">
        <v>85975</v>
      </c>
    </row>
    <row r="73" spans="1:3" x14ac:dyDescent="0.25">
      <c r="A73" s="1">
        <v>42156</v>
      </c>
      <c r="B73">
        <v>25</v>
      </c>
      <c r="C73">
        <v>7095143</v>
      </c>
    </row>
    <row r="74" spans="1:3" x14ac:dyDescent="0.25">
      <c r="A74" s="1">
        <v>42156</v>
      </c>
      <c r="B74">
        <v>30</v>
      </c>
      <c r="C74">
        <v>615845021</v>
      </c>
    </row>
    <row r="75" spans="1:3" x14ac:dyDescent="0.25">
      <c r="A75" s="1">
        <v>42156</v>
      </c>
      <c r="B75">
        <v>35</v>
      </c>
      <c r="C75">
        <v>774436</v>
      </c>
    </row>
    <row r="76" spans="1:3" x14ac:dyDescent="0.25">
      <c r="A76" s="1">
        <v>42125</v>
      </c>
      <c r="B76">
        <v>0</v>
      </c>
      <c r="C76">
        <v>514805</v>
      </c>
    </row>
    <row r="77" spans="1:3" x14ac:dyDescent="0.25">
      <c r="A77" s="1">
        <v>42125</v>
      </c>
      <c r="B77">
        <v>16</v>
      </c>
      <c r="C77">
        <v>6721918</v>
      </c>
    </row>
    <row r="78" spans="1:3" x14ac:dyDescent="0.25">
      <c r="A78" s="1">
        <v>42125</v>
      </c>
      <c r="B78">
        <v>18</v>
      </c>
      <c r="C78">
        <v>356295</v>
      </c>
    </row>
    <row r="79" spans="1:3" x14ac:dyDescent="0.25">
      <c r="A79" s="1">
        <v>42125</v>
      </c>
      <c r="B79">
        <v>25</v>
      </c>
      <c r="C79">
        <v>8350745</v>
      </c>
    </row>
    <row r="80" spans="1:3" x14ac:dyDescent="0.25">
      <c r="A80" s="1">
        <v>42125</v>
      </c>
      <c r="B80">
        <v>30</v>
      </c>
      <c r="C80">
        <v>545912538</v>
      </c>
    </row>
    <row r="81" spans="1:3" x14ac:dyDescent="0.25">
      <c r="A81" s="1">
        <v>42125</v>
      </c>
      <c r="B81">
        <v>35</v>
      </c>
      <c r="C81">
        <v>638875</v>
      </c>
    </row>
    <row r="82" spans="1:3" x14ac:dyDescent="0.25">
      <c r="A82" s="1">
        <v>42125</v>
      </c>
      <c r="B82">
        <v>40</v>
      </c>
      <c r="C82">
        <v>280250</v>
      </c>
    </row>
    <row r="83" spans="1:3" x14ac:dyDescent="0.25">
      <c r="A83" s="1">
        <v>42095</v>
      </c>
      <c r="B83">
        <v>0</v>
      </c>
      <c r="C83">
        <v>259825</v>
      </c>
    </row>
    <row r="84" spans="1:3" x14ac:dyDescent="0.25">
      <c r="A84" s="1">
        <v>42095</v>
      </c>
      <c r="B84">
        <v>16</v>
      </c>
      <c r="C84">
        <v>4956310</v>
      </c>
    </row>
    <row r="85" spans="1:3" x14ac:dyDescent="0.25">
      <c r="A85" s="1">
        <v>42095</v>
      </c>
      <c r="B85">
        <v>18</v>
      </c>
      <c r="C85">
        <v>355000</v>
      </c>
    </row>
    <row r="86" spans="1:3" x14ac:dyDescent="0.25">
      <c r="A86" s="1">
        <v>42095</v>
      </c>
      <c r="B86">
        <v>25</v>
      </c>
      <c r="C86">
        <v>5697375</v>
      </c>
    </row>
    <row r="87" spans="1:3" x14ac:dyDescent="0.25">
      <c r="A87" s="1">
        <v>42095</v>
      </c>
      <c r="B87">
        <v>30</v>
      </c>
      <c r="C87">
        <v>378056467</v>
      </c>
    </row>
    <row r="88" spans="1:3" x14ac:dyDescent="0.25">
      <c r="A88" s="1">
        <v>42095</v>
      </c>
      <c r="B88">
        <v>35</v>
      </c>
      <c r="C88">
        <v>850246</v>
      </c>
    </row>
    <row r="89" spans="1:3" x14ac:dyDescent="0.25">
      <c r="A89" s="1">
        <v>42064</v>
      </c>
      <c r="B89">
        <v>0</v>
      </c>
      <c r="C89">
        <v>180500</v>
      </c>
    </row>
    <row r="90" spans="1:3" x14ac:dyDescent="0.25">
      <c r="A90" s="1">
        <v>42064</v>
      </c>
      <c r="B90">
        <v>16</v>
      </c>
      <c r="C90">
        <v>2455482</v>
      </c>
    </row>
    <row r="91" spans="1:3" x14ac:dyDescent="0.25">
      <c r="A91" s="1">
        <v>42064</v>
      </c>
      <c r="B91">
        <v>25</v>
      </c>
      <c r="C91">
        <v>4730894</v>
      </c>
    </row>
    <row r="92" spans="1:3" x14ac:dyDescent="0.25">
      <c r="A92" s="1">
        <v>42064</v>
      </c>
      <c r="B92">
        <v>27</v>
      </c>
      <c r="C92">
        <v>106400</v>
      </c>
    </row>
    <row r="93" spans="1:3" x14ac:dyDescent="0.25">
      <c r="A93" s="1">
        <v>42064</v>
      </c>
      <c r="B93">
        <v>30</v>
      </c>
      <c r="C93">
        <v>366605210</v>
      </c>
    </row>
    <row r="94" spans="1:3" x14ac:dyDescent="0.25">
      <c r="A94" s="1">
        <v>42064</v>
      </c>
      <c r="B94">
        <v>35</v>
      </c>
      <c r="C94">
        <v>653061</v>
      </c>
    </row>
    <row r="95" spans="1:3" x14ac:dyDescent="0.25">
      <c r="A95" s="1">
        <v>42036</v>
      </c>
      <c r="B95">
        <v>30</v>
      </c>
      <c r="C95">
        <v>186200</v>
      </c>
    </row>
    <row r="96" spans="1:3" x14ac:dyDescent="0.25">
      <c r="A96" s="1">
        <v>42036</v>
      </c>
      <c r="B96">
        <v>0</v>
      </c>
      <c r="C96">
        <v>912072</v>
      </c>
    </row>
    <row r="97" spans="1:3" x14ac:dyDescent="0.25">
      <c r="A97" s="1">
        <v>42036</v>
      </c>
      <c r="B97">
        <v>16</v>
      </c>
      <c r="C97">
        <v>4464453</v>
      </c>
    </row>
    <row r="98" spans="1:3" x14ac:dyDescent="0.25">
      <c r="A98" s="1">
        <v>42036</v>
      </c>
      <c r="B98">
        <v>25</v>
      </c>
      <c r="C98">
        <v>5750135</v>
      </c>
    </row>
    <row r="99" spans="1:3" x14ac:dyDescent="0.25">
      <c r="A99" s="1">
        <v>42036</v>
      </c>
      <c r="B99">
        <v>30</v>
      </c>
      <c r="C99">
        <v>490612456</v>
      </c>
    </row>
    <row r="100" spans="1:3" x14ac:dyDescent="0.25">
      <c r="A100" s="1">
        <v>42036</v>
      </c>
      <c r="B100">
        <v>35</v>
      </c>
      <c r="C100">
        <v>703475</v>
      </c>
    </row>
    <row r="101" spans="1:3" x14ac:dyDescent="0.25">
      <c r="A101" s="1">
        <v>42005</v>
      </c>
      <c r="B101">
        <v>0</v>
      </c>
      <c r="C101">
        <v>289750</v>
      </c>
    </row>
    <row r="102" spans="1:3" x14ac:dyDescent="0.25">
      <c r="A102" s="1">
        <v>42005</v>
      </c>
      <c r="B102">
        <v>16</v>
      </c>
      <c r="C102">
        <v>3447040</v>
      </c>
    </row>
    <row r="103" spans="1:3" x14ac:dyDescent="0.25">
      <c r="A103" s="1">
        <v>42005</v>
      </c>
      <c r="B103">
        <v>25</v>
      </c>
      <c r="C103">
        <v>6049411</v>
      </c>
    </row>
    <row r="104" spans="1:3" x14ac:dyDescent="0.25">
      <c r="A104" s="1">
        <v>42005</v>
      </c>
      <c r="B104">
        <v>30</v>
      </c>
      <c r="C104">
        <v>457613363</v>
      </c>
    </row>
    <row r="105" spans="1:3" x14ac:dyDescent="0.25">
      <c r="A105" s="1">
        <v>42005</v>
      </c>
      <c r="B105">
        <v>35</v>
      </c>
      <c r="C105">
        <v>756408</v>
      </c>
    </row>
    <row r="106" spans="1:3" x14ac:dyDescent="0.25">
      <c r="A106" s="1">
        <v>41974</v>
      </c>
      <c r="B106">
        <v>16</v>
      </c>
      <c r="C106">
        <v>90000</v>
      </c>
    </row>
    <row r="107" spans="1:3" x14ac:dyDescent="0.25">
      <c r="A107" s="1">
        <v>41974</v>
      </c>
      <c r="B107">
        <v>0</v>
      </c>
      <c r="C107">
        <v>894350</v>
      </c>
    </row>
    <row r="108" spans="1:3" x14ac:dyDescent="0.25">
      <c r="A108" s="1">
        <v>41974</v>
      </c>
      <c r="B108">
        <v>16</v>
      </c>
      <c r="C108">
        <v>3299025</v>
      </c>
    </row>
    <row r="109" spans="1:3" x14ac:dyDescent="0.25">
      <c r="A109" s="1">
        <v>41974</v>
      </c>
      <c r="B109">
        <v>18</v>
      </c>
      <c r="C109">
        <v>248160</v>
      </c>
    </row>
    <row r="110" spans="1:3" x14ac:dyDescent="0.25">
      <c r="A110" s="1">
        <v>41974</v>
      </c>
      <c r="B110">
        <v>20</v>
      </c>
      <c r="C110">
        <v>375725</v>
      </c>
    </row>
    <row r="111" spans="1:3" x14ac:dyDescent="0.25">
      <c r="A111" s="1">
        <v>41974</v>
      </c>
      <c r="B111">
        <v>25</v>
      </c>
      <c r="C111">
        <v>6293998</v>
      </c>
    </row>
    <row r="112" spans="1:3" x14ac:dyDescent="0.25">
      <c r="A112" s="1">
        <v>41974</v>
      </c>
      <c r="B112">
        <v>30</v>
      </c>
      <c r="C112">
        <v>487202509</v>
      </c>
    </row>
    <row r="113" spans="1:3" x14ac:dyDescent="0.25">
      <c r="A113" s="1">
        <v>41974</v>
      </c>
      <c r="B113">
        <v>35</v>
      </c>
      <c r="C113">
        <v>797382</v>
      </c>
    </row>
    <row r="114" spans="1:3" x14ac:dyDescent="0.25">
      <c r="A114" s="1">
        <v>41944</v>
      </c>
      <c r="B114">
        <v>0</v>
      </c>
      <c r="C114">
        <v>1559812</v>
      </c>
    </row>
    <row r="115" spans="1:3" x14ac:dyDescent="0.25">
      <c r="A115" s="1">
        <v>41944</v>
      </c>
      <c r="B115">
        <v>16</v>
      </c>
      <c r="C115">
        <v>3650000</v>
      </c>
    </row>
    <row r="116" spans="1:3" x14ac:dyDescent="0.25">
      <c r="A116" s="1">
        <v>41944</v>
      </c>
      <c r="B116">
        <v>18</v>
      </c>
      <c r="C116">
        <v>256450</v>
      </c>
    </row>
    <row r="117" spans="1:3" x14ac:dyDescent="0.25">
      <c r="A117" s="1">
        <v>41944</v>
      </c>
      <c r="B117">
        <v>25</v>
      </c>
      <c r="C117">
        <v>7292689</v>
      </c>
    </row>
    <row r="118" spans="1:3" x14ac:dyDescent="0.25">
      <c r="A118" s="1">
        <v>41944</v>
      </c>
      <c r="B118">
        <v>30</v>
      </c>
      <c r="C118">
        <v>560187979</v>
      </c>
    </row>
    <row r="119" spans="1:3" x14ac:dyDescent="0.25">
      <c r="A119" s="1">
        <v>41944</v>
      </c>
      <c r="B119">
        <v>35</v>
      </c>
      <c r="C119">
        <v>268850</v>
      </c>
    </row>
    <row r="120" spans="1:3" x14ac:dyDescent="0.25">
      <c r="A120" s="1">
        <v>41913</v>
      </c>
      <c r="B120">
        <v>0</v>
      </c>
      <c r="C120">
        <v>1873926</v>
      </c>
    </row>
    <row r="121" spans="1:3" x14ac:dyDescent="0.25">
      <c r="A121" s="1">
        <v>41913</v>
      </c>
      <c r="B121">
        <v>16</v>
      </c>
      <c r="C121">
        <v>4086648</v>
      </c>
    </row>
    <row r="122" spans="1:3" x14ac:dyDescent="0.25">
      <c r="A122" s="1">
        <v>41913</v>
      </c>
      <c r="B122">
        <v>18</v>
      </c>
      <c r="C122">
        <v>501600</v>
      </c>
    </row>
    <row r="123" spans="1:3" x14ac:dyDescent="0.25">
      <c r="A123" s="1">
        <v>41913</v>
      </c>
      <c r="B123">
        <v>25</v>
      </c>
      <c r="C123">
        <v>9002773</v>
      </c>
    </row>
    <row r="124" spans="1:3" x14ac:dyDescent="0.25">
      <c r="A124" s="1">
        <v>41913</v>
      </c>
      <c r="B124">
        <v>30</v>
      </c>
      <c r="C124">
        <v>639498453</v>
      </c>
    </row>
    <row r="125" spans="1:3" x14ac:dyDescent="0.25">
      <c r="A125" s="1">
        <v>41913</v>
      </c>
      <c r="B125">
        <v>35</v>
      </c>
      <c r="C125">
        <v>71250</v>
      </c>
    </row>
    <row r="126" spans="1:3" x14ac:dyDescent="0.25">
      <c r="A126" s="1">
        <v>41883</v>
      </c>
      <c r="B126">
        <v>30</v>
      </c>
      <c r="C126">
        <v>94050</v>
      </c>
    </row>
    <row r="127" spans="1:3" x14ac:dyDescent="0.25">
      <c r="A127" s="1">
        <v>41883</v>
      </c>
      <c r="B127">
        <v>0</v>
      </c>
      <c r="C127">
        <v>857737</v>
      </c>
    </row>
    <row r="128" spans="1:3" x14ac:dyDescent="0.25">
      <c r="A128" s="1">
        <v>41883</v>
      </c>
      <c r="B128">
        <v>16</v>
      </c>
      <c r="C128">
        <v>4697700</v>
      </c>
    </row>
    <row r="129" spans="1:3" x14ac:dyDescent="0.25">
      <c r="A129" s="1">
        <v>41883</v>
      </c>
      <c r="B129">
        <v>18</v>
      </c>
      <c r="C129">
        <v>309700</v>
      </c>
    </row>
    <row r="130" spans="1:3" x14ac:dyDescent="0.25">
      <c r="A130" s="1">
        <v>41883</v>
      </c>
      <c r="B130">
        <v>25</v>
      </c>
      <c r="C130">
        <v>8514380</v>
      </c>
    </row>
    <row r="131" spans="1:3" x14ac:dyDescent="0.25">
      <c r="A131" s="1">
        <v>41883</v>
      </c>
      <c r="B131">
        <v>30</v>
      </c>
      <c r="C131">
        <v>655791772</v>
      </c>
    </row>
    <row r="132" spans="1:3" x14ac:dyDescent="0.25">
      <c r="A132" s="1">
        <v>41883</v>
      </c>
      <c r="B132">
        <v>35</v>
      </c>
      <c r="C132">
        <v>404842</v>
      </c>
    </row>
    <row r="133" spans="1:3" x14ac:dyDescent="0.25">
      <c r="A133" s="1">
        <v>41852</v>
      </c>
      <c r="B133">
        <v>0</v>
      </c>
      <c r="C133">
        <v>2097982</v>
      </c>
    </row>
    <row r="134" spans="1:3" x14ac:dyDescent="0.25">
      <c r="A134" s="1">
        <v>41852</v>
      </c>
      <c r="B134">
        <v>12</v>
      </c>
      <c r="C134">
        <v>140808</v>
      </c>
    </row>
    <row r="135" spans="1:3" x14ac:dyDescent="0.25">
      <c r="A135" s="1">
        <v>41852</v>
      </c>
      <c r="B135">
        <v>16</v>
      </c>
      <c r="C135">
        <v>3763455</v>
      </c>
    </row>
    <row r="136" spans="1:3" x14ac:dyDescent="0.25">
      <c r="A136" s="1">
        <v>41852</v>
      </c>
      <c r="B136">
        <v>18</v>
      </c>
      <c r="C136">
        <v>527152</v>
      </c>
    </row>
    <row r="137" spans="1:3" x14ac:dyDescent="0.25">
      <c r="A137" s="1">
        <v>41852</v>
      </c>
      <c r="B137">
        <v>25</v>
      </c>
      <c r="C137">
        <v>10445940</v>
      </c>
    </row>
    <row r="138" spans="1:3" x14ac:dyDescent="0.25">
      <c r="A138" s="1">
        <v>41852</v>
      </c>
      <c r="B138">
        <v>30</v>
      </c>
      <c r="C138">
        <v>688636061</v>
      </c>
    </row>
    <row r="139" spans="1:3" x14ac:dyDescent="0.25">
      <c r="A139" s="1">
        <v>41852</v>
      </c>
      <c r="B139">
        <v>32</v>
      </c>
      <c r="C139">
        <v>74575</v>
      </c>
    </row>
    <row r="140" spans="1:3" x14ac:dyDescent="0.25">
      <c r="A140" s="1">
        <v>41852</v>
      </c>
      <c r="B140">
        <v>35</v>
      </c>
      <c r="C140">
        <v>1011741</v>
      </c>
    </row>
    <row r="141" spans="1:3" x14ac:dyDescent="0.25">
      <c r="A141" s="1">
        <v>41821</v>
      </c>
      <c r="B141">
        <v>0</v>
      </c>
      <c r="C141">
        <v>1037605</v>
      </c>
    </row>
    <row r="142" spans="1:3" x14ac:dyDescent="0.25">
      <c r="A142" s="1">
        <v>41821</v>
      </c>
      <c r="B142">
        <v>16</v>
      </c>
      <c r="C142">
        <v>2986390</v>
      </c>
    </row>
    <row r="143" spans="1:3" x14ac:dyDescent="0.25">
      <c r="A143" s="1">
        <v>41821</v>
      </c>
      <c r="B143">
        <v>25</v>
      </c>
      <c r="C143">
        <v>7479309</v>
      </c>
    </row>
    <row r="144" spans="1:3" x14ac:dyDescent="0.25">
      <c r="A144" s="1">
        <v>41821</v>
      </c>
      <c r="B144">
        <v>30</v>
      </c>
      <c r="C144">
        <v>577991060</v>
      </c>
    </row>
    <row r="145" spans="1:3" x14ac:dyDescent="0.25">
      <c r="A145" s="1">
        <v>41821</v>
      </c>
      <c r="B145">
        <v>35</v>
      </c>
      <c r="C145">
        <v>260984</v>
      </c>
    </row>
    <row r="146" spans="1:3" x14ac:dyDescent="0.25">
      <c r="A146" s="1">
        <v>41791</v>
      </c>
      <c r="B146">
        <v>0</v>
      </c>
      <c r="C146">
        <v>1831585</v>
      </c>
    </row>
    <row r="147" spans="1:3" x14ac:dyDescent="0.25">
      <c r="A147" s="1">
        <v>41791</v>
      </c>
      <c r="B147">
        <v>16</v>
      </c>
      <c r="C147">
        <v>2287540</v>
      </c>
    </row>
    <row r="148" spans="1:3" x14ac:dyDescent="0.25">
      <c r="A148" s="1">
        <v>41791</v>
      </c>
      <c r="B148">
        <v>18</v>
      </c>
      <c r="C148">
        <v>81700</v>
      </c>
    </row>
    <row r="149" spans="1:3" x14ac:dyDescent="0.25">
      <c r="A149" s="1">
        <v>41791</v>
      </c>
      <c r="B149">
        <v>25</v>
      </c>
      <c r="C149">
        <v>6124291</v>
      </c>
    </row>
    <row r="150" spans="1:3" x14ac:dyDescent="0.25">
      <c r="A150" s="1">
        <v>41791</v>
      </c>
      <c r="B150">
        <v>30</v>
      </c>
      <c r="C150">
        <v>497900395</v>
      </c>
    </row>
    <row r="151" spans="1:3" x14ac:dyDescent="0.25">
      <c r="A151" s="1">
        <v>41791</v>
      </c>
      <c r="B151">
        <v>35</v>
      </c>
      <c r="C151">
        <v>117700</v>
      </c>
    </row>
    <row r="152" spans="1:3" x14ac:dyDescent="0.25">
      <c r="A152" s="1">
        <v>41760</v>
      </c>
      <c r="B152">
        <v>0</v>
      </c>
      <c r="C152">
        <v>1604695</v>
      </c>
    </row>
    <row r="153" spans="1:3" x14ac:dyDescent="0.25">
      <c r="A153" s="1">
        <v>41760</v>
      </c>
      <c r="B153">
        <v>16</v>
      </c>
      <c r="C153">
        <v>2815559</v>
      </c>
    </row>
    <row r="154" spans="1:3" x14ac:dyDescent="0.25">
      <c r="A154" s="1">
        <v>41760</v>
      </c>
      <c r="B154">
        <v>25</v>
      </c>
      <c r="C154">
        <v>7351848</v>
      </c>
    </row>
    <row r="155" spans="1:3" x14ac:dyDescent="0.25">
      <c r="A155" s="1">
        <v>41760</v>
      </c>
      <c r="B155">
        <v>30</v>
      </c>
      <c r="C155">
        <v>426291969</v>
      </c>
    </row>
    <row r="156" spans="1:3" x14ac:dyDescent="0.25">
      <c r="A156" s="1">
        <v>41760</v>
      </c>
      <c r="B156">
        <v>35</v>
      </c>
      <c r="C156">
        <v>553280</v>
      </c>
    </row>
    <row r="157" spans="1:3" x14ac:dyDescent="0.25">
      <c r="A157" s="1">
        <v>41730</v>
      </c>
      <c r="B157">
        <v>0</v>
      </c>
      <c r="C157">
        <v>1005980</v>
      </c>
    </row>
    <row r="158" spans="1:3" x14ac:dyDescent="0.25">
      <c r="A158" s="1">
        <v>41730</v>
      </c>
      <c r="B158">
        <v>16</v>
      </c>
      <c r="C158">
        <v>1184895</v>
      </c>
    </row>
    <row r="159" spans="1:3" x14ac:dyDescent="0.25">
      <c r="A159" s="1">
        <v>41730</v>
      </c>
      <c r="B159">
        <v>25</v>
      </c>
      <c r="C159">
        <v>3408057</v>
      </c>
    </row>
    <row r="160" spans="1:3" x14ac:dyDescent="0.25">
      <c r="A160" s="1">
        <v>41730</v>
      </c>
      <c r="B160">
        <v>30</v>
      </c>
      <c r="C160">
        <v>276561193</v>
      </c>
    </row>
    <row r="161" spans="1:3" x14ac:dyDescent="0.25">
      <c r="A161" s="1">
        <v>41730</v>
      </c>
      <c r="B161">
        <v>35</v>
      </c>
      <c r="C161">
        <v>1060200</v>
      </c>
    </row>
    <row r="162" spans="1:3" x14ac:dyDescent="0.25">
      <c r="A162" s="1">
        <v>41699</v>
      </c>
      <c r="B162">
        <v>0</v>
      </c>
      <c r="C162">
        <v>885818</v>
      </c>
    </row>
    <row r="163" spans="1:3" x14ac:dyDescent="0.25">
      <c r="A163" s="1">
        <v>41699</v>
      </c>
      <c r="B163">
        <v>16</v>
      </c>
      <c r="C163">
        <v>905200</v>
      </c>
    </row>
    <row r="164" spans="1:3" x14ac:dyDescent="0.25">
      <c r="A164" s="1">
        <v>41699</v>
      </c>
      <c r="B164">
        <v>25</v>
      </c>
      <c r="C164">
        <v>4303331</v>
      </c>
    </row>
    <row r="165" spans="1:3" x14ac:dyDescent="0.25">
      <c r="A165" s="1">
        <v>41699</v>
      </c>
      <c r="B165">
        <v>30</v>
      </c>
      <c r="C165">
        <v>245550924</v>
      </c>
    </row>
    <row r="166" spans="1:3" x14ac:dyDescent="0.25">
      <c r="A166" s="1">
        <v>41671</v>
      </c>
      <c r="B166">
        <v>0</v>
      </c>
      <c r="C166">
        <v>2239182</v>
      </c>
    </row>
    <row r="167" spans="1:3" x14ac:dyDescent="0.25">
      <c r="A167" s="1">
        <v>41671</v>
      </c>
      <c r="B167">
        <v>16</v>
      </c>
      <c r="C167">
        <v>726667</v>
      </c>
    </row>
    <row r="168" spans="1:3" x14ac:dyDescent="0.25">
      <c r="A168" s="1">
        <v>41671</v>
      </c>
      <c r="B168">
        <v>25</v>
      </c>
      <c r="C168">
        <v>9951429</v>
      </c>
    </row>
    <row r="169" spans="1:3" x14ac:dyDescent="0.25">
      <c r="A169" s="1">
        <v>41671</v>
      </c>
      <c r="B169">
        <v>30</v>
      </c>
      <c r="C169">
        <v>392553634</v>
      </c>
    </row>
    <row r="170" spans="1:3" x14ac:dyDescent="0.25">
      <c r="A170" s="1">
        <v>41671</v>
      </c>
      <c r="B170">
        <v>35</v>
      </c>
      <c r="C170">
        <v>773442</v>
      </c>
    </row>
    <row r="171" spans="1:3" x14ac:dyDescent="0.25">
      <c r="A171" s="1">
        <v>41640</v>
      </c>
      <c r="B171">
        <v>0</v>
      </c>
      <c r="C171">
        <v>3330336</v>
      </c>
    </row>
    <row r="172" spans="1:3" x14ac:dyDescent="0.25">
      <c r="A172" s="1">
        <v>41640</v>
      </c>
      <c r="B172">
        <v>16</v>
      </c>
      <c r="C172">
        <v>1042293</v>
      </c>
    </row>
    <row r="173" spans="1:3" x14ac:dyDescent="0.25">
      <c r="A173" s="1">
        <v>41640</v>
      </c>
      <c r="B173">
        <v>18</v>
      </c>
      <c r="C173">
        <v>387000</v>
      </c>
    </row>
    <row r="174" spans="1:3" x14ac:dyDescent="0.25">
      <c r="A174" s="1">
        <v>41640</v>
      </c>
      <c r="B174">
        <v>20</v>
      </c>
      <c r="C174">
        <v>125400</v>
      </c>
    </row>
    <row r="175" spans="1:3" x14ac:dyDescent="0.25">
      <c r="A175" s="1">
        <v>41640</v>
      </c>
      <c r="B175">
        <v>25</v>
      </c>
      <c r="C175">
        <v>7735423</v>
      </c>
    </row>
    <row r="176" spans="1:3" x14ac:dyDescent="0.25">
      <c r="A176" s="1">
        <v>41640</v>
      </c>
      <c r="B176">
        <v>30</v>
      </c>
      <c r="C176">
        <v>339001707</v>
      </c>
    </row>
    <row r="177" spans="1:3" x14ac:dyDescent="0.25">
      <c r="A177" s="1">
        <v>41640</v>
      </c>
      <c r="B177">
        <v>35</v>
      </c>
      <c r="C177">
        <v>120175</v>
      </c>
    </row>
    <row r="178" spans="1:3" x14ac:dyDescent="0.25">
      <c r="A178" s="1">
        <v>41609</v>
      </c>
      <c r="B178">
        <v>0</v>
      </c>
      <c r="C178">
        <v>2673854</v>
      </c>
    </row>
    <row r="179" spans="1:3" x14ac:dyDescent="0.25">
      <c r="A179" s="1">
        <v>41609</v>
      </c>
      <c r="B179">
        <v>16</v>
      </c>
      <c r="C179">
        <v>672655</v>
      </c>
    </row>
    <row r="180" spans="1:3" x14ac:dyDescent="0.25">
      <c r="A180" s="1">
        <v>41609</v>
      </c>
      <c r="B180">
        <v>25</v>
      </c>
      <c r="C180">
        <v>6969204</v>
      </c>
    </row>
    <row r="181" spans="1:3" x14ac:dyDescent="0.25">
      <c r="A181" s="1">
        <v>41609</v>
      </c>
      <c r="B181">
        <v>30</v>
      </c>
      <c r="C181">
        <v>327201228</v>
      </c>
    </row>
    <row r="182" spans="1:3" x14ac:dyDescent="0.25">
      <c r="A182" s="1">
        <v>41609</v>
      </c>
      <c r="B182">
        <v>35</v>
      </c>
      <c r="C182">
        <v>338255</v>
      </c>
    </row>
    <row r="183" spans="1:3" x14ac:dyDescent="0.25">
      <c r="A183" s="1">
        <v>41579</v>
      </c>
      <c r="B183">
        <v>0</v>
      </c>
      <c r="C183">
        <v>2407575</v>
      </c>
    </row>
    <row r="184" spans="1:3" x14ac:dyDescent="0.25">
      <c r="A184" s="1">
        <v>41579</v>
      </c>
      <c r="B184">
        <v>16</v>
      </c>
      <c r="C184">
        <v>442700</v>
      </c>
    </row>
    <row r="185" spans="1:3" x14ac:dyDescent="0.25">
      <c r="A185" s="1">
        <v>41579</v>
      </c>
      <c r="B185">
        <v>18</v>
      </c>
      <c r="C185">
        <v>270750</v>
      </c>
    </row>
    <row r="186" spans="1:3" x14ac:dyDescent="0.25">
      <c r="A186" s="1">
        <v>41579</v>
      </c>
      <c r="B186">
        <v>25</v>
      </c>
      <c r="C186">
        <v>7219783</v>
      </c>
    </row>
    <row r="187" spans="1:3" x14ac:dyDescent="0.25">
      <c r="A187" s="1">
        <v>41579</v>
      </c>
      <c r="B187">
        <v>30</v>
      </c>
      <c r="C187">
        <v>296324245</v>
      </c>
    </row>
    <row r="188" spans="1:3" x14ac:dyDescent="0.25">
      <c r="A188" s="1">
        <v>41579</v>
      </c>
      <c r="B188">
        <v>35</v>
      </c>
      <c r="C188">
        <v>885400</v>
      </c>
    </row>
    <row r="189" spans="1:3" x14ac:dyDescent="0.25">
      <c r="A189" s="1">
        <v>41548</v>
      </c>
      <c r="B189">
        <v>0</v>
      </c>
      <c r="C189">
        <v>3198367</v>
      </c>
    </row>
    <row r="190" spans="1:3" x14ac:dyDescent="0.25">
      <c r="A190" s="1">
        <v>41548</v>
      </c>
      <c r="B190">
        <v>16</v>
      </c>
      <c r="C190">
        <v>557960</v>
      </c>
    </row>
    <row r="191" spans="1:3" x14ac:dyDescent="0.25">
      <c r="A191" s="1">
        <v>41548</v>
      </c>
      <c r="B191">
        <v>18</v>
      </c>
      <c r="C191">
        <v>205912</v>
      </c>
    </row>
    <row r="192" spans="1:3" x14ac:dyDescent="0.25">
      <c r="A192" s="1">
        <v>41548</v>
      </c>
      <c r="B192">
        <v>25</v>
      </c>
      <c r="C192">
        <v>10645146</v>
      </c>
    </row>
    <row r="193" spans="1:3" x14ac:dyDescent="0.25">
      <c r="A193" s="1">
        <v>41548</v>
      </c>
      <c r="B193">
        <v>30</v>
      </c>
      <c r="C193">
        <v>327519813</v>
      </c>
    </row>
    <row r="194" spans="1:3" x14ac:dyDescent="0.25">
      <c r="A194" s="1">
        <v>41548</v>
      </c>
      <c r="B194">
        <v>35</v>
      </c>
      <c r="C194">
        <v>280250</v>
      </c>
    </row>
    <row r="195" spans="1:3" x14ac:dyDescent="0.25">
      <c r="A195" s="1">
        <v>41518</v>
      </c>
      <c r="B195">
        <v>0</v>
      </c>
      <c r="C195">
        <v>3206230</v>
      </c>
    </row>
    <row r="196" spans="1:3" x14ac:dyDescent="0.25">
      <c r="A196" s="1">
        <v>41518</v>
      </c>
      <c r="B196">
        <v>16</v>
      </c>
      <c r="C196">
        <v>185195</v>
      </c>
    </row>
    <row r="197" spans="1:3" x14ac:dyDescent="0.25">
      <c r="A197" s="1">
        <v>41518</v>
      </c>
      <c r="B197">
        <v>18</v>
      </c>
      <c r="C197">
        <v>160550</v>
      </c>
    </row>
    <row r="198" spans="1:3" x14ac:dyDescent="0.25">
      <c r="A198" s="1">
        <v>41518</v>
      </c>
      <c r="B198">
        <v>25</v>
      </c>
      <c r="C198">
        <v>11719865</v>
      </c>
    </row>
    <row r="199" spans="1:3" x14ac:dyDescent="0.25">
      <c r="A199" s="1">
        <v>41518</v>
      </c>
      <c r="B199">
        <v>30</v>
      </c>
      <c r="C199">
        <v>356682019</v>
      </c>
    </row>
    <row r="200" spans="1:3" x14ac:dyDescent="0.25">
      <c r="A200" s="1">
        <v>41487</v>
      </c>
      <c r="B200">
        <v>0</v>
      </c>
      <c r="C200">
        <v>3641601</v>
      </c>
    </row>
    <row r="201" spans="1:3" x14ac:dyDescent="0.25">
      <c r="A201" s="1">
        <v>41487</v>
      </c>
      <c r="B201">
        <v>15</v>
      </c>
      <c r="C201">
        <v>169575</v>
      </c>
    </row>
    <row r="202" spans="1:3" x14ac:dyDescent="0.25">
      <c r="A202" s="1">
        <v>41487</v>
      </c>
      <c r="B202">
        <v>25</v>
      </c>
      <c r="C202">
        <v>12114340</v>
      </c>
    </row>
    <row r="203" spans="1:3" x14ac:dyDescent="0.25">
      <c r="A203" s="1">
        <v>41487</v>
      </c>
      <c r="B203">
        <v>30</v>
      </c>
      <c r="C203">
        <v>352835397</v>
      </c>
    </row>
    <row r="204" spans="1:3" x14ac:dyDescent="0.25">
      <c r="A204" s="1">
        <v>41487</v>
      </c>
      <c r="B204">
        <v>35</v>
      </c>
      <c r="C204">
        <v>251750</v>
      </c>
    </row>
    <row r="205" spans="1:3" x14ac:dyDescent="0.25">
      <c r="A205" s="1">
        <v>41456</v>
      </c>
      <c r="B205">
        <v>0</v>
      </c>
      <c r="C205">
        <v>4728244</v>
      </c>
    </row>
    <row r="206" spans="1:3" x14ac:dyDescent="0.25">
      <c r="A206" s="1">
        <v>41456</v>
      </c>
      <c r="B206">
        <v>16</v>
      </c>
      <c r="C206">
        <v>162900</v>
      </c>
    </row>
    <row r="207" spans="1:3" x14ac:dyDescent="0.25">
      <c r="A207" s="1">
        <v>41456</v>
      </c>
      <c r="B207">
        <v>25</v>
      </c>
      <c r="C207">
        <v>8214662</v>
      </c>
    </row>
    <row r="208" spans="1:3" x14ac:dyDescent="0.25">
      <c r="A208" s="1">
        <v>41456</v>
      </c>
      <c r="B208">
        <v>30</v>
      </c>
      <c r="C208">
        <v>373277377</v>
      </c>
    </row>
    <row r="209" spans="1:3" x14ac:dyDescent="0.25">
      <c r="A209" s="1">
        <v>41456</v>
      </c>
      <c r="B209">
        <v>35</v>
      </c>
      <c r="C209">
        <v>252320</v>
      </c>
    </row>
    <row r="210" spans="1:3" x14ac:dyDescent="0.25">
      <c r="A210" s="1">
        <v>41426</v>
      </c>
      <c r="B210">
        <v>0</v>
      </c>
      <c r="C210">
        <v>4013039</v>
      </c>
    </row>
    <row r="211" spans="1:3" x14ac:dyDescent="0.25">
      <c r="A211" s="1">
        <v>41426</v>
      </c>
      <c r="B211">
        <v>16</v>
      </c>
      <c r="C211">
        <v>29450</v>
      </c>
    </row>
    <row r="212" spans="1:3" x14ac:dyDescent="0.25">
      <c r="A212" s="1">
        <v>41426</v>
      </c>
      <c r="B212">
        <v>25</v>
      </c>
      <c r="C212">
        <v>7377236</v>
      </c>
    </row>
    <row r="213" spans="1:3" x14ac:dyDescent="0.25">
      <c r="A213" s="1">
        <v>41426</v>
      </c>
      <c r="B213">
        <v>30</v>
      </c>
      <c r="C213">
        <v>273795897</v>
      </c>
    </row>
    <row r="214" spans="1:3" x14ac:dyDescent="0.25">
      <c r="A214" s="1">
        <v>41426</v>
      </c>
      <c r="B214">
        <v>35</v>
      </c>
      <c r="C214">
        <v>429300</v>
      </c>
    </row>
    <row r="215" spans="1:3" x14ac:dyDescent="0.25">
      <c r="A215" s="1">
        <v>41395</v>
      </c>
      <c r="B215">
        <v>0</v>
      </c>
      <c r="C215">
        <v>3899075</v>
      </c>
    </row>
    <row r="216" spans="1:3" x14ac:dyDescent="0.25">
      <c r="A216" s="1">
        <v>41395</v>
      </c>
      <c r="B216">
        <v>16</v>
      </c>
      <c r="C216">
        <v>156750</v>
      </c>
    </row>
    <row r="217" spans="1:3" x14ac:dyDescent="0.25">
      <c r="A217" s="1">
        <v>41395</v>
      </c>
      <c r="B217">
        <v>18</v>
      </c>
      <c r="C217">
        <v>82650</v>
      </c>
    </row>
    <row r="218" spans="1:3" x14ac:dyDescent="0.25">
      <c r="A218" s="1">
        <v>41395</v>
      </c>
      <c r="B218">
        <v>25</v>
      </c>
      <c r="C218">
        <v>6429370</v>
      </c>
    </row>
    <row r="219" spans="1:3" x14ac:dyDescent="0.25">
      <c r="A219" s="1">
        <v>41395</v>
      </c>
      <c r="B219">
        <v>30</v>
      </c>
      <c r="C219">
        <v>242055637</v>
      </c>
    </row>
    <row r="220" spans="1:3" x14ac:dyDescent="0.25">
      <c r="A220" s="1">
        <v>41395</v>
      </c>
      <c r="B220">
        <v>35</v>
      </c>
      <c r="C220">
        <v>288800</v>
      </c>
    </row>
    <row r="221" spans="1:3" x14ac:dyDescent="0.25">
      <c r="A221" s="1">
        <v>41395</v>
      </c>
      <c r="B221">
        <v>40</v>
      </c>
      <c r="C221">
        <v>93100</v>
      </c>
    </row>
    <row r="222" spans="1:3" x14ac:dyDescent="0.25">
      <c r="A222" s="1">
        <v>41365</v>
      </c>
      <c r="B222">
        <v>0</v>
      </c>
      <c r="C222">
        <v>3016000</v>
      </c>
    </row>
    <row r="223" spans="1:3" x14ac:dyDescent="0.25">
      <c r="A223" s="1">
        <v>41365</v>
      </c>
      <c r="B223">
        <v>25</v>
      </c>
      <c r="C223">
        <v>2219037</v>
      </c>
    </row>
    <row r="224" spans="1:3" x14ac:dyDescent="0.25">
      <c r="A224" s="1">
        <v>41365</v>
      </c>
      <c r="B224">
        <v>30</v>
      </c>
      <c r="C224">
        <v>214257756</v>
      </c>
    </row>
    <row r="225" spans="1:3" x14ac:dyDescent="0.25">
      <c r="A225" s="1">
        <v>41365</v>
      </c>
      <c r="B225">
        <v>35</v>
      </c>
      <c r="C225">
        <v>461700</v>
      </c>
    </row>
    <row r="226" spans="1:3" x14ac:dyDescent="0.25">
      <c r="A226" s="1">
        <v>41334</v>
      </c>
      <c r="B226">
        <v>0</v>
      </c>
      <c r="C226">
        <v>2260100</v>
      </c>
    </row>
    <row r="227" spans="1:3" x14ac:dyDescent="0.25">
      <c r="A227" s="1">
        <v>41334</v>
      </c>
      <c r="B227">
        <v>25</v>
      </c>
      <c r="C227">
        <v>2215253</v>
      </c>
    </row>
    <row r="228" spans="1:3" x14ac:dyDescent="0.25">
      <c r="A228" s="1">
        <v>41334</v>
      </c>
      <c r="B228">
        <v>30</v>
      </c>
      <c r="C228">
        <v>189281646</v>
      </c>
    </row>
    <row r="229" spans="1:3" x14ac:dyDescent="0.25">
      <c r="A229" s="1">
        <v>41334</v>
      </c>
      <c r="B229">
        <v>35</v>
      </c>
      <c r="C229">
        <v>884090</v>
      </c>
    </row>
    <row r="230" spans="1:3" x14ac:dyDescent="0.25">
      <c r="A230" s="1">
        <v>41306</v>
      </c>
      <c r="B230">
        <v>0</v>
      </c>
      <c r="C230">
        <v>2315132</v>
      </c>
    </row>
    <row r="231" spans="1:3" x14ac:dyDescent="0.25">
      <c r="A231" s="1">
        <v>41306</v>
      </c>
      <c r="B231">
        <v>16</v>
      </c>
      <c r="C231">
        <v>133950</v>
      </c>
    </row>
    <row r="232" spans="1:3" x14ac:dyDescent="0.25">
      <c r="A232" s="1">
        <v>41306</v>
      </c>
      <c r="B232">
        <v>25</v>
      </c>
      <c r="C232">
        <v>2816700</v>
      </c>
    </row>
    <row r="233" spans="1:3" x14ac:dyDescent="0.25">
      <c r="A233" s="1">
        <v>41306</v>
      </c>
      <c r="B233">
        <v>30</v>
      </c>
      <c r="C233">
        <v>213965687</v>
      </c>
    </row>
    <row r="234" spans="1:3" x14ac:dyDescent="0.25">
      <c r="A234" s="1">
        <v>41306</v>
      </c>
      <c r="B234">
        <v>35</v>
      </c>
      <c r="C234">
        <v>432954</v>
      </c>
    </row>
    <row r="235" spans="1:3" x14ac:dyDescent="0.25">
      <c r="A235" s="1">
        <v>41306</v>
      </c>
      <c r="B235">
        <v>40</v>
      </c>
      <c r="C235">
        <v>167675</v>
      </c>
    </row>
    <row r="236" spans="1:3" x14ac:dyDescent="0.25">
      <c r="A236" s="1">
        <v>41275</v>
      </c>
      <c r="B236">
        <v>0</v>
      </c>
      <c r="C236">
        <v>2174253</v>
      </c>
    </row>
    <row r="237" spans="1:3" x14ac:dyDescent="0.25">
      <c r="A237" s="1">
        <v>41275</v>
      </c>
      <c r="B237">
        <v>12</v>
      </c>
      <c r="C237">
        <v>155830</v>
      </c>
    </row>
    <row r="238" spans="1:3" x14ac:dyDescent="0.25">
      <c r="A238" s="1">
        <v>41275</v>
      </c>
      <c r="B238">
        <v>16</v>
      </c>
      <c r="C238">
        <v>89750</v>
      </c>
    </row>
    <row r="239" spans="1:3" x14ac:dyDescent="0.25">
      <c r="A239" s="1">
        <v>41275</v>
      </c>
      <c r="B239">
        <v>18</v>
      </c>
      <c r="C239">
        <v>135850</v>
      </c>
    </row>
    <row r="240" spans="1:3" x14ac:dyDescent="0.25">
      <c r="A240" s="1">
        <v>41275</v>
      </c>
      <c r="B240">
        <v>25</v>
      </c>
      <c r="C240">
        <v>3868715</v>
      </c>
    </row>
    <row r="241" spans="1:3" x14ac:dyDescent="0.25">
      <c r="A241" s="1">
        <v>41275</v>
      </c>
      <c r="B241">
        <v>30</v>
      </c>
      <c r="C241">
        <v>188337902</v>
      </c>
    </row>
    <row r="242" spans="1:3" x14ac:dyDescent="0.25">
      <c r="A242" s="1">
        <v>41275</v>
      </c>
      <c r="B242">
        <v>35</v>
      </c>
      <c r="C242">
        <v>723528</v>
      </c>
    </row>
    <row r="243" spans="1:3" x14ac:dyDescent="0.25">
      <c r="A243" s="1">
        <v>41244</v>
      </c>
      <c r="B243">
        <v>0</v>
      </c>
      <c r="C243">
        <v>1652151</v>
      </c>
    </row>
    <row r="244" spans="1:3" x14ac:dyDescent="0.25">
      <c r="A244" s="1">
        <v>41244</v>
      </c>
      <c r="B244">
        <v>18</v>
      </c>
      <c r="C244">
        <v>208952</v>
      </c>
    </row>
    <row r="245" spans="1:3" x14ac:dyDescent="0.25">
      <c r="A245" s="1">
        <v>41244</v>
      </c>
      <c r="B245">
        <v>25</v>
      </c>
      <c r="C245">
        <v>4630467</v>
      </c>
    </row>
    <row r="246" spans="1:3" x14ac:dyDescent="0.25">
      <c r="A246" s="1">
        <v>41244</v>
      </c>
      <c r="B246">
        <v>30</v>
      </c>
      <c r="C246">
        <v>222005034</v>
      </c>
    </row>
    <row r="247" spans="1:3" x14ac:dyDescent="0.25">
      <c r="A247" s="1">
        <v>41244</v>
      </c>
      <c r="B247">
        <v>35</v>
      </c>
      <c r="C247">
        <v>206150</v>
      </c>
    </row>
    <row r="248" spans="1:3" x14ac:dyDescent="0.25">
      <c r="A248" s="1">
        <v>41244</v>
      </c>
      <c r="B248">
        <v>40</v>
      </c>
      <c r="C248">
        <v>250800</v>
      </c>
    </row>
    <row r="249" spans="1:3" x14ac:dyDescent="0.25">
      <c r="A249" s="1">
        <v>41214</v>
      </c>
      <c r="B249">
        <v>0</v>
      </c>
      <c r="C249">
        <v>4117610</v>
      </c>
    </row>
    <row r="250" spans="1:3" x14ac:dyDescent="0.25">
      <c r="A250" s="1">
        <v>41214</v>
      </c>
      <c r="B250">
        <v>16</v>
      </c>
      <c r="C250">
        <v>465200</v>
      </c>
    </row>
    <row r="251" spans="1:3" x14ac:dyDescent="0.25">
      <c r="A251" s="1">
        <v>41214</v>
      </c>
      <c r="B251">
        <v>18</v>
      </c>
      <c r="C251">
        <v>213750</v>
      </c>
    </row>
    <row r="252" spans="1:3" x14ac:dyDescent="0.25">
      <c r="A252" s="1">
        <v>41214</v>
      </c>
      <c r="B252">
        <v>20</v>
      </c>
      <c r="C252">
        <v>228000</v>
      </c>
    </row>
    <row r="253" spans="1:3" x14ac:dyDescent="0.25">
      <c r="A253" s="1">
        <v>41214</v>
      </c>
      <c r="B253">
        <v>25</v>
      </c>
      <c r="C253">
        <v>6485689</v>
      </c>
    </row>
    <row r="254" spans="1:3" x14ac:dyDescent="0.25">
      <c r="A254" s="1">
        <v>41214</v>
      </c>
      <c r="B254">
        <v>30</v>
      </c>
      <c r="C254">
        <v>229842264</v>
      </c>
    </row>
    <row r="255" spans="1:3" x14ac:dyDescent="0.25">
      <c r="A255" s="1">
        <v>41214</v>
      </c>
      <c r="B255">
        <v>35</v>
      </c>
      <c r="C255">
        <v>617500</v>
      </c>
    </row>
    <row r="256" spans="1:3" x14ac:dyDescent="0.25">
      <c r="A256" s="1">
        <v>41183</v>
      </c>
      <c r="B256">
        <v>0</v>
      </c>
      <c r="C256">
        <v>1931997</v>
      </c>
    </row>
    <row r="257" spans="1:3" x14ac:dyDescent="0.25">
      <c r="A257" s="1">
        <v>41183</v>
      </c>
      <c r="B257">
        <v>16</v>
      </c>
      <c r="C257">
        <v>319010</v>
      </c>
    </row>
    <row r="258" spans="1:3" x14ac:dyDescent="0.25">
      <c r="A258" s="1">
        <v>41183</v>
      </c>
      <c r="B258">
        <v>25</v>
      </c>
      <c r="C258">
        <v>5907360</v>
      </c>
    </row>
    <row r="259" spans="1:3" x14ac:dyDescent="0.25">
      <c r="A259" s="1">
        <v>41183</v>
      </c>
      <c r="B259">
        <v>30</v>
      </c>
      <c r="C259">
        <v>225399111</v>
      </c>
    </row>
    <row r="260" spans="1:3" x14ac:dyDescent="0.25">
      <c r="A260" s="1">
        <v>41183</v>
      </c>
      <c r="B260">
        <v>35</v>
      </c>
      <c r="C260">
        <v>420050</v>
      </c>
    </row>
    <row r="261" spans="1:3" x14ac:dyDescent="0.25">
      <c r="A261" s="1">
        <v>41153</v>
      </c>
      <c r="B261">
        <v>0</v>
      </c>
      <c r="C261">
        <v>1845297</v>
      </c>
    </row>
    <row r="262" spans="1:3" x14ac:dyDescent="0.25">
      <c r="A262" s="1">
        <v>41153</v>
      </c>
      <c r="B262">
        <v>16</v>
      </c>
      <c r="C262">
        <v>237500</v>
      </c>
    </row>
    <row r="263" spans="1:3" x14ac:dyDescent="0.25">
      <c r="A263" s="1">
        <v>41153</v>
      </c>
      <c r="B263">
        <v>25</v>
      </c>
      <c r="C263">
        <v>4522088</v>
      </c>
    </row>
    <row r="264" spans="1:3" x14ac:dyDescent="0.25">
      <c r="A264" s="1">
        <v>41153</v>
      </c>
      <c r="B264">
        <v>30</v>
      </c>
      <c r="C264">
        <v>245728895</v>
      </c>
    </row>
    <row r="265" spans="1:3" x14ac:dyDescent="0.25">
      <c r="A265" s="1">
        <v>41153</v>
      </c>
      <c r="B265">
        <v>35</v>
      </c>
      <c r="C265">
        <v>229425</v>
      </c>
    </row>
    <row r="266" spans="1:3" x14ac:dyDescent="0.25">
      <c r="A266" s="1">
        <v>41122</v>
      </c>
      <c r="B266">
        <v>0</v>
      </c>
      <c r="C266">
        <v>3220974</v>
      </c>
    </row>
    <row r="267" spans="1:3" x14ac:dyDescent="0.25">
      <c r="A267" s="1">
        <v>41122</v>
      </c>
      <c r="B267">
        <v>16</v>
      </c>
      <c r="C267">
        <v>144850</v>
      </c>
    </row>
    <row r="268" spans="1:3" x14ac:dyDescent="0.25">
      <c r="A268" s="1">
        <v>41122</v>
      </c>
      <c r="B268">
        <v>18</v>
      </c>
      <c r="C268">
        <v>161500</v>
      </c>
    </row>
    <row r="269" spans="1:3" x14ac:dyDescent="0.25">
      <c r="A269" s="1">
        <v>41122</v>
      </c>
      <c r="B269">
        <v>25</v>
      </c>
      <c r="C269">
        <v>3458249</v>
      </c>
    </row>
    <row r="270" spans="1:3" x14ac:dyDescent="0.25">
      <c r="A270" s="1">
        <v>41122</v>
      </c>
      <c r="B270">
        <v>30</v>
      </c>
      <c r="C270">
        <v>222204492</v>
      </c>
    </row>
    <row r="271" spans="1:3" x14ac:dyDescent="0.25">
      <c r="A271" s="1">
        <v>41122</v>
      </c>
      <c r="B271">
        <v>35</v>
      </c>
      <c r="C271">
        <v>390177</v>
      </c>
    </row>
    <row r="272" spans="1:3" x14ac:dyDescent="0.25">
      <c r="A272" s="1">
        <v>41091</v>
      </c>
      <c r="B272">
        <v>0</v>
      </c>
      <c r="C272">
        <v>1470292</v>
      </c>
    </row>
    <row r="273" spans="1:3" x14ac:dyDescent="0.25">
      <c r="A273" s="1">
        <v>41091</v>
      </c>
      <c r="B273">
        <v>16</v>
      </c>
      <c r="C273">
        <v>235600</v>
      </c>
    </row>
    <row r="274" spans="1:3" x14ac:dyDescent="0.25">
      <c r="A274" s="1">
        <v>41091</v>
      </c>
      <c r="B274">
        <v>25</v>
      </c>
      <c r="C274">
        <v>2493233</v>
      </c>
    </row>
    <row r="275" spans="1:3" x14ac:dyDescent="0.25">
      <c r="A275" s="1">
        <v>41091</v>
      </c>
      <c r="B275">
        <v>30</v>
      </c>
      <c r="C275">
        <v>147081587</v>
      </c>
    </row>
    <row r="276" spans="1:3" x14ac:dyDescent="0.25">
      <c r="A276" s="1">
        <v>41091</v>
      </c>
      <c r="B276">
        <v>35</v>
      </c>
      <c r="C276">
        <v>280250</v>
      </c>
    </row>
    <row r="277" spans="1:3" x14ac:dyDescent="0.25">
      <c r="A277" s="1">
        <v>41061</v>
      </c>
      <c r="B277">
        <v>-999</v>
      </c>
      <c r="C277">
        <v>354350</v>
      </c>
    </row>
    <row r="278" spans="1:3" x14ac:dyDescent="0.25">
      <c r="A278" s="1">
        <v>41061</v>
      </c>
      <c r="B278">
        <v>0</v>
      </c>
      <c r="C278">
        <v>1349181</v>
      </c>
    </row>
    <row r="279" spans="1:3" x14ac:dyDescent="0.25">
      <c r="A279" s="1">
        <v>41061</v>
      </c>
      <c r="B279">
        <v>16</v>
      </c>
      <c r="C279">
        <v>250300</v>
      </c>
    </row>
    <row r="280" spans="1:3" x14ac:dyDescent="0.25">
      <c r="A280" s="1">
        <v>41061</v>
      </c>
      <c r="B280">
        <v>18</v>
      </c>
      <c r="C280">
        <v>244250</v>
      </c>
    </row>
    <row r="281" spans="1:3" x14ac:dyDescent="0.25">
      <c r="A281" s="1">
        <v>41061</v>
      </c>
      <c r="B281">
        <v>25</v>
      </c>
      <c r="C281">
        <v>1984927</v>
      </c>
    </row>
    <row r="282" spans="1:3" x14ac:dyDescent="0.25">
      <c r="A282" s="1">
        <v>41061</v>
      </c>
      <c r="B282">
        <v>30</v>
      </c>
      <c r="C282">
        <v>108526650</v>
      </c>
    </row>
    <row r="283" spans="1:3" x14ac:dyDescent="0.25">
      <c r="A283" s="1">
        <v>41061</v>
      </c>
      <c r="B283">
        <v>35</v>
      </c>
      <c r="C283">
        <v>704235</v>
      </c>
    </row>
    <row r="284" spans="1:3" x14ac:dyDescent="0.25">
      <c r="A284" s="1">
        <v>41030</v>
      </c>
      <c r="B284">
        <v>0</v>
      </c>
      <c r="C284">
        <v>534350</v>
      </c>
    </row>
    <row r="285" spans="1:3" x14ac:dyDescent="0.25">
      <c r="A285" s="1">
        <v>41030</v>
      </c>
      <c r="B285">
        <v>25</v>
      </c>
      <c r="C285">
        <v>2684042</v>
      </c>
    </row>
    <row r="286" spans="1:3" x14ac:dyDescent="0.25">
      <c r="A286" s="1">
        <v>41030</v>
      </c>
      <c r="B286">
        <v>30</v>
      </c>
      <c r="C286">
        <v>74445551</v>
      </c>
    </row>
    <row r="287" spans="1:3" x14ac:dyDescent="0.25">
      <c r="A287" s="1">
        <v>41030</v>
      </c>
      <c r="B287">
        <v>35</v>
      </c>
      <c r="C287">
        <v>90250</v>
      </c>
    </row>
    <row r="288" spans="1:3" x14ac:dyDescent="0.25">
      <c r="A288" s="1">
        <v>41004</v>
      </c>
      <c r="B288">
        <v>30</v>
      </c>
      <c r="C288">
        <v>34200</v>
      </c>
    </row>
    <row r="289" spans="1:3" x14ac:dyDescent="0.25">
      <c r="A289" s="1">
        <v>41000</v>
      </c>
      <c r="B289">
        <v>0</v>
      </c>
      <c r="C289">
        <v>337800</v>
      </c>
    </row>
    <row r="290" spans="1:3" x14ac:dyDescent="0.25">
      <c r="A290" s="1">
        <v>41000</v>
      </c>
      <c r="B290">
        <v>25</v>
      </c>
      <c r="C290">
        <v>1114478</v>
      </c>
    </row>
    <row r="291" spans="1:3" x14ac:dyDescent="0.25">
      <c r="A291" s="1">
        <v>41000</v>
      </c>
      <c r="B291">
        <v>30</v>
      </c>
      <c r="C291">
        <v>54424866</v>
      </c>
    </row>
    <row r="292" spans="1:3" x14ac:dyDescent="0.25">
      <c r="A292" s="1">
        <v>40969</v>
      </c>
      <c r="B292">
        <v>0</v>
      </c>
      <c r="C292">
        <v>208900</v>
      </c>
    </row>
    <row r="293" spans="1:3" x14ac:dyDescent="0.25">
      <c r="A293" s="1">
        <v>40969</v>
      </c>
      <c r="B293">
        <v>16</v>
      </c>
      <c r="C293">
        <v>506825</v>
      </c>
    </row>
    <row r="294" spans="1:3" x14ac:dyDescent="0.25">
      <c r="A294" s="1">
        <v>40969</v>
      </c>
      <c r="B294">
        <v>25</v>
      </c>
      <c r="C294">
        <v>1240746</v>
      </c>
    </row>
    <row r="295" spans="1:3" x14ac:dyDescent="0.25">
      <c r="A295" s="1">
        <v>40969</v>
      </c>
      <c r="B295">
        <v>30</v>
      </c>
      <c r="C295">
        <v>52537591</v>
      </c>
    </row>
    <row r="296" spans="1:3" x14ac:dyDescent="0.25">
      <c r="A296" s="1">
        <v>40969</v>
      </c>
      <c r="B296">
        <v>35</v>
      </c>
      <c r="C296">
        <v>80750</v>
      </c>
    </row>
    <row r="297" spans="1:3" x14ac:dyDescent="0.25">
      <c r="A297" s="1">
        <v>40940</v>
      </c>
      <c r="B297">
        <v>0</v>
      </c>
      <c r="C297">
        <v>602500</v>
      </c>
    </row>
    <row r="298" spans="1:3" x14ac:dyDescent="0.25">
      <c r="A298" s="1">
        <v>40940</v>
      </c>
      <c r="B298">
        <v>16</v>
      </c>
      <c r="C298">
        <v>245100</v>
      </c>
    </row>
    <row r="299" spans="1:3" x14ac:dyDescent="0.25">
      <c r="A299" s="1">
        <v>40940</v>
      </c>
      <c r="B299">
        <v>25</v>
      </c>
      <c r="C299">
        <v>3362265</v>
      </c>
    </row>
    <row r="300" spans="1:3" x14ac:dyDescent="0.25">
      <c r="A300" s="1">
        <v>40940</v>
      </c>
      <c r="B300">
        <v>30</v>
      </c>
      <c r="C300">
        <v>87333600</v>
      </c>
    </row>
    <row r="301" spans="1:3" x14ac:dyDescent="0.25">
      <c r="A301" s="1">
        <v>40940</v>
      </c>
      <c r="B301">
        <v>35</v>
      </c>
      <c r="C301">
        <v>346750</v>
      </c>
    </row>
    <row r="302" spans="1:3" x14ac:dyDescent="0.25">
      <c r="A302" s="1">
        <v>40909</v>
      </c>
      <c r="B302">
        <v>0</v>
      </c>
      <c r="C302">
        <v>773610</v>
      </c>
    </row>
    <row r="303" spans="1:3" x14ac:dyDescent="0.25">
      <c r="A303" s="1">
        <v>40909</v>
      </c>
      <c r="B303">
        <v>16</v>
      </c>
      <c r="C303">
        <v>127319</v>
      </c>
    </row>
    <row r="304" spans="1:3" x14ac:dyDescent="0.25">
      <c r="A304" s="1">
        <v>40909</v>
      </c>
      <c r="B304">
        <v>18</v>
      </c>
      <c r="C304">
        <v>299250</v>
      </c>
    </row>
    <row r="305" spans="1:3" x14ac:dyDescent="0.25">
      <c r="A305" s="1">
        <v>40909</v>
      </c>
      <c r="B305">
        <v>25</v>
      </c>
      <c r="C305">
        <v>3255856</v>
      </c>
    </row>
    <row r="306" spans="1:3" x14ac:dyDescent="0.25">
      <c r="A306" s="1">
        <v>40909</v>
      </c>
      <c r="B306">
        <v>30</v>
      </c>
      <c r="C306">
        <v>79549186</v>
      </c>
    </row>
    <row r="307" spans="1:3" x14ac:dyDescent="0.25">
      <c r="A307" s="1">
        <v>40878</v>
      </c>
      <c r="B307">
        <v>0</v>
      </c>
      <c r="C307">
        <v>674500</v>
      </c>
    </row>
    <row r="308" spans="1:3" x14ac:dyDescent="0.25">
      <c r="A308" s="1">
        <v>40878</v>
      </c>
      <c r="B308">
        <v>16</v>
      </c>
      <c r="C308">
        <v>117325</v>
      </c>
    </row>
    <row r="309" spans="1:3" x14ac:dyDescent="0.25">
      <c r="A309" s="1">
        <v>40878</v>
      </c>
      <c r="B309">
        <v>25</v>
      </c>
      <c r="C309">
        <v>1680937</v>
      </c>
    </row>
    <row r="310" spans="1:3" x14ac:dyDescent="0.25">
      <c r="A310" s="1">
        <v>40878</v>
      </c>
      <c r="B310">
        <v>30</v>
      </c>
      <c r="C310">
        <v>74881747</v>
      </c>
    </row>
    <row r="311" spans="1:3" x14ac:dyDescent="0.25">
      <c r="A311" s="1">
        <v>40848</v>
      </c>
      <c r="B311">
        <v>0</v>
      </c>
      <c r="C311">
        <v>506646</v>
      </c>
    </row>
    <row r="312" spans="1:3" x14ac:dyDescent="0.25">
      <c r="A312" s="1">
        <v>40848</v>
      </c>
      <c r="B312">
        <v>16</v>
      </c>
      <c r="C312">
        <v>558184</v>
      </c>
    </row>
    <row r="313" spans="1:3" x14ac:dyDescent="0.25">
      <c r="A313" s="1">
        <v>40848</v>
      </c>
      <c r="B313">
        <v>25</v>
      </c>
      <c r="C313">
        <v>3749885</v>
      </c>
    </row>
    <row r="314" spans="1:3" x14ac:dyDescent="0.25">
      <c r="A314" s="1">
        <v>40848</v>
      </c>
      <c r="B314">
        <v>30</v>
      </c>
      <c r="C314">
        <v>94816560</v>
      </c>
    </row>
    <row r="315" spans="1:3" x14ac:dyDescent="0.25">
      <c r="A315" s="1">
        <v>40848</v>
      </c>
      <c r="B315">
        <v>35</v>
      </c>
      <c r="C315">
        <v>209475</v>
      </c>
    </row>
    <row r="316" spans="1:3" x14ac:dyDescent="0.25">
      <c r="A316" s="1">
        <v>40817</v>
      </c>
      <c r="B316">
        <v>0</v>
      </c>
      <c r="C316">
        <v>386587</v>
      </c>
    </row>
    <row r="317" spans="1:3" x14ac:dyDescent="0.25">
      <c r="A317" s="1">
        <v>40817</v>
      </c>
      <c r="B317">
        <v>12</v>
      </c>
      <c r="C317">
        <v>186950</v>
      </c>
    </row>
    <row r="318" spans="1:3" x14ac:dyDescent="0.25">
      <c r="A318" s="1">
        <v>40817</v>
      </c>
      <c r="B318">
        <v>16</v>
      </c>
      <c r="C318">
        <v>665725</v>
      </c>
    </row>
    <row r="319" spans="1:3" x14ac:dyDescent="0.25">
      <c r="A319" s="1">
        <v>40817</v>
      </c>
      <c r="B319">
        <v>25</v>
      </c>
      <c r="C319">
        <v>2345291</v>
      </c>
    </row>
    <row r="320" spans="1:3" x14ac:dyDescent="0.25">
      <c r="A320" s="1">
        <v>40817</v>
      </c>
      <c r="B320">
        <v>30</v>
      </c>
      <c r="C320">
        <v>120150400</v>
      </c>
    </row>
    <row r="321" spans="1:3" x14ac:dyDescent="0.25">
      <c r="A321" s="1">
        <v>40817</v>
      </c>
      <c r="B321">
        <v>35</v>
      </c>
      <c r="C321">
        <v>132525</v>
      </c>
    </row>
    <row r="322" spans="1:3" x14ac:dyDescent="0.25">
      <c r="A322" s="1">
        <v>40787</v>
      </c>
      <c r="B322">
        <v>0</v>
      </c>
      <c r="C322">
        <v>529000</v>
      </c>
    </row>
    <row r="323" spans="1:3" x14ac:dyDescent="0.25">
      <c r="A323" s="1">
        <v>40787</v>
      </c>
      <c r="B323">
        <v>16</v>
      </c>
      <c r="C323">
        <v>231055</v>
      </c>
    </row>
    <row r="324" spans="1:3" x14ac:dyDescent="0.25">
      <c r="A324" s="1">
        <v>40787</v>
      </c>
      <c r="B324">
        <v>25</v>
      </c>
      <c r="C324">
        <v>3570700</v>
      </c>
    </row>
    <row r="325" spans="1:3" x14ac:dyDescent="0.25">
      <c r="A325" s="1">
        <v>40787</v>
      </c>
      <c r="B325">
        <v>30</v>
      </c>
      <c r="C325">
        <v>119299148</v>
      </c>
    </row>
    <row r="326" spans="1:3" x14ac:dyDescent="0.25">
      <c r="A326" s="1">
        <v>40787</v>
      </c>
      <c r="B326">
        <v>35</v>
      </c>
      <c r="C326">
        <v>44650</v>
      </c>
    </row>
    <row r="327" spans="1:3" x14ac:dyDescent="0.25">
      <c r="A327" s="1">
        <v>40756</v>
      </c>
      <c r="B327">
        <v>0</v>
      </c>
      <c r="C327">
        <v>63730</v>
      </c>
    </row>
    <row r="328" spans="1:3" x14ac:dyDescent="0.25">
      <c r="A328" s="1">
        <v>40756</v>
      </c>
      <c r="B328">
        <v>16</v>
      </c>
      <c r="C328">
        <v>71250</v>
      </c>
    </row>
    <row r="329" spans="1:3" x14ac:dyDescent="0.25">
      <c r="A329" s="1">
        <v>40756</v>
      </c>
      <c r="B329">
        <v>18</v>
      </c>
      <c r="C329">
        <v>343900</v>
      </c>
    </row>
    <row r="330" spans="1:3" x14ac:dyDescent="0.25">
      <c r="A330" s="1">
        <v>40756</v>
      </c>
      <c r="B330">
        <v>25</v>
      </c>
      <c r="C330">
        <v>3754899</v>
      </c>
    </row>
    <row r="331" spans="1:3" x14ac:dyDescent="0.25">
      <c r="A331" s="1">
        <v>40756</v>
      </c>
      <c r="B331">
        <v>30</v>
      </c>
      <c r="C331">
        <v>132953640</v>
      </c>
    </row>
    <row r="332" spans="1:3" x14ac:dyDescent="0.25">
      <c r="A332" s="1">
        <v>40756</v>
      </c>
      <c r="B332">
        <v>35</v>
      </c>
      <c r="C332">
        <v>175400</v>
      </c>
    </row>
    <row r="333" spans="1:3" x14ac:dyDescent="0.25">
      <c r="A333" s="1">
        <v>40725</v>
      </c>
      <c r="B333">
        <v>0</v>
      </c>
      <c r="C333">
        <v>436575</v>
      </c>
    </row>
    <row r="334" spans="1:3" x14ac:dyDescent="0.25">
      <c r="A334" s="1">
        <v>40725</v>
      </c>
      <c r="B334">
        <v>25</v>
      </c>
      <c r="C334">
        <v>3929662</v>
      </c>
    </row>
    <row r="335" spans="1:3" x14ac:dyDescent="0.25">
      <c r="A335" s="1">
        <v>40725</v>
      </c>
      <c r="B335">
        <v>30</v>
      </c>
      <c r="C335">
        <v>93926715</v>
      </c>
    </row>
    <row r="336" spans="1:3" x14ac:dyDescent="0.25">
      <c r="A336" s="1">
        <v>40725</v>
      </c>
      <c r="B336">
        <v>35</v>
      </c>
      <c r="C336">
        <v>394700</v>
      </c>
    </row>
    <row r="337" spans="1:3" x14ac:dyDescent="0.25">
      <c r="A337" s="1">
        <v>40695</v>
      </c>
      <c r="B337">
        <v>0</v>
      </c>
      <c r="C337">
        <v>147755</v>
      </c>
    </row>
    <row r="338" spans="1:3" x14ac:dyDescent="0.25">
      <c r="A338" s="1">
        <v>40695</v>
      </c>
      <c r="B338">
        <v>16</v>
      </c>
      <c r="C338">
        <v>100700</v>
      </c>
    </row>
    <row r="339" spans="1:3" x14ac:dyDescent="0.25">
      <c r="A339" s="1">
        <v>40695</v>
      </c>
      <c r="B339">
        <v>25</v>
      </c>
      <c r="C339">
        <v>1415727</v>
      </c>
    </row>
    <row r="340" spans="1:3" x14ac:dyDescent="0.25">
      <c r="A340" s="1">
        <v>40695</v>
      </c>
      <c r="B340">
        <v>30</v>
      </c>
      <c r="C340">
        <v>64105765</v>
      </c>
    </row>
    <row r="341" spans="1:3" x14ac:dyDescent="0.25">
      <c r="A341" s="1">
        <v>40664</v>
      </c>
      <c r="B341">
        <v>0</v>
      </c>
      <c r="C341">
        <v>359373</v>
      </c>
    </row>
    <row r="342" spans="1:3" x14ac:dyDescent="0.25">
      <c r="A342" s="1">
        <v>40664</v>
      </c>
      <c r="B342">
        <v>16</v>
      </c>
      <c r="C342">
        <v>109250</v>
      </c>
    </row>
    <row r="343" spans="1:3" x14ac:dyDescent="0.25">
      <c r="A343" s="1">
        <v>40664</v>
      </c>
      <c r="B343">
        <v>25</v>
      </c>
      <c r="C343">
        <v>1532536</v>
      </c>
    </row>
    <row r="344" spans="1:3" x14ac:dyDescent="0.25">
      <c r="A344" s="1">
        <v>40664</v>
      </c>
      <c r="B344">
        <v>30</v>
      </c>
      <c r="C344">
        <v>54189086</v>
      </c>
    </row>
    <row r="345" spans="1:3" x14ac:dyDescent="0.25">
      <c r="A345" s="1">
        <v>40664</v>
      </c>
      <c r="B345">
        <v>35</v>
      </c>
      <c r="C345">
        <v>215175</v>
      </c>
    </row>
    <row r="346" spans="1:3" x14ac:dyDescent="0.25">
      <c r="A346" s="1">
        <v>40634</v>
      </c>
      <c r="B346">
        <v>0</v>
      </c>
      <c r="C346">
        <v>305500</v>
      </c>
    </row>
    <row r="347" spans="1:3" x14ac:dyDescent="0.25">
      <c r="A347" s="1">
        <v>40634</v>
      </c>
      <c r="B347">
        <v>25</v>
      </c>
      <c r="C347">
        <v>1288927</v>
      </c>
    </row>
    <row r="348" spans="1:3" x14ac:dyDescent="0.25">
      <c r="A348" s="1">
        <v>40634</v>
      </c>
      <c r="B348">
        <v>30</v>
      </c>
      <c r="C348">
        <v>32315734</v>
      </c>
    </row>
    <row r="349" spans="1:3" x14ac:dyDescent="0.25">
      <c r="A349" s="1">
        <v>40634</v>
      </c>
      <c r="B349">
        <v>35</v>
      </c>
      <c r="C349">
        <v>209000</v>
      </c>
    </row>
    <row r="350" spans="1:3" x14ac:dyDescent="0.25">
      <c r="A350" s="1">
        <v>40603</v>
      </c>
      <c r="B350">
        <v>0</v>
      </c>
      <c r="C350">
        <v>625910</v>
      </c>
    </row>
    <row r="351" spans="1:3" x14ac:dyDescent="0.25">
      <c r="A351" s="1">
        <v>40603</v>
      </c>
      <c r="B351">
        <v>16</v>
      </c>
      <c r="C351">
        <v>71250</v>
      </c>
    </row>
    <row r="352" spans="1:3" x14ac:dyDescent="0.25">
      <c r="A352" s="1">
        <v>40603</v>
      </c>
      <c r="B352">
        <v>25</v>
      </c>
      <c r="C352">
        <v>1395644</v>
      </c>
    </row>
    <row r="353" spans="1:3" x14ac:dyDescent="0.25">
      <c r="A353" s="1">
        <v>40603</v>
      </c>
      <c r="B353">
        <v>30</v>
      </c>
      <c r="C353">
        <v>43882564</v>
      </c>
    </row>
    <row r="354" spans="1:3" x14ac:dyDescent="0.25">
      <c r="A354" s="1">
        <v>40575</v>
      </c>
      <c r="B354">
        <v>-999</v>
      </c>
      <c r="C354">
        <v>320000</v>
      </c>
    </row>
    <row r="355" spans="1:3" x14ac:dyDescent="0.25">
      <c r="A355" s="1">
        <v>40575</v>
      </c>
      <c r="B355">
        <v>16</v>
      </c>
      <c r="C355">
        <v>308750</v>
      </c>
    </row>
    <row r="356" spans="1:3" x14ac:dyDescent="0.25">
      <c r="A356" s="1">
        <v>40575</v>
      </c>
      <c r="B356">
        <v>25</v>
      </c>
      <c r="C356">
        <v>2140692</v>
      </c>
    </row>
    <row r="357" spans="1:3" x14ac:dyDescent="0.25">
      <c r="A357" s="1">
        <v>40575</v>
      </c>
      <c r="B357">
        <v>30</v>
      </c>
      <c r="C357">
        <v>77701045</v>
      </c>
    </row>
    <row r="358" spans="1:3" x14ac:dyDescent="0.25">
      <c r="A358" s="1">
        <v>40575</v>
      </c>
      <c r="B358">
        <v>35</v>
      </c>
      <c r="C358">
        <v>190000</v>
      </c>
    </row>
    <row r="359" spans="1:3" x14ac:dyDescent="0.25">
      <c r="A359" s="1">
        <v>40544</v>
      </c>
      <c r="B359">
        <v>0</v>
      </c>
      <c r="C359">
        <v>515200</v>
      </c>
    </row>
    <row r="360" spans="1:3" x14ac:dyDescent="0.25">
      <c r="A360" s="1">
        <v>40544</v>
      </c>
      <c r="B360">
        <v>16</v>
      </c>
      <c r="C360">
        <v>87400</v>
      </c>
    </row>
    <row r="361" spans="1:3" x14ac:dyDescent="0.25">
      <c r="A361" s="1">
        <v>40544</v>
      </c>
      <c r="B361">
        <v>25</v>
      </c>
      <c r="C361">
        <v>1446048</v>
      </c>
    </row>
    <row r="362" spans="1:3" x14ac:dyDescent="0.25">
      <c r="A362" s="1">
        <v>40544</v>
      </c>
      <c r="B362">
        <v>30</v>
      </c>
      <c r="C362">
        <v>61245778</v>
      </c>
    </row>
    <row r="363" spans="1:3" x14ac:dyDescent="0.25">
      <c r="A363" s="1">
        <v>40544</v>
      </c>
      <c r="B363">
        <v>35</v>
      </c>
      <c r="C363">
        <v>76000</v>
      </c>
    </row>
    <row r="364" spans="1:3" x14ac:dyDescent="0.25">
      <c r="A364" s="1">
        <v>40513</v>
      </c>
      <c r="B364">
        <v>16</v>
      </c>
      <c r="C364">
        <v>150275</v>
      </c>
    </row>
    <row r="365" spans="1:3" x14ac:dyDescent="0.25">
      <c r="A365" s="1">
        <v>40513</v>
      </c>
      <c r="B365">
        <v>25</v>
      </c>
      <c r="C365">
        <v>1351643</v>
      </c>
    </row>
    <row r="366" spans="1:3" x14ac:dyDescent="0.25">
      <c r="A366" s="1">
        <v>40513</v>
      </c>
      <c r="B366">
        <v>30</v>
      </c>
      <c r="C366">
        <v>51783270</v>
      </c>
    </row>
    <row r="367" spans="1:3" x14ac:dyDescent="0.25">
      <c r="A367" s="1">
        <v>40513</v>
      </c>
      <c r="B367">
        <v>35</v>
      </c>
      <c r="C367">
        <v>599153</v>
      </c>
    </row>
    <row r="368" spans="1:3" x14ac:dyDescent="0.25">
      <c r="A368" s="1">
        <v>40483</v>
      </c>
      <c r="B368">
        <v>16</v>
      </c>
      <c r="C368">
        <v>335635</v>
      </c>
    </row>
    <row r="369" spans="1:3" x14ac:dyDescent="0.25">
      <c r="A369" s="1">
        <v>40483</v>
      </c>
      <c r="B369">
        <v>25</v>
      </c>
      <c r="C369">
        <v>880263</v>
      </c>
    </row>
    <row r="370" spans="1:3" x14ac:dyDescent="0.25">
      <c r="A370" s="1">
        <v>40483</v>
      </c>
      <c r="B370">
        <v>30</v>
      </c>
      <c r="C370">
        <v>61042333</v>
      </c>
    </row>
    <row r="371" spans="1:3" x14ac:dyDescent="0.25">
      <c r="A371" s="1">
        <v>40465</v>
      </c>
      <c r="B371">
        <v>30</v>
      </c>
      <c r="C371">
        <v>156750</v>
      </c>
    </row>
    <row r="372" spans="1:3" x14ac:dyDescent="0.25">
      <c r="A372" s="1">
        <v>40452</v>
      </c>
      <c r="B372">
        <v>0</v>
      </c>
      <c r="C372">
        <v>596600</v>
      </c>
    </row>
    <row r="373" spans="1:3" x14ac:dyDescent="0.25">
      <c r="A373" s="1">
        <v>40452</v>
      </c>
      <c r="B373">
        <v>16</v>
      </c>
      <c r="C373">
        <v>97850</v>
      </c>
    </row>
    <row r="374" spans="1:3" x14ac:dyDescent="0.25">
      <c r="A374" s="1">
        <v>40452</v>
      </c>
      <c r="B374">
        <v>25</v>
      </c>
      <c r="C374">
        <v>2152450</v>
      </c>
    </row>
    <row r="375" spans="1:3" x14ac:dyDescent="0.25">
      <c r="A375" s="1">
        <v>40452</v>
      </c>
      <c r="B375">
        <v>30</v>
      </c>
      <c r="C375">
        <v>69698035</v>
      </c>
    </row>
    <row r="376" spans="1:3" x14ac:dyDescent="0.25">
      <c r="A376" s="1">
        <v>40452</v>
      </c>
      <c r="B376">
        <v>35</v>
      </c>
      <c r="C376">
        <v>159600</v>
      </c>
    </row>
    <row r="377" spans="1:3" x14ac:dyDescent="0.25">
      <c r="A377" s="1">
        <v>40441</v>
      </c>
      <c r="B377">
        <v>30</v>
      </c>
      <c r="C377">
        <v>228000</v>
      </c>
    </row>
    <row r="378" spans="1:3" x14ac:dyDescent="0.25">
      <c r="A378" s="1">
        <v>40422</v>
      </c>
      <c r="B378">
        <v>0</v>
      </c>
      <c r="C378">
        <v>96188</v>
      </c>
    </row>
    <row r="379" spans="1:3" x14ac:dyDescent="0.25">
      <c r="A379" s="1">
        <v>40422</v>
      </c>
      <c r="B379">
        <v>18</v>
      </c>
      <c r="C379">
        <v>225150</v>
      </c>
    </row>
    <row r="380" spans="1:3" x14ac:dyDescent="0.25">
      <c r="A380" s="1">
        <v>40422</v>
      </c>
      <c r="B380">
        <v>25</v>
      </c>
      <c r="C380">
        <v>1715913</v>
      </c>
    </row>
    <row r="381" spans="1:3" x14ac:dyDescent="0.25">
      <c r="A381" s="1">
        <v>40422</v>
      </c>
      <c r="B381">
        <v>30</v>
      </c>
      <c r="C381">
        <v>79352424</v>
      </c>
    </row>
    <row r="382" spans="1:3" x14ac:dyDescent="0.25">
      <c r="A382" s="1">
        <v>40422</v>
      </c>
      <c r="B382">
        <v>35</v>
      </c>
      <c r="C382">
        <v>187255</v>
      </c>
    </row>
    <row r="383" spans="1:3" x14ac:dyDescent="0.25">
      <c r="A383" s="1">
        <v>40391</v>
      </c>
      <c r="B383">
        <v>0</v>
      </c>
      <c r="C383">
        <v>1248829</v>
      </c>
    </row>
    <row r="384" spans="1:3" x14ac:dyDescent="0.25">
      <c r="A384" s="1">
        <v>40391</v>
      </c>
      <c r="B384">
        <v>16</v>
      </c>
      <c r="C384">
        <v>526650</v>
      </c>
    </row>
    <row r="385" spans="1:3" x14ac:dyDescent="0.25">
      <c r="A385" s="1">
        <v>40391</v>
      </c>
      <c r="B385">
        <v>25</v>
      </c>
      <c r="C385">
        <v>3569320</v>
      </c>
    </row>
    <row r="386" spans="1:3" x14ac:dyDescent="0.25">
      <c r="A386" s="1">
        <v>40391</v>
      </c>
      <c r="B386">
        <v>30</v>
      </c>
      <c r="C386">
        <v>107522470</v>
      </c>
    </row>
    <row r="387" spans="1:3" x14ac:dyDescent="0.25">
      <c r="A387" s="1">
        <v>40391</v>
      </c>
      <c r="B387">
        <v>35</v>
      </c>
      <c r="C387">
        <v>415815</v>
      </c>
    </row>
    <row r="388" spans="1:3" x14ac:dyDescent="0.25">
      <c r="A388" s="1">
        <v>40360</v>
      </c>
      <c r="B388">
        <v>0</v>
      </c>
      <c r="C388">
        <v>1208385</v>
      </c>
    </row>
    <row r="389" spans="1:3" x14ac:dyDescent="0.25">
      <c r="A389" s="1">
        <v>40360</v>
      </c>
      <c r="B389">
        <v>16</v>
      </c>
      <c r="C389">
        <v>519650</v>
      </c>
    </row>
    <row r="390" spans="1:3" x14ac:dyDescent="0.25">
      <c r="A390" s="1">
        <v>40360</v>
      </c>
      <c r="B390">
        <v>18</v>
      </c>
      <c r="C390">
        <v>97850</v>
      </c>
    </row>
    <row r="391" spans="1:3" x14ac:dyDescent="0.25">
      <c r="A391" s="1">
        <v>40360</v>
      </c>
      <c r="B391">
        <v>25</v>
      </c>
      <c r="C391">
        <v>2344884</v>
      </c>
    </row>
    <row r="392" spans="1:3" x14ac:dyDescent="0.25">
      <c r="A392" s="1">
        <v>40360</v>
      </c>
      <c r="B392">
        <v>30</v>
      </c>
      <c r="C392">
        <v>81278392</v>
      </c>
    </row>
    <row r="393" spans="1:3" x14ac:dyDescent="0.25">
      <c r="A393" s="1">
        <v>40339</v>
      </c>
      <c r="B393">
        <v>30</v>
      </c>
      <c r="C393">
        <v>59850</v>
      </c>
    </row>
    <row r="394" spans="1:3" x14ac:dyDescent="0.25">
      <c r="A394" s="1">
        <v>40330</v>
      </c>
      <c r="B394">
        <v>0</v>
      </c>
      <c r="C394">
        <v>1070425</v>
      </c>
    </row>
    <row r="395" spans="1:3" x14ac:dyDescent="0.25">
      <c r="A395" s="1">
        <v>40330</v>
      </c>
      <c r="B395">
        <v>16</v>
      </c>
      <c r="C395">
        <v>171020</v>
      </c>
    </row>
    <row r="396" spans="1:3" x14ac:dyDescent="0.25">
      <c r="A396" s="1">
        <v>40330</v>
      </c>
      <c r="B396">
        <v>25</v>
      </c>
      <c r="C396">
        <v>1438603</v>
      </c>
    </row>
    <row r="397" spans="1:3" x14ac:dyDescent="0.25">
      <c r="A397" s="1">
        <v>40330</v>
      </c>
      <c r="B397">
        <v>30</v>
      </c>
      <c r="C397">
        <v>74071224</v>
      </c>
    </row>
    <row r="398" spans="1:3" x14ac:dyDescent="0.25">
      <c r="A398" s="1">
        <v>40330</v>
      </c>
      <c r="B398">
        <v>35</v>
      </c>
      <c r="C398">
        <v>331550</v>
      </c>
    </row>
    <row r="399" spans="1:3" x14ac:dyDescent="0.25">
      <c r="A399" s="1">
        <v>40303</v>
      </c>
      <c r="B399">
        <v>0</v>
      </c>
      <c r="C399">
        <v>37000</v>
      </c>
    </row>
    <row r="400" spans="1:3" x14ac:dyDescent="0.25">
      <c r="A400" s="1">
        <v>40299</v>
      </c>
      <c r="B400">
        <v>0</v>
      </c>
      <c r="C400">
        <v>1246820</v>
      </c>
    </row>
    <row r="401" spans="1:3" x14ac:dyDescent="0.25">
      <c r="A401" s="1">
        <v>40299</v>
      </c>
      <c r="B401">
        <v>16</v>
      </c>
      <c r="C401">
        <v>370500</v>
      </c>
    </row>
    <row r="402" spans="1:3" x14ac:dyDescent="0.25">
      <c r="A402" s="1">
        <v>40299</v>
      </c>
      <c r="B402">
        <v>18</v>
      </c>
      <c r="C402">
        <v>70250</v>
      </c>
    </row>
    <row r="403" spans="1:3" x14ac:dyDescent="0.25">
      <c r="A403" s="1">
        <v>40299</v>
      </c>
      <c r="B403">
        <v>25</v>
      </c>
      <c r="C403">
        <v>2717845</v>
      </c>
    </row>
    <row r="404" spans="1:3" x14ac:dyDescent="0.25">
      <c r="A404" s="1">
        <v>40299</v>
      </c>
      <c r="B404">
        <v>30</v>
      </c>
      <c r="C404">
        <v>62420247</v>
      </c>
    </row>
    <row r="405" spans="1:3" x14ac:dyDescent="0.25">
      <c r="A405" s="1">
        <v>40299</v>
      </c>
      <c r="B405">
        <v>35</v>
      </c>
      <c r="C405">
        <v>147250</v>
      </c>
    </row>
    <row r="406" spans="1:3" x14ac:dyDescent="0.25">
      <c r="A406" s="1">
        <v>40269</v>
      </c>
      <c r="B406">
        <v>0</v>
      </c>
      <c r="C406">
        <v>1034630</v>
      </c>
    </row>
    <row r="407" spans="1:3" x14ac:dyDescent="0.25">
      <c r="A407" s="1">
        <v>40269</v>
      </c>
      <c r="B407">
        <v>16</v>
      </c>
      <c r="C407">
        <v>290875</v>
      </c>
    </row>
    <row r="408" spans="1:3" x14ac:dyDescent="0.25">
      <c r="A408" s="1">
        <v>40269</v>
      </c>
      <c r="B408">
        <v>25</v>
      </c>
      <c r="C408">
        <v>1478657</v>
      </c>
    </row>
    <row r="409" spans="1:3" x14ac:dyDescent="0.25">
      <c r="A409" s="1">
        <v>40269</v>
      </c>
      <c r="B409">
        <v>30</v>
      </c>
      <c r="C409">
        <v>49011366</v>
      </c>
    </row>
    <row r="410" spans="1:3" x14ac:dyDescent="0.25">
      <c r="A410" s="1">
        <v>40269</v>
      </c>
      <c r="B410">
        <v>35</v>
      </c>
      <c r="C410">
        <v>474050</v>
      </c>
    </row>
    <row r="411" spans="1:3" x14ac:dyDescent="0.25">
      <c r="A411" s="1">
        <v>40238</v>
      </c>
      <c r="B411">
        <v>0</v>
      </c>
      <c r="C411">
        <v>350040</v>
      </c>
    </row>
    <row r="412" spans="1:3" x14ac:dyDescent="0.25">
      <c r="A412" s="1">
        <v>40238</v>
      </c>
      <c r="B412">
        <v>25</v>
      </c>
      <c r="C412">
        <v>3926105</v>
      </c>
    </row>
    <row r="413" spans="1:3" x14ac:dyDescent="0.25">
      <c r="A413" s="1">
        <v>40238</v>
      </c>
      <c r="B413">
        <v>30</v>
      </c>
      <c r="C413">
        <v>34639614</v>
      </c>
    </row>
    <row r="414" spans="1:3" x14ac:dyDescent="0.25">
      <c r="A414" s="1">
        <v>40210</v>
      </c>
      <c r="B414">
        <v>0</v>
      </c>
      <c r="C414">
        <v>2207160</v>
      </c>
    </row>
    <row r="415" spans="1:3" x14ac:dyDescent="0.25">
      <c r="A415" s="1">
        <v>40210</v>
      </c>
      <c r="B415">
        <v>16</v>
      </c>
      <c r="C415">
        <v>239000</v>
      </c>
    </row>
    <row r="416" spans="1:3" x14ac:dyDescent="0.25">
      <c r="A416" s="1">
        <v>40210</v>
      </c>
      <c r="B416">
        <v>17</v>
      </c>
      <c r="C416">
        <v>245654</v>
      </c>
    </row>
    <row r="417" spans="1:3" x14ac:dyDescent="0.25">
      <c r="A417" s="1">
        <v>40210</v>
      </c>
      <c r="B417">
        <v>20</v>
      </c>
      <c r="C417">
        <v>166229</v>
      </c>
    </row>
    <row r="418" spans="1:3" x14ac:dyDescent="0.25">
      <c r="A418" s="1">
        <v>40210</v>
      </c>
      <c r="B418">
        <v>25</v>
      </c>
      <c r="C418">
        <v>11262027</v>
      </c>
    </row>
    <row r="419" spans="1:3" x14ac:dyDescent="0.25">
      <c r="A419" s="1">
        <v>40210</v>
      </c>
      <c r="B419">
        <v>30</v>
      </c>
      <c r="C419">
        <v>45217709</v>
      </c>
    </row>
    <row r="420" spans="1:3" x14ac:dyDescent="0.25">
      <c r="A420" s="1">
        <v>40210</v>
      </c>
      <c r="B420">
        <v>35</v>
      </c>
      <c r="C420">
        <v>648815</v>
      </c>
    </row>
    <row r="421" spans="1:3" x14ac:dyDescent="0.25">
      <c r="A421" s="1">
        <v>40179</v>
      </c>
      <c r="B421">
        <v>0</v>
      </c>
      <c r="C421">
        <v>4610844</v>
      </c>
    </row>
    <row r="422" spans="1:3" x14ac:dyDescent="0.25">
      <c r="A422" s="1">
        <v>40179</v>
      </c>
      <c r="B422">
        <v>16</v>
      </c>
      <c r="C422">
        <v>65550</v>
      </c>
    </row>
    <row r="423" spans="1:3" x14ac:dyDescent="0.25">
      <c r="A423" s="1">
        <v>40179</v>
      </c>
      <c r="B423">
        <v>25</v>
      </c>
      <c r="C423">
        <v>20838740</v>
      </c>
    </row>
    <row r="424" spans="1:3" x14ac:dyDescent="0.25">
      <c r="A424" s="1">
        <v>40179</v>
      </c>
      <c r="B424">
        <v>30</v>
      </c>
      <c r="C424">
        <v>53789263</v>
      </c>
    </row>
    <row r="425" spans="1:3" x14ac:dyDescent="0.25">
      <c r="A425" s="1">
        <v>40179</v>
      </c>
      <c r="B425">
        <v>35</v>
      </c>
      <c r="C425">
        <v>488796</v>
      </c>
    </row>
    <row r="426" spans="1:3" x14ac:dyDescent="0.25">
      <c r="A426" s="1">
        <v>40148</v>
      </c>
      <c r="B426">
        <v>-999</v>
      </c>
      <c r="C426">
        <v>63000</v>
      </c>
    </row>
    <row r="427" spans="1:3" x14ac:dyDescent="0.25">
      <c r="A427" s="1">
        <v>40148</v>
      </c>
      <c r="B427">
        <v>0</v>
      </c>
      <c r="C427">
        <v>2419938</v>
      </c>
    </row>
    <row r="428" spans="1:3" x14ac:dyDescent="0.25">
      <c r="A428" s="1">
        <v>40148</v>
      </c>
      <c r="B428">
        <v>16</v>
      </c>
      <c r="C428">
        <v>120650</v>
      </c>
    </row>
    <row r="429" spans="1:3" x14ac:dyDescent="0.25">
      <c r="A429" s="1">
        <v>40148</v>
      </c>
      <c r="B429">
        <v>17</v>
      </c>
      <c r="C429">
        <v>746858</v>
      </c>
    </row>
    <row r="430" spans="1:3" x14ac:dyDescent="0.25">
      <c r="A430" s="1">
        <v>40148</v>
      </c>
      <c r="B430">
        <v>18</v>
      </c>
      <c r="C430">
        <v>223155</v>
      </c>
    </row>
    <row r="431" spans="1:3" x14ac:dyDescent="0.25">
      <c r="A431" s="1">
        <v>40148</v>
      </c>
      <c r="B431">
        <v>25</v>
      </c>
      <c r="C431">
        <v>22803216</v>
      </c>
    </row>
    <row r="432" spans="1:3" x14ac:dyDescent="0.25">
      <c r="A432" s="1">
        <v>40148</v>
      </c>
      <c r="B432">
        <v>30</v>
      </c>
      <c r="C432">
        <v>56390606</v>
      </c>
    </row>
    <row r="433" spans="1:3" x14ac:dyDescent="0.25">
      <c r="A433" s="1">
        <v>40148</v>
      </c>
      <c r="B433">
        <v>35</v>
      </c>
      <c r="C433">
        <v>337513</v>
      </c>
    </row>
    <row r="434" spans="1:3" x14ac:dyDescent="0.25">
      <c r="A434" s="1">
        <v>40118</v>
      </c>
      <c r="B434">
        <v>0</v>
      </c>
      <c r="C434">
        <v>3327327</v>
      </c>
    </row>
    <row r="435" spans="1:3" x14ac:dyDescent="0.25">
      <c r="A435" s="1">
        <v>40118</v>
      </c>
      <c r="B435">
        <v>16</v>
      </c>
      <c r="C435">
        <v>476900</v>
      </c>
    </row>
    <row r="436" spans="1:3" x14ac:dyDescent="0.25">
      <c r="A436" s="1">
        <v>40118</v>
      </c>
      <c r="B436">
        <v>17</v>
      </c>
      <c r="C436">
        <v>886670</v>
      </c>
    </row>
    <row r="437" spans="1:3" x14ac:dyDescent="0.25">
      <c r="A437" s="1">
        <v>40118</v>
      </c>
      <c r="B437">
        <v>18</v>
      </c>
      <c r="C437">
        <v>145000</v>
      </c>
    </row>
    <row r="438" spans="1:3" x14ac:dyDescent="0.25">
      <c r="A438" s="1">
        <v>40118</v>
      </c>
      <c r="B438">
        <v>25</v>
      </c>
      <c r="C438">
        <v>21221072</v>
      </c>
    </row>
    <row r="439" spans="1:3" x14ac:dyDescent="0.25">
      <c r="A439" s="1">
        <v>40118</v>
      </c>
      <c r="B439">
        <v>30</v>
      </c>
      <c r="C439">
        <v>50307056</v>
      </c>
    </row>
    <row r="440" spans="1:3" x14ac:dyDescent="0.25">
      <c r="A440" s="1">
        <v>40087</v>
      </c>
      <c r="B440">
        <v>0</v>
      </c>
      <c r="C440">
        <v>1283832</v>
      </c>
    </row>
    <row r="441" spans="1:3" x14ac:dyDescent="0.25">
      <c r="A441" s="1">
        <v>40087</v>
      </c>
      <c r="B441">
        <v>16</v>
      </c>
      <c r="C441">
        <v>351500</v>
      </c>
    </row>
    <row r="442" spans="1:3" x14ac:dyDescent="0.25">
      <c r="A442" s="1">
        <v>40087</v>
      </c>
      <c r="B442">
        <v>18</v>
      </c>
      <c r="C442">
        <v>174800</v>
      </c>
    </row>
    <row r="443" spans="1:3" x14ac:dyDescent="0.25">
      <c r="A443" s="1">
        <v>40087</v>
      </c>
      <c r="B443">
        <v>25</v>
      </c>
      <c r="C443">
        <v>24090697</v>
      </c>
    </row>
    <row r="444" spans="1:3" x14ac:dyDescent="0.25">
      <c r="A444" s="1">
        <v>40087</v>
      </c>
      <c r="B444">
        <v>30</v>
      </c>
      <c r="C444">
        <v>61451031</v>
      </c>
    </row>
    <row r="445" spans="1:3" x14ac:dyDescent="0.25">
      <c r="A445" s="1">
        <v>40087</v>
      </c>
      <c r="B445">
        <v>35</v>
      </c>
      <c r="C445">
        <v>967250</v>
      </c>
    </row>
    <row r="446" spans="1:3" x14ac:dyDescent="0.25">
      <c r="A446" s="1">
        <v>40073</v>
      </c>
      <c r="B446">
        <v>30</v>
      </c>
      <c r="C446">
        <v>232655</v>
      </c>
    </row>
    <row r="447" spans="1:3" x14ac:dyDescent="0.25">
      <c r="A447" s="1">
        <v>40068</v>
      </c>
      <c r="B447">
        <v>30</v>
      </c>
      <c r="C447">
        <v>339625</v>
      </c>
    </row>
    <row r="448" spans="1:3" x14ac:dyDescent="0.25">
      <c r="A448" s="1">
        <v>40057</v>
      </c>
      <c r="B448">
        <v>0</v>
      </c>
      <c r="C448">
        <v>3777783</v>
      </c>
    </row>
    <row r="449" spans="1:3" x14ac:dyDescent="0.25">
      <c r="A449" s="1">
        <v>40057</v>
      </c>
      <c r="B449">
        <v>16</v>
      </c>
      <c r="C449">
        <v>851540</v>
      </c>
    </row>
    <row r="450" spans="1:3" x14ac:dyDescent="0.25">
      <c r="A450" s="1">
        <v>40057</v>
      </c>
      <c r="B450">
        <v>17</v>
      </c>
      <c r="C450">
        <v>1390297</v>
      </c>
    </row>
    <row r="451" spans="1:3" x14ac:dyDescent="0.25">
      <c r="A451" s="1">
        <v>40057</v>
      </c>
      <c r="B451">
        <v>25</v>
      </c>
      <c r="C451">
        <v>29171868</v>
      </c>
    </row>
    <row r="452" spans="1:3" x14ac:dyDescent="0.25">
      <c r="A452" s="1">
        <v>40057</v>
      </c>
      <c r="B452">
        <v>30</v>
      </c>
      <c r="C452">
        <v>61004144</v>
      </c>
    </row>
    <row r="453" spans="1:3" x14ac:dyDescent="0.25">
      <c r="A453" s="1">
        <v>40057</v>
      </c>
      <c r="B453">
        <v>35</v>
      </c>
      <c r="C453">
        <v>800850</v>
      </c>
    </row>
    <row r="454" spans="1:3" x14ac:dyDescent="0.25">
      <c r="A454" s="1">
        <v>40026</v>
      </c>
      <c r="B454">
        <v>0</v>
      </c>
      <c r="C454">
        <v>2105740</v>
      </c>
    </row>
    <row r="455" spans="1:3" x14ac:dyDescent="0.25">
      <c r="A455" s="1">
        <v>40026</v>
      </c>
      <c r="B455">
        <v>16</v>
      </c>
      <c r="C455">
        <v>383380</v>
      </c>
    </row>
    <row r="456" spans="1:3" x14ac:dyDescent="0.25">
      <c r="A456" s="1">
        <v>40026</v>
      </c>
      <c r="B456">
        <v>17</v>
      </c>
      <c r="C456">
        <v>606453</v>
      </c>
    </row>
    <row r="457" spans="1:3" x14ac:dyDescent="0.25">
      <c r="A457" s="1">
        <v>40026</v>
      </c>
      <c r="B457">
        <v>18</v>
      </c>
      <c r="C457">
        <v>305425</v>
      </c>
    </row>
    <row r="458" spans="1:3" x14ac:dyDescent="0.25">
      <c r="A458" s="1">
        <v>40026</v>
      </c>
      <c r="B458">
        <v>25</v>
      </c>
      <c r="C458">
        <v>27439570</v>
      </c>
    </row>
    <row r="459" spans="1:3" x14ac:dyDescent="0.25">
      <c r="A459" s="1">
        <v>40026</v>
      </c>
      <c r="B459">
        <v>30</v>
      </c>
      <c r="C459">
        <v>71843480</v>
      </c>
    </row>
    <row r="460" spans="1:3" x14ac:dyDescent="0.25">
      <c r="A460" s="1">
        <v>40026</v>
      </c>
      <c r="B460">
        <v>35</v>
      </c>
      <c r="C460">
        <v>487150</v>
      </c>
    </row>
    <row r="461" spans="1:3" x14ac:dyDescent="0.25">
      <c r="A461" s="1">
        <v>40024</v>
      </c>
      <c r="B461">
        <v>30</v>
      </c>
      <c r="C461">
        <v>304000</v>
      </c>
    </row>
    <row r="462" spans="1:3" x14ac:dyDescent="0.25">
      <c r="A462" s="1">
        <v>39996</v>
      </c>
      <c r="B462">
        <v>0</v>
      </c>
      <c r="C462">
        <v>63700</v>
      </c>
    </row>
    <row r="463" spans="1:3" x14ac:dyDescent="0.25">
      <c r="A463" s="1">
        <v>39995</v>
      </c>
      <c r="B463">
        <v>0</v>
      </c>
      <c r="C463">
        <v>2136165</v>
      </c>
    </row>
    <row r="464" spans="1:3" x14ac:dyDescent="0.25">
      <c r="A464" s="1">
        <v>39995</v>
      </c>
      <c r="B464">
        <v>16</v>
      </c>
      <c r="C464">
        <v>281380</v>
      </c>
    </row>
    <row r="465" spans="1:3" x14ac:dyDescent="0.25">
      <c r="A465" s="1">
        <v>39995</v>
      </c>
      <c r="B465">
        <v>18</v>
      </c>
      <c r="C465">
        <v>170900</v>
      </c>
    </row>
    <row r="466" spans="1:3" x14ac:dyDescent="0.25">
      <c r="A466" s="1">
        <v>39995</v>
      </c>
      <c r="B466">
        <v>25</v>
      </c>
      <c r="C466">
        <v>18764025</v>
      </c>
    </row>
    <row r="467" spans="1:3" x14ac:dyDescent="0.25">
      <c r="A467" s="1">
        <v>39995</v>
      </c>
      <c r="B467">
        <v>30</v>
      </c>
      <c r="C467">
        <v>61210583</v>
      </c>
    </row>
    <row r="468" spans="1:3" x14ac:dyDescent="0.25">
      <c r="A468" s="1">
        <v>39995</v>
      </c>
      <c r="B468">
        <v>35</v>
      </c>
      <c r="C468">
        <v>506825</v>
      </c>
    </row>
    <row r="469" spans="1:3" x14ac:dyDescent="0.25">
      <c r="A469" s="1">
        <v>39965</v>
      </c>
      <c r="B469">
        <v>-999</v>
      </c>
      <c r="C469">
        <v>172900</v>
      </c>
    </row>
    <row r="470" spans="1:3" x14ac:dyDescent="0.25">
      <c r="A470" s="1">
        <v>39965</v>
      </c>
      <c r="B470">
        <v>0</v>
      </c>
      <c r="C470">
        <v>3052165</v>
      </c>
    </row>
    <row r="471" spans="1:3" x14ac:dyDescent="0.25">
      <c r="A471" s="1">
        <v>39965</v>
      </c>
      <c r="B471">
        <v>16</v>
      </c>
      <c r="C471">
        <v>360050</v>
      </c>
    </row>
    <row r="472" spans="1:3" x14ac:dyDescent="0.25">
      <c r="A472" s="1">
        <v>39965</v>
      </c>
      <c r="B472">
        <v>17</v>
      </c>
      <c r="C472">
        <v>360730</v>
      </c>
    </row>
    <row r="473" spans="1:3" x14ac:dyDescent="0.25">
      <c r="A473" s="1">
        <v>39965</v>
      </c>
      <c r="B473">
        <v>18</v>
      </c>
      <c r="C473">
        <v>655350</v>
      </c>
    </row>
    <row r="474" spans="1:3" x14ac:dyDescent="0.25">
      <c r="A474" s="1">
        <v>39965</v>
      </c>
      <c r="B474">
        <v>25</v>
      </c>
      <c r="C474">
        <v>20298922</v>
      </c>
    </row>
    <row r="475" spans="1:3" x14ac:dyDescent="0.25">
      <c r="A475" s="1">
        <v>39965</v>
      </c>
      <c r="B475">
        <v>30</v>
      </c>
      <c r="C475">
        <v>60727094</v>
      </c>
    </row>
    <row r="476" spans="1:3" x14ac:dyDescent="0.25">
      <c r="A476" s="1">
        <v>39965</v>
      </c>
      <c r="B476">
        <v>35</v>
      </c>
      <c r="C476">
        <v>546250</v>
      </c>
    </row>
    <row r="477" spans="1:3" x14ac:dyDescent="0.25">
      <c r="A477" s="1">
        <v>39934</v>
      </c>
      <c r="B477">
        <v>0</v>
      </c>
      <c r="C477">
        <v>2713425</v>
      </c>
    </row>
    <row r="478" spans="1:3" x14ac:dyDescent="0.25">
      <c r="A478" s="1">
        <v>39934</v>
      </c>
      <c r="B478">
        <v>16</v>
      </c>
      <c r="C478">
        <v>594300</v>
      </c>
    </row>
    <row r="479" spans="1:3" x14ac:dyDescent="0.25">
      <c r="A479" s="1">
        <v>39934</v>
      </c>
      <c r="B479">
        <v>25</v>
      </c>
      <c r="C479">
        <v>30047716</v>
      </c>
    </row>
    <row r="480" spans="1:3" x14ac:dyDescent="0.25">
      <c r="A480" s="1">
        <v>39934</v>
      </c>
      <c r="B480">
        <v>27</v>
      </c>
      <c r="C480">
        <v>115000</v>
      </c>
    </row>
    <row r="481" spans="1:3" x14ac:dyDescent="0.25">
      <c r="A481" s="1">
        <v>39934</v>
      </c>
      <c r="B481">
        <v>30</v>
      </c>
      <c r="C481">
        <v>70288207</v>
      </c>
    </row>
    <row r="482" spans="1:3" x14ac:dyDescent="0.25">
      <c r="A482" s="1">
        <v>39934</v>
      </c>
      <c r="B482">
        <v>35</v>
      </c>
      <c r="C482">
        <v>1138380</v>
      </c>
    </row>
    <row r="483" spans="1:3" x14ac:dyDescent="0.25">
      <c r="A483" s="1">
        <v>39904</v>
      </c>
      <c r="B483">
        <v>0</v>
      </c>
      <c r="C483">
        <v>975750</v>
      </c>
    </row>
    <row r="484" spans="1:3" x14ac:dyDescent="0.25">
      <c r="A484" s="1">
        <v>39904</v>
      </c>
      <c r="B484">
        <v>16</v>
      </c>
      <c r="C484">
        <v>207550</v>
      </c>
    </row>
    <row r="485" spans="1:3" x14ac:dyDescent="0.25">
      <c r="A485" s="1">
        <v>39904</v>
      </c>
      <c r="B485">
        <v>17</v>
      </c>
      <c r="C485">
        <v>510653</v>
      </c>
    </row>
    <row r="486" spans="1:3" x14ac:dyDescent="0.25">
      <c r="A486" s="1">
        <v>39904</v>
      </c>
      <c r="B486">
        <v>25</v>
      </c>
      <c r="C486">
        <v>17768744</v>
      </c>
    </row>
    <row r="487" spans="1:3" x14ac:dyDescent="0.25">
      <c r="A487" s="1">
        <v>39904</v>
      </c>
      <c r="B487">
        <v>30</v>
      </c>
      <c r="C487">
        <v>52913468</v>
      </c>
    </row>
    <row r="488" spans="1:3" x14ac:dyDescent="0.25">
      <c r="A488" s="1">
        <v>39904</v>
      </c>
      <c r="B488">
        <v>35</v>
      </c>
      <c r="C488">
        <v>61655</v>
      </c>
    </row>
    <row r="489" spans="1:3" x14ac:dyDescent="0.25">
      <c r="A489" s="1">
        <v>39882</v>
      </c>
      <c r="B489">
        <v>30</v>
      </c>
      <c r="C489">
        <v>157928</v>
      </c>
    </row>
    <row r="490" spans="1:3" x14ac:dyDescent="0.25">
      <c r="A490" s="1">
        <v>39873</v>
      </c>
      <c r="B490">
        <v>0</v>
      </c>
      <c r="C490">
        <v>1184790</v>
      </c>
    </row>
    <row r="491" spans="1:3" x14ac:dyDescent="0.25">
      <c r="A491" s="1">
        <v>39873</v>
      </c>
      <c r="B491">
        <v>16</v>
      </c>
      <c r="C491">
        <v>1205000</v>
      </c>
    </row>
    <row r="492" spans="1:3" x14ac:dyDescent="0.25">
      <c r="A492" s="1">
        <v>39873</v>
      </c>
      <c r="B492">
        <v>17</v>
      </c>
      <c r="C492">
        <v>312816</v>
      </c>
    </row>
    <row r="493" spans="1:3" x14ac:dyDescent="0.25">
      <c r="A493" s="1">
        <v>39873</v>
      </c>
      <c r="B493">
        <v>25</v>
      </c>
      <c r="C493">
        <v>18413085</v>
      </c>
    </row>
    <row r="494" spans="1:3" x14ac:dyDescent="0.25">
      <c r="A494" s="1">
        <v>39873</v>
      </c>
      <c r="B494">
        <v>30</v>
      </c>
      <c r="C494">
        <v>52873531</v>
      </c>
    </row>
    <row r="495" spans="1:3" x14ac:dyDescent="0.25">
      <c r="A495" s="1">
        <v>39873</v>
      </c>
      <c r="B495">
        <v>35</v>
      </c>
      <c r="C495">
        <v>787825</v>
      </c>
    </row>
    <row r="496" spans="1:3" x14ac:dyDescent="0.25">
      <c r="A496" s="1">
        <v>39864</v>
      </c>
      <c r="B496">
        <v>25</v>
      </c>
      <c r="C496">
        <v>139783</v>
      </c>
    </row>
    <row r="497" spans="1:3" x14ac:dyDescent="0.25">
      <c r="A497" s="1">
        <v>39845</v>
      </c>
      <c r="B497">
        <v>0</v>
      </c>
      <c r="C497">
        <v>609216</v>
      </c>
    </row>
    <row r="498" spans="1:3" x14ac:dyDescent="0.25">
      <c r="A498" s="1">
        <v>39845</v>
      </c>
      <c r="B498">
        <v>16</v>
      </c>
      <c r="C498">
        <v>58900</v>
      </c>
    </row>
    <row r="499" spans="1:3" x14ac:dyDescent="0.25">
      <c r="A499" s="1">
        <v>39845</v>
      </c>
      <c r="B499">
        <v>17</v>
      </c>
      <c r="C499">
        <v>589242</v>
      </c>
    </row>
    <row r="500" spans="1:3" x14ac:dyDescent="0.25">
      <c r="A500" s="1">
        <v>39845</v>
      </c>
      <c r="B500">
        <v>18</v>
      </c>
      <c r="C500">
        <v>457830</v>
      </c>
    </row>
    <row r="501" spans="1:3" x14ac:dyDescent="0.25">
      <c r="A501" s="1">
        <v>39845</v>
      </c>
      <c r="B501">
        <v>25</v>
      </c>
      <c r="C501">
        <v>39361205</v>
      </c>
    </row>
    <row r="502" spans="1:3" x14ac:dyDescent="0.25">
      <c r="A502" s="1">
        <v>39845</v>
      </c>
      <c r="B502">
        <v>30</v>
      </c>
      <c r="C502">
        <v>87747931</v>
      </c>
    </row>
    <row r="503" spans="1:3" x14ac:dyDescent="0.25">
      <c r="A503" s="1">
        <v>39845</v>
      </c>
      <c r="B503">
        <v>35</v>
      </c>
      <c r="C503">
        <v>2758827</v>
      </c>
    </row>
    <row r="504" spans="1:3" x14ac:dyDescent="0.25">
      <c r="A504" s="1">
        <v>39814</v>
      </c>
      <c r="B504">
        <v>0</v>
      </c>
      <c r="C504">
        <v>649405</v>
      </c>
    </row>
    <row r="505" spans="1:3" x14ac:dyDescent="0.25">
      <c r="A505" s="1">
        <v>39814</v>
      </c>
      <c r="B505">
        <v>16</v>
      </c>
      <c r="C505">
        <v>1365400</v>
      </c>
    </row>
    <row r="506" spans="1:3" x14ac:dyDescent="0.25">
      <c r="A506" s="1">
        <v>39814</v>
      </c>
      <c r="B506">
        <v>17</v>
      </c>
      <c r="C506">
        <v>349156</v>
      </c>
    </row>
    <row r="507" spans="1:3" x14ac:dyDescent="0.25">
      <c r="A507" s="1">
        <v>39814</v>
      </c>
      <c r="B507">
        <v>22</v>
      </c>
      <c r="C507">
        <v>144400</v>
      </c>
    </row>
    <row r="508" spans="1:3" x14ac:dyDescent="0.25">
      <c r="A508" s="1">
        <v>39814</v>
      </c>
      <c r="B508">
        <v>25</v>
      </c>
      <c r="C508">
        <v>28320109</v>
      </c>
    </row>
    <row r="509" spans="1:3" x14ac:dyDescent="0.25">
      <c r="A509" s="1">
        <v>39814</v>
      </c>
      <c r="B509">
        <v>30</v>
      </c>
      <c r="C509">
        <v>65036696</v>
      </c>
    </row>
    <row r="510" spans="1:3" x14ac:dyDescent="0.25">
      <c r="A510" s="1">
        <v>39814</v>
      </c>
      <c r="B510">
        <v>35</v>
      </c>
      <c r="C510">
        <v>1456612</v>
      </c>
    </row>
    <row r="511" spans="1:3" x14ac:dyDescent="0.25">
      <c r="A511" s="1">
        <v>39783</v>
      </c>
      <c r="B511">
        <v>0</v>
      </c>
      <c r="C511">
        <v>227050</v>
      </c>
    </row>
    <row r="512" spans="1:3" x14ac:dyDescent="0.25">
      <c r="A512" s="1">
        <v>39783</v>
      </c>
      <c r="B512">
        <v>16</v>
      </c>
      <c r="C512">
        <v>2501380</v>
      </c>
    </row>
    <row r="513" spans="1:3" x14ac:dyDescent="0.25">
      <c r="A513" s="1">
        <v>39783</v>
      </c>
      <c r="B513">
        <v>17</v>
      </c>
      <c r="C513">
        <v>116959</v>
      </c>
    </row>
    <row r="514" spans="1:3" x14ac:dyDescent="0.25">
      <c r="A514" s="1">
        <v>39783</v>
      </c>
      <c r="B514">
        <v>18</v>
      </c>
      <c r="C514">
        <v>95000</v>
      </c>
    </row>
    <row r="515" spans="1:3" x14ac:dyDescent="0.25">
      <c r="A515" s="1">
        <v>39783</v>
      </c>
      <c r="B515">
        <v>20</v>
      </c>
      <c r="C515">
        <v>90250</v>
      </c>
    </row>
    <row r="516" spans="1:3" x14ac:dyDescent="0.25">
      <c r="A516" s="1">
        <v>39783</v>
      </c>
      <c r="B516">
        <v>25</v>
      </c>
      <c r="C516">
        <v>35729495</v>
      </c>
    </row>
    <row r="517" spans="1:3" x14ac:dyDescent="0.25">
      <c r="A517" s="1">
        <v>39783</v>
      </c>
      <c r="B517">
        <v>30</v>
      </c>
      <c r="C517">
        <v>108189571</v>
      </c>
    </row>
    <row r="518" spans="1:3" x14ac:dyDescent="0.25">
      <c r="A518" s="1">
        <v>39783</v>
      </c>
      <c r="B518">
        <v>35</v>
      </c>
      <c r="C518">
        <v>1557840</v>
      </c>
    </row>
    <row r="519" spans="1:3" x14ac:dyDescent="0.25">
      <c r="A519" s="1">
        <v>39753</v>
      </c>
      <c r="B519">
        <v>0</v>
      </c>
      <c r="C519">
        <v>303800</v>
      </c>
    </row>
    <row r="520" spans="1:3" x14ac:dyDescent="0.25">
      <c r="A520" s="1">
        <v>39753</v>
      </c>
      <c r="B520">
        <v>16</v>
      </c>
      <c r="C520">
        <v>3248113</v>
      </c>
    </row>
    <row r="521" spans="1:3" x14ac:dyDescent="0.25">
      <c r="A521" s="1">
        <v>39753</v>
      </c>
      <c r="B521">
        <v>17</v>
      </c>
      <c r="C521">
        <v>427375</v>
      </c>
    </row>
    <row r="522" spans="1:3" x14ac:dyDescent="0.25">
      <c r="A522" s="1">
        <v>39753</v>
      </c>
      <c r="B522">
        <v>18</v>
      </c>
      <c r="C522">
        <v>474952</v>
      </c>
    </row>
    <row r="523" spans="1:3" x14ac:dyDescent="0.25">
      <c r="A523" s="1">
        <v>39753</v>
      </c>
      <c r="B523">
        <v>25</v>
      </c>
      <c r="C523">
        <v>42734070</v>
      </c>
    </row>
    <row r="524" spans="1:3" x14ac:dyDescent="0.25">
      <c r="A524" s="1">
        <v>39753</v>
      </c>
      <c r="B524">
        <v>30</v>
      </c>
      <c r="C524">
        <v>141836951</v>
      </c>
    </row>
    <row r="525" spans="1:3" x14ac:dyDescent="0.25">
      <c r="A525" s="1">
        <v>39753</v>
      </c>
      <c r="B525">
        <v>35</v>
      </c>
      <c r="C525">
        <v>3490713</v>
      </c>
    </row>
    <row r="526" spans="1:3" x14ac:dyDescent="0.25">
      <c r="A526" s="1">
        <v>39722</v>
      </c>
      <c r="B526">
        <v>0</v>
      </c>
      <c r="C526">
        <v>271400</v>
      </c>
    </row>
    <row r="527" spans="1:3" x14ac:dyDescent="0.25">
      <c r="A527" s="1">
        <v>39722</v>
      </c>
      <c r="B527">
        <v>16</v>
      </c>
      <c r="C527">
        <v>5590180</v>
      </c>
    </row>
    <row r="528" spans="1:3" x14ac:dyDescent="0.25">
      <c r="A528" s="1">
        <v>39722</v>
      </c>
      <c r="B528">
        <v>18</v>
      </c>
      <c r="C528">
        <v>209000</v>
      </c>
    </row>
    <row r="529" spans="1:3" x14ac:dyDescent="0.25">
      <c r="A529" s="1">
        <v>39722</v>
      </c>
      <c r="B529">
        <v>22</v>
      </c>
      <c r="C529">
        <v>249850</v>
      </c>
    </row>
    <row r="530" spans="1:3" x14ac:dyDescent="0.25">
      <c r="A530" s="1">
        <v>39722</v>
      </c>
      <c r="B530">
        <v>25</v>
      </c>
      <c r="C530">
        <v>50112333</v>
      </c>
    </row>
    <row r="531" spans="1:3" x14ac:dyDescent="0.25">
      <c r="A531" s="1">
        <v>39722</v>
      </c>
      <c r="B531">
        <v>30</v>
      </c>
      <c r="C531">
        <v>140538463</v>
      </c>
    </row>
    <row r="532" spans="1:3" x14ac:dyDescent="0.25">
      <c r="A532" s="1">
        <v>39722</v>
      </c>
      <c r="B532">
        <v>35</v>
      </c>
      <c r="C532">
        <v>2218717</v>
      </c>
    </row>
    <row r="533" spans="1:3" x14ac:dyDescent="0.25">
      <c r="A533" s="1">
        <v>39692</v>
      </c>
      <c r="B533">
        <v>0</v>
      </c>
      <c r="C533">
        <v>847300</v>
      </c>
    </row>
    <row r="534" spans="1:3" x14ac:dyDescent="0.25">
      <c r="A534" s="1">
        <v>39692</v>
      </c>
      <c r="B534">
        <v>16</v>
      </c>
      <c r="C534">
        <v>4563334</v>
      </c>
    </row>
    <row r="535" spans="1:3" x14ac:dyDescent="0.25">
      <c r="A535" s="1">
        <v>39692</v>
      </c>
      <c r="B535">
        <v>18</v>
      </c>
      <c r="C535">
        <v>136325</v>
      </c>
    </row>
    <row r="536" spans="1:3" x14ac:dyDescent="0.25">
      <c r="A536" s="1">
        <v>39692</v>
      </c>
      <c r="B536">
        <v>20</v>
      </c>
      <c r="C536">
        <v>228250</v>
      </c>
    </row>
    <row r="537" spans="1:3" x14ac:dyDescent="0.25">
      <c r="A537" s="1">
        <v>39692</v>
      </c>
      <c r="B537">
        <v>25</v>
      </c>
      <c r="C537">
        <v>62607345</v>
      </c>
    </row>
    <row r="538" spans="1:3" x14ac:dyDescent="0.25">
      <c r="A538" s="1">
        <v>39692</v>
      </c>
      <c r="B538">
        <v>30</v>
      </c>
      <c r="C538">
        <v>196710981</v>
      </c>
    </row>
    <row r="539" spans="1:3" x14ac:dyDescent="0.25">
      <c r="A539" s="1">
        <v>39692</v>
      </c>
      <c r="B539">
        <v>35</v>
      </c>
      <c r="C539">
        <v>2721397</v>
      </c>
    </row>
    <row r="540" spans="1:3" x14ac:dyDescent="0.25">
      <c r="A540" s="1">
        <v>39690</v>
      </c>
      <c r="B540">
        <v>25</v>
      </c>
      <c r="C540">
        <v>190213</v>
      </c>
    </row>
    <row r="541" spans="1:3" x14ac:dyDescent="0.25">
      <c r="A541" s="1">
        <v>39685</v>
      </c>
      <c r="B541">
        <v>30</v>
      </c>
      <c r="C541">
        <v>185250</v>
      </c>
    </row>
    <row r="542" spans="1:3" x14ac:dyDescent="0.25">
      <c r="A542" s="1">
        <v>39661</v>
      </c>
      <c r="B542">
        <v>0</v>
      </c>
      <c r="C542">
        <v>730461</v>
      </c>
    </row>
    <row r="543" spans="1:3" x14ac:dyDescent="0.25">
      <c r="A543" s="1">
        <v>39661</v>
      </c>
      <c r="B543">
        <v>16</v>
      </c>
      <c r="C543">
        <v>8626126</v>
      </c>
    </row>
    <row r="544" spans="1:3" x14ac:dyDescent="0.25">
      <c r="A544" s="1">
        <v>39661</v>
      </c>
      <c r="B544">
        <v>17</v>
      </c>
      <c r="C544">
        <v>365220</v>
      </c>
    </row>
    <row r="545" spans="1:3" x14ac:dyDescent="0.25">
      <c r="A545" s="1">
        <v>39661</v>
      </c>
      <c r="B545">
        <v>18</v>
      </c>
      <c r="C545">
        <v>203260</v>
      </c>
    </row>
    <row r="546" spans="1:3" x14ac:dyDescent="0.25">
      <c r="A546" s="1">
        <v>39661</v>
      </c>
      <c r="B546">
        <v>20</v>
      </c>
      <c r="C546">
        <v>448400</v>
      </c>
    </row>
    <row r="547" spans="1:3" x14ac:dyDescent="0.25">
      <c r="A547" s="1">
        <v>39661</v>
      </c>
      <c r="B547">
        <v>25</v>
      </c>
      <c r="C547">
        <v>68671556</v>
      </c>
    </row>
    <row r="548" spans="1:3" x14ac:dyDescent="0.25">
      <c r="A548" s="1">
        <v>39661</v>
      </c>
      <c r="B548">
        <v>30</v>
      </c>
      <c r="C548">
        <v>255474409</v>
      </c>
    </row>
    <row r="549" spans="1:3" x14ac:dyDescent="0.25">
      <c r="A549" s="1">
        <v>39661</v>
      </c>
      <c r="B549">
        <v>32</v>
      </c>
      <c r="C549">
        <v>287030</v>
      </c>
    </row>
    <row r="550" spans="1:3" x14ac:dyDescent="0.25">
      <c r="A550" s="1">
        <v>39661</v>
      </c>
      <c r="B550">
        <v>35</v>
      </c>
      <c r="C550">
        <v>7315160</v>
      </c>
    </row>
    <row r="551" spans="1:3" x14ac:dyDescent="0.25">
      <c r="A551" s="1">
        <v>39630</v>
      </c>
      <c r="B551">
        <v>0</v>
      </c>
      <c r="C551">
        <v>746386</v>
      </c>
    </row>
    <row r="552" spans="1:3" x14ac:dyDescent="0.25">
      <c r="A552" s="1">
        <v>39630</v>
      </c>
      <c r="B552">
        <v>16</v>
      </c>
      <c r="C552">
        <v>12437052</v>
      </c>
    </row>
    <row r="553" spans="1:3" x14ac:dyDescent="0.25">
      <c r="A553" s="1">
        <v>39630</v>
      </c>
      <c r="B553">
        <v>17</v>
      </c>
      <c r="C553">
        <v>558097</v>
      </c>
    </row>
    <row r="554" spans="1:3" x14ac:dyDescent="0.25">
      <c r="A554" s="1">
        <v>39630</v>
      </c>
      <c r="B554">
        <v>18</v>
      </c>
      <c r="C554">
        <v>800655</v>
      </c>
    </row>
    <row r="555" spans="1:3" x14ac:dyDescent="0.25">
      <c r="A555" s="1">
        <v>39630</v>
      </c>
      <c r="B555">
        <v>25</v>
      </c>
      <c r="C555">
        <v>66219177</v>
      </c>
    </row>
    <row r="556" spans="1:3" x14ac:dyDescent="0.25">
      <c r="A556" s="1">
        <v>39630</v>
      </c>
      <c r="B556">
        <v>30</v>
      </c>
      <c r="C556">
        <v>201046773</v>
      </c>
    </row>
    <row r="557" spans="1:3" x14ac:dyDescent="0.25">
      <c r="A557" s="1">
        <v>39630</v>
      </c>
      <c r="B557">
        <v>32</v>
      </c>
      <c r="C557">
        <v>723375</v>
      </c>
    </row>
    <row r="558" spans="1:3" x14ac:dyDescent="0.25">
      <c r="A558" s="1">
        <v>39630</v>
      </c>
      <c r="B558">
        <v>35</v>
      </c>
      <c r="C558">
        <v>7156653</v>
      </c>
    </row>
    <row r="559" spans="1:3" x14ac:dyDescent="0.25">
      <c r="A559" s="1">
        <v>39630</v>
      </c>
      <c r="B559">
        <v>37</v>
      </c>
      <c r="C559">
        <v>229500</v>
      </c>
    </row>
    <row r="560" spans="1:3" x14ac:dyDescent="0.25">
      <c r="A560" s="1">
        <v>39600</v>
      </c>
      <c r="B560">
        <v>0</v>
      </c>
      <c r="C560">
        <v>1234460</v>
      </c>
    </row>
    <row r="561" spans="1:3" x14ac:dyDescent="0.25">
      <c r="A561" s="1">
        <v>39600</v>
      </c>
      <c r="B561">
        <v>16</v>
      </c>
      <c r="C561">
        <v>19606565</v>
      </c>
    </row>
    <row r="562" spans="1:3" x14ac:dyDescent="0.25">
      <c r="A562" s="1">
        <v>39600</v>
      </c>
      <c r="B562">
        <v>17</v>
      </c>
      <c r="C562">
        <v>699250</v>
      </c>
    </row>
    <row r="563" spans="1:3" x14ac:dyDescent="0.25">
      <c r="A563" s="1">
        <v>39600</v>
      </c>
      <c r="B563">
        <v>18</v>
      </c>
      <c r="C563">
        <v>1514250</v>
      </c>
    </row>
    <row r="564" spans="1:3" x14ac:dyDescent="0.25">
      <c r="A564" s="1">
        <v>39600</v>
      </c>
      <c r="B564">
        <v>20</v>
      </c>
      <c r="C564">
        <v>133000</v>
      </c>
    </row>
    <row r="565" spans="1:3" x14ac:dyDescent="0.25">
      <c r="A565" s="1">
        <v>39600</v>
      </c>
      <c r="B565">
        <v>25</v>
      </c>
      <c r="C565">
        <v>58893346</v>
      </c>
    </row>
    <row r="566" spans="1:3" x14ac:dyDescent="0.25">
      <c r="A566" s="1">
        <v>39600</v>
      </c>
      <c r="B566">
        <v>30</v>
      </c>
      <c r="C566">
        <v>205040542</v>
      </c>
    </row>
    <row r="567" spans="1:3" x14ac:dyDescent="0.25">
      <c r="A567" s="1">
        <v>39600</v>
      </c>
      <c r="B567">
        <v>32</v>
      </c>
      <c r="C567">
        <v>2263660</v>
      </c>
    </row>
    <row r="568" spans="1:3" x14ac:dyDescent="0.25">
      <c r="A568" s="1">
        <v>39600</v>
      </c>
      <c r="B568">
        <v>35</v>
      </c>
      <c r="C568">
        <v>11829909</v>
      </c>
    </row>
    <row r="569" spans="1:3" x14ac:dyDescent="0.25">
      <c r="A569" s="1">
        <v>39569</v>
      </c>
      <c r="B569">
        <v>-999</v>
      </c>
      <c r="C569">
        <v>436500</v>
      </c>
    </row>
    <row r="570" spans="1:3" x14ac:dyDescent="0.25">
      <c r="A570" s="1">
        <v>39569</v>
      </c>
      <c r="B570">
        <v>0</v>
      </c>
      <c r="C570">
        <v>742037</v>
      </c>
    </row>
    <row r="571" spans="1:3" x14ac:dyDescent="0.25">
      <c r="A571" s="1">
        <v>39569</v>
      </c>
      <c r="B571">
        <v>16</v>
      </c>
      <c r="C571">
        <v>20107245</v>
      </c>
    </row>
    <row r="572" spans="1:3" x14ac:dyDescent="0.25">
      <c r="A572" s="1">
        <v>39569</v>
      </c>
      <c r="B572">
        <v>17</v>
      </c>
      <c r="C572">
        <v>516550</v>
      </c>
    </row>
    <row r="573" spans="1:3" x14ac:dyDescent="0.25">
      <c r="A573" s="1">
        <v>39569</v>
      </c>
      <c r="B573">
        <v>18</v>
      </c>
      <c r="C573">
        <v>1853457</v>
      </c>
    </row>
    <row r="574" spans="1:3" x14ac:dyDescent="0.25">
      <c r="A574" s="1">
        <v>39569</v>
      </c>
      <c r="B574">
        <v>20</v>
      </c>
      <c r="C574">
        <v>1181100</v>
      </c>
    </row>
    <row r="575" spans="1:3" x14ac:dyDescent="0.25">
      <c r="A575" s="1">
        <v>39569</v>
      </c>
      <c r="B575">
        <v>25</v>
      </c>
      <c r="C575">
        <v>66064970</v>
      </c>
    </row>
    <row r="576" spans="1:3" x14ac:dyDescent="0.25">
      <c r="A576" s="1">
        <v>39569</v>
      </c>
      <c r="B576">
        <v>30</v>
      </c>
      <c r="C576">
        <v>297941086</v>
      </c>
    </row>
    <row r="577" spans="1:3" x14ac:dyDescent="0.25">
      <c r="A577" s="1">
        <v>39569</v>
      </c>
      <c r="B577">
        <v>31</v>
      </c>
      <c r="C577">
        <v>71250</v>
      </c>
    </row>
    <row r="578" spans="1:3" x14ac:dyDescent="0.25">
      <c r="A578" s="1">
        <v>39569</v>
      </c>
      <c r="B578">
        <v>32</v>
      </c>
      <c r="C578">
        <v>2419170</v>
      </c>
    </row>
    <row r="579" spans="1:3" x14ac:dyDescent="0.25">
      <c r="A579" s="1">
        <v>39569</v>
      </c>
      <c r="B579">
        <v>33</v>
      </c>
      <c r="C579">
        <v>87112</v>
      </c>
    </row>
    <row r="580" spans="1:3" x14ac:dyDescent="0.25">
      <c r="A580" s="1">
        <v>39569</v>
      </c>
      <c r="B580">
        <v>35</v>
      </c>
      <c r="C580">
        <v>23759301</v>
      </c>
    </row>
    <row r="581" spans="1:3" x14ac:dyDescent="0.25">
      <c r="A581" s="1">
        <v>39543</v>
      </c>
      <c r="B581">
        <v>20</v>
      </c>
      <c r="C581">
        <v>190000</v>
      </c>
    </row>
    <row r="582" spans="1:3" x14ac:dyDescent="0.25">
      <c r="A582" s="1">
        <v>39540</v>
      </c>
      <c r="B582">
        <v>30</v>
      </c>
      <c r="C582">
        <v>52250</v>
      </c>
    </row>
    <row r="583" spans="1:3" x14ac:dyDescent="0.25">
      <c r="A583" s="1">
        <v>39539</v>
      </c>
      <c r="B583">
        <v>-999</v>
      </c>
      <c r="C583">
        <v>261373</v>
      </c>
    </row>
    <row r="584" spans="1:3" x14ac:dyDescent="0.25">
      <c r="A584" s="1">
        <v>39539</v>
      </c>
      <c r="B584">
        <v>0</v>
      </c>
      <c r="C584">
        <v>547200</v>
      </c>
    </row>
    <row r="585" spans="1:3" x14ac:dyDescent="0.25">
      <c r="A585" s="1">
        <v>39539</v>
      </c>
      <c r="B585">
        <v>16</v>
      </c>
      <c r="C585">
        <v>17514084</v>
      </c>
    </row>
    <row r="586" spans="1:3" x14ac:dyDescent="0.25">
      <c r="A586" s="1">
        <v>39539</v>
      </c>
      <c r="B586">
        <v>17</v>
      </c>
      <c r="C586">
        <v>276012</v>
      </c>
    </row>
    <row r="587" spans="1:3" x14ac:dyDescent="0.25">
      <c r="A587" s="1">
        <v>39539</v>
      </c>
      <c r="B587">
        <v>18</v>
      </c>
      <c r="C587">
        <v>2263450</v>
      </c>
    </row>
    <row r="588" spans="1:3" x14ac:dyDescent="0.25">
      <c r="A588" s="1">
        <v>39539</v>
      </c>
      <c r="B588">
        <v>20</v>
      </c>
      <c r="C588">
        <v>1504824</v>
      </c>
    </row>
    <row r="589" spans="1:3" x14ac:dyDescent="0.25">
      <c r="A589" s="1">
        <v>39539</v>
      </c>
      <c r="B589">
        <v>25</v>
      </c>
      <c r="C589">
        <v>48641184</v>
      </c>
    </row>
    <row r="590" spans="1:3" x14ac:dyDescent="0.25">
      <c r="A590" s="1">
        <v>39539</v>
      </c>
      <c r="B590">
        <v>27</v>
      </c>
      <c r="C590">
        <v>83362</v>
      </c>
    </row>
    <row r="591" spans="1:3" x14ac:dyDescent="0.25">
      <c r="A591" s="1">
        <v>39539</v>
      </c>
      <c r="B591">
        <v>30</v>
      </c>
      <c r="C591">
        <v>285662030</v>
      </c>
    </row>
    <row r="592" spans="1:3" x14ac:dyDescent="0.25">
      <c r="A592" s="1">
        <v>39539</v>
      </c>
      <c r="B592">
        <v>32</v>
      </c>
      <c r="C592">
        <v>2104009</v>
      </c>
    </row>
    <row r="593" spans="1:3" x14ac:dyDescent="0.25">
      <c r="A593" s="1">
        <v>39539</v>
      </c>
      <c r="B593">
        <v>35</v>
      </c>
      <c r="C593">
        <v>11530420</v>
      </c>
    </row>
    <row r="594" spans="1:3" x14ac:dyDescent="0.25">
      <c r="A594" s="1">
        <v>39539</v>
      </c>
      <c r="B594">
        <v>40</v>
      </c>
      <c r="C594">
        <v>83100</v>
      </c>
    </row>
    <row r="595" spans="1:3" x14ac:dyDescent="0.25">
      <c r="A595" s="1">
        <v>39508</v>
      </c>
      <c r="B595">
        <v>-999</v>
      </c>
      <c r="C595">
        <v>2247245</v>
      </c>
    </row>
    <row r="596" spans="1:3" x14ac:dyDescent="0.25">
      <c r="A596" s="1">
        <v>39508</v>
      </c>
      <c r="B596">
        <v>0</v>
      </c>
      <c r="C596">
        <v>1427617</v>
      </c>
    </row>
    <row r="597" spans="1:3" x14ac:dyDescent="0.25">
      <c r="A597" s="1">
        <v>39508</v>
      </c>
      <c r="B597">
        <v>16</v>
      </c>
      <c r="C597">
        <v>15640993</v>
      </c>
    </row>
    <row r="598" spans="1:3" x14ac:dyDescent="0.25">
      <c r="A598" s="1">
        <v>39508</v>
      </c>
      <c r="B598">
        <v>17</v>
      </c>
      <c r="C598">
        <v>565011</v>
      </c>
    </row>
    <row r="599" spans="1:3" x14ac:dyDescent="0.25">
      <c r="A599" s="1">
        <v>39508</v>
      </c>
      <c r="B599">
        <v>18</v>
      </c>
      <c r="C599">
        <v>795925</v>
      </c>
    </row>
    <row r="600" spans="1:3" x14ac:dyDescent="0.25">
      <c r="A600" s="1">
        <v>39508</v>
      </c>
      <c r="B600">
        <v>20</v>
      </c>
      <c r="C600">
        <v>322525</v>
      </c>
    </row>
    <row r="601" spans="1:3" x14ac:dyDescent="0.25">
      <c r="A601" s="1">
        <v>39508</v>
      </c>
      <c r="B601">
        <v>25</v>
      </c>
      <c r="C601">
        <v>47717985</v>
      </c>
    </row>
    <row r="602" spans="1:3" x14ac:dyDescent="0.25">
      <c r="A602" s="1">
        <v>39508</v>
      </c>
      <c r="B602">
        <v>30</v>
      </c>
      <c r="C602">
        <v>243784179</v>
      </c>
    </row>
    <row r="603" spans="1:3" x14ac:dyDescent="0.25">
      <c r="A603" s="1">
        <v>39508</v>
      </c>
      <c r="B603">
        <v>32</v>
      </c>
      <c r="C603">
        <v>1767475</v>
      </c>
    </row>
    <row r="604" spans="1:3" x14ac:dyDescent="0.25">
      <c r="A604" s="1">
        <v>39508</v>
      </c>
      <c r="B604">
        <v>35</v>
      </c>
      <c r="C604">
        <v>10645006</v>
      </c>
    </row>
    <row r="605" spans="1:3" x14ac:dyDescent="0.25">
      <c r="A605" s="1">
        <v>39479</v>
      </c>
      <c r="B605">
        <v>-999</v>
      </c>
      <c r="C605">
        <v>4884324</v>
      </c>
    </row>
    <row r="606" spans="1:3" x14ac:dyDescent="0.25">
      <c r="A606" s="1">
        <v>39479</v>
      </c>
      <c r="B606">
        <v>0</v>
      </c>
      <c r="C606">
        <v>172956</v>
      </c>
    </row>
    <row r="607" spans="1:3" x14ac:dyDescent="0.25">
      <c r="A607" s="1">
        <v>39479</v>
      </c>
      <c r="B607">
        <v>12</v>
      </c>
      <c r="C607">
        <v>39131</v>
      </c>
    </row>
    <row r="608" spans="1:3" x14ac:dyDescent="0.25">
      <c r="A608" s="1">
        <v>39479</v>
      </c>
      <c r="B608">
        <v>16</v>
      </c>
      <c r="C608">
        <v>11868235</v>
      </c>
    </row>
    <row r="609" spans="1:3" x14ac:dyDescent="0.25">
      <c r="A609" s="1">
        <v>39479</v>
      </c>
      <c r="B609">
        <v>18</v>
      </c>
      <c r="C609">
        <v>718038</v>
      </c>
    </row>
    <row r="610" spans="1:3" x14ac:dyDescent="0.25">
      <c r="A610" s="1">
        <v>39479</v>
      </c>
      <c r="B610">
        <v>20</v>
      </c>
      <c r="C610">
        <v>995700</v>
      </c>
    </row>
    <row r="611" spans="1:3" x14ac:dyDescent="0.25">
      <c r="A611" s="1">
        <v>39479</v>
      </c>
      <c r="B611">
        <v>25</v>
      </c>
      <c r="C611">
        <v>46624880</v>
      </c>
    </row>
    <row r="612" spans="1:3" x14ac:dyDescent="0.25">
      <c r="A612" s="1">
        <v>39479</v>
      </c>
      <c r="B612">
        <v>30</v>
      </c>
      <c r="C612">
        <v>288076913</v>
      </c>
    </row>
    <row r="613" spans="1:3" x14ac:dyDescent="0.25">
      <c r="A613" s="1">
        <v>39479</v>
      </c>
      <c r="B613">
        <v>32</v>
      </c>
      <c r="C613">
        <v>2577151</v>
      </c>
    </row>
    <row r="614" spans="1:3" x14ac:dyDescent="0.25">
      <c r="A614" s="1">
        <v>39479</v>
      </c>
      <c r="B614">
        <v>35</v>
      </c>
      <c r="C614">
        <v>10448678</v>
      </c>
    </row>
    <row r="615" spans="1:3" x14ac:dyDescent="0.25">
      <c r="A615" s="1">
        <v>39479</v>
      </c>
      <c r="B615">
        <v>37</v>
      </c>
      <c r="C615">
        <v>90250</v>
      </c>
    </row>
    <row r="616" spans="1:3" x14ac:dyDescent="0.25">
      <c r="A616" s="1">
        <v>39448</v>
      </c>
      <c r="B616">
        <v>-999</v>
      </c>
      <c r="C616">
        <v>4554083</v>
      </c>
    </row>
    <row r="617" spans="1:3" x14ac:dyDescent="0.25">
      <c r="A617" s="1">
        <v>39448</v>
      </c>
      <c r="B617">
        <v>0</v>
      </c>
      <c r="C617">
        <v>757900</v>
      </c>
    </row>
    <row r="618" spans="1:3" x14ac:dyDescent="0.25">
      <c r="A618" s="1">
        <v>39448</v>
      </c>
      <c r="B618">
        <v>16</v>
      </c>
      <c r="C618">
        <v>11400581</v>
      </c>
    </row>
    <row r="619" spans="1:3" x14ac:dyDescent="0.25">
      <c r="A619" s="1">
        <v>39448</v>
      </c>
      <c r="B619">
        <v>17</v>
      </c>
      <c r="C619">
        <v>168650</v>
      </c>
    </row>
    <row r="620" spans="1:3" x14ac:dyDescent="0.25">
      <c r="A620" s="1">
        <v>39448</v>
      </c>
      <c r="B620">
        <v>18</v>
      </c>
      <c r="C620">
        <v>1536581</v>
      </c>
    </row>
    <row r="621" spans="1:3" x14ac:dyDescent="0.25">
      <c r="A621" s="1">
        <v>39448</v>
      </c>
      <c r="B621">
        <v>20</v>
      </c>
      <c r="C621">
        <v>769265</v>
      </c>
    </row>
    <row r="622" spans="1:3" x14ac:dyDescent="0.25">
      <c r="A622" s="1">
        <v>39448</v>
      </c>
      <c r="B622">
        <v>22</v>
      </c>
      <c r="C622">
        <v>120000</v>
      </c>
    </row>
    <row r="623" spans="1:3" x14ac:dyDescent="0.25">
      <c r="A623" s="1">
        <v>39448</v>
      </c>
      <c r="B623">
        <v>25</v>
      </c>
      <c r="C623">
        <v>39378296</v>
      </c>
    </row>
    <row r="624" spans="1:3" x14ac:dyDescent="0.25">
      <c r="A624" s="1">
        <v>39448</v>
      </c>
      <c r="B624">
        <v>30</v>
      </c>
      <c r="C624">
        <v>289957146</v>
      </c>
    </row>
    <row r="625" spans="1:3" x14ac:dyDescent="0.25">
      <c r="A625" s="1">
        <v>39448</v>
      </c>
      <c r="B625">
        <v>32</v>
      </c>
      <c r="C625">
        <v>3812467</v>
      </c>
    </row>
    <row r="626" spans="1:3" x14ac:dyDescent="0.25">
      <c r="A626" s="1">
        <v>39448</v>
      </c>
      <c r="B626">
        <v>35</v>
      </c>
      <c r="C626">
        <v>5665904</v>
      </c>
    </row>
    <row r="627" spans="1:3" x14ac:dyDescent="0.25">
      <c r="A627" s="1">
        <v>39417</v>
      </c>
      <c r="B627">
        <v>-999</v>
      </c>
      <c r="C627">
        <v>11013669</v>
      </c>
    </row>
    <row r="628" spans="1:3" x14ac:dyDescent="0.25">
      <c r="A628" s="1">
        <v>39417</v>
      </c>
      <c r="B628">
        <v>0</v>
      </c>
      <c r="C628">
        <v>778450</v>
      </c>
    </row>
    <row r="629" spans="1:3" x14ac:dyDescent="0.25">
      <c r="A629" s="1">
        <v>39417</v>
      </c>
      <c r="B629">
        <v>16</v>
      </c>
      <c r="C629">
        <v>12882571</v>
      </c>
    </row>
    <row r="630" spans="1:3" x14ac:dyDescent="0.25">
      <c r="A630" s="1">
        <v>39417</v>
      </c>
      <c r="B630">
        <v>17</v>
      </c>
      <c r="C630">
        <v>763886</v>
      </c>
    </row>
    <row r="631" spans="1:3" x14ac:dyDescent="0.25">
      <c r="A631" s="1">
        <v>39417</v>
      </c>
      <c r="B631">
        <v>18</v>
      </c>
      <c r="C631">
        <v>1272007</v>
      </c>
    </row>
    <row r="632" spans="1:3" x14ac:dyDescent="0.25">
      <c r="A632" s="1">
        <v>39417</v>
      </c>
      <c r="B632">
        <v>20</v>
      </c>
      <c r="C632">
        <v>507300</v>
      </c>
    </row>
    <row r="633" spans="1:3" x14ac:dyDescent="0.25">
      <c r="A633" s="1">
        <v>39417</v>
      </c>
      <c r="B633">
        <v>25</v>
      </c>
      <c r="C633">
        <v>40745773</v>
      </c>
    </row>
    <row r="634" spans="1:3" x14ac:dyDescent="0.25">
      <c r="A634" s="1">
        <v>39417</v>
      </c>
      <c r="B634">
        <v>27</v>
      </c>
      <c r="C634">
        <v>359350</v>
      </c>
    </row>
    <row r="635" spans="1:3" x14ac:dyDescent="0.25">
      <c r="A635" s="1">
        <v>39417</v>
      </c>
      <c r="B635">
        <v>30</v>
      </c>
      <c r="C635">
        <v>284846800</v>
      </c>
    </row>
    <row r="636" spans="1:3" x14ac:dyDescent="0.25">
      <c r="A636" s="1">
        <v>39417</v>
      </c>
      <c r="B636">
        <v>32</v>
      </c>
      <c r="C636">
        <v>1463597</v>
      </c>
    </row>
    <row r="637" spans="1:3" x14ac:dyDescent="0.25">
      <c r="A637" s="1">
        <v>39417</v>
      </c>
      <c r="B637">
        <v>35</v>
      </c>
      <c r="C637">
        <v>7897763</v>
      </c>
    </row>
    <row r="638" spans="1:3" x14ac:dyDescent="0.25">
      <c r="A638" s="1">
        <v>39387</v>
      </c>
      <c r="B638">
        <v>-999</v>
      </c>
      <c r="C638">
        <v>16114688</v>
      </c>
    </row>
    <row r="639" spans="1:3" x14ac:dyDescent="0.25">
      <c r="A639" s="1">
        <v>39387</v>
      </c>
      <c r="B639">
        <v>0</v>
      </c>
      <c r="C639">
        <v>525317</v>
      </c>
    </row>
    <row r="640" spans="1:3" x14ac:dyDescent="0.25">
      <c r="A640" s="1">
        <v>39387</v>
      </c>
      <c r="B640">
        <v>16</v>
      </c>
      <c r="C640">
        <v>14509929</v>
      </c>
    </row>
    <row r="641" spans="1:3" x14ac:dyDescent="0.25">
      <c r="A641" s="1">
        <v>39387</v>
      </c>
      <c r="B641">
        <v>17</v>
      </c>
      <c r="C641">
        <v>277942</v>
      </c>
    </row>
    <row r="642" spans="1:3" x14ac:dyDescent="0.25">
      <c r="A642" s="1">
        <v>39387</v>
      </c>
      <c r="B642">
        <v>18</v>
      </c>
      <c r="C642">
        <v>821880</v>
      </c>
    </row>
    <row r="643" spans="1:3" x14ac:dyDescent="0.25">
      <c r="A643" s="1">
        <v>39387</v>
      </c>
      <c r="B643">
        <v>20</v>
      </c>
      <c r="C643">
        <v>795875</v>
      </c>
    </row>
    <row r="644" spans="1:3" x14ac:dyDescent="0.25">
      <c r="A644" s="1">
        <v>39387</v>
      </c>
      <c r="B644">
        <v>25</v>
      </c>
      <c r="C644">
        <v>32535963</v>
      </c>
    </row>
    <row r="645" spans="1:3" x14ac:dyDescent="0.25">
      <c r="A645" s="1">
        <v>39387</v>
      </c>
      <c r="B645">
        <v>27</v>
      </c>
      <c r="C645">
        <v>607710</v>
      </c>
    </row>
    <row r="646" spans="1:3" x14ac:dyDescent="0.25">
      <c r="A646" s="1">
        <v>39387</v>
      </c>
      <c r="B646">
        <v>28</v>
      </c>
      <c r="C646">
        <v>308750</v>
      </c>
    </row>
    <row r="647" spans="1:3" x14ac:dyDescent="0.25">
      <c r="A647" s="1">
        <v>39387</v>
      </c>
      <c r="B647">
        <v>30</v>
      </c>
      <c r="C647">
        <v>258429434</v>
      </c>
    </row>
    <row r="648" spans="1:3" x14ac:dyDescent="0.25">
      <c r="A648" s="1">
        <v>39387</v>
      </c>
      <c r="B648">
        <v>32</v>
      </c>
      <c r="C648">
        <v>2456950</v>
      </c>
    </row>
    <row r="649" spans="1:3" x14ac:dyDescent="0.25">
      <c r="A649" s="1">
        <v>39387</v>
      </c>
      <c r="B649">
        <v>35</v>
      </c>
      <c r="C649">
        <v>5314954</v>
      </c>
    </row>
    <row r="650" spans="1:3" x14ac:dyDescent="0.25">
      <c r="A650" s="1">
        <v>39365</v>
      </c>
      <c r="B650">
        <v>30</v>
      </c>
      <c r="C650">
        <v>303000</v>
      </c>
    </row>
    <row r="651" spans="1:3" x14ac:dyDescent="0.25">
      <c r="A651" s="1">
        <v>39356</v>
      </c>
      <c r="B651">
        <v>-999</v>
      </c>
      <c r="C651">
        <v>26768984</v>
      </c>
    </row>
    <row r="652" spans="1:3" x14ac:dyDescent="0.25">
      <c r="A652" s="1">
        <v>39356</v>
      </c>
      <c r="B652">
        <v>0</v>
      </c>
      <c r="C652">
        <v>913855</v>
      </c>
    </row>
    <row r="653" spans="1:3" x14ac:dyDescent="0.25">
      <c r="A653" s="1">
        <v>39356</v>
      </c>
      <c r="B653">
        <v>16</v>
      </c>
      <c r="C653">
        <v>15607798</v>
      </c>
    </row>
    <row r="654" spans="1:3" x14ac:dyDescent="0.25">
      <c r="A654" s="1">
        <v>39356</v>
      </c>
      <c r="B654">
        <v>18</v>
      </c>
      <c r="C654">
        <v>1787354</v>
      </c>
    </row>
    <row r="655" spans="1:3" x14ac:dyDescent="0.25">
      <c r="A655" s="1">
        <v>39356</v>
      </c>
      <c r="B655">
        <v>20</v>
      </c>
      <c r="C655">
        <v>469405</v>
      </c>
    </row>
    <row r="656" spans="1:3" x14ac:dyDescent="0.25">
      <c r="A656" s="1">
        <v>39356</v>
      </c>
      <c r="B656">
        <v>25</v>
      </c>
      <c r="C656">
        <v>36203218</v>
      </c>
    </row>
    <row r="657" spans="1:3" x14ac:dyDescent="0.25">
      <c r="A657" s="1">
        <v>39356</v>
      </c>
      <c r="B657">
        <v>27</v>
      </c>
      <c r="C657">
        <v>710959</v>
      </c>
    </row>
    <row r="658" spans="1:3" x14ac:dyDescent="0.25">
      <c r="A658" s="1">
        <v>39356</v>
      </c>
      <c r="B658">
        <v>30</v>
      </c>
      <c r="C658">
        <v>257255382</v>
      </c>
    </row>
    <row r="659" spans="1:3" x14ac:dyDescent="0.25">
      <c r="A659" s="1">
        <v>39356</v>
      </c>
      <c r="B659">
        <v>32</v>
      </c>
      <c r="C659">
        <v>2550910</v>
      </c>
    </row>
    <row r="660" spans="1:3" x14ac:dyDescent="0.25">
      <c r="A660" s="1">
        <v>39356</v>
      </c>
      <c r="B660">
        <v>35</v>
      </c>
      <c r="C660">
        <v>6103592</v>
      </c>
    </row>
    <row r="661" spans="1:3" x14ac:dyDescent="0.25">
      <c r="A661" s="1">
        <v>39354</v>
      </c>
      <c r="B661">
        <v>30</v>
      </c>
      <c r="C661">
        <v>220000</v>
      </c>
    </row>
    <row r="662" spans="1:3" x14ac:dyDescent="0.25">
      <c r="A662" s="1">
        <v>39326</v>
      </c>
      <c r="B662">
        <v>-999</v>
      </c>
      <c r="C662">
        <v>26959526</v>
      </c>
    </row>
    <row r="663" spans="1:3" x14ac:dyDescent="0.25">
      <c r="A663" s="1">
        <v>39326</v>
      </c>
      <c r="B663">
        <v>0</v>
      </c>
      <c r="C663">
        <v>2422436</v>
      </c>
    </row>
    <row r="664" spans="1:3" x14ac:dyDescent="0.25">
      <c r="A664" s="1">
        <v>39326</v>
      </c>
      <c r="B664">
        <v>2</v>
      </c>
      <c r="C664">
        <v>103950</v>
      </c>
    </row>
    <row r="665" spans="1:3" x14ac:dyDescent="0.25">
      <c r="A665" s="1">
        <v>39326</v>
      </c>
      <c r="B665">
        <v>16</v>
      </c>
      <c r="C665">
        <v>13917186</v>
      </c>
    </row>
    <row r="666" spans="1:3" x14ac:dyDescent="0.25">
      <c r="A666" s="1">
        <v>39326</v>
      </c>
      <c r="B666">
        <v>17</v>
      </c>
      <c r="C666">
        <v>406450</v>
      </c>
    </row>
    <row r="667" spans="1:3" x14ac:dyDescent="0.25">
      <c r="A667" s="1">
        <v>39326</v>
      </c>
      <c r="B667">
        <v>18</v>
      </c>
      <c r="C667">
        <v>1116473</v>
      </c>
    </row>
    <row r="668" spans="1:3" x14ac:dyDescent="0.25">
      <c r="A668" s="1">
        <v>39326</v>
      </c>
      <c r="B668">
        <v>20</v>
      </c>
      <c r="C668">
        <v>1309955</v>
      </c>
    </row>
    <row r="669" spans="1:3" x14ac:dyDescent="0.25">
      <c r="A669" s="1">
        <v>39326</v>
      </c>
      <c r="B669">
        <v>25</v>
      </c>
      <c r="C669">
        <v>37065551</v>
      </c>
    </row>
    <row r="670" spans="1:3" x14ac:dyDescent="0.25">
      <c r="A670" s="1">
        <v>39326</v>
      </c>
      <c r="B670">
        <v>27</v>
      </c>
      <c r="C670">
        <v>430350</v>
      </c>
    </row>
    <row r="671" spans="1:3" x14ac:dyDescent="0.25">
      <c r="A671" s="1">
        <v>39326</v>
      </c>
      <c r="B671">
        <v>30</v>
      </c>
      <c r="C671">
        <v>232810625</v>
      </c>
    </row>
    <row r="672" spans="1:3" x14ac:dyDescent="0.25">
      <c r="A672" s="1">
        <v>39326</v>
      </c>
      <c r="B672">
        <v>32</v>
      </c>
      <c r="C672">
        <v>3202877</v>
      </c>
    </row>
    <row r="673" spans="1:3" x14ac:dyDescent="0.25">
      <c r="A673" s="1">
        <v>39326</v>
      </c>
      <c r="B673">
        <v>35</v>
      </c>
      <c r="C673">
        <v>6226227</v>
      </c>
    </row>
    <row r="674" spans="1:3" x14ac:dyDescent="0.25">
      <c r="A674" s="1">
        <v>39326</v>
      </c>
      <c r="B674">
        <v>37</v>
      </c>
      <c r="C674">
        <v>139550</v>
      </c>
    </row>
    <row r="675" spans="1:3" x14ac:dyDescent="0.25">
      <c r="A675" s="1">
        <v>39296</v>
      </c>
      <c r="B675">
        <v>30</v>
      </c>
      <c r="C675">
        <v>70300</v>
      </c>
    </row>
    <row r="676" spans="1:3" x14ac:dyDescent="0.25">
      <c r="A676" s="1">
        <v>39295</v>
      </c>
      <c r="B676">
        <v>-999</v>
      </c>
      <c r="C676">
        <v>17930286</v>
      </c>
    </row>
    <row r="677" spans="1:3" x14ac:dyDescent="0.25">
      <c r="A677" s="1">
        <v>39295</v>
      </c>
      <c r="B677">
        <v>0</v>
      </c>
      <c r="C677">
        <v>961713</v>
      </c>
    </row>
    <row r="678" spans="1:3" x14ac:dyDescent="0.25">
      <c r="A678" s="1">
        <v>39295</v>
      </c>
      <c r="B678">
        <v>1</v>
      </c>
      <c r="C678">
        <v>99400</v>
      </c>
    </row>
    <row r="679" spans="1:3" x14ac:dyDescent="0.25">
      <c r="A679" s="1">
        <v>39295</v>
      </c>
      <c r="B679">
        <v>16</v>
      </c>
      <c r="C679">
        <v>14039003</v>
      </c>
    </row>
    <row r="680" spans="1:3" x14ac:dyDescent="0.25">
      <c r="A680" s="1">
        <v>39295</v>
      </c>
      <c r="B680">
        <v>17</v>
      </c>
      <c r="C680">
        <v>742095</v>
      </c>
    </row>
    <row r="681" spans="1:3" x14ac:dyDescent="0.25">
      <c r="A681" s="1">
        <v>39295</v>
      </c>
      <c r="B681">
        <v>18</v>
      </c>
      <c r="C681">
        <v>1603862</v>
      </c>
    </row>
    <row r="682" spans="1:3" x14ac:dyDescent="0.25">
      <c r="A682" s="1">
        <v>39295</v>
      </c>
      <c r="B682">
        <v>20</v>
      </c>
      <c r="C682">
        <v>1087491</v>
      </c>
    </row>
    <row r="683" spans="1:3" x14ac:dyDescent="0.25">
      <c r="A683" s="1">
        <v>39295</v>
      </c>
      <c r="B683">
        <v>25</v>
      </c>
      <c r="C683">
        <v>41913986</v>
      </c>
    </row>
    <row r="684" spans="1:3" x14ac:dyDescent="0.25">
      <c r="A684" s="1">
        <v>39295</v>
      </c>
      <c r="B684">
        <v>27</v>
      </c>
      <c r="C684">
        <v>365700</v>
      </c>
    </row>
    <row r="685" spans="1:3" x14ac:dyDescent="0.25">
      <c r="A685" s="1">
        <v>39295</v>
      </c>
      <c r="B685">
        <v>30</v>
      </c>
      <c r="C685">
        <v>213481240</v>
      </c>
    </row>
    <row r="686" spans="1:3" x14ac:dyDescent="0.25">
      <c r="A686" s="1">
        <v>39295</v>
      </c>
      <c r="B686">
        <v>32</v>
      </c>
      <c r="C686">
        <v>1928036</v>
      </c>
    </row>
    <row r="687" spans="1:3" x14ac:dyDescent="0.25">
      <c r="A687" s="1">
        <v>39295</v>
      </c>
      <c r="B687">
        <v>35</v>
      </c>
      <c r="C687">
        <v>8134715</v>
      </c>
    </row>
    <row r="688" spans="1:3" x14ac:dyDescent="0.25">
      <c r="A688" s="1">
        <v>39264</v>
      </c>
      <c r="B688">
        <v>-999</v>
      </c>
      <c r="C688">
        <v>11231511</v>
      </c>
    </row>
    <row r="689" spans="1:3" x14ac:dyDescent="0.25">
      <c r="A689" s="1">
        <v>39264</v>
      </c>
      <c r="B689">
        <v>0</v>
      </c>
      <c r="C689">
        <v>2289640</v>
      </c>
    </row>
    <row r="690" spans="1:3" x14ac:dyDescent="0.25">
      <c r="A690" s="1">
        <v>39264</v>
      </c>
      <c r="B690">
        <v>16</v>
      </c>
      <c r="C690">
        <v>9773873</v>
      </c>
    </row>
    <row r="691" spans="1:3" x14ac:dyDescent="0.25">
      <c r="A691" s="1">
        <v>39264</v>
      </c>
      <c r="B691">
        <v>17</v>
      </c>
      <c r="C691">
        <v>329184</v>
      </c>
    </row>
    <row r="692" spans="1:3" x14ac:dyDescent="0.25">
      <c r="A692" s="1">
        <v>39264</v>
      </c>
      <c r="B692">
        <v>18</v>
      </c>
      <c r="C692">
        <v>2239792</v>
      </c>
    </row>
    <row r="693" spans="1:3" x14ac:dyDescent="0.25">
      <c r="A693" s="1">
        <v>39264</v>
      </c>
      <c r="B693">
        <v>20</v>
      </c>
      <c r="C693">
        <v>768445</v>
      </c>
    </row>
    <row r="694" spans="1:3" x14ac:dyDescent="0.25">
      <c r="A694" s="1">
        <v>39264</v>
      </c>
      <c r="B694">
        <v>22</v>
      </c>
      <c r="C694">
        <v>156650</v>
      </c>
    </row>
    <row r="695" spans="1:3" x14ac:dyDescent="0.25">
      <c r="A695" s="1">
        <v>39264</v>
      </c>
      <c r="B695">
        <v>25</v>
      </c>
      <c r="C695">
        <v>30912663</v>
      </c>
    </row>
    <row r="696" spans="1:3" x14ac:dyDescent="0.25">
      <c r="A696" s="1">
        <v>39264</v>
      </c>
      <c r="B696">
        <v>27</v>
      </c>
      <c r="C696">
        <v>595200</v>
      </c>
    </row>
    <row r="697" spans="1:3" x14ac:dyDescent="0.25">
      <c r="A697" s="1">
        <v>39264</v>
      </c>
      <c r="B697">
        <v>30</v>
      </c>
      <c r="C697">
        <v>192866303</v>
      </c>
    </row>
    <row r="698" spans="1:3" x14ac:dyDescent="0.25">
      <c r="A698" s="1">
        <v>39264</v>
      </c>
      <c r="B698">
        <v>32</v>
      </c>
      <c r="C698">
        <v>2467512</v>
      </c>
    </row>
    <row r="699" spans="1:3" x14ac:dyDescent="0.25">
      <c r="A699" s="1">
        <v>39264</v>
      </c>
      <c r="B699">
        <v>35</v>
      </c>
      <c r="C699">
        <v>4267432</v>
      </c>
    </row>
    <row r="700" spans="1:3" x14ac:dyDescent="0.25">
      <c r="A700" s="1">
        <v>39263</v>
      </c>
      <c r="B700">
        <v>30</v>
      </c>
      <c r="C700">
        <v>346655</v>
      </c>
    </row>
    <row r="701" spans="1:3" x14ac:dyDescent="0.25">
      <c r="A701" s="1">
        <v>39234</v>
      </c>
      <c r="B701">
        <v>-999</v>
      </c>
      <c r="C701">
        <v>10096640</v>
      </c>
    </row>
    <row r="702" spans="1:3" x14ac:dyDescent="0.25">
      <c r="A702" s="1">
        <v>39234</v>
      </c>
      <c r="B702">
        <v>0</v>
      </c>
      <c r="C702">
        <v>3740390</v>
      </c>
    </row>
    <row r="703" spans="1:3" x14ac:dyDescent="0.25">
      <c r="A703" s="1">
        <v>39234</v>
      </c>
      <c r="B703">
        <v>16</v>
      </c>
      <c r="C703">
        <v>5545236</v>
      </c>
    </row>
    <row r="704" spans="1:3" x14ac:dyDescent="0.25">
      <c r="A704" s="1">
        <v>39234</v>
      </c>
      <c r="B704">
        <v>18</v>
      </c>
      <c r="C704">
        <v>1023420</v>
      </c>
    </row>
    <row r="705" spans="1:3" x14ac:dyDescent="0.25">
      <c r="A705" s="1">
        <v>39234</v>
      </c>
      <c r="B705">
        <v>20</v>
      </c>
      <c r="C705">
        <v>928175</v>
      </c>
    </row>
    <row r="706" spans="1:3" x14ac:dyDescent="0.25">
      <c r="A706" s="1">
        <v>39234</v>
      </c>
      <c r="B706">
        <v>25</v>
      </c>
      <c r="C706">
        <v>25973369</v>
      </c>
    </row>
    <row r="707" spans="1:3" x14ac:dyDescent="0.25">
      <c r="A707" s="1">
        <v>39234</v>
      </c>
      <c r="B707">
        <v>26</v>
      </c>
      <c r="C707">
        <v>121125</v>
      </c>
    </row>
    <row r="708" spans="1:3" x14ac:dyDescent="0.25">
      <c r="A708" s="1">
        <v>39234</v>
      </c>
      <c r="B708">
        <v>27</v>
      </c>
      <c r="C708">
        <v>558750</v>
      </c>
    </row>
    <row r="709" spans="1:3" x14ac:dyDescent="0.25">
      <c r="A709" s="1">
        <v>39234</v>
      </c>
      <c r="B709">
        <v>30</v>
      </c>
      <c r="C709">
        <v>147157793</v>
      </c>
    </row>
    <row r="710" spans="1:3" x14ac:dyDescent="0.25">
      <c r="A710" s="1">
        <v>39234</v>
      </c>
      <c r="B710">
        <v>32</v>
      </c>
      <c r="C710">
        <v>3207230</v>
      </c>
    </row>
    <row r="711" spans="1:3" x14ac:dyDescent="0.25">
      <c r="A711" s="1">
        <v>39234</v>
      </c>
      <c r="B711">
        <v>35</v>
      </c>
      <c r="C711">
        <v>6629948</v>
      </c>
    </row>
    <row r="712" spans="1:3" x14ac:dyDescent="0.25">
      <c r="A712" s="1">
        <v>39234</v>
      </c>
      <c r="B712">
        <v>37</v>
      </c>
      <c r="C712">
        <v>297376</v>
      </c>
    </row>
    <row r="713" spans="1:3" x14ac:dyDescent="0.25">
      <c r="A713" s="1">
        <v>39203</v>
      </c>
      <c r="B713">
        <v>-999</v>
      </c>
      <c r="C713">
        <v>13982680</v>
      </c>
    </row>
    <row r="714" spans="1:3" x14ac:dyDescent="0.25">
      <c r="A714" s="1">
        <v>39203</v>
      </c>
      <c r="B714">
        <v>0</v>
      </c>
      <c r="C714">
        <v>3495900</v>
      </c>
    </row>
    <row r="715" spans="1:3" x14ac:dyDescent="0.25">
      <c r="A715" s="1">
        <v>39203</v>
      </c>
      <c r="B715">
        <v>16</v>
      </c>
      <c r="C715">
        <v>6263357</v>
      </c>
    </row>
    <row r="716" spans="1:3" x14ac:dyDescent="0.25">
      <c r="A716" s="1">
        <v>39203</v>
      </c>
      <c r="B716">
        <v>17</v>
      </c>
      <c r="C716">
        <v>333756</v>
      </c>
    </row>
    <row r="717" spans="1:3" x14ac:dyDescent="0.25">
      <c r="A717" s="1">
        <v>39203</v>
      </c>
      <c r="B717">
        <v>18</v>
      </c>
      <c r="C717">
        <v>367600</v>
      </c>
    </row>
    <row r="718" spans="1:3" x14ac:dyDescent="0.25">
      <c r="A718" s="1">
        <v>39203</v>
      </c>
      <c r="B718">
        <v>20</v>
      </c>
      <c r="C718">
        <v>144400</v>
      </c>
    </row>
    <row r="719" spans="1:3" x14ac:dyDescent="0.25">
      <c r="A719" s="1">
        <v>39203</v>
      </c>
      <c r="B719">
        <v>22</v>
      </c>
      <c r="C719">
        <v>110000</v>
      </c>
    </row>
    <row r="720" spans="1:3" x14ac:dyDescent="0.25">
      <c r="A720" s="1">
        <v>39203</v>
      </c>
      <c r="B720">
        <v>25</v>
      </c>
      <c r="C720">
        <v>25519006</v>
      </c>
    </row>
    <row r="721" spans="1:3" x14ac:dyDescent="0.25">
      <c r="A721" s="1">
        <v>39203</v>
      </c>
      <c r="B721">
        <v>27</v>
      </c>
      <c r="C721">
        <v>771590</v>
      </c>
    </row>
    <row r="722" spans="1:3" x14ac:dyDescent="0.25">
      <c r="A722" s="1">
        <v>39203</v>
      </c>
      <c r="B722">
        <v>30</v>
      </c>
      <c r="C722">
        <v>131982469</v>
      </c>
    </row>
    <row r="723" spans="1:3" x14ac:dyDescent="0.25">
      <c r="A723" s="1">
        <v>39203</v>
      </c>
      <c r="B723">
        <v>32</v>
      </c>
      <c r="C723">
        <v>1361705</v>
      </c>
    </row>
    <row r="724" spans="1:3" x14ac:dyDescent="0.25">
      <c r="A724" s="1">
        <v>39203</v>
      </c>
      <c r="B724">
        <v>35</v>
      </c>
      <c r="C724">
        <v>7446093</v>
      </c>
    </row>
    <row r="725" spans="1:3" x14ac:dyDescent="0.25">
      <c r="A725" s="1">
        <v>39203</v>
      </c>
      <c r="B725">
        <v>37</v>
      </c>
      <c r="C725">
        <v>111150</v>
      </c>
    </row>
    <row r="726" spans="1:3" x14ac:dyDescent="0.25">
      <c r="A726" s="1">
        <v>39173</v>
      </c>
      <c r="B726">
        <v>-999</v>
      </c>
      <c r="C726">
        <v>10978825</v>
      </c>
    </row>
    <row r="727" spans="1:3" x14ac:dyDescent="0.25">
      <c r="A727" s="1">
        <v>39173</v>
      </c>
      <c r="B727">
        <v>0</v>
      </c>
      <c r="C727">
        <v>2819184</v>
      </c>
    </row>
    <row r="728" spans="1:3" x14ac:dyDescent="0.25">
      <c r="A728" s="1">
        <v>39173</v>
      </c>
      <c r="B728">
        <v>16</v>
      </c>
      <c r="C728">
        <v>4948233</v>
      </c>
    </row>
    <row r="729" spans="1:3" x14ac:dyDescent="0.25">
      <c r="A729" s="1">
        <v>39173</v>
      </c>
      <c r="B729">
        <v>18</v>
      </c>
      <c r="C729">
        <v>1745260</v>
      </c>
    </row>
    <row r="730" spans="1:3" x14ac:dyDescent="0.25">
      <c r="A730" s="1">
        <v>39173</v>
      </c>
      <c r="B730">
        <v>22</v>
      </c>
      <c r="C730">
        <v>212300</v>
      </c>
    </row>
    <row r="731" spans="1:3" x14ac:dyDescent="0.25">
      <c r="A731" s="1">
        <v>39173</v>
      </c>
      <c r="B731">
        <v>25</v>
      </c>
      <c r="C731">
        <v>19521085</v>
      </c>
    </row>
    <row r="732" spans="1:3" x14ac:dyDescent="0.25">
      <c r="A732" s="1">
        <v>39173</v>
      </c>
      <c r="B732">
        <v>27</v>
      </c>
      <c r="C732">
        <v>434625</v>
      </c>
    </row>
    <row r="733" spans="1:3" x14ac:dyDescent="0.25">
      <c r="A733" s="1">
        <v>39173</v>
      </c>
      <c r="B733">
        <v>30</v>
      </c>
      <c r="C733">
        <v>97440214</v>
      </c>
    </row>
    <row r="734" spans="1:3" x14ac:dyDescent="0.25">
      <c r="A734" s="1">
        <v>39173</v>
      </c>
      <c r="B734">
        <v>32</v>
      </c>
      <c r="C734">
        <v>1102830</v>
      </c>
    </row>
    <row r="735" spans="1:3" x14ac:dyDescent="0.25">
      <c r="A735" s="1">
        <v>39173</v>
      </c>
      <c r="B735">
        <v>35</v>
      </c>
      <c r="C735">
        <v>3373994</v>
      </c>
    </row>
    <row r="736" spans="1:3" x14ac:dyDescent="0.25">
      <c r="A736" s="1">
        <v>39142</v>
      </c>
      <c r="B736">
        <v>-999</v>
      </c>
      <c r="C736">
        <v>8968269</v>
      </c>
    </row>
    <row r="737" spans="1:3" x14ac:dyDescent="0.25">
      <c r="A737" s="1">
        <v>39142</v>
      </c>
      <c r="B737">
        <v>0</v>
      </c>
      <c r="C737">
        <v>2038569</v>
      </c>
    </row>
    <row r="738" spans="1:3" x14ac:dyDescent="0.25">
      <c r="A738" s="1">
        <v>39142</v>
      </c>
      <c r="B738">
        <v>16</v>
      </c>
      <c r="C738">
        <v>3340520</v>
      </c>
    </row>
    <row r="739" spans="1:3" x14ac:dyDescent="0.25">
      <c r="A739" s="1">
        <v>39142</v>
      </c>
      <c r="B739">
        <v>17</v>
      </c>
      <c r="C739">
        <v>278800</v>
      </c>
    </row>
    <row r="740" spans="1:3" x14ac:dyDescent="0.25">
      <c r="A740" s="1">
        <v>39142</v>
      </c>
      <c r="B740">
        <v>18</v>
      </c>
      <c r="C740">
        <v>258700</v>
      </c>
    </row>
    <row r="741" spans="1:3" x14ac:dyDescent="0.25">
      <c r="A741" s="1">
        <v>39142</v>
      </c>
      <c r="B741">
        <v>20</v>
      </c>
      <c r="C741">
        <v>301850</v>
      </c>
    </row>
    <row r="742" spans="1:3" x14ac:dyDescent="0.25">
      <c r="A742" s="1">
        <v>39142</v>
      </c>
      <c r="B742">
        <v>25</v>
      </c>
      <c r="C742">
        <v>13495270</v>
      </c>
    </row>
    <row r="743" spans="1:3" x14ac:dyDescent="0.25">
      <c r="A743" s="1">
        <v>39142</v>
      </c>
      <c r="B743">
        <v>27</v>
      </c>
      <c r="C743">
        <v>509200</v>
      </c>
    </row>
    <row r="744" spans="1:3" x14ac:dyDescent="0.25">
      <c r="A744" s="1">
        <v>39142</v>
      </c>
      <c r="B744">
        <v>30</v>
      </c>
      <c r="C744">
        <v>79265366</v>
      </c>
    </row>
    <row r="745" spans="1:3" x14ac:dyDescent="0.25">
      <c r="A745" s="1">
        <v>39142</v>
      </c>
      <c r="B745">
        <v>32</v>
      </c>
      <c r="C745">
        <v>935155</v>
      </c>
    </row>
    <row r="746" spans="1:3" x14ac:dyDescent="0.25">
      <c r="A746" s="1">
        <v>39142</v>
      </c>
      <c r="B746">
        <v>35</v>
      </c>
      <c r="C746">
        <v>3529026</v>
      </c>
    </row>
    <row r="747" spans="1:3" x14ac:dyDescent="0.25">
      <c r="A747" s="1">
        <v>39114</v>
      </c>
      <c r="B747">
        <v>-999</v>
      </c>
      <c r="C747">
        <v>12496064</v>
      </c>
    </row>
    <row r="748" spans="1:3" x14ac:dyDescent="0.25">
      <c r="A748" s="1">
        <v>39114</v>
      </c>
      <c r="B748">
        <v>0</v>
      </c>
      <c r="C748">
        <v>3035534</v>
      </c>
    </row>
    <row r="749" spans="1:3" x14ac:dyDescent="0.25">
      <c r="A749" s="1">
        <v>39114</v>
      </c>
      <c r="B749">
        <v>16</v>
      </c>
      <c r="C749">
        <v>3696221</v>
      </c>
    </row>
    <row r="750" spans="1:3" x14ac:dyDescent="0.25">
      <c r="A750" s="1">
        <v>39114</v>
      </c>
      <c r="B750">
        <v>18</v>
      </c>
      <c r="C750">
        <v>331249</v>
      </c>
    </row>
    <row r="751" spans="1:3" x14ac:dyDescent="0.25">
      <c r="A751" s="1">
        <v>39114</v>
      </c>
      <c r="B751">
        <v>20</v>
      </c>
      <c r="C751">
        <v>545507</v>
      </c>
    </row>
    <row r="752" spans="1:3" x14ac:dyDescent="0.25">
      <c r="A752" s="1">
        <v>39114</v>
      </c>
      <c r="B752">
        <v>25</v>
      </c>
      <c r="C752">
        <v>18032606</v>
      </c>
    </row>
    <row r="753" spans="1:3" x14ac:dyDescent="0.25">
      <c r="A753" s="1">
        <v>39114</v>
      </c>
      <c r="B753">
        <v>27</v>
      </c>
      <c r="C753">
        <v>1126280</v>
      </c>
    </row>
    <row r="754" spans="1:3" x14ac:dyDescent="0.25">
      <c r="A754" s="1">
        <v>39114</v>
      </c>
      <c r="B754">
        <v>30</v>
      </c>
      <c r="C754">
        <v>96138138</v>
      </c>
    </row>
    <row r="755" spans="1:3" x14ac:dyDescent="0.25">
      <c r="A755" s="1">
        <v>39114</v>
      </c>
      <c r="B755">
        <v>32</v>
      </c>
      <c r="C755">
        <v>760075</v>
      </c>
    </row>
    <row r="756" spans="1:3" x14ac:dyDescent="0.25">
      <c r="A756" s="1">
        <v>39114</v>
      </c>
      <c r="B756">
        <v>35</v>
      </c>
      <c r="C756">
        <v>5150546</v>
      </c>
    </row>
    <row r="757" spans="1:3" x14ac:dyDescent="0.25">
      <c r="A757" s="1">
        <v>39083</v>
      </c>
      <c r="B757">
        <v>-999</v>
      </c>
      <c r="C757">
        <v>12281883</v>
      </c>
    </row>
    <row r="758" spans="1:3" x14ac:dyDescent="0.25">
      <c r="A758" s="1">
        <v>39083</v>
      </c>
      <c r="B758">
        <v>0</v>
      </c>
      <c r="C758">
        <v>1608342</v>
      </c>
    </row>
    <row r="759" spans="1:3" x14ac:dyDescent="0.25">
      <c r="A759" s="1">
        <v>39083</v>
      </c>
      <c r="B759">
        <v>16</v>
      </c>
      <c r="C759">
        <v>3478924</v>
      </c>
    </row>
    <row r="760" spans="1:3" x14ac:dyDescent="0.25">
      <c r="A760" s="1">
        <v>39083</v>
      </c>
      <c r="B760">
        <v>17</v>
      </c>
      <c r="C760">
        <v>159900</v>
      </c>
    </row>
    <row r="761" spans="1:3" x14ac:dyDescent="0.25">
      <c r="A761" s="1">
        <v>39083</v>
      </c>
      <c r="B761">
        <v>18</v>
      </c>
      <c r="C761">
        <v>282510</v>
      </c>
    </row>
    <row r="762" spans="1:3" x14ac:dyDescent="0.25">
      <c r="A762" s="1">
        <v>39083</v>
      </c>
      <c r="B762">
        <v>20</v>
      </c>
      <c r="C762">
        <v>139900</v>
      </c>
    </row>
    <row r="763" spans="1:3" x14ac:dyDescent="0.25">
      <c r="A763" s="1">
        <v>39083</v>
      </c>
      <c r="B763">
        <v>25</v>
      </c>
      <c r="C763">
        <v>20739941</v>
      </c>
    </row>
    <row r="764" spans="1:3" x14ac:dyDescent="0.25">
      <c r="A764" s="1">
        <v>39083</v>
      </c>
      <c r="B764">
        <v>27</v>
      </c>
      <c r="C764">
        <v>1294700</v>
      </c>
    </row>
    <row r="765" spans="1:3" x14ac:dyDescent="0.25">
      <c r="A765" s="1">
        <v>39083</v>
      </c>
      <c r="B765">
        <v>30</v>
      </c>
      <c r="C765">
        <v>90689758</v>
      </c>
    </row>
    <row r="766" spans="1:3" x14ac:dyDescent="0.25">
      <c r="A766" s="1">
        <v>39083</v>
      </c>
      <c r="B766">
        <v>32</v>
      </c>
      <c r="C766">
        <v>1770281</v>
      </c>
    </row>
    <row r="767" spans="1:3" x14ac:dyDescent="0.25">
      <c r="A767" s="1">
        <v>39083</v>
      </c>
      <c r="B767">
        <v>35</v>
      </c>
      <c r="C767">
        <v>4242951</v>
      </c>
    </row>
    <row r="768" spans="1:3" x14ac:dyDescent="0.25">
      <c r="A768" s="1">
        <v>39052</v>
      </c>
      <c r="B768">
        <v>-999</v>
      </c>
      <c r="C768">
        <v>17701490</v>
      </c>
    </row>
    <row r="769" spans="1:3" x14ac:dyDescent="0.25">
      <c r="A769" s="1">
        <v>39052</v>
      </c>
      <c r="B769">
        <v>0</v>
      </c>
      <c r="C769">
        <v>3177405</v>
      </c>
    </row>
    <row r="770" spans="1:3" x14ac:dyDescent="0.25">
      <c r="A770" s="1">
        <v>39052</v>
      </c>
      <c r="B770">
        <v>16</v>
      </c>
      <c r="C770">
        <v>3235765</v>
      </c>
    </row>
    <row r="771" spans="1:3" x14ac:dyDescent="0.25">
      <c r="A771" s="1">
        <v>39052</v>
      </c>
      <c r="B771">
        <v>17</v>
      </c>
      <c r="C771">
        <v>901302</v>
      </c>
    </row>
    <row r="772" spans="1:3" x14ac:dyDescent="0.25">
      <c r="A772" s="1">
        <v>39052</v>
      </c>
      <c r="B772">
        <v>18</v>
      </c>
      <c r="C772">
        <v>628950</v>
      </c>
    </row>
    <row r="773" spans="1:3" x14ac:dyDescent="0.25">
      <c r="A773" s="1">
        <v>39052</v>
      </c>
      <c r="B773">
        <v>25</v>
      </c>
      <c r="C773">
        <v>22123303</v>
      </c>
    </row>
    <row r="774" spans="1:3" x14ac:dyDescent="0.25">
      <c r="A774" s="1">
        <v>39052</v>
      </c>
      <c r="B774">
        <v>27</v>
      </c>
      <c r="C774">
        <v>1364991</v>
      </c>
    </row>
    <row r="775" spans="1:3" x14ac:dyDescent="0.25">
      <c r="A775" s="1">
        <v>39052</v>
      </c>
      <c r="B775">
        <v>30</v>
      </c>
      <c r="C775">
        <v>90319977</v>
      </c>
    </row>
    <row r="776" spans="1:3" x14ac:dyDescent="0.25">
      <c r="A776" s="1">
        <v>39052</v>
      </c>
      <c r="B776">
        <v>32</v>
      </c>
      <c r="C776">
        <v>973950</v>
      </c>
    </row>
    <row r="777" spans="1:3" x14ac:dyDescent="0.25">
      <c r="A777" s="1">
        <v>39052</v>
      </c>
      <c r="B777">
        <v>35</v>
      </c>
      <c r="C777">
        <v>4580322</v>
      </c>
    </row>
    <row r="778" spans="1:3" x14ac:dyDescent="0.25">
      <c r="A778" s="1">
        <v>39052</v>
      </c>
      <c r="B778">
        <v>37</v>
      </c>
      <c r="C778">
        <v>148340</v>
      </c>
    </row>
    <row r="779" spans="1:3" x14ac:dyDescent="0.25">
      <c r="A779" s="1">
        <v>39022</v>
      </c>
      <c r="B779">
        <v>-999</v>
      </c>
      <c r="C779">
        <v>24284615</v>
      </c>
    </row>
    <row r="780" spans="1:3" x14ac:dyDescent="0.25">
      <c r="A780" s="1">
        <v>39022</v>
      </c>
      <c r="B780">
        <v>0</v>
      </c>
      <c r="C780">
        <v>2672520</v>
      </c>
    </row>
    <row r="781" spans="1:3" x14ac:dyDescent="0.25">
      <c r="A781" s="1">
        <v>39022</v>
      </c>
      <c r="B781">
        <v>6</v>
      </c>
      <c r="C781">
        <v>134900</v>
      </c>
    </row>
    <row r="782" spans="1:3" x14ac:dyDescent="0.25">
      <c r="A782" s="1">
        <v>39022</v>
      </c>
      <c r="B782">
        <v>16</v>
      </c>
      <c r="C782">
        <v>3270897</v>
      </c>
    </row>
    <row r="783" spans="1:3" x14ac:dyDescent="0.25">
      <c r="A783" s="1">
        <v>39022</v>
      </c>
      <c r="B783">
        <v>17</v>
      </c>
      <c r="C783">
        <v>1081582</v>
      </c>
    </row>
    <row r="784" spans="1:3" x14ac:dyDescent="0.25">
      <c r="A784" s="1">
        <v>39022</v>
      </c>
      <c r="B784">
        <v>18</v>
      </c>
      <c r="C784">
        <v>922114</v>
      </c>
    </row>
    <row r="785" spans="1:3" x14ac:dyDescent="0.25">
      <c r="A785" s="1">
        <v>39022</v>
      </c>
      <c r="B785">
        <v>20</v>
      </c>
      <c r="C785">
        <v>548925</v>
      </c>
    </row>
    <row r="786" spans="1:3" x14ac:dyDescent="0.25">
      <c r="A786" s="1">
        <v>39022</v>
      </c>
      <c r="B786">
        <v>25</v>
      </c>
      <c r="C786">
        <v>20060843</v>
      </c>
    </row>
    <row r="787" spans="1:3" x14ac:dyDescent="0.25">
      <c r="A787" s="1">
        <v>39022</v>
      </c>
      <c r="B787">
        <v>27</v>
      </c>
      <c r="C787">
        <v>165000</v>
      </c>
    </row>
    <row r="788" spans="1:3" x14ac:dyDescent="0.25">
      <c r="A788" s="1">
        <v>39022</v>
      </c>
      <c r="B788">
        <v>30</v>
      </c>
      <c r="C788">
        <v>87750003</v>
      </c>
    </row>
    <row r="789" spans="1:3" x14ac:dyDescent="0.25">
      <c r="A789" s="1">
        <v>39022</v>
      </c>
      <c r="B789">
        <v>32</v>
      </c>
      <c r="C789">
        <v>349025</v>
      </c>
    </row>
    <row r="790" spans="1:3" x14ac:dyDescent="0.25">
      <c r="A790" s="1">
        <v>39022</v>
      </c>
      <c r="B790">
        <v>35</v>
      </c>
      <c r="C790">
        <v>6244365</v>
      </c>
    </row>
    <row r="791" spans="1:3" x14ac:dyDescent="0.25">
      <c r="A791" s="1">
        <v>38991</v>
      </c>
      <c r="B791">
        <v>-999</v>
      </c>
      <c r="C791">
        <v>33983278</v>
      </c>
    </row>
    <row r="792" spans="1:3" x14ac:dyDescent="0.25">
      <c r="A792" s="1">
        <v>38991</v>
      </c>
      <c r="B792">
        <v>0</v>
      </c>
      <c r="C792">
        <v>4013977</v>
      </c>
    </row>
    <row r="793" spans="1:3" x14ac:dyDescent="0.25">
      <c r="A793" s="1">
        <v>38991</v>
      </c>
      <c r="B793">
        <v>14</v>
      </c>
      <c r="C793">
        <v>66445</v>
      </c>
    </row>
    <row r="794" spans="1:3" x14ac:dyDescent="0.25">
      <c r="A794" s="1">
        <v>38991</v>
      </c>
      <c r="B794">
        <v>16</v>
      </c>
      <c r="C794">
        <v>3198706</v>
      </c>
    </row>
    <row r="795" spans="1:3" x14ac:dyDescent="0.25">
      <c r="A795" s="1">
        <v>38991</v>
      </c>
      <c r="B795">
        <v>17</v>
      </c>
      <c r="C795">
        <v>994491</v>
      </c>
    </row>
    <row r="796" spans="1:3" x14ac:dyDescent="0.25">
      <c r="A796" s="1">
        <v>38991</v>
      </c>
      <c r="B796">
        <v>18</v>
      </c>
      <c r="C796">
        <v>142500</v>
      </c>
    </row>
    <row r="797" spans="1:3" x14ac:dyDescent="0.25">
      <c r="A797" s="1">
        <v>38991</v>
      </c>
      <c r="B797">
        <v>20</v>
      </c>
      <c r="C797">
        <v>232180</v>
      </c>
    </row>
    <row r="798" spans="1:3" x14ac:dyDescent="0.25">
      <c r="A798" s="1">
        <v>38991</v>
      </c>
      <c r="B798">
        <v>25</v>
      </c>
      <c r="C798">
        <v>19424412</v>
      </c>
    </row>
    <row r="799" spans="1:3" x14ac:dyDescent="0.25">
      <c r="A799" s="1">
        <v>38991</v>
      </c>
      <c r="B799">
        <v>27</v>
      </c>
      <c r="C799">
        <v>1110529</v>
      </c>
    </row>
    <row r="800" spans="1:3" x14ac:dyDescent="0.25">
      <c r="A800" s="1">
        <v>38991</v>
      </c>
      <c r="B800">
        <v>29</v>
      </c>
      <c r="C800">
        <v>72200</v>
      </c>
    </row>
    <row r="801" spans="1:3" x14ac:dyDescent="0.25">
      <c r="A801" s="1">
        <v>38991</v>
      </c>
      <c r="B801">
        <v>30</v>
      </c>
      <c r="C801">
        <v>92507454</v>
      </c>
    </row>
    <row r="802" spans="1:3" x14ac:dyDescent="0.25">
      <c r="A802" s="1">
        <v>38991</v>
      </c>
      <c r="B802">
        <v>32</v>
      </c>
      <c r="C802">
        <v>586250</v>
      </c>
    </row>
    <row r="803" spans="1:3" x14ac:dyDescent="0.25">
      <c r="A803" s="1">
        <v>38991</v>
      </c>
      <c r="B803">
        <v>35</v>
      </c>
      <c r="C803">
        <v>5620611</v>
      </c>
    </row>
    <row r="804" spans="1:3" x14ac:dyDescent="0.25">
      <c r="A804" s="1">
        <v>38990</v>
      </c>
      <c r="B804">
        <v>30</v>
      </c>
      <c r="C804">
        <v>241300</v>
      </c>
    </row>
    <row r="805" spans="1:3" x14ac:dyDescent="0.25">
      <c r="A805" s="1">
        <v>38961</v>
      </c>
      <c r="B805">
        <v>-999</v>
      </c>
      <c r="C805">
        <v>40360606</v>
      </c>
    </row>
    <row r="806" spans="1:3" x14ac:dyDescent="0.25">
      <c r="A806" s="1">
        <v>38961</v>
      </c>
      <c r="B806">
        <v>0</v>
      </c>
      <c r="C806">
        <v>3853715</v>
      </c>
    </row>
    <row r="807" spans="1:3" x14ac:dyDescent="0.25">
      <c r="A807" s="1">
        <v>38961</v>
      </c>
      <c r="B807">
        <v>16</v>
      </c>
      <c r="C807">
        <v>3391897</v>
      </c>
    </row>
    <row r="808" spans="1:3" x14ac:dyDescent="0.25">
      <c r="A808" s="1">
        <v>38961</v>
      </c>
      <c r="B808">
        <v>17</v>
      </c>
      <c r="C808">
        <v>626272</v>
      </c>
    </row>
    <row r="809" spans="1:3" x14ac:dyDescent="0.25">
      <c r="A809" s="1">
        <v>38961</v>
      </c>
      <c r="B809">
        <v>18</v>
      </c>
      <c r="C809">
        <v>314925</v>
      </c>
    </row>
    <row r="810" spans="1:3" x14ac:dyDescent="0.25">
      <c r="A810" s="1">
        <v>38961</v>
      </c>
      <c r="B810">
        <v>20</v>
      </c>
      <c r="C810">
        <v>247700</v>
      </c>
    </row>
    <row r="811" spans="1:3" x14ac:dyDescent="0.25">
      <c r="A811" s="1">
        <v>38961</v>
      </c>
      <c r="B811">
        <v>25</v>
      </c>
      <c r="C811">
        <v>18948974</v>
      </c>
    </row>
    <row r="812" spans="1:3" x14ac:dyDescent="0.25">
      <c r="A812" s="1">
        <v>38961</v>
      </c>
      <c r="B812">
        <v>27</v>
      </c>
      <c r="C812">
        <v>554655</v>
      </c>
    </row>
    <row r="813" spans="1:3" x14ac:dyDescent="0.25">
      <c r="A813" s="1">
        <v>38961</v>
      </c>
      <c r="B813">
        <v>29</v>
      </c>
      <c r="C813">
        <v>1046325</v>
      </c>
    </row>
    <row r="814" spans="1:3" x14ac:dyDescent="0.25">
      <c r="A814" s="1">
        <v>38961</v>
      </c>
      <c r="B814">
        <v>30</v>
      </c>
      <c r="C814">
        <v>104235545</v>
      </c>
    </row>
    <row r="815" spans="1:3" x14ac:dyDescent="0.25">
      <c r="A815" s="1">
        <v>38961</v>
      </c>
      <c r="B815">
        <v>32</v>
      </c>
      <c r="C815">
        <v>1622773</v>
      </c>
    </row>
    <row r="816" spans="1:3" x14ac:dyDescent="0.25">
      <c r="A816" s="1">
        <v>38961</v>
      </c>
      <c r="B816">
        <v>35</v>
      </c>
      <c r="C816">
        <v>6494949</v>
      </c>
    </row>
    <row r="817" spans="1:3" x14ac:dyDescent="0.25">
      <c r="A817" s="1">
        <v>38961</v>
      </c>
      <c r="B817">
        <v>37</v>
      </c>
      <c r="C817">
        <v>105450</v>
      </c>
    </row>
    <row r="818" spans="1:3" x14ac:dyDescent="0.25">
      <c r="A818" s="1">
        <v>38944</v>
      </c>
      <c r="B818">
        <v>30</v>
      </c>
      <c r="C818">
        <v>187625</v>
      </c>
    </row>
    <row r="819" spans="1:3" x14ac:dyDescent="0.25">
      <c r="A819" s="1">
        <v>38930</v>
      </c>
      <c r="B819">
        <v>-999</v>
      </c>
      <c r="C819">
        <v>47919376</v>
      </c>
    </row>
    <row r="820" spans="1:3" x14ac:dyDescent="0.25">
      <c r="A820" s="1">
        <v>38930</v>
      </c>
      <c r="B820">
        <v>0</v>
      </c>
      <c r="C820">
        <v>5552350</v>
      </c>
    </row>
    <row r="821" spans="1:3" x14ac:dyDescent="0.25">
      <c r="A821" s="1">
        <v>38930</v>
      </c>
      <c r="B821">
        <v>16</v>
      </c>
      <c r="C821">
        <v>3149741</v>
      </c>
    </row>
    <row r="822" spans="1:3" x14ac:dyDescent="0.25">
      <c r="A822" s="1">
        <v>38930</v>
      </c>
      <c r="B822">
        <v>17</v>
      </c>
      <c r="C822">
        <v>808261</v>
      </c>
    </row>
    <row r="823" spans="1:3" x14ac:dyDescent="0.25">
      <c r="A823" s="1">
        <v>38930</v>
      </c>
      <c r="B823">
        <v>18</v>
      </c>
      <c r="C823">
        <v>338293</v>
      </c>
    </row>
    <row r="824" spans="1:3" x14ac:dyDescent="0.25">
      <c r="A824" s="1">
        <v>38930</v>
      </c>
      <c r="B824">
        <v>25</v>
      </c>
      <c r="C824">
        <v>24498596</v>
      </c>
    </row>
    <row r="825" spans="1:3" x14ac:dyDescent="0.25">
      <c r="A825" s="1">
        <v>38930</v>
      </c>
      <c r="B825">
        <v>27</v>
      </c>
      <c r="C825">
        <v>959350</v>
      </c>
    </row>
    <row r="826" spans="1:3" x14ac:dyDescent="0.25">
      <c r="A826" s="1">
        <v>38930</v>
      </c>
      <c r="B826">
        <v>29</v>
      </c>
      <c r="C826">
        <v>345532</v>
      </c>
    </row>
    <row r="827" spans="1:3" x14ac:dyDescent="0.25">
      <c r="A827" s="1">
        <v>38930</v>
      </c>
      <c r="B827">
        <v>30</v>
      </c>
      <c r="C827">
        <v>119050815</v>
      </c>
    </row>
    <row r="828" spans="1:3" x14ac:dyDescent="0.25">
      <c r="A828" s="1">
        <v>38930</v>
      </c>
      <c r="B828">
        <v>32</v>
      </c>
      <c r="C828">
        <v>1121969</v>
      </c>
    </row>
    <row r="829" spans="1:3" x14ac:dyDescent="0.25">
      <c r="A829" s="1">
        <v>38930</v>
      </c>
      <c r="B829">
        <v>35</v>
      </c>
      <c r="C829">
        <v>6385123</v>
      </c>
    </row>
    <row r="830" spans="1:3" x14ac:dyDescent="0.25">
      <c r="A830" s="1">
        <v>38899</v>
      </c>
      <c r="B830">
        <v>-999</v>
      </c>
      <c r="C830">
        <v>40758677</v>
      </c>
    </row>
    <row r="831" spans="1:3" x14ac:dyDescent="0.25">
      <c r="A831" s="1">
        <v>38899</v>
      </c>
      <c r="B831">
        <v>0</v>
      </c>
      <c r="C831">
        <v>4620475</v>
      </c>
    </row>
    <row r="832" spans="1:3" x14ac:dyDescent="0.25">
      <c r="A832" s="1">
        <v>38899</v>
      </c>
      <c r="B832">
        <v>13</v>
      </c>
      <c r="C832">
        <v>95130</v>
      </c>
    </row>
    <row r="833" spans="1:3" x14ac:dyDescent="0.25">
      <c r="A833" s="1">
        <v>38899</v>
      </c>
      <c r="B833">
        <v>15</v>
      </c>
      <c r="C833">
        <v>116400</v>
      </c>
    </row>
    <row r="834" spans="1:3" x14ac:dyDescent="0.25">
      <c r="A834" s="1">
        <v>38899</v>
      </c>
      <c r="B834">
        <v>16</v>
      </c>
      <c r="C834">
        <v>2808128</v>
      </c>
    </row>
    <row r="835" spans="1:3" x14ac:dyDescent="0.25">
      <c r="A835" s="1">
        <v>38899</v>
      </c>
      <c r="B835">
        <v>18</v>
      </c>
      <c r="C835">
        <v>454100</v>
      </c>
    </row>
    <row r="836" spans="1:3" x14ac:dyDescent="0.25">
      <c r="A836" s="1">
        <v>38899</v>
      </c>
      <c r="B836">
        <v>20</v>
      </c>
      <c r="C836">
        <v>342655</v>
      </c>
    </row>
    <row r="837" spans="1:3" x14ac:dyDescent="0.25">
      <c r="A837" s="1">
        <v>38899</v>
      </c>
      <c r="B837">
        <v>25</v>
      </c>
      <c r="C837">
        <v>25354920</v>
      </c>
    </row>
    <row r="838" spans="1:3" x14ac:dyDescent="0.25">
      <c r="A838" s="1">
        <v>38899</v>
      </c>
      <c r="B838">
        <v>27</v>
      </c>
      <c r="C838">
        <v>227050</v>
      </c>
    </row>
    <row r="839" spans="1:3" x14ac:dyDescent="0.25">
      <c r="A839" s="1">
        <v>38899</v>
      </c>
      <c r="B839">
        <v>30</v>
      </c>
      <c r="C839">
        <v>104700269</v>
      </c>
    </row>
    <row r="840" spans="1:3" x14ac:dyDescent="0.25">
      <c r="A840" s="1">
        <v>38899</v>
      </c>
      <c r="B840">
        <v>32</v>
      </c>
      <c r="C840">
        <v>1101080</v>
      </c>
    </row>
    <row r="841" spans="1:3" x14ac:dyDescent="0.25">
      <c r="A841" s="1">
        <v>38899</v>
      </c>
      <c r="B841">
        <v>35</v>
      </c>
      <c r="C841">
        <v>5419630</v>
      </c>
    </row>
    <row r="842" spans="1:3" x14ac:dyDescent="0.25">
      <c r="A842" s="1">
        <v>38899</v>
      </c>
      <c r="B842">
        <v>37</v>
      </c>
      <c r="C842">
        <v>349500</v>
      </c>
    </row>
    <row r="843" spans="1:3" x14ac:dyDescent="0.25">
      <c r="A843" s="1">
        <v>38898</v>
      </c>
      <c r="B843">
        <v>30</v>
      </c>
      <c r="C843">
        <v>123500</v>
      </c>
    </row>
    <row r="844" spans="1:3" x14ac:dyDescent="0.25">
      <c r="A844" s="1">
        <v>38869</v>
      </c>
      <c r="B844">
        <v>-999</v>
      </c>
      <c r="C844">
        <v>26962273</v>
      </c>
    </row>
    <row r="845" spans="1:3" x14ac:dyDescent="0.25">
      <c r="A845" s="1">
        <v>38869</v>
      </c>
      <c r="B845">
        <v>0</v>
      </c>
      <c r="C845">
        <v>2954339</v>
      </c>
    </row>
    <row r="846" spans="1:3" x14ac:dyDescent="0.25">
      <c r="A846" s="1">
        <v>38869</v>
      </c>
      <c r="B846">
        <v>13</v>
      </c>
      <c r="C846">
        <v>75000</v>
      </c>
    </row>
    <row r="847" spans="1:3" x14ac:dyDescent="0.25">
      <c r="A847" s="1">
        <v>38869</v>
      </c>
      <c r="B847">
        <v>14</v>
      </c>
      <c r="C847">
        <v>176000</v>
      </c>
    </row>
    <row r="848" spans="1:3" x14ac:dyDescent="0.25">
      <c r="A848" s="1">
        <v>38869</v>
      </c>
      <c r="B848">
        <v>16</v>
      </c>
      <c r="C848">
        <v>1870480</v>
      </c>
    </row>
    <row r="849" spans="1:3" x14ac:dyDescent="0.25">
      <c r="A849" s="1">
        <v>38869</v>
      </c>
      <c r="B849">
        <v>17</v>
      </c>
      <c r="C849">
        <v>873576</v>
      </c>
    </row>
    <row r="850" spans="1:3" x14ac:dyDescent="0.25">
      <c r="A850" s="1">
        <v>38869</v>
      </c>
      <c r="B850">
        <v>18</v>
      </c>
      <c r="C850">
        <v>467023</v>
      </c>
    </row>
    <row r="851" spans="1:3" x14ac:dyDescent="0.25">
      <c r="A851" s="1">
        <v>38869</v>
      </c>
      <c r="B851">
        <v>20</v>
      </c>
      <c r="C851">
        <v>448780</v>
      </c>
    </row>
    <row r="852" spans="1:3" x14ac:dyDescent="0.25">
      <c r="A852" s="1">
        <v>38869</v>
      </c>
      <c r="B852">
        <v>25</v>
      </c>
      <c r="C852">
        <v>25098122</v>
      </c>
    </row>
    <row r="853" spans="1:3" x14ac:dyDescent="0.25">
      <c r="A853" s="1">
        <v>38869</v>
      </c>
      <c r="B853">
        <v>27</v>
      </c>
      <c r="C853">
        <v>541305</v>
      </c>
    </row>
    <row r="854" spans="1:3" x14ac:dyDescent="0.25">
      <c r="A854" s="1">
        <v>38869</v>
      </c>
      <c r="B854">
        <v>30</v>
      </c>
      <c r="C854">
        <v>90120008</v>
      </c>
    </row>
    <row r="855" spans="1:3" x14ac:dyDescent="0.25">
      <c r="A855" s="1">
        <v>38869</v>
      </c>
      <c r="B855">
        <v>32</v>
      </c>
      <c r="C855">
        <v>1528216</v>
      </c>
    </row>
    <row r="856" spans="1:3" x14ac:dyDescent="0.25">
      <c r="A856" s="1">
        <v>38869</v>
      </c>
      <c r="B856">
        <v>35</v>
      </c>
      <c r="C856">
        <v>4421417</v>
      </c>
    </row>
    <row r="857" spans="1:3" x14ac:dyDescent="0.25">
      <c r="A857" s="1">
        <v>38865</v>
      </c>
      <c r="B857">
        <v>30</v>
      </c>
      <c r="C857">
        <v>247000</v>
      </c>
    </row>
    <row r="858" spans="1:3" x14ac:dyDescent="0.25">
      <c r="A858" s="1">
        <v>38838</v>
      </c>
      <c r="B858">
        <v>-999</v>
      </c>
      <c r="C858">
        <v>25951953</v>
      </c>
    </row>
    <row r="859" spans="1:3" x14ac:dyDescent="0.25">
      <c r="A859" s="1">
        <v>38838</v>
      </c>
      <c r="B859">
        <v>0</v>
      </c>
      <c r="C859">
        <v>4612077</v>
      </c>
    </row>
    <row r="860" spans="1:3" x14ac:dyDescent="0.25">
      <c r="A860" s="1">
        <v>38838</v>
      </c>
      <c r="B860">
        <v>16</v>
      </c>
      <c r="C860">
        <v>1686535</v>
      </c>
    </row>
    <row r="861" spans="1:3" x14ac:dyDescent="0.25">
      <c r="A861" s="1">
        <v>38838</v>
      </c>
      <c r="B861">
        <v>17</v>
      </c>
      <c r="C861">
        <v>135788</v>
      </c>
    </row>
    <row r="862" spans="1:3" x14ac:dyDescent="0.25">
      <c r="A862" s="1">
        <v>38838</v>
      </c>
      <c r="B862">
        <v>18</v>
      </c>
      <c r="C862">
        <v>442096</v>
      </c>
    </row>
    <row r="863" spans="1:3" x14ac:dyDescent="0.25">
      <c r="A863" s="1">
        <v>38838</v>
      </c>
      <c r="B863">
        <v>20</v>
      </c>
      <c r="C863">
        <v>61850</v>
      </c>
    </row>
    <row r="864" spans="1:3" x14ac:dyDescent="0.25">
      <c r="A864" s="1">
        <v>38838</v>
      </c>
      <c r="B864">
        <v>25</v>
      </c>
      <c r="C864">
        <v>17712486</v>
      </c>
    </row>
    <row r="865" spans="1:3" x14ac:dyDescent="0.25">
      <c r="A865" s="1">
        <v>38838</v>
      </c>
      <c r="B865">
        <v>27</v>
      </c>
      <c r="C865">
        <v>760000</v>
      </c>
    </row>
    <row r="866" spans="1:3" x14ac:dyDescent="0.25">
      <c r="A866" s="1">
        <v>38838</v>
      </c>
      <c r="B866">
        <v>30</v>
      </c>
      <c r="C866">
        <v>92448130</v>
      </c>
    </row>
    <row r="867" spans="1:3" x14ac:dyDescent="0.25">
      <c r="A867" s="1">
        <v>38838</v>
      </c>
      <c r="B867">
        <v>32</v>
      </c>
      <c r="C867">
        <v>206600</v>
      </c>
    </row>
    <row r="868" spans="1:3" x14ac:dyDescent="0.25">
      <c r="A868" s="1">
        <v>38838</v>
      </c>
      <c r="B868">
        <v>35</v>
      </c>
      <c r="C868">
        <v>5669398</v>
      </c>
    </row>
    <row r="869" spans="1:3" x14ac:dyDescent="0.25">
      <c r="A869" s="1">
        <v>38838</v>
      </c>
      <c r="B869">
        <v>37</v>
      </c>
      <c r="C869">
        <v>295450</v>
      </c>
    </row>
    <row r="870" spans="1:3" x14ac:dyDescent="0.25">
      <c r="A870" s="1">
        <v>38808</v>
      </c>
      <c r="B870">
        <v>-999</v>
      </c>
      <c r="C870">
        <v>24463496</v>
      </c>
    </row>
    <row r="871" spans="1:3" x14ac:dyDescent="0.25">
      <c r="A871" s="1">
        <v>38808</v>
      </c>
      <c r="B871">
        <v>0</v>
      </c>
      <c r="C871">
        <v>1736515</v>
      </c>
    </row>
    <row r="872" spans="1:3" x14ac:dyDescent="0.25">
      <c r="A872" s="1">
        <v>38808</v>
      </c>
      <c r="B872">
        <v>12</v>
      </c>
      <c r="C872">
        <v>111800</v>
      </c>
    </row>
    <row r="873" spans="1:3" x14ac:dyDescent="0.25">
      <c r="A873" s="1">
        <v>38808</v>
      </c>
      <c r="B873">
        <v>16</v>
      </c>
      <c r="C873">
        <v>1697825</v>
      </c>
    </row>
    <row r="874" spans="1:3" x14ac:dyDescent="0.25">
      <c r="A874" s="1">
        <v>38808</v>
      </c>
      <c r="B874">
        <v>17</v>
      </c>
      <c r="C874">
        <v>498498</v>
      </c>
    </row>
    <row r="875" spans="1:3" x14ac:dyDescent="0.25">
      <c r="A875" s="1">
        <v>38808</v>
      </c>
      <c r="B875">
        <v>18</v>
      </c>
      <c r="C875">
        <v>321300</v>
      </c>
    </row>
    <row r="876" spans="1:3" x14ac:dyDescent="0.25">
      <c r="A876" s="1">
        <v>38808</v>
      </c>
      <c r="B876">
        <v>20</v>
      </c>
      <c r="C876">
        <v>106305</v>
      </c>
    </row>
    <row r="877" spans="1:3" x14ac:dyDescent="0.25">
      <c r="A877" s="1">
        <v>38808</v>
      </c>
      <c r="B877">
        <v>25</v>
      </c>
      <c r="C877">
        <v>16696097</v>
      </c>
    </row>
    <row r="878" spans="1:3" x14ac:dyDescent="0.25">
      <c r="A878" s="1">
        <v>38808</v>
      </c>
      <c r="B878">
        <v>27</v>
      </c>
      <c r="C878">
        <v>403750</v>
      </c>
    </row>
    <row r="879" spans="1:3" x14ac:dyDescent="0.25">
      <c r="A879" s="1">
        <v>38808</v>
      </c>
      <c r="B879">
        <v>30</v>
      </c>
      <c r="C879">
        <v>79690739</v>
      </c>
    </row>
    <row r="880" spans="1:3" x14ac:dyDescent="0.25">
      <c r="A880" s="1">
        <v>38808</v>
      </c>
      <c r="B880">
        <v>32</v>
      </c>
      <c r="C880">
        <v>165299</v>
      </c>
    </row>
    <row r="881" spans="1:3" x14ac:dyDescent="0.25">
      <c r="A881" s="1">
        <v>38808</v>
      </c>
      <c r="B881">
        <v>35</v>
      </c>
      <c r="C881">
        <v>3912225</v>
      </c>
    </row>
    <row r="882" spans="1:3" x14ac:dyDescent="0.25">
      <c r="A882" s="1">
        <v>38796</v>
      </c>
      <c r="B882">
        <v>25</v>
      </c>
      <c r="C882">
        <v>98781</v>
      </c>
    </row>
    <row r="883" spans="1:3" x14ac:dyDescent="0.25">
      <c r="A883" s="1">
        <v>38796</v>
      </c>
      <c r="B883">
        <v>30</v>
      </c>
      <c r="C883">
        <v>60000</v>
      </c>
    </row>
    <row r="884" spans="1:3" x14ac:dyDescent="0.25">
      <c r="A884" s="1">
        <v>38777</v>
      </c>
      <c r="B884">
        <v>-999</v>
      </c>
      <c r="C884">
        <v>23392207</v>
      </c>
    </row>
    <row r="885" spans="1:3" x14ac:dyDescent="0.25">
      <c r="A885" s="1">
        <v>38777</v>
      </c>
      <c r="B885">
        <v>0</v>
      </c>
      <c r="C885">
        <v>2896657</v>
      </c>
    </row>
    <row r="886" spans="1:3" x14ac:dyDescent="0.25">
      <c r="A886" s="1">
        <v>38777</v>
      </c>
      <c r="B886">
        <v>15</v>
      </c>
      <c r="C886">
        <v>56000</v>
      </c>
    </row>
    <row r="887" spans="1:3" x14ac:dyDescent="0.25">
      <c r="A887" s="1">
        <v>38777</v>
      </c>
      <c r="B887">
        <v>16</v>
      </c>
      <c r="C887">
        <v>499275</v>
      </c>
    </row>
    <row r="888" spans="1:3" x14ac:dyDescent="0.25">
      <c r="A888" s="1">
        <v>38777</v>
      </c>
      <c r="B888">
        <v>18</v>
      </c>
      <c r="C888">
        <v>380659</v>
      </c>
    </row>
    <row r="889" spans="1:3" x14ac:dyDescent="0.25">
      <c r="A889" s="1">
        <v>38777</v>
      </c>
      <c r="B889">
        <v>20</v>
      </c>
      <c r="C889">
        <v>182250</v>
      </c>
    </row>
    <row r="890" spans="1:3" x14ac:dyDescent="0.25">
      <c r="A890" s="1">
        <v>38777</v>
      </c>
      <c r="B890">
        <v>25</v>
      </c>
      <c r="C890">
        <v>16265001</v>
      </c>
    </row>
    <row r="891" spans="1:3" x14ac:dyDescent="0.25">
      <c r="A891" s="1">
        <v>38777</v>
      </c>
      <c r="B891">
        <v>27</v>
      </c>
      <c r="C891">
        <v>868655</v>
      </c>
    </row>
    <row r="892" spans="1:3" x14ac:dyDescent="0.25">
      <c r="A892" s="1">
        <v>38777</v>
      </c>
      <c r="B892">
        <v>30</v>
      </c>
      <c r="C892">
        <v>61138129</v>
      </c>
    </row>
    <row r="893" spans="1:3" x14ac:dyDescent="0.25">
      <c r="A893" s="1">
        <v>38777</v>
      </c>
      <c r="B893">
        <v>32</v>
      </c>
      <c r="C893">
        <v>1763836</v>
      </c>
    </row>
    <row r="894" spans="1:3" x14ac:dyDescent="0.25">
      <c r="A894" s="1">
        <v>38777</v>
      </c>
      <c r="B894">
        <v>35</v>
      </c>
      <c r="C894">
        <v>3948520</v>
      </c>
    </row>
    <row r="895" spans="1:3" x14ac:dyDescent="0.25">
      <c r="A895" s="1">
        <v>38749</v>
      </c>
      <c r="B895">
        <v>-999</v>
      </c>
      <c r="C895">
        <v>34635464</v>
      </c>
    </row>
    <row r="896" spans="1:3" x14ac:dyDescent="0.25">
      <c r="A896" s="1">
        <v>38749</v>
      </c>
      <c r="B896">
        <v>0</v>
      </c>
      <c r="C896">
        <v>3410178</v>
      </c>
    </row>
    <row r="897" spans="1:3" x14ac:dyDescent="0.25">
      <c r="A897" s="1">
        <v>38749</v>
      </c>
      <c r="B897">
        <v>11</v>
      </c>
      <c r="C897">
        <v>141000</v>
      </c>
    </row>
    <row r="898" spans="1:3" x14ac:dyDescent="0.25">
      <c r="A898" s="1">
        <v>38749</v>
      </c>
      <c r="B898">
        <v>16</v>
      </c>
      <c r="C898">
        <v>404800</v>
      </c>
    </row>
    <row r="899" spans="1:3" x14ac:dyDescent="0.25">
      <c r="A899" s="1">
        <v>38749</v>
      </c>
      <c r="B899">
        <v>17</v>
      </c>
      <c r="C899">
        <v>160020</v>
      </c>
    </row>
    <row r="900" spans="1:3" x14ac:dyDescent="0.25">
      <c r="A900" s="1">
        <v>38749</v>
      </c>
      <c r="B900">
        <v>25</v>
      </c>
      <c r="C900">
        <v>22909612</v>
      </c>
    </row>
    <row r="901" spans="1:3" x14ac:dyDescent="0.25">
      <c r="A901" s="1">
        <v>38749</v>
      </c>
      <c r="B901">
        <v>27</v>
      </c>
      <c r="C901">
        <v>1255305</v>
      </c>
    </row>
    <row r="902" spans="1:3" x14ac:dyDescent="0.25">
      <c r="A902" s="1">
        <v>38749</v>
      </c>
      <c r="B902">
        <v>30</v>
      </c>
      <c r="C902">
        <v>88860760</v>
      </c>
    </row>
    <row r="903" spans="1:3" x14ac:dyDescent="0.25">
      <c r="A903" s="1">
        <v>38749</v>
      </c>
      <c r="B903">
        <v>32</v>
      </c>
      <c r="C903">
        <v>204250</v>
      </c>
    </row>
    <row r="904" spans="1:3" x14ac:dyDescent="0.25">
      <c r="A904" s="1">
        <v>38749</v>
      </c>
      <c r="B904">
        <v>35</v>
      </c>
      <c r="C904">
        <v>3856155</v>
      </c>
    </row>
    <row r="905" spans="1:3" x14ac:dyDescent="0.25">
      <c r="A905" s="1">
        <v>38737</v>
      </c>
      <c r="B905">
        <v>25</v>
      </c>
      <c r="C905">
        <v>82241</v>
      </c>
    </row>
    <row r="906" spans="1:3" x14ac:dyDescent="0.25">
      <c r="A906" s="1">
        <v>38718</v>
      </c>
      <c r="B906">
        <v>-999</v>
      </c>
      <c r="C906">
        <v>30909563</v>
      </c>
    </row>
    <row r="907" spans="1:3" x14ac:dyDescent="0.25">
      <c r="A907" s="1">
        <v>38718</v>
      </c>
      <c r="B907">
        <v>0</v>
      </c>
      <c r="C907">
        <v>2643054</v>
      </c>
    </row>
    <row r="908" spans="1:3" x14ac:dyDescent="0.25">
      <c r="A908" s="1">
        <v>38718</v>
      </c>
      <c r="B908">
        <v>9</v>
      </c>
      <c r="C908">
        <v>57645</v>
      </c>
    </row>
    <row r="909" spans="1:3" x14ac:dyDescent="0.25">
      <c r="A909" s="1">
        <v>38718</v>
      </c>
      <c r="B909">
        <v>16</v>
      </c>
      <c r="C909">
        <v>583786</v>
      </c>
    </row>
    <row r="910" spans="1:3" x14ac:dyDescent="0.25">
      <c r="A910" s="1">
        <v>38718</v>
      </c>
      <c r="B910">
        <v>17</v>
      </c>
      <c r="C910">
        <v>333756</v>
      </c>
    </row>
    <row r="911" spans="1:3" x14ac:dyDescent="0.25">
      <c r="A911" s="1">
        <v>38718</v>
      </c>
      <c r="B911">
        <v>20</v>
      </c>
      <c r="C911">
        <v>80750</v>
      </c>
    </row>
    <row r="912" spans="1:3" x14ac:dyDescent="0.25">
      <c r="A912" s="1">
        <v>38718</v>
      </c>
      <c r="B912">
        <v>25</v>
      </c>
      <c r="C912">
        <v>24292728</v>
      </c>
    </row>
    <row r="913" spans="1:3" x14ac:dyDescent="0.25">
      <c r="A913" s="1">
        <v>38718</v>
      </c>
      <c r="B913">
        <v>27</v>
      </c>
      <c r="C913">
        <v>1123125</v>
      </c>
    </row>
    <row r="914" spans="1:3" x14ac:dyDescent="0.25">
      <c r="A914" s="1">
        <v>38718</v>
      </c>
      <c r="B914">
        <v>30</v>
      </c>
      <c r="C914">
        <v>96876321</v>
      </c>
    </row>
    <row r="915" spans="1:3" x14ac:dyDescent="0.25">
      <c r="A915" s="1">
        <v>38718</v>
      </c>
      <c r="B915">
        <v>32</v>
      </c>
      <c r="C915">
        <v>878995</v>
      </c>
    </row>
    <row r="916" spans="1:3" x14ac:dyDescent="0.25">
      <c r="A916" s="1">
        <v>38718</v>
      </c>
      <c r="B916">
        <v>35</v>
      </c>
      <c r="C916">
        <v>4555451</v>
      </c>
    </row>
    <row r="917" spans="1:3" x14ac:dyDescent="0.25">
      <c r="A917" s="1">
        <v>38718</v>
      </c>
      <c r="B917">
        <v>37</v>
      </c>
      <c r="C917">
        <v>270750</v>
      </c>
    </row>
    <row r="918" spans="1:3" x14ac:dyDescent="0.25">
      <c r="A918" s="1">
        <v>38696</v>
      </c>
      <c r="B918">
        <v>25</v>
      </c>
      <c r="C918">
        <v>173672</v>
      </c>
    </row>
    <row r="919" spans="1:3" x14ac:dyDescent="0.25">
      <c r="A919" s="1">
        <v>38687</v>
      </c>
      <c r="B919">
        <v>-999</v>
      </c>
      <c r="C919">
        <v>16560409</v>
      </c>
    </row>
    <row r="920" spans="1:3" x14ac:dyDescent="0.25">
      <c r="A920" s="1">
        <v>38687</v>
      </c>
      <c r="B920">
        <v>0</v>
      </c>
      <c r="C920">
        <v>1883255</v>
      </c>
    </row>
    <row r="921" spans="1:3" x14ac:dyDescent="0.25">
      <c r="A921" s="1">
        <v>38687</v>
      </c>
      <c r="B921">
        <v>5</v>
      </c>
      <c r="C921">
        <v>104000</v>
      </c>
    </row>
    <row r="922" spans="1:3" x14ac:dyDescent="0.25">
      <c r="A922" s="1">
        <v>38687</v>
      </c>
      <c r="B922">
        <v>8</v>
      </c>
      <c r="C922">
        <v>63050</v>
      </c>
    </row>
    <row r="923" spans="1:3" x14ac:dyDescent="0.25">
      <c r="A923" s="1">
        <v>38687</v>
      </c>
      <c r="B923">
        <v>14</v>
      </c>
      <c r="C923">
        <v>77600</v>
      </c>
    </row>
    <row r="924" spans="1:3" x14ac:dyDescent="0.25">
      <c r="A924" s="1">
        <v>38687</v>
      </c>
      <c r="B924">
        <v>15</v>
      </c>
      <c r="C924">
        <v>106000</v>
      </c>
    </row>
    <row r="925" spans="1:3" x14ac:dyDescent="0.25">
      <c r="A925" s="1">
        <v>38687</v>
      </c>
      <c r="B925">
        <v>17</v>
      </c>
      <c r="C925">
        <v>159870</v>
      </c>
    </row>
    <row r="926" spans="1:3" x14ac:dyDescent="0.25">
      <c r="A926" s="1">
        <v>38687</v>
      </c>
      <c r="B926">
        <v>18</v>
      </c>
      <c r="C926">
        <v>480185</v>
      </c>
    </row>
    <row r="927" spans="1:3" x14ac:dyDescent="0.25">
      <c r="A927" s="1">
        <v>38687</v>
      </c>
      <c r="B927">
        <v>25</v>
      </c>
      <c r="C927">
        <v>15544710</v>
      </c>
    </row>
    <row r="928" spans="1:3" x14ac:dyDescent="0.25">
      <c r="A928" s="1">
        <v>38687</v>
      </c>
      <c r="B928">
        <v>27</v>
      </c>
      <c r="C928">
        <v>380000</v>
      </c>
    </row>
    <row r="929" spans="1:3" x14ac:dyDescent="0.25">
      <c r="A929" s="1">
        <v>38687</v>
      </c>
      <c r="B929">
        <v>30</v>
      </c>
      <c r="C929">
        <v>51446573</v>
      </c>
    </row>
    <row r="930" spans="1:3" x14ac:dyDescent="0.25">
      <c r="A930" s="1">
        <v>38687</v>
      </c>
      <c r="B930">
        <v>32</v>
      </c>
      <c r="C930">
        <v>305532</v>
      </c>
    </row>
    <row r="931" spans="1:3" x14ac:dyDescent="0.25">
      <c r="A931" s="1">
        <v>38687</v>
      </c>
      <c r="B931">
        <v>35</v>
      </c>
      <c r="C931">
        <v>2337725</v>
      </c>
    </row>
    <row r="932" spans="1:3" x14ac:dyDescent="0.25">
      <c r="A932" s="1">
        <v>38657</v>
      </c>
      <c r="B932">
        <v>-999</v>
      </c>
      <c r="C932">
        <v>3518331</v>
      </c>
    </row>
    <row r="933" spans="1:3" x14ac:dyDescent="0.25">
      <c r="A933" s="1">
        <v>38657</v>
      </c>
      <c r="B933">
        <v>0</v>
      </c>
      <c r="C933">
        <v>3075472</v>
      </c>
    </row>
    <row r="934" spans="1:3" x14ac:dyDescent="0.25">
      <c r="A934" s="1">
        <v>38657</v>
      </c>
      <c r="B934">
        <v>14</v>
      </c>
      <c r="C934">
        <v>95000</v>
      </c>
    </row>
    <row r="935" spans="1:3" x14ac:dyDescent="0.25">
      <c r="A935" s="1">
        <v>38657</v>
      </c>
      <c r="B935">
        <v>16</v>
      </c>
      <c r="C935">
        <v>479450</v>
      </c>
    </row>
    <row r="936" spans="1:3" x14ac:dyDescent="0.25">
      <c r="A936" s="1">
        <v>38657</v>
      </c>
      <c r="B936">
        <v>25</v>
      </c>
      <c r="C936">
        <v>3362531</v>
      </c>
    </row>
    <row r="937" spans="1:3" x14ac:dyDescent="0.25">
      <c r="A937" s="1">
        <v>38657</v>
      </c>
      <c r="B937">
        <v>30</v>
      </c>
      <c r="C937">
        <v>14151761</v>
      </c>
    </row>
    <row r="938" spans="1:3" x14ac:dyDescent="0.25">
      <c r="A938" s="1">
        <v>38657</v>
      </c>
      <c r="B938">
        <v>35</v>
      </c>
      <c r="C938">
        <v>1211037</v>
      </c>
    </row>
    <row r="939" spans="1:3" x14ac:dyDescent="0.25">
      <c r="A939" s="1">
        <v>38626</v>
      </c>
      <c r="B939">
        <v>-999</v>
      </c>
      <c r="C939">
        <v>1895075</v>
      </c>
    </row>
    <row r="940" spans="1:3" x14ac:dyDescent="0.25">
      <c r="A940" s="1">
        <v>38626</v>
      </c>
      <c r="B940">
        <v>0</v>
      </c>
      <c r="C940">
        <v>2462948</v>
      </c>
    </row>
    <row r="941" spans="1:3" x14ac:dyDescent="0.25">
      <c r="A941" s="1">
        <v>38626</v>
      </c>
      <c r="B941">
        <v>5</v>
      </c>
      <c r="C941">
        <v>157450</v>
      </c>
    </row>
    <row r="942" spans="1:3" x14ac:dyDescent="0.25">
      <c r="A942" s="1">
        <v>38626</v>
      </c>
      <c r="B942">
        <v>15</v>
      </c>
      <c r="C942">
        <v>138085</v>
      </c>
    </row>
    <row r="943" spans="1:3" x14ac:dyDescent="0.25">
      <c r="A943" s="1">
        <v>38626</v>
      </c>
      <c r="B943">
        <v>16</v>
      </c>
      <c r="C943">
        <v>190000</v>
      </c>
    </row>
    <row r="944" spans="1:3" x14ac:dyDescent="0.25">
      <c r="A944" s="1">
        <v>38626</v>
      </c>
      <c r="B944">
        <v>20</v>
      </c>
      <c r="C944">
        <v>248900</v>
      </c>
    </row>
    <row r="945" spans="1:3" x14ac:dyDescent="0.25">
      <c r="A945" s="1">
        <v>38626</v>
      </c>
      <c r="B945">
        <v>25</v>
      </c>
      <c r="C945">
        <v>741950</v>
      </c>
    </row>
    <row r="946" spans="1:3" x14ac:dyDescent="0.25">
      <c r="A946" s="1">
        <v>38626</v>
      </c>
      <c r="B946">
        <v>30</v>
      </c>
      <c r="C946">
        <v>8047974</v>
      </c>
    </row>
    <row r="947" spans="1:3" x14ac:dyDescent="0.25">
      <c r="A947" s="1">
        <v>38626</v>
      </c>
      <c r="B947">
        <v>35</v>
      </c>
      <c r="C947">
        <v>211080</v>
      </c>
    </row>
    <row r="948" spans="1:3" x14ac:dyDescent="0.25">
      <c r="A948" s="1">
        <v>38596</v>
      </c>
      <c r="B948">
        <v>-999</v>
      </c>
      <c r="C948">
        <v>1686750</v>
      </c>
    </row>
    <row r="949" spans="1:3" x14ac:dyDescent="0.25">
      <c r="A949" s="1">
        <v>38596</v>
      </c>
      <c r="B949">
        <v>0</v>
      </c>
      <c r="C949">
        <v>1600002</v>
      </c>
    </row>
    <row r="950" spans="1:3" x14ac:dyDescent="0.25">
      <c r="A950" s="1">
        <v>38596</v>
      </c>
      <c r="B950">
        <v>16</v>
      </c>
      <c r="C950">
        <v>105633</v>
      </c>
    </row>
    <row r="951" spans="1:3" x14ac:dyDescent="0.25">
      <c r="A951" s="1">
        <v>38596</v>
      </c>
      <c r="B951">
        <v>17</v>
      </c>
      <c r="C951">
        <v>234543</v>
      </c>
    </row>
    <row r="952" spans="1:3" x14ac:dyDescent="0.25">
      <c r="A952" s="1">
        <v>38596</v>
      </c>
      <c r="B952">
        <v>25</v>
      </c>
      <c r="C952">
        <v>1868359</v>
      </c>
    </row>
    <row r="953" spans="1:3" x14ac:dyDescent="0.25">
      <c r="A953" s="1">
        <v>38596</v>
      </c>
      <c r="B953">
        <v>30</v>
      </c>
      <c r="C953">
        <v>4063775</v>
      </c>
    </row>
    <row r="954" spans="1:3" x14ac:dyDescent="0.25">
      <c r="A954" s="1">
        <v>38596</v>
      </c>
      <c r="B954">
        <v>35</v>
      </c>
      <c r="C954">
        <v>357511</v>
      </c>
    </row>
    <row r="955" spans="1:3" x14ac:dyDescent="0.25">
      <c r="A955" s="1">
        <v>38565</v>
      </c>
      <c r="B955">
        <v>-999</v>
      </c>
      <c r="C955">
        <v>666140</v>
      </c>
    </row>
    <row r="956" spans="1:3" x14ac:dyDescent="0.25">
      <c r="A956" s="1">
        <v>38565</v>
      </c>
      <c r="B956">
        <v>0</v>
      </c>
      <c r="C956">
        <v>3212138</v>
      </c>
    </row>
    <row r="957" spans="1:3" x14ac:dyDescent="0.25">
      <c r="A957" s="1">
        <v>38565</v>
      </c>
      <c r="B957">
        <v>14</v>
      </c>
      <c r="C957">
        <v>52500</v>
      </c>
    </row>
    <row r="958" spans="1:3" x14ac:dyDescent="0.25">
      <c r="A958" s="1">
        <v>38565</v>
      </c>
      <c r="B958">
        <v>25</v>
      </c>
      <c r="C958">
        <v>347858</v>
      </c>
    </row>
    <row r="959" spans="1:3" x14ac:dyDescent="0.25">
      <c r="A959" s="1">
        <v>38565</v>
      </c>
      <c r="B959">
        <v>30</v>
      </c>
      <c r="C959">
        <v>4111345</v>
      </c>
    </row>
    <row r="960" spans="1:3" x14ac:dyDescent="0.25">
      <c r="A960" s="1">
        <v>38565</v>
      </c>
      <c r="B960">
        <v>35</v>
      </c>
      <c r="C960">
        <v>147250</v>
      </c>
    </row>
    <row r="961" spans="1:3" x14ac:dyDescent="0.25">
      <c r="A961" s="1">
        <v>38534</v>
      </c>
      <c r="B961">
        <v>-999</v>
      </c>
      <c r="C961">
        <v>531050</v>
      </c>
    </row>
    <row r="962" spans="1:3" x14ac:dyDescent="0.25">
      <c r="A962" s="1">
        <v>38534</v>
      </c>
      <c r="B962">
        <v>0</v>
      </c>
      <c r="C962">
        <v>1275977</v>
      </c>
    </row>
    <row r="963" spans="1:3" x14ac:dyDescent="0.25">
      <c r="A963" s="1">
        <v>38534</v>
      </c>
      <c r="B963">
        <v>14</v>
      </c>
      <c r="C963">
        <v>57400</v>
      </c>
    </row>
    <row r="964" spans="1:3" x14ac:dyDescent="0.25">
      <c r="A964" s="1">
        <v>38534</v>
      </c>
      <c r="B964">
        <v>16</v>
      </c>
      <c r="C964">
        <v>102920</v>
      </c>
    </row>
    <row r="965" spans="1:3" x14ac:dyDescent="0.25">
      <c r="A965" s="1">
        <v>38534</v>
      </c>
      <c r="B965">
        <v>25</v>
      </c>
      <c r="C965">
        <v>159500</v>
      </c>
    </row>
    <row r="966" spans="1:3" x14ac:dyDescent="0.25">
      <c r="A966" s="1">
        <v>38534</v>
      </c>
      <c r="B966">
        <v>30</v>
      </c>
      <c r="C966">
        <v>3790257</v>
      </c>
    </row>
    <row r="967" spans="1:3" x14ac:dyDescent="0.25">
      <c r="A967" s="1">
        <v>38523</v>
      </c>
      <c r="B967">
        <v>25</v>
      </c>
      <c r="C967">
        <v>148622</v>
      </c>
    </row>
    <row r="968" spans="1:3" x14ac:dyDescent="0.25">
      <c r="A968" s="1">
        <v>38504</v>
      </c>
      <c r="B968">
        <v>-999</v>
      </c>
      <c r="C968">
        <v>447635</v>
      </c>
    </row>
    <row r="969" spans="1:3" x14ac:dyDescent="0.25">
      <c r="A969" s="1">
        <v>38504</v>
      </c>
      <c r="B969">
        <v>0</v>
      </c>
      <c r="C969">
        <v>734528</v>
      </c>
    </row>
    <row r="970" spans="1:3" x14ac:dyDescent="0.25">
      <c r="A970" s="1">
        <v>38504</v>
      </c>
      <c r="B970">
        <v>25</v>
      </c>
      <c r="C970">
        <v>140000</v>
      </c>
    </row>
    <row r="971" spans="1:3" x14ac:dyDescent="0.25">
      <c r="A971" s="1">
        <v>38504</v>
      </c>
      <c r="B971">
        <v>30</v>
      </c>
      <c r="C971">
        <v>1474577</v>
      </c>
    </row>
    <row r="972" spans="1:3" x14ac:dyDescent="0.25">
      <c r="A972" s="1">
        <v>38504</v>
      </c>
      <c r="B972">
        <v>35</v>
      </c>
      <c r="C972">
        <v>196650</v>
      </c>
    </row>
    <row r="973" spans="1:3" x14ac:dyDescent="0.25">
      <c r="A973" s="1">
        <v>38473</v>
      </c>
      <c r="B973">
        <v>-999</v>
      </c>
      <c r="C973">
        <v>259300</v>
      </c>
    </row>
    <row r="974" spans="1:3" x14ac:dyDescent="0.25">
      <c r="A974" s="1">
        <v>38473</v>
      </c>
      <c r="B974">
        <v>0</v>
      </c>
      <c r="C974">
        <v>1730173</v>
      </c>
    </row>
    <row r="975" spans="1:3" x14ac:dyDescent="0.25">
      <c r="A975" s="1">
        <v>38473</v>
      </c>
      <c r="B975">
        <v>11</v>
      </c>
      <c r="C975">
        <v>80500</v>
      </c>
    </row>
    <row r="976" spans="1:3" x14ac:dyDescent="0.25">
      <c r="A976" s="1">
        <v>38473</v>
      </c>
      <c r="B976">
        <v>16</v>
      </c>
      <c r="C976">
        <v>80500</v>
      </c>
    </row>
    <row r="977" spans="1:3" x14ac:dyDescent="0.25">
      <c r="A977" s="1">
        <v>38473</v>
      </c>
      <c r="B977">
        <v>25</v>
      </c>
      <c r="C977">
        <v>816820</v>
      </c>
    </row>
    <row r="978" spans="1:3" x14ac:dyDescent="0.25">
      <c r="A978" s="1">
        <v>38473</v>
      </c>
      <c r="B978">
        <v>30</v>
      </c>
      <c r="C978">
        <v>1356276</v>
      </c>
    </row>
    <row r="979" spans="1:3" x14ac:dyDescent="0.25">
      <c r="A979" s="1">
        <v>38473</v>
      </c>
      <c r="B979">
        <v>35</v>
      </c>
      <c r="C979">
        <v>97498</v>
      </c>
    </row>
    <row r="980" spans="1:3" x14ac:dyDescent="0.25">
      <c r="A980" s="1">
        <v>38443</v>
      </c>
      <c r="B980">
        <v>-999</v>
      </c>
      <c r="C980">
        <v>262425</v>
      </c>
    </row>
    <row r="981" spans="1:3" x14ac:dyDescent="0.25">
      <c r="A981" s="1">
        <v>38443</v>
      </c>
      <c r="B981">
        <v>0</v>
      </c>
      <c r="C981">
        <v>820770</v>
      </c>
    </row>
    <row r="982" spans="1:3" x14ac:dyDescent="0.25">
      <c r="A982" s="1">
        <v>38443</v>
      </c>
      <c r="B982">
        <v>13</v>
      </c>
      <c r="C982">
        <v>145200</v>
      </c>
    </row>
    <row r="983" spans="1:3" x14ac:dyDescent="0.25">
      <c r="A983" s="1">
        <v>38443</v>
      </c>
      <c r="B983">
        <v>16</v>
      </c>
      <c r="C983">
        <v>237500</v>
      </c>
    </row>
    <row r="984" spans="1:3" x14ac:dyDescent="0.25">
      <c r="A984" s="1">
        <v>38443</v>
      </c>
      <c r="B984">
        <v>30</v>
      </c>
      <c r="C984">
        <v>2338300</v>
      </c>
    </row>
    <row r="985" spans="1:3" x14ac:dyDescent="0.25">
      <c r="A985" s="1">
        <v>38421</v>
      </c>
      <c r="B985">
        <v>30</v>
      </c>
      <c r="C985">
        <v>89904</v>
      </c>
    </row>
    <row r="986" spans="1:3" x14ac:dyDescent="0.25">
      <c r="A986" s="1">
        <v>38412</v>
      </c>
      <c r="B986">
        <v>-999</v>
      </c>
      <c r="C986">
        <v>172438</v>
      </c>
    </row>
    <row r="987" spans="1:3" x14ac:dyDescent="0.25">
      <c r="A987" s="1">
        <v>38412</v>
      </c>
      <c r="B987">
        <v>0</v>
      </c>
      <c r="C987">
        <v>1386683</v>
      </c>
    </row>
    <row r="988" spans="1:3" x14ac:dyDescent="0.25">
      <c r="A988" s="1">
        <v>38412</v>
      </c>
      <c r="B988">
        <v>9</v>
      </c>
      <c r="C988">
        <v>98000</v>
      </c>
    </row>
    <row r="989" spans="1:3" x14ac:dyDescent="0.25">
      <c r="A989" s="1">
        <v>38412</v>
      </c>
      <c r="B989">
        <v>13</v>
      </c>
      <c r="C989">
        <v>80510</v>
      </c>
    </row>
    <row r="990" spans="1:3" x14ac:dyDescent="0.25">
      <c r="A990" s="1">
        <v>38412</v>
      </c>
      <c r="B990">
        <v>30</v>
      </c>
      <c r="C990">
        <v>2087711</v>
      </c>
    </row>
    <row r="991" spans="1:3" x14ac:dyDescent="0.25">
      <c r="A991" s="1">
        <v>38384</v>
      </c>
      <c r="B991">
        <v>-999</v>
      </c>
      <c r="C991">
        <v>808750</v>
      </c>
    </row>
    <row r="992" spans="1:3" x14ac:dyDescent="0.25">
      <c r="A992" s="1">
        <v>38384</v>
      </c>
      <c r="B992">
        <v>0</v>
      </c>
      <c r="C992">
        <v>2005324</v>
      </c>
    </row>
    <row r="993" spans="1:3" x14ac:dyDescent="0.25">
      <c r="A993" s="1">
        <v>38384</v>
      </c>
      <c r="B993">
        <v>10</v>
      </c>
      <c r="C993">
        <v>100500</v>
      </c>
    </row>
    <row r="994" spans="1:3" x14ac:dyDescent="0.25">
      <c r="A994" s="1">
        <v>38384</v>
      </c>
      <c r="B994">
        <v>12</v>
      </c>
      <c r="C994">
        <v>100000</v>
      </c>
    </row>
    <row r="995" spans="1:3" x14ac:dyDescent="0.25">
      <c r="A995" s="1">
        <v>38384</v>
      </c>
      <c r="B995">
        <v>30</v>
      </c>
      <c r="C995">
        <v>2046337</v>
      </c>
    </row>
    <row r="996" spans="1:3" x14ac:dyDescent="0.25">
      <c r="A996" s="1">
        <v>38384</v>
      </c>
      <c r="B996">
        <v>35</v>
      </c>
      <c r="C996">
        <v>351500</v>
      </c>
    </row>
    <row r="997" spans="1:3" x14ac:dyDescent="0.25">
      <c r="A997" s="1">
        <v>38372</v>
      </c>
      <c r="B997">
        <v>30</v>
      </c>
      <c r="C997">
        <v>121215</v>
      </c>
    </row>
    <row r="998" spans="1:3" x14ac:dyDescent="0.25">
      <c r="A998" s="1">
        <v>38353</v>
      </c>
      <c r="B998">
        <v>-999</v>
      </c>
      <c r="C998">
        <v>932900</v>
      </c>
    </row>
    <row r="999" spans="1:3" x14ac:dyDescent="0.25">
      <c r="A999" s="1">
        <v>38353</v>
      </c>
      <c r="B999">
        <v>0</v>
      </c>
      <c r="C999">
        <v>811345</v>
      </c>
    </row>
    <row r="1000" spans="1:3" x14ac:dyDescent="0.25">
      <c r="A1000" s="1">
        <v>38353</v>
      </c>
      <c r="B1000">
        <v>8</v>
      </c>
      <c r="C1000">
        <v>175000</v>
      </c>
    </row>
    <row r="1001" spans="1:3" x14ac:dyDescent="0.25">
      <c r="A1001" s="1">
        <v>38353</v>
      </c>
      <c r="B1001">
        <v>11</v>
      </c>
      <c r="C1001">
        <v>265000</v>
      </c>
    </row>
    <row r="1002" spans="1:3" x14ac:dyDescent="0.25">
      <c r="A1002" s="1">
        <v>38353</v>
      </c>
      <c r="B1002">
        <v>25</v>
      </c>
      <c r="C1002">
        <v>521205</v>
      </c>
    </row>
    <row r="1003" spans="1:3" x14ac:dyDescent="0.25">
      <c r="A1003" s="1">
        <v>38353</v>
      </c>
      <c r="B1003">
        <v>30</v>
      </c>
      <c r="C1003">
        <v>2153905</v>
      </c>
    </row>
    <row r="1004" spans="1:3" x14ac:dyDescent="0.25">
      <c r="A1004" s="1">
        <v>38353</v>
      </c>
      <c r="B1004">
        <v>35</v>
      </c>
      <c r="C1004">
        <v>497950</v>
      </c>
    </row>
    <row r="1005" spans="1:3" x14ac:dyDescent="0.25">
      <c r="A1005" s="1">
        <v>38322</v>
      </c>
      <c r="B1005">
        <v>-999</v>
      </c>
      <c r="C1005">
        <v>359947</v>
      </c>
    </row>
    <row r="1006" spans="1:3" x14ac:dyDescent="0.25">
      <c r="A1006" s="1">
        <v>38322</v>
      </c>
      <c r="B1006">
        <v>0</v>
      </c>
      <c r="C1006">
        <v>907030</v>
      </c>
    </row>
    <row r="1007" spans="1:3" x14ac:dyDescent="0.25">
      <c r="A1007" s="1">
        <v>38322</v>
      </c>
      <c r="B1007">
        <v>25</v>
      </c>
      <c r="C1007">
        <v>416875</v>
      </c>
    </row>
    <row r="1008" spans="1:3" x14ac:dyDescent="0.25">
      <c r="A1008" s="1">
        <v>38322</v>
      </c>
      <c r="B1008">
        <v>30</v>
      </c>
      <c r="C1008">
        <v>1625750</v>
      </c>
    </row>
    <row r="1009" spans="1:3" x14ac:dyDescent="0.25">
      <c r="A1009" s="1">
        <v>38301</v>
      </c>
      <c r="B1009">
        <v>-999</v>
      </c>
      <c r="C1009">
        <v>85770</v>
      </c>
    </row>
    <row r="1010" spans="1:3" x14ac:dyDescent="0.25">
      <c r="A1010" s="1">
        <v>38292</v>
      </c>
      <c r="B1010">
        <v>-999</v>
      </c>
      <c r="C1010">
        <v>780825</v>
      </c>
    </row>
    <row r="1011" spans="1:3" x14ac:dyDescent="0.25">
      <c r="A1011" s="1">
        <v>38292</v>
      </c>
      <c r="B1011">
        <v>0</v>
      </c>
      <c r="C1011">
        <v>1595192</v>
      </c>
    </row>
    <row r="1012" spans="1:3" x14ac:dyDescent="0.25">
      <c r="A1012" s="1">
        <v>38292</v>
      </c>
      <c r="B1012">
        <v>25</v>
      </c>
      <c r="C1012">
        <v>414925</v>
      </c>
    </row>
    <row r="1013" spans="1:3" x14ac:dyDescent="0.25">
      <c r="A1013" s="1">
        <v>38292</v>
      </c>
      <c r="B1013">
        <v>30</v>
      </c>
      <c r="C1013">
        <v>2115322</v>
      </c>
    </row>
    <row r="1014" spans="1:3" x14ac:dyDescent="0.25">
      <c r="A1014" s="1">
        <v>38292</v>
      </c>
      <c r="B1014">
        <v>35</v>
      </c>
      <c r="C1014">
        <v>113950</v>
      </c>
    </row>
    <row r="1015" spans="1:3" x14ac:dyDescent="0.25">
      <c r="A1015" s="1">
        <v>38280</v>
      </c>
      <c r="B1015">
        <v>25</v>
      </c>
      <c r="C1015">
        <v>128514</v>
      </c>
    </row>
    <row r="1016" spans="1:3" x14ac:dyDescent="0.25">
      <c r="A1016" s="1">
        <v>38261</v>
      </c>
      <c r="B1016">
        <v>-999</v>
      </c>
      <c r="C1016">
        <v>1189900</v>
      </c>
    </row>
    <row r="1017" spans="1:3" x14ac:dyDescent="0.25">
      <c r="A1017" s="1">
        <v>38261</v>
      </c>
      <c r="B1017">
        <v>0</v>
      </c>
      <c r="C1017">
        <v>2192829</v>
      </c>
    </row>
    <row r="1018" spans="1:3" x14ac:dyDescent="0.25">
      <c r="A1018" s="1">
        <v>38261</v>
      </c>
      <c r="B1018">
        <v>6</v>
      </c>
      <c r="C1018">
        <v>185250</v>
      </c>
    </row>
    <row r="1019" spans="1:3" x14ac:dyDescent="0.25">
      <c r="A1019" s="1">
        <v>38261</v>
      </c>
      <c r="B1019">
        <v>13</v>
      </c>
      <c r="C1019">
        <v>70000</v>
      </c>
    </row>
    <row r="1020" spans="1:3" x14ac:dyDescent="0.25">
      <c r="A1020" s="1">
        <v>38261</v>
      </c>
      <c r="B1020">
        <v>25</v>
      </c>
      <c r="C1020">
        <v>226750</v>
      </c>
    </row>
    <row r="1021" spans="1:3" x14ac:dyDescent="0.25">
      <c r="A1021" s="1">
        <v>38261</v>
      </c>
      <c r="B1021">
        <v>30</v>
      </c>
      <c r="C1021">
        <v>1818103</v>
      </c>
    </row>
    <row r="1022" spans="1:3" x14ac:dyDescent="0.25">
      <c r="A1022" s="1">
        <v>38240</v>
      </c>
      <c r="B1022">
        <v>30</v>
      </c>
      <c r="C1022">
        <v>156000</v>
      </c>
    </row>
    <row r="1023" spans="1:3" x14ac:dyDescent="0.25">
      <c r="A1023" s="1">
        <v>38231</v>
      </c>
      <c r="B1023">
        <v>-999</v>
      </c>
      <c r="C1023">
        <v>234650</v>
      </c>
    </row>
    <row r="1024" spans="1:3" x14ac:dyDescent="0.25">
      <c r="A1024" s="1">
        <v>38231</v>
      </c>
      <c r="B1024">
        <v>0</v>
      </c>
      <c r="C1024">
        <v>1858705</v>
      </c>
    </row>
    <row r="1025" spans="1:3" x14ac:dyDescent="0.25">
      <c r="A1025" s="1">
        <v>38231</v>
      </c>
      <c r="B1025">
        <v>12</v>
      </c>
      <c r="C1025">
        <v>212750</v>
      </c>
    </row>
    <row r="1026" spans="1:3" x14ac:dyDescent="0.25">
      <c r="A1026" s="1">
        <v>38231</v>
      </c>
      <c r="B1026">
        <v>16</v>
      </c>
      <c r="C1026">
        <v>108600</v>
      </c>
    </row>
    <row r="1027" spans="1:3" x14ac:dyDescent="0.25">
      <c r="A1027" s="1">
        <v>38231</v>
      </c>
      <c r="B1027">
        <v>25</v>
      </c>
      <c r="C1027">
        <v>117500</v>
      </c>
    </row>
    <row r="1028" spans="1:3" x14ac:dyDescent="0.25">
      <c r="A1028" s="1">
        <v>38231</v>
      </c>
      <c r="B1028">
        <v>30</v>
      </c>
      <c r="C1028">
        <v>1991085</v>
      </c>
    </row>
    <row r="1029" spans="1:3" x14ac:dyDescent="0.25">
      <c r="A1029" s="1">
        <v>38231</v>
      </c>
      <c r="B1029">
        <v>35</v>
      </c>
      <c r="C1029">
        <v>57000</v>
      </c>
    </row>
    <row r="1030" spans="1:3" x14ac:dyDescent="0.25">
      <c r="A1030" s="1">
        <v>38200</v>
      </c>
      <c r="B1030">
        <v>-999</v>
      </c>
      <c r="C1030">
        <v>217375</v>
      </c>
    </row>
    <row r="1031" spans="1:3" x14ac:dyDescent="0.25">
      <c r="A1031" s="1">
        <v>38200</v>
      </c>
      <c r="B1031">
        <v>0</v>
      </c>
      <c r="C1031">
        <v>1192460</v>
      </c>
    </row>
    <row r="1032" spans="1:3" x14ac:dyDescent="0.25">
      <c r="A1032" s="1">
        <v>38200</v>
      </c>
      <c r="B1032">
        <v>25</v>
      </c>
      <c r="C1032">
        <v>163850</v>
      </c>
    </row>
    <row r="1033" spans="1:3" x14ac:dyDescent="0.25">
      <c r="A1033" s="1">
        <v>38200</v>
      </c>
      <c r="B1033">
        <v>30</v>
      </c>
      <c r="C1033">
        <v>1245005</v>
      </c>
    </row>
    <row r="1034" spans="1:3" x14ac:dyDescent="0.25">
      <c r="A1034" s="1">
        <v>38200</v>
      </c>
      <c r="B1034">
        <v>35</v>
      </c>
      <c r="C1034">
        <v>196460</v>
      </c>
    </row>
    <row r="1035" spans="1:3" x14ac:dyDescent="0.25">
      <c r="A1035" s="1">
        <v>38169</v>
      </c>
      <c r="B1035">
        <v>-999</v>
      </c>
      <c r="C1035">
        <v>111150</v>
      </c>
    </row>
    <row r="1036" spans="1:3" x14ac:dyDescent="0.25">
      <c r="A1036" s="1">
        <v>38169</v>
      </c>
      <c r="B1036">
        <v>0</v>
      </c>
      <c r="C1036">
        <v>1324700</v>
      </c>
    </row>
    <row r="1037" spans="1:3" x14ac:dyDescent="0.25">
      <c r="A1037" s="1">
        <v>38169</v>
      </c>
      <c r="B1037">
        <v>10</v>
      </c>
      <c r="C1037">
        <v>88000</v>
      </c>
    </row>
    <row r="1038" spans="1:3" x14ac:dyDescent="0.25">
      <c r="A1038" s="1">
        <v>38169</v>
      </c>
      <c r="B1038">
        <v>25</v>
      </c>
      <c r="C1038">
        <v>349900</v>
      </c>
    </row>
    <row r="1039" spans="1:3" x14ac:dyDescent="0.25">
      <c r="A1039" s="1">
        <v>38169</v>
      </c>
      <c r="B1039">
        <v>30</v>
      </c>
      <c r="C1039">
        <v>1418721</v>
      </c>
    </row>
    <row r="1040" spans="1:3" x14ac:dyDescent="0.25">
      <c r="A1040" s="1">
        <v>38139</v>
      </c>
      <c r="B1040">
        <v>-999</v>
      </c>
      <c r="C1040">
        <v>257350</v>
      </c>
    </row>
    <row r="1041" spans="1:3" x14ac:dyDescent="0.25">
      <c r="A1041" s="1">
        <v>38139</v>
      </c>
      <c r="B1041">
        <v>0</v>
      </c>
      <c r="C1041">
        <v>547475</v>
      </c>
    </row>
    <row r="1042" spans="1:3" x14ac:dyDescent="0.25">
      <c r="A1042" s="1">
        <v>38139</v>
      </c>
      <c r="B1042">
        <v>25</v>
      </c>
      <c r="C1042">
        <v>308449</v>
      </c>
    </row>
    <row r="1043" spans="1:3" x14ac:dyDescent="0.25">
      <c r="A1043" s="1">
        <v>38139</v>
      </c>
      <c r="B1043">
        <v>30</v>
      </c>
      <c r="C1043">
        <v>769273</v>
      </c>
    </row>
    <row r="1044" spans="1:3" x14ac:dyDescent="0.25">
      <c r="A1044" s="1">
        <v>38127</v>
      </c>
      <c r="B1044">
        <v>25</v>
      </c>
      <c r="C1044">
        <v>110268</v>
      </c>
    </row>
    <row r="1045" spans="1:3" x14ac:dyDescent="0.25">
      <c r="A1045" s="1">
        <v>38108</v>
      </c>
      <c r="B1045">
        <v>-999</v>
      </c>
      <c r="C1045">
        <v>419700</v>
      </c>
    </row>
    <row r="1046" spans="1:3" x14ac:dyDescent="0.25">
      <c r="A1046" s="1">
        <v>38108</v>
      </c>
      <c r="B1046">
        <v>0</v>
      </c>
      <c r="C1046">
        <v>1735593</v>
      </c>
    </row>
    <row r="1047" spans="1:3" x14ac:dyDescent="0.25">
      <c r="A1047" s="1">
        <v>38108</v>
      </c>
      <c r="B1047">
        <v>6</v>
      </c>
      <c r="C1047">
        <v>166155</v>
      </c>
    </row>
    <row r="1048" spans="1:3" x14ac:dyDescent="0.25">
      <c r="A1048" s="1">
        <v>38108</v>
      </c>
      <c r="B1048">
        <v>11</v>
      </c>
      <c r="C1048">
        <v>292110</v>
      </c>
    </row>
    <row r="1049" spans="1:3" x14ac:dyDescent="0.25">
      <c r="A1049" s="1">
        <v>38108</v>
      </c>
      <c r="B1049">
        <v>25</v>
      </c>
      <c r="C1049">
        <v>130435</v>
      </c>
    </row>
    <row r="1050" spans="1:3" x14ac:dyDescent="0.25">
      <c r="A1050" s="1">
        <v>38108</v>
      </c>
      <c r="B1050">
        <v>30</v>
      </c>
      <c r="C1050">
        <v>1365032</v>
      </c>
    </row>
    <row r="1051" spans="1:3" x14ac:dyDescent="0.25">
      <c r="A1051" s="1">
        <v>38078</v>
      </c>
      <c r="B1051">
        <v>-999</v>
      </c>
      <c r="C1051">
        <v>304000</v>
      </c>
    </row>
    <row r="1052" spans="1:3" x14ac:dyDescent="0.25">
      <c r="A1052" s="1">
        <v>38078</v>
      </c>
      <c r="B1052">
        <v>0</v>
      </c>
      <c r="C1052">
        <v>2274953</v>
      </c>
    </row>
    <row r="1053" spans="1:3" x14ac:dyDescent="0.25">
      <c r="A1053" s="1">
        <v>38078</v>
      </c>
      <c r="B1053">
        <v>9</v>
      </c>
      <c r="C1053">
        <v>97400</v>
      </c>
    </row>
    <row r="1054" spans="1:3" x14ac:dyDescent="0.25">
      <c r="A1054" s="1">
        <v>38078</v>
      </c>
      <c r="B1054">
        <v>25</v>
      </c>
      <c r="C1054">
        <v>260300</v>
      </c>
    </row>
    <row r="1055" spans="1:3" x14ac:dyDescent="0.25">
      <c r="A1055" s="1">
        <v>38078</v>
      </c>
      <c r="B1055">
        <v>30</v>
      </c>
      <c r="C1055">
        <v>1438394</v>
      </c>
    </row>
    <row r="1056" spans="1:3" x14ac:dyDescent="0.25">
      <c r="A1056" s="1">
        <v>38047</v>
      </c>
      <c r="B1056">
        <v>-999</v>
      </c>
      <c r="C1056">
        <v>362753</v>
      </c>
    </row>
    <row r="1057" spans="1:3" x14ac:dyDescent="0.25">
      <c r="A1057" s="1">
        <v>38047</v>
      </c>
      <c r="B1057">
        <v>0</v>
      </c>
      <c r="C1057">
        <v>460745</v>
      </c>
    </row>
    <row r="1058" spans="1:3" x14ac:dyDescent="0.25">
      <c r="A1058" s="1">
        <v>38047</v>
      </c>
      <c r="B1058">
        <v>6</v>
      </c>
      <c r="C1058">
        <v>115000</v>
      </c>
    </row>
    <row r="1059" spans="1:3" x14ac:dyDescent="0.25">
      <c r="A1059" s="1">
        <v>38047</v>
      </c>
      <c r="B1059">
        <v>13</v>
      </c>
      <c r="C1059">
        <v>201400</v>
      </c>
    </row>
    <row r="1060" spans="1:3" x14ac:dyDescent="0.25">
      <c r="A1060" s="1">
        <v>38047</v>
      </c>
      <c r="B1060">
        <v>25</v>
      </c>
      <c r="C1060">
        <v>773100</v>
      </c>
    </row>
    <row r="1061" spans="1:3" x14ac:dyDescent="0.25">
      <c r="A1061" s="1">
        <v>38047</v>
      </c>
      <c r="B1061">
        <v>30</v>
      </c>
      <c r="C1061">
        <v>1406405</v>
      </c>
    </row>
    <row r="1062" spans="1:3" x14ac:dyDescent="0.25">
      <c r="A1062" s="1">
        <v>38018</v>
      </c>
      <c r="B1062">
        <v>-999</v>
      </c>
      <c r="C1062">
        <v>513050</v>
      </c>
    </row>
    <row r="1063" spans="1:3" x14ac:dyDescent="0.25">
      <c r="A1063" s="1">
        <v>38018</v>
      </c>
      <c r="B1063">
        <v>0</v>
      </c>
      <c r="C1063">
        <v>1116386</v>
      </c>
    </row>
    <row r="1064" spans="1:3" x14ac:dyDescent="0.25">
      <c r="A1064" s="1">
        <v>38018</v>
      </c>
      <c r="B1064">
        <v>6</v>
      </c>
      <c r="C1064">
        <v>62700</v>
      </c>
    </row>
    <row r="1065" spans="1:3" x14ac:dyDescent="0.25">
      <c r="A1065" s="1">
        <v>38018</v>
      </c>
      <c r="B1065">
        <v>8</v>
      </c>
      <c r="C1065">
        <v>86500</v>
      </c>
    </row>
    <row r="1066" spans="1:3" x14ac:dyDescent="0.25">
      <c r="A1066" s="1">
        <v>38018</v>
      </c>
      <c r="B1066">
        <v>12</v>
      </c>
      <c r="C1066">
        <v>126150</v>
      </c>
    </row>
    <row r="1067" spans="1:3" x14ac:dyDescent="0.25">
      <c r="A1067" s="1">
        <v>38018</v>
      </c>
      <c r="B1067">
        <v>30</v>
      </c>
      <c r="C1067">
        <v>1234712</v>
      </c>
    </row>
    <row r="1068" spans="1:3" x14ac:dyDescent="0.25">
      <c r="A1068" s="1">
        <v>37987</v>
      </c>
      <c r="B1068">
        <v>-999</v>
      </c>
      <c r="C1068">
        <v>415550</v>
      </c>
    </row>
    <row r="1069" spans="1:3" x14ac:dyDescent="0.25">
      <c r="A1069" s="1">
        <v>37987</v>
      </c>
      <c r="B1069">
        <v>0</v>
      </c>
      <c r="C1069">
        <v>1220550</v>
      </c>
    </row>
    <row r="1070" spans="1:3" x14ac:dyDescent="0.25">
      <c r="A1070" s="1">
        <v>37987</v>
      </c>
      <c r="B1070">
        <v>25</v>
      </c>
      <c r="C1070">
        <v>71250</v>
      </c>
    </row>
    <row r="1071" spans="1:3" x14ac:dyDescent="0.25">
      <c r="A1071" s="1">
        <v>37987</v>
      </c>
      <c r="B1071">
        <v>30</v>
      </c>
      <c r="C1071">
        <v>1971788</v>
      </c>
    </row>
    <row r="1072" spans="1:3" x14ac:dyDescent="0.25">
      <c r="A1072" s="1">
        <v>37956</v>
      </c>
      <c r="B1072">
        <v>-999</v>
      </c>
      <c r="C1072">
        <v>358100</v>
      </c>
    </row>
    <row r="1073" spans="1:3" x14ac:dyDescent="0.25">
      <c r="A1073" s="1">
        <v>37956</v>
      </c>
      <c r="B1073">
        <v>0</v>
      </c>
      <c r="C1073">
        <v>1368739</v>
      </c>
    </row>
    <row r="1074" spans="1:3" x14ac:dyDescent="0.25">
      <c r="A1074" s="1">
        <v>37956</v>
      </c>
      <c r="B1074">
        <v>6</v>
      </c>
      <c r="C1074">
        <v>151500</v>
      </c>
    </row>
    <row r="1075" spans="1:3" x14ac:dyDescent="0.25">
      <c r="A1075" s="1">
        <v>37956</v>
      </c>
      <c r="B1075">
        <v>25</v>
      </c>
      <c r="C1075">
        <v>162886</v>
      </c>
    </row>
    <row r="1076" spans="1:3" x14ac:dyDescent="0.25">
      <c r="A1076" s="1">
        <v>37956</v>
      </c>
      <c r="B1076">
        <v>30</v>
      </c>
      <c r="C1076">
        <v>1551225</v>
      </c>
    </row>
    <row r="1077" spans="1:3" x14ac:dyDescent="0.25">
      <c r="A1077" s="1">
        <v>37926</v>
      </c>
      <c r="B1077">
        <v>-999</v>
      </c>
      <c r="C1077">
        <v>375000</v>
      </c>
    </row>
    <row r="1078" spans="1:3" x14ac:dyDescent="0.25">
      <c r="A1078" s="1">
        <v>37926</v>
      </c>
      <c r="B1078">
        <v>0</v>
      </c>
      <c r="C1078">
        <v>1294679</v>
      </c>
    </row>
    <row r="1079" spans="1:3" x14ac:dyDescent="0.25">
      <c r="A1079" s="1">
        <v>37926</v>
      </c>
      <c r="B1079">
        <v>7</v>
      </c>
      <c r="C1079">
        <v>95000</v>
      </c>
    </row>
    <row r="1080" spans="1:3" x14ac:dyDescent="0.25">
      <c r="A1080" s="1">
        <v>37926</v>
      </c>
      <c r="B1080">
        <v>20</v>
      </c>
      <c r="C1080">
        <v>125400</v>
      </c>
    </row>
    <row r="1081" spans="1:3" x14ac:dyDescent="0.25">
      <c r="A1081" s="1">
        <v>37926</v>
      </c>
      <c r="B1081">
        <v>25</v>
      </c>
      <c r="C1081">
        <v>268546</v>
      </c>
    </row>
    <row r="1082" spans="1:3" x14ac:dyDescent="0.25">
      <c r="A1082" s="1">
        <v>37926</v>
      </c>
      <c r="B1082">
        <v>30</v>
      </c>
      <c r="C1082">
        <v>2053904</v>
      </c>
    </row>
    <row r="1083" spans="1:3" x14ac:dyDescent="0.25">
      <c r="A1083" s="1">
        <v>37926</v>
      </c>
      <c r="B1083">
        <v>35</v>
      </c>
      <c r="C1083">
        <v>89300</v>
      </c>
    </row>
    <row r="1084" spans="1:3" x14ac:dyDescent="0.25">
      <c r="A1084" s="1">
        <v>37904</v>
      </c>
      <c r="B1084">
        <v>30</v>
      </c>
      <c r="C1084">
        <v>65070</v>
      </c>
    </row>
    <row r="1085" spans="1:3" x14ac:dyDescent="0.25">
      <c r="A1085" s="1">
        <v>37895</v>
      </c>
      <c r="B1085">
        <v>-999</v>
      </c>
      <c r="C1085">
        <v>171225</v>
      </c>
    </row>
    <row r="1086" spans="1:3" x14ac:dyDescent="0.25">
      <c r="A1086" s="1">
        <v>37895</v>
      </c>
      <c r="B1086">
        <v>0</v>
      </c>
      <c r="C1086">
        <v>1167744</v>
      </c>
    </row>
    <row r="1087" spans="1:3" x14ac:dyDescent="0.25">
      <c r="A1087" s="1">
        <v>37895</v>
      </c>
      <c r="B1087">
        <v>12</v>
      </c>
      <c r="C1087">
        <v>108500</v>
      </c>
    </row>
    <row r="1088" spans="1:3" x14ac:dyDescent="0.25">
      <c r="A1088" s="1">
        <v>37895</v>
      </c>
      <c r="B1088">
        <v>16</v>
      </c>
      <c r="C1088">
        <v>120000</v>
      </c>
    </row>
    <row r="1089" spans="1:3" x14ac:dyDescent="0.25">
      <c r="A1089" s="1">
        <v>37895</v>
      </c>
      <c r="B1089">
        <v>25</v>
      </c>
      <c r="C1089">
        <v>132050</v>
      </c>
    </row>
    <row r="1090" spans="1:3" x14ac:dyDescent="0.25">
      <c r="A1090" s="1">
        <v>37895</v>
      </c>
      <c r="B1090">
        <v>30</v>
      </c>
      <c r="C1090">
        <v>1647455</v>
      </c>
    </row>
    <row r="1091" spans="1:3" x14ac:dyDescent="0.25">
      <c r="A1091" s="1">
        <v>37884</v>
      </c>
      <c r="B1091">
        <v>30</v>
      </c>
      <c r="C1091">
        <v>93100</v>
      </c>
    </row>
    <row r="1092" spans="1:3" x14ac:dyDescent="0.25">
      <c r="A1092" s="1">
        <v>37874</v>
      </c>
      <c r="B1092">
        <v>25</v>
      </c>
      <c r="C1092">
        <v>217767</v>
      </c>
    </row>
    <row r="1093" spans="1:3" x14ac:dyDescent="0.25">
      <c r="A1093" s="1">
        <v>37865</v>
      </c>
      <c r="B1093">
        <v>-999</v>
      </c>
      <c r="C1093">
        <v>212655</v>
      </c>
    </row>
    <row r="1094" spans="1:3" x14ac:dyDescent="0.25">
      <c r="A1094" s="1">
        <v>37865</v>
      </c>
      <c r="B1094">
        <v>0</v>
      </c>
      <c r="C1094">
        <v>1927218</v>
      </c>
    </row>
    <row r="1095" spans="1:3" x14ac:dyDescent="0.25">
      <c r="A1095" s="1">
        <v>37865</v>
      </c>
      <c r="B1095">
        <v>10</v>
      </c>
      <c r="C1095">
        <v>121505</v>
      </c>
    </row>
    <row r="1096" spans="1:3" x14ac:dyDescent="0.25">
      <c r="A1096" s="1">
        <v>37865</v>
      </c>
      <c r="B1096">
        <v>25</v>
      </c>
      <c r="C1096">
        <v>362788</v>
      </c>
    </row>
    <row r="1097" spans="1:3" x14ac:dyDescent="0.25">
      <c r="A1097" s="1">
        <v>37865</v>
      </c>
      <c r="B1097">
        <v>30</v>
      </c>
      <c r="C1097">
        <v>1397588</v>
      </c>
    </row>
    <row r="1098" spans="1:3" x14ac:dyDescent="0.25">
      <c r="A1098" s="1">
        <v>37865</v>
      </c>
      <c r="B1098">
        <v>35</v>
      </c>
      <c r="C1098">
        <v>55737</v>
      </c>
    </row>
    <row r="1099" spans="1:3" x14ac:dyDescent="0.25">
      <c r="A1099" s="1">
        <v>37853</v>
      </c>
      <c r="B1099">
        <v>25</v>
      </c>
      <c r="C1099">
        <v>107975</v>
      </c>
    </row>
    <row r="1100" spans="1:3" x14ac:dyDescent="0.25">
      <c r="A1100" s="1">
        <v>37853</v>
      </c>
      <c r="B1100">
        <v>30</v>
      </c>
      <c r="C1100">
        <v>156920</v>
      </c>
    </row>
    <row r="1101" spans="1:3" x14ac:dyDescent="0.25">
      <c r="A1101" s="1">
        <v>37834</v>
      </c>
      <c r="B1101">
        <v>-999</v>
      </c>
      <c r="C1101">
        <v>866208</v>
      </c>
    </row>
    <row r="1102" spans="1:3" x14ac:dyDescent="0.25">
      <c r="A1102" s="1">
        <v>37834</v>
      </c>
      <c r="B1102">
        <v>0</v>
      </c>
      <c r="C1102">
        <v>1346625</v>
      </c>
    </row>
    <row r="1103" spans="1:3" x14ac:dyDescent="0.25">
      <c r="A1103" s="1">
        <v>37834</v>
      </c>
      <c r="B1103">
        <v>6</v>
      </c>
      <c r="C1103">
        <v>87305</v>
      </c>
    </row>
    <row r="1104" spans="1:3" x14ac:dyDescent="0.25">
      <c r="A1104" s="1">
        <v>37834</v>
      </c>
      <c r="B1104">
        <v>25</v>
      </c>
      <c r="C1104">
        <v>115537</v>
      </c>
    </row>
    <row r="1105" spans="1:3" x14ac:dyDescent="0.25">
      <c r="A1105" s="1">
        <v>37834</v>
      </c>
      <c r="B1105">
        <v>30</v>
      </c>
      <c r="C1105">
        <v>1752402</v>
      </c>
    </row>
    <row r="1106" spans="1:3" x14ac:dyDescent="0.25">
      <c r="A1106" s="1">
        <v>37834</v>
      </c>
      <c r="B1106">
        <v>35</v>
      </c>
      <c r="C1106">
        <v>61175</v>
      </c>
    </row>
    <row r="1107" spans="1:3" x14ac:dyDescent="0.25">
      <c r="A1107" s="1">
        <v>37803</v>
      </c>
      <c r="B1107">
        <v>-999</v>
      </c>
      <c r="C1107">
        <v>699826</v>
      </c>
    </row>
    <row r="1108" spans="1:3" x14ac:dyDescent="0.25">
      <c r="A1108" s="1">
        <v>37803</v>
      </c>
      <c r="B1108">
        <v>0</v>
      </c>
      <c r="C1108">
        <v>1152523</v>
      </c>
    </row>
    <row r="1109" spans="1:3" x14ac:dyDescent="0.25">
      <c r="A1109" s="1">
        <v>37803</v>
      </c>
      <c r="B1109">
        <v>6</v>
      </c>
      <c r="C1109">
        <v>102800</v>
      </c>
    </row>
    <row r="1110" spans="1:3" x14ac:dyDescent="0.25">
      <c r="A1110" s="1">
        <v>37803</v>
      </c>
      <c r="B1110">
        <v>9</v>
      </c>
      <c r="C1110">
        <v>123500</v>
      </c>
    </row>
    <row r="1111" spans="1:3" x14ac:dyDescent="0.25">
      <c r="A1111" s="1">
        <v>37803</v>
      </c>
      <c r="B1111">
        <v>16</v>
      </c>
      <c r="C1111">
        <v>164347</v>
      </c>
    </row>
    <row r="1112" spans="1:3" x14ac:dyDescent="0.25">
      <c r="A1112" s="1">
        <v>37803</v>
      </c>
      <c r="B1112">
        <v>25</v>
      </c>
      <c r="C1112">
        <v>139550</v>
      </c>
    </row>
    <row r="1113" spans="1:3" x14ac:dyDescent="0.25">
      <c r="A1113" s="1">
        <v>37803</v>
      </c>
      <c r="B1113">
        <v>30</v>
      </c>
      <c r="C1113">
        <v>2028466</v>
      </c>
    </row>
    <row r="1114" spans="1:3" x14ac:dyDescent="0.25">
      <c r="A1114" s="1">
        <v>37792</v>
      </c>
      <c r="B1114">
        <v>0</v>
      </c>
      <c r="C1114">
        <v>70300</v>
      </c>
    </row>
    <row r="1115" spans="1:3" x14ac:dyDescent="0.25">
      <c r="A1115" s="1">
        <v>37792</v>
      </c>
      <c r="B1115">
        <v>25</v>
      </c>
      <c r="C1115">
        <v>104348</v>
      </c>
    </row>
    <row r="1116" spans="1:3" x14ac:dyDescent="0.25">
      <c r="A1116" s="1">
        <v>37782</v>
      </c>
      <c r="B1116">
        <v>30</v>
      </c>
      <c r="C1116">
        <v>131950</v>
      </c>
    </row>
    <row r="1117" spans="1:3" x14ac:dyDescent="0.25">
      <c r="A1117" s="1">
        <v>37773</v>
      </c>
      <c r="B1117">
        <v>-999</v>
      </c>
      <c r="C1117">
        <v>321715</v>
      </c>
    </row>
    <row r="1118" spans="1:3" x14ac:dyDescent="0.25">
      <c r="A1118" s="1">
        <v>37773</v>
      </c>
      <c r="B1118">
        <v>0</v>
      </c>
      <c r="C1118">
        <v>479175</v>
      </c>
    </row>
    <row r="1119" spans="1:3" x14ac:dyDescent="0.25">
      <c r="A1119" s="1">
        <v>37773</v>
      </c>
      <c r="B1119">
        <v>30</v>
      </c>
      <c r="C1119">
        <v>2478668</v>
      </c>
    </row>
    <row r="1120" spans="1:3" x14ac:dyDescent="0.25">
      <c r="A1120" s="1">
        <v>37761</v>
      </c>
      <c r="B1120">
        <v>-999</v>
      </c>
      <c r="C1120">
        <v>153382</v>
      </c>
    </row>
    <row r="1121" spans="1:3" x14ac:dyDescent="0.25">
      <c r="A1121" s="1">
        <v>37751</v>
      </c>
      <c r="B1121">
        <v>-999</v>
      </c>
      <c r="C1121">
        <v>76475</v>
      </c>
    </row>
    <row r="1122" spans="1:3" x14ac:dyDescent="0.25">
      <c r="A1122" s="1">
        <v>37742</v>
      </c>
      <c r="B1122">
        <v>-999</v>
      </c>
      <c r="C1122">
        <v>126131</v>
      </c>
    </row>
    <row r="1123" spans="1:3" x14ac:dyDescent="0.25">
      <c r="A1123" s="1">
        <v>37742</v>
      </c>
      <c r="B1123">
        <v>0</v>
      </c>
      <c r="C1123">
        <v>1075610</v>
      </c>
    </row>
    <row r="1124" spans="1:3" x14ac:dyDescent="0.25">
      <c r="A1124" s="1">
        <v>37742</v>
      </c>
      <c r="B1124">
        <v>25</v>
      </c>
      <c r="C1124">
        <v>423964</v>
      </c>
    </row>
    <row r="1125" spans="1:3" x14ac:dyDescent="0.25">
      <c r="A1125" s="1">
        <v>37742</v>
      </c>
      <c r="B1125">
        <v>30</v>
      </c>
      <c r="C1125">
        <v>1254320</v>
      </c>
    </row>
    <row r="1126" spans="1:3" x14ac:dyDescent="0.25">
      <c r="A1126" s="1">
        <v>37716</v>
      </c>
      <c r="B1126">
        <v>0</v>
      </c>
      <c r="C1126">
        <v>52250</v>
      </c>
    </row>
    <row r="1127" spans="1:3" x14ac:dyDescent="0.25">
      <c r="A1127" s="1">
        <v>37712</v>
      </c>
      <c r="B1127">
        <v>-999</v>
      </c>
      <c r="C1127">
        <v>99750</v>
      </c>
    </row>
    <row r="1128" spans="1:3" x14ac:dyDescent="0.25">
      <c r="A1128" s="1">
        <v>37712</v>
      </c>
      <c r="B1128">
        <v>0</v>
      </c>
      <c r="C1128">
        <v>563733</v>
      </c>
    </row>
    <row r="1129" spans="1:3" x14ac:dyDescent="0.25">
      <c r="A1129" s="1">
        <v>37712</v>
      </c>
      <c r="B1129">
        <v>25</v>
      </c>
      <c r="C1129">
        <v>478900</v>
      </c>
    </row>
    <row r="1130" spans="1:3" x14ac:dyDescent="0.25">
      <c r="A1130" s="1">
        <v>37712</v>
      </c>
      <c r="B1130">
        <v>30</v>
      </c>
      <c r="C1130">
        <v>1168620</v>
      </c>
    </row>
    <row r="1131" spans="1:3" x14ac:dyDescent="0.25">
      <c r="A1131" s="1">
        <v>37690</v>
      </c>
      <c r="B1131">
        <v>-999</v>
      </c>
      <c r="C1131">
        <v>52595</v>
      </c>
    </row>
    <row r="1132" spans="1:3" x14ac:dyDescent="0.25">
      <c r="A1132" s="1">
        <v>37681</v>
      </c>
      <c r="B1132">
        <v>-999</v>
      </c>
      <c r="C1132">
        <v>576231</v>
      </c>
    </row>
    <row r="1133" spans="1:3" x14ac:dyDescent="0.25">
      <c r="A1133" s="1">
        <v>37681</v>
      </c>
      <c r="B1133">
        <v>0</v>
      </c>
      <c r="C1133">
        <v>259525</v>
      </c>
    </row>
    <row r="1134" spans="1:3" x14ac:dyDescent="0.25">
      <c r="A1134" s="1">
        <v>37681</v>
      </c>
      <c r="B1134">
        <v>25</v>
      </c>
      <c r="C1134">
        <v>177700</v>
      </c>
    </row>
    <row r="1135" spans="1:3" x14ac:dyDescent="0.25">
      <c r="A1135" s="1">
        <v>37681</v>
      </c>
      <c r="B1135">
        <v>30</v>
      </c>
      <c r="C1135">
        <v>1290065</v>
      </c>
    </row>
    <row r="1136" spans="1:3" x14ac:dyDescent="0.25">
      <c r="A1136" s="1">
        <v>37672</v>
      </c>
      <c r="B1136">
        <v>-999</v>
      </c>
      <c r="C1136">
        <v>99981</v>
      </c>
    </row>
    <row r="1137" spans="1:3" x14ac:dyDescent="0.25">
      <c r="A1137" s="1">
        <v>37672</v>
      </c>
      <c r="B1137">
        <v>30</v>
      </c>
      <c r="C1137">
        <v>130327</v>
      </c>
    </row>
    <row r="1138" spans="1:3" x14ac:dyDescent="0.25">
      <c r="A1138" s="1">
        <v>37653</v>
      </c>
      <c r="B1138">
        <v>-999</v>
      </c>
      <c r="C1138">
        <v>114000</v>
      </c>
    </row>
    <row r="1139" spans="1:3" x14ac:dyDescent="0.25">
      <c r="A1139" s="1">
        <v>37653</v>
      </c>
      <c r="B1139">
        <v>0</v>
      </c>
      <c r="C1139">
        <v>640271</v>
      </c>
    </row>
    <row r="1140" spans="1:3" x14ac:dyDescent="0.25">
      <c r="A1140" s="1">
        <v>37653</v>
      </c>
      <c r="B1140">
        <v>25</v>
      </c>
      <c r="C1140">
        <v>323850</v>
      </c>
    </row>
    <row r="1141" spans="1:3" x14ac:dyDescent="0.25">
      <c r="A1141" s="1">
        <v>37653</v>
      </c>
      <c r="B1141">
        <v>30</v>
      </c>
      <c r="C1141">
        <v>663535</v>
      </c>
    </row>
    <row r="1142" spans="1:3" x14ac:dyDescent="0.25">
      <c r="A1142" s="1">
        <v>37653</v>
      </c>
      <c r="B1142">
        <v>35</v>
      </c>
      <c r="C1142">
        <v>55850</v>
      </c>
    </row>
    <row r="1143" spans="1:3" x14ac:dyDescent="0.25">
      <c r="A1143" s="1">
        <v>37622</v>
      </c>
      <c r="B1143">
        <v>-999</v>
      </c>
      <c r="C1143">
        <v>795600</v>
      </c>
    </row>
    <row r="1144" spans="1:3" x14ac:dyDescent="0.25">
      <c r="A1144" s="1">
        <v>37622</v>
      </c>
      <c r="B1144">
        <v>0</v>
      </c>
      <c r="C1144">
        <v>346150</v>
      </c>
    </row>
    <row r="1145" spans="1:3" x14ac:dyDescent="0.25">
      <c r="A1145" s="1">
        <v>37622</v>
      </c>
      <c r="B1145">
        <v>25</v>
      </c>
      <c r="C1145">
        <v>434150</v>
      </c>
    </row>
    <row r="1146" spans="1:3" x14ac:dyDescent="0.25">
      <c r="A1146" s="1">
        <v>37622</v>
      </c>
      <c r="B1146">
        <v>30</v>
      </c>
      <c r="C1146">
        <v>573750</v>
      </c>
    </row>
    <row r="1147" spans="1:3" x14ac:dyDescent="0.25">
      <c r="A1147" s="1">
        <v>37622</v>
      </c>
      <c r="B1147">
        <v>35</v>
      </c>
      <c r="C1147">
        <v>24850</v>
      </c>
    </row>
    <row r="1148" spans="1:3" x14ac:dyDescent="0.25">
      <c r="A1148" s="1">
        <v>37591</v>
      </c>
      <c r="B1148">
        <v>-999</v>
      </c>
      <c r="C1148">
        <v>342000</v>
      </c>
    </row>
    <row r="1149" spans="1:3" x14ac:dyDescent="0.25">
      <c r="A1149" s="1">
        <v>37591</v>
      </c>
      <c r="B1149">
        <v>0</v>
      </c>
      <c r="C1149">
        <v>376555</v>
      </c>
    </row>
    <row r="1150" spans="1:3" x14ac:dyDescent="0.25">
      <c r="A1150" s="1">
        <v>37591</v>
      </c>
      <c r="B1150">
        <v>25</v>
      </c>
      <c r="C1150">
        <v>28400</v>
      </c>
    </row>
    <row r="1151" spans="1:3" x14ac:dyDescent="0.25">
      <c r="A1151" s="1">
        <v>37591</v>
      </c>
      <c r="B1151">
        <v>30</v>
      </c>
      <c r="C1151">
        <v>1058121</v>
      </c>
    </row>
    <row r="1152" spans="1:3" x14ac:dyDescent="0.25">
      <c r="A1152" s="1">
        <v>37561</v>
      </c>
      <c r="B1152">
        <v>-999</v>
      </c>
      <c r="C1152">
        <v>240350</v>
      </c>
    </row>
    <row r="1153" spans="1:3" x14ac:dyDescent="0.25">
      <c r="A1153" s="1">
        <v>37561</v>
      </c>
      <c r="B1153">
        <v>0</v>
      </c>
      <c r="C1153">
        <v>200345</v>
      </c>
    </row>
    <row r="1154" spans="1:3" x14ac:dyDescent="0.25">
      <c r="A1154" s="1">
        <v>37561</v>
      </c>
      <c r="B1154">
        <v>30</v>
      </c>
      <c r="C1154">
        <v>283300</v>
      </c>
    </row>
    <row r="1155" spans="1:3" x14ac:dyDescent="0.25">
      <c r="A1155" s="1">
        <v>37530</v>
      </c>
      <c r="B1155">
        <v>-999</v>
      </c>
      <c r="C1155">
        <v>75900</v>
      </c>
    </row>
    <row r="1156" spans="1:3" x14ac:dyDescent="0.25">
      <c r="A1156" s="1">
        <v>37530</v>
      </c>
      <c r="B1156">
        <v>0</v>
      </c>
      <c r="C1156">
        <v>643305</v>
      </c>
    </row>
    <row r="1157" spans="1:3" x14ac:dyDescent="0.25">
      <c r="A1157" s="1">
        <v>37530</v>
      </c>
      <c r="B1157">
        <v>12</v>
      </c>
      <c r="C1157">
        <v>103000</v>
      </c>
    </row>
    <row r="1158" spans="1:3" x14ac:dyDescent="0.25">
      <c r="A1158" s="1">
        <v>37530</v>
      </c>
      <c r="B1158">
        <v>25</v>
      </c>
      <c r="C1158">
        <v>95000</v>
      </c>
    </row>
    <row r="1159" spans="1:3" x14ac:dyDescent="0.25">
      <c r="A1159" s="1">
        <v>37530</v>
      </c>
      <c r="B1159">
        <v>30</v>
      </c>
      <c r="C1159">
        <v>581450</v>
      </c>
    </row>
    <row r="1160" spans="1:3" x14ac:dyDescent="0.25">
      <c r="A1160" s="1">
        <v>37530</v>
      </c>
      <c r="B1160">
        <v>35</v>
      </c>
      <c r="C1160">
        <v>154079</v>
      </c>
    </row>
    <row r="1161" spans="1:3" x14ac:dyDescent="0.25">
      <c r="A1161" s="1">
        <v>37500</v>
      </c>
      <c r="B1161">
        <v>-999</v>
      </c>
      <c r="C1161">
        <v>654635</v>
      </c>
    </row>
    <row r="1162" spans="1:3" x14ac:dyDescent="0.25">
      <c r="A1162" s="1">
        <v>37500</v>
      </c>
      <c r="B1162">
        <v>0</v>
      </c>
      <c r="C1162">
        <v>626005</v>
      </c>
    </row>
    <row r="1163" spans="1:3" x14ac:dyDescent="0.25">
      <c r="A1163" s="1">
        <v>37500</v>
      </c>
      <c r="B1163">
        <v>30</v>
      </c>
      <c r="C1163">
        <v>140050</v>
      </c>
    </row>
    <row r="1164" spans="1:3" x14ac:dyDescent="0.25">
      <c r="A1164" s="1">
        <v>37469</v>
      </c>
      <c r="B1164">
        <v>0</v>
      </c>
      <c r="C1164">
        <v>1024350</v>
      </c>
    </row>
    <row r="1165" spans="1:3" x14ac:dyDescent="0.25">
      <c r="A1165" s="1">
        <v>37469</v>
      </c>
      <c r="B1165">
        <v>25</v>
      </c>
      <c r="C1165">
        <v>113905</v>
      </c>
    </row>
    <row r="1166" spans="1:3" x14ac:dyDescent="0.25">
      <c r="A1166" s="1">
        <v>37469</v>
      </c>
      <c r="B1166">
        <v>30</v>
      </c>
      <c r="C1166">
        <v>278100</v>
      </c>
    </row>
    <row r="1167" spans="1:3" x14ac:dyDescent="0.25">
      <c r="A1167" s="1">
        <v>37438</v>
      </c>
      <c r="B1167">
        <v>0</v>
      </c>
      <c r="C1167">
        <v>498875</v>
      </c>
    </row>
    <row r="1168" spans="1:3" x14ac:dyDescent="0.25">
      <c r="A1168" s="1">
        <v>37438</v>
      </c>
      <c r="B1168">
        <v>30</v>
      </c>
      <c r="C1168">
        <v>327700</v>
      </c>
    </row>
    <row r="1169" spans="1:3" x14ac:dyDescent="0.25">
      <c r="A1169" s="1">
        <v>37408</v>
      </c>
      <c r="B1169">
        <v>-999</v>
      </c>
      <c r="C1169">
        <v>61750</v>
      </c>
    </row>
    <row r="1170" spans="1:3" x14ac:dyDescent="0.25">
      <c r="A1170" s="1">
        <v>37408</v>
      </c>
      <c r="B1170">
        <v>0</v>
      </c>
      <c r="C1170">
        <v>194268</v>
      </c>
    </row>
    <row r="1171" spans="1:3" x14ac:dyDescent="0.25">
      <c r="A1171" s="1">
        <v>37408</v>
      </c>
      <c r="B1171">
        <v>3</v>
      </c>
      <c r="C1171">
        <v>86991</v>
      </c>
    </row>
    <row r="1172" spans="1:3" x14ac:dyDescent="0.25">
      <c r="A1172" s="1">
        <v>37408</v>
      </c>
      <c r="B1172">
        <v>30</v>
      </c>
      <c r="C1172">
        <v>451350</v>
      </c>
    </row>
    <row r="1173" spans="1:3" x14ac:dyDescent="0.25">
      <c r="A1173" s="1">
        <v>37377</v>
      </c>
      <c r="B1173">
        <v>0</v>
      </c>
      <c r="C1173">
        <v>314263</v>
      </c>
    </row>
    <row r="1174" spans="1:3" x14ac:dyDescent="0.25">
      <c r="A1174" s="1">
        <v>37377</v>
      </c>
      <c r="B1174">
        <v>30</v>
      </c>
      <c r="C1174">
        <v>397100</v>
      </c>
    </row>
    <row r="1175" spans="1:3" x14ac:dyDescent="0.25">
      <c r="A1175" s="1">
        <v>37347</v>
      </c>
      <c r="B1175">
        <v>0</v>
      </c>
      <c r="C1175">
        <v>160290</v>
      </c>
    </row>
    <row r="1176" spans="1:3" x14ac:dyDescent="0.25">
      <c r="A1176" s="1">
        <v>37347</v>
      </c>
      <c r="B1176">
        <v>30</v>
      </c>
      <c r="C1176">
        <v>58900</v>
      </c>
    </row>
    <row r="1177" spans="1:3" x14ac:dyDescent="0.25">
      <c r="A1177" s="1">
        <v>37316</v>
      </c>
      <c r="B1177">
        <v>-999</v>
      </c>
      <c r="C1177">
        <v>222500</v>
      </c>
    </row>
    <row r="1178" spans="1:3" x14ac:dyDescent="0.25">
      <c r="A1178" s="1">
        <v>37316</v>
      </c>
      <c r="B1178">
        <v>0</v>
      </c>
      <c r="C1178">
        <v>296900</v>
      </c>
    </row>
    <row r="1179" spans="1:3" x14ac:dyDescent="0.25">
      <c r="A1179" s="1">
        <v>37316</v>
      </c>
      <c r="B1179">
        <v>30</v>
      </c>
      <c r="C1179">
        <v>227900</v>
      </c>
    </row>
    <row r="1180" spans="1:3" x14ac:dyDescent="0.25">
      <c r="A1180" s="1">
        <v>37288</v>
      </c>
      <c r="B1180">
        <v>-999</v>
      </c>
      <c r="C1180">
        <v>172400</v>
      </c>
    </row>
    <row r="1181" spans="1:3" x14ac:dyDescent="0.25">
      <c r="A1181" s="1">
        <v>37288</v>
      </c>
      <c r="B1181">
        <v>0</v>
      </c>
      <c r="C1181">
        <v>682105</v>
      </c>
    </row>
    <row r="1182" spans="1:3" x14ac:dyDescent="0.25">
      <c r="A1182" s="1">
        <v>37288</v>
      </c>
      <c r="B1182">
        <v>5</v>
      </c>
      <c r="C1182">
        <v>52250</v>
      </c>
    </row>
    <row r="1183" spans="1:3" x14ac:dyDescent="0.25">
      <c r="A1183" s="1">
        <v>37288</v>
      </c>
      <c r="B1183">
        <v>30</v>
      </c>
      <c r="C1183">
        <v>858838</v>
      </c>
    </row>
    <row r="1184" spans="1:3" x14ac:dyDescent="0.25">
      <c r="A1184" s="1">
        <v>37288</v>
      </c>
      <c r="B1184">
        <v>35</v>
      </c>
      <c r="C1184">
        <v>37000</v>
      </c>
    </row>
    <row r="1185" spans="1:3" x14ac:dyDescent="0.25">
      <c r="A1185" s="1">
        <v>37257</v>
      </c>
      <c r="B1185">
        <v>-999</v>
      </c>
      <c r="C1185">
        <v>521855</v>
      </c>
    </row>
    <row r="1186" spans="1:3" x14ac:dyDescent="0.25">
      <c r="A1186" s="1">
        <v>37257</v>
      </c>
      <c r="B1186">
        <v>0</v>
      </c>
      <c r="C1186">
        <v>458600</v>
      </c>
    </row>
    <row r="1187" spans="1:3" x14ac:dyDescent="0.25">
      <c r="A1187" s="1">
        <v>37257</v>
      </c>
      <c r="B1187">
        <v>30</v>
      </c>
      <c r="C1187">
        <v>1218826</v>
      </c>
    </row>
    <row r="1188" spans="1:3" x14ac:dyDescent="0.25">
      <c r="A1188" s="1">
        <v>37226</v>
      </c>
      <c r="B1188">
        <v>-999</v>
      </c>
      <c r="C1188">
        <v>85400</v>
      </c>
    </row>
    <row r="1189" spans="1:3" x14ac:dyDescent="0.25">
      <c r="A1189" s="1">
        <v>37226</v>
      </c>
      <c r="B1189">
        <v>0</v>
      </c>
      <c r="C1189">
        <v>553675</v>
      </c>
    </row>
    <row r="1190" spans="1:3" x14ac:dyDescent="0.25">
      <c r="A1190" s="1">
        <v>37226</v>
      </c>
      <c r="B1190">
        <v>25</v>
      </c>
      <c r="C1190">
        <v>218768</v>
      </c>
    </row>
    <row r="1191" spans="1:3" x14ac:dyDescent="0.25">
      <c r="A1191" s="1">
        <v>37226</v>
      </c>
      <c r="B1191">
        <v>30</v>
      </c>
      <c r="C1191">
        <v>981130</v>
      </c>
    </row>
    <row r="1192" spans="1:3" x14ac:dyDescent="0.25">
      <c r="A1192" s="1">
        <v>37226</v>
      </c>
      <c r="B1192">
        <v>35</v>
      </c>
      <c r="C1192">
        <v>54200</v>
      </c>
    </row>
    <row r="1193" spans="1:3" x14ac:dyDescent="0.25">
      <c r="A1193" s="1">
        <v>37196</v>
      </c>
      <c r="B1193">
        <v>0</v>
      </c>
      <c r="C1193">
        <v>99600</v>
      </c>
    </row>
    <row r="1194" spans="1:3" x14ac:dyDescent="0.25">
      <c r="A1194" s="1">
        <v>37196</v>
      </c>
      <c r="B1194">
        <v>30</v>
      </c>
      <c r="C1194">
        <v>1092983</v>
      </c>
    </row>
    <row r="1195" spans="1:3" x14ac:dyDescent="0.25">
      <c r="A1195" s="1">
        <v>37165</v>
      </c>
      <c r="B1195">
        <v>-999</v>
      </c>
      <c r="C1195">
        <v>83980</v>
      </c>
    </row>
    <row r="1196" spans="1:3" x14ac:dyDescent="0.25">
      <c r="A1196" s="1">
        <v>37165</v>
      </c>
      <c r="B1196">
        <v>0</v>
      </c>
      <c r="C1196">
        <v>237500</v>
      </c>
    </row>
    <row r="1197" spans="1:3" x14ac:dyDescent="0.25">
      <c r="A1197" s="1">
        <v>37165</v>
      </c>
      <c r="B1197">
        <v>25</v>
      </c>
      <c r="C1197">
        <v>52250</v>
      </c>
    </row>
    <row r="1198" spans="1:3" x14ac:dyDescent="0.25">
      <c r="A1198" s="1">
        <v>37165</v>
      </c>
      <c r="B1198">
        <v>30</v>
      </c>
      <c r="C1198">
        <v>295750</v>
      </c>
    </row>
    <row r="1199" spans="1:3" x14ac:dyDescent="0.25">
      <c r="A1199" s="1">
        <v>37135</v>
      </c>
      <c r="B1199">
        <v>0</v>
      </c>
      <c r="C1199">
        <v>331002</v>
      </c>
    </row>
    <row r="1200" spans="1:3" x14ac:dyDescent="0.25">
      <c r="A1200" s="1">
        <v>37135</v>
      </c>
      <c r="B1200">
        <v>25</v>
      </c>
      <c r="C1200">
        <v>66000</v>
      </c>
    </row>
    <row r="1201" spans="1:3" x14ac:dyDescent="0.25">
      <c r="A1201" s="1">
        <v>37135</v>
      </c>
      <c r="B1201">
        <v>30</v>
      </c>
      <c r="C1201">
        <v>186005</v>
      </c>
    </row>
    <row r="1202" spans="1:3" x14ac:dyDescent="0.25">
      <c r="A1202" s="1">
        <v>37104</v>
      </c>
      <c r="B1202">
        <v>0</v>
      </c>
      <c r="C1202">
        <v>249730</v>
      </c>
    </row>
    <row r="1203" spans="1:3" x14ac:dyDescent="0.25">
      <c r="A1203" s="1">
        <v>37104</v>
      </c>
      <c r="B1203">
        <v>25</v>
      </c>
      <c r="C1203">
        <v>69825</v>
      </c>
    </row>
    <row r="1204" spans="1:3" x14ac:dyDescent="0.25">
      <c r="A1204" s="1">
        <v>37104</v>
      </c>
      <c r="B1204">
        <v>30</v>
      </c>
      <c r="C1204">
        <v>137750</v>
      </c>
    </row>
    <row r="1205" spans="1:3" x14ac:dyDescent="0.25">
      <c r="A1205" s="1">
        <v>37073</v>
      </c>
      <c r="B1205">
        <v>0</v>
      </c>
      <c r="C1205">
        <v>103000</v>
      </c>
    </row>
    <row r="1206" spans="1:3" x14ac:dyDescent="0.25">
      <c r="A1206" s="1">
        <v>37073</v>
      </c>
      <c r="B1206">
        <v>30</v>
      </c>
      <c r="C1206">
        <v>134845</v>
      </c>
    </row>
    <row r="1207" spans="1:3" x14ac:dyDescent="0.25">
      <c r="A1207" s="1">
        <v>37043</v>
      </c>
      <c r="B1207">
        <v>-999</v>
      </c>
      <c r="C1207">
        <v>123250</v>
      </c>
    </row>
    <row r="1208" spans="1:3" x14ac:dyDescent="0.25">
      <c r="A1208" s="1">
        <v>37043</v>
      </c>
      <c r="B1208">
        <v>0</v>
      </c>
      <c r="C1208">
        <v>785259</v>
      </c>
    </row>
    <row r="1209" spans="1:3" x14ac:dyDescent="0.25">
      <c r="A1209" s="1">
        <v>37043</v>
      </c>
      <c r="B1209">
        <v>30</v>
      </c>
      <c r="C1209">
        <v>360040</v>
      </c>
    </row>
    <row r="1210" spans="1:3" x14ac:dyDescent="0.25">
      <c r="A1210" s="1">
        <v>37031</v>
      </c>
      <c r="B1210">
        <v>30</v>
      </c>
      <c r="C1210">
        <v>46550</v>
      </c>
    </row>
    <row r="1211" spans="1:3" x14ac:dyDescent="0.25">
      <c r="A1211" s="1">
        <v>37012</v>
      </c>
      <c r="B1211">
        <v>-999</v>
      </c>
      <c r="C1211">
        <v>55000</v>
      </c>
    </row>
    <row r="1212" spans="1:3" x14ac:dyDescent="0.25">
      <c r="A1212" s="1">
        <v>37012</v>
      </c>
      <c r="B1212">
        <v>0</v>
      </c>
      <c r="C1212">
        <v>95000</v>
      </c>
    </row>
    <row r="1213" spans="1:3" x14ac:dyDescent="0.25">
      <c r="A1213" s="1">
        <v>37012</v>
      </c>
      <c r="B1213">
        <v>30</v>
      </c>
      <c r="C1213">
        <v>327000</v>
      </c>
    </row>
    <row r="1214" spans="1:3" x14ac:dyDescent="0.25">
      <c r="A1214" s="1">
        <v>36982</v>
      </c>
      <c r="B1214">
        <v>-999</v>
      </c>
      <c r="C1214">
        <v>48900</v>
      </c>
    </row>
    <row r="1215" spans="1:3" x14ac:dyDescent="0.25">
      <c r="A1215" s="1">
        <v>36982</v>
      </c>
      <c r="B1215">
        <v>0</v>
      </c>
      <c r="C1215">
        <v>115100</v>
      </c>
    </row>
    <row r="1216" spans="1:3" x14ac:dyDescent="0.25">
      <c r="A1216" s="1">
        <v>36982</v>
      </c>
      <c r="B1216">
        <v>30</v>
      </c>
      <c r="C1216">
        <v>94000</v>
      </c>
    </row>
    <row r="1217" spans="1:3" x14ac:dyDescent="0.25">
      <c r="A1217" s="1">
        <v>36951</v>
      </c>
      <c r="B1217">
        <v>0</v>
      </c>
      <c r="C1217">
        <v>72350</v>
      </c>
    </row>
    <row r="1218" spans="1:3" x14ac:dyDescent="0.25">
      <c r="A1218" s="1">
        <v>36923</v>
      </c>
      <c r="B1218">
        <v>-999</v>
      </c>
      <c r="C1218">
        <v>180500</v>
      </c>
    </row>
    <row r="1219" spans="1:3" x14ac:dyDescent="0.25">
      <c r="A1219" s="1">
        <v>36923</v>
      </c>
      <c r="B1219">
        <v>0</v>
      </c>
      <c r="C1219">
        <v>33150</v>
      </c>
    </row>
    <row r="1220" spans="1:3" x14ac:dyDescent="0.25">
      <c r="A1220" s="1">
        <v>36892</v>
      </c>
      <c r="B1220">
        <v>-999</v>
      </c>
      <c r="C1220">
        <v>38000</v>
      </c>
    </row>
    <row r="1221" spans="1:3" x14ac:dyDescent="0.25">
      <c r="A1221" s="1">
        <v>36892</v>
      </c>
      <c r="B1221">
        <v>30</v>
      </c>
      <c r="C1221">
        <v>55100</v>
      </c>
    </row>
    <row r="1222" spans="1:3" x14ac:dyDescent="0.25">
      <c r="A1222" s="1">
        <v>36861</v>
      </c>
      <c r="B1222">
        <v>-999</v>
      </c>
      <c r="C1222">
        <v>101000</v>
      </c>
    </row>
    <row r="1223" spans="1:3" x14ac:dyDescent="0.25">
      <c r="A1223" s="1">
        <v>36861</v>
      </c>
      <c r="B1223">
        <v>0</v>
      </c>
      <c r="C1223">
        <v>79800</v>
      </c>
    </row>
    <row r="1224" spans="1:3" x14ac:dyDescent="0.25">
      <c r="A1224" s="1">
        <v>36831</v>
      </c>
      <c r="B1224">
        <v>30</v>
      </c>
      <c r="C1224">
        <v>98300</v>
      </c>
    </row>
    <row r="1225" spans="1:3" x14ac:dyDescent="0.25">
      <c r="A1225" s="1">
        <v>36800</v>
      </c>
      <c r="B1225">
        <v>35</v>
      </c>
      <c r="C1225">
        <v>124650</v>
      </c>
    </row>
    <row r="1226" spans="1:3" x14ac:dyDescent="0.25">
      <c r="A1226" s="1">
        <v>36770</v>
      </c>
      <c r="B1226">
        <v>-999</v>
      </c>
      <c r="C1226">
        <v>218500</v>
      </c>
    </row>
    <row r="1227" spans="1:3" x14ac:dyDescent="0.25">
      <c r="A1227" s="1">
        <v>36770</v>
      </c>
      <c r="B1227">
        <v>0</v>
      </c>
      <c r="C1227">
        <v>362710</v>
      </c>
    </row>
    <row r="1228" spans="1:3" x14ac:dyDescent="0.25">
      <c r="A1228" s="1">
        <v>36770</v>
      </c>
      <c r="B1228">
        <v>30</v>
      </c>
      <c r="C1228">
        <v>54000</v>
      </c>
    </row>
    <row r="1229" spans="1:3" x14ac:dyDescent="0.25">
      <c r="A1229" s="1">
        <v>36708</v>
      </c>
      <c r="B1229">
        <v>-999</v>
      </c>
      <c r="C1229">
        <v>50350</v>
      </c>
    </row>
    <row r="1230" spans="1:3" x14ac:dyDescent="0.25">
      <c r="A1230" s="1">
        <v>36678</v>
      </c>
      <c r="B1230">
        <v>0</v>
      </c>
      <c r="C1230">
        <v>28500</v>
      </c>
    </row>
    <row r="1231" spans="1:3" x14ac:dyDescent="0.25">
      <c r="A1231" s="1">
        <v>36666</v>
      </c>
      <c r="B1231">
        <v>25</v>
      </c>
      <c r="C1231">
        <v>30400</v>
      </c>
    </row>
    <row r="1232" spans="1:3" x14ac:dyDescent="0.25">
      <c r="A1232" s="1">
        <v>36647</v>
      </c>
      <c r="B1232">
        <v>30</v>
      </c>
      <c r="C1232">
        <v>93150</v>
      </c>
    </row>
    <row r="1233" spans="1:3" x14ac:dyDescent="0.25">
      <c r="A1233" s="1">
        <v>36617</v>
      </c>
      <c r="B1233">
        <v>25</v>
      </c>
      <c r="C1233">
        <v>96425</v>
      </c>
    </row>
    <row r="1234" spans="1:3" x14ac:dyDescent="0.25">
      <c r="A1234" s="1">
        <v>36617</v>
      </c>
      <c r="B1234">
        <v>30</v>
      </c>
      <c r="C1234">
        <v>132525</v>
      </c>
    </row>
    <row r="1235" spans="1:3" x14ac:dyDescent="0.25">
      <c r="A1235" s="1">
        <v>36586</v>
      </c>
      <c r="B1235">
        <v>25</v>
      </c>
      <c r="C1235">
        <v>57000</v>
      </c>
    </row>
    <row r="1236" spans="1:3" x14ac:dyDescent="0.25">
      <c r="A1236" s="1">
        <v>36557</v>
      </c>
      <c r="B1236">
        <v>0</v>
      </c>
      <c r="C1236">
        <v>89300</v>
      </c>
    </row>
    <row r="1237" spans="1:3" x14ac:dyDescent="0.25">
      <c r="A1237" s="1">
        <v>36557</v>
      </c>
      <c r="B1237">
        <v>30</v>
      </c>
      <c r="C1237">
        <v>175750</v>
      </c>
    </row>
    <row r="1238" spans="1:3" x14ac:dyDescent="0.25">
      <c r="A1238" s="1">
        <v>36526</v>
      </c>
      <c r="B1238">
        <v>0</v>
      </c>
      <c r="C1238">
        <v>223250</v>
      </c>
    </row>
    <row r="1239" spans="1:3" x14ac:dyDescent="0.25">
      <c r="A1239" s="1">
        <v>36495</v>
      </c>
      <c r="B1239">
        <v>0</v>
      </c>
      <c r="C1239">
        <v>53350</v>
      </c>
    </row>
    <row r="1240" spans="1:3" x14ac:dyDescent="0.25">
      <c r="A1240" s="1">
        <v>36495</v>
      </c>
      <c r="B1240">
        <v>30</v>
      </c>
      <c r="C1240">
        <v>51300</v>
      </c>
    </row>
    <row r="1241" spans="1:3" x14ac:dyDescent="0.25">
      <c r="A1241" s="1">
        <v>36465</v>
      </c>
      <c r="B1241">
        <v>0</v>
      </c>
      <c r="C1241">
        <v>72100</v>
      </c>
    </row>
    <row r="1242" spans="1:3" x14ac:dyDescent="0.25">
      <c r="A1242" s="1">
        <v>36465</v>
      </c>
      <c r="B1242">
        <v>30</v>
      </c>
      <c r="C1242">
        <v>75750</v>
      </c>
    </row>
    <row r="1243" spans="1:3" x14ac:dyDescent="0.25">
      <c r="A1243" s="1">
        <v>36434</v>
      </c>
      <c r="B1243">
        <v>0</v>
      </c>
      <c r="C1243">
        <v>207220</v>
      </c>
    </row>
    <row r="1244" spans="1:3" x14ac:dyDescent="0.25">
      <c r="A1244" s="1">
        <v>36404</v>
      </c>
      <c r="B1244">
        <v>30</v>
      </c>
      <c r="C1244">
        <v>96900</v>
      </c>
    </row>
    <row r="1245" spans="1:3" x14ac:dyDescent="0.25">
      <c r="A1245" s="1">
        <v>36392</v>
      </c>
      <c r="B1245">
        <v>25</v>
      </c>
      <c r="C1245">
        <v>32258</v>
      </c>
    </row>
    <row r="1246" spans="1:3" x14ac:dyDescent="0.25">
      <c r="A1246" s="1">
        <v>36373</v>
      </c>
      <c r="B1246">
        <v>0</v>
      </c>
      <c r="C1246">
        <v>191850</v>
      </c>
    </row>
    <row r="1247" spans="1:3" x14ac:dyDescent="0.25">
      <c r="A1247" s="1">
        <v>36342</v>
      </c>
      <c r="B1247">
        <v>0</v>
      </c>
      <c r="C1247">
        <v>89300</v>
      </c>
    </row>
    <row r="1248" spans="1:3" x14ac:dyDescent="0.25">
      <c r="A1248" s="1">
        <v>36342</v>
      </c>
      <c r="B1248">
        <v>30</v>
      </c>
      <c r="C1248">
        <v>436050</v>
      </c>
    </row>
    <row r="1249" spans="1:3" x14ac:dyDescent="0.25">
      <c r="A1249" s="1">
        <v>36312</v>
      </c>
      <c r="B1249">
        <v>0</v>
      </c>
      <c r="C1249">
        <v>79290</v>
      </c>
    </row>
    <row r="1250" spans="1:3" x14ac:dyDescent="0.25">
      <c r="A1250" s="1">
        <v>36312</v>
      </c>
      <c r="B1250">
        <v>25</v>
      </c>
      <c r="C1250">
        <v>207800</v>
      </c>
    </row>
    <row r="1251" spans="1:3" x14ac:dyDescent="0.25">
      <c r="A1251" s="1">
        <v>36312</v>
      </c>
      <c r="B1251">
        <v>30</v>
      </c>
      <c r="C1251">
        <v>53200</v>
      </c>
    </row>
    <row r="1252" spans="1:3" x14ac:dyDescent="0.25">
      <c r="A1252" s="1">
        <v>36281</v>
      </c>
      <c r="B1252">
        <v>30</v>
      </c>
      <c r="C1252">
        <v>347000</v>
      </c>
    </row>
    <row r="1253" spans="1:3" x14ac:dyDescent="0.25">
      <c r="A1253" s="1">
        <v>36260</v>
      </c>
      <c r="B1253">
        <v>25</v>
      </c>
      <c r="C1253">
        <v>80140</v>
      </c>
    </row>
    <row r="1254" spans="1:3" x14ac:dyDescent="0.25">
      <c r="A1254" s="1">
        <v>36251</v>
      </c>
      <c r="B1254">
        <v>0</v>
      </c>
      <c r="C1254">
        <v>388740</v>
      </c>
    </row>
    <row r="1255" spans="1:3" x14ac:dyDescent="0.25">
      <c r="A1255" s="1">
        <v>36251</v>
      </c>
      <c r="B1255">
        <v>30</v>
      </c>
      <c r="C1255">
        <v>239675</v>
      </c>
    </row>
    <row r="1256" spans="1:3" x14ac:dyDescent="0.25">
      <c r="A1256" s="1">
        <v>36220</v>
      </c>
      <c r="B1256">
        <v>0</v>
      </c>
      <c r="C1256">
        <v>84550</v>
      </c>
    </row>
    <row r="1257" spans="1:3" x14ac:dyDescent="0.25">
      <c r="A1257" s="1">
        <v>36220</v>
      </c>
      <c r="B1257">
        <v>30</v>
      </c>
      <c r="C1257">
        <v>80750</v>
      </c>
    </row>
    <row r="1258" spans="1:3" x14ac:dyDescent="0.25">
      <c r="A1258" s="1">
        <v>36192</v>
      </c>
      <c r="B1258">
        <v>0</v>
      </c>
      <c r="C1258">
        <v>321850</v>
      </c>
    </row>
    <row r="1259" spans="1:3" x14ac:dyDescent="0.25">
      <c r="A1259" s="1">
        <v>36192</v>
      </c>
      <c r="B1259">
        <v>30</v>
      </c>
      <c r="C1259">
        <v>413087</v>
      </c>
    </row>
    <row r="1260" spans="1:3" x14ac:dyDescent="0.25">
      <c r="A1260" s="1">
        <v>36161</v>
      </c>
      <c r="B1260">
        <v>30</v>
      </c>
      <c r="C1260">
        <v>321752</v>
      </c>
    </row>
    <row r="1261" spans="1:3" x14ac:dyDescent="0.25">
      <c r="A1261" s="1">
        <v>36130</v>
      </c>
      <c r="B1261">
        <v>0</v>
      </c>
      <c r="C1261">
        <v>39900</v>
      </c>
    </row>
    <row r="1262" spans="1:3" x14ac:dyDescent="0.25">
      <c r="A1262" s="1">
        <v>36130</v>
      </c>
      <c r="B1262">
        <v>30</v>
      </c>
      <c r="C1262">
        <v>674818</v>
      </c>
    </row>
    <row r="1263" spans="1:3" x14ac:dyDescent="0.25">
      <c r="A1263" s="1">
        <v>36100</v>
      </c>
      <c r="B1263">
        <v>30</v>
      </c>
      <c r="C1263">
        <v>230250</v>
      </c>
    </row>
    <row r="1264" spans="1:3" x14ac:dyDescent="0.25">
      <c r="A1264" s="1">
        <v>36069</v>
      </c>
      <c r="B1264">
        <v>0</v>
      </c>
      <c r="C1264">
        <v>131500</v>
      </c>
    </row>
    <row r="1265" spans="1:3" x14ac:dyDescent="0.25">
      <c r="A1265" s="1">
        <v>36069</v>
      </c>
      <c r="B1265">
        <v>30</v>
      </c>
      <c r="C1265">
        <v>211975</v>
      </c>
    </row>
    <row r="1266" spans="1:3" x14ac:dyDescent="0.25">
      <c r="A1266" s="1">
        <v>36039</v>
      </c>
      <c r="B1266">
        <v>0</v>
      </c>
      <c r="C1266">
        <v>309750</v>
      </c>
    </row>
    <row r="1267" spans="1:3" x14ac:dyDescent="0.25">
      <c r="A1267" s="1">
        <v>36039</v>
      </c>
      <c r="B1267">
        <v>30</v>
      </c>
      <c r="C1267">
        <v>28405</v>
      </c>
    </row>
    <row r="1268" spans="1:3" x14ac:dyDescent="0.25">
      <c r="A1268" s="1">
        <v>36008</v>
      </c>
      <c r="B1268">
        <v>0</v>
      </c>
      <c r="C1268">
        <v>404350</v>
      </c>
    </row>
    <row r="1269" spans="1:3" x14ac:dyDescent="0.25">
      <c r="A1269" s="1">
        <v>36008</v>
      </c>
      <c r="B1269">
        <v>30</v>
      </c>
      <c r="C1269">
        <v>379285</v>
      </c>
    </row>
    <row r="1270" spans="1:3" x14ac:dyDescent="0.25">
      <c r="A1270" s="1">
        <v>35977</v>
      </c>
      <c r="B1270">
        <v>30</v>
      </c>
      <c r="C1270">
        <v>79800</v>
      </c>
    </row>
    <row r="1271" spans="1:3" x14ac:dyDescent="0.25">
      <c r="A1271" s="1">
        <v>35947</v>
      </c>
      <c r="B1271">
        <v>0</v>
      </c>
      <c r="C1271">
        <v>121506</v>
      </c>
    </row>
    <row r="1272" spans="1:3" x14ac:dyDescent="0.25">
      <c r="A1272" s="1">
        <v>35947</v>
      </c>
      <c r="B1272">
        <v>30</v>
      </c>
      <c r="C1272">
        <v>69000</v>
      </c>
    </row>
    <row r="1273" spans="1:3" x14ac:dyDescent="0.25">
      <c r="A1273" s="1">
        <v>35916</v>
      </c>
      <c r="B1273">
        <v>30</v>
      </c>
      <c r="C1273">
        <v>45600</v>
      </c>
    </row>
    <row r="1274" spans="1:3" x14ac:dyDescent="0.25">
      <c r="A1274" s="1">
        <v>35886</v>
      </c>
      <c r="B1274">
        <v>0</v>
      </c>
      <c r="C1274">
        <v>148200</v>
      </c>
    </row>
    <row r="1275" spans="1:3" x14ac:dyDescent="0.25">
      <c r="A1275" s="1">
        <v>35886</v>
      </c>
      <c r="B1275">
        <v>30</v>
      </c>
      <c r="C1275">
        <v>69500</v>
      </c>
    </row>
    <row r="1276" spans="1:3" x14ac:dyDescent="0.25">
      <c r="A1276" s="1">
        <v>35855</v>
      </c>
      <c r="B1276">
        <v>0</v>
      </c>
      <c r="C1276">
        <v>137200</v>
      </c>
    </row>
    <row r="1277" spans="1:3" x14ac:dyDescent="0.25">
      <c r="A1277" s="1">
        <v>35855</v>
      </c>
      <c r="B1277">
        <v>30</v>
      </c>
      <c r="C1277">
        <v>36000</v>
      </c>
    </row>
    <row r="1278" spans="1:3" x14ac:dyDescent="0.25">
      <c r="A1278" s="1">
        <v>35827</v>
      </c>
      <c r="B1278">
        <v>0</v>
      </c>
      <c r="C1278">
        <v>72105</v>
      </c>
    </row>
    <row r="1279" spans="1:3" x14ac:dyDescent="0.25">
      <c r="A1279" s="1">
        <v>35815</v>
      </c>
      <c r="B1279">
        <v>-999</v>
      </c>
      <c r="C1279">
        <v>66250</v>
      </c>
    </row>
    <row r="1280" spans="1:3" x14ac:dyDescent="0.25">
      <c r="A1280" s="1">
        <v>35796</v>
      </c>
      <c r="B1280">
        <v>0</v>
      </c>
      <c r="C1280">
        <v>135850</v>
      </c>
    </row>
    <row r="1281" spans="1:3" x14ac:dyDescent="0.25">
      <c r="A1281" s="1">
        <v>35796</v>
      </c>
      <c r="B1281">
        <v>30</v>
      </c>
      <c r="C1281">
        <v>149150</v>
      </c>
    </row>
    <row r="1282" spans="1:3" x14ac:dyDescent="0.25">
      <c r="A1282" s="1">
        <v>35765</v>
      </c>
      <c r="B1282">
        <v>0</v>
      </c>
      <c r="C1282">
        <v>82550</v>
      </c>
    </row>
    <row r="1283" spans="1:3" x14ac:dyDescent="0.25">
      <c r="A1283" s="1">
        <v>35765</v>
      </c>
      <c r="B1283">
        <v>33</v>
      </c>
      <c r="C1283">
        <v>38000</v>
      </c>
    </row>
    <row r="1284" spans="1:3" x14ac:dyDescent="0.25">
      <c r="A1284" s="1">
        <v>35735</v>
      </c>
      <c r="B1284">
        <v>0</v>
      </c>
      <c r="C1284">
        <v>69350</v>
      </c>
    </row>
    <row r="1285" spans="1:3" x14ac:dyDescent="0.25">
      <c r="A1285" s="1">
        <v>35735</v>
      </c>
      <c r="B1285">
        <v>30</v>
      </c>
      <c r="C1285">
        <v>35625</v>
      </c>
    </row>
    <row r="1286" spans="1:3" x14ac:dyDescent="0.25">
      <c r="A1286" s="1">
        <v>35674</v>
      </c>
      <c r="B1286">
        <v>0</v>
      </c>
      <c r="C1286">
        <v>37900</v>
      </c>
    </row>
    <row r="1287" spans="1:3" x14ac:dyDescent="0.25">
      <c r="A1287" s="1">
        <v>35643</v>
      </c>
      <c r="B1287">
        <v>0</v>
      </c>
      <c r="C1287">
        <v>84050</v>
      </c>
    </row>
    <row r="1288" spans="1:3" x14ac:dyDescent="0.25">
      <c r="A1288" s="1">
        <v>35612</v>
      </c>
      <c r="B1288">
        <v>0</v>
      </c>
      <c r="C1288">
        <v>266000</v>
      </c>
    </row>
    <row r="1289" spans="1:3" x14ac:dyDescent="0.25">
      <c r="A1289" s="1">
        <v>35582</v>
      </c>
      <c r="B1289">
        <v>0</v>
      </c>
      <c r="C1289">
        <v>125875</v>
      </c>
    </row>
    <row r="1290" spans="1:3" x14ac:dyDescent="0.25">
      <c r="A1290" s="1">
        <v>35521</v>
      </c>
      <c r="B1290">
        <v>25</v>
      </c>
      <c r="C1290">
        <v>89300</v>
      </c>
    </row>
    <row r="1291" spans="1:3" x14ac:dyDescent="0.25">
      <c r="A1291" s="1">
        <v>35462</v>
      </c>
      <c r="B1291">
        <v>0</v>
      </c>
      <c r="C1291">
        <v>35600</v>
      </c>
    </row>
    <row r="1292" spans="1:3" x14ac:dyDescent="0.25">
      <c r="A1292" s="1">
        <v>35400</v>
      </c>
      <c r="B1292">
        <v>0</v>
      </c>
      <c r="C1292">
        <v>132800</v>
      </c>
    </row>
    <row r="1293" spans="1:3" x14ac:dyDescent="0.25">
      <c r="A1293" s="1">
        <v>35339</v>
      </c>
      <c r="B1293">
        <v>-999</v>
      </c>
      <c r="C1293">
        <v>44000</v>
      </c>
    </row>
    <row r="1294" spans="1:3" x14ac:dyDescent="0.25">
      <c r="A1294" s="1">
        <v>35339</v>
      </c>
      <c r="B1294">
        <v>0</v>
      </c>
      <c r="C1294">
        <v>79800</v>
      </c>
    </row>
    <row r="1295" spans="1:3" x14ac:dyDescent="0.25">
      <c r="A1295" s="1">
        <v>35339</v>
      </c>
      <c r="B1295">
        <v>30</v>
      </c>
      <c r="C1295">
        <v>39900</v>
      </c>
    </row>
    <row r="1296" spans="1:3" x14ac:dyDescent="0.25">
      <c r="A1296" s="1">
        <v>35278</v>
      </c>
      <c r="B1296">
        <v>-999</v>
      </c>
      <c r="C1296">
        <v>37900</v>
      </c>
    </row>
    <row r="1297" spans="1:3" x14ac:dyDescent="0.25">
      <c r="A1297" s="1">
        <v>35186</v>
      </c>
      <c r="B1297">
        <v>0</v>
      </c>
      <c r="C1297">
        <v>33250</v>
      </c>
    </row>
    <row r="1298" spans="1:3" x14ac:dyDescent="0.25">
      <c r="A1298" s="1">
        <v>35096</v>
      </c>
      <c r="B1298">
        <v>0</v>
      </c>
      <c r="C1298">
        <v>50800</v>
      </c>
    </row>
    <row r="1299" spans="1:3" x14ac:dyDescent="0.25">
      <c r="A1299" s="1">
        <v>35065</v>
      </c>
      <c r="B1299">
        <v>0</v>
      </c>
      <c r="C1299">
        <v>62700</v>
      </c>
    </row>
    <row r="1300" spans="1:3" x14ac:dyDescent="0.25">
      <c r="A1300" s="1">
        <v>35065</v>
      </c>
      <c r="B1300">
        <v>30</v>
      </c>
      <c r="C1300">
        <v>120650</v>
      </c>
    </row>
    <row r="1301" spans="1:3" x14ac:dyDescent="0.25">
      <c r="A1301" s="1">
        <v>35034</v>
      </c>
      <c r="B1301">
        <v>0</v>
      </c>
      <c r="C1301">
        <v>47000</v>
      </c>
    </row>
    <row r="1302" spans="1:3" x14ac:dyDescent="0.25">
      <c r="A1302" s="1">
        <v>35034</v>
      </c>
      <c r="B1302">
        <v>30</v>
      </c>
      <c r="C1302">
        <v>109250</v>
      </c>
    </row>
    <row r="1303" spans="1:3" x14ac:dyDescent="0.25">
      <c r="A1303" s="1">
        <v>35004</v>
      </c>
      <c r="B1303">
        <v>0</v>
      </c>
      <c r="C1303">
        <v>118750</v>
      </c>
    </row>
    <row r="1304" spans="1:3" x14ac:dyDescent="0.25">
      <c r="A1304" s="1">
        <v>34973</v>
      </c>
      <c r="B1304">
        <v>0</v>
      </c>
      <c r="C1304">
        <v>45600</v>
      </c>
    </row>
    <row r="1305" spans="1:3" x14ac:dyDescent="0.25">
      <c r="A1305" s="1">
        <v>34973</v>
      </c>
      <c r="B1305">
        <v>30</v>
      </c>
      <c r="C1305">
        <v>57000</v>
      </c>
    </row>
    <row r="1306" spans="1:3" x14ac:dyDescent="0.25">
      <c r="A1306" s="1">
        <v>34943</v>
      </c>
      <c r="B1306">
        <v>0</v>
      </c>
      <c r="C1306">
        <v>69350</v>
      </c>
    </row>
    <row r="1307" spans="1:3" x14ac:dyDescent="0.25">
      <c r="A1307" s="1">
        <v>34943</v>
      </c>
      <c r="B1307">
        <v>30</v>
      </c>
      <c r="C1307">
        <v>63650</v>
      </c>
    </row>
    <row r="1308" spans="1:3" x14ac:dyDescent="0.25">
      <c r="A1308" s="1">
        <v>34851</v>
      </c>
      <c r="B1308">
        <v>30</v>
      </c>
      <c r="C1308">
        <v>40300</v>
      </c>
    </row>
    <row r="1309" spans="1:3" x14ac:dyDescent="0.25">
      <c r="A1309" s="1">
        <v>34820</v>
      </c>
      <c r="B1309">
        <v>25</v>
      </c>
      <c r="C1309">
        <v>45000</v>
      </c>
    </row>
    <row r="1310" spans="1:3" x14ac:dyDescent="0.25">
      <c r="A1310" s="1">
        <v>34700</v>
      </c>
      <c r="B1310">
        <v>0</v>
      </c>
      <c r="C1310">
        <v>149910</v>
      </c>
    </row>
    <row r="1311" spans="1:3" x14ac:dyDescent="0.25">
      <c r="A1311" s="1">
        <v>34639</v>
      </c>
      <c r="B1311">
        <v>0</v>
      </c>
      <c r="C1311">
        <v>107800</v>
      </c>
    </row>
    <row r="1312" spans="1:3" x14ac:dyDescent="0.25">
      <c r="A1312" s="1">
        <v>34608</v>
      </c>
      <c r="B1312">
        <v>25</v>
      </c>
      <c r="C1312">
        <v>109600</v>
      </c>
    </row>
    <row r="1313" spans="1:3" x14ac:dyDescent="0.25">
      <c r="A1313" s="1">
        <v>34578</v>
      </c>
      <c r="B1313">
        <v>-999</v>
      </c>
      <c r="C1313">
        <v>58400</v>
      </c>
    </row>
    <row r="1314" spans="1:3" x14ac:dyDescent="0.25">
      <c r="A1314" s="1">
        <v>34578</v>
      </c>
      <c r="B1314">
        <v>0</v>
      </c>
      <c r="C1314">
        <v>50000</v>
      </c>
    </row>
    <row r="1315" spans="1:3" x14ac:dyDescent="0.25">
      <c r="A1315" s="1">
        <v>34547</v>
      </c>
      <c r="B1315">
        <v>0</v>
      </c>
      <c r="C1315">
        <v>63500</v>
      </c>
    </row>
    <row r="1316" spans="1:3" x14ac:dyDescent="0.25">
      <c r="A1316" s="1">
        <v>34547</v>
      </c>
      <c r="B1316">
        <v>25</v>
      </c>
      <c r="C1316">
        <v>51750</v>
      </c>
    </row>
    <row r="1317" spans="1:3" x14ac:dyDescent="0.25">
      <c r="A1317" s="1">
        <v>34516</v>
      </c>
      <c r="B1317">
        <v>0</v>
      </c>
      <c r="C1317">
        <v>46250</v>
      </c>
    </row>
    <row r="1318" spans="1:3" x14ac:dyDescent="0.25">
      <c r="A1318" s="1">
        <v>34516</v>
      </c>
      <c r="B1318">
        <v>25</v>
      </c>
      <c r="C1318">
        <v>119400</v>
      </c>
    </row>
    <row r="1319" spans="1:3" x14ac:dyDescent="0.25">
      <c r="A1319" s="1">
        <v>34486</v>
      </c>
      <c r="B1319">
        <v>0</v>
      </c>
      <c r="C1319">
        <v>109150</v>
      </c>
    </row>
    <row r="1320" spans="1:3" x14ac:dyDescent="0.25">
      <c r="A1320" s="1">
        <v>34486</v>
      </c>
      <c r="B1320">
        <v>22</v>
      </c>
      <c r="C1320">
        <v>125400</v>
      </c>
    </row>
    <row r="1321" spans="1:3" x14ac:dyDescent="0.25">
      <c r="A1321" s="1">
        <v>34486</v>
      </c>
      <c r="B1321">
        <v>25</v>
      </c>
      <c r="C1321">
        <v>346600</v>
      </c>
    </row>
    <row r="1322" spans="1:3" x14ac:dyDescent="0.25">
      <c r="A1322" s="1">
        <v>34455</v>
      </c>
      <c r="B1322">
        <v>25</v>
      </c>
      <c r="C1322">
        <v>93200</v>
      </c>
    </row>
    <row r="1323" spans="1:3" x14ac:dyDescent="0.25">
      <c r="A1323" s="1">
        <v>34425</v>
      </c>
      <c r="B1323">
        <v>22</v>
      </c>
      <c r="C1323">
        <v>115900</v>
      </c>
    </row>
    <row r="1324" spans="1:3" x14ac:dyDescent="0.25">
      <c r="A1324" s="1">
        <v>34425</v>
      </c>
      <c r="B1324">
        <v>25</v>
      </c>
      <c r="C1324">
        <v>54600</v>
      </c>
    </row>
    <row r="1325" spans="1:3" x14ac:dyDescent="0.25">
      <c r="A1325" s="1">
        <v>34394</v>
      </c>
      <c r="B1325">
        <v>0</v>
      </c>
      <c r="C1325">
        <v>135850</v>
      </c>
    </row>
    <row r="1326" spans="1:3" x14ac:dyDescent="0.25">
      <c r="A1326" s="1">
        <v>34394</v>
      </c>
      <c r="B1326">
        <v>25</v>
      </c>
      <c r="C1326">
        <v>46050</v>
      </c>
    </row>
    <row r="1327" spans="1:3" x14ac:dyDescent="0.25">
      <c r="A1327" s="1">
        <v>34366</v>
      </c>
      <c r="B1327">
        <v>0</v>
      </c>
      <c r="C1327">
        <v>144900</v>
      </c>
    </row>
    <row r="1328" spans="1:3" x14ac:dyDescent="0.25">
      <c r="A1328" s="1">
        <v>34366</v>
      </c>
      <c r="B1328">
        <v>22</v>
      </c>
      <c r="C1328">
        <v>153900</v>
      </c>
    </row>
    <row r="1329" spans="1:3" x14ac:dyDescent="0.25">
      <c r="A1329" s="1">
        <v>34366</v>
      </c>
      <c r="B1329">
        <v>25</v>
      </c>
      <c r="C1329">
        <v>93500</v>
      </c>
    </row>
    <row r="1330" spans="1:3" x14ac:dyDescent="0.25">
      <c r="A1330" s="1">
        <v>34366</v>
      </c>
      <c r="B1330">
        <v>30</v>
      </c>
      <c r="C1330">
        <v>35600</v>
      </c>
    </row>
    <row r="1331" spans="1:3" x14ac:dyDescent="0.25">
      <c r="A1331" s="1">
        <v>34335</v>
      </c>
      <c r="B1331">
        <v>0</v>
      </c>
      <c r="C1331">
        <v>145800</v>
      </c>
    </row>
    <row r="1332" spans="1:3" x14ac:dyDescent="0.25">
      <c r="A1332" s="1">
        <v>34335</v>
      </c>
      <c r="B1332">
        <v>25</v>
      </c>
      <c r="C1332">
        <v>66000</v>
      </c>
    </row>
    <row r="1333" spans="1:3" x14ac:dyDescent="0.25">
      <c r="A1333" s="1">
        <v>34274</v>
      </c>
      <c r="B1333">
        <v>0</v>
      </c>
      <c r="C1333">
        <v>138510</v>
      </c>
    </row>
    <row r="1334" spans="1:3" x14ac:dyDescent="0.25">
      <c r="A1334" s="1">
        <v>34274</v>
      </c>
      <c r="B1334">
        <v>30</v>
      </c>
      <c r="C1334">
        <v>102500</v>
      </c>
    </row>
    <row r="1335" spans="1:3" x14ac:dyDescent="0.25">
      <c r="A1335" s="1">
        <v>34243</v>
      </c>
      <c r="B1335">
        <v>0</v>
      </c>
      <c r="C1335">
        <v>51750</v>
      </c>
    </row>
    <row r="1336" spans="1:3" x14ac:dyDescent="0.25">
      <c r="A1336" s="1">
        <v>34182</v>
      </c>
      <c r="B1336">
        <v>-999</v>
      </c>
      <c r="C1336">
        <v>63650</v>
      </c>
    </row>
    <row r="1337" spans="1:3" x14ac:dyDescent="0.25">
      <c r="A1337" s="1">
        <v>34182</v>
      </c>
      <c r="B1337">
        <v>0</v>
      </c>
      <c r="C1337">
        <v>102550</v>
      </c>
    </row>
    <row r="1338" spans="1:3" x14ac:dyDescent="0.25">
      <c r="A1338" s="1">
        <v>34182</v>
      </c>
      <c r="B1338">
        <v>30</v>
      </c>
      <c r="C1338">
        <v>130600</v>
      </c>
    </row>
    <row r="1339" spans="1:3" x14ac:dyDescent="0.25">
      <c r="A1339" s="1">
        <v>34151</v>
      </c>
      <c r="B1339">
        <v>0</v>
      </c>
      <c r="C1339">
        <v>46450</v>
      </c>
    </row>
    <row r="1340" spans="1:3" x14ac:dyDescent="0.25">
      <c r="A1340" s="1">
        <v>34121</v>
      </c>
      <c r="B1340">
        <v>0</v>
      </c>
      <c r="C1340">
        <v>40850</v>
      </c>
    </row>
    <row r="1341" spans="1:3" x14ac:dyDescent="0.25">
      <c r="A1341" s="1">
        <v>34060</v>
      </c>
      <c r="B1341">
        <v>0</v>
      </c>
      <c r="C1341">
        <v>52250</v>
      </c>
    </row>
    <row r="1342" spans="1:3" x14ac:dyDescent="0.25">
      <c r="A1342" s="1">
        <v>33086</v>
      </c>
      <c r="B1342">
        <v>0</v>
      </c>
      <c r="C1342">
        <v>28500</v>
      </c>
    </row>
    <row r="1343" spans="1:3" x14ac:dyDescent="0.25">
      <c r="A1343" s="1">
        <v>32843</v>
      </c>
      <c r="B1343">
        <v>0</v>
      </c>
      <c r="C1343">
        <v>57000</v>
      </c>
    </row>
    <row r="1344" spans="1:3" x14ac:dyDescent="0.25">
      <c r="A1344" s="1">
        <v>32813</v>
      </c>
      <c r="B1344">
        <v>0</v>
      </c>
      <c r="C1344">
        <v>80750</v>
      </c>
    </row>
    <row r="1345" spans="1:3" x14ac:dyDescent="0.25">
      <c r="A1345" s="1">
        <v>32752</v>
      </c>
      <c r="B1345">
        <v>0</v>
      </c>
      <c r="C1345">
        <v>80600</v>
      </c>
    </row>
    <row r="1346" spans="1:3" x14ac:dyDescent="0.25">
      <c r="A1346" s="1">
        <v>31594</v>
      </c>
      <c r="B1346">
        <v>0</v>
      </c>
      <c r="C1346">
        <v>71200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AM71"/>
  <sheetViews>
    <sheetView tabSelected="1" topLeftCell="O13" workbookViewId="0">
      <selection activeCell="AK30" sqref="AK30"/>
    </sheetView>
  </sheetViews>
  <sheetFormatPr defaultRowHeight="15" x14ac:dyDescent="0.25"/>
  <cols>
    <col min="1" max="1" width="41.42578125" bestFit="1" customWidth="1"/>
    <col min="2" max="2" width="16.28515625" bestFit="1" customWidth="1"/>
    <col min="3" max="4" width="8.140625" bestFit="1" customWidth="1"/>
    <col min="5" max="6" width="7.140625" bestFit="1" customWidth="1"/>
    <col min="7" max="7" width="8.140625" bestFit="1" customWidth="1"/>
    <col min="8" max="8" width="11.28515625" bestFit="1" customWidth="1"/>
    <col min="31" max="31" width="41.42578125" bestFit="1" customWidth="1"/>
    <col min="32" max="32" width="16.28515625" bestFit="1" customWidth="1"/>
    <col min="33" max="33" width="11" customWidth="1"/>
    <col min="34" max="38" width="12" customWidth="1"/>
  </cols>
  <sheetData>
    <row r="3" spans="1:39" x14ac:dyDescent="0.25">
      <c r="A3" s="2" t="s">
        <v>6</v>
      </c>
      <c r="B3" s="2" t="s">
        <v>5</v>
      </c>
      <c r="AE3" s="2" t="s">
        <v>6</v>
      </c>
      <c r="AF3" s="2" t="s">
        <v>5</v>
      </c>
    </row>
    <row r="4" spans="1:39" x14ac:dyDescent="0.25">
      <c r="A4" s="2" t="s">
        <v>3</v>
      </c>
      <c r="B4">
        <v>85</v>
      </c>
      <c r="C4">
        <v>90</v>
      </c>
      <c r="D4">
        <v>95</v>
      </c>
      <c r="E4">
        <v>97</v>
      </c>
      <c r="F4" t="s">
        <v>10</v>
      </c>
      <c r="G4" t="s">
        <v>11</v>
      </c>
      <c r="H4" t="s">
        <v>4</v>
      </c>
      <c r="L4" s="4" t="s">
        <v>3</v>
      </c>
      <c r="M4" s="9" t="s">
        <v>13</v>
      </c>
      <c r="N4" s="9">
        <v>85</v>
      </c>
      <c r="O4" s="9">
        <v>90</v>
      </c>
      <c r="P4" s="9">
        <v>95</v>
      </c>
      <c r="Q4" s="9">
        <v>97</v>
      </c>
      <c r="R4" s="9" t="s">
        <v>12</v>
      </c>
      <c r="T4" s="4" t="s">
        <v>3</v>
      </c>
      <c r="U4" s="9" t="s">
        <v>13</v>
      </c>
      <c r="V4" s="9">
        <v>85</v>
      </c>
      <c r="W4" s="9">
        <v>90</v>
      </c>
      <c r="X4" s="9">
        <v>95</v>
      </c>
      <c r="Y4" s="9">
        <v>97</v>
      </c>
      <c r="Z4" s="9" t="s">
        <v>12</v>
      </c>
      <c r="AE4" s="2" t="s">
        <v>3</v>
      </c>
      <c r="AF4">
        <v>85</v>
      </c>
      <c r="AG4">
        <v>90</v>
      </c>
      <c r="AH4">
        <v>95</v>
      </c>
      <c r="AI4">
        <v>97</v>
      </c>
      <c r="AJ4" t="s">
        <v>10</v>
      </c>
      <c r="AK4" t="s">
        <v>11</v>
      </c>
      <c r="AL4" t="s">
        <v>4</v>
      </c>
    </row>
    <row r="5" spans="1:39" x14ac:dyDescent="0.25">
      <c r="A5" s="6">
        <v>-999</v>
      </c>
      <c r="B5" s="8">
        <v>0.38905595946650323</v>
      </c>
      <c r="C5" s="8">
        <v>1.8854743623429229E-2</v>
      </c>
      <c r="D5" s="8">
        <v>7.0542072517979296E-2</v>
      </c>
      <c r="E5" s="8">
        <v>6.698744755457417E-2</v>
      </c>
      <c r="F5" s="8">
        <v>0.36745643867556749</v>
      </c>
      <c r="G5" s="8">
        <v>8.7103338161946584E-2</v>
      </c>
      <c r="H5" s="8">
        <v>1</v>
      </c>
      <c r="I5" s="8">
        <f>MAX(B5:G5)</f>
        <v>0.38905595946650323</v>
      </c>
      <c r="L5" s="6">
        <v>-999</v>
      </c>
      <c r="M5" s="8">
        <v>0.36745643867556749</v>
      </c>
      <c r="N5" s="8">
        <v>0.38905595946650323</v>
      </c>
      <c r="O5" s="8">
        <v>1.8854743623429229E-2</v>
      </c>
      <c r="P5" s="8">
        <v>7.0542072517979296E-2</v>
      </c>
      <c r="Q5" s="8">
        <v>6.698744755457417E-2</v>
      </c>
      <c r="R5" s="8">
        <v>8.7103338161946584E-2</v>
      </c>
      <c r="T5" s="6">
        <v>6</v>
      </c>
      <c r="U5" s="12">
        <v>0.45097747762063212</v>
      </c>
      <c r="V5" s="13">
        <v>0.53616902391440913</v>
      </c>
      <c r="W5" s="12">
        <v>6.6002461115315927E-4</v>
      </c>
      <c r="X5" s="12">
        <v>1.3085794897774183E-3</v>
      </c>
      <c r="Y5" s="12">
        <v>9.7924761772757345E-4</v>
      </c>
      <c r="Z5" s="12">
        <v>9.9056467463006746E-3</v>
      </c>
      <c r="AE5" s="6">
        <v>6</v>
      </c>
      <c r="AF5" s="8">
        <v>0.53616902391440913</v>
      </c>
      <c r="AG5" s="8">
        <v>6.6002461115315927E-4</v>
      </c>
      <c r="AH5" s="8">
        <v>1.3085794897774183E-3</v>
      </c>
      <c r="AI5" s="8">
        <v>9.7924761772757345E-4</v>
      </c>
      <c r="AJ5" s="8">
        <v>0.45097747762063212</v>
      </c>
      <c r="AK5" s="8">
        <v>9.9056467463006746E-3</v>
      </c>
      <c r="AL5" s="8">
        <v>1</v>
      </c>
      <c r="AM5" s="8">
        <f>MAX(AF5:AK5)</f>
        <v>0.53616902391440913</v>
      </c>
    </row>
    <row r="6" spans="1:39" x14ac:dyDescent="0.25">
      <c r="A6" s="6">
        <v>0</v>
      </c>
      <c r="B6" s="8">
        <v>0.53617746501743158</v>
      </c>
      <c r="C6" s="8">
        <v>6.6003500215952419E-4</v>
      </c>
      <c r="D6" s="8">
        <v>1.2939124812588005E-3</v>
      </c>
      <c r="E6" s="8">
        <v>9.7820728236283779E-4</v>
      </c>
      <c r="F6" s="8">
        <v>0.45098457752230425</v>
      </c>
      <c r="G6" s="8">
        <v>9.905802694482985E-3</v>
      </c>
      <c r="H6" s="8">
        <v>1</v>
      </c>
      <c r="I6" s="8">
        <f t="shared" ref="I6:I46" si="0">MAX(B6:G6)</f>
        <v>0.53617746501743158</v>
      </c>
      <c r="L6" s="6">
        <v>0</v>
      </c>
      <c r="M6" s="8">
        <v>0.45098457752230425</v>
      </c>
      <c r="N6" s="8">
        <v>0.53617746501743158</v>
      </c>
      <c r="O6" s="8">
        <v>6.6003500215952419E-4</v>
      </c>
      <c r="P6" s="8">
        <v>1.2939124812588005E-3</v>
      </c>
      <c r="Q6" s="8">
        <v>9.7820728236283779E-4</v>
      </c>
      <c r="R6" s="8">
        <v>9.905802694482985E-3</v>
      </c>
      <c r="T6" s="6">
        <v>12</v>
      </c>
      <c r="U6" s="12">
        <v>0</v>
      </c>
      <c r="V6" s="12">
        <v>0.34001690926013811</v>
      </c>
      <c r="W6" s="12">
        <v>0.51461100767952106</v>
      </c>
      <c r="X6" s="12">
        <v>0</v>
      </c>
      <c r="Y6" s="12">
        <v>8.0412959946548936E-3</v>
      </c>
      <c r="Z6" s="12">
        <v>0.13733078706568588</v>
      </c>
      <c r="AE6" s="6">
        <v>12</v>
      </c>
      <c r="AF6" s="8">
        <v>0.34001690926013811</v>
      </c>
      <c r="AG6" s="8">
        <v>0.51461100767952106</v>
      </c>
      <c r="AH6" s="8">
        <v>0</v>
      </c>
      <c r="AI6" s="8">
        <v>8.0412959946548936E-3</v>
      </c>
      <c r="AJ6" s="8">
        <v>0</v>
      </c>
      <c r="AK6" s="8">
        <v>0.13733078706568588</v>
      </c>
      <c r="AL6" s="8">
        <v>1</v>
      </c>
      <c r="AM6" s="8">
        <f t="shared" ref="AM6:AM16" si="1">MAX(AF6:AK6)</f>
        <v>0.51461100767952106</v>
      </c>
    </row>
    <row r="7" spans="1:39" x14ac:dyDescent="0.25">
      <c r="A7" s="6">
        <v>1</v>
      </c>
      <c r="B7" s="8">
        <v>0</v>
      </c>
      <c r="C7" s="8">
        <v>0</v>
      </c>
      <c r="D7" s="8">
        <v>1</v>
      </c>
      <c r="E7" s="8">
        <v>0</v>
      </c>
      <c r="F7" s="8">
        <v>0</v>
      </c>
      <c r="G7" s="8">
        <v>0</v>
      </c>
      <c r="H7" s="8">
        <v>1</v>
      </c>
      <c r="I7" s="8">
        <f t="shared" si="0"/>
        <v>1</v>
      </c>
      <c r="L7" s="6">
        <v>1</v>
      </c>
      <c r="M7" s="8">
        <v>0</v>
      </c>
      <c r="N7" s="8">
        <v>0</v>
      </c>
      <c r="O7" s="8">
        <v>0</v>
      </c>
      <c r="P7" s="8">
        <v>1</v>
      </c>
      <c r="Q7" s="8">
        <v>0</v>
      </c>
      <c r="R7" s="8">
        <v>0</v>
      </c>
      <c r="T7" s="6">
        <v>17</v>
      </c>
      <c r="U7" s="12">
        <v>1.3984116127863707E-3</v>
      </c>
      <c r="V7" s="12">
        <v>0.16953396436567778</v>
      </c>
      <c r="W7" s="12">
        <v>0.53337941446300563</v>
      </c>
      <c r="X7" s="12">
        <v>0.11018362391689963</v>
      </c>
      <c r="Y7" s="12">
        <v>0.1854745487390744</v>
      </c>
      <c r="Z7" s="12">
        <v>3.0036902556220566E-5</v>
      </c>
      <c r="AE7" s="6">
        <v>17</v>
      </c>
      <c r="AF7" s="8">
        <v>0.16953396436567778</v>
      </c>
      <c r="AG7" s="8">
        <v>0.53337941446300563</v>
      </c>
      <c r="AH7" s="8">
        <v>0.11018362391689963</v>
      </c>
      <c r="AI7" s="8">
        <v>0.1854745487390744</v>
      </c>
      <c r="AJ7" s="8">
        <v>1.3984116127863707E-3</v>
      </c>
      <c r="AK7" s="8">
        <v>3.0036902556220566E-5</v>
      </c>
      <c r="AL7" s="8">
        <v>1</v>
      </c>
      <c r="AM7" s="8">
        <f t="shared" si="1"/>
        <v>0.53337941446300563</v>
      </c>
    </row>
    <row r="8" spans="1:39" x14ac:dyDescent="0.25">
      <c r="A8" s="6">
        <v>2</v>
      </c>
      <c r="B8" s="8">
        <v>0</v>
      </c>
      <c r="C8" s="8">
        <v>0</v>
      </c>
      <c r="D8" s="8">
        <v>1</v>
      </c>
      <c r="E8" s="8">
        <v>0</v>
      </c>
      <c r="F8" s="8">
        <v>0</v>
      </c>
      <c r="G8" s="8">
        <v>0</v>
      </c>
      <c r="H8" s="8">
        <v>1</v>
      </c>
      <c r="I8" s="8">
        <f t="shared" si="0"/>
        <v>1</v>
      </c>
      <c r="L8" s="6">
        <v>2</v>
      </c>
      <c r="M8" s="8">
        <v>0</v>
      </c>
      <c r="N8" s="8">
        <v>0</v>
      </c>
      <c r="O8" s="8">
        <v>0</v>
      </c>
      <c r="P8" s="8">
        <v>1</v>
      </c>
      <c r="Q8" s="8">
        <v>0</v>
      </c>
      <c r="R8" s="8">
        <v>0</v>
      </c>
      <c r="T8" s="6">
        <v>18</v>
      </c>
      <c r="U8" s="12">
        <v>1.0417378080609314E-4</v>
      </c>
      <c r="V8" s="12">
        <v>5.2395430530430944E-3</v>
      </c>
      <c r="W8" s="12">
        <v>0.16666927285060329</v>
      </c>
      <c r="X8" s="12">
        <v>0.82748820094985576</v>
      </c>
      <c r="Y8" s="12">
        <v>4.9880936569181105E-4</v>
      </c>
      <c r="Z8" s="12">
        <v>0</v>
      </c>
      <c r="AE8" s="6">
        <v>18</v>
      </c>
      <c r="AF8" s="8">
        <v>5.2395430530430944E-3</v>
      </c>
      <c r="AG8" s="8">
        <v>0.16666927285060329</v>
      </c>
      <c r="AH8" s="8">
        <v>0.82748820094985576</v>
      </c>
      <c r="AI8" s="8">
        <v>4.9880936569181105E-4</v>
      </c>
      <c r="AJ8" s="8">
        <v>1.0417378080609314E-4</v>
      </c>
      <c r="AK8" s="8">
        <v>0</v>
      </c>
      <c r="AL8" s="8">
        <v>1</v>
      </c>
      <c r="AM8" s="8">
        <f t="shared" si="1"/>
        <v>0.82748820094985576</v>
      </c>
    </row>
    <row r="9" spans="1:39" x14ac:dyDescent="0.25">
      <c r="A9" s="6">
        <v>3</v>
      </c>
      <c r="B9" s="8">
        <v>0</v>
      </c>
      <c r="C9" s="8">
        <v>0</v>
      </c>
      <c r="D9" s="8">
        <v>1</v>
      </c>
      <c r="E9" s="8">
        <v>0</v>
      </c>
      <c r="F9" s="8">
        <v>0</v>
      </c>
      <c r="G9" s="8">
        <v>0</v>
      </c>
      <c r="H9" s="8">
        <v>1</v>
      </c>
      <c r="I9" s="8">
        <f t="shared" si="0"/>
        <v>1</v>
      </c>
      <c r="L9" s="6">
        <v>3</v>
      </c>
      <c r="M9" s="8">
        <v>0</v>
      </c>
      <c r="N9" s="8">
        <v>0</v>
      </c>
      <c r="O9" s="8">
        <v>0</v>
      </c>
      <c r="P9" s="8">
        <v>1</v>
      </c>
      <c r="Q9" s="8">
        <v>0</v>
      </c>
      <c r="R9" s="8">
        <v>0</v>
      </c>
      <c r="T9" s="6">
        <v>20</v>
      </c>
      <c r="U9" s="12">
        <v>6.7027989659279623E-5</v>
      </c>
      <c r="V9" s="12">
        <v>1.2270970924282791E-3</v>
      </c>
      <c r="W9" s="12">
        <v>1.9248542691292522E-3</v>
      </c>
      <c r="X9" s="12">
        <v>2.2124611981376836E-2</v>
      </c>
      <c r="Y9" s="12">
        <v>0.12349547397485043</v>
      </c>
      <c r="Z9" s="12">
        <v>0.85116093469255594</v>
      </c>
      <c r="AE9" s="6">
        <v>20</v>
      </c>
      <c r="AF9" s="8">
        <v>1.2270970924282791E-3</v>
      </c>
      <c r="AG9" s="8">
        <v>1.9248542691292522E-3</v>
      </c>
      <c r="AH9" s="8">
        <v>2.2124611981376836E-2</v>
      </c>
      <c r="AI9" s="8">
        <v>0.12349547397485043</v>
      </c>
      <c r="AJ9" s="8">
        <v>6.7027989659279623E-5</v>
      </c>
      <c r="AK9" s="8">
        <v>0.85116093469255594</v>
      </c>
      <c r="AL9" s="8">
        <v>1</v>
      </c>
      <c r="AM9" s="8">
        <f t="shared" si="1"/>
        <v>0.85116093469255594</v>
      </c>
    </row>
    <row r="10" spans="1:39" x14ac:dyDescent="0.25">
      <c r="A10" s="6">
        <v>4</v>
      </c>
      <c r="B10" s="8">
        <v>0</v>
      </c>
      <c r="C10" s="8">
        <v>0</v>
      </c>
      <c r="D10" s="8">
        <v>1</v>
      </c>
      <c r="E10" s="8">
        <v>0</v>
      </c>
      <c r="F10" s="8">
        <v>0</v>
      </c>
      <c r="G10" s="8">
        <v>0</v>
      </c>
      <c r="H10" s="8">
        <v>1</v>
      </c>
      <c r="I10" s="8">
        <f t="shared" si="0"/>
        <v>1</v>
      </c>
      <c r="L10" s="6">
        <v>4</v>
      </c>
      <c r="M10" s="8">
        <v>0</v>
      </c>
      <c r="N10" s="8">
        <v>0</v>
      </c>
      <c r="O10" s="8">
        <v>0</v>
      </c>
      <c r="P10" s="8">
        <v>1</v>
      </c>
      <c r="Q10" s="8">
        <v>0</v>
      </c>
      <c r="R10" s="8">
        <v>0</v>
      </c>
      <c r="T10" s="6">
        <v>22</v>
      </c>
      <c r="U10" s="12">
        <v>1.1040906557068246E-4</v>
      </c>
      <c r="V10" s="12">
        <v>2.4525240668366505E-4</v>
      </c>
      <c r="W10" s="12">
        <v>6.1768796201973092E-4</v>
      </c>
      <c r="X10" s="12">
        <v>1.7682532413504887E-3</v>
      </c>
      <c r="Y10" s="12">
        <v>3.493728955973377E-3</v>
      </c>
      <c r="Z10" s="12">
        <v>0.99376466836840205</v>
      </c>
      <c r="AE10" s="6">
        <v>22</v>
      </c>
      <c r="AF10" s="8">
        <v>2.4525240668366505E-4</v>
      </c>
      <c r="AG10" s="8">
        <v>6.1768796201973092E-4</v>
      </c>
      <c r="AH10" s="8">
        <v>1.7682532413504887E-3</v>
      </c>
      <c r="AI10" s="8">
        <v>3.493728955973377E-3</v>
      </c>
      <c r="AJ10" s="8">
        <v>1.1040906557068246E-4</v>
      </c>
      <c r="AK10" s="8">
        <v>0.99376466836840205</v>
      </c>
      <c r="AL10" s="8">
        <v>1</v>
      </c>
      <c r="AM10" s="8">
        <f t="shared" si="1"/>
        <v>0.99376466836840205</v>
      </c>
    </row>
    <row r="11" spans="1:39" x14ac:dyDescent="0.25">
      <c r="A11" s="6">
        <v>5</v>
      </c>
      <c r="B11" s="8">
        <v>0</v>
      </c>
      <c r="C11" s="8">
        <v>0</v>
      </c>
      <c r="D11" s="8">
        <v>0.66622799488852014</v>
      </c>
      <c r="E11" s="8">
        <v>0.33377200511147986</v>
      </c>
      <c r="F11" s="8">
        <v>0</v>
      </c>
      <c r="G11" s="8">
        <v>0</v>
      </c>
      <c r="H11" s="8">
        <v>1</v>
      </c>
      <c r="I11" s="8">
        <f t="shared" si="0"/>
        <v>0.66622799488852014</v>
      </c>
      <c r="L11" s="6">
        <v>5</v>
      </c>
      <c r="M11" s="8">
        <v>0</v>
      </c>
      <c r="N11" s="8">
        <v>0</v>
      </c>
      <c r="O11" s="8">
        <v>0</v>
      </c>
      <c r="P11" s="8">
        <v>0.66622799488852014</v>
      </c>
      <c r="Q11" s="8">
        <v>0.33377200511147986</v>
      </c>
      <c r="R11" s="8">
        <v>0</v>
      </c>
      <c r="T11" s="6">
        <v>25</v>
      </c>
      <c r="U11" s="12">
        <v>3.5383260574944845E-3</v>
      </c>
      <c r="V11" s="12">
        <v>8.3380493197755222E-3</v>
      </c>
      <c r="W11" s="12">
        <v>0.19553987052078386</v>
      </c>
      <c r="X11" s="12">
        <v>0.67110139003834002</v>
      </c>
      <c r="Y11" s="12">
        <v>5.5513235798110599E-2</v>
      </c>
      <c r="Z11" s="12">
        <v>6.5969128265495461E-2</v>
      </c>
      <c r="AE11" s="6">
        <v>25</v>
      </c>
      <c r="AF11" s="8">
        <v>8.3380493197755222E-3</v>
      </c>
      <c r="AG11" s="8">
        <v>0.19553987052078386</v>
      </c>
      <c r="AH11" s="8">
        <v>0.67110139003834002</v>
      </c>
      <c r="AI11" s="8">
        <v>5.5513235798110599E-2</v>
      </c>
      <c r="AJ11" s="8">
        <v>3.5383260574944845E-3</v>
      </c>
      <c r="AK11" s="8">
        <v>6.5969128265495461E-2</v>
      </c>
      <c r="AL11" s="8">
        <v>1</v>
      </c>
      <c r="AM11" s="8">
        <f t="shared" si="1"/>
        <v>0.67110139003834002</v>
      </c>
    </row>
    <row r="12" spans="1:39" x14ac:dyDescent="0.25">
      <c r="A12" s="6">
        <v>6</v>
      </c>
      <c r="B12" s="8">
        <v>0.40672345103454099</v>
      </c>
      <c r="C12" s="8">
        <v>0.58198734980019118</v>
      </c>
      <c r="D12" s="8">
        <v>0</v>
      </c>
      <c r="E12" s="8">
        <v>1.0389367463928984E-2</v>
      </c>
      <c r="F12" s="8">
        <v>0</v>
      </c>
      <c r="G12" s="8">
        <v>8.9983170133891741E-4</v>
      </c>
      <c r="H12" s="8">
        <v>1</v>
      </c>
      <c r="I12" s="8">
        <f t="shared" si="0"/>
        <v>0.58198734980019118</v>
      </c>
      <c r="L12" s="6">
        <v>6</v>
      </c>
      <c r="M12" s="8">
        <v>0</v>
      </c>
      <c r="N12" s="8">
        <v>0.40672345103454099</v>
      </c>
      <c r="O12" s="8">
        <v>0.58198734980019118</v>
      </c>
      <c r="P12" s="8">
        <v>0</v>
      </c>
      <c r="Q12" s="8">
        <v>1.0389367463928984E-2</v>
      </c>
      <c r="R12" s="8">
        <v>8.9983170133891741E-4</v>
      </c>
      <c r="T12" s="6">
        <v>30</v>
      </c>
      <c r="U12" s="12">
        <v>4.8561477507144798E-4</v>
      </c>
      <c r="V12" s="12">
        <v>1.3079778302793009E-3</v>
      </c>
      <c r="W12" s="12">
        <v>0.10104734678857138</v>
      </c>
      <c r="X12" s="12">
        <v>0.71678116469171438</v>
      </c>
      <c r="Y12" s="12">
        <v>0.15530593007744556</v>
      </c>
      <c r="Z12" s="12">
        <v>2.5071965836917884E-2</v>
      </c>
      <c r="AE12" s="6">
        <v>30</v>
      </c>
      <c r="AF12" s="8">
        <v>1.3079778302793009E-3</v>
      </c>
      <c r="AG12" s="8">
        <v>0.10104734678857138</v>
      </c>
      <c r="AH12" s="8">
        <v>0.71678116469171438</v>
      </c>
      <c r="AI12" s="8">
        <v>0.15530593007744556</v>
      </c>
      <c r="AJ12" s="8">
        <v>4.8561477507144798E-4</v>
      </c>
      <c r="AK12" s="8">
        <v>2.5071965836917884E-2</v>
      </c>
      <c r="AL12" s="8">
        <v>1</v>
      </c>
      <c r="AM12" s="8">
        <f t="shared" si="1"/>
        <v>0.71678116469171438</v>
      </c>
    </row>
    <row r="13" spans="1:39" x14ac:dyDescent="0.25">
      <c r="A13" s="6">
        <v>7</v>
      </c>
      <c r="B13" s="8">
        <v>0</v>
      </c>
      <c r="C13" s="8">
        <v>1</v>
      </c>
      <c r="D13" s="8">
        <v>0</v>
      </c>
      <c r="E13" s="8">
        <v>0</v>
      </c>
      <c r="F13" s="8">
        <v>0</v>
      </c>
      <c r="G13" s="8">
        <v>0</v>
      </c>
      <c r="H13" s="8">
        <v>1</v>
      </c>
      <c r="I13" s="8">
        <f t="shared" si="0"/>
        <v>1</v>
      </c>
      <c r="L13" s="6">
        <v>7</v>
      </c>
      <c r="M13" s="8">
        <v>0</v>
      </c>
      <c r="N13" s="8">
        <v>0</v>
      </c>
      <c r="O13" s="8">
        <v>1</v>
      </c>
      <c r="P13" s="8">
        <v>0</v>
      </c>
      <c r="Q13" s="8">
        <v>0</v>
      </c>
      <c r="R13" s="8">
        <v>0</v>
      </c>
      <c r="T13" s="6">
        <v>35</v>
      </c>
      <c r="U13" s="12">
        <v>5.0295307783016689E-4</v>
      </c>
      <c r="V13" s="12">
        <v>9.7312413151273475E-4</v>
      </c>
      <c r="W13" s="12">
        <v>3.3394871954983115E-3</v>
      </c>
      <c r="X13" s="12">
        <v>0.11322355202426587</v>
      </c>
      <c r="Y13" s="12">
        <v>0.87679159663564388</v>
      </c>
      <c r="Z13" s="12">
        <v>5.1692869352490773E-3</v>
      </c>
      <c r="AE13" s="6">
        <v>35</v>
      </c>
      <c r="AF13" s="8">
        <v>9.7312413151273475E-4</v>
      </c>
      <c r="AG13" s="8">
        <v>3.3394871954983115E-3</v>
      </c>
      <c r="AH13" s="8">
        <v>0.11322355202426587</v>
      </c>
      <c r="AI13" s="8">
        <v>0.87679159663564388</v>
      </c>
      <c r="AJ13" s="8">
        <v>5.0295307783016689E-4</v>
      </c>
      <c r="AK13" s="8">
        <v>5.1692869352490773E-3</v>
      </c>
      <c r="AL13" s="8">
        <v>1</v>
      </c>
      <c r="AM13" s="8">
        <f t="shared" si="1"/>
        <v>0.87679159663564388</v>
      </c>
    </row>
    <row r="14" spans="1:39" x14ac:dyDescent="0.25">
      <c r="A14" s="6">
        <v>8</v>
      </c>
      <c r="B14" s="8">
        <v>7.0457405138317636E-2</v>
      </c>
      <c r="C14" s="8">
        <v>0</v>
      </c>
      <c r="D14" s="8">
        <v>0</v>
      </c>
      <c r="E14" s="8">
        <v>0</v>
      </c>
      <c r="F14" s="8">
        <v>0</v>
      </c>
      <c r="G14" s="8">
        <v>0.92954259486168234</v>
      </c>
      <c r="H14" s="8">
        <v>1</v>
      </c>
      <c r="I14" s="8">
        <f t="shared" si="0"/>
        <v>0.92954259486168234</v>
      </c>
      <c r="L14" s="6">
        <v>8</v>
      </c>
      <c r="M14" s="8">
        <v>0</v>
      </c>
      <c r="N14" s="8">
        <v>7.0457405138317636E-2</v>
      </c>
      <c r="O14" s="8">
        <v>0</v>
      </c>
      <c r="P14" s="8">
        <v>0</v>
      </c>
      <c r="Q14" s="8">
        <v>0</v>
      </c>
      <c r="R14" s="8">
        <v>0.92954259486168234</v>
      </c>
      <c r="T14" s="6">
        <v>40</v>
      </c>
      <c r="U14" s="12">
        <v>4.3821887430619047E-5</v>
      </c>
      <c r="V14" s="12">
        <v>2.3106487669985251E-4</v>
      </c>
      <c r="W14" s="12">
        <v>5.6789786852903834E-4</v>
      </c>
      <c r="X14" s="12">
        <v>1.3074692730977045E-2</v>
      </c>
      <c r="Y14" s="12">
        <v>6.6208513406729688E-2</v>
      </c>
      <c r="Z14" s="12">
        <v>0.9198740092296338</v>
      </c>
      <c r="AE14" s="6">
        <v>40</v>
      </c>
      <c r="AF14" s="8">
        <v>2.3106487669985251E-4</v>
      </c>
      <c r="AG14" s="8">
        <v>5.6789786852903834E-4</v>
      </c>
      <c r="AH14" s="8">
        <v>1.3074692730977045E-2</v>
      </c>
      <c r="AI14" s="8">
        <v>6.6208513406729688E-2</v>
      </c>
      <c r="AJ14" s="8">
        <v>4.3821887430619047E-5</v>
      </c>
      <c r="AK14" s="8">
        <v>0.9198740092296338</v>
      </c>
      <c r="AL14" s="8">
        <v>1</v>
      </c>
      <c r="AM14" s="8">
        <f t="shared" si="1"/>
        <v>0.9198740092296338</v>
      </c>
    </row>
    <row r="15" spans="1:39" x14ac:dyDescent="0.25">
      <c r="A15" s="6">
        <v>9</v>
      </c>
      <c r="B15" s="8">
        <v>0.27327359973053855</v>
      </c>
      <c r="C15" s="8">
        <v>0.70244910234780145</v>
      </c>
      <c r="D15" s="8">
        <v>0</v>
      </c>
      <c r="E15" s="8">
        <v>0</v>
      </c>
      <c r="F15" s="8">
        <v>0</v>
      </c>
      <c r="G15" s="8">
        <v>2.4277297921659956E-2</v>
      </c>
      <c r="H15" s="8">
        <v>1</v>
      </c>
      <c r="I15" s="8">
        <f t="shared" si="0"/>
        <v>0.70244910234780145</v>
      </c>
      <c r="L15" s="6">
        <v>9</v>
      </c>
      <c r="M15" s="8">
        <v>0</v>
      </c>
      <c r="N15" s="8">
        <v>0.27327359973053855</v>
      </c>
      <c r="O15" s="8">
        <v>0.70244910234780145</v>
      </c>
      <c r="P15" s="8">
        <v>0</v>
      </c>
      <c r="Q15" s="8">
        <v>0</v>
      </c>
      <c r="R15" s="8">
        <v>2.4277297921659956E-2</v>
      </c>
      <c r="T15" s="6" t="s">
        <v>16</v>
      </c>
      <c r="U15" s="12">
        <v>0</v>
      </c>
      <c r="V15" s="12">
        <v>0</v>
      </c>
      <c r="W15" s="12">
        <v>0</v>
      </c>
      <c r="X15" s="12">
        <v>1.6580592240741356E-2</v>
      </c>
      <c r="Y15" s="12">
        <v>1.5810925242899534E-2</v>
      </c>
      <c r="Z15" s="12">
        <v>0.96760848251635911</v>
      </c>
      <c r="AE15" s="6" t="s">
        <v>11</v>
      </c>
      <c r="AF15" s="8">
        <v>0</v>
      </c>
      <c r="AG15" s="8">
        <v>0</v>
      </c>
      <c r="AH15" s="8">
        <v>1.6580592240741356E-2</v>
      </c>
      <c r="AI15" s="8">
        <v>1.5810925242899534E-2</v>
      </c>
      <c r="AJ15" s="8">
        <v>0</v>
      </c>
      <c r="AK15" s="8">
        <v>0.96760848251635911</v>
      </c>
      <c r="AL15" s="8">
        <v>1</v>
      </c>
      <c r="AM15" s="8">
        <f t="shared" si="1"/>
        <v>0.96760848251635911</v>
      </c>
    </row>
    <row r="16" spans="1:39" x14ac:dyDescent="0.25">
      <c r="A16" s="6">
        <v>10</v>
      </c>
      <c r="B16" s="8">
        <v>0</v>
      </c>
      <c r="C16" s="8">
        <v>0.67426175259554899</v>
      </c>
      <c r="D16" s="8">
        <v>0</v>
      </c>
      <c r="E16" s="8">
        <v>0</v>
      </c>
      <c r="F16" s="8">
        <v>0</v>
      </c>
      <c r="G16" s="8">
        <v>0.32573824740445095</v>
      </c>
      <c r="H16" s="8">
        <v>1</v>
      </c>
      <c r="I16" s="8">
        <f t="shared" si="0"/>
        <v>0.67426175259554899</v>
      </c>
      <c r="L16" s="6">
        <v>10</v>
      </c>
      <c r="M16" s="8">
        <v>0</v>
      </c>
      <c r="N16" s="8">
        <v>0</v>
      </c>
      <c r="O16" s="8">
        <v>0.67426175259554899</v>
      </c>
      <c r="P16" s="8">
        <v>0</v>
      </c>
      <c r="Q16" s="8">
        <v>0</v>
      </c>
      <c r="R16" s="8">
        <v>0.32573824740445095</v>
      </c>
      <c r="T16" s="6"/>
      <c r="U16" s="8"/>
      <c r="V16" s="8"/>
      <c r="W16" s="8"/>
      <c r="X16" s="8"/>
      <c r="Y16" s="8"/>
      <c r="Z16" s="8"/>
      <c r="AE16" s="6" t="s">
        <v>15</v>
      </c>
      <c r="AF16" s="8">
        <v>0.38905595946650323</v>
      </c>
      <c r="AG16" s="8">
        <v>1.8854743623429229E-2</v>
      </c>
      <c r="AH16" s="8">
        <v>7.0542072517979296E-2</v>
      </c>
      <c r="AI16" s="8">
        <v>6.698744755457417E-2</v>
      </c>
      <c r="AJ16" s="8">
        <v>0.36745643867556749</v>
      </c>
      <c r="AK16" s="8">
        <v>8.7103338161946584E-2</v>
      </c>
      <c r="AL16" s="8">
        <v>1</v>
      </c>
      <c r="AM16" s="8">
        <f t="shared" si="1"/>
        <v>0.38905595946650323</v>
      </c>
    </row>
    <row r="17" spans="1:38" x14ac:dyDescent="0.25">
      <c r="A17" s="6">
        <v>11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1</v>
      </c>
      <c r="H17" s="8">
        <v>1</v>
      </c>
      <c r="I17" s="8">
        <f t="shared" si="0"/>
        <v>1</v>
      </c>
      <c r="L17" s="6">
        <v>11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1</v>
      </c>
      <c r="AE17" s="6" t="s">
        <v>4</v>
      </c>
      <c r="AF17" s="8">
        <v>0.35726969963360033</v>
      </c>
      <c r="AG17" s="8">
        <v>2.5860024777110042E-2</v>
      </c>
      <c r="AH17" s="8">
        <v>9.8052132369625386E-2</v>
      </c>
      <c r="AI17" s="8">
        <v>0.10040872026986268</v>
      </c>
      <c r="AJ17" s="8">
        <v>0.29916030112993786</v>
      </c>
      <c r="AK17" s="8">
        <v>0.11924912181986372</v>
      </c>
      <c r="AL17" s="8">
        <v>1</v>
      </c>
    </row>
    <row r="18" spans="1:38" x14ac:dyDescent="0.25">
      <c r="A18" s="6">
        <v>12</v>
      </c>
      <c r="B18" s="8">
        <v>0.21840319290889476</v>
      </c>
      <c r="C18" s="8">
        <v>0.68729688977800218</v>
      </c>
      <c r="D18" s="8">
        <v>9.2481239185393943E-2</v>
      </c>
      <c r="E18" s="8">
        <v>0</v>
      </c>
      <c r="F18" s="8">
        <v>1.8186781277091414E-3</v>
      </c>
      <c r="G18" s="8">
        <v>0</v>
      </c>
      <c r="H18" s="8">
        <v>1</v>
      </c>
      <c r="I18" s="8">
        <f t="shared" si="0"/>
        <v>0.68729688977800218</v>
      </c>
      <c r="L18" s="6">
        <v>12</v>
      </c>
      <c r="M18" s="8">
        <v>1.8186781277091414E-3</v>
      </c>
      <c r="N18" s="8">
        <v>0.21840319290889476</v>
      </c>
      <c r="O18" s="8">
        <v>0.68729688977800218</v>
      </c>
      <c r="P18" s="8">
        <v>9.2481239185393943E-2</v>
      </c>
      <c r="Q18" s="8">
        <v>0</v>
      </c>
      <c r="R18" s="8">
        <v>0</v>
      </c>
    </row>
    <row r="19" spans="1:38" x14ac:dyDescent="0.25">
      <c r="A19" s="6">
        <v>13</v>
      </c>
      <c r="B19" s="8">
        <v>0.29858693426172433</v>
      </c>
      <c r="C19" s="8">
        <v>0.33708785582633627</v>
      </c>
      <c r="D19" s="8">
        <v>0.3643252099119394</v>
      </c>
      <c r="E19" s="8">
        <v>0</v>
      </c>
      <c r="F19" s="8">
        <v>0</v>
      </c>
      <c r="G19" s="8">
        <v>0</v>
      </c>
      <c r="H19" s="8">
        <v>1</v>
      </c>
      <c r="I19" s="8">
        <f t="shared" si="0"/>
        <v>0.3643252099119394</v>
      </c>
      <c r="L19" s="6">
        <v>13</v>
      </c>
      <c r="M19" s="8">
        <v>0</v>
      </c>
      <c r="N19" s="8">
        <v>0.29858693426172433</v>
      </c>
      <c r="O19" s="8">
        <v>0.33708785582633627</v>
      </c>
      <c r="P19" s="8">
        <v>0.3643252099119394</v>
      </c>
      <c r="Q19" s="8">
        <v>0</v>
      </c>
      <c r="R19" s="8">
        <v>0</v>
      </c>
      <c r="T19" s="4" t="s">
        <v>3</v>
      </c>
      <c r="U19" s="9" t="s">
        <v>13</v>
      </c>
      <c r="V19" s="9">
        <v>85</v>
      </c>
      <c r="W19" s="9">
        <v>90</v>
      </c>
      <c r="X19" s="9">
        <v>95</v>
      </c>
      <c r="Y19" s="9">
        <v>97</v>
      </c>
      <c r="Z19" s="9" t="s">
        <v>12</v>
      </c>
    </row>
    <row r="20" spans="1:38" x14ac:dyDescent="0.25">
      <c r="A20" s="6">
        <v>14</v>
      </c>
      <c r="B20" s="8">
        <v>0.237853686608858</v>
      </c>
      <c r="C20" s="8">
        <v>0.74978633055436061</v>
      </c>
      <c r="D20" s="8">
        <v>9.5122360861243527E-3</v>
      </c>
      <c r="E20" s="8">
        <v>2.8477467506570092E-3</v>
      </c>
      <c r="F20" s="8">
        <v>0</v>
      </c>
      <c r="G20" s="8">
        <v>0</v>
      </c>
      <c r="H20" s="8">
        <v>1</v>
      </c>
      <c r="I20" s="8">
        <f t="shared" si="0"/>
        <v>0.74978633055436061</v>
      </c>
      <c r="L20" s="6">
        <v>14</v>
      </c>
      <c r="M20" s="8">
        <v>0</v>
      </c>
      <c r="N20" s="8">
        <v>0.237853686608858</v>
      </c>
      <c r="O20" s="8">
        <v>0.74978633055436061</v>
      </c>
      <c r="P20" s="8">
        <v>9.5122360861243527E-3</v>
      </c>
      <c r="Q20" s="8">
        <v>2.8477467506570092E-3</v>
      </c>
      <c r="R20" s="8">
        <v>0</v>
      </c>
      <c r="T20" s="6">
        <v>6</v>
      </c>
      <c r="V20" s="10">
        <v>0.34</v>
      </c>
      <c r="W20" s="11"/>
      <c r="X20" s="10"/>
      <c r="Y20" s="10"/>
      <c r="Z20" s="10"/>
    </row>
    <row r="21" spans="1:38" x14ac:dyDescent="0.25">
      <c r="A21" s="6">
        <v>15</v>
      </c>
      <c r="B21" s="8">
        <v>0</v>
      </c>
      <c r="C21" s="8">
        <v>0.49004725762566231</v>
      </c>
      <c r="D21" s="8">
        <v>0.4240297866246599</v>
      </c>
      <c r="E21" s="8">
        <v>0</v>
      </c>
      <c r="F21" s="8">
        <v>0</v>
      </c>
      <c r="G21" s="8">
        <v>8.5922955749677787E-2</v>
      </c>
      <c r="H21" s="8">
        <v>1</v>
      </c>
      <c r="I21" s="8">
        <f t="shared" si="0"/>
        <v>0.49004725762566231</v>
      </c>
      <c r="L21" s="6">
        <v>15</v>
      </c>
      <c r="M21" s="8">
        <v>0</v>
      </c>
      <c r="N21" s="8">
        <v>0</v>
      </c>
      <c r="O21" s="8">
        <v>0.49004725762566231</v>
      </c>
      <c r="P21" s="8">
        <v>0.4240297866246599</v>
      </c>
      <c r="Q21" s="8">
        <v>0</v>
      </c>
      <c r="R21" s="8">
        <v>8.5922955749677787E-2</v>
      </c>
      <c r="T21" s="6">
        <v>12</v>
      </c>
      <c r="V21" s="10">
        <v>0.38</v>
      </c>
      <c r="W21" s="10">
        <v>0.44</v>
      </c>
      <c r="X21" s="10"/>
      <c r="Y21" s="10"/>
      <c r="Z21" s="10"/>
    </row>
    <row r="22" spans="1:38" x14ac:dyDescent="0.25">
      <c r="A22" s="6">
        <v>16</v>
      </c>
      <c r="B22" s="8">
        <v>3.4990142530166038E-4</v>
      </c>
      <c r="C22" s="8">
        <v>5.6154358400924489E-4</v>
      </c>
      <c r="D22" s="8">
        <v>0.17327857097895741</v>
      </c>
      <c r="E22" s="8">
        <v>0.8257216167942909</v>
      </c>
      <c r="F22" s="8">
        <v>0</v>
      </c>
      <c r="G22" s="8">
        <v>8.8367217440797711E-5</v>
      </c>
      <c r="H22" s="8">
        <v>1</v>
      </c>
      <c r="I22" s="8">
        <f t="shared" si="0"/>
        <v>0.8257216167942909</v>
      </c>
      <c r="L22" s="6">
        <v>16</v>
      </c>
      <c r="M22" s="8">
        <v>0</v>
      </c>
      <c r="N22" s="8">
        <v>3.4990142530166038E-4</v>
      </c>
      <c r="O22" s="8">
        <v>5.6154358400924489E-4</v>
      </c>
      <c r="P22" s="8">
        <v>0.17327857097895741</v>
      </c>
      <c r="Q22" s="8">
        <v>0.8257216167942909</v>
      </c>
      <c r="R22" s="8">
        <v>8.8367217440797711E-5</v>
      </c>
      <c r="T22" s="6">
        <v>17</v>
      </c>
      <c r="V22" s="10">
        <v>0.43</v>
      </c>
      <c r="W22" s="10">
        <v>0.49</v>
      </c>
      <c r="X22" s="10">
        <v>0.72</v>
      </c>
      <c r="Y22" s="10"/>
      <c r="Z22" s="10"/>
    </row>
    <row r="23" spans="1:38" x14ac:dyDescent="0.25">
      <c r="A23" s="6">
        <v>17</v>
      </c>
      <c r="B23" s="8">
        <v>5.2395430530430944E-3</v>
      </c>
      <c r="C23" s="8">
        <v>0.16666927285060329</v>
      </c>
      <c r="D23" s="8">
        <v>0.82748820094985576</v>
      </c>
      <c r="E23" s="8">
        <v>4.9880936569181105E-4</v>
      </c>
      <c r="F23" s="8">
        <v>1.0417378080609314E-4</v>
      </c>
      <c r="G23" s="8">
        <v>0</v>
      </c>
      <c r="H23" s="8">
        <v>1</v>
      </c>
      <c r="I23" s="8">
        <f t="shared" si="0"/>
        <v>0.82748820094985576</v>
      </c>
      <c r="L23" s="6">
        <v>17</v>
      </c>
      <c r="M23" s="8">
        <v>1.0417378080609314E-4</v>
      </c>
      <c r="N23" s="8">
        <v>5.2395430530430944E-3</v>
      </c>
      <c r="O23" s="8">
        <v>0.16666927285060329</v>
      </c>
      <c r="P23" s="8">
        <v>0.82748820094985576</v>
      </c>
      <c r="Q23" s="8">
        <v>4.9880936569181105E-4</v>
      </c>
      <c r="R23" s="8">
        <v>0</v>
      </c>
      <c r="T23" s="6">
        <v>18</v>
      </c>
      <c r="V23" s="10">
        <v>0.44</v>
      </c>
      <c r="W23" s="10">
        <v>0.5</v>
      </c>
      <c r="X23" s="10">
        <v>0.74</v>
      </c>
      <c r="Y23" s="10">
        <v>0.61</v>
      </c>
      <c r="Z23" s="10"/>
      <c r="AE23" s="2" t="s">
        <v>6</v>
      </c>
      <c r="AF23" s="2" t="s">
        <v>5</v>
      </c>
    </row>
    <row r="24" spans="1:38" x14ac:dyDescent="0.25">
      <c r="A24" s="6">
        <v>18</v>
      </c>
      <c r="B24" s="8">
        <v>4.6886658783961658E-4</v>
      </c>
      <c r="C24" s="8">
        <v>1.6862696186045406E-3</v>
      </c>
      <c r="D24" s="8">
        <v>2.2152983892704339E-2</v>
      </c>
      <c r="E24" s="8">
        <v>0.12354211807593908</v>
      </c>
      <c r="F24" s="8">
        <v>6.7113944259553502E-5</v>
      </c>
      <c r="G24" s="8">
        <v>0.85208264788065291</v>
      </c>
      <c r="H24" s="8">
        <v>1</v>
      </c>
      <c r="I24" s="8">
        <f t="shared" si="0"/>
        <v>0.85208264788065291</v>
      </c>
      <c r="L24" s="6">
        <v>18</v>
      </c>
      <c r="M24" s="8">
        <v>6.7113944259553502E-5</v>
      </c>
      <c r="N24" s="8">
        <v>4.6886658783961658E-4</v>
      </c>
      <c r="O24" s="8">
        <v>1.6862696186045406E-3</v>
      </c>
      <c r="P24" s="8">
        <v>2.2152983892704339E-2</v>
      </c>
      <c r="Q24" s="8">
        <v>0.12354211807593908</v>
      </c>
      <c r="R24" s="8">
        <v>0.85208264788065291</v>
      </c>
      <c r="T24" s="6">
        <v>20</v>
      </c>
      <c r="V24" s="10">
        <v>0.45</v>
      </c>
      <c r="W24" s="10">
        <v>0.52</v>
      </c>
      <c r="X24" s="10">
        <v>0.8</v>
      </c>
      <c r="Y24" s="10">
        <v>0.65</v>
      </c>
      <c r="Z24" s="10"/>
      <c r="AE24" s="2" t="s">
        <v>3</v>
      </c>
      <c r="AF24">
        <v>85</v>
      </c>
      <c r="AG24">
        <v>90</v>
      </c>
      <c r="AH24">
        <v>95</v>
      </c>
      <c r="AI24">
        <v>97</v>
      </c>
      <c r="AJ24" t="s">
        <v>10</v>
      </c>
      <c r="AK24" t="s">
        <v>11</v>
      </c>
      <c r="AL24" t="s">
        <v>4</v>
      </c>
    </row>
    <row r="25" spans="1:38" x14ac:dyDescent="0.25">
      <c r="A25" s="6">
        <v>19</v>
      </c>
      <c r="B25" s="8">
        <v>0.59250047000070816</v>
      </c>
      <c r="C25" s="8">
        <v>0.18797480898101299</v>
      </c>
      <c r="D25" s="8">
        <v>0</v>
      </c>
      <c r="E25" s="8">
        <v>8.7122082492893951E-2</v>
      </c>
      <c r="F25" s="8">
        <v>0</v>
      </c>
      <c r="G25" s="8">
        <v>0.13240263852538489</v>
      </c>
      <c r="H25" s="8">
        <v>1</v>
      </c>
      <c r="I25" s="8">
        <f t="shared" si="0"/>
        <v>0.59250047000070816</v>
      </c>
      <c r="L25" s="6">
        <v>19</v>
      </c>
      <c r="M25" s="8">
        <v>0</v>
      </c>
      <c r="N25" s="8">
        <v>0.59250047000070816</v>
      </c>
      <c r="O25" s="8">
        <v>0.18797480898101299</v>
      </c>
      <c r="P25" s="8">
        <v>0</v>
      </c>
      <c r="Q25" s="8">
        <v>8.7122082492893951E-2</v>
      </c>
      <c r="R25" s="8">
        <v>0.13240263852538489</v>
      </c>
      <c r="T25" s="6">
        <v>22</v>
      </c>
      <c r="V25" s="10">
        <v>0.46</v>
      </c>
      <c r="W25" s="10">
        <v>0.56999999999999995</v>
      </c>
      <c r="X25" s="10">
        <v>0.84</v>
      </c>
      <c r="Y25" s="10">
        <v>0.77</v>
      </c>
      <c r="Z25" s="10"/>
      <c r="AE25" s="6">
        <v>6</v>
      </c>
      <c r="AF25" s="7">
        <v>88876038212</v>
      </c>
      <c r="AG25" s="7">
        <v>109406493</v>
      </c>
      <c r="AH25" s="7">
        <v>216911749</v>
      </c>
      <c r="AI25" s="7">
        <v>162321292</v>
      </c>
      <c r="AJ25" s="7">
        <v>74754582503</v>
      </c>
      <c r="AK25" s="7">
        <v>1641972213</v>
      </c>
      <c r="AL25" s="7">
        <v>165761232462</v>
      </c>
    </row>
    <row r="26" spans="1:38" x14ac:dyDescent="0.25">
      <c r="A26" s="6">
        <v>20</v>
      </c>
      <c r="B26" s="8">
        <v>2.3626550932514493E-4</v>
      </c>
      <c r="C26" s="8">
        <v>6.1770067537771848E-4</v>
      </c>
      <c r="D26" s="8">
        <v>1.7682896358374336E-3</v>
      </c>
      <c r="E26" s="8">
        <v>3.4938008644929855E-3</v>
      </c>
      <c r="F26" s="8">
        <v>1.1041133802872273E-4</v>
      </c>
      <c r="G26" s="8">
        <v>0.99377353197693796</v>
      </c>
      <c r="H26" s="8">
        <v>1</v>
      </c>
      <c r="I26" s="8">
        <f t="shared" si="0"/>
        <v>0.99377353197693796</v>
      </c>
      <c r="L26" s="6">
        <v>20</v>
      </c>
      <c r="M26" s="8">
        <v>1.1041133802872273E-4</v>
      </c>
      <c r="N26" s="8">
        <v>2.3626550932514493E-4</v>
      </c>
      <c r="O26" s="8">
        <v>6.1770067537771848E-4</v>
      </c>
      <c r="P26" s="8">
        <v>1.7682896358374336E-3</v>
      </c>
      <c r="Q26" s="8">
        <v>3.4938008644929855E-3</v>
      </c>
      <c r="R26" s="8">
        <v>0.99377353197693796</v>
      </c>
      <c r="T26" s="6">
        <v>25</v>
      </c>
      <c r="V26" s="10">
        <v>0.48</v>
      </c>
      <c r="W26" s="10">
        <v>0.62</v>
      </c>
      <c r="X26" s="10">
        <v>0.88</v>
      </c>
      <c r="Y26" s="10">
        <v>0.83</v>
      </c>
      <c r="Z26" s="10"/>
      <c r="AE26" s="6">
        <v>12</v>
      </c>
      <c r="AF26" s="7">
        <v>42278559</v>
      </c>
      <c r="AG26" s="7">
        <v>63988029</v>
      </c>
      <c r="AH26" s="7"/>
      <c r="AI26" s="7">
        <v>999875</v>
      </c>
      <c r="AJ26" s="7"/>
      <c r="AK26" s="7">
        <v>17076056</v>
      </c>
      <c r="AL26" s="7">
        <v>124342519</v>
      </c>
    </row>
    <row r="27" spans="1:38" x14ac:dyDescent="0.25">
      <c r="A27" s="6">
        <v>21</v>
      </c>
      <c r="B27" s="8">
        <v>0.43688035068106262</v>
      </c>
      <c r="C27" s="8">
        <v>0</v>
      </c>
      <c r="D27" s="8">
        <v>0</v>
      </c>
      <c r="E27" s="8">
        <v>0</v>
      </c>
      <c r="F27" s="8">
        <v>0</v>
      </c>
      <c r="G27" s="8">
        <v>0.56311964931893732</v>
      </c>
      <c r="H27" s="8">
        <v>1</v>
      </c>
      <c r="I27" s="8">
        <f t="shared" si="0"/>
        <v>0.56311964931893732</v>
      </c>
      <c r="L27" s="6">
        <v>21</v>
      </c>
      <c r="M27" s="8">
        <v>0</v>
      </c>
      <c r="N27" s="8">
        <v>0.43688035068106262</v>
      </c>
      <c r="O27" s="8">
        <v>0</v>
      </c>
      <c r="P27" s="8">
        <v>0</v>
      </c>
      <c r="Q27" s="8">
        <v>0</v>
      </c>
      <c r="R27" s="8">
        <v>0.56311964931893732</v>
      </c>
      <c r="T27" s="6">
        <v>30</v>
      </c>
      <c r="V27" s="10">
        <v>0.56999999999999995</v>
      </c>
      <c r="W27" s="10">
        <v>0.69</v>
      </c>
      <c r="X27" s="10">
        <v>0.94</v>
      </c>
      <c r="Y27" s="10">
        <v>0.94</v>
      </c>
      <c r="Z27" s="10"/>
      <c r="AE27" s="6">
        <v>17</v>
      </c>
      <c r="AF27" s="7">
        <v>998270831</v>
      </c>
      <c r="AG27" s="7">
        <v>3140710555</v>
      </c>
      <c r="AH27" s="7">
        <v>648796825</v>
      </c>
      <c r="AI27" s="7">
        <v>1092134149</v>
      </c>
      <c r="AJ27" s="7">
        <v>8234300</v>
      </c>
      <c r="AK27" s="7">
        <v>176867</v>
      </c>
      <c r="AL27" s="7">
        <v>5888323527</v>
      </c>
    </row>
    <row r="28" spans="1:38" x14ac:dyDescent="0.25">
      <c r="A28" s="6">
        <v>22</v>
      </c>
      <c r="B28" s="8">
        <v>8.8093744212495127E-3</v>
      </c>
      <c r="C28" s="8">
        <v>0.20412653234268077</v>
      </c>
      <c r="D28" s="8">
        <v>0.70594217829310957</v>
      </c>
      <c r="E28" s="8">
        <v>5.8651233726911334E-2</v>
      </c>
      <c r="F28" s="8">
        <v>3.7383370941456262E-3</v>
      </c>
      <c r="G28" s="8">
        <v>1.8732344121903128E-2</v>
      </c>
      <c r="H28" s="8">
        <v>1</v>
      </c>
      <c r="I28" s="8">
        <f t="shared" si="0"/>
        <v>0.70594217829310957</v>
      </c>
      <c r="L28" s="6">
        <v>22</v>
      </c>
      <c r="M28" s="8">
        <v>3.7383370941456262E-3</v>
      </c>
      <c r="N28" s="8">
        <v>8.8093744212495127E-3</v>
      </c>
      <c r="O28" s="8">
        <v>0.20412653234268077</v>
      </c>
      <c r="P28" s="8">
        <v>0.70594217829310957</v>
      </c>
      <c r="Q28" s="8">
        <v>5.8651233726911334E-2</v>
      </c>
      <c r="R28" s="8">
        <v>1.8732344121903128E-2</v>
      </c>
      <c r="T28" s="6">
        <v>35</v>
      </c>
      <c r="V28" s="10">
        <v>0.65</v>
      </c>
      <c r="W28" s="10">
        <v>0.75</v>
      </c>
      <c r="X28" s="10">
        <v>1.06</v>
      </c>
      <c r="Y28" s="10">
        <v>0.98</v>
      </c>
      <c r="Z28" s="10"/>
      <c r="AE28" s="6">
        <v>18</v>
      </c>
      <c r="AF28" s="7">
        <v>19464621</v>
      </c>
      <c r="AG28" s="7">
        <v>619167396</v>
      </c>
      <c r="AH28" s="7">
        <v>3074074218</v>
      </c>
      <c r="AI28" s="7">
        <v>1853050</v>
      </c>
      <c r="AJ28" s="7">
        <v>387000</v>
      </c>
      <c r="AK28" s="7"/>
      <c r="AL28" s="7">
        <v>3714946285</v>
      </c>
    </row>
    <row r="29" spans="1:38" x14ac:dyDescent="0.25">
      <c r="A29" s="6">
        <v>23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1</v>
      </c>
      <c r="H29" s="8">
        <v>1</v>
      </c>
      <c r="I29" s="8">
        <f t="shared" si="0"/>
        <v>1</v>
      </c>
      <c r="L29" s="6">
        <v>23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1</v>
      </c>
      <c r="T29" s="6">
        <v>40</v>
      </c>
      <c r="V29" s="10"/>
      <c r="W29" s="10"/>
      <c r="X29" s="10"/>
      <c r="Y29" s="10">
        <v>1.1000000000000001</v>
      </c>
      <c r="Z29" s="10"/>
      <c r="AE29" s="6">
        <v>20</v>
      </c>
      <c r="AF29" s="7">
        <v>1880574</v>
      </c>
      <c r="AG29" s="7">
        <v>2949914</v>
      </c>
      <c r="AH29" s="7">
        <v>33906828</v>
      </c>
      <c r="AI29" s="7">
        <v>189261615</v>
      </c>
      <c r="AJ29" s="7">
        <v>102723</v>
      </c>
      <c r="AK29" s="7">
        <v>1304437223</v>
      </c>
      <c r="AL29" s="7">
        <v>1532538877</v>
      </c>
    </row>
    <row r="30" spans="1:38" x14ac:dyDescent="0.25">
      <c r="A30" s="6">
        <v>24</v>
      </c>
      <c r="B30" s="8">
        <v>0</v>
      </c>
      <c r="C30" s="8">
        <v>0.12631578947368421</v>
      </c>
      <c r="D30" s="8">
        <v>0.15847310584152691</v>
      </c>
      <c r="E30" s="8">
        <v>0</v>
      </c>
      <c r="F30" s="8">
        <v>0</v>
      </c>
      <c r="G30" s="8">
        <v>0.71521110468478888</v>
      </c>
      <c r="H30" s="8">
        <v>1</v>
      </c>
      <c r="I30" s="8">
        <f t="shared" si="0"/>
        <v>0.71521110468478888</v>
      </c>
      <c r="L30" s="6">
        <v>24</v>
      </c>
      <c r="M30" s="8">
        <v>0</v>
      </c>
      <c r="N30" s="8">
        <v>0</v>
      </c>
      <c r="O30" s="8">
        <v>0.12631578947368421</v>
      </c>
      <c r="P30" s="8">
        <v>0.15847310584152691</v>
      </c>
      <c r="Q30" s="8">
        <v>0</v>
      </c>
      <c r="R30" s="8">
        <v>0.71521110468478888</v>
      </c>
      <c r="T30" s="6" t="s">
        <v>16</v>
      </c>
      <c r="U30" s="10"/>
      <c r="V30" s="10"/>
      <c r="W30" s="10"/>
      <c r="X30" s="10"/>
      <c r="Y30" s="10"/>
      <c r="Z30" s="10"/>
      <c r="AE30" s="6">
        <v>22</v>
      </c>
      <c r="AF30" s="7">
        <v>4050373</v>
      </c>
      <c r="AG30" s="7">
        <v>10201191</v>
      </c>
      <c r="AH30" s="7">
        <v>29202915</v>
      </c>
      <c r="AI30" s="7">
        <v>57699354</v>
      </c>
      <c r="AJ30" s="7">
        <v>1823419</v>
      </c>
      <c r="AK30" s="7">
        <v>16412143047</v>
      </c>
      <c r="AL30" s="7">
        <v>16515120299</v>
      </c>
    </row>
    <row r="31" spans="1:38" x14ac:dyDescent="0.25">
      <c r="A31" s="6">
        <v>25</v>
      </c>
      <c r="B31" s="8">
        <v>1.3182744252955517E-3</v>
      </c>
      <c r="C31" s="8">
        <v>0.10095743947025841</v>
      </c>
      <c r="D31" s="8">
        <v>0.71696779226973462</v>
      </c>
      <c r="E31" s="8">
        <v>0.15502962274412971</v>
      </c>
      <c r="F31" s="8">
        <v>4.894376064353027E-4</v>
      </c>
      <c r="G31" s="8">
        <v>2.5237433484146379E-2</v>
      </c>
      <c r="H31" s="8">
        <v>1</v>
      </c>
      <c r="I31" s="8">
        <f t="shared" si="0"/>
        <v>0.71696779226973462</v>
      </c>
      <c r="L31" s="6">
        <v>25</v>
      </c>
      <c r="M31" s="8">
        <v>4.894376064353027E-4</v>
      </c>
      <c r="N31" s="8">
        <v>1.3182744252955517E-3</v>
      </c>
      <c r="O31" s="8">
        <v>0.10095743947025841</v>
      </c>
      <c r="P31" s="8">
        <v>0.71696779226973462</v>
      </c>
      <c r="Q31" s="8">
        <v>0.15502962274412971</v>
      </c>
      <c r="R31" s="8">
        <v>2.5237433484146379E-2</v>
      </c>
      <c r="AE31" s="6">
        <v>25</v>
      </c>
      <c r="AF31" s="7">
        <v>390000</v>
      </c>
      <c r="AG31" s="7">
        <v>9146090</v>
      </c>
      <c r="AH31" s="7">
        <v>31389781</v>
      </c>
      <c r="AI31" s="7">
        <v>2596550</v>
      </c>
      <c r="AJ31" s="7">
        <v>165500</v>
      </c>
      <c r="AK31" s="7">
        <v>3085609</v>
      </c>
      <c r="AL31" s="7">
        <v>46773530</v>
      </c>
    </row>
    <row r="32" spans="1:38" x14ac:dyDescent="0.25">
      <c r="A32" s="6">
        <v>26</v>
      </c>
      <c r="B32" s="8">
        <v>0</v>
      </c>
      <c r="C32" s="8">
        <v>0.25496040348454513</v>
      </c>
      <c r="D32" s="8">
        <v>0.29236322409725252</v>
      </c>
      <c r="E32" s="8">
        <v>0.38422015119022507</v>
      </c>
      <c r="F32" s="8">
        <v>0</v>
      </c>
      <c r="G32" s="8">
        <v>6.8456221227977315E-2</v>
      </c>
      <c r="H32" s="8">
        <v>1</v>
      </c>
      <c r="I32" s="8">
        <f t="shared" si="0"/>
        <v>0.38422015119022507</v>
      </c>
      <c r="L32" s="6">
        <v>26</v>
      </c>
      <c r="M32" s="8">
        <v>0</v>
      </c>
      <c r="N32" s="8">
        <v>0</v>
      </c>
      <c r="O32" s="8">
        <v>0.25496040348454513</v>
      </c>
      <c r="P32" s="8">
        <v>0.29236322409725252</v>
      </c>
      <c r="Q32" s="8">
        <v>0.38422015119022507</v>
      </c>
      <c r="R32" s="8">
        <v>6.8456221227977315E-2</v>
      </c>
      <c r="AE32" s="6">
        <v>30</v>
      </c>
      <c r="AF32" s="7">
        <v>33726669</v>
      </c>
      <c r="AG32" s="7">
        <v>2605541424</v>
      </c>
      <c r="AH32" s="7">
        <v>18482454769</v>
      </c>
      <c r="AI32" s="7">
        <v>4004618103</v>
      </c>
      <c r="AJ32" s="7">
        <v>12521748</v>
      </c>
      <c r="AK32" s="7">
        <v>646489469</v>
      </c>
      <c r="AL32" s="7">
        <v>25785352182</v>
      </c>
    </row>
    <row r="33" spans="1:38" x14ac:dyDescent="0.25">
      <c r="A33" s="6">
        <v>27</v>
      </c>
      <c r="B33" s="8">
        <v>0</v>
      </c>
      <c r="C33" s="8">
        <v>0.11247069031778031</v>
      </c>
      <c r="D33" s="8">
        <v>0.69803790710719216</v>
      </c>
      <c r="E33" s="8">
        <v>0.18808042151746138</v>
      </c>
      <c r="F33" s="8">
        <v>0</v>
      </c>
      <c r="G33" s="8">
        <v>1.4109810575661538E-3</v>
      </c>
      <c r="H33" s="8">
        <v>1</v>
      </c>
      <c r="I33" s="8">
        <f t="shared" si="0"/>
        <v>0.69803790710719216</v>
      </c>
      <c r="L33" s="6">
        <v>27</v>
      </c>
      <c r="M33" s="8">
        <v>0</v>
      </c>
      <c r="N33" s="8">
        <v>0</v>
      </c>
      <c r="O33" s="8">
        <v>0.11247069031778031</v>
      </c>
      <c r="P33" s="8">
        <v>0.69803790710719216</v>
      </c>
      <c r="Q33" s="8">
        <v>0.18808042151746138</v>
      </c>
      <c r="R33" s="8">
        <v>1.4109810575661538E-3</v>
      </c>
      <c r="T33" s="4" t="s">
        <v>3</v>
      </c>
      <c r="U33" s="9" t="s">
        <v>13</v>
      </c>
      <c r="V33" s="9">
        <v>85</v>
      </c>
      <c r="W33" s="9">
        <v>90</v>
      </c>
      <c r="X33" s="9">
        <v>95</v>
      </c>
      <c r="Y33" s="9">
        <v>97</v>
      </c>
      <c r="Z33" s="9" t="s">
        <v>12</v>
      </c>
      <c r="AE33" s="6">
        <v>35</v>
      </c>
      <c r="AF33" s="7">
        <v>21764872</v>
      </c>
      <c r="AG33" s="7">
        <v>74690894</v>
      </c>
      <c r="AH33" s="7">
        <v>2532355367</v>
      </c>
      <c r="AI33" s="7">
        <v>19610300735</v>
      </c>
      <c r="AJ33" s="7">
        <v>11249037</v>
      </c>
      <c r="AK33" s="7">
        <v>115616153</v>
      </c>
      <c r="AL33" s="7">
        <v>22365977058</v>
      </c>
    </row>
    <row r="34" spans="1:38" x14ac:dyDescent="0.25">
      <c r="A34" s="6">
        <v>28</v>
      </c>
      <c r="B34" s="8">
        <v>0</v>
      </c>
      <c r="C34" s="8">
        <v>0</v>
      </c>
      <c r="D34" s="8">
        <v>0</v>
      </c>
      <c r="E34" s="8">
        <v>0.51016827619875815</v>
      </c>
      <c r="F34" s="8">
        <v>0</v>
      </c>
      <c r="G34" s="8">
        <v>0.48983172380124185</v>
      </c>
      <c r="H34" s="8">
        <v>1</v>
      </c>
      <c r="I34" s="8">
        <f t="shared" si="0"/>
        <v>0.51016827619875815</v>
      </c>
      <c r="L34" s="6">
        <v>28</v>
      </c>
      <c r="M34" s="8">
        <v>0</v>
      </c>
      <c r="N34" s="8">
        <v>0</v>
      </c>
      <c r="O34" s="8">
        <v>0</v>
      </c>
      <c r="P34" s="8">
        <v>0</v>
      </c>
      <c r="Q34" s="8">
        <v>0.51016827619875815</v>
      </c>
      <c r="R34" s="8">
        <v>0.48983172380124185</v>
      </c>
      <c r="T34" s="6">
        <v>6</v>
      </c>
      <c r="V34" s="10">
        <v>0.34</v>
      </c>
      <c r="W34" s="11"/>
      <c r="X34" s="10"/>
      <c r="Y34" s="10"/>
      <c r="Z34" s="10"/>
      <c r="AA34" s="10">
        <f>V34</f>
        <v>0.34</v>
      </c>
      <c r="AB34" s="6"/>
      <c r="AE34" s="6">
        <v>40</v>
      </c>
      <c r="AF34" s="7">
        <v>2631163</v>
      </c>
      <c r="AG34" s="7">
        <v>6466720</v>
      </c>
      <c r="AH34" s="7">
        <v>148883068</v>
      </c>
      <c r="AI34" s="7">
        <v>753924150</v>
      </c>
      <c r="AJ34" s="7">
        <v>499005</v>
      </c>
      <c r="AK34" s="7">
        <v>10474713822</v>
      </c>
      <c r="AL34" s="7">
        <v>11387117928</v>
      </c>
    </row>
    <row r="35" spans="1:38" x14ac:dyDescent="0.25">
      <c r="A35" s="6">
        <v>30</v>
      </c>
      <c r="B35" s="8">
        <v>9.8200629093145287E-4</v>
      </c>
      <c r="C35" s="8">
        <v>3.2244016746305138E-3</v>
      </c>
      <c r="D35" s="8">
        <v>0.11301026562233536</v>
      </c>
      <c r="E35" s="8">
        <v>0.87762963671588468</v>
      </c>
      <c r="F35" s="8">
        <v>5.0754376597853088E-4</v>
      </c>
      <c r="G35" s="8">
        <v>4.6461459302394219E-3</v>
      </c>
      <c r="H35" s="8">
        <v>1</v>
      </c>
      <c r="I35" s="8">
        <f t="shared" si="0"/>
        <v>0.87762963671588468</v>
      </c>
      <c r="L35" s="6">
        <v>30</v>
      </c>
      <c r="M35" s="8">
        <v>5.0754376597853088E-4</v>
      </c>
      <c r="N35" s="8">
        <v>9.8200629093145287E-4</v>
      </c>
      <c r="O35" s="8">
        <v>3.2244016746305138E-3</v>
      </c>
      <c r="P35" s="8">
        <v>0.11301026562233536</v>
      </c>
      <c r="Q35" s="8">
        <v>0.87762963671588468</v>
      </c>
      <c r="R35" s="8">
        <v>4.6461459302394219E-3</v>
      </c>
      <c r="T35" s="6">
        <v>12</v>
      </c>
      <c r="V35" s="10">
        <v>0.38</v>
      </c>
      <c r="W35" s="10">
        <v>0.44</v>
      </c>
      <c r="X35" s="10"/>
      <c r="Y35" s="10"/>
      <c r="Z35" s="10"/>
      <c r="AA35" s="10">
        <f>(V35*V49+W35*W49)/(V49+W49)</f>
        <v>0.41612877586697339</v>
      </c>
      <c r="AB35" s="6"/>
      <c r="AE35" s="6" t="s">
        <v>11</v>
      </c>
      <c r="AF35" s="7"/>
      <c r="AG35" s="7"/>
      <c r="AH35" s="7">
        <v>202500</v>
      </c>
      <c r="AI35" s="7">
        <v>193100</v>
      </c>
      <c r="AJ35" s="7"/>
      <c r="AK35" s="7">
        <v>11817474</v>
      </c>
      <c r="AL35" s="7">
        <v>12213074</v>
      </c>
    </row>
    <row r="36" spans="1:38" x14ac:dyDescent="0.25">
      <c r="A36" s="6">
        <v>31</v>
      </c>
      <c r="B36" s="8">
        <v>0</v>
      </c>
      <c r="C36" s="8">
        <v>0</v>
      </c>
      <c r="D36" s="8">
        <v>0</v>
      </c>
      <c r="E36" s="8">
        <v>0.76800214151869373</v>
      </c>
      <c r="F36" s="8">
        <v>0</v>
      </c>
      <c r="G36" s="8">
        <v>0.23199785848130633</v>
      </c>
      <c r="H36" s="8">
        <v>1</v>
      </c>
      <c r="I36" s="8">
        <f t="shared" si="0"/>
        <v>0.76800214151869373</v>
      </c>
      <c r="L36" s="6">
        <v>31</v>
      </c>
      <c r="M36" s="8">
        <v>0</v>
      </c>
      <c r="N36" s="8">
        <v>0</v>
      </c>
      <c r="O36" s="8">
        <v>0</v>
      </c>
      <c r="P36" s="8">
        <v>0</v>
      </c>
      <c r="Q36" s="8">
        <v>0.76800214151869373</v>
      </c>
      <c r="R36" s="8">
        <v>0.23199785848130633</v>
      </c>
      <c r="T36" s="6">
        <v>17</v>
      </c>
      <c r="V36" s="10">
        <v>0.43</v>
      </c>
      <c r="W36" s="10">
        <v>0.49</v>
      </c>
      <c r="X36" s="10">
        <v>0.72</v>
      </c>
      <c r="Y36" s="10"/>
      <c r="Z36" s="10"/>
      <c r="AA36" s="10">
        <f>(V36*V50+W36*W50+X36*X50)/(V50+W50+X50)</f>
        <v>0.50865730114330887</v>
      </c>
      <c r="AB36" s="6"/>
      <c r="AE36" s="6" t="s">
        <v>15</v>
      </c>
      <c r="AF36" s="7">
        <v>5343753994</v>
      </c>
      <c r="AG36" s="7">
        <v>258973315</v>
      </c>
      <c r="AH36" s="7">
        <v>968908129</v>
      </c>
      <c r="AI36" s="7">
        <v>920084712</v>
      </c>
      <c r="AJ36" s="7">
        <v>5047080668</v>
      </c>
      <c r="AK36" s="7">
        <v>1196380109</v>
      </c>
      <c r="AL36" s="7">
        <v>13735180927</v>
      </c>
    </row>
    <row r="37" spans="1:38" x14ac:dyDescent="0.25">
      <c r="A37" s="6">
        <v>32</v>
      </c>
      <c r="B37" s="8">
        <v>0</v>
      </c>
      <c r="C37" s="8">
        <v>1.5499500534087484E-2</v>
      </c>
      <c r="D37" s="8">
        <v>0.13632730270658711</v>
      </c>
      <c r="E37" s="8">
        <v>0.78718496061219212</v>
      </c>
      <c r="F37" s="8">
        <v>0</v>
      </c>
      <c r="G37" s="8">
        <v>6.0988236147133244E-2</v>
      </c>
      <c r="H37" s="8">
        <v>1</v>
      </c>
      <c r="I37" s="8">
        <f t="shared" si="0"/>
        <v>0.78718496061219212</v>
      </c>
      <c r="L37" s="6">
        <v>32</v>
      </c>
      <c r="M37" s="8">
        <v>0</v>
      </c>
      <c r="N37" s="8">
        <v>0</v>
      </c>
      <c r="O37" s="8">
        <v>1.5499500534087484E-2</v>
      </c>
      <c r="P37" s="8">
        <v>0.13632730270658711</v>
      </c>
      <c r="Q37" s="8">
        <v>0.78718496061219212</v>
      </c>
      <c r="R37" s="8">
        <v>6.0988236147133244E-2</v>
      </c>
      <c r="T37" s="6">
        <v>18</v>
      </c>
      <c r="V37" s="10"/>
      <c r="W37" s="10">
        <v>0.5</v>
      </c>
      <c r="X37" s="10">
        <v>0.74</v>
      </c>
      <c r="Y37" s="10"/>
      <c r="Z37" s="10"/>
      <c r="AA37" s="10">
        <f>(W37*W51+X37*X51)/(W51+X51)</f>
        <v>0.69976429636320026</v>
      </c>
      <c r="AB37" s="6"/>
      <c r="AE37" s="6" t="s">
        <v>4</v>
      </c>
      <c r="AF37" s="7">
        <v>95344249868</v>
      </c>
      <c r="AG37" s="7">
        <v>6901242021</v>
      </c>
      <c r="AH37" s="7">
        <v>26167086149</v>
      </c>
      <c r="AI37" s="7">
        <v>26795986685</v>
      </c>
      <c r="AJ37" s="7">
        <v>79836645903</v>
      </c>
      <c r="AK37" s="7">
        <v>31823908042</v>
      </c>
      <c r="AL37" s="7">
        <v>266869118668</v>
      </c>
    </row>
    <row r="38" spans="1:38" x14ac:dyDescent="0.25">
      <c r="A38" s="6">
        <v>33</v>
      </c>
      <c r="B38" s="8">
        <v>0</v>
      </c>
      <c r="C38" s="8">
        <v>0</v>
      </c>
      <c r="D38" s="8">
        <v>0.30276763091766618</v>
      </c>
      <c r="E38" s="8">
        <v>0.41933275174736462</v>
      </c>
      <c r="F38" s="8">
        <v>0</v>
      </c>
      <c r="G38" s="8">
        <v>0.27789961733496921</v>
      </c>
      <c r="H38" s="8">
        <v>1</v>
      </c>
      <c r="I38" s="8">
        <f t="shared" si="0"/>
        <v>0.41933275174736462</v>
      </c>
      <c r="L38" s="6">
        <v>33</v>
      </c>
      <c r="M38" s="8">
        <v>0</v>
      </c>
      <c r="N38" s="8">
        <v>0</v>
      </c>
      <c r="O38" s="8">
        <v>0</v>
      </c>
      <c r="P38" s="8">
        <v>0.30276763091766618</v>
      </c>
      <c r="Q38" s="8">
        <v>0.41933275174736462</v>
      </c>
      <c r="R38" s="8">
        <v>0.27789961733496921</v>
      </c>
      <c r="T38" s="6">
        <v>20</v>
      </c>
      <c r="V38" s="10"/>
      <c r="W38" s="10"/>
      <c r="X38" s="10">
        <v>0.74</v>
      </c>
      <c r="Y38" s="10"/>
      <c r="Z38" s="10"/>
      <c r="AA38" s="10">
        <f>X38</f>
        <v>0.74</v>
      </c>
      <c r="AB38" s="6"/>
    </row>
    <row r="39" spans="1:38" x14ac:dyDescent="0.25">
      <c r="A39" s="6">
        <v>34</v>
      </c>
      <c r="B39" s="8">
        <v>0</v>
      </c>
      <c r="C39" s="8">
        <v>0.26322815967959184</v>
      </c>
      <c r="D39" s="8">
        <v>0.33149368838878096</v>
      </c>
      <c r="E39" s="8">
        <v>0</v>
      </c>
      <c r="F39" s="8">
        <v>0</v>
      </c>
      <c r="G39" s="8">
        <v>0.4052781519316272</v>
      </c>
      <c r="H39" s="8">
        <v>1</v>
      </c>
      <c r="I39" s="8">
        <f t="shared" si="0"/>
        <v>0.4052781519316272</v>
      </c>
      <c r="L39" s="6">
        <v>34</v>
      </c>
      <c r="M39" s="8">
        <v>0</v>
      </c>
      <c r="N39" s="8">
        <v>0</v>
      </c>
      <c r="O39" s="8">
        <v>0.26322815967959184</v>
      </c>
      <c r="P39" s="8">
        <v>0.33149368838878096</v>
      </c>
      <c r="Q39" s="8">
        <v>0</v>
      </c>
      <c r="R39" s="8">
        <v>0.4052781519316272</v>
      </c>
      <c r="T39" s="6">
        <v>22</v>
      </c>
      <c r="V39" s="10"/>
      <c r="W39" s="10"/>
      <c r="X39" s="10">
        <v>0.8</v>
      </c>
      <c r="Y39" s="10"/>
      <c r="Z39" s="10"/>
      <c r="AA39" s="10">
        <f>X39</f>
        <v>0.8</v>
      </c>
      <c r="AB39" s="6"/>
    </row>
    <row r="40" spans="1:38" x14ac:dyDescent="0.25">
      <c r="A40" s="6">
        <v>35</v>
      </c>
      <c r="B40" s="8">
        <v>2.3233324036005468E-4</v>
      </c>
      <c r="C40" s="8">
        <v>5.5923146577202684E-4</v>
      </c>
      <c r="D40" s="8">
        <v>1.3060829792510213E-2</v>
      </c>
      <c r="E40" s="8">
        <v>6.6099625826240155E-2</v>
      </c>
      <c r="F40" s="8">
        <v>4.4062434978702985E-5</v>
      </c>
      <c r="G40" s="8">
        <v>0.92000391724013886</v>
      </c>
      <c r="H40" s="8">
        <v>1</v>
      </c>
      <c r="I40" s="8">
        <f t="shared" si="0"/>
        <v>0.92000391724013886</v>
      </c>
      <c r="L40" s="6">
        <v>35</v>
      </c>
      <c r="M40" s="8">
        <v>4.4062434978702985E-5</v>
      </c>
      <c r="N40" s="8">
        <v>2.3233324036005468E-4</v>
      </c>
      <c r="O40" s="8">
        <v>5.5923146577202684E-4</v>
      </c>
      <c r="P40" s="8">
        <v>1.3060829792510213E-2</v>
      </c>
      <c r="Q40" s="8">
        <v>6.6099625826240155E-2</v>
      </c>
      <c r="R40" s="8">
        <v>0.92000391724013886</v>
      </c>
      <c r="T40" s="6">
        <v>25</v>
      </c>
      <c r="V40" s="10"/>
      <c r="W40" s="10">
        <v>0.62</v>
      </c>
      <c r="X40" s="10">
        <v>0.84</v>
      </c>
      <c r="Y40" s="10"/>
      <c r="Z40" s="10"/>
      <c r="AA40" s="10">
        <f>(W40*W54+X40*X54)/(W54+X54)</f>
        <v>0.79036150080505241</v>
      </c>
      <c r="AB40" s="6"/>
    </row>
    <row r="41" spans="1:38" x14ac:dyDescent="0.25">
      <c r="A41" s="6">
        <v>36</v>
      </c>
      <c r="B41" s="8">
        <v>0</v>
      </c>
      <c r="C41" s="8">
        <v>0.18725094011337487</v>
      </c>
      <c r="D41" s="8">
        <v>0</v>
      </c>
      <c r="E41" s="8">
        <v>0.21994443509008252</v>
      </c>
      <c r="F41" s="8">
        <v>0</v>
      </c>
      <c r="G41" s="8">
        <v>0.59280462479654261</v>
      </c>
      <c r="H41" s="8">
        <v>1</v>
      </c>
      <c r="I41" s="8">
        <f t="shared" si="0"/>
        <v>0.59280462479654261</v>
      </c>
      <c r="L41" s="6">
        <v>36</v>
      </c>
      <c r="M41" s="8">
        <v>0</v>
      </c>
      <c r="N41" s="8">
        <v>0</v>
      </c>
      <c r="O41" s="8">
        <v>0.18725094011337487</v>
      </c>
      <c r="P41" s="8">
        <v>0</v>
      </c>
      <c r="Q41" s="8">
        <v>0.21994443509008252</v>
      </c>
      <c r="R41" s="8">
        <v>0.59280462479654261</v>
      </c>
      <c r="T41" s="6">
        <v>30</v>
      </c>
      <c r="V41" s="10"/>
      <c r="W41" s="10"/>
      <c r="X41" s="10">
        <v>0.88</v>
      </c>
      <c r="Y41" s="10">
        <v>0.94</v>
      </c>
      <c r="Z41" s="10"/>
      <c r="AA41" s="10">
        <f>(Y41*Y55+X41*X55)/(Y55+X55)</f>
        <v>0.89094914031755623</v>
      </c>
      <c r="AB41" s="6"/>
    </row>
    <row r="42" spans="1:38" x14ac:dyDescent="0.25">
      <c r="A42" s="6">
        <v>37</v>
      </c>
      <c r="B42" s="8">
        <v>0</v>
      </c>
      <c r="C42" s="8">
        <v>0</v>
      </c>
      <c r="D42" s="8">
        <v>1.6000068370014959E-2</v>
      </c>
      <c r="E42" s="8">
        <v>8.5664659001415677E-2</v>
      </c>
      <c r="F42" s="8">
        <v>0</v>
      </c>
      <c r="G42" s="8">
        <v>0.89833527262856938</v>
      </c>
      <c r="H42" s="8">
        <v>1</v>
      </c>
      <c r="I42" s="8">
        <f t="shared" si="0"/>
        <v>0.89833527262856938</v>
      </c>
      <c r="L42" s="6">
        <v>37</v>
      </c>
      <c r="M42" s="8">
        <v>0</v>
      </c>
      <c r="N42" s="8">
        <v>0</v>
      </c>
      <c r="O42" s="8">
        <v>0</v>
      </c>
      <c r="P42" s="8">
        <v>1.6000068370014959E-2</v>
      </c>
      <c r="Q42" s="8">
        <v>8.5664659001415677E-2</v>
      </c>
      <c r="R42" s="8">
        <v>0.89833527262856938</v>
      </c>
      <c r="T42" s="6">
        <v>35</v>
      </c>
      <c r="V42" s="10"/>
      <c r="W42" s="10"/>
      <c r="X42" s="10">
        <v>0.94</v>
      </c>
      <c r="Y42" s="10">
        <v>0.98</v>
      </c>
      <c r="Z42" s="10"/>
      <c r="AA42" s="10">
        <f>Y42</f>
        <v>0.98</v>
      </c>
      <c r="AB42" s="6"/>
    </row>
    <row r="43" spans="1:38" x14ac:dyDescent="0.25">
      <c r="A43" s="6">
        <v>38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1</v>
      </c>
      <c r="H43" s="8">
        <v>1</v>
      </c>
      <c r="I43" s="8">
        <f t="shared" si="0"/>
        <v>1</v>
      </c>
      <c r="L43" s="6">
        <v>38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1</v>
      </c>
      <c r="T43" s="6">
        <v>40</v>
      </c>
      <c r="V43" s="10"/>
      <c r="W43" s="10"/>
      <c r="X43" s="10"/>
      <c r="Y43" s="10">
        <v>1.1000000000000001</v>
      </c>
      <c r="Z43" s="10"/>
      <c r="AB43" s="6"/>
    </row>
    <row r="44" spans="1:38" x14ac:dyDescent="0.25">
      <c r="A44" s="6">
        <v>40</v>
      </c>
      <c r="B44" s="8">
        <v>0</v>
      </c>
      <c r="C44" s="8">
        <v>0</v>
      </c>
      <c r="D44" s="8">
        <v>1.6887561531185615E-2</v>
      </c>
      <c r="E44" s="8">
        <v>1.6103645094676256E-2</v>
      </c>
      <c r="F44" s="8">
        <v>0</v>
      </c>
      <c r="G44" s="8">
        <v>0.96700879337413814</v>
      </c>
      <c r="H44" s="8">
        <v>1</v>
      </c>
      <c r="I44" s="8">
        <f t="shared" si="0"/>
        <v>0.96700879337413814</v>
      </c>
      <c r="L44" s="6">
        <v>40</v>
      </c>
      <c r="M44" s="8">
        <v>0</v>
      </c>
      <c r="N44" s="8">
        <v>0</v>
      </c>
      <c r="O44" s="8">
        <v>0</v>
      </c>
      <c r="P44" s="8">
        <v>1.6887561531185615E-2</v>
      </c>
      <c r="Q44" s="8">
        <v>1.6103645094676256E-2</v>
      </c>
      <c r="R44" s="8">
        <v>0.96700879337413814</v>
      </c>
      <c r="T44" s="6" t="s">
        <v>16</v>
      </c>
      <c r="U44" s="10"/>
      <c r="V44" s="10"/>
      <c r="W44" s="10"/>
      <c r="X44" s="10"/>
      <c r="Y44" s="10"/>
      <c r="Z44" s="10"/>
      <c r="AB44" s="6"/>
    </row>
    <row r="45" spans="1:38" x14ac:dyDescent="0.25">
      <c r="A45" s="6">
        <v>44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1</v>
      </c>
      <c r="H45" s="8">
        <v>1</v>
      </c>
      <c r="I45" s="8">
        <f t="shared" si="0"/>
        <v>1</v>
      </c>
      <c r="L45" s="6">
        <v>44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1</v>
      </c>
    </row>
    <row r="46" spans="1:38" x14ac:dyDescent="0.25">
      <c r="A46" s="6">
        <v>50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1</v>
      </c>
      <c r="H46" s="8">
        <v>1</v>
      </c>
      <c r="I46" s="8">
        <f t="shared" si="0"/>
        <v>1</v>
      </c>
      <c r="L46" s="6">
        <v>50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1</v>
      </c>
    </row>
    <row r="47" spans="1:38" x14ac:dyDescent="0.25">
      <c r="A47" s="6" t="s">
        <v>4</v>
      </c>
      <c r="B47" s="8">
        <v>0.35726969963360033</v>
      </c>
      <c r="C47" s="8">
        <v>2.5860024777110042E-2</v>
      </c>
      <c r="D47" s="8">
        <v>9.8052132369625386E-2</v>
      </c>
      <c r="E47" s="8">
        <v>0.10040872026986268</v>
      </c>
      <c r="F47" s="8">
        <v>0.29916030112993786</v>
      </c>
      <c r="G47" s="8">
        <v>0.11924912181986372</v>
      </c>
      <c r="H47" s="8">
        <v>1</v>
      </c>
      <c r="I47" s="8"/>
      <c r="T47" s="4" t="s">
        <v>3</v>
      </c>
      <c r="U47" s="9" t="s">
        <v>13</v>
      </c>
      <c r="V47" s="9">
        <v>85</v>
      </c>
      <c r="W47" s="9">
        <v>90</v>
      </c>
      <c r="X47" s="9">
        <v>95</v>
      </c>
      <c r="Y47" s="9">
        <v>97</v>
      </c>
      <c r="Z47" s="9" t="s">
        <v>12</v>
      </c>
    </row>
    <row r="48" spans="1:38" x14ac:dyDescent="0.25">
      <c r="T48" s="6">
        <v>6</v>
      </c>
      <c r="U48" s="12"/>
      <c r="V48" s="13">
        <v>0.53616902391440913</v>
      </c>
      <c r="W48" s="12"/>
      <c r="X48" s="12"/>
      <c r="Y48" s="12"/>
      <c r="Z48" s="12"/>
    </row>
    <row r="49" spans="20:29" x14ac:dyDescent="0.25">
      <c r="T49" s="6">
        <v>12</v>
      </c>
      <c r="U49" s="12"/>
      <c r="V49" s="12">
        <v>0.34001690926013811</v>
      </c>
      <c r="W49" s="12">
        <v>0.51461100767952106</v>
      </c>
      <c r="X49" s="12"/>
      <c r="Y49" s="12"/>
      <c r="Z49" s="12"/>
    </row>
    <row r="50" spans="20:29" x14ac:dyDescent="0.25">
      <c r="T50" s="6">
        <v>17</v>
      </c>
      <c r="U50" s="12"/>
      <c r="V50" s="12">
        <v>0.16953396436567778</v>
      </c>
      <c r="W50" s="12">
        <v>0.53337941446300563</v>
      </c>
      <c r="X50" s="12">
        <v>0.11018362391689963</v>
      </c>
      <c r="Y50" s="12"/>
      <c r="Z50" s="12"/>
    </row>
    <row r="51" spans="20:29" x14ac:dyDescent="0.25">
      <c r="T51" s="6">
        <v>18</v>
      </c>
      <c r="U51" s="12"/>
      <c r="V51" s="12"/>
      <c r="W51" s="12">
        <v>0.16666927285060329</v>
      </c>
      <c r="X51" s="12">
        <v>0.82748820094985576</v>
      </c>
      <c r="Y51" s="12"/>
      <c r="Z51" s="12"/>
    </row>
    <row r="52" spans="20:29" x14ac:dyDescent="0.25">
      <c r="T52" s="6">
        <v>20</v>
      </c>
      <c r="U52" s="12"/>
      <c r="V52" s="12"/>
      <c r="W52" s="12"/>
      <c r="X52" s="12">
        <v>2.2124611981376836E-2</v>
      </c>
      <c r="Y52" s="12"/>
      <c r="Z52" s="12"/>
    </row>
    <row r="53" spans="20:29" x14ac:dyDescent="0.25">
      <c r="T53" s="6">
        <v>22</v>
      </c>
      <c r="U53" s="12"/>
      <c r="V53" s="12"/>
      <c r="W53" s="12"/>
      <c r="X53" s="12">
        <v>1.7682532413504887E-3</v>
      </c>
      <c r="Y53" s="12"/>
      <c r="Z53" s="12"/>
    </row>
    <row r="54" spans="20:29" x14ac:dyDescent="0.25">
      <c r="T54" s="6">
        <v>25</v>
      </c>
      <c r="U54" s="12"/>
      <c r="V54" s="12"/>
      <c r="W54" s="12">
        <v>0.19553987052078386</v>
      </c>
      <c r="X54" s="12">
        <v>0.67110139003834002</v>
      </c>
      <c r="Y54" s="12"/>
      <c r="Z54" s="12"/>
    </row>
    <row r="55" spans="20:29" x14ac:dyDescent="0.25">
      <c r="T55" s="6">
        <v>30</v>
      </c>
      <c r="U55" s="12"/>
      <c r="V55" s="12"/>
      <c r="W55" s="12"/>
      <c r="X55" s="12">
        <v>0.71678116469171438</v>
      </c>
      <c r="Y55" s="12">
        <v>0.16</v>
      </c>
      <c r="Z55" s="12"/>
    </row>
    <row r="56" spans="20:29" x14ac:dyDescent="0.25">
      <c r="T56" s="6">
        <v>35</v>
      </c>
      <c r="U56" s="12"/>
      <c r="V56" s="12"/>
      <c r="W56" s="12"/>
      <c r="X56" s="12"/>
      <c r="Y56" s="12">
        <v>0.87679159663564388</v>
      </c>
      <c r="Z56" s="12"/>
    </row>
    <row r="57" spans="20:29" x14ac:dyDescent="0.25">
      <c r="T57" s="6">
        <v>40</v>
      </c>
      <c r="U57" s="12"/>
      <c r="V57" s="12"/>
      <c r="W57" s="12"/>
      <c r="X57" s="12"/>
      <c r="Y57" s="12"/>
      <c r="Z57" s="12"/>
    </row>
    <row r="58" spans="20:29" x14ac:dyDescent="0.25">
      <c r="T58" s="6" t="s">
        <v>16</v>
      </c>
      <c r="U58" s="12"/>
      <c r="V58" s="12"/>
      <c r="W58" s="12"/>
      <c r="X58" s="12"/>
      <c r="Y58" s="12"/>
      <c r="Z58" s="12"/>
    </row>
    <row r="62" spans="20:29" x14ac:dyDescent="0.25">
      <c r="AA62">
        <v>0</v>
      </c>
      <c r="AB62" s="6">
        <v>6</v>
      </c>
      <c r="AC62" s="10">
        <v>0.34</v>
      </c>
    </row>
    <row r="63" spans="20:29" x14ac:dyDescent="0.25">
      <c r="AA63">
        <f>AB62</f>
        <v>6</v>
      </c>
      <c r="AB63" s="6">
        <v>12</v>
      </c>
      <c r="AC63" s="10">
        <v>0.41612877586697339</v>
      </c>
    </row>
    <row r="64" spans="20:29" x14ac:dyDescent="0.25">
      <c r="AA64">
        <f t="shared" ref="AA64:AA70" si="2">AB63</f>
        <v>12</v>
      </c>
      <c r="AB64" s="6">
        <v>17</v>
      </c>
      <c r="AC64" s="10">
        <v>0.50865730114330887</v>
      </c>
    </row>
    <row r="65" spans="27:29" x14ac:dyDescent="0.25">
      <c r="AA65">
        <f t="shared" si="2"/>
        <v>17</v>
      </c>
      <c r="AB65" s="6">
        <v>18</v>
      </c>
      <c r="AC65" s="10">
        <v>0.69976429636320026</v>
      </c>
    </row>
    <row r="66" spans="27:29" x14ac:dyDescent="0.25">
      <c r="AA66">
        <f t="shared" si="2"/>
        <v>18</v>
      </c>
      <c r="AB66" s="6">
        <v>20</v>
      </c>
      <c r="AC66" s="10">
        <v>0.8</v>
      </c>
    </row>
    <row r="67" spans="27:29" x14ac:dyDescent="0.25">
      <c r="AA67">
        <f t="shared" si="2"/>
        <v>20</v>
      </c>
      <c r="AB67" s="6">
        <v>22</v>
      </c>
      <c r="AC67" s="10">
        <v>0.84</v>
      </c>
    </row>
    <row r="68" spans="27:29" x14ac:dyDescent="0.25">
      <c r="AA68">
        <f t="shared" si="2"/>
        <v>22</v>
      </c>
      <c r="AB68" s="6">
        <v>25</v>
      </c>
      <c r="AC68" s="10">
        <v>0.88</v>
      </c>
    </row>
    <row r="69" spans="27:29" x14ac:dyDescent="0.25">
      <c r="AA69">
        <f t="shared" si="2"/>
        <v>25</v>
      </c>
      <c r="AB69" s="6">
        <v>30</v>
      </c>
      <c r="AC69" s="10">
        <v>0.94</v>
      </c>
    </row>
    <row r="70" spans="27:29" x14ac:dyDescent="0.25">
      <c r="AA70">
        <f t="shared" si="2"/>
        <v>30</v>
      </c>
      <c r="AB70" s="6">
        <v>35</v>
      </c>
      <c r="AC70" s="10">
        <v>0.98</v>
      </c>
    </row>
    <row r="71" spans="27:29" x14ac:dyDescent="0.25">
      <c r="AB71" s="6">
        <v>40</v>
      </c>
    </row>
  </sheetData>
  <conditionalFormatting pivot="1" sqref="B5:H47">
    <cfRule type="cellIs" dxfId="28" priority="34" operator="equal">
      <formula>0</formula>
    </cfRule>
  </conditionalFormatting>
  <conditionalFormatting pivot="1" sqref="B6:G6">
    <cfRule type="cellIs" dxfId="27" priority="31" operator="equal">
      <formula>$I6</formula>
    </cfRule>
  </conditionalFormatting>
  <conditionalFormatting pivot="1" sqref="B5:G5">
    <cfRule type="cellIs" dxfId="26" priority="30" operator="equal">
      <formula>$I5</formula>
    </cfRule>
  </conditionalFormatting>
  <conditionalFormatting pivot="1" sqref="B7:G46">
    <cfRule type="cellIs" dxfId="25" priority="29" operator="equal">
      <formula>$I7</formula>
    </cfRule>
  </conditionalFormatting>
  <conditionalFormatting sqref="M5:R46 U6:Z16 U30:Z30 V26:V29 W25:W28 X26:Z29 Y40:Z41 V35:Y37 V38:W38 Y38:Y39 X38:X42">
    <cfRule type="cellIs" dxfId="24" priority="28" operator="equal">
      <formula>0</formula>
    </cfRule>
  </conditionalFormatting>
  <conditionalFormatting sqref="M5:R46">
    <cfRule type="cellIs" dxfId="23" priority="27" operator="equal">
      <formula>$I5</formula>
    </cfRule>
  </conditionalFormatting>
  <conditionalFormatting pivot="1" sqref="AF6:AK6">
    <cfRule type="cellIs" dxfId="22" priority="24" operator="equal">
      <formula>0</formula>
    </cfRule>
  </conditionalFormatting>
  <conditionalFormatting pivot="1" sqref="AF6:AK6">
    <cfRule type="cellIs" dxfId="21" priority="23" operator="equal">
      <formula>$AM6</formula>
    </cfRule>
  </conditionalFormatting>
  <conditionalFormatting pivot="1" sqref="AF7:AK16">
    <cfRule type="cellIs" dxfId="20" priority="22" operator="equal">
      <formula>0</formula>
    </cfRule>
  </conditionalFormatting>
  <conditionalFormatting pivot="1" sqref="AF7:AK16">
    <cfRule type="cellIs" dxfId="19" priority="21" operator="equal">
      <formula>$AM7</formula>
    </cfRule>
  </conditionalFormatting>
  <conditionalFormatting sqref="U6:Z16 U30:Z30 X26:Z29 V25:V29 X25:Y25 Z21:Z25 V39:V43 Z35:Z39 X43:Z43 Y40:Z42 V35:Y37 Y38:Y39 V38:X38">
    <cfRule type="cellIs" dxfId="18" priority="17" operator="equal">
      <formula>$AM6</formula>
    </cfRule>
  </conditionalFormatting>
  <conditionalFormatting pivot="1" sqref="AF26:AK26">
    <cfRule type="cellIs" dxfId="17" priority="16" operator="equal">
      <formula>0</formula>
    </cfRule>
  </conditionalFormatting>
  <conditionalFormatting pivot="1" sqref="AF26:AK26">
    <cfRule type="cellIs" dxfId="16" priority="15" operator="equal">
      <formula>$AM26</formula>
    </cfRule>
  </conditionalFormatting>
  <conditionalFormatting pivot="1" sqref="AF27:AK36">
    <cfRule type="cellIs" dxfId="15" priority="14" operator="equal">
      <formula>0</formula>
    </cfRule>
  </conditionalFormatting>
  <conditionalFormatting pivot="1" sqref="AF27:AK36">
    <cfRule type="cellIs" dxfId="14" priority="13" operator="equal">
      <formula>$AM27</formula>
    </cfRule>
  </conditionalFormatting>
  <conditionalFormatting pivot="1" sqref="AF26:AK3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{988D3E68-E131-45F8-A696-B75812778486}</x14:id>
        </ext>
      </extLst>
    </cfRule>
  </conditionalFormatting>
  <conditionalFormatting pivot="1" sqref="AF5:AK5">
    <cfRule type="cellIs" dxfId="13" priority="11" operator="equal">
      <formula>0</formula>
    </cfRule>
  </conditionalFormatting>
  <conditionalFormatting pivot="1" sqref="AF5:AK5">
    <cfRule type="cellIs" dxfId="12" priority="10" operator="equal">
      <formula>$AM5</formula>
    </cfRule>
  </conditionalFormatting>
  <conditionalFormatting sqref="V21:Y24 V25 X25:Y25 Z21:Z25">
    <cfRule type="cellIs" dxfId="11" priority="9" operator="equal">
      <formula>0</formula>
    </cfRule>
  </conditionalFormatting>
  <conditionalFormatting sqref="V21:Y24">
    <cfRule type="cellIs" dxfId="10" priority="8" operator="equal">
      <formula>$AM21</formula>
    </cfRule>
  </conditionalFormatting>
  <conditionalFormatting sqref="W25:W28">
    <cfRule type="cellIs" dxfId="9" priority="39" operator="equal">
      <formula>$AM26</formula>
    </cfRule>
  </conditionalFormatting>
  <conditionalFormatting sqref="U44:Z44 V40:V43 W39:W42 X43:Z43 Y42:Z42">
    <cfRule type="cellIs" dxfId="8" priority="6" operator="equal">
      <formula>0</formula>
    </cfRule>
  </conditionalFormatting>
  <conditionalFormatting sqref="U44:Z44">
    <cfRule type="cellIs" dxfId="7" priority="5" operator="equal">
      <formula>$AM44</formula>
    </cfRule>
  </conditionalFormatting>
  <conditionalFormatting sqref="V39 Z35:Z39">
    <cfRule type="cellIs" dxfId="6" priority="4" operator="equal">
      <formula>0</formula>
    </cfRule>
  </conditionalFormatting>
  <conditionalFormatting sqref="W39:W42">
    <cfRule type="cellIs" dxfId="5" priority="7" operator="equal">
      <formula>$AM40</formula>
    </cfRule>
  </conditionalFormatting>
  <conditionalFormatting sqref="U49:Z58">
    <cfRule type="cellIs" dxfId="4" priority="2" operator="equal">
      <formula>0</formula>
    </cfRule>
  </conditionalFormatting>
  <conditionalFormatting sqref="U49:Z58">
    <cfRule type="cellIs" dxfId="3" priority="1" operator="equal">
      <formula>$AM49</formula>
    </cfRule>
  </conditionalFormatting>
  <conditionalFormatting sqref="X39:X42">
    <cfRule type="cellIs" dxfId="2" priority="41" operator="equal">
      <formula>$AM38</formula>
    </cfRule>
  </conditionalFormatting>
  <pageMargins left="0.7" right="0.7" top="0.75" bottom="0.75" header="0.3" footer="0.3"/>
  <pageSetup scale="20" orientation="portrait"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988D3E68-E131-45F8-A696-B758127784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AF26:AK34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6"/>
  <sheetViews>
    <sheetView workbookViewId="0">
      <selection activeCell="G1" sqref="G1:J67"/>
    </sheetView>
  </sheetViews>
  <sheetFormatPr defaultRowHeight="15" x14ac:dyDescent="0.25"/>
  <sheetData>
    <row r="1" spans="1:10" x14ac:dyDescent="0.25">
      <c r="A1" t="s">
        <v>1</v>
      </c>
      <c r="B1" t="s">
        <v>8</v>
      </c>
      <c r="C1" t="s">
        <v>2</v>
      </c>
      <c r="D1" t="s">
        <v>9</v>
      </c>
      <c r="G1" t="s">
        <v>8</v>
      </c>
      <c r="H1" t="s">
        <v>2</v>
      </c>
      <c r="I1" t="s">
        <v>9</v>
      </c>
      <c r="J1" t="s">
        <v>14</v>
      </c>
    </row>
    <row r="2" spans="1:10" x14ac:dyDescent="0.25">
      <c r="A2">
        <v>-999</v>
      </c>
      <c r="B2">
        <v>80.033595715329</v>
      </c>
      <c r="C2">
        <v>5343753994</v>
      </c>
      <c r="D2">
        <v>85</v>
      </c>
      <c r="G2">
        <v>83.063583815028906</v>
      </c>
      <c r="H2">
        <v>42278559</v>
      </c>
      <c r="I2">
        <v>85</v>
      </c>
      <c r="J2">
        <v>12</v>
      </c>
    </row>
    <row r="3" spans="1:10" x14ac:dyDescent="0.25">
      <c r="A3">
        <v>-999</v>
      </c>
      <c r="B3">
        <v>86.510156249999994</v>
      </c>
      <c r="C3">
        <v>258973315</v>
      </c>
      <c r="D3">
        <v>90</v>
      </c>
      <c r="G3">
        <v>85.034642032332499</v>
      </c>
      <c r="H3">
        <v>63988029</v>
      </c>
      <c r="I3">
        <v>90</v>
      </c>
      <c r="J3">
        <v>12</v>
      </c>
    </row>
    <row r="4" spans="1:10" x14ac:dyDescent="0.25">
      <c r="A4">
        <v>-999</v>
      </c>
      <c r="B4">
        <v>90.312759429705807</v>
      </c>
      <c r="C4">
        <v>968908129</v>
      </c>
      <c r="D4">
        <v>95</v>
      </c>
      <c r="G4">
        <v>95</v>
      </c>
      <c r="H4">
        <v>999875</v>
      </c>
      <c r="I4">
        <v>97</v>
      </c>
      <c r="J4">
        <v>12</v>
      </c>
    </row>
    <row r="5" spans="1:10" x14ac:dyDescent="0.25">
      <c r="A5">
        <v>-999</v>
      </c>
      <c r="B5">
        <v>95.006549757025098</v>
      </c>
      <c r="C5">
        <v>920084712</v>
      </c>
      <c r="D5">
        <v>97</v>
      </c>
      <c r="G5">
        <v>99.244094488188907</v>
      </c>
      <c r="H5">
        <v>17076056</v>
      </c>
      <c r="I5" t="s">
        <v>11</v>
      </c>
      <c r="J5">
        <v>12</v>
      </c>
    </row>
    <row r="6" spans="1:10" x14ac:dyDescent="0.25">
      <c r="A6">
        <v>-999</v>
      </c>
      <c r="B6">
        <v>61.276737108320098</v>
      </c>
      <c r="C6">
        <v>5047080668</v>
      </c>
      <c r="D6" t="s">
        <v>10</v>
      </c>
      <c r="G6">
        <v>83.1328125</v>
      </c>
      <c r="H6">
        <v>998270831</v>
      </c>
      <c r="I6">
        <v>85</v>
      </c>
      <c r="J6">
        <v>17</v>
      </c>
    </row>
    <row r="7" spans="1:10" x14ac:dyDescent="0.25">
      <c r="A7">
        <v>-999</v>
      </c>
      <c r="B7">
        <v>99.837514623683802</v>
      </c>
      <c r="C7">
        <v>1196380109</v>
      </c>
      <c r="D7" t="s">
        <v>11</v>
      </c>
      <c r="G7">
        <v>85.165838174522307</v>
      </c>
      <c r="H7">
        <v>3140710555</v>
      </c>
      <c r="I7">
        <v>90</v>
      </c>
      <c r="J7">
        <v>17</v>
      </c>
    </row>
    <row r="8" spans="1:10" x14ac:dyDescent="0.25">
      <c r="A8">
        <v>0</v>
      </c>
      <c r="B8">
        <v>80.002161636478107</v>
      </c>
      <c r="C8">
        <v>88876038212</v>
      </c>
      <c r="D8">
        <v>85</v>
      </c>
      <c r="G8">
        <v>91.080500472143498</v>
      </c>
      <c r="H8">
        <v>648796825</v>
      </c>
      <c r="I8">
        <v>95</v>
      </c>
      <c r="J8">
        <v>17</v>
      </c>
    </row>
    <row r="9" spans="1:10" x14ac:dyDescent="0.25">
      <c r="A9">
        <v>0</v>
      </c>
      <c r="B9">
        <v>86.623164763458405</v>
      </c>
      <c r="C9">
        <v>109406493</v>
      </c>
      <c r="D9">
        <v>90</v>
      </c>
      <c r="G9">
        <v>95.000743052459498</v>
      </c>
      <c r="H9">
        <v>1092134149</v>
      </c>
      <c r="I9">
        <v>97</v>
      </c>
      <c r="J9">
        <v>17</v>
      </c>
    </row>
    <row r="10" spans="1:10" x14ac:dyDescent="0.25">
      <c r="A10">
        <v>0</v>
      </c>
      <c r="B10">
        <v>91.027160493827097</v>
      </c>
      <c r="C10">
        <v>214477151</v>
      </c>
      <c r="D10">
        <v>95</v>
      </c>
      <c r="G10">
        <v>65.599999999999994</v>
      </c>
      <c r="H10">
        <v>8234300</v>
      </c>
      <c r="I10" t="s">
        <v>10</v>
      </c>
      <c r="J10">
        <v>17</v>
      </c>
    </row>
    <row r="11" spans="1:10" x14ac:dyDescent="0.25">
      <c r="A11">
        <v>0</v>
      </c>
      <c r="B11">
        <v>95.154584221748394</v>
      </c>
      <c r="C11">
        <v>162146292</v>
      </c>
      <c r="D11">
        <v>97</v>
      </c>
      <c r="G11">
        <v>98.5</v>
      </c>
      <c r="H11">
        <v>176867</v>
      </c>
      <c r="I11" t="s">
        <v>11</v>
      </c>
      <c r="J11">
        <v>17</v>
      </c>
    </row>
    <row r="12" spans="1:10" x14ac:dyDescent="0.25">
      <c r="A12">
        <v>0</v>
      </c>
      <c r="B12">
        <v>62.3610991051561</v>
      </c>
      <c r="C12">
        <v>74754582503</v>
      </c>
      <c r="D12" t="s">
        <v>10</v>
      </c>
      <c r="G12">
        <v>82.911564625850303</v>
      </c>
      <c r="H12">
        <v>19464621</v>
      </c>
      <c r="I12">
        <v>85</v>
      </c>
      <c r="J12">
        <v>18</v>
      </c>
    </row>
    <row r="13" spans="1:10" x14ac:dyDescent="0.25">
      <c r="A13">
        <v>0</v>
      </c>
      <c r="B13">
        <v>101.169286120053</v>
      </c>
      <c r="C13">
        <v>1641972213</v>
      </c>
      <c r="D13" t="s">
        <v>11</v>
      </c>
      <c r="G13">
        <v>87.582542694497107</v>
      </c>
      <c r="H13">
        <v>619167396</v>
      </c>
      <c r="I13">
        <v>90</v>
      </c>
      <c r="J13">
        <v>18</v>
      </c>
    </row>
    <row r="14" spans="1:10" x14ac:dyDescent="0.25">
      <c r="A14">
        <v>1</v>
      </c>
      <c r="B14">
        <v>90.75</v>
      </c>
      <c r="C14">
        <v>579600</v>
      </c>
      <c r="D14">
        <v>95</v>
      </c>
      <c r="G14">
        <v>90.024996566405704</v>
      </c>
      <c r="H14">
        <v>3074074218</v>
      </c>
      <c r="I14">
        <v>95</v>
      </c>
      <c r="J14">
        <v>18</v>
      </c>
    </row>
    <row r="15" spans="1:10" x14ac:dyDescent="0.25">
      <c r="A15">
        <v>2</v>
      </c>
      <c r="B15">
        <v>91.75</v>
      </c>
      <c r="C15">
        <v>503998</v>
      </c>
      <c r="D15">
        <v>95</v>
      </c>
      <c r="G15">
        <v>95</v>
      </c>
      <c r="H15">
        <v>1853050</v>
      </c>
      <c r="I15">
        <v>97</v>
      </c>
      <c r="J15">
        <v>18</v>
      </c>
    </row>
    <row r="16" spans="1:10" x14ac:dyDescent="0.25">
      <c r="A16">
        <v>3</v>
      </c>
      <c r="B16">
        <v>93</v>
      </c>
      <c r="C16">
        <v>312000</v>
      </c>
      <c r="D16">
        <v>95</v>
      </c>
      <c r="G16">
        <v>53.5</v>
      </c>
      <c r="H16">
        <v>387000</v>
      </c>
      <c r="I16" t="s">
        <v>10</v>
      </c>
      <c r="J16">
        <v>18</v>
      </c>
    </row>
    <row r="17" spans="1:10" x14ac:dyDescent="0.25">
      <c r="A17">
        <v>4</v>
      </c>
      <c r="B17">
        <v>94</v>
      </c>
      <c r="C17">
        <v>689690</v>
      </c>
      <c r="D17">
        <v>95</v>
      </c>
      <c r="G17">
        <v>82.357142857142804</v>
      </c>
      <c r="H17">
        <v>1880574</v>
      </c>
      <c r="I17">
        <v>85</v>
      </c>
      <c r="J17">
        <v>20</v>
      </c>
    </row>
    <row r="18" spans="1:10" x14ac:dyDescent="0.25">
      <c r="A18">
        <v>5</v>
      </c>
      <c r="B18">
        <v>94</v>
      </c>
      <c r="C18">
        <v>349310</v>
      </c>
      <c r="D18">
        <v>95</v>
      </c>
      <c r="G18">
        <v>86.75</v>
      </c>
      <c r="H18">
        <v>2949914</v>
      </c>
      <c r="I18">
        <v>90</v>
      </c>
      <c r="J18">
        <v>20</v>
      </c>
    </row>
    <row r="19" spans="1:10" x14ac:dyDescent="0.25">
      <c r="A19">
        <v>5</v>
      </c>
      <c r="B19">
        <v>95</v>
      </c>
      <c r="C19">
        <v>175000</v>
      </c>
      <c r="D19">
        <v>97</v>
      </c>
      <c r="G19">
        <v>92.209090909090904</v>
      </c>
      <c r="H19">
        <v>33906828</v>
      </c>
      <c r="I19">
        <v>95</v>
      </c>
      <c r="J19">
        <v>20</v>
      </c>
    </row>
    <row r="20" spans="1:10" x14ac:dyDescent="0.25">
      <c r="A20">
        <v>6</v>
      </c>
      <c r="B20">
        <v>83.054878048780395</v>
      </c>
      <c r="C20">
        <v>39143154</v>
      </c>
      <c r="D20">
        <v>85</v>
      </c>
      <c r="G20">
        <v>95.548730548730504</v>
      </c>
      <c r="H20">
        <v>189261615</v>
      </c>
      <c r="I20">
        <v>97</v>
      </c>
      <c r="J20">
        <v>20</v>
      </c>
    </row>
    <row r="21" spans="1:10" x14ac:dyDescent="0.25">
      <c r="A21">
        <v>6</v>
      </c>
      <c r="B21">
        <v>85.002564102564094</v>
      </c>
      <c r="C21">
        <v>56010590</v>
      </c>
      <c r="D21">
        <v>90</v>
      </c>
      <c r="G21">
        <v>69</v>
      </c>
      <c r="H21">
        <v>102723</v>
      </c>
      <c r="I21" t="s">
        <v>10</v>
      </c>
      <c r="J21">
        <v>20</v>
      </c>
    </row>
    <row r="22" spans="1:10" x14ac:dyDescent="0.25">
      <c r="A22">
        <v>6</v>
      </c>
      <c r="B22">
        <v>95</v>
      </c>
      <c r="C22">
        <v>999875</v>
      </c>
      <c r="D22">
        <v>97</v>
      </c>
      <c r="G22">
        <v>97.002873232961704</v>
      </c>
      <c r="H22">
        <v>1304437223</v>
      </c>
      <c r="I22" t="s">
        <v>11</v>
      </c>
      <c r="J22">
        <v>20</v>
      </c>
    </row>
    <row r="23" spans="1:10" x14ac:dyDescent="0.25">
      <c r="A23">
        <v>6</v>
      </c>
      <c r="B23">
        <v>100</v>
      </c>
      <c r="C23">
        <v>86600</v>
      </c>
      <c r="D23" t="s">
        <v>11</v>
      </c>
      <c r="G23">
        <v>82.448275862068897</v>
      </c>
      <c r="H23">
        <v>4050373</v>
      </c>
      <c r="I23">
        <v>85</v>
      </c>
      <c r="J23">
        <v>22</v>
      </c>
    </row>
    <row r="24" spans="1:10" x14ac:dyDescent="0.25">
      <c r="A24">
        <v>7</v>
      </c>
      <c r="B24">
        <v>86</v>
      </c>
      <c r="C24">
        <v>86000</v>
      </c>
      <c r="D24">
        <v>90</v>
      </c>
      <c r="G24">
        <v>86.254237288135499</v>
      </c>
      <c r="H24">
        <v>10201191</v>
      </c>
      <c r="I24">
        <v>90</v>
      </c>
      <c r="J24">
        <v>22</v>
      </c>
    </row>
    <row r="25" spans="1:10" x14ac:dyDescent="0.25">
      <c r="A25">
        <v>8</v>
      </c>
      <c r="B25">
        <v>84</v>
      </c>
      <c r="C25">
        <v>325000</v>
      </c>
      <c r="D25">
        <v>85</v>
      </c>
      <c r="G25">
        <v>91.444999999999993</v>
      </c>
      <c r="H25">
        <v>29202915</v>
      </c>
      <c r="I25">
        <v>95</v>
      </c>
      <c r="J25">
        <v>22</v>
      </c>
    </row>
    <row r="26" spans="1:10" x14ac:dyDescent="0.25">
      <c r="A26">
        <v>8</v>
      </c>
      <c r="B26">
        <v>97.0625</v>
      </c>
      <c r="C26">
        <v>4287716</v>
      </c>
      <c r="D26" t="s">
        <v>11</v>
      </c>
      <c r="G26">
        <v>95.220108695652101</v>
      </c>
      <c r="H26">
        <v>57699354</v>
      </c>
      <c r="I26">
        <v>97</v>
      </c>
      <c r="J26">
        <v>22</v>
      </c>
    </row>
    <row r="27" spans="1:10" x14ac:dyDescent="0.25">
      <c r="A27">
        <v>9</v>
      </c>
      <c r="B27">
        <v>83.125</v>
      </c>
      <c r="C27">
        <v>2810405</v>
      </c>
      <c r="D27">
        <v>85</v>
      </c>
      <c r="G27">
        <v>65.6875</v>
      </c>
      <c r="H27">
        <v>1823419</v>
      </c>
      <c r="I27" t="s">
        <v>10</v>
      </c>
      <c r="J27">
        <v>22</v>
      </c>
    </row>
    <row r="28" spans="1:10" x14ac:dyDescent="0.25">
      <c r="A28">
        <v>9</v>
      </c>
      <c r="B28">
        <v>85</v>
      </c>
      <c r="C28">
        <v>7224139</v>
      </c>
      <c r="D28">
        <v>90</v>
      </c>
      <c r="G28">
        <v>99.977852086311302</v>
      </c>
      <c r="H28">
        <v>16412143047</v>
      </c>
      <c r="I28" t="s">
        <v>11</v>
      </c>
      <c r="J28">
        <v>22</v>
      </c>
    </row>
    <row r="29" spans="1:10" x14ac:dyDescent="0.25">
      <c r="A29">
        <v>9</v>
      </c>
      <c r="B29">
        <v>99</v>
      </c>
      <c r="C29">
        <v>249673</v>
      </c>
      <c r="D29" t="s">
        <v>11</v>
      </c>
      <c r="G29">
        <v>84</v>
      </c>
      <c r="H29">
        <v>390000</v>
      </c>
      <c r="I29">
        <v>85</v>
      </c>
      <c r="J29">
        <v>25</v>
      </c>
    </row>
    <row r="30" spans="1:10" x14ac:dyDescent="0.25">
      <c r="A30">
        <v>10</v>
      </c>
      <c r="B30">
        <v>88.25</v>
      </c>
      <c r="C30">
        <v>667300</v>
      </c>
      <c r="D30">
        <v>90</v>
      </c>
      <c r="G30">
        <v>87.744186046511601</v>
      </c>
      <c r="H30">
        <v>9146090</v>
      </c>
      <c r="I30">
        <v>90</v>
      </c>
      <c r="J30">
        <v>25</v>
      </c>
    </row>
    <row r="31" spans="1:10" x14ac:dyDescent="0.25">
      <c r="A31">
        <v>10</v>
      </c>
      <c r="B31">
        <v>100</v>
      </c>
      <c r="C31">
        <v>322375</v>
      </c>
      <c r="D31" t="s">
        <v>11</v>
      </c>
      <c r="G31">
        <v>90.042682926829201</v>
      </c>
      <c r="H31">
        <v>31389781</v>
      </c>
      <c r="I31">
        <v>95</v>
      </c>
      <c r="J31">
        <v>25</v>
      </c>
    </row>
    <row r="32" spans="1:10" x14ac:dyDescent="0.25">
      <c r="A32">
        <v>11</v>
      </c>
      <c r="B32">
        <v>100</v>
      </c>
      <c r="C32">
        <v>12129692</v>
      </c>
      <c r="D32" t="s">
        <v>11</v>
      </c>
      <c r="G32">
        <v>95</v>
      </c>
      <c r="H32">
        <v>2596550</v>
      </c>
      <c r="I32">
        <v>97</v>
      </c>
      <c r="J32">
        <v>25</v>
      </c>
    </row>
    <row r="33" spans="1:10" x14ac:dyDescent="0.25">
      <c r="A33">
        <v>12</v>
      </c>
      <c r="B33">
        <v>83.129982668977405</v>
      </c>
      <c r="C33">
        <v>988848650</v>
      </c>
      <c r="D33">
        <v>85</v>
      </c>
      <c r="G33">
        <v>73</v>
      </c>
      <c r="H33">
        <v>165500</v>
      </c>
      <c r="I33" t="s">
        <v>10</v>
      </c>
      <c r="J33">
        <v>25</v>
      </c>
    </row>
    <row r="34" spans="1:10" x14ac:dyDescent="0.25">
      <c r="A34">
        <v>12</v>
      </c>
      <c r="B34">
        <v>85.166525628626601</v>
      </c>
      <c r="C34">
        <v>3111825393</v>
      </c>
      <c r="D34">
        <v>90</v>
      </c>
      <c r="G34">
        <v>100.54545454545401</v>
      </c>
      <c r="H34">
        <v>3085609</v>
      </c>
      <c r="I34" t="s">
        <v>11</v>
      </c>
      <c r="J34">
        <v>25</v>
      </c>
    </row>
    <row r="35" spans="1:10" x14ac:dyDescent="0.25">
      <c r="A35">
        <v>12</v>
      </c>
      <c r="B35">
        <v>90.002718446601904</v>
      </c>
      <c r="C35">
        <v>418720749</v>
      </c>
      <c r="D35">
        <v>95</v>
      </c>
      <c r="G35">
        <v>81.964071856287404</v>
      </c>
      <c r="H35">
        <v>33726669</v>
      </c>
      <c r="I35">
        <v>85</v>
      </c>
      <c r="J35">
        <v>30</v>
      </c>
    </row>
    <row r="36" spans="1:10" x14ac:dyDescent="0.25">
      <c r="A36">
        <v>12</v>
      </c>
      <c r="B36">
        <v>65.599999999999994</v>
      </c>
      <c r="C36">
        <v>8234300</v>
      </c>
      <c r="D36" t="s">
        <v>10</v>
      </c>
      <c r="G36">
        <v>87.764260550183593</v>
      </c>
      <c r="H36">
        <v>2605541424</v>
      </c>
      <c r="I36">
        <v>90</v>
      </c>
      <c r="J36">
        <v>30</v>
      </c>
    </row>
    <row r="37" spans="1:10" x14ac:dyDescent="0.25">
      <c r="A37">
        <v>13</v>
      </c>
      <c r="B37">
        <v>81</v>
      </c>
      <c r="C37">
        <v>218700</v>
      </c>
      <c r="D37">
        <v>85</v>
      </c>
      <c r="G37">
        <v>90.0876567774379</v>
      </c>
      <c r="H37">
        <v>18482454769</v>
      </c>
      <c r="I37">
        <v>95</v>
      </c>
      <c r="J37">
        <v>30</v>
      </c>
    </row>
    <row r="38" spans="1:10" x14ac:dyDescent="0.25">
      <c r="A38">
        <v>13</v>
      </c>
      <c r="B38">
        <v>85</v>
      </c>
      <c r="C38">
        <v>246900</v>
      </c>
      <c r="D38">
        <v>90</v>
      </c>
      <c r="G38">
        <v>95.001243100790603</v>
      </c>
      <c r="H38">
        <v>4004618103</v>
      </c>
      <c r="I38">
        <v>97</v>
      </c>
      <c r="J38">
        <v>30</v>
      </c>
    </row>
    <row r="39" spans="1:10" x14ac:dyDescent="0.25">
      <c r="A39">
        <v>13</v>
      </c>
      <c r="B39">
        <v>90</v>
      </c>
      <c r="C39">
        <v>266850</v>
      </c>
      <c r="D39">
        <v>95</v>
      </c>
      <c r="G39">
        <v>66.729729729729698</v>
      </c>
      <c r="H39">
        <v>12521748</v>
      </c>
      <c r="I39" t="s">
        <v>10</v>
      </c>
      <c r="J39">
        <v>30</v>
      </c>
    </row>
    <row r="40" spans="1:10" x14ac:dyDescent="0.25">
      <c r="A40">
        <v>14</v>
      </c>
      <c r="B40">
        <v>83.46</v>
      </c>
      <c r="C40">
        <v>8740731</v>
      </c>
      <c r="D40">
        <v>85</v>
      </c>
      <c r="G40">
        <v>99.895498815477694</v>
      </c>
      <c r="H40">
        <v>646489469</v>
      </c>
      <c r="I40" t="s">
        <v>11</v>
      </c>
      <c r="J40">
        <v>30</v>
      </c>
    </row>
    <row r="41" spans="1:10" x14ac:dyDescent="0.25">
      <c r="A41">
        <v>14</v>
      </c>
      <c r="B41">
        <v>85</v>
      </c>
      <c r="C41">
        <v>27553412</v>
      </c>
      <c r="D41">
        <v>90</v>
      </c>
      <c r="G41">
        <v>80.849462365591293</v>
      </c>
      <c r="H41">
        <v>21764872</v>
      </c>
      <c r="I41">
        <v>85</v>
      </c>
      <c r="J41">
        <v>35</v>
      </c>
    </row>
    <row r="42" spans="1:10" x14ac:dyDescent="0.25">
      <c r="A42">
        <v>14</v>
      </c>
      <c r="B42">
        <v>90</v>
      </c>
      <c r="C42">
        <v>349559</v>
      </c>
      <c r="D42">
        <v>95</v>
      </c>
      <c r="G42">
        <v>87.570599613152794</v>
      </c>
      <c r="H42">
        <v>74690894</v>
      </c>
      <c r="I42">
        <v>90</v>
      </c>
      <c r="J42">
        <v>35</v>
      </c>
    </row>
    <row r="43" spans="1:10" x14ac:dyDescent="0.25">
      <c r="A43">
        <v>14</v>
      </c>
      <c r="B43">
        <v>95</v>
      </c>
      <c r="C43">
        <v>104650</v>
      </c>
      <c r="D43">
        <v>97</v>
      </c>
      <c r="G43">
        <v>92.228479886080393</v>
      </c>
      <c r="H43">
        <v>2532355367</v>
      </c>
      <c r="I43">
        <v>95</v>
      </c>
      <c r="J43">
        <v>35</v>
      </c>
    </row>
    <row r="44" spans="1:10" x14ac:dyDescent="0.25">
      <c r="A44">
        <v>15</v>
      </c>
      <c r="B44">
        <v>85</v>
      </c>
      <c r="C44">
        <v>342200</v>
      </c>
      <c r="D44">
        <v>90</v>
      </c>
      <c r="G44">
        <v>95.000335670595206</v>
      </c>
      <c r="H44">
        <v>19610300735</v>
      </c>
      <c r="I44">
        <v>97</v>
      </c>
      <c r="J44">
        <v>35</v>
      </c>
    </row>
    <row r="45" spans="1:10" x14ac:dyDescent="0.25">
      <c r="A45">
        <v>15</v>
      </c>
      <c r="B45">
        <v>90</v>
      </c>
      <c r="C45">
        <v>296100</v>
      </c>
      <c r="D45">
        <v>95</v>
      </c>
      <c r="G45">
        <v>63.507042253521099</v>
      </c>
      <c r="H45">
        <v>11249037</v>
      </c>
      <c r="I45" t="s">
        <v>10</v>
      </c>
      <c r="J45">
        <v>35</v>
      </c>
    </row>
    <row r="46" spans="1:10" x14ac:dyDescent="0.25">
      <c r="A46">
        <v>15</v>
      </c>
      <c r="B46">
        <v>100</v>
      </c>
      <c r="C46">
        <v>60000</v>
      </c>
      <c r="D46" t="s">
        <v>11</v>
      </c>
      <c r="G46">
        <v>98.709337349397501</v>
      </c>
      <c r="H46">
        <v>115616153</v>
      </c>
      <c r="I46" t="s">
        <v>11</v>
      </c>
      <c r="J46">
        <v>35</v>
      </c>
    </row>
    <row r="47" spans="1:10" x14ac:dyDescent="0.25">
      <c r="A47">
        <v>16</v>
      </c>
      <c r="B47">
        <v>83.25</v>
      </c>
      <c r="C47">
        <v>462750</v>
      </c>
      <c r="D47">
        <v>85</v>
      </c>
      <c r="G47">
        <v>81.400000000000006</v>
      </c>
      <c r="H47">
        <v>2631163</v>
      </c>
      <c r="I47">
        <v>85</v>
      </c>
      <c r="J47">
        <v>40</v>
      </c>
    </row>
    <row r="48" spans="1:10" x14ac:dyDescent="0.25">
      <c r="A48">
        <v>16</v>
      </c>
      <c r="B48">
        <v>87.3333333333333</v>
      </c>
      <c r="C48">
        <v>742650</v>
      </c>
      <c r="D48">
        <v>90</v>
      </c>
      <c r="G48">
        <v>86.85</v>
      </c>
      <c r="H48">
        <v>6466720</v>
      </c>
      <c r="I48">
        <v>90</v>
      </c>
      <c r="J48">
        <v>40</v>
      </c>
    </row>
    <row r="49" spans="1:10" x14ac:dyDescent="0.25">
      <c r="A49">
        <v>16</v>
      </c>
      <c r="B49">
        <v>92.764670296430694</v>
      </c>
      <c r="C49">
        <v>229163567</v>
      </c>
      <c r="D49">
        <v>95</v>
      </c>
      <c r="G49">
        <v>91.349602724177004</v>
      </c>
      <c r="H49">
        <v>148883068</v>
      </c>
      <c r="I49">
        <v>95</v>
      </c>
      <c r="J49">
        <v>40</v>
      </c>
    </row>
    <row r="50" spans="1:10" x14ac:dyDescent="0.25">
      <c r="A50">
        <v>16</v>
      </c>
      <c r="B50">
        <v>95.000743273375903</v>
      </c>
      <c r="C50">
        <v>1092029499</v>
      </c>
      <c r="D50">
        <v>97</v>
      </c>
      <c r="G50">
        <v>95.095425694900399</v>
      </c>
      <c r="H50">
        <v>753924150</v>
      </c>
      <c r="I50">
        <v>97</v>
      </c>
      <c r="J50">
        <v>40</v>
      </c>
    </row>
    <row r="51" spans="1:10" x14ac:dyDescent="0.25">
      <c r="A51">
        <v>16</v>
      </c>
      <c r="B51">
        <v>97</v>
      </c>
      <c r="C51">
        <v>116867</v>
      </c>
      <c r="D51" t="s">
        <v>11</v>
      </c>
      <c r="G51">
        <v>63</v>
      </c>
      <c r="H51">
        <v>499005</v>
      </c>
      <c r="I51" t="s">
        <v>10</v>
      </c>
      <c r="J51">
        <v>40</v>
      </c>
    </row>
    <row r="52" spans="1:10" x14ac:dyDescent="0.25">
      <c r="A52">
        <v>17</v>
      </c>
      <c r="B52">
        <v>82.911564625850303</v>
      </c>
      <c r="C52">
        <v>19464621</v>
      </c>
      <c r="D52">
        <v>85</v>
      </c>
      <c r="G52">
        <v>99.709163474846306</v>
      </c>
      <c r="H52">
        <v>10474713822</v>
      </c>
      <c r="I52" t="s">
        <v>11</v>
      </c>
      <c r="J52">
        <v>40</v>
      </c>
    </row>
    <row r="53" spans="1:10" x14ac:dyDescent="0.25">
      <c r="A53">
        <v>17</v>
      </c>
      <c r="B53">
        <v>87.582542694497107</v>
      </c>
      <c r="C53">
        <v>619167396</v>
      </c>
      <c r="D53">
        <v>90</v>
      </c>
      <c r="G53">
        <v>80.002161636478107</v>
      </c>
      <c r="H53">
        <v>88876038212</v>
      </c>
      <c r="I53">
        <v>85</v>
      </c>
      <c r="J53">
        <v>6</v>
      </c>
    </row>
    <row r="54" spans="1:10" x14ac:dyDescent="0.25">
      <c r="A54">
        <v>17</v>
      </c>
      <c r="B54">
        <v>90.024996566405704</v>
      </c>
      <c r="C54">
        <v>3074074218</v>
      </c>
      <c r="D54">
        <v>95</v>
      </c>
      <c r="G54">
        <v>86.623164763458405</v>
      </c>
      <c r="H54">
        <v>109406493</v>
      </c>
      <c r="I54">
        <v>90</v>
      </c>
      <c r="J54">
        <v>6</v>
      </c>
    </row>
    <row r="55" spans="1:10" x14ac:dyDescent="0.25">
      <c r="A55">
        <v>17</v>
      </c>
      <c r="B55">
        <v>95</v>
      </c>
      <c r="C55">
        <v>1853050</v>
      </c>
      <c r="D55">
        <v>97</v>
      </c>
      <c r="G55">
        <v>91.051094890510896</v>
      </c>
      <c r="H55">
        <v>216911749</v>
      </c>
      <c r="I55">
        <v>95</v>
      </c>
      <c r="J55">
        <v>6</v>
      </c>
    </row>
    <row r="56" spans="1:10" x14ac:dyDescent="0.25">
      <c r="A56">
        <v>17</v>
      </c>
      <c r="B56">
        <v>53.5</v>
      </c>
      <c r="C56">
        <v>387000</v>
      </c>
      <c r="D56" t="s">
        <v>10</v>
      </c>
      <c r="G56">
        <v>95.154419595314096</v>
      </c>
      <c r="H56">
        <v>162321292</v>
      </c>
      <c r="I56">
        <v>97</v>
      </c>
      <c r="J56">
        <v>6</v>
      </c>
    </row>
    <row r="57" spans="1:10" x14ac:dyDescent="0.25">
      <c r="A57">
        <v>18</v>
      </c>
      <c r="B57">
        <v>81.599999999999994</v>
      </c>
      <c r="C57">
        <v>717636</v>
      </c>
      <c r="D57">
        <v>85</v>
      </c>
      <c r="G57">
        <v>62.3610991051561</v>
      </c>
      <c r="H57">
        <v>74754582503</v>
      </c>
      <c r="I57" t="s">
        <v>10</v>
      </c>
      <c r="J57">
        <v>6</v>
      </c>
    </row>
    <row r="58" spans="1:10" x14ac:dyDescent="0.25">
      <c r="A58">
        <v>18</v>
      </c>
      <c r="B58">
        <v>87.1</v>
      </c>
      <c r="C58">
        <v>2580964</v>
      </c>
      <c r="D58">
        <v>90</v>
      </c>
      <c r="G58">
        <v>101.169286120053</v>
      </c>
      <c r="H58">
        <v>1641972213</v>
      </c>
      <c r="I58" t="s">
        <v>11</v>
      </c>
      <c r="J58">
        <v>6</v>
      </c>
    </row>
    <row r="59" spans="1:10" x14ac:dyDescent="0.25">
      <c r="A59">
        <v>18</v>
      </c>
      <c r="B59">
        <v>92.209090909090904</v>
      </c>
      <c r="C59">
        <v>33906828</v>
      </c>
      <c r="D59">
        <v>95</v>
      </c>
      <c r="G59">
        <v>80.033595715329</v>
      </c>
      <c r="H59">
        <v>5343753994</v>
      </c>
      <c r="I59">
        <v>85</v>
      </c>
      <c r="J59" t="s">
        <v>15</v>
      </c>
    </row>
    <row r="60" spans="1:10" x14ac:dyDescent="0.25">
      <c r="A60">
        <v>18</v>
      </c>
      <c r="B60">
        <v>95.549630844954805</v>
      </c>
      <c r="C60">
        <v>189090615</v>
      </c>
      <c r="D60">
        <v>97</v>
      </c>
      <c r="G60">
        <v>86.510156249999994</v>
      </c>
      <c r="H60">
        <v>258973315</v>
      </c>
      <c r="I60">
        <v>90</v>
      </c>
      <c r="J60" t="s">
        <v>15</v>
      </c>
    </row>
    <row r="61" spans="1:10" x14ac:dyDescent="0.25">
      <c r="A61">
        <v>18</v>
      </c>
      <c r="B61">
        <v>69</v>
      </c>
      <c r="C61">
        <v>102723</v>
      </c>
      <c r="D61" t="s">
        <v>10</v>
      </c>
      <c r="G61">
        <v>90.312759429705807</v>
      </c>
      <c r="H61">
        <v>968908129</v>
      </c>
      <c r="I61">
        <v>95</v>
      </c>
      <c r="J61" t="s">
        <v>15</v>
      </c>
    </row>
    <row r="62" spans="1:10" x14ac:dyDescent="0.25">
      <c r="A62">
        <v>18</v>
      </c>
      <c r="B62">
        <v>97.002758937808906</v>
      </c>
      <c r="C62">
        <v>1304177348</v>
      </c>
      <c r="D62" t="s">
        <v>11</v>
      </c>
      <c r="G62">
        <v>95.006549757025098</v>
      </c>
      <c r="H62">
        <v>920084712</v>
      </c>
      <c r="I62">
        <v>97</v>
      </c>
      <c r="J62" t="s">
        <v>15</v>
      </c>
    </row>
    <row r="63" spans="1:10" x14ac:dyDescent="0.25">
      <c r="A63">
        <v>19</v>
      </c>
      <c r="B63">
        <v>82.7777777777777</v>
      </c>
      <c r="C63">
        <v>1162938</v>
      </c>
      <c r="D63">
        <v>85</v>
      </c>
      <c r="G63">
        <v>61.276737108320098</v>
      </c>
      <c r="H63">
        <v>5047080668</v>
      </c>
      <c r="I63" t="s">
        <v>10</v>
      </c>
      <c r="J63" t="s">
        <v>15</v>
      </c>
    </row>
    <row r="64" spans="1:10" x14ac:dyDescent="0.25">
      <c r="A64">
        <v>19</v>
      </c>
      <c r="B64">
        <v>85</v>
      </c>
      <c r="C64">
        <v>368950</v>
      </c>
      <c r="D64">
        <v>90</v>
      </c>
      <c r="G64">
        <v>99.837514623683802</v>
      </c>
      <c r="H64">
        <v>1196380109</v>
      </c>
      <c r="I64" t="s">
        <v>11</v>
      </c>
      <c r="J64" t="s">
        <v>15</v>
      </c>
    </row>
    <row r="65" spans="1:10" x14ac:dyDescent="0.25">
      <c r="A65">
        <v>19</v>
      </c>
      <c r="B65">
        <v>95</v>
      </c>
      <c r="C65">
        <v>171000</v>
      </c>
      <c r="D65">
        <v>97</v>
      </c>
      <c r="G65">
        <v>90</v>
      </c>
      <c r="H65">
        <v>202500</v>
      </c>
      <c r="I65">
        <v>95</v>
      </c>
      <c r="J65" t="s">
        <v>11</v>
      </c>
    </row>
    <row r="66" spans="1:10" x14ac:dyDescent="0.25">
      <c r="A66">
        <v>19</v>
      </c>
      <c r="B66">
        <v>97.5</v>
      </c>
      <c r="C66">
        <v>259875</v>
      </c>
      <c r="D66" t="s">
        <v>11</v>
      </c>
      <c r="G66">
        <v>95.5</v>
      </c>
      <c r="H66">
        <v>193100</v>
      </c>
      <c r="I66">
        <v>97</v>
      </c>
      <c r="J66" t="s">
        <v>11</v>
      </c>
    </row>
    <row r="67" spans="1:10" x14ac:dyDescent="0.25">
      <c r="A67">
        <v>20</v>
      </c>
      <c r="B67">
        <v>82.428571428571402</v>
      </c>
      <c r="C67">
        <v>3901873</v>
      </c>
      <c r="D67">
        <v>85</v>
      </c>
      <c r="G67">
        <v>99.942857142857093</v>
      </c>
      <c r="H67">
        <v>11817474</v>
      </c>
      <c r="I67" t="s">
        <v>11</v>
      </c>
      <c r="J67" t="s">
        <v>11</v>
      </c>
    </row>
    <row r="68" spans="1:10" x14ac:dyDescent="0.25">
      <c r="A68">
        <v>20</v>
      </c>
      <c r="B68">
        <v>86.254237288135499</v>
      </c>
      <c r="C68">
        <v>10201191</v>
      </c>
      <c r="D68">
        <v>90</v>
      </c>
    </row>
    <row r="69" spans="1:10" x14ac:dyDescent="0.25">
      <c r="A69">
        <v>20</v>
      </c>
      <c r="B69">
        <v>91.444999999999993</v>
      </c>
      <c r="C69">
        <v>29202915</v>
      </c>
      <c r="D69">
        <v>95</v>
      </c>
    </row>
    <row r="70" spans="1:10" x14ac:dyDescent="0.25">
      <c r="A70">
        <v>20</v>
      </c>
      <c r="B70">
        <v>95.220108695652101</v>
      </c>
      <c r="C70">
        <v>57699354</v>
      </c>
      <c r="D70">
        <v>97</v>
      </c>
    </row>
    <row r="71" spans="1:10" x14ac:dyDescent="0.25">
      <c r="A71">
        <v>20</v>
      </c>
      <c r="B71">
        <v>65.6875</v>
      </c>
      <c r="C71">
        <v>1823419</v>
      </c>
      <c r="D71" t="s">
        <v>10</v>
      </c>
    </row>
    <row r="72" spans="1:10" x14ac:dyDescent="0.25">
      <c r="A72">
        <v>20</v>
      </c>
      <c r="B72">
        <v>99.977851709408895</v>
      </c>
      <c r="C72">
        <v>16411951637</v>
      </c>
      <c r="D72" t="s">
        <v>11</v>
      </c>
    </row>
    <row r="73" spans="1:10" x14ac:dyDescent="0.25">
      <c r="A73">
        <v>21</v>
      </c>
      <c r="B73">
        <v>83</v>
      </c>
      <c r="C73">
        <v>148500</v>
      </c>
      <c r="D73">
        <v>85</v>
      </c>
    </row>
    <row r="74" spans="1:10" x14ac:dyDescent="0.25">
      <c r="A74">
        <v>21</v>
      </c>
      <c r="B74">
        <v>100</v>
      </c>
      <c r="C74">
        <v>191410</v>
      </c>
      <c r="D74" t="s">
        <v>11</v>
      </c>
    </row>
    <row r="75" spans="1:10" x14ac:dyDescent="0.25">
      <c r="A75">
        <v>22</v>
      </c>
      <c r="B75">
        <v>84</v>
      </c>
      <c r="C75">
        <v>390000</v>
      </c>
      <c r="D75">
        <v>85</v>
      </c>
    </row>
    <row r="76" spans="1:10" x14ac:dyDescent="0.25">
      <c r="A76">
        <v>22</v>
      </c>
      <c r="B76">
        <v>87.714285714285694</v>
      </c>
      <c r="C76">
        <v>9036890</v>
      </c>
      <c r="D76">
        <v>90</v>
      </c>
    </row>
    <row r="77" spans="1:10" x14ac:dyDescent="0.25">
      <c r="A77">
        <v>22</v>
      </c>
      <c r="B77">
        <v>90.042944785276006</v>
      </c>
      <c r="C77">
        <v>31252781</v>
      </c>
      <c r="D77">
        <v>95</v>
      </c>
    </row>
    <row r="78" spans="1:10" x14ac:dyDescent="0.25">
      <c r="A78">
        <v>22</v>
      </c>
      <c r="B78">
        <v>95</v>
      </c>
      <c r="C78">
        <v>2596550</v>
      </c>
      <c r="D78">
        <v>97</v>
      </c>
    </row>
    <row r="79" spans="1:10" x14ac:dyDescent="0.25">
      <c r="A79">
        <v>22</v>
      </c>
      <c r="B79">
        <v>73</v>
      </c>
      <c r="C79">
        <v>165500</v>
      </c>
      <c r="D79" t="s">
        <v>10</v>
      </c>
    </row>
    <row r="80" spans="1:10" x14ac:dyDescent="0.25">
      <c r="A80">
        <v>22</v>
      </c>
      <c r="B80">
        <v>100</v>
      </c>
      <c r="C80">
        <v>829300</v>
      </c>
      <c r="D80" t="s">
        <v>11</v>
      </c>
    </row>
    <row r="81" spans="1:4" x14ac:dyDescent="0.25">
      <c r="A81">
        <v>23</v>
      </c>
      <c r="B81">
        <v>101</v>
      </c>
      <c r="C81">
        <v>1638009</v>
      </c>
      <c r="D81" t="s">
        <v>11</v>
      </c>
    </row>
    <row r="82" spans="1:4" x14ac:dyDescent="0.25">
      <c r="A82">
        <v>24</v>
      </c>
      <c r="B82">
        <v>89</v>
      </c>
      <c r="C82">
        <v>109200</v>
      </c>
      <c r="D82">
        <v>90</v>
      </c>
    </row>
    <row r="83" spans="1:4" x14ac:dyDescent="0.25">
      <c r="A83">
        <v>24</v>
      </c>
      <c r="B83">
        <v>90</v>
      </c>
      <c r="C83">
        <v>137000</v>
      </c>
      <c r="D83">
        <v>95</v>
      </c>
    </row>
    <row r="84" spans="1:4" x14ac:dyDescent="0.25">
      <c r="A84">
        <v>24</v>
      </c>
      <c r="B84">
        <v>100</v>
      </c>
      <c r="C84">
        <v>618300</v>
      </c>
      <c r="D84" t="s">
        <v>11</v>
      </c>
    </row>
    <row r="85" spans="1:4" x14ac:dyDescent="0.25">
      <c r="A85">
        <v>25</v>
      </c>
      <c r="B85">
        <v>81.964071856287404</v>
      </c>
      <c r="C85">
        <v>33726669</v>
      </c>
      <c r="D85">
        <v>85</v>
      </c>
    </row>
    <row r="86" spans="1:4" x14ac:dyDescent="0.25">
      <c r="A86">
        <v>25</v>
      </c>
      <c r="B86">
        <v>87.764407421431201</v>
      </c>
      <c r="C86">
        <v>2582890238</v>
      </c>
      <c r="D86">
        <v>90</v>
      </c>
    </row>
    <row r="87" spans="1:4" x14ac:dyDescent="0.25">
      <c r="A87">
        <v>25</v>
      </c>
      <c r="B87">
        <v>90.087389590298898</v>
      </c>
      <c r="C87">
        <v>18342869246</v>
      </c>
      <c r="D87">
        <v>95</v>
      </c>
    </row>
    <row r="88" spans="1:4" x14ac:dyDescent="0.25">
      <c r="A88">
        <v>25</v>
      </c>
      <c r="B88">
        <v>95.001254516258498</v>
      </c>
      <c r="C88">
        <v>3966270354</v>
      </c>
      <c r="D88">
        <v>97</v>
      </c>
    </row>
    <row r="89" spans="1:4" x14ac:dyDescent="0.25">
      <c r="A89">
        <v>25</v>
      </c>
      <c r="B89">
        <v>66.729729729729698</v>
      </c>
      <c r="C89">
        <v>12521748</v>
      </c>
      <c r="D89" t="s">
        <v>10</v>
      </c>
    </row>
    <row r="90" spans="1:4" x14ac:dyDescent="0.25">
      <c r="A90">
        <v>25</v>
      </c>
      <c r="B90">
        <v>99.895305907172897</v>
      </c>
      <c r="C90">
        <v>645673275</v>
      </c>
      <c r="D90" t="s">
        <v>11</v>
      </c>
    </row>
    <row r="91" spans="1:4" x14ac:dyDescent="0.25">
      <c r="A91">
        <v>26</v>
      </c>
      <c r="B91">
        <v>88</v>
      </c>
      <c r="C91">
        <v>197000</v>
      </c>
      <c r="D91">
        <v>90</v>
      </c>
    </row>
    <row r="92" spans="1:4" x14ac:dyDescent="0.25">
      <c r="A92">
        <v>26</v>
      </c>
      <c r="B92">
        <v>90</v>
      </c>
      <c r="C92">
        <v>225900</v>
      </c>
      <c r="D92">
        <v>95</v>
      </c>
    </row>
    <row r="93" spans="1:4" x14ac:dyDescent="0.25">
      <c r="A93">
        <v>26</v>
      </c>
      <c r="B93">
        <v>95</v>
      </c>
      <c r="C93">
        <v>296875</v>
      </c>
      <c r="D93">
        <v>97</v>
      </c>
    </row>
    <row r="94" spans="1:4" x14ac:dyDescent="0.25">
      <c r="A94">
        <v>26</v>
      </c>
      <c r="B94">
        <v>100</v>
      </c>
      <c r="C94">
        <v>52894</v>
      </c>
      <c r="D94" t="s">
        <v>11</v>
      </c>
    </row>
    <row r="95" spans="1:4" x14ac:dyDescent="0.25">
      <c r="A95">
        <v>27</v>
      </c>
      <c r="B95">
        <v>87.748148148148104</v>
      </c>
      <c r="C95">
        <v>22454186</v>
      </c>
      <c r="D95">
        <v>90</v>
      </c>
    </row>
    <row r="96" spans="1:4" x14ac:dyDescent="0.25">
      <c r="A96">
        <v>27</v>
      </c>
      <c r="B96">
        <v>90.120437956204299</v>
      </c>
      <c r="C96">
        <v>139359623</v>
      </c>
      <c r="D96">
        <v>95</v>
      </c>
    </row>
    <row r="97" spans="1:4" x14ac:dyDescent="0.25">
      <c r="A97">
        <v>27</v>
      </c>
      <c r="B97">
        <v>95</v>
      </c>
      <c r="C97">
        <v>37549274</v>
      </c>
      <c r="D97">
        <v>97</v>
      </c>
    </row>
    <row r="98" spans="1:4" x14ac:dyDescent="0.25">
      <c r="A98">
        <v>27</v>
      </c>
      <c r="B98">
        <v>102</v>
      </c>
      <c r="C98">
        <v>281695</v>
      </c>
      <c r="D98" t="s">
        <v>11</v>
      </c>
    </row>
    <row r="99" spans="1:4" x14ac:dyDescent="0.25">
      <c r="A99">
        <v>28</v>
      </c>
      <c r="B99">
        <v>95</v>
      </c>
      <c r="C99">
        <v>501600</v>
      </c>
      <c r="D99">
        <v>97</v>
      </c>
    </row>
    <row r="100" spans="1:4" x14ac:dyDescent="0.25">
      <c r="A100">
        <v>28</v>
      </c>
      <c r="B100">
        <v>99</v>
      </c>
      <c r="C100">
        <v>481605</v>
      </c>
      <c r="D100" t="s">
        <v>11</v>
      </c>
    </row>
    <row r="101" spans="1:4" x14ac:dyDescent="0.25">
      <c r="A101">
        <v>30</v>
      </c>
      <c r="B101">
        <v>80.849462365591293</v>
      </c>
      <c r="C101">
        <v>21764872</v>
      </c>
      <c r="D101">
        <v>85</v>
      </c>
    </row>
    <row r="102" spans="1:4" x14ac:dyDescent="0.25">
      <c r="A102">
        <v>30</v>
      </c>
      <c r="B102">
        <v>87.584337349397501</v>
      </c>
      <c r="C102">
        <v>71464603</v>
      </c>
      <c r="D102">
        <v>90</v>
      </c>
    </row>
    <row r="103" spans="1:4" x14ac:dyDescent="0.25">
      <c r="A103">
        <v>30</v>
      </c>
      <c r="B103">
        <v>92.2322227030145</v>
      </c>
      <c r="C103">
        <v>2504723227</v>
      </c>
      <c r="D103">
        <v>95</v>
      </c>
    </row>
    <row r="104" spans="1:4" x14ac:dyDescent="0.25">
      <c r="A104">
        <v>30</v>
      </c>
      <c r="B104">
        <v>95.000338530401905</v>
      </c>
      <c r="C104">
        <v>19451501363</v>
      </c>
      <c r="D104">
        <v>97</v>
      </c>
    </row>
    <row r="105" spans="1:4" x14ac:dyDescent="0.25">
      <c r="A105">
        <v>30</v>
      </c>
      <c r="B105">
        <v>63.507042253521099</v>
      </c>
      <c r="C105">
        <v>11249037</v>
      </c>
      <c r="D105" t="s">
        <v>10</v>
      </c>
    </row>
    <row r="106" spans="1:4" x14ac:dyDescent="0.25">
      <c r="A106">
        <v>30</v>
      </c>
      <c r="B106">
        <v>98.584589614740295</v>
      </c>
      <c r="C106">
        <v>102975686</v>
      </c>
      <c r="D106" t="s">
        <v>11</v>
      </c>
    </row>
    <row r="107" spans="1:4" x14ac:dyDescent="0.25">
      <c r="A107">
        <v>31</v>
      </c>
      <c r="B107">
        <v>95</v>
      </c>
      <c r="C107">
        <v>430350</v>
      </c>
      <c r="D107">
        <v>97</v>
      </c>
    </row>
    <row r="108" spans="1:4" x14ac:dyDescent="0.25">
      <c r="A108">
        <v>31</v>
      </c>
      <c r="B108">
        <v>100</v>
      </c>
      <c r="C108">
        <v>130000</v>
      </c>
      <c r="D108" t="s">
        <v>11</v>
      </c>
    </row>
    <row r="109" spans="1:4" x14ac:dyDescent="0.25">
      <c r="A109">
        <v>32</v>
      </c>
      <c r="B109">
        <v>87.3333333333333</v>
      </c>
      <c r="C109">
        <v>3115876</v>
      </c>
      <c r="D109">
        <v>90</v>
      </c>
    </row>
    <row r="110" spans="1:4" x14ac:dyDescent="0.25">
      <c r="A110">
        <v>32</v>
      </c>
      <c r="B110">
        <v>91.949152542372801</v>
      </c>
      <c r="C110">
        <v>27405978</v>
      </c>
      <c r="D110">
        <v>95</v>
      </c>
    </row>
    <row r="111" spans="1:4" x14ac:dyDescent="0.25">
      <c r="A111">
        <v>32</v>
      </c>
      <c r="B111">
        <v>95</v>
      </c>
      <c r="C111">
        <v>158248372</v>
      </c>
      <c r="D111">
        <v>97</v>
      </c>
    </row>
    <row r="112" spans="1:4" x14ac:dyDescent="0.25">
      <c r="A112">
        <v>32</v>
      </c>
      <c r="B112">
        <v>99.8125</v>
      </c>
      <c r="C112">
        <v>12260510</v>
      </c>
      <c r="D112" t="s">
        <v>11</v>
      </c>
    </row>
    <row r="113" spans="1:4" x14ac:dyDescent="0.25">
      <c r="A113">
        <v>33</v>
      </c>
      <c r="B113">
        <v>92</v>
      </c>
      <c r="C113">
        <v>87112</v>
      </c>
      <c r="D113">
        <v>95</v>
      </c>
    </row>
    <row r="114" spans="1:4" x14ac:dyDescent="0.25">
      <c r="A114">
        <v>33</v>
      </c>
      <c r="B114">
        <v>95</v>
      </c>
      <c r="C114">
        <v>120650</v>
      </c>
      <c r="D114">
        <v>97</v>
      </c>
    </row>
    <row r="115" spans="1:4" x14ac:dyDescent="0.25">
      <c r="A115">
        <v>33</v>
      </c>
      <c r="B115">
        <v>100</v>
      </c>
      <c r="C115">
        <v>79957</v>
      </c>
      <c r="D115" t="s">
        <v>11</v>
      </c>
    </row>
    <row r="116" spans="1:4" x14ac:dyDescent="0.25">
      <c r="A116">
        <v>34</v>
      </c>
      <c r="B116">
        <v>85</v>
      </c>
      <c r="C116">
        <v>110415</v>
      </c>
      <c r="D116">
        <v>90</v>
      </c>
    </row>
    <row r="117" spans="1:4" x14ac:dyDescent="0.25">
      <c r="A117">
        <v>34</v>
      </c>
      <c r="B117">
        <v>90</v>
      </c>
      <c r="C117">
        <v>139050</v>
      </c>
      <c r="D117">
        <v>95</v>
      </c>
    </row>
    <row r="118" spans="1:4" x14ac:dyDescent="0.25">
      <c r="A118">
        <v>34</v>
      </c>
      <c r="B118">
        <v>100</v>
      </c>
      <c r="C118">
        <v>170000</v>
      </c>
      <c r="D118" t="s">
        <v>11</v>
      </c>
    </row>
    <row r="119" spans="1:4" x14ac:dyDescent="0.25">
      <c r="A119">
        <v>35</v>
      </c>
      <c r="B119">
        <v>81.400000000000006</v>
      </c>
      <c r="C119">
        <v>2631163</v>
      </c>
      <c r="D119">
        <v>85</v>
      </c>
    </row>
    <row r="120" spans="1:4" x14ac:dyDescent="0.25">
      <c r="A120">
        <v>35</v>
      </c>
      <c r="B120">
        <v>86.897435897435798</v>
      </c>
      <c r="C120">
        <v>6333270</v>
      </c>
      <c r="D120">
        <v>90</v>
      </c>
    </row>
    <row r="121" spans="1:4" x14ac:dyDescent="0.25">
      <c r="A121">
        <v>35</v>
      </c>
      <c r="B121">
        <v>91.349714285714199</v>
      </c>
      <c r="C121">
        <v>147913282</v>
      </c>
      <c r="D121">
        <v>95</v>
      </c>
    </row>
    <row r="122" spans="1:4" x14ac:dyDescent="0.25">
      <c r="A122">
        <v>35</v>
      </c>
      <c r="B122">
        <v>95.0963323022536</v>
      </c>
      <c r="C122">
        <v>748575148</v>
      </c>
      <c r="D122">
        <v>97</v>
      </c>
    </row>
    <row r="123" spans="1:4" x14ac:dyDescent="0.25">
      <c r="A123">
        <v>35</v>
      </c>
      <c r="B123">
        <v>63</v>
      </c>
      <c r="C123">
        <v>499005</v>
      </c>
      <c r="D123" t="s">
        <v>10</v>
      </c>
    </row>
    <row r="124" spans="1:4" x14ac:dyDescent="0.25">
      <c r="A124">
        <v>35</v>
      </c>
      <c r="B124">
        <v>99.709581904083805</v>
      </c>
      <c r="C124">
        <v>10419001014</v>
      </c>
      <c r="D124" t="s">
        <v>11</v>
      </c>
    </row>
    <row r="125" spans="1:4" x14ac:dyDescent="0.25">
      <c r="A125">
        <v>36</v>
      </c>
      <c r="B125">
        <v>85</v>
      </c>
      <c r="C125">
        <v>133450</v>
      </c>
      <c r="D125">
        <v>90</v>
      </c>
    </row>
    <row r="126" spans="1:4" x14ac:dyDescent="0.25">
      <c r="A126">
        <v>36</v>
      </c>
      <c r="B126">
        <v>95</v>
      </c>
      <c r="C126">
        <v>156750</v>
      </c>
      <c r="D126">
        <v>97</v>
      </c>
    </row>
    <row r="127" spans="1:4" x14ac:dyDescent="0.25">
      <c r="A127">
        <v>36</v>
      </c>
      <c r="B127">
        <v>100</v>
      </c>
      <c r="C127">
        <v>422480</v>
      </c>
      <c r="D127" t="s">
        <v>11</v>
      </c>
    </row>
    <row r="128" spans="1:4" x14ac:dyDescent="0.25">
      <c r="A128">
        <v>37</v>
      </c>
      <c r="B128">
        <v>91.3333333333333</v>
      </c>
      <c r="C128">
        <v>969786</v>
      </c>
      <c r="D128">
        <v>95</v>
      </c>
    </row>
    <row r="129" spans="1:4" x14ac:dyDescent="0.25">
      <c r="A129">
        <v>37</v>
      </c>
      <c r="B129">
        <v>95</v>
      </c>
      <c r="C129">
        <v>5192252</v>
      </c>
      <c r="D129">
        <v>97</v>
      </c>
    </row>
    <row r="130" spans="1:4" x14ac:dyDescent="0.25">
      <c r="A130">
        <v>37</v>
      </c>
      <c r="B130">
        <v>99.623853211009106</v>
      </c>
      <c r="C130">
        <v>54449328</v>
      </c>
      <c r="D130" t="s">
        <v>11</v>
      </c>
    </row>
    <row r="131" spans="1:4" x14ac:dyDescent="0.25">
      <c r="A131">
        <v>38</v>
      </c>
      <c r="B131">
        <v>100</v>
      </c>
      <c r="C131">
        <v>841000</v>
      </c>
      <c r="D131" t="s">
        <v>11</v>
      </c>
    </row>
    <row r="132" spans="1:4" x14ac:dyDescent="0.25">
      <c r="A132">
        <v>40</v>
      </c>
      <c r="B132">
        <v>90</v>
      </c>
      <c r="C132">
        <v>202500</v>
      </c>
      <c r="D132">
        <v>95</v>
      </c>
    </row>
    <row r="133" spans="1:4" x14ac:dyDescent="0.25">
      <c r="A133">
        <v>40</v>
      </c>
      <c r="B133">
        <v>95.5</v>
      </c>
      <c r="C133">
        <v>193100</v>
      </c>
      <c r="D133">
        <v>97</v>
      </c>
    </row>
    <row r="134" spans="1:4" x14ac:dyDescent="0.25">
      <c r="A134">
        <v>40</v>
      </c>
      <c r="B134">
        <v>99.941176470588204</v>
      </c>
      <c r="C134">
        <v>11595474</v>
      </c>
      <c r="D134" t="s">
        <v>11</v>
      </c>
    </row>
    <row r="135" spans="1:4" x14ac:dyDescent="0.25">
      <c r="A135">
        <v>44</v>
      </c>
      <c r="B135">
        <v>100</v>
      </c>
      <c r="C135">
        <v>90000</v>
      </c>
      <c r="D135" t="s">
        <v>11</v>
      </c>
    </row>
    <row r="136" spans="1:4" x14ac:dyDescent="0.25">
      <c r="A136">
        <v>50</v>
      </c>
      <c r="B136">
        <v>100</v>
      </c>
      <c r="C136">
        <v>132000</v>
      </c>
      <c r="D13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Sheet1</vt:lpstr>
      <vt:lpstr>temp</vt:lpstr>
      <vt:lpstr>Sheet4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2016-03-15T13:56:14Z</cp:lastPrinted>
  <dcterms:created xsi:type="dcterms:W3CDTF">2016-03-14T17:53:44Z</dcterms:created>
  <dcterms:modified xsi:type="dcterms:W3CDTF">2016-03-15T20:45:29Z</dcterms:modified>
</cp:coreProperties>
</file>