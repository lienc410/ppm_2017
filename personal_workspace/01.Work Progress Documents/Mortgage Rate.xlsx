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20" windowWidth="34275" windowHeight="18420"/>
  </bookViews>
  <sheets>
    <sheet name="Sheet1" sheetId="1" r:id="rId1"/>
    <sheet name="Sheet3" sheetId="3" r:id="rId2"/>
  </sheets>
  <definedNames>
    <definedName name="Query_from_Agency_10" localSheetId="0" hidden="1">Sheet1!$A$2:$C$1273</definedName>
    <definedName name="Query_from_Agency_11" localSheetId="0" hidden="1">Sheet1!$F$2:$H$1272</definedName>
  </definedNames>
  <calcPr calcId="145621"/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</calcChain>
</file>

<file path=xl/connections.xml><?xml version="1.0" encoding="utf-8"?>
<connections xmlns="http://schemas.openxmlformats.org/spreadsheetml/2006/main">
  <connection id="1" name="CurrentCouponQuery" type="1" refreshedVersion="4" savePassword="1" saveData="1">
    <dbPr connection="DSN=Cello SQL Server;UID=report;PWD=gm4SJDw4;APP=Microsoft Office 2010;WSID=CELLO-PC4;DATABASE=Cello" command="select d.AsOfDate, m.TickerName, d.SeriesNumValue_x000d__x000a_ from TimeSeriesMeta as m,TimeSeries as d_x000d__x000a_               where m.TimeSeriesMetaId = d.TimeSeriesMetaId_x000d__x000a_               and d.AsOfDate &gt;= '20110201'_x000d__x000a__x0009__x0009__x0009__x0009_and m.source = 'CELLO' _x000d__x000a__x0009__x0009__x0009__x0009_and m.TickerName like 'FN_CMM_30%'_x000d__x000a__x0009__x0009__x0009__x0009_and m.category = 'MTG' _x000d__x000a__x0009__x0009__x0009__x0009_order by d.AsOfDate"/>
  </connection>
  <connection id="2" name="ServicingSpreadQuery" type="1" refreshedVersion="4" savePassword="1" saveData="1">
    <dbPr connection="DSN=Cello SQL Server;UID=report;PWD=gm4SJDw4;APP=Microsoft Office 2010;WSID=CELLO-PC4;DATABASE=Cello" command="select t.AsOfDate, m.TickerName, t.SeriesNumValue_x000d__x000a_from TimeSeries t, TimeSeriesMeta m_x000d__x000a_where t.TimeSeriesMetaId=m.TimeSeriesMetaId_x000d__x000a_and SeriesType ='WEEKLY_SERVICING_SPREAD'_x000d__x000a_and TickerName='PMMS_FRM_30YR'_x000d__x000a_and asofdate &gt;= '20110201'_x000d__x000a_order by asofdate"/>
  </connection>
</connections>
</file>

<file path=xl/sharedStrings.xml><?xml version="1.0" encoding="utf-8"?>
<sst xmlns="http://schemas.openxmlformats.org/spreadsheetml/2006/main" count="5092" uniqueCount="1280">
  <si>
    <t>TickerName</t>
  </si>
  <si>
    <t>AsOfDate</t>
  </si>
  <si>
    <t>SeriesNumValue</t>
  </si>
  <si>
    <t>2016-01-08</t>
  </si>
  <si>
    <t>Servicing Spread</t>
  </si>
  <si>
    <t>FN_CMM_30Yr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</si>
  <si>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</si>
  <si>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</si>
  <si>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</si>
  <si>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</si>
  <si>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</si>
  <si>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</si>
  <si>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</si>
  <si>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</si>
  <si>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</si>
  <si>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</si>
  <si>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</si>
  <si>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</si>
  <si>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</si>
  <si>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</si>
  <si>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</si>
  <si>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</si>
  <si>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</si>
  <si>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</si>
  <si>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</si>
  <si>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</si>
  <si>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</si>
  <si>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</si>
  <si>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</si>
  <si>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</si>
  <si>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</si>
  <si>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</si>
  <si>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</si>
  <si>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</si>
  <si>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</si>
  <si>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</si>
  <si>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</si>
  <si>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</si>
  <si>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</si>
  <si>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</si>
  <si>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</si>
  <si>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</si>
  <si>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</si>
  <si>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</si>
  <si>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</si>
  <si>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</si>
  <si>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</si>
  <si>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</si>
  <si>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</si>
  <si>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</si>
  <si>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</si>
  <si>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</si>
  <si>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</si>
  <si>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</si>
  <si>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</si>
  <si>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</si>
  <si>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</si>
  <si>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</si>
  <si>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</si>
  <si>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</si>
  <si>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</si>
  <si>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</si>
  <si>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</si>
  <si>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</si>
  <si>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</si>
  <si>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</si>
  <si>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</si>
  <si>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</si>
  <si>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</si>
  <si>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</si>
  <si>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</si>
  <si>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</si>
  <si>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</si>
  <si>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</si>
  <si>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</si>
  <si>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</si>
  <si>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</si>
  <si>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</si>
  <si>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</si>
  <si>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</si>
  <si>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</si>
  <si>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</si>
  <si>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</si>
  <si>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</si>
  <si>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</si>
  <si>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</si>
  <si>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</si>
  <si>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</si>
  <si>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</si>
  <si>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</si>
  <si>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</si>
  <si>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</si>
  <si>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</si>
  <si>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</si>
  <si>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</si>
  <si>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</si>
  <si>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</si>
  <si>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</si>
  <si>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</si>
  <si>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</si>
  <si>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</si>
  <si>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</si>
  <si>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</si>
  <si>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</si>
  <si>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</si>
  <si>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</si>
  <si>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</si>
  <si>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</si>
  <si>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</si>
  <si>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</si>
  <si>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</si>
  <si>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</si>
  <si>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</si>
  <si>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</si>
  <si>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</si>
  <si>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</si>
  <si>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</si>
  <si>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</si>
  <si>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</si>
  <si>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</si>
  <si>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</si>
  <si>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</si>
  <si>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</si>
  <si>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</si>
  <si>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</si>
  <si>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</si>
  <si>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</si>
  <si>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</si>
  <si>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</si>
  <si>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</si>
  <si>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</si>
  <si>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</si>
  <si>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</si>
  <si>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</si>
  <si>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</si>
  <si>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</si>
  <si>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</si>
  <si>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</si>
  <si>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</si>
  <si>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</si>
  <si>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</si>
  <si>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</si>
  <si>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</si>
  <si>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</si>
  <si>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</si>
  <si>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</si>
  <si>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</si>
  <si>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</si>
  <si>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</si>
  <si>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</si>
  <si>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</si>
  <si>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</si>
  <si>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</si>
  <si>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</si>
  <si>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</si>
  <si>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</si>
  <si>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</si>
  <si>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</si>
  <si>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</si>
  <si>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</si>
  <si>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</si>
  <si>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</si>
  <si>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</si>
  <si>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</si>
  <si>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</si>
  <si>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</si>
  <si>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</si>
  <si>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</si>
  <si>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</si>
  <si>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</si>
  <si>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</si>
  <si>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</si>
  <si>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</si>
  <si>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</si>
  <si>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</si>
  <si>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</si>
  <si>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</si>
  <si>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</si>
  <si>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</si>
  <si>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</si>
  <si>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</si>
  <si>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</si>
  <si>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</si>
  <si>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</si>
  <si>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</si>
  <si>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</si>
  <si>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</si>
  <si>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</si>
  <si>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</si>
  <si>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</si>
  <si>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</si>
  <si>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</si>
  <si>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</si>
  <si>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</si>
  <si>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</si>
  <si>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</si>
  <si>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</si>
  <si>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</si>
  <si>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</si>
  <si>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</si>
  <si>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</si>
  <si>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</si>
  <si>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</si>
  <si>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</si>
  <si>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</si>
  <si>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</si>
  <si>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</si>
  <si>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</si>
  <si>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</si>
  <si>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</si>
  <si>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</si>
  <si>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</si>
  <si>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</si>
  <si>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</si>
  <si>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</si>
  <si>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</si>
  <si>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</si>
  <si>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</si>
  <si>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</si>
  <si>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</si>
  <si>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</si>
  <si>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</si>
  <si>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</si>
  <si>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</si>
  <si>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</si>
  <si>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</si>
  <si>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</si>
  <si>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</si>
  <si>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</si>
  <si>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</si>
  <si>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</si>
  <si>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</si>
  <si>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2011-12-27</t>
  </si>
  <si>
    <t>2011-12-28</t>
  </si>
  <si>
    <t>2011-12-29</t>
  </si>
  <si>
    <t>2011-12-30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</si>
  <si>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</si>
  <si>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</si>
  <si>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</si>
  <si>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</si>
  <si>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</si>
  <si>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</si>
  <si>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</si>
  <si>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</si>
  <si>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</si>
  <si>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</si>
  <si>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</si>
  <si>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</si>
  <si>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</si>
  <si>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</si>
  <si>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</si>
  <si>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</si>
  <si>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</si>
  <si>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</si>
  <si>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</si>
  <si>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</si>
  <si>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</si>
  <si>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</si>
  <si>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</si>
  <si>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</si>
  <si>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</si>
  <si>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</si>
  <si>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</si>
  <si>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</si>
  <si>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</si>
  <si>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</si>
  <si>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</si>
  <si>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</si>
  <si>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</si>
  <si>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</si>
  <si>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</si>
  <si>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</si>
  <si>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</si>
  <si>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</si>
  <si>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</si>
  <si>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</si>
  <si>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</si>
  <si>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</si>
  <si>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</si>
  <si>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</si>
  <si>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</si>
  <si>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</si>
  <si>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</si>
  <si>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</si>
  <si>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</si>
  <si>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</si>
  <si>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</si>
  <si>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</si>
  <si>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</si>
  <si>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</si>
  <si>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</si>
  <si>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</si>
  <si>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</si>
  <si>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</si>
  <si>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</si>
  <si>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</si>
  <si>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</si>
  <si>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</si>
  <si>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</si>
  <si>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</si>
  <si>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</si>
  <si>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</si>
  <si>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</si>
  <si>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</si>
  <si>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</si>
  <si>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</si>
  <si>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</si>
  <si>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</si>
  <si>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</si>
  <si>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</si>
  <si>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</si>
  <si>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</si>
  <si>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</si>
  <si>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</si>
  <si>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</si>
  <si>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</si>
  <si>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</si>
  <si>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</si>
  <si>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</si>
  <si>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</si>
  <si>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</si>
  <si>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</si>
  <si>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</si>
  <si>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</si>
  <si>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</si>
  <si>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</si>
  <si>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</si>
  <si>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</si>
  <si>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</si>
  <si>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</si>
  <si>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</si>
  <si>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</si>
  <si>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</si>
  <si>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</si>
  <si>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</si>
  <si>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</si>
  <si>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</si>
  <si>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</si>
  <si>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</si>
  <si>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</si>
  <si>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</si>
  <si>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</si>
  <si>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</si>
  <si>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</si>
  <si>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</si>
  <si>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</si>
  <si>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</si>
  <si>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</si>
  <si>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</si>
  <si>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</si>
  <si>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</si>
  <si>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</si>
  <si>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</si>
  <si>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</si>
  <si>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</si>
  <si>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</si>
  <si>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</si>
  <si>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</si>
  <si>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</si>
  <si>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</si>
  <si>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</si>
  <si>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</si>
  <si>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</si>
  <si>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</si>
  <si>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</si>
  <si>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</si>
  <si>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</si>
  <si>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</si>
  <si>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</si>
  <si>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</si>
  <si>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</si>
  <si>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</si>
  <si>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</si>
  <si>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</si>
  <si>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</si>
  <si>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</si>
  <si>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</si>
  <si>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</si>
  <si>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</si>
  <si>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</si>
  <si>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</si>
  <si>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</si>
  <si>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</si>
  <si>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</si>
  <si>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</si>
  <si>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</si>
  <si>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</si>
  <si>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</si>
  <si>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</si>
  <si>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</si>
  <si>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</si>
  <si>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</si>
  <si>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</si>
  <si>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</si>
  <si>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</si>
  <si>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</si>
  <si>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</si>
  <si>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</si>
  <si>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</si>
  <si>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</si>
  <si>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</si>
  <si>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</si>
  <si>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</si>
  <si>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</si>
  <si>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</si>
  <si>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</si>
  <si>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</si>
  <si>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</si>
  <si>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</si>
  <si>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</si>
  <si>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</si>
  <si>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</si>
  <si>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</si>
  <si>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</si>
  <si>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</si>
  <si>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</si>
  <si>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</si>
  <si>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</si>
  <si>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</si>
  <si>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</si>
  <si>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</si>
  <si>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</si>
  <si>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</si>
  <si>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</si>
  <si>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</si>
  <si>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</si>
  <si>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</si>
  <si>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</si>
  <si>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</si>
  <si>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</si>
  <si>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</si>
  <si>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</si>
  <si>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</si>
  <si>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</si>
  <si>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</si>
  <si>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</si>
  <si>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</si>
  <si>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</si>
  <si>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</si>
  <si>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</si>
  <si>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</si>
  <si>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</si>
  <si>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</si>
  <si>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</si>
  <si>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</si>
  <si>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</si>
  <si>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</si>
  <si>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</si>
  <si>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</si>
  <si>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</si>
  <si>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</si>
  <si>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</si>
  <si>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</si>
  <si>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</si>
  <si>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</si>
  <si>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</si>
  <si>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</si>
  <si>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</si>
  <si>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</si>
  <si>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</si>
  <si>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</si>
  <si>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</si>
  <si>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</si>
  <si>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</si>
  <si>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</si>
  <si>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</si>
  <si>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</si>
  <si>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</si>
  <si>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</si>
  <si>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</si>
  <si>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</si>
  <si>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</si>
  <si>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</si>
  <si>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</si>
  <si>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</si>
  <si>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</si>
  <si>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</si>
  <si>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</si>
  <si>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</si>
  <si>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</si>
  <si>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</si>
  <si>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</si>
  <si>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2012-12-26</t>
  </si>
  <si>
    <t>2012-12-27</t>
  </si>
  <si>
    <t>2012-12-28</t>
  </si>
  <si>
    <t>2012-12-31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</si>
  <si>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</si>
  <si>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</si>
  <si>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</si>
  <si>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</si>
  <si>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</si>
  <si>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</si>
  <si>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</si>
  <si>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</si>
  <si>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</si>
  <si>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</si>
  <si>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</si>
  <si>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</si>
  <si>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</si>
  <si>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</si>
  <si>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</si>
  <si>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</si>
  <si>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</si>
  <si>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</si>
  <si>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</si>
  <si>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</si>
  <si>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</si>
  <si>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</si>
  <si>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</si>
  <si>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</si>
  <si>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</si>
  <si>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</si>
  <si>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</si>
  <si>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</si>
  <si>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</si>
  <si>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</si>
  <si>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</si>
  <si>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</si>
  <si>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</si>
  <si>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</si>
  <si>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</si>
  <si>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</si>
  <si>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</si>
  <si>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</si>
  <si>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</si>
  <si>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</si>
  <si>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</si>
  <si>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</si>
  <si>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</si>
  <si>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</si>
  <si>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</si>
  <si>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</si>
  <si>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</si>
  <si>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</si>
  <si>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</si>
  <si>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</si>
  <si>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</si>
  <si>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</si>
  <si>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</si>
  <si>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</si>
  <si>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</si>
  <si>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</si>
  <si>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</si>
  <si>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</si>
  <si>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</si>
  <si>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</si>
  <si>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</si>
  <si>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</si>
  <si>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</si>
  <si>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</si>
  <si>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</si>
  <si>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</si>
  <si>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</si>
  <si>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</si>
  <si>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</si>
  <si>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</si>
  <si>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</si>
  <si>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</si>
  <si>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</si>
  <si>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</si>
  <si>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</si>
  <si>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</si>
  <si>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</si>
  <si>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</si>
  <si>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</si>
  <si>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</si>
  <si>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</si>
  <si>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</si>
  <si>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</si>
  <si>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</si>
  <si>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</si>
  <si>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</si>
  <si>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</si>
  <si>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</si>
  <si>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</si>
  <si>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</si>
  <si>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</si>
  <si>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</si>
  <si>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</si>
  <si>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</si>
  <si>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</si>
  <si>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</si>
  <si>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</si>
  <si>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</si>
  <si>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</si>
  <si>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</si>
  <si>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</si>
  <si>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</si>
  <si>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</si>
  <si>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</si>
  <si>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</si>
  <si>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</si>
  <si>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</si>
  <si>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</si>
  <si>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</si>
  <si>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</si>
  <si>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</si>
  <si>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</si>
  <si>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</si>
  <si>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</si>
  <si>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</si>
  <si>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</si>
  <si>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</si>
  <si>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</si>
  <si>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</si>
  <si>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</si>
  <si>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</si>
  <si>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</si>
  <si>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</si>
  <si>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</si>
  <si>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</si>
  <si>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</si>
  <si>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</si>
  <si>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</si>
  <si>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</si>
  <si>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</si>
  <si>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</si>
  <si>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</si>
  <si>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</si>
  <si>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</si>
  <si>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</si>
  <si>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</si>
  <si>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</si>
  <si>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</si>
  <si>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</si>
  <si>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</si>
  <si>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</si>
  <si>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</si>
  <si>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</si>
  <si>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</si>
  <si>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</si>
  <si>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</si>
  <si>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</si>
  <si>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</si>
  <si>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</si>
  <si>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</si>
  <si>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</si>
  <si>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</si>
  <si>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</si>
  <si>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</si>
  <si>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</si>
  <si>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</si>
  <si>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</si>
  <si>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</si>
  <si>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</si>
  <si>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</si>
  <si>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</si>
  <si>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</si>
  <si>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</si>
  <si>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</si>
  <si>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</si>
  <si>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</si>
  <si>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</si>
  <si>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</si>
  <si>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</si>
  <si>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</si>
  <si>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</si>
  <si>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</si>
  <si>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</si>
  <si>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</si>
  <si>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</si>
  <si>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</si>
  <si>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</si>
  <si>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</si>
  <si>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</si>
  <si>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</si>
  <si>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</si>
  <si>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</si>
  <si>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</si>
  <si>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</si>
  <si>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</si>
  <si>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</si>
  <si>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</si>
  <si>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</si>
  <si>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</si>
  <si>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</si>
  <si>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</si>
  <si>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</si>
  <si>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</si>
  <si>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</si>
  <si>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</si>
  <si>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</si>
  <si>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</si>
  <si>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</si>
  <si>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</si>
  <si>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</si>
  <si>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</si>
  <si>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</si>
  <si>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</si>
  <si>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</si>
  <si>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</si>
  <si>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</si>
  <si>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</si>
  <si>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</si>
  <si>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</si>
  <si>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</si>
  <si>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</si>
  <si>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</si>
  <si>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</si>
  <si>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</si>
  <si>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</si>
  <si>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</si>
  <si>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</si>
  <si>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</si>
  <si>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</si>
  <si>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</si>
  <si>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</si>
  <si>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</si>
  <si>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</si>
  <si>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</si>
  <si>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</si>
  <si>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</si>
  <si>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</si>
  <si>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</si>
  <si>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</si>
  <si>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</si>
  <si>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</si>
  <si>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</si>
  <si>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</si>
  <si>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</si>
  <si>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</si>
  <si>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</si>
  <si>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</si>
  <si>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</si>
  <si>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</si>
  <si>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</si>
  <si>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</si>
  <si>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</si>
  <si>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</si>
  <si>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</si>
  <si>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</si>
  <si>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</si>
  <si>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2013-12-26</t>
  </si>
  <si>
    <t>2013-12-27</t>
  </si>
  <si>
    <t>2013-12-30</t>
  </si>
  <si>
    <t>2013-12-31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</si>
  <si>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</si>
  <si>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</si>
  <si>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</si>
  <si>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</si>
  <si>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</si>
  <si>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</si>
  <si>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</si>
  <si>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</si>
  <si>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</si>
  <si>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</si>
  <si>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</si>
  <si>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</si>
  <si>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</si>
  <si>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</si>
  <si>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</si>
  <si>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</si>
  <si>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</si>
  <si>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</si>
  <si>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</si>
  <si>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</si>
  <si>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</si>
  <si>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</si>
  <si>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</si>
  <si>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</si>
  <si>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</si>
  <si>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</si>
  <si>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</si>
  <si>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</si>
  <si>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</si>
  <si>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</si>
  <si>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</si>
  <si>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</si>
  <si>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</si>
  <si>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</si>
  <si>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</si>
  <si>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</si>
  <si>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</si>
  <si>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</si>
  <si>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</si>
  <si>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</si>
  <si>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</si>
  <si>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</si>
  <si>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</si>
  <si>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</si>
  <si>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</si>
  <si>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</si>
  <si>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</si>
  <si>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</si>
  <si>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</si>
  <si>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</si>
  <si>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</si>
  <si>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</si>
  <si>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</si>
  <si>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</si>
  <si>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</si>
  <si>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</si>
  <si>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</si>
  <si>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</si>
  <si>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</si>
  <si>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</si>
  <si>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</si>
  <si>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</si>
  <si>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</si>
  <si>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</si>
  <si>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</si>
  <si>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</si>
  <si>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</si>
  <si>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</si>
  <si>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</si>
  <si>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</si>
  <si>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</si>
  <si>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</si>
  <si>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</si>
  <si>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</si>
  <si>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</si>
  <si>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</si>
  <si>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</si>
  <si>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</si>
  <si>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</si>
  <si>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</si>
  <si>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</si>
  <si>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</si>
  <si>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</si>
  <si>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</si>
  <si>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</si>
  <si>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</si>
  <si>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</si>
  <si>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</si>
  <si>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</si>
  <si>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</si>
  <si>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</si>
  <si>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</si>
  <si>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</si>
  <si>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</si>
  <si>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</si>
  <si>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</si>
  <si>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</si>
  <si>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</si>
  <si>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</si>
  <si>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</si>
  <si>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</si>
  <si>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</si>
  <si>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</si>
  <si>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</si>
  <si>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</si>
  <si>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</si>
  <si>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</si>
  <si>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</si>
  <si>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</si>
  <si>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</si>
  <si>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</si>
  <si>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</si>
  <si>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</si>
  <si>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</si>
  <si>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</si>
  <si>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</si>
  <si>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</si>
  <si>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</si>
  <si>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</si>
  <si>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</si>
  <si>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</si>
  <si>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</si>
  <si>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</si>
  <si>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</si>
  <si>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</si>
  <si>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</si>
  <si>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</si>
  <si>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</si>
  <si>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</si>
  <si>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</si>
  <si>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</si>
  <si>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</si>
  <si>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</si>
  <si>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</si>
  <si>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</si>
  <si>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</si>
  <si>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</si>
  <si>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</si>
  <si>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</si>
  <si>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</si>
  <si>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</si>
  <si>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</si>
  <si>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</si>
  <si>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</si>
  <si>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</si>
  <si>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</si>
  <si>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</si>
  <si>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</si>
  <si>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</si>
  <si>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</si>
  <si>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</si>
  <si>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</si>
  <si>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</si>
  <si>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</si>
  <si>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</si>
  <si>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</si>
  <si>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</si>
  <si>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</si>
  <si>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</si>
  <si>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</si>
  <si>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</si>
  <si>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</si>
  <si>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</si>
  <si>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</si>
  <si>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</si>
  <si>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</si>
  <si>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</si>
  <si>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</si>
  <si>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</si>
  <si>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</si>
  <si>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</si>
  <si>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</si>
  <si>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</si>
  <si>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</si>
  <si>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</si>
  <si>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</si>
  <si>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</si>
  <si>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</si>
  <si>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</si>
  <si>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</si>
  <si>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</si>
  <si>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</si>
  <si>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</si>
  <si>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</si>
  <si>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</si>
  <si>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</si>
  <si>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</si>
  <si>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</si>
  <si>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</si>
  <si>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</si>
  <si>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</si>
  <si>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</si>
  <si>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</si>
  <si>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</si>
  <si>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</si>
  <si>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</si>
  <si>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</si>
  <si>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</si>
  <si>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</si>
  <si>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</si>
  <si>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</si>
  <si>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</si>
  <si>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</si>
  <si>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</si>
  <si>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</si>
  <si>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</si>
  <si>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</si>
  <si>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</si>
  <si>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</si>
  <si>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</si>
  <si>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</si>
  <si>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</si>
  <si>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</si>
  <si>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</si>
  <si>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</si>
  <si>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</si>
  <si>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</si>
  <si>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</si>
  <si>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</si>
  <si>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</si>
  <si>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</si>
  <si>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</si>
  <si>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</si>
  <si>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</si>
  <si>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</si>
  <si>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</si>
  <si>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</si>
  <si>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</si>
  <si>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</si>
  <si>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</si>
  <si>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</si>
  <si>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</si>
  <si>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</si>
  <si>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</si>
  <si>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</si>
  <si>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</si>
  <si>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</si>
  <si>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</si>
  <si>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</si>
  <si>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</si>
  <si>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</si>
  <si>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</si>
  <si>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</si>
  <si>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</si>
  <si>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</si>
  <si>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</si>
  <si>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2014-12-26</t>
  </si>
  <si>
    <t>2014-12-29</t>
  </si>
  <si>
    <t>2014-12-30</t>
  </si>
  <si>
    <t>2014-12-31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</si>
  <si>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</si>
  <si>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</si>
  <si>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</si>
  <si>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</si>
  <si>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</si>
  <si>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</si>
  <si>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</si>
  <si>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</si>
  <si>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</si>
  <si>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</si>
  <si>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</si>
  <si>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</si>
  <si>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</si>
  <si>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</si>
  <si>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</si>
  <si>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</si>
  <si>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</si>
  <si>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</si>
  <si>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</si>
  <si>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</si>
  <si>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</si>
  <si>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</si>
  <si>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</si>
  <si>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</si>
  <si>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</si>
  <si>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</si>
  <si>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</si>
  <si>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</si>
  <si>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</si>
  <si>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</si>
  <si>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</si>
  <si>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</si>
  <si>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</si>
  <si>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</si>
  <si>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</si>
  <si>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</si>
  <si>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</si>
  <si>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</si>
  <si>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</si>
  <si>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</si>
  <si>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</si>
  <si>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</si>
  <si>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</si>
  <si>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</si>
  <si>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</si>
  <si>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</si>
  <si>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</si>
  <si>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</si>
  <si>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</si>
  <si>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</si>
  <si>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</si>
  <si>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</si>
  <si>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</si>
  <si>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</si>
  <si>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</si>
  <si>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</si>
  <si>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</si>
  <si>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</si>
  <si>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</si>
  <si>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</si>
  <si>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</si>
  <si>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</si>
  <si>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</si>
  <si>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</si>
  <si>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</si>
  <si>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</si>
  <si>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</si>
  <si>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</si>
  <si>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</si>
  <si>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</si>
  <si>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</si>
  <si>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</si>
  <si>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</si>
  <si>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</si>
  <si>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</si>
  <si>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</si>
  <si>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</si>
  <si>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</si>
  <si>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</si>
  <si>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</si>
  <si>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</si>
  <si>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</si>
  <si>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</si>
  <si>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</si>
  <si>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</si>
  <si>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</si>
  <si>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</si>
  <si>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</si>
  <si>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</si>
  <si>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</si>
  <si>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</si>
  <si>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</si>
  <si>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</si>
  <si>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</si>
  <si>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</si>
  <si>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</si>
  <si>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</si>
  <si>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</si>
  <si>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</si>
  <si>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</si>
  <si>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</si>
  <si>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</si>
  <si>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</si>
  <si>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</si>
  <si>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</si>
  <si>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</si>
  <si>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</si>
  <si>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</si>
  <si>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</si>
  <si>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</si>
  <si>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</si>
  <si>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</si>
  <si>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</si>
  <si>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</si>
  <si>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</si>
  <si>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</si>
  <si>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</si>
  <si>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</si>
  <si>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</si>
  <si>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</si>
  <si>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</si>
  <si>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</si>
  <si>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</si>
  <si>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</si>
  <si>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</si>
  <si>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</si>
  <si>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</si>
  <si>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</si>
  <si>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</si>
  <si>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</si>
  <si>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</si>
  <si>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</si>
  <si>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</si>
  <si>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</si>
  <si>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</si>
  <si>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</si>
  <si>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</si>
  <si>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</si>
  <si>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</si>
  <si>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</si>
  <si>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</si>
  <si>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</si>
  <si>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</si>
  <si>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</si>
  <si>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</si>
  <si>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</si>
  <si>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</si>
  <si>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</si>
  <si>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</si>
  <si>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</si>
  <si>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</si>
  <si>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</si>
  <si>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</si>
  <si>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</si>
  <si>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</si>
  <si>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</si>
  <si>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</si>
  <si>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</si>
  <si>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</si>
  <si>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</si>
  <si>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</si>
  <si>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</si>
  <si>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</si>
  <si>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</si>
  <si>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</si>
  <si>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</si>
  <si>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</si>
  <si>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</si>
  <si>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</si>
  <si>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</si>
  <si>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</si>
  <si>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</si>
  <si>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</si>
  <si>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</si>
  <si>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</si>
  <si>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</si>
  <si>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</si>
  <si>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</si>
  <si>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</si>
  <si>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</si>
  <si>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</si>
  <si>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</si>
  <si>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</si>
  <si>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</si>
  <si>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</si>
  <si>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</si>
  <si>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</si>
  <si>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</si>
  <si>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</si>
  <si>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</si>
  <si>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</si>
  <si>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</si>
  <si>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</si>
  <si>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</si>
  <si>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</si>
  <si>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</si>
  <si>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</si>
  <si>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</si>
  <si>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</si>
  <si>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</si>
  <si>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</si>
  <si>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</si>
  <si>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</si>
  <si>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</si>
  <si>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</si>
  <si>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</si>
  <si>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</si>
  <si>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</si>
  <si>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</si>
  <si>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</si>
  <si>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</si>
  <si>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</si>
  <si>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</si>
  <si>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</si>
  <si>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</si>
  <si>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</si>
  <si>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</si>
  <si>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</si>
  <si>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</si>
  <si>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</si>
  <si>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</si>
  <si>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</si>
  <si>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</si>
  <si>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</si>
  <si>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</si>
  <si>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</si>
  <si>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</si>
  <si>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</si>
  <si>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</si>
  <si>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</si>
  <si>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</si>
  <si>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</si>
  <si>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</si>
  <si>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</si>
  <si>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</si>
  <si>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</si>
  <si>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</si>
  <si>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</si>
  <si>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</si>
  <si>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</si>
  <si>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</si>
  <si>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</si>
  <si>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</si>
  <si>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</si>
  <si>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</si>
  <si>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</si>
  <si>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</si>
  <si>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2015-12-28</t>
  </si>
  <si>
    <t>2015-12-29</t>
  </si>
  <si>
    <t>2015-12-30</t>
  </si>
  <si>
    <t>2015-12-31</t>
  </si>
  <si>
    <t>2016-01-04</t>
  </si>
  <si>
    <t>2016-01-05</t>
  </si>
  <si>
    <t>2016-01-06</t>
  </si>
  <si>
    <t>2016-01-07</t>
  </si>
  <si>
    <t>2016-01-11</t>
  </si>
  <si>
    <t>2016-01-12</t>
  </si>
  <si>
    <t>2016-01-13</t>
  </si>
  <si>
    <t>2016-01-14</t>
  </si>
  <si>
    <t>2016-01-15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</si>
  <si>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</si>
  <si>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</si>
  <si>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</si>
  <si>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</si>
  <si>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</si>
  <si>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</si>
  <si>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</si>
  <si>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</si>
  <si>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</si>
  <si>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</si>
  <si>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</si>
  <si>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</si>
  <si>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</si>
  <si>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</si>
  <si>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</si>
  <si>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</si>
  <si>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</si>
  <si>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</si>
  <si>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</si>
  <si>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</si>
  <si>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</si>
  <si>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</si>
  <si>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</si>
  <si>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</si>
  <si>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</si>
  <si>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</si>
  <si>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</si>
  <si>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</si>
  <si>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</si>
  <si>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</si>
  <si>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Current Coupon</t>
  </si>
  <si>
    <t>PMMS_FRM_30YR</t>
  </si>
  <si>
    <t>Mortage Rate</t>
  </si>
  <si>
    <t>PMMS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</si>
</sst>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name val="Calibri"/>
      <scheme val="minor"/>
    </font>
    <font>
      <sz val="1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/>
  </cellStyleXfs>
  <cellXfs count="5">
    <xf numFmtId="0" fontId="0" fillId="0" borderId="0" xfId="0"/>
    <xf numFmtId="0" fontId="1" fillId="2" borderId="0" xfId="1" applyFont="1"/>
    <xf numFmtId="0" fontId="2" fillId="2" borderId="0" xfId="1" applyFont="1"/>
    <xf numFmtId="0" fontId="3" fillId="0" borderId="0" xfId="0" applyFont="1"/>
    <xf numFmtId="14" fontId="0" fillId="0" borderId="0" xfId="0" applyNumberFormat="1"/>
  </cellXfs>
  <cellStyles count="2">
    <cellStyle name="Normal" xfId="0" builtinId="0"/>
    <cellStyle name="Normal 2 7" xfId="1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Sheet1!$D$2</c:f>
              <c:strCache>
                <c:ptCount val="1"/>
                <c:pt idx="0">
                  <c:v>Mortage Rate</c:v>
                </c:pt>
              </c:strCache>
            </c:strRef>
          </c:tx>
          <c:marker>
            <c:symbol val="none"/>
          </c:marker>
          <c:cat>
            <c:strRef>
              <c:f>Sheet1!$B$3:$B$1273</c:f>
              <c:strCache>
                <c:ptCount val="1271"/>
                <c:pt idx="0">
                  <c:v>2011-02-01</c:v>
                </c:pt>
                <c:pt idx="1">
                  <c:v>2011-02-02</c:v>
                </c:pt>
                <c:pt idx="2">
                  <c:v>2011-02-03</c:v>
                </c:pt>
                <c:pt idx="3">
                  <c:v>2011-02-04</c:v>
                </c:pt>
                <c:pt idx="4">
                  <c:v>2011-02-07</c:v>
                </c:pt>
                <c:pt idx="5">
                  <c:v>2011-02-08</c:v>
                </c:pt>
                <c:pt idx="6">
                  <c:v>2011-02-09</c:v>
                </c:pt>
                <c:pt idx="7">
                  <c:v>2011-02-10</c:v>
                </c:pt>
                <c:pt idx="8">
                  <c:v>2011-02-11</c:v>
                </c:pt>
                <c:pt idx="9">
                  <c:v>2011-02-14</c:v>
                </c:pt>
                <c:pt idx="10">
                  <c:v>2011-02-15</c:v>
                </c:pt>
                <c:pt idx="11">
                  <c:v>2011-02-16</c:v>
                </c:pt>
                <c:pt idx="12">
                  <c:v>2011-02-17</c:v>
                </c:pt>
                <c:pt idx="13">
                  <c:v>2011-02-18</c:v>
                </c:pt>
                <c:pt idx="14">
                  <c:v>2011-02-22</c:v>
                </c:pt>
                <c:pt idx="15">
                  <c:v>2011-02-23</c:v>
                </c:pt>
                <c:pt idx="16">
                  <c:v>2011-02-24</c:v>
                </c:pt>
                <c:pt idx="17">
                  <c:v>2011-02-25</c:v>
                </c:pt>
                <c:pt idx="18">
                  <c:v>2011-02-28</c:v>
                </c:pt>
                <c:pt idx="19">
                  <c:v>2011-03-01</c:v>
                </c:pt>
                <c:pt idx="20">
                  <c:v>2011-03-02</c:v>
                </c:pt>
                <c:pt idx="21">
                  <c:v>2011-03-03</c:v>
                </c:pt>
                <c:pt idx="22">
                  <c:v>2011-03-04</c:v>
                </c:pt>
                <c:pt idx="23">
                  <c:v>2011-03-07</c:v>
                </c:pt>
                <c:pt idx="24">
                  <c:v>2011-03-08</c:v>
                </c:pt>
                <c:pt idx="25">
                  <c:v>2011-03-09</c:v>
                </c:pt>
                <c:pt idx="26">
                  <c:v>2011-03-10</c:v>
                </c:pt>
                <c:pt idx="27">
                  <c:v>2011-03-11</c:v>
                </c:pt>
                <c:pt idx="28">
                  <c:v>2011-03-14</c:v>
                </c:pt>
                <c:pt idx="29">
                  <c:v>2011-03-15</c:v>
                </c:pt>
                <c:pt idx="30">
                  <c:v>2011-03-16</c:v>
                </c:pt>
                <c:pt idx="31">
                  <c:v>2011-03-17</c:v>
                </c:pt>
                <c:pt idx="32">
                  <c:v>2011-03-18</c:v>
                </c:pt>
                <c:pt idx="33">
                  <c:v>2011-03-21</c:v>
                </c:pt>
                <c:pt idx="34">
                  <c:v>2011-03-22</c:v>
                </c:pt>
                <c:pt idx="35">
                  <c:v>2011-03-23</c:v>
                </c:pt>
                <c:pt idx="36">
                  <c:v>2011-03-24</c:v>
                </c:pt>
                <c:pt idx="37">
                  <c:v>2011-03-25</c:v>
                </c:pt>
                <c:pt idx="38">
                  <c:v>2011-03-28</c:v>
                </c:pt>
                <c:pt idx="39">
                  <c:v>2011-03-29</c:v>
                </c:pt>
                <c:pt idx="40">
                  <c:v>2011-03-30</c:v>
                </c:pt>
                <c:pt idx="41">
                  <c:v>2011-03-31</c:v>
                </c:pt>
                <c:pt idx="42">
                  <c:v>2011-04-01</c:v>
                </c:pt>
                <c:pt idx="43">
                  <c:v>2011-04-04</c:v>
                </c:pt>
                <c:pt idx="44">
                  <c:v>2011-04-05</c:v>
                </c:pt>
                <c:pt idx="45">
                  <c:v>2011-04-06</c:v>
                </c:pt>
                <c:pt idx="46">
                  <c:v>2011-04-07</c:v>
                </c:pt>
                <c:pt idx="47">
                  <c:v>2011-04-08</c:v>
                </c:pt>
                <c:pt idx="48">
                  <c:v>2011-04-11</c:v>
                </c:pt>
                <c:pt idx="49">
                  <c:v>2011-04-12</c:v>
                </c:pt>
                <c:pt idx="50">
                  <c:v>2011-04-13</c:v>
                </c:pt>
                <c:pt idx="51">
                  <c:v>2011-04-14</c:v>
                </c:pt>
                <c:pt idx="52">
                  <c:v>2011-04-15</c:v>
                </c:pt>
                <c:pt idx="53">
                  <c:v>2011-04-18</c:v>
                </c:pt>
                <c:pt idx="54">
                  <c:v>2011-04-19</c:v>
                </c:pt>
                <c:pt idx="55">
                  <c:v>2011-04-20</c:v>
                </c:pt>
                <c:pt idx="56">
                  <c:v>2011-04-21</c:v>
                </c:pt>
                <c:pt idx="57">
                  <c:v>2011-04-25</c:v>
                </c:pt>
                <c:pt idx="58">
                  <c:v>2011-04-26</c:v>
                </c:pt>
                <c:pt idx="59">
                  <c:v>2011-04-27</c:v>
                </c:pt>
                <c:pt idx="60">
                  <c:v>2011-04-28</c:v>
                </c:pt>
                <c:pt idx="61">
                  <c:v>2011-04-29</c:v>
                </c:pt>
                <c:pt idx="62">
                  <c:v>2011-05-02</c:v>
                </c:pt>
                <c:pt idx="63">
                  <c:v>2011-05-03</c:v>
                </c:pt>
                <c:pt idx="64">
                  <c:v>2011-05-04</c:v>
                </c:pt>
                <c:pt idx="65">
                  <c:v>2011-05-05</c:v>
                </c:pt>
                <c:pt idx="66">
                  <c:v>2011-05-06</c:v>
                </c:pt>
                <c:pt idx="67">
                  <c:v>2011-05-09</c:v>
                </c:pt>
                <c:pt idx="68">
                  <c:v>2011-05-10</c:v>
                </c:pt>
                <c:pt idx="69">
                  <c:v>2011-05-11</c:v>
                </c:pt>
                <c:pt idx="70">
                  <c:v>2011-05-12</c:v>
                </c:pt>
                <c:pt idx="71">
                  <c:v>2011-05-13</c:v>
                </c:pt>
                <c:pt idx="72">
                  <c:v>2011-05-16</c:v>
                </c:pt>
                <c:pt idx="73">
                  <c:v>2011-05-17</c:v>
                </c:pt>
                <c:pt idx="74">
                  <c:v>2011-05-18</c:v>
                </c:pt>
                <c:pt idx="75">
                  <c:v>2011-05-19</c:v>
                </c:pt>
                <c:pt idx="76">
                  <c:v>2011-05-20</c:v>
                </c:pt>
                <c:pt idx="77">
                  <c:v>2011-05-23</c:v>
                </c:pt>
                <c:pt idx="78">
                  <c:v>2011-05-24</c:v>
                </c:pt>
                <c:pt idx="79">
                  <c:v>2011-05-25</c:v>
                </c:pt>
                <c:pt idx="80">
                  <c:v>2011-05-26</c:v>
                </c:pt>
                <c:pt idx="81">
                  <c:v>2011-05-27</c:v>
                </c:pt>
                <c:pt idx="82">
                  <c:v>2011-05-31</c:v>
                </c:pt>
                <c:pt idx="83">
                  <c:v>2011-06-01</c:v>
                </c:pt>
                <c:pt idx="84">
                  <c:v>2011-06-02</c:v>
                </c:pt>
                <c:pt idx="85">
                  <c:v>2011-06-03</c:v>
                </c:pt>
                <c:pt idx="86">
                  <c:v>2011-06-06</c:v>
                </c:pt>
                <c:pt idx="87">
                  <c:v>2011-06-07</c:v>
                </c:pt>
                <c:pt idx="88">
                  <c:v>2011-06-08</c:v>
                </c:pt>
                <c:pt idx="89">
                  <c:v>2011-06-09</c:v>
                </c:pt>
                <c:pt idx="90">
                  <c:v>2011-06-10</c:v>
                </c:pt>
                <c:pt idx="91">
                  <c:v>2011-06-13</c:v>
                </c:pt>
                <c:pt idx="92">
                  <c:v>2011-06-14</c:v>
                </c:pt>
                <c:pt idx="93">
                  <c:v>2011-06-15</c:v>
                </c:pt>
                <c:pt idx="94">
                  <c:v>2011-06-16</c:v>
                </c:pt>
                <c:pt idx="95">
                  <c:v>2011-06-17</c:v>
                </c:pt>
                <c:pt idx="96">
                  <c:v>2011-06-20</c:v>
                </c:pt>
                <c:pt idx="97">
                  <c:v>2011-06-21</c:v>
                </c:pt>
                <c:pt idx="98">
                  <c:v>2011-06-22</c:v>
                </c:pt>
                <c:pt idx="99">
                  <c:v>2011-06-23</c:v>
                </c:pt>
                <c:pt idx="100">
                  <c:v>2011-06-24</c:v>
                </c:pt>
                <c:pt idx="101">
                  <c:v>2011-06-27</c:v>
                </c:pt>
                <c:pt idx="102">
                  <c:v>2011-06-28</c:v>
                </c:pt>
                <c:pt idx="103">
                  <c:v>2011-06-29</c:v>
                </c:pt>
                <c:pt idx="104">
                  <c:v>2011-06-30</c:v>
                </c:pt>
                <c:pt idx="105">
                  <c:v>2011-07-01</c:v>
                </c:pt>
                <c:pt idx="106">
                  <c:v>2011-07-05</c:v>
                </c:pt>
                <c:pt idx="107">
                  <c:v>2011-07-06</c:v>
                </c:pt>
                <c:pt idx="108">
                  <c:v>2011-07-07</c:v>
                </c:pt>
                <c:pt idx="109">
                  <c:v>2011-07-08</c:v>
                </c:pt>
                <c:pt idx="110">
                  <c:v>2011-07-11</c:v>
                </c:pt>
                <c:pt idx="111">
                  <c:v>2011-07-12</c:v>
                </c:pt>
                <c:pt idx="112">
                  <c:v>2011-07-13</c:v>
                </c:pt>
                <c:pt idx="113">
                  <c:v>2011-07-14</c:v>
                </c:pt>
                <c:pt idx="114">
                  <c:v>2011-07-15</c:v>
                </c:pt>
                <c:pt idx="115">
                  <c:v>2011-07-18</c:v>
                </c:pt>
                <c:pt idx="116">
                  <c:v>2011-07-19</c:v>
                </c:pt>
                <c:pt idx="117">
                  <c:v>2011-07-20</c:v>
                </c:pt>
                <c:pt idx="118">
                  <c:v>2011-07-21</c:v>
                </c:pt>
                <c:pt idx="119">
                  <c:v>2011-07-22</c:v>
                </c:pt>
                <c:pt idx="120">
                  <c:v>2011-07-25</c:v>
                </c:pt>
                <c:pt idx="121">
                  <c:v>2011-07-26</c:v>
                </c:pt>
                <c:pt idx="122">
                  <c:v>2011-07-27</c:v>
                </c:pt>
                <c:pt idx="123">
                  <c:v>2011-07-28</c:v>
                </c:pt>
                <c:pt idx="124">
                  <c:v>2011-07-29</c:v>
                </c:pt>
                <c:pt idx="125">
                  <c:v>2011-08-01</c:v>
                </c:pt>
                <c:pt idx="126">
                  <c:v>2011-08-02</c:v>
                </c:pt>
                <c:pt idx="127">
                  <c:v>2011-08-03</c:v>
                </c:pt>
                <c:pt idx="128">
                  <c:v>2011-08-04</c:v>
                </c:pt>
                <c:pt idx="129">
                  <c:v>2011-08-05</c:v>
                </c:pt>
                <c:pt idx="130">
                  <c:v>2011-08-08</c:v>
                </c:pt>
                <c:pt idx="131">
                  <c:v>2011-08-09</c:v>
                </c:pt>
                <c:pt idx="132">
                  <c:v>2011-08-10</c:v>
                </c:pt>
                <c:pt idx="133">
                  <c:v>2011-08-11</c:v>
                </c:pt>
                <c:pt idx="134">
                  <c:v>2011-08-12</c:v>
                </c:pt>
                <c:pt idx="135">
                  <c:v>2011-08-15</c:v>
                </c:pt>
                <c:pt idx="136">
                  <c:v>2011-08-16</c:v>
                </c:pt>
                <c:pt idx="137">
                  <c:v>2011-08-17</c:v>
                </c:pt>
                <c:pt idx="138">
                  <c:v>2011-08-18</c:v>
                </c:pt>
                <c:pt idx="139">
                  <c:v>2011-08-19</c:v>
                </c:pt>
                <c:pt idx="140">
                  <c:v>2011-08-22</c:v>
                </c:pt>
                <c:pt idx="141">
                  <c:v>2011-08-23</c:v>
                </c:pt>
                <c:pt idx="142">
                  <c:v>2011-08-24</c:v>
                </c:pt>
                <c:pt idx="143">
                  <c:v>2011-08-25</c:v>
                </c:pt>
                <c:pt idx="144">
                  <c:v>2011-08-26</c:v>
                </c:pt>
                <c:pt idx="145">
                  <c:v>2011-08-29</c:v>
                </c:pt>
                <c:pt idx="146">
                  <c:v>2011-08-30</c:v>
                </c:pt>
                <c:pt idx="147">
                  <c:v>2011-08-31</c:v>
                </c:pt>
                <c:pt idx="148">
                  <c:v>2011-09-01</c:v>
                </c:pt>
                <c:pt idx="149">
                  <c:v>2011-09-02</c:v>
                </c:pt>
                <c:pt idx="150">
                  <c:v>2011-09-06</c:v>
                </c:pt>
                <c:pt idx="151">
                  <c:v>2011-09-07</c:v>
                </c:pt>
                <c:pt idx="152">
                  <c:v>2011-09-08</c:v>
                </c:pt>
                <c:pt idx="153">
                  <c:v>2011-09-09</c:v>
                </c:pt>
                <c:pt idx="154">
                  <c:v>2011-09-12</c:v>
                </c:pt>
                <c:pt idx="155">
                  <c:v>2011-09-13</c:v>
                </c:pt>
                <c:pt idx="156">
                  <c:v>2011-09-14</c:v>
                </c:pt>
                <c:pt idx="157">
                  <c:v>2011-09-15</c:v>
                </c:pt>
                <c:pt idx="158">
                  <c:v>2011-09-16</c:v>
                </c:pt>
                <c:pt idx="159">
                  <c:v>2011-09-19</c:v>
                </c:pt>
                <c:pt idx="160">
                  <c:v>2011-09-20</c:v>
                </c:pt>
                <c:pt idx="161">
                  <c:v>2011-09-21</c:v>
                </c:pt>
                <c:pt idx="162">
                  <c:v>2011-09-22</c:v>
                </c:pt>
                <c:pt idx="163">
                  <c:v>2011-09-23</c:v>
                </c:pt>
                <c:pt idx="164">
                  <c:v>2011-09-26</c:v>
                </c:pt>
                <c:pt idx="165">
                  <c:v>2011-09-27</c:v>
                </c:pt>
                <c:pt idx="166">
                  <c:v>2011-09-28</c:v>
                </c:pt>
                <c:pt idx="167">
                  <c:v>2011-09-29</c:v>
                </c:pt>
                <c:pt idx="168">
                  <c:v>2011-09-30</c:v>
                </c:pt>
                <c:pt idx="169">
                  <c:v>2011-10-03</c:v>
                </c:pt>
                <c:pt idx="170">
                  <c:v>2011-10-04</c:v>
                </c:pt>
                <c:pt idx="171">
                  <c:v>2011-10-05</c:v>
                </c:pt>
                <c:pt idx="172">
                  <c:v>2011-10-06</c:v>
                </c:pt>
                <c:pt idx="173">
                  <c:v>2011-10-07</c:v>
                </c:pt>
                <c:pt idx="174">
                  <c:v>2011-10-11</c:v>
                </c:pt>
                <c:pt idx="175">
                  <c:v>2011-10-12</c:v>
                </c:pt>
                <c:pt idx="176">
                  <c:v>2011-10-13</c:v>
                </c:pt>
                <c:pt idx="177">
                  <c:v>2011-10-14</c:v>
                </c:pt>
                <c:pt idx="178">
                  <c:v>2011-10-17</c:v>
                </c:pt>
                <c:pt idx="179">
                  <c:v>2011-10-18</c:v>
                </c:pt>
                <c:pt idx="180">
                  <c:v>2011-10-19</c:v>
                </c:pt>
                <c:pt idx="181">
                  <c:v>2011-10-20</c:v>
                </c:pt>
                <c:pt idx="182">
                  <c:v>2011-10-21</c:v>
                </c:pt>
                <c:pt idx="183">
                  <c:v>2011-10-24</c:v>
                </c:pt>
                <c:pt idx="184">
                  <c:v>2011-10-25</c:v>
                </c:pt>
                <c:pt idx="185">
                  <c:v>2011-10-26</c:v>
                </c:pt>
                <c:pt idx="186">
                  <c:v>2011-10-27</c:v>
                </c:pt>
                <c:pt idx="187">
                  <c:v>2011-10-28</c:v>
                </c:pt>
                <c:pt idx="188">
                  <c:v>2011-10-31</c:v>
                </c:pt>
                <c:pt idx="189">
                  <c:v>2011-11-01</c:v>
                </c:pt>
                <c:pt idx="190">
                  <c:v>2011-11-02</c:v>
                </c:pt>
                <c:pt idx="191">
                  <c:v>2011-11-03</c:v>
                </c:pt>
                <c:pt idx="192">
                  <c:v>2011-11-04</c:v>
                </c:pt>
                <c:pt idx="193">
                  <c:v>2011-11-07</c:v>
                </c:pt>
                <c:pt idx="194">
                  <c:v>2011-11-08</c:v>
                </c:pt>
                <c:pt idx="195">
                  <c:v>2011-11-09</c:v>
                </c:pt>
                <c:pt idx="196">
                  <c:v>2011-11-10</c:v>
                </c:pt>
                <c:pt idx="197">
                  <c:v>2011-11-14</c:v>
                </c:pt>
                <c:pt idx="198">
                  <c:v>2011-11-15</c:v>
                </c:pt>
                <c:pt idx="199">
                  <c:v>2011-11-16</c:v>
                </c:pt>
                <c:pt idx="200">
                  <c:v>2011-11-17</c:v>
                </c:pt>
                <c:pt idx="201">
                  <c:v>2011-11-18</c:v>
                </c:pt>
                <c:pt idx="202">
                  <c:v>2011-11-21</c:v>
                </c:pt>
                <c:pt idx="203">
                  <c:v>2011-11-22</c:v>
                </c:pt>
                <c:pt idx="204">
                  <c:v>2011-11-23</c:v>
                </c:pt>
                <c:pt idx="205">
                  <c:v>2011-11-25</c:v>
                </c:pt>
                <c:pt idx="206">
                  <c:v>2011-11-28</c:v>
                </c:pt>
                <c:pt idx="207">
                  <c:v>2011-11-29</c:v>
                </c:pt>
                <c:pt idx="208">
                  <c:v>2011-11-30</c:v>
                </c:pt>
                <c:pt idx="209">
                  <c:v>2011-12-01</c:v>
                </c:pt>
                <c:pt idx="210">
                  <c:v>2011-12-02</c:v>
                </c:pt>
                <c:pt idx="211">
                  <c:v>2011-12-05</c:v>
                </c:pt>
                <c:pt idx="212">
                  <c:v>2011-12-06</c:v>
                </c:pt>
                <c:pt idx="213">
                  <c:v>2011-12-07</c:v>
                </c:pt>
                <c:pt idx="214">
                  <c:v>2011-12-08</c:v>
                </c:pt>
                <c:pt idx="215">
                  <c:v>2011-12-09</c:v>
                </c:pt>
                <c:pt idx="216">
                  <c:v>2011-12-12</c:v>
                </c:pt>
                <c:pt idx="217">
                  <c:v>2011-12-13</c:v>
                </c:pt>
                <c:pt idx="218">
                  <c:v>2011-12-14</c:v>
                </c:pt>
                <c:pt idx="219">
                  <c:v>2011-12-15</c:v>
                </c:pt>
                <c:pt idx="220">
                  <c:v>2011-12-16</c:v>
                </c:pt>
                <c:pt idx="221">
                  <c:v>2011-12-19</c:v>
                </c:pt>
                <c:pt idx="222">
                  <c:v>2011-12-20</c:v>
                </c:pt>
                <c:pt idx="223">
                  <c:v>2011-12-21</c:v>
                </c:pt>
                <c:pt idx="224">
                  <c:v>2011-12-22</c:v>
                </c:pt>
                <c:pt idx="225">
                  <c:v>2011-12-23</c:v>
                </c:pt>
                <c:pt idx="226">
                  <c:v>2011-12-27</c:v>
                </c:pt>
                <c:pt idx="227">
                  <c:v>2011-12-28</c:v>
                </c:pt>
                <c:pt idx="228">
                  <c:v>2011-12-29</c:v>
                </c:pt>
                <c:pt idx="229">
                  <c:v>2011-12-30</c:v>
                </c:pt>
                <c:pt idx="230">
                  <c:v>2012-01-03</c:v>
                </c:pt>
                <c:pt idx="231">
                  <c:v>2012-01-04</c:v>
                </c:pt>
                <c:pt idx="232">
                  <c:v>2012-01-05</c:v>
                </c:pt>
                <c:pt idx="233">
                  <c:v>2012-01-06</c:v>
                </c:pt>
                <c:pt idx="234">
                  <c:v>2012-01-09</c:v>
                </c:pt>
                <c:pt idx="235">
                  <c:v>2012-01-10</c:v>
                </c:pt>
                <c:pt idx="236">
                  <c:v>2012-01-11</c:v>
                </c:pt>
                <c:pt idx="237">
                  <c:v>2012-01-12</c:v>
                </c:pt>
                <c:pt idx="238">
                  <c:v>2012-01-13</c:v>
                </c:pt>
                <c:pt idx="239">
                  <c:v>2012-01-17</c:v>
                </c:pt>
                <c:pt idx="240">
                  <c:v>2012-01-18</c:v>
                </c:pt>
                <c:pt idx="241">
                  <c:v>2012-01-19</c:v>
                </c:pt>
                <c:pt idx="242">
                  <c:v>2012-01-20</c:v>
                </c:pt>
                <c:pt idx="243">
                  <c:v>2012-01-23</c:v>
                </c:pt>
                <c:pt idx="244">
                  <c:v>2012-01-24</c:v>
                </c:pt>
                <c:pt idx="245">
                  <c:v>2012-01-25</c:v>
                </c:pt>
                <c:pt idx="246">
                  <c:v>2012-01-26</c:v>
                </c:pt>
                <c:pt idx="247">
                  <c:v>2012-01-27</c:v>
                </c:pt>
                <c:pt idx="248">
                  <c:v>2012-01-30</c:v>
                </c:pt>
                <c:pt idx="249">
                  <c:v>2012-01-31</c:v>
                </c:pt>
                <c:pt idx="250">
                  <c:v>2012-02-01</c:v>
                </c:pt>
                <c:pt idx="251">
                  <c:v>2012-02-02</c:v>
                </c:pt>
                <c:pt idx="252">
                  <c:v>2012-02-03</c:v>
                </c:pt>
                <c:pt idx="253">
                  <c:v>2012-02-06</c:v>
                </c:pt>
                <c:pt idx="254">
                  <c:v>2012-02-07</c:v>
                </c:pt>
                <c:pt idx="255">
                  <c:v>2012-02-08</c:v>
                </c:pt>
                <c:pt idx="256">
                  <c:v>2012-02-09</c:v>
                </c:pt>
                <c:pt idx="257">
                  <c:v>2012-02-10</c:v>
                </c:pt>
                <c:pt idx="258">
                  <c:v>2012-02-13</c:v>
                </c:pt>
                <c:pt idx="259">
                  <c:v>2012-02-14</c:v>
                </c:pt>
                <c:pt idx="260">
                  <c:v>2012-02-15</c:v>
                </c:pt>
                <c:pt idx="261">
                  <c:v>2012-02-16</c:v>
                </c:pt>
                <c:pt idx="262">
                  <c:v>2012-02-17</c:v>
                </c:pt>
                <c:pt idx="263">
                  <c:v>2012-02-21</c:v>
                </c:pt>
                <c:pt idx="264">
                  <c:v>2012-02-22</c:v>
                </c:pt>
                <c:pt idx="265">
                  <c:v>2012-02-23</c:v>
                </c:pt>
                <c:pt idx="266">
                  <c:v>2012-02-24</c:v>
                </c:pt>
                <c:pt idx="267">
                  <c:v>2012-02-27</c:v>
                </c:pt>
                <c:pt idx="268">
                  <c:v>2012-02-28</c:v>
                </c:pt>
                <c:pt idx="269">
                  <c:v>2012-02-29</c:v>
                </c:pt>
                <c:pt idx="270">
                  <c:v>2012-03-01</c:v>
                </c:pt>
                <c:pt idx="271">
                  <c:v>2012-03-02</c:v>
                </c:pt>
                <c:pt idx="272">
                  <c:v>2012-03-05</c:v>
                </c:pt>
                <c:pt idx="273">
                  <c:v>2012-03-06</c:v>
                </c:pt>
                <c:pt idx="274">
                  <c:v>2012-03-07</c:v>
                </c:pt>
                <c:pt idx="275">
                  <c:v>2012-03-08</c:v>
                </c:pt>
                <c:pt idx="276">
                  <c:v>2012-03-09</c:v>
                </c:pt>
                <c:pt idx="277">
                  <c:v>2012-03-12</c:v>
                </c:pt>
                <c:pt idx="278">
                  <c:v>2012-03-13</c:v>
                </c:pt>
                <c:pt idx="279">
                  <c:v>2012-03-14</c:v>
                </c:pt>
                <c:pt idx="280">
                  <c:v>2012-03-15</c:v>
                </c:pt>
                <c:pt idx="281">
                  <c:v>2012-03-16</c:v>
                </c:pt>
                <c:pt idx="282">
                  <c:v>2012-03-19</c:v>
                </c:pt>
                <c:pt idx="283">
                  <c:v>2012-03-20</c:v>
                </c:pt>
                <c:pt idx="284">
                  <c:v>2012-03-21</c:v>
                </c:pt>
                <c:pt idx="285">
                  <c:v>2012-03-22</c:v>
                </c:pt>
                <c:pt idx="286">
                  <c:v>2012-03-23</c:v>
                </c:pt>
                <c:pt idx="287">
                  <c:v>2012-03-26</c:v>
                </c:pt>
                <c:pt idx="288">
                  <c:v>2012-03-27</c:v>
                </c:pt>
                <c:pt idx="289">
                  <c:v>2012-03-28</c:v>
                </c:pt>
                <c:pt idx="290">
                  <c:v>2012-03-29</c:v>
                </c:pt>
                <c:pt idx="291">
                  <c:v>2012-03-30</c:v>
                </c:pt>
                <c:pt idx="292">
                  <c:v>2012-04-02</c:v>
                </c:pt>
                <c:pt idx="293">
                  <c:v>2012-04-03</c:v>
                </c:pt>
                <c:pt idx="294">
                  <c:v>2012-04-04</c:v>
                </c:pt>
                <c:pt idx="295">
                  <c:v>2012-04-05</c:v>
                </c:pt>
                <c:pt idx="296">
                  <c:v>2012-04-06</c:v>
                </c:pt>
                <c:pt idx="297">
                  <c:v>2012-04-09</c:v>
                </c:pt>
                <c:pt idx="298">
                  <c:v>2012-04-10</c:v>
                </c:pt>
                <c:pt idx="299">
                  <c:v>2012-04-11</c:v>
                </c:pt>
                <c:pt idx="300">
                  <c:v>2012-04-12</c:v>
                </c:pt>
                <c:pt idx="301">
                  <c:v>2012-04-13</c:v>
                </c:pt>
                <c:pt idx="302">
                  <c:v>2012-04-16</c:v>
                </c:pt>
                <c:pt idx="303">
                  <c:v>2012-04-17</c:v>
                </c:pt>
                <c:pt idx="304">
                  <c:v>2012-04-18</c:v>
                </c:pt>
                <c:pt idx="305">
                  <c:v>2012-04-19</c:v>
                </c:pt>
                <c:pt idx="306">
                  <c:v>2012-04-20</c:v>
                </c:pt>
                <c:pt idx="307">
                  <c:v>2012-04-23</c:v>
                </c:pt>
                <c:pt idx="308">
                  <c:v>2012-04-24</c:v>
                </c:pt>
                <c:pt idx="309">
                  <c:v>2012-04-25</c:v>
                </c:pt>
                <c:pt idx="310">
                  <c:v>2012-04-26</c:v>
                </c:pt>
                <c:pt idx="311">
                  <c:v>2012-04-27</c:v>
                </c:pt>
                <c:pt idx="312">
                  <c:v>2012-04-30</c:v>
                </c:pt>
                <c:pt idx="313">
                  <c:v>2012-05-01</c:v>
                </c:pt>
                <c:pt idx="314">
                  <c:v>2012-05-02</c:v>
                </c:pt>
                <c:pt idx="315">
                  <c:v>2012-05-03</c:v>
                </c:pt>
                <c:pt idx="316">
                  <c:v>2012-05-04</c:v>
                </c:pt>
                <c:pt idx="317">
                  <c:v>2012-05-07</c:v>
                </c:pt>
                <c:pt idx="318">
                  <c:v>2012-05-08</c:v>
                </c:pt>
                <c:pt idx="319">
                  <c:v>2012-05-09</c:v>
                </c:pt>
                <c:pt idx="320">
                  <c:v>2012-05-10</c:v>
                </c:pt>
                <c:pt idx="321">
                  <c:v>2012-05-11</c:v>
                </c:pt>
                <c:pt idx="322">
                  <c:v>2012-05-14</c:v>
                </c:pt>
                <c:pt idx="323">
                  <c:v>2012-05-15</c:v>
                </c:pt>
                <c:pt idx="324">
                  <c:v>2012-05-16</c:v>
                </c:pt>
                <c:pt idx="325">
                  <c:v>2012-05-17</c:v>
                </c:pt>
                <c:pt idx="326">
                  <c:v>2012-05-18</c:v>
                </c:pt>
                <c:pt idx="327">
                  <c:v>2012-05-21</c:v>
                </c:pt>
                <c:pt idx="328">
                  <c:v>2012-05-22</c:v>
                </c:pt>
                <c:pt idx="329">
                  <c:v>2012-05-23</c:v>
                </c:pt>
                <c:pt idx="330">
                  <c:v>2012-05-24</c:v>
                </c:pt>
                <c:pt idx="331">
                  <c:v>2012-05-25</c:v>
                </c:pt>
                <c:pt idx="332">
                  <c:v>2012-05-29</c:v>
                </c:pt>
                <c:pt idx="333">
                  <c:v>2012-05-30</c:v>
                </c:pt>
                <c:pt idx="334">
                  <c:v>2012-05-31</c:v>
                </c:pt>
                <c:pt idx="335">
                  <c:v>2012-06-01</c:v>
                </c:pt>
                <c:pt idx="336">
                  <c:v>2012-06-04</c:v>
                </c:pt>
                <c:pt idx="337">
                  <c:v>2012-06-05</c:v>
                </c:pt>
                <c:pt idx="338">
                  <c:v>2012-06-06</c:v>
                </c:pt>
                <c:pt idx="339">
                  <c:v>2012-06-07</c:v>
                </c:pt>
                <c:pt idx="340">
                  <c:v>2012-06-08</c:v>
                </c:pt>
                <c:pt idx="341">
                  <c:v>2012-06-11</c:v>
                </c:pt>
                <c:pt idx="342">
                  <c:v>2012-06-12</c:v>
                </c:pt>
                <c:pt idx="343">
                  <c:v>2012-06-13</c:v>
                </c:pt>
                <c:pt idx="344">
                  <c:v>2012-06-14</c:v>
                </c:pt>
                <c:pt idx="345">
                  <c:v>2012-06-15</c:v>
                </c:pt>
                <c:pt idx="346">
                  <c:v>2012-06-18</c:v>
                </c:pt>
                <c:pt idx="347">
                  <c:v>2012-06-19</c:v>
                </c:pt>
                <c:pt idx="348">
                  <c:v>2012-06-20</c:v>
                </c:pt>
                <c:pt idx="349">
                  <c:v>2012-06-21</c:v>
                </c:pt>
                <c:pt idx="350">
                  <c:v>2012-06-22</c:v>
                </c:pt>
                <c:pt idx="351">
                  <c:v>2012-06-25</c:v>
                </c:pt>
                <c:pt idx="352">
                  <c:v>2012-06-26</c:v>
                </c:pt>
                <c:pt idx="353">
                  <c:v>2012-06-27</c:v>
                </c:pt>
                <c:pt idx="354">
                  <c:v>2012-06-28</c:v>
                </c:pt>
                <c:pt idx="355">
                  <c:v>2012-06-29</c:v>
                </c:pt>
                <c:pt idx="356">
                  <c:v>2012-07-02</c:v>
                </c:pt>
                <c:pt idx="357">
                  <c:v>2012-07-03</c:v>
                </c:pt>
                <c:pt idx="358">
                  <c:v>2012-07-05</c:v>
                </c:pt>
                <c:pt idx="359">
                  <c:v>2012-07-06</c:v>
                </c:pt>
                <c:pt idx="360">
                  <c:v>2012-07-09</c:v>
                </c:pt>
                <c:pt idx="361">
                  <c:v>2012-07-10</c:v>
                </c:pt>
                <c:pt idx="362">
                  <c:v>2012-07-11</c:v>
                </c:pt>
                <c:pt idx="363">
                  <c:v>2012-07-12</c:v>
                </c:pt>
                <c:pt idx="364">
                  <c:v>2012-07-13</c:v>
                </c:pt>
                <c:pt idx="365">
                  <c:v>2012-07-16</c:v>
                </c:pt>
                <c:pt idx="366">
                  <c:v>2012-07-17</c:v>
                </c:pt>
                <c:pt idx="367">
                  <c:v>2012-07-18</c:v>
                </c:pt>
                <c:pt idx="368">
                  <c:v>2012-07-19</c:v>
                </c:pt>
                <c:pt idx="369">
                  <c:v>2012-07-20</c:v>
                </c:pt>
                <c:pt idx="370">
                  <c:v>2012-07-23</c:v>
                </c:pt>
                <c:pt idx="371">
                  <c:v>2012-07-24</c:v>
                </c:pt>
                <c:pt idx="372">
                  <c:v>2012-07-25</c:v>
                </c:pt>
                <c:pt idx="373">
                  <c:v>2012-07-26</c:v>
                </c:pt>
                <c:pt idx="374">
                  <c:v>2012-07-27</c:v>
                </c:pt>
                <c:pt idx="375">
                  <c:v>2012-07-30</c:v>
                </c:pt>
                <c:pt idx="376">
                  <c:v>2012-07-31</c:v>
                </c:pt>
                <c:pt idx="377">
                  <c:v>2012-08-01</c:v>
                </c:pt>
                <c:pt idx="378">
                  <c:v>2012-08-02</c:v>
                </c:pt>
                <c:pt idx="379">
                  <c:v>2012-08-03</c:v>
                </c:pt>
                <c:pt idx="380">
                  <c:v>2012-08-06</c:v>
                </c:pt>
                <c:pt idx="381">
                  <c:v>2012-08-07</c:v>
                </c:pt>
                <c:pt idx="382">
                  <c:v>2012-08-08</c:v>
                </c:pt>
                <c:pt idx="383">
                  <c:v>2012-08-09</c:v>
                </c:pt>
                <c:pt idx="384">
                  <c:v>2012-08-10</c:v>
                </c:pt>
                <c:pt idx="385">
                  <c:v>2012-08-13</c:v>
                </c:pt>
                <c:pt idx="386">
                  <c:v>2012-08-14</c:v>
                </c:pt>
                <c:pt idx="387">
                  <c:v>2012-08-15</c:v>
                </c:pt>
                <c:pt idx="388">
                  <c:v>2012-08-16</c:v>
                </c:pt>
                <c:pt idx="389">
                  <c:v>2012-08-17</c:v>
                </c:pt>
                <c:pt idx="390">
                  <c:v>2012-08-20</c:v>
                </c:pt>
                <c:pt idx="391">
                  <c:v>2012-08-21</c:v>
                </c:pt>
                <c:pt idx="392">
                  <c:v>2012-08-22</c:v>
                </c:pt>
                <c:pt idx="393">
                  <c:v>2012-08-23</c:v>
                </c:pt>
                <c:pt idx="394">
                  <c:v>2012-08-24</c:v>
                </c:pt>
                <c:pt idx="395">
                  <c:v>2012-08-27</c:v>
                </c:pt>
                <c:pt idx="396">
                  <c:v>2012-08-28</c:v>
                </c:pt>
                <c:pt idx="397">
                  <c:v>2012-08-29</c:v>
                </c:pt>
                <c:pt idx="398">
                  <c:v>2012-08-30</c:v>
                </c:pt>
                <c:pt idx="399">
                  <c:v>2012-08-31</c:v>
                </c:pt>
                <c:pt idx="400">
                  <c:v>2012-09-04</c:v>
                </c:pt>
                <c:pt idx="401">
                  <c:v>2012-09-05</c:v>
                </c:pt>
                <c:pt idx="402">
                  <c:v>2012-09-06</c:v>
                </c:pt>
                <c:pt idx="403">
                  <c:v>2012-09-07</c:v>
                </c:pt>
                <c:pt idx="404">
                  <c:v>2012-09-10</c:v>
                </c:pt>
                <c:pt idx="405">
                  <c:v>2012-09-11</c:v>
                </c:pt>
                <c:pt idx="406">
                  <c:v>2012-09-12</c:v>
                </c:pt>
                <c:pt idx="407">
                  <c:v>2012-09-13</c:v>
                </c:pt>
                <c:pt idx="408">
                  <c:v>2012-09-14</c:v>
                </c:pt>
                <c:pt idx="409">
                  <c:v>2012-09-17</c:v>
                </c:pt>
                <c:pt idx="410">
                  <c:v>2012-09-18</c:v>
                </c:pt>
                <c:pt idx="411">
                  <c:v>2012-09-19</c:v>
                </c:pt>
                <c:pt idx="412">
                  <c:v>2012-09-20</c:v>
                </c:pt>
                <c:pt idx="413">
                  <c:v>2012-09-21</c:v>
                </c:pt>
                <c:pt idx="414">
                  <c:v>2012-09-24</c:v>
                </c:pt>
                <c:pt idx="415">
                  <c:v>2012-09-25</c:v>
                </c:pt>
                <c:pt idx="416">
                  <c:v>2012-09-26</c:v>
                </c:pt>
                <c:pt idx="417">
                  <c:v>2012-09-27</c:v>
                </c:pt>
                <c:pt idx="418">
                  <c:v>2012-09-28</c:v>
                </c:pt>
                <c:pt idx="419">
                  <c:v>2012-10-01</c:v>
                </c:pt>
                <c:pt idx="420">
                  <c:v>2012-10-02</c:v>
                </c:pt>
                <c:pt idx="421">
                  <c:v>2012-10-03</c:v>
                </c:pt>
                <c:pt idx="422">
                  <c:v>2012-10-04</c:v>
                </c:pt>
                <c:pt idx="423">
                  <c:v>2012-10-05</c:v>
                </c:pt>
                <c:pt idx="424">
                  <c:v>2012-10-09</c:v>
                </c:pt>
                <c:pt idx="425">
                  <c:v>2012-10-10</c:v>
                </c:pt>
                <c:pt idx="426">
                  <c:v>2012-10-11</c:v>
                </c:pt>
                <c:pt idx="427">
                  <c:v>2012-10-12</c:v>
                </c:pt>
                <c:pt idx="428">
                  <c:v>2012-10-15</c:v>
                </c:pt>
                <c:pt idx="429">
                  <c:v>2012-10-16</c:v>
                </c:pt>
                <c:pt idx="430">
                  <c:v>2012-10-17</c:v>
                </c:pt>
                <c:pt idx="431">
                  <c:v>2012-10-18</c:v>
                </c:pt>
                <c:pt idx="432">
                  <c:v>2012-10-19</c:v>
                </c:pt>
                <c:pt idx="433">
                  <c:v>2012-10-22</c:v>
                </c:pt>
                <c:pt idx="434">
                  <c:v>2012-10-23</c:v>
                </c:pt>
                <c:pt idx="435">
                  <c:v>2012-10-24</c:v>
                </c:pt>
                <c:pt idx="436">
                  <c:v>2012-10-25</c:v>
                </c:pt>
                <c:pt idx="437">
                  <c:v>2012-10-26</c:v>
                </c:pt>
                <c:pt idx="438">
                  <c:v>2012-10-29</c:v>
                </c:pt>
                <c:pt idx="439">
                  <c:v>2012-10-31</c:v>
                </c:pt>
                <c:pt idx="440">
                  <c:v>2012-11-01</c:v>
                </c:pt>
                <c:pt idx="441">
                  <c:v>2012-11-02</c:v>
                </c:pt>
                <c:pt idx="442">
                  <c:v>2012-11-05</c:v>
                </c:pt>
                <c:pt idx="443">
                  <c:v>2012-11-06</c:v>
                </c:pt>
                <c:pt idx="444">
                  <c:v>2012-11-07</c:v>
                </c:pt>
                <c:pt idx="445">
                  <c:v>2012-11-08</c:v>
                </c:pt>
                <c:pt idx="446">
                  <c:v>2012-11-09</c:v>
                </c:pt>
                <c:pt idx="447">
                  <c:v>2012-11-13</c:v>
                </c:pt>
                <c:pt idx="448">
                  <c:v>2012-11-14</c:v>
                </c:pt>
                <c:pt idx="449">
                  <c:v>2012-11-15</c:v>
                </c:pt>
                <c:pt idx="450">
                  <c:v>2012-11-16</c:v>
                </c:pt>
                <c:pt idx="451">
                  <c:v>2012-11-19</c:v>
                </c:pt>
                <c:pt idx="452">
                  <c:v>2012-11-20</c:v>
                </c:pt>
                <c:pt idx="453">
                  <c:v>2012-11-21</c:v>
                </c:pt>
                <c:pt idx="454">
                  <c:v>2012-11-23</c:v>
                </c:pt>
                <c:pt idx="455">
                  <c:v>2012-11-26</c:v>
                </c:pt>
                <c:pt idx="456">
                  <c:v>2012-11-27</c:v>
                </c:pt>
                <c:pt idx="457">
                  <c:v>2012-11-28</c:v>
                </c:pt>
                <c:pt idx="458">
                  <c:v>2012-11-29</c:v>
                </c:pt>
                <c:pt idx="459">
                  <c:v>2012-11-30</c:v>
                </c:pt>
                <c:pt idx="460">
                  <c:v>2012-12-03</c:v>
                </c:pt>
                <c:pt idx="461">
                  <c:v>2012-12-04</c:v>
                </c:pt>
                <c:pt idx="462">
                  <c:v>2012-12-05</c:v>
                </c:pt>
                <c:pt idx="463">
                  <c:v>2012-12-06</c:v>
                </c:pt>
                <c:pt idx="464">
                  <c:v>2012-12-07</c:v>
                </c:pt>
                <c:pt idx="465">
                  <c:v>2012-12-10</c:v>
                </c:pt>
                <c:pt idx="466">
                  <c:v>2012-12-11</c:v>
                </c:pt>
                <c:pt idx="467">
                  <c:v>2012-12-12</c:v>
                </c:pt>
                <c:pt idx="468">
                  <c:v>2012-12-13</c:v>
                </c:pt>
                <c:pt idx="469">
                  <c:v>2012-12-14</c:v>
                </c:pt>
                <c:pt idx="470">
                  <c:v>2012-12-17</c:v>
                </c:pt>
                <c:pt idx="471">
                  <c:v>2012-12-18</c:v>
                </c:pt>
                <c:pt idx="472">
                  <c:v>2012-12-19</c:v>
                </c:pt>
                <c:pt idx="473">
                  <c:v>2012-12-20</c:v>
                </c:pt>
                <c:pt idx="474">
                  <c:v>2012-12-21</c:v>
                </c:pt>
                <c:pt idx="475">
                  <c:v>2012-12-24</c:v>
                </c:pt>
                <c:pt idx="476">
                  <c:v>2012-12-26</c:v>
                </c:pt>
                <c:pt idx="477">
                  <c:v>2012-12-27</c:v>
                </c:pt>
                <c:pt idx="478">
                  <c:v>2012-12-28</c:v>
                </c:pt>
                <c:pt idx="479">
                  <c:v>2012-12-31</c:v>
                </c:pt>
                <c:pt idx="480">
                  <c:v>2013-01-02</c:v>
                </c:pt>
                <c:pt idx="481">
                  <c:v>2013-01-03</c:v>
                </c:pt>
                <c:pt idx="482">
                  <c:v>2013-01-04</c:v>
                </c:pt>
                <c:pt idx="483">
                  <c:v>2013-01-07</c:v>
                </c:pt>
                <c:pt idx="484">
                  <c:v>2013-01-08</c:v>
                </c:pt>
                <c:pt idx="485">
                  <c:v>2013-01-09</c:v>
                </c:pt>
                <c:pt idx="486">
                  <c:v>2013-01-10</c:v>
                </c:pt>
                <c:pt idx="487">
                  <c:v>2013-01-11</c:v>
                </c:pt>
                <c:pt idx="488">
                  <c:v>2013-01-14</c:v>
                </c:pt>
                <c:pt idx="489">
                  <c:v>2013-01-15</c:v>
                </c:pt>
                <c:pt idx="490">
                  <c:v>2013-01-16</c:v>
                </c:pt>
                <c:pt idx="491">
                  <c:v>2013-01-17</c:v>
                </c:pt>
                <c:pt idx="492">
                  <c:v>2013-01-18</c:v>
                </c:pt>
                <c:pt idx="493">
                  <c:v>2013-01-22</c:v>
                </c:pt>
                <c:pt idx="494">
                  <c:v>2013-01-23</c:v>
                </c:pt>
                <c:pt idx="495">
                  <c:v>2013-01-24</c:v>
                </c:pt>
                <c:pt idx="496">
                  <c:v>2013-01-25</c:v>
                </c:pt>
                <c:pt idx="497">
                  <c:v>2013-01-28</c:v>
                </c:pt>
                <c:pt idx="498">
                  <c:v>2013-01-29</c:v>
                </c:pt>
                <c:pt idx="499">
                  <c:v>2013-01-30</c:v>
                </c:pt>
                <c:pt idx="500">
                  <c:v>2013-01-31</c:v>
                </c:pt>
                <c:pt idx="501">
                  <c:v>2013-02-01</c:v>
                </c:pt>
                <c:pt idx="502">
                  <c:v>2013-02-04</c:v>
                </c:pt>
                <c:pt idx="503">
                  <c:v>2013-02-05</c:v>
                </c:pt>
                <c:pt idx="504">
                  <c:v>2013-02-06</c:v>
                </c:pt>
                <c:pt idx="505">
                  <c:v>2013-02-07</c:v>
                </c:pt>
                <c:pt idx="506">
                  <c:v>2013-02-08</c:v>
                </c:pt>
                <c:pt idx="507">
                  <c:v>2013-02-11</c:v>
                </c:pt>
                <c:pt idx="508">
                  <c:v>2013-02-12</c:v>
                </c:pt>
                <c:pt idx="509">
                  <c:v>2013-02-13</c:v>
                </c:pt>
                <c:pt idx="510">
                  <c:v>2013-02-14</c:v>
                </c:pt>
                <c:pt idx="511">
                  <c:v>2013-02-15</c:v>
                </c:pt>
                <c:pt idx="512">
                  <c:v>2013-02-19</c:v>
                </c:pt>
                <c:pt idx="513">
                  <c:v>2013-02-20</c:v>
                </c:pt>
                <c:pt idx="514">
                  <c:v>2013-02-21</c:v>
                </c:pt>
                <c:pt idx="515">
                  <c:v>2013-02-22</c:v>
                </c:pt>
                <c:pt idx="516">
                  <c:v>2013-02-25</c:v>
                </c:pt>
                <c:pt idx="517">
                  <c:v>2013-02-26</c:v>
                </c:pt>
                <c:pt idx="518">
                  <c:v>2013-02-27</c:v>
                </c:pt>
                <c:pt idx="519">
                  <c:v>2013-02-28</c:v>
                </c:pt>
                <c:pt idx="520">
                  <c:v>2013-03-01</c:v>
                </c:pt>
                <c:pt idx="521">
                  <c:v>2013-03-04</c:v>
                </c:pt>
                <c:pt idx="522">
                  <c:v>2013-03-05</c:v>
                </c:pt>
                <c:pt idx="523">
                  <c:v>2013-03-06</c:v>
                </c:pt>
                <c:pt idx="524">
                  <c:v>2013-03-07</c:v>
                </c:pt>
                <c:pt idx="525">
                  <c:v>2013-03-08</c:v>
                </c:pt>
                <c:pt idx="526">
                  <c:v>2013-03-11</c:v>
                </c:pt>
                <c:pt idx="527">
                  <c:v>2013-03-12</c:v>
                </c:pt>
                <c:pt idx="528">
                  <c:v>2013-03-13</c:v>
                </c:pt>
                <c:pt idx="529">
                  <c:v>2013-03-14</c:v>
                </c:pt>
                <c:pt idx="530">
                  <c:v>2013-03-15</c:v>
                </c:pt>
                <c:pt idx="531">
                  <c:v>2013-03-18</c:v>
                </c:pt>
                <c:pt idx="532">
                  <c:v>2013-03-19</c:v>
                </c:pt>
                <c:pt idx="533">
                  <c:v>2013-03-20</c:v>
                </c:pt>
                <c:pt idx="534">
                  <c:v>2013-03-21</c:v>
                </c:pt>
                <c:pt idx="535">
                  <c:v>2013-03-22</c:v>
                </c:pt>
                <c:pt idx="536">
                  <c:v>2013-03-25</c:v>
                </c:pt>
                <c:pt idx="537">
                  <c:v>2013-03-26</c:v>
                </c:pt>
                <c:pt idx="538">
                  <c:v>2013-03-27</c:v>
                </c:pt>
                <c:pt idx="539">
                  <c:v>2013-03-28</c:v>
                </c:pt>
                <c:pt idx="540">
                  <c:v>2013-04-01</c:v>
                </c:pt>
                <c:pt idx="541">
                  <c:v>2013-04-02</c:v>
                </c:pt>
                <c:pt idx="542">
                  <c:v>2013-04-03</c:v>
                </c:pt>
                <c:pt idx="543">
                  <c:v>2013-04-04</c:v>
                </c:pt>
                <c:pt idx="544">
                  <c:v>2013-04-05</c:v>
                </c:pt>
                <c:pt idx="545">
                  <c:v>2013-04-08</c:v>
                </c:pt>
                <c:pt idx="546">
                  <c:v>2013-04-09</c:v>
                </c:pt>
                <c:pt idx="547">
                  <c:v>2013-04-10</c:v>
                </c:pt>
                <c:pt idx="548">
                  <c:v>2013-04-11</c:v>
                </c:pt>
                <c:pt idx="549">
                  <c:v>2013-04-12</c:v>
                </c:pt>
                <c:pt idx="550">
                  <c:v>2013-04-15</c:v>
                </c:pt>
                <c:pt idx="551">
                  <c:v>2013-04-16</c:v>
                </c:pt>
                <c:pt idx="552">
                  <c:v>2013-04-17</c:v>
                </c:pt>
                <c:pt idx="553">
                  <c:v>2013-04-18</c:v>
                </c:pt>
                <c:pt idx="554">
                  <c:v>2013-04-19</c:v>
                </c:pt>
                <c:pt idx="555">
                  <c:v>2013-04-22</c:v>
                </c:pt>
                <c:pt idx="556">
                  <c:v>2013-04-23</c:v>
                </c:pt>
                <c:pt idx="557">
                  <c:v>2013-04-24</c:v>
                </c:pt>
                <c:pt idx="558">
                  <c:v>2013-04-25</c:v>
                </c:pt>
                <c:pt idx="559">
                  <c:v>2013-04-26</c:v>
                </c:pt>
                <c:pt idx="560">
                  <c:v>2013-04-29</c:v>
                </c:pt>
                <c:pt idx="561">
                  <c:v>2013-04-30</c:v>
                </c:pt>
                <c:pt idx="562">
                  <c:v>2013-05-01</c:v>
                </c:pt>
                <c:pt idx="563">
                  <c:v>2013-05-02</c:v>
                </c:pt>
                <c:pt idx="564">
                  <c:v>2013-05-03</c:v>
                </c:pt>
                <c:pt idx="565">
                  <c:v>2013-05-06</c:v>
                </c:pt>
                <c:pt idx="566">
                  <c:v>2013-05-07</c:v>
                </c:pt>
                <c:pt idx="567">
                  <c:v>2013-05-08</c:v>
                </c:pt>
                <c:pt idx="568">
                  <c:v>2013-05-09</c:v>
                </c:pt>
                <c:pt idx="569">
                  <c:v>2013-05-10</c:v>
                </c:pt>
                <c:pt idx="570">
                  <c:v>2013-05-13</c:v>
                </c:pt>
                <c:pt idx="571">
                  <c:v>2013-05-14</c:v>
                </c:pt>
                <c:pt idx="572">
                  <c:v>2013-05-15</c:v>
                </c:pt>
                <c:pt idx="573">
                  <c:v>2013-05-16</c:v>
                </c:pt>
                <c:pt idx="574">
                  <c:v>2013-05-17</c:v>
                </c:pt>
                <c:pt idx="575">
                  <c:v>2013-05-20</c:v>
                </c:pt>
                <c:pt idx="576">
                  <c:v>2013-05-21</c:v>
                </c:pt>
                <c:pt idx="577">
                  <c:v>2013-05-22</c:v>
                </c:pt>
                <c:pt idx="578">
                  <c:v>2013-05-23</c:v>
                </c:pt>
                <c:pt idx="579">
                  <c:v>2013-05-24</c:v>
                </c:pt>
                <c:pt idx="580">
                  <c:v>2013-05-28</c:v>
                </c:pt>
                <c:pt idx="581">
                  <c:v>2013-05-29</c:v>
                </c:pt>
                <c:pt idx="582">
                  <c:v>2013-05-30</c:v>
                </c:pt>
                <c:pt idx="583">
                  <c:v>2013-05-31</c:v>
                </c:pt>
                <c:pt idx="584">
                  <c:v>2013-06-03</c:v>
                </c:pt>
                <c:pt idx="585">
                  <c:v>2013-06-04</c:v>
                </c:pt>
                <c:pt idx="586">
                  <c:v>2013-06-05</c:v>
                </c:pt>
                <c:pt idx="587">
                  <c:v>2013-06-06</c:v>
                </c:pt>
                <c:pt idx="588">
                  <c:v>2013-06-07</c:v>
                </c:pt>
                <c:pt idx="589">
                  <c:v>2013-06-10</c:v>
                </c:pt>
                <c:pt idx="590">
                  <c:v>2013-06-11</c:v>
                </c:pt>
                <c:pt idx="591">
                  <c:v>2013-06-12</c:v>
                </c:pt>
                <c:pt idx="592">
                  <c:v>2013-06-13</c:v>
                </c:pt>
                <c:pt idx="593">
                  <c:v>2013-06-14</c:v>
                </c:pt>
                <c:pt idx="594">
                  <c:v>2013-06-17</c:v>
                </c:pt>
                <c:pt idx="595">
                  <c:v>2013-06-18</c:v>
                </c:pt>
                <c:pt idx="596">
                  <c:v>2013-06-19</c:v>
                </c:pt>
                <c:pt idx="597">
                  <c:v>2013-06-20</c:v>
                </c:pt>
                <c:pt idx="598">
                  <c:v>2013-06-21</c:v>
                </c:pt>
                <c:pt idx="599">
                  <c:v>2013-06-24</c:v>
                </c:pt>
                <c:pt idx="600">
                  <c:v>2013-06-25</c:v>
                </c:pt>
                <c:pt idx="601">
                  <c:v>2013-06-26</c:v>
                </c:pt>
                <c:pt idx="602">
                  <c:v>2013-06-27</c:v>
                </c:pt>
                <c:pt idx="603">
                  <c:v>2013-06-28</c:v>
                </c:pt>
                <c:pt idx="604">
                  <c:v>2013-07-01</c:v>
                </c:pt>
                <c:pt idx="605">
                  <c:v>2013-07-02</c:v>
                </c:pt>
                <c:pt idx="606">
                  <c:v>2013-07-03</c:v>
                </c:pt>
                <c:pt idx="607">
                  <c:v>2013-07-05</c:v>
                </c:pt>
                <c:pt idx="608">
                  <c:v>2013-07-08</c:v>
                </c:pt>
                <c:pt idx="609">
                  <c:v>2013-07-09</c:v>
                </c:pt>
                <c:pt idx="610">
                  <c:v>2013-07-10</c:v>
                </c:pt>
                <c:pt idx="611">
                  <c:v>2013-07-11</c:v>
                </c:pt>
                <c:pt idx="612">
                  <c:v>2013-07-12</c:v>
                </c:pt>
                <c:pt idx="613">
                  <c:v>2013-07-15</c:v>
                </c:pt>
                <c:pt idx="614">
                  <c:v>2013-07-16</c:v>
                </c:pt>
                <c:pt idx="615">
                  <c:v>2013-07-17</c:v>
                </c:pt>
                <c:pt idx="616">
                  <c:v>2013-07-18</c:v>
                </c:pt>
                <c:pt idx="617">
                  <c:v>2013-07-19</c:v>
                </c:pt>
                <c:pt idx="618">
                  <c:v>2013-07-22</c:v>
                </c:pt>
                <c:pt idx="619">
                  <c:v>2013-07-23</c:v>
                </c:pt>
                <c:pt idx="620">
                  <c:v>2013-07-24</c:v>
                </c:pt>
                <c:pt idx="621">
                  <c:v>2013-07-25</c:v>
                </c:pt>
                <c:pt idx="622">
                  <c:v>2013-07-26</c:v>
                </c:pt>
                <c:pt idx="623">
                  <c:v>2013-07-29</c:v>
                </c:pt>
                <c:pt idx="624">
                  <c:v>2013-07-30</c:v>
                </c:pt>
                <c:pt idx="625">
                  <c:v>2013-07-31</c:v>
                </c:pt>
                <c:pt idx="626">
                  <c:v>2013-08-01</c:v>
                </c:pt>
                <c:pt idx="627">
                  <c:v>2013-08-02</c:v>
                </c:pt>
                <c:pt idx="628">
                  <c:v>2013-08-05</c:v>
                </c:pt>
                <c:pt idx="629">
                  <c:v>2013-08-06</c:v>
                </c:pt>
                <c:pt idx="630">
                  <c:v>2013-08-07</c:v>
                </c:pt>
                <c:pt idx="631">
                  <c:v>2013-08-08</c:v>
                </c:pt>
                <c:pt idx="632">
                  <c:v>2013-08-09</c:v>
                </c:pt>
                <c:pt idx="633">
                  <c:v>2013-08-12</c:v>
                </c:pt>
                <c:pt idx="634">
                  <c:v>2013-08-13</c:v>
                </c:pt>
                <c:pt idx="635">
                  <c:v>2013-08-14</c:v>
                </c:pt>
                <c:pt idx="636">
                  <c:v>2013-08-15</c:v>
                </c:pt>
                <c:pt idx="637">
                  <c:v>2013-08-16</c:v>
                </c:pt>
                <c:pt idx="638">
                  <c:v>2013-08-19</c:v>
                </c:pt>
                <c:pt idx="639">
                  <c:v>2013-08-20</c:v>
                </c:pt>
                <c:pt idx="640">
                  <c:v>2013-08-21</c:v>
                </c:pt>
                <c:pt idx="641">
                  <c:v>2013-08-22</c:v>
                </c:pt>
                <c:pt idx="642">
                  <c:v>2013-08-23</c:v>
                </c:pt>
                <c:pt idx="643">
                  <c:v>2013-08-26</c:v>
                </c:pt>
                <c:pt idx="644">
                  <c:v>2013-08-27</c:v>
                </c:pt>
                <c:pt idx="645">
                  <c:v>2013-08-28</c:v>
                </c:pt>
                <c:pt idx="646">
                  <c:v>2013-08-29</c:v>
                </c:pt>
                <c:pt idx="647">
                  <c:v>2013-08-30</c:v>
                </c:pt>
                <c:pt idx="648">
                  <c:v>2013-09-03</c:v>
                </c:pt>
                <c:pt idx="649">
                  <c:v>2013-09-04</c:v>
                </c:pt>
                <c:pt idx="650">
                  <c:v>2013-09-05</c:v>
                </c:pt>
                <c:pt idx="651">
                  <c:v>2013-09-06</c:v>
                </c:pt>
                <c:pt idx="652">
                  <c:v>2013-09-09</c:v>
                </c:pt>
                <c:pt idx="653">
                  <c:v>2013-09-10</c:v>
                </c:pt>
                <c:pt idx="654">
                  <c:v>2013-09-11</c:v>
                </c:pt>
                <c:pt idx="655">
                  <c:v>2013-09-12</c:v>
                </c:pt>
                <c:pt idx="656">
                  <c:v>2013-09-13</c:v>
                </c:pt>
                <c:pt idx="657">
                  <c:v>2013-09-16</c:v>
                </c:pt>
                <c:pt idx="658">
                  <c:v>2013-09-17</c:v>
                </c:pt>
                <c:pt idx="659">
                  <c:v>2013-09-18</c:v>
                </c:pt>
                <c:pt idx="660">
                  <c:v>2013-09-19</c:v>
                </c:pt>
                <c:pt idx="661">
                  <c:v>2013-09-20</c:v>
                </c:pt>
                <c:pt idx="662">
                  <c:v>2013-09-23</c:v>
                </c:pt>
                <c:pt idx="663">
                  <c:v>2013-09-24</c:v>
                </c:pt>
                <c:pt idx="664">
                  <c:v>2013-09-25</c:v>
                </c:pt>
                <c:pt idx="665">
                  <c:v>2013-09-26</c:v>
                </c:pt>
                <c:pt idx="666">
                  <c:v>2013-09-27</c:v>
                </c:pt>
                <c:pt idx="667">
                  <c:v>2013-09-30</c:v>
                </c:pt>
                <c:pt idx="668">
                  <c:v>2013-10-01</c:v>
                </c:pt>
                <c:pt idx="669">
                  <c:v>2013-10-02</c:v>
                </c:pt>
                <c:pt idx="670">
                  <c:v>2013-10-03</c:v>
                </c:pt>
                <c:pt idx="671">
                  <c:v>2013-10-04</c:v>
                </c:pt>
                <c:pt idx="672">
                  <c:v>2013-10-07</c:v>
                </c:pt>
                <c:pt idx="673">
                  <c:v>2013-10-08</c:v>
                </c:pt>
                <c:pt idx="674">
                  <c:v>2013-10-09</c:v>
                </c:pt>
                <c:pt idx="675">
                  <c:v>2013-10-10</c:v>
                </c:pt>
                <c:pt idx="676">
                  <c:v>2013-10-11</c:v>
                </c:pt>
                <c:pt idx="677">
                  <c:v>2013-10-15</c:v>
                </c:pt>
                <c:pt idx="678">
                  <c:v>2013-10-16</c:v>
                </c:pt>
                <c:pt idx="679">
                  <c:v>2013-10-17</c:v>
                </c:pt>
                <c:pt idx="680">
                  <c:v>2013-10-18</c:v>
                </c:pt>
                <c:pt idx="681">
                  <c:v>2013-10-21</c:v>
                </c:pt>
                <c:pt idx="682">
                  <c:v>2013-10-22</c:v>
                </c:pt>
                <c:pt idx="683">
                  <c:v>2013-10-23</c:v>
                </c:pt>
                <c:pt idx="684">
                  <c:v>2013-10-24</c:v>
                </c:pt>
                <c:pt idx="685">
                  <c:v>2013-10-25</c:v>
                </c:pt>
                <c:pt idx="686">
                  <c:v>2013-10-28</c:v>
                </c:pt>
                <c:pt idx="687">
                  <c:v>2013-10-29</c:v>
                </c:pt>
                <c:pt idx="688">
                  <c:v>2013-10-30</c:v>
                </c:pt>
                <c:pt idx="689">
                  <c:v>2013-10-31</c:v>
                </c:pt>
                <c:pt idx="690">
                  <c:v>2013-11-01</c:v>
                </c:pt>
                <c:pt idx="691">
                  <c:v>2013-11-04</c:v>
                </c:pt>
                <c:pt idx="692">
                  <c:v>2013-11-05</c:v>
                </c:pt>
                <c:pt idx="693">
                  <c:v>2013-11-06</c:v>
                </c:pt>
                <c:pt idx="694">
                  <c:v>2013-11-07</c:v>
                </c:pt>
                <c:pt idx="695">
                  <c:v>2013-11-08</c:v>
                </c:pt>
                <c:pt idx="696">
                  <c:v>2013-11-12</c:v>
                </c:pt>
                <c:pt idx="697">
                  <c:v>2013-11-13</c:v>
                </c:pt>
                <c:pt idx="698">
                  <c:v>2013-11-14</c:v>
                </c:pt>
                <c:pt idx="699">
                  <c:v>2013-11-15</c:v>
                </c:pt>
                <c:pt idx="700">
                  <c:v>2013-11-18</c:v>
                </c:pt>
                <c:pt idx="701">
                  <c:v>2013-11-19</c:v>
                </c:pt>
                <c:pt idx="702">
                  <c:v>2013-11-20</c:v>
                </c:pt>
                <c:pt idx="703">
                  <c:v>2013-11-21</c:v>
                </c:pt>
                <c:pt idx="704">
                  <c:v>2013-11-22</c:v>
                </c:pt>
                <c:pt idx="705">
                  <c:v>2013-11-25</c:v>
                </c:pt>
                <c:pt idx="706">
                  <c:v>2013-11-26</c:v>
                </c:pt>
                <c:pt idx="707">
                  <c:v>2013-11-27</c:v>
                </c:pt>
                <c:pt idx="708">
                  <c:v>2013-11-29</c:v>
                </c:pt>
                <c:pt idx="709">
                  <c:v>2013-12-02</c:v>
                </c:pt>
                <c:pt idx="710">
                  <c:v>2013-12-03</c:v>
                </c:pt>
                <c:pt idx="711">
                  <c:v>2013-12-04</c:v>
                </c:pt>
                <c:pt idx="712">
                  <c:v>2013-12-05</c:v>
                </c:pt>
                <c:pt idx="713">
                  <c:v>2013-12-06</c:v>
                </c:pt>
                <c:pt idx="714">
                  <c:v>2013-12-09</c:v>
                </c:pt>
                <c:pt idx="715">
                  <c:v>2013-12-10</c:v>
                </c:pt>
                <c:pt idx="716">
                  <c:v>2013-12-11</c:v>
                </c:pt>
                <c:pt idx="717">
                  <c:v>2013-12-12</c:v>
                </c:pt>
                <c:pt idx="718">
                  <c:v>2013-12-13</c:v>
                </c:pt>
                <c:pt idx="719">
                  <c:v>2013-12-16</c:v>
                </c:pt>
                <c:pt idx="720">
                  <c:v>2013-12-17</c:v>
                </c:pt>
                <c:pt idx="721">
                  <c:v>2013-12-18</c:v>
                </c:pt>
                <c:pt idx="722">
                  <c:v>2013-12-19</c:v>
                </c:pt>
                <c:pt idx="723">
                  <c:v>2013-12-20</c:v>
                </c:pt>
                <c:pt idx="724">
                  <c:v>2013-12-23</c:v>
                </c:pt>
                <c:pt idx="725">
                  <c:v>2013-12-24</c:v>
                </c:pt>
                <c:pt idx="726">
                  <c:v>2013-12-26</c:v>
                </c:pt>
                <c:pt idx="727">
                  <c:v>2013-12-27</c:v>
                </c:pt>
                <c:pt idx="728">
                  <c:v>2013-12-30</c:v>
                </c:pt>
                <c:pt idx="729">
                  <c:v>2013-12-31</c:v>
                </c:pt>
                <c:pt idx="730">
                  <c:v>2014-01-02</c:v>
                </c:pt>
                <c:pt idx="731">
                  <c:v>2014-01-03</c:v>
                </c:pt>
                <c:pt idx="732">
                  <c:v>2014-01-06</c:v>
                </c:pt>
                <c:pt idx="733">
                  <c:v>2014-01-07</c:v>
                </c:pt>
                <c:pt idx="734">
                  <c:v>2014-01-08</c:v>
                </c:pt>
                <c:pt idx="735">
                  <c:v>2014-01-09</c:v>
                </c:pt>
                <c:pt idx="736">
                  <c:v>2014-01-10</c:v>
                </c:pt>
                <c:pt idx="737">
                  <c:v>2014-01-13</c:v>
                </c:pt>
                <c:pt idx="738">
                  <c:v>2014-01-14</c:v>
                </c:pt>
                <c:pt idx="739">
                  <c:v>2014-01-15</c:v>
                </c:pt>
                <c:pt idx="740">
                  <c:v>2014-01-16</c:v>
                </c:pt>
                <c:pt idx="741">
                  <c:v>2014-01-17</c:v>
                </c:pt>
                <c:pt idx="742">
                  <c:v>2014-01-21</c:v>
                </c:pt>
                <c:pt idx="743">
                  <c:v>2014-01-22</c:v>
                </c:pt>
                <c:pt idx="744">
                  <c:v>2014-01-23</c:v>
                </c:pt>
                <c:pt idx="745">
                  <c:v>2014-01-24</c:v>
                </c:pt>
                <c:pt idx="746">
                  <c:v>2014-01-27</c:v>
                </c:pt>
                <c:pt idx="747">
                  <c:v>2014-01-28</c:v>
                </c:pt>
                <c:pt idx="748">
                  <c:v>2014-01-29</c:v>
                </c:pt>
                <c:pt idx="749">
                  <c:v>2014-01-30</c:v>
                </c:pt>
                <c:pt idx="750">
                  <c:v>2014-01-31</c:v>
                </c:pt>
                <c:pt idx="751">
                  <c:v>2014-02-03</c:v>
                </c:pt>
                <c:pt idx="752">
                  <c:v>2014-02-04</c:v>
                </c:pt>
                <c:pt idx="753">
                  <c:v>2014-02-05</c:v>
                </c:pt>
                <c:pt idx="754">
                  <c:v>2014-02-06</c:v>
                </c:pt>
                <c:pt idx="755">
                  <c:v>2014-02-07</c:v>
                </c:pt>
                <c:pt idx="756">
                  <c:v>2014-02-10</c:v>
                </c:pt>
                <c:pt idx="757">
                  <c:v>2014-02-11</c:v>
                </c:pt>
                <c:pt idx="758">
                  <c:v>2014-02-12</c:v>
                </c:pt>
                <c:pt idx="759">
                  <c:v>2014-02-13</c:v>
                </c:pt>
                <c:pt idx="760">
                  <c:v>2014-02-14</c:v>
                </c:pt>
                <c:pt idx="761">
                  <c:v>2014-02-18</c:v>
                </c:pt>
                <c:pt idx="762">
                  <c:v>2014-02-19</c:v>
                </c:pt>
                <c:pt idx="763">
                  <c:v>2014-02-20</c:v>
                </c:pt>
                <c:pt idx="764">
                  <c:v>2014-02-21</c:v>
                </c:pt>
                <c:pt idx="765">
                  <c:v>2014-02-24</c:v>
                </c:pt>
                <c:pt idx="766">
                  <c:v>2014-02-25</c:v>
                </c:pt>
                <c:pt idx="767">
                  <c:v>2014-02-26</c:v>
                </c:pt>
                <c:pt idx="768">
                  <c:v>2014-02-27</c:v>
                </c:pt>
                <c:pt idx="769">
                  <c:v>2014-02-28</c:v>
                </c:pt>
                <c:pt idx="770">
                  <c:v>2014-03-03</c:v>
                </c:pt>
                <c:pt idx="771">
                  <c:v>2014-03-04</c:v>
                </c:pt>
                <c:pt idx="772">
                  <c:v>2014-03-05</c:v>
                </c:pt>
                <c:pt idx="773">
                  <c:v>2014-03-06</c:v>
                </c:pt>
                <c:pt idx="774">
                  <c:v>2014-03-07</c:v>
                </c:pt>
                <c:pt idx="775">
                  <c:v>2014-03-10</c:v>
                </c:pt>
                <c:pt idx="776">
                  <c:v>2014-03-11</c:v>
                </c:pt>
                <c:pt idx="777">
                  <c:v>2014-03-12</c:v>
                </c:pt>
                <c:pt idx="778">
                  <c:v>2014-03-13</c:v>
                </c:pt>
                <c:pt idx="779">
                  <c:v>2014-03-14</c:v>
                </c:pt>
                <c:pt idx="780">
                  <c:v>2014-03-17</c:v>
                </c:pt>
                <c:pt idx="781">
                  <c:v>2014-03-18</c:v>
                </c:pt>
                <c:pt idx="782">
                  <c:v>2014-03-19</c:v>
                </c:pt>
                <c:pt idx="783">
                  <c:v>2014-03-20</c:v>
                </c:pt>
                <c:pt idx="784">
                  <c:v>2014-03-21</c:v>
                </c:pt>
                <c:pt idx="785">
                  <c:v>2014-03-24</c:v>
                </c:pt>
                <c:pt idx="786">
                  <c:v>2014-03-25</c:v>
                </c:pt>
                <c:pt idx="787">
                  <c:v>2014-03-26</c:v>
                </c:pt>
                <c:pt idx="788">
                  <c:v>2014-03-27</c:v>
                </c:pt>
                <c:pt idx="789">
                  <c:v>2014-03-28</c:v>
                </c:pt>
                <c:pt idx="790">
                  <c:v>2014-03-31</c:v>
                </c:pt>
                <c:pt idx="791">
                  <c:v>2014-04-01</c:v>
                </c:pt>
                <c:pt idx="792">
                  <c:v>2014-04-02</c:v>
                </c:pt>
                <c:pt idx="793">
                  <c:v>2014-04-03</c:v>
                </c:pt>
                <c:pt idx="794">
                  <c:v>2014-04-04</c:v>
                </c:pt>
                <c:pt idx="795">
                  <c:v>2014-04-07</c:v>
                </c:pt>
                <c:pt idx="796">
                  <c:v>2014-04-08</c:v>
                </c:pt>
                <c:pt idx="797">
                  <c:v>2014-04-09</c:v>
                </c:pt>
                <c:pt idx="798">
                  <c:v>2014-04-10</c:v>
                </c:pt>
                <c:pt idx="799">
                  <c:v>2014-04-11</c:v>
                </c:pt>
                <c:pt idx="800">
                  <c:v>2014-04-14</c:v>
                </c:pt>
                <c:pt idx="801">
                  <c:v>2014-04-15</c:v>
                </c:pt>
                <c:pt idx="802">
                  <c:v>2014-04-16</c:v>
                </c:pt>
                <c:pt idx="803">
                  <c:v>2014-04-17</c:v>
                </c:pt>
                <c:pt idx="804">
                  <c:v>2014-04-21</c:v>
                </c:pt>
                <c:pt idx="805">
                  <c:v>2014-04-22</c:v>
                </c:pt>
                <c:pt idx="806">
                  <c:v>2014-04-23</c:v>
                </c:pt>
                <c:pt idx="807">
                  <c:v>2014-04-24</c:v>
                </c:pt>
                <c:pt idx="808">
                  <c:v>2014-04-25</c:v>
                </c:pt>
                <c:pt idx="809">
                  <c:v>2014-04-28</c:v>
                </c:pt>
                <c:pt idx="810">
                  <c:v>2014-04-29</c:v>
                </c:pt>
                <c:pt idx="811">
                  <c:v>2014-04-30</c:v>
                </c:pt>
                <c:pt idx="812">
                  <c:v>2014-05-01</c:v>
                </c:pt>
                <c:pt idx="813">
                  <c:v>2014-05-02</c:v>
                </c:pt>
                <c:pt idx="814">
                  <c:v>2014-05-05</c:v>
                </c:pt>
                <c:pt idx="815">
                  <c:v>2014-05-06</c:v>
                </c:pt>
                <c:pt idx="816">
                  <c:v>2014-05-07</c:v>
                </c:pt>
                <c:pt idx="817">
                  <c:v>2014-05-08</c:v>
                </c:pt>
                <c:pt idx="818">
                  <c:v>2014-05-09</c:v>
                </c:pt>
                <c:pt idx="819">
                  <c:v>2014-05-12</c:v>
                </c:pt>
                <c:pt idx="820">
                  <c:v>2014-05-13</c:v>
                </c:pt>
                <c:pt idx="821">
                  <c:v>2014-05-14</c:v>
                </c:pt>
                <c:pt idx="822">
                  <c:v>2014-05-15</c:v>
                </c:pt>
                <c:pt idx="823">
                  <c:v>2014-05-16</c:v>
                </c:pt>
                <c:pt idx="824">
                  <c:v>2014-05-19</c:v>
                </c:pt>
                <c:pt idx="825">
                  <c:v>2014-05-20</c:v>
                </c:pt>
                <c:pt idx="826">
                  <c:v>2014-05-21</c:v>
                </c:pt>
                <c:pt idx="827">
                  <c:v>2014-05-22</c:v>
                </c:pt>
                <c:pt idx="828">
                  <c:v>2014-05-23</c:v>
                </c:pt>
                <c:pt idx="829">
                  <c:v>2014-05-27</c:v>
                </c:pt>
                <c:pt idx="830">
                  <c:v>2014-05-28</c:v>
                </c:pt>
                <c:pt idx="831">
                  <c:v>2014-05-29</c:v>
                </c:pt>
                <c:pt idx="832">
                  <c:v>2014-05-30</c:v>
                </c:pt>
                <c:pt idx="833">
                  <c:v>2014-06-02</c:v>
                </c:pt>
                <c:pt idx="834">
                  <c:v>2014-06-03</c:v>
                </c:pt>
                <c:pt idx="835">
                  <c:v>2014-06-04</c:v>
                </c:pt>
                <c:pt idx="836">
                  <c:v>2014-06-05</c:v>
                </c:pt>
                <c:pt idx="837">
                  <c:v>2014-06-06</c:v>
                </c:pt>
                <c:pt idx="838">
                  <c:v>2014-06-09</c:v>
                </c:pt>
                <c:pt idx="839">
                  <c:v>2014-06-10</c:v>
                </c:pt>
                <c:pt idx="840">
                  <c:v>2014-06-11</c:v>
                </c:pt>
                <c:pt idx="841">
                  <c:v>2014-06-12</c:v>
                </c:pt>
                <c:pt idx="842">
                  <c:v>2014-06-13</c:v>
                </c:pt>
                <c:pt idx="843">
                  <c:v>2014-06-16</c:v>
                </c:pt>
                <c:pt idx="844">
                  <c:v>2014-06-17</c:v>
                </c:pt>
                <c:pt idx="845">
                  <c:v>2014-06-18</c:v>
                </c:pt>
                <c:pt idx="846">
                  <c:v>2014-06-19</c:v>
                </c:pt>
                <c:pt idx="847">
                  <c:v>2014-06-20</c:v>
                </c:pt>
                <c:pt idx="848">
                  <c:v>2014-06-23</c:v>
                </c:pt>
                <c:pt idx="849">
                  <c:v>2014-06-24</c:v>
                </c:pt>
                <c:pt idx="850">
                  <c:v>2014-06-25</c:v>
                </c:pt>
                <c:pt idx="851">
                  <c:v>2014-06-26</c:v>
                </c:pt>
                <c:pt idx="852">
                  <c:v>2014-06-27</c:v>
                </c:pt>
                <c:pt idx="853">
                  <c:v>2014-06-30</c:v>
                </c:pt>
                <c:pt idx="854">
                  <c:v>2014-07-01</c:v>
                </c:pt>
                <c:pt idx="855">
                  <c:v>2014-07-02</c:v>
                </c:pt>
                <c:pt idx="856">
                  <c:v>2014-07-03</c:v>
                </c:pt>
                <c:pt idx="857">
                  <c:v>2014-07-07</c:v>
                </c:pt>
                <c:pt idx="858">
                  <c:v>2014-07-08</c:v>
                </c:pt>
                <c:pt idx="859">
                  <c:v>2014-07-09</c:v>
                </c:pt>
                <c:pt idx="860">
                  <c:v>2014-07-10</c:v>
                </c:pt>
                <c:pt idx="861">
                  <c:v>2014-07-11</c:v>
                </c:pt>
                <c:pt idx="862">
                  <c:v>2014-07-14</c:v>
                </c:pt>
                <c:pt idx="863">
                  <c:v>2014-07-15</c:v>
                </c:pt>
                <c:pt idx="864">
                  <c:v>2014-07-16</c:v>
                </c:pt>
                <c:pt idx="865">
                  <c:v>2014-07-17</c:v>
                </c:pt>
                <c:pt idx="866">
                  <c:v>2014-07-18</c:v>
                </c:pt>
                <c:pt idx="867">
                  <c:v>2014-07-21</c:v>
                </c:pt>
                <c:pt idx="868">
                  <c:v>2014-07-22</c:v>
                </c:pt>
                <c:pt idx="869">
                  <c:v>2014-07-23</c:v>
                </c:pt>
                <c:pt idx="870">
                  <c:v>2014-07-24</c:v>
                </c:pt>
                <c:pt idx="871">
                  <c:v>2014-07-25</c:v>
                </c:pt>
                <c:pt idx="872">
                  <c:v>2014-07-28</c:v>
                </c:pt>
                <c:pt idx="873">
                  <c:v>2014-07-29</c:v>
                </c:pt>
                <c:pt idx="874">
                  <c:v>2014-07-30</c:v>
                </c:pt>
                <c:pt idx="875">
                  <c:v>2014-07-31</c:v>
                </c:pt>
                <c:pt idx="876">
                  <c:v>2014-08-01</c:v>
                </c:pt>
                <c:pt idx="877">
                  <c:v>2014-08-04</c:v>
                </c:pt>
                <c:pt idx="878">
                  <c:v>2014-08-05</c:v>
                </c:pt>
                <c:pt idx="879">
                  <c:v>2014-08-06</c:v>
                </c:pt>
                <c:pt idx="880">
                  <c:v>2014-08-07</c:v>
                </c:pt>
                <c:pt idx="881">
                  <c:v>2014-08-08</c:v>
                </c:pt>
                <c:pt idx="882">
                  <c:v>2014-08-11</c:v>
                </c:pt>
                <c:pt idx="883">
                  <c:v>2014-08-12</c:v>
                </c:pt>
                <c:pt idx="884">
                  <c:v>2014-08-13</c:v>
                </c:pt>
                <c:pt idx="885">
                  <c:v>2014-08-14</c:v>
                </c:pt>
                <c:pt idx="886">
                  <c:v>2014-08-15</c:v>
                </c:pt>
                <c:pt idx="887">
                  <c:v>2014-08-18</c:v>
                </c:pt>
                <c:pt idx="888">
                  <c:v>2014-08-19</c:v>
                </c:pt>
                <c:pt idx="889">
                  <c:v>2014-08-20</c:v>
                </c:pt>
                <c:pt idx="890">
                  <c:v>2014-08-21</c:v>
                </c:pt>
                <c:pt idx="891">
                  <c:v>2014-08-22</c:v>
                </c:pt>
                <c:pt idx="892">
                  <c:v>2014-08-25</c:v>
                </c:pt>
                <c:pt idx="893">
                  <c:v>2014-08-26</c:v>
                </c:pt>
                <c:pt idx="894">
                  <c:v>2014-08-27</c:v>
                </c:pt>
                <c:pt idx="895">
                  <c:v>2014-08-28</c:v>
                </c:pt>
                <c:pt idx="896">
                  <c:v>2014-08-29</c:v>
                </c:pt>
                <c:pt idx="897">
                  <c:v>2014-09-02</c:v>
                </c:pt>
                <c:pt idx="898">
                  <c:v>2014-09-03</c:v>
                </c:pt>
                <c:pt idx="899">
                  <c:v>2014-09-04</c:v>
                </c:pt>
                <c:pt idx="900">
                  <c:v>2014-09-05</c:v>
                </c:pt>
                <c:pt idx="901">
                  <c:v>2014-09-08</c:v>
                </c:pt>
                <c:pt idx="902">
                  <c:v>2014-09-09</c:v>
                </c:pt>
                <c:pt idx="903">
                  <c:v>2014-09-10</c:v>
                </c:pt>
                <c:pt idx="904">
                  <c:v>2014-09-11</c:v>
                </c:pt>
                <c:pt idx="905">
                  <c:v>2014-09-12</c:v>
                </c:pt>
                <c:pt idx="906">
                  <c:v>2014-09-15</c:v>
                </c:pt>
                <c:pt idx="907">
                  <c:v>2014-09-16</c:v>
                </c:pt>
                <c:pt idx="908">
                  <c:v>2014-09-17</c:v>
                </c:pt>
                <c:pt idx="909">
                  <c:v>2014-09-18</c:v>
                </c:pt>
                <c:pt idx="910">
                  <c:v>2014-09-19</c:v>
                </c:pt>
                <c:pt idx="911">
                  <c:v>2014-09-22</c:v>
                </c:pt>
                <c:pt idx="912">
                  <c:v>2014-09-23</c:v>
                </c:pt>
                <c:pt idx="913">
                  <c:v>2014-09-24</c:v>
                </c:pt>
                <c:pt idx="914">
                  <c:v>2014-09-25</c:v>
                </c:pt>
                <c:pt idx="915">
                  <c:v>2014-09-26</c:v>
                </c:pt>
                <c:pt idx="916">
                  <c:v>2014-09-29</c:v>
                </c:pt>
                <c:pt idx="917">
                  <c:v>2014-09-30</c:v>
                </c:pt>
                <c:pt idx="918">
                  <c:v>2014-10-01</c:v>
                </c:pt>
                <c:pt idx="919">
                  <c:v>2014-10-02</c:v>
                </c:pt>
                <c:pt idx="920">
                  <c:v>2014-10-03</c:v>
                </c:pt>
                <c:pt idx="921">
                  <c:v>2014-10-06</c:v>
                </c:pt>
                <c:pt idx="922">
                  <c:v>2014-10-07</c:v>
                </c:pt>
                <c:pt idx="923">
                  <c:v>2014-10-08</c:v>
                </c:pt>
                <c:pt idx="924">
                  <c:v>2014-10-09</c:v>
                </c:pt>
                <c:pt idx="925">
                  <c:v>2014-10-10</c:v>
                </c:pt>
                <c:pt idx="926">
                  <c:v>2014-10-14</c:v>
                </c:pt>
                <c:pt idx="927">
                  <c:v>2014-10-15</c:v>
                </c:pt>
                <c:pt idx="928">
                  <c:v>2014-10-16</c:v>
                </c:pt>
                <c:pt idx="929">
                  <c:v>2014-10-17</c:v>
                </c:pt>
                <c:pt idx="930">
                  <c:v>2014-10-20</c:v>
                </c:pt>
                <c:pt idx="931">
                  <c:v>2014-10-21</c:v>
                </c:pt>
                <c:pt idx="932">
                  <c:v>2014-10-22</c:v>
                </c:pt>
                <c:pt idx="933">
                  <c:v>2014-10-23</c:v>
                </c:pt>
                <c:pt idx="934">
                  <c:v>2014-10-24</c:v>
                </c:pt>
                <c:pt idx="935">
                  <c:v>2014-10-27</c:v>
                </c:pt>
                <c:pt idx="936">
                  <c:v>2014-10-28</c:v>
                </c:pt>
                <c:pt idx="937">
                  <c:v>2014-10-29</c:v>
                </c:pt>
                <c:pt idx="938">
                  <c:v>2014-10-30</c:v>
                </c:pt>
                <c:pt idx="939">
                  <c:v>2014-10-31</c:v>
                </c:pt>
                <c:pt idx="940">
                  <c:v>2014-11-03</c:v>
                </c:pt>
                <c:pt idx="941">
                  <c:v>2014-11-04</c:v>
                </c:pt>
                <c:pt idx="942">
                  <c:v>2014-11-05</c:v>
                </c:pt>
                <c:pt idx="943">
                  <c:v>2014-11-06</c:v>
                </c:pt>
                <c:pt idx="944">
                  <c:v>2014-11-07</c:v>
                </c:pt>
                <c:pt idx="945">
                  <c:v>2014-11-10</c:v>
                </c:pt>
                <c:pt idx="946">
                  <c:v>2014-11-12</c:v>
                </c:pt>
                <c:pt idx="947">
                  <c:v>2014-11-13</c:v>
                </c:pt>
                <c:pt idx="948">
                  <c:v>2014-11-14</c:v>
                </c:pt>
                <c:pt idx="949">
                  <c:v>2014-11-17</c:v>
                </c:pt>
                <c:pt idx="950">
                  <c:v>2014-11-18</c:v>
                </c:pt>
                <c:pt idx="951">
                  <c:v>2014-11-19</c:v>
                </c:pt>
                <c:pt idx="952">
                  <c:v>2014-11-20</c:v>
                </c:pt>
                <c:pt idx="953">
                  <c:v>2014-11-21</c:v>
                </c:pt>
                <c:pt idx="954">
                  <c:v>2014-11-24</c:v>
                </c:pt>
                <c:pt idx="955">
                  <c:v>2014-11-25</c:v>
                </c:pt>
                <c:pt idx="956">
                  <c:v>2014-11-26</c:v>
                </c:pt>
                <c:pt idx="957">
                  <c:v>2014-11-28</c:v>
                </c:pt>
                <c:pt idx="958">
                  <c:v>2014-12-01</c:v>
                </c:pt>
                <c:pt idx="959">
                  <c:v>2014-12-02</c:v>
                </c:pt>
                <c:pt idx="960">
                  <c:v>2014-12-03</c:v>
                </c:pt>
                <c:pt idx="961">
                  <c:v>2014-12-04</c:v>
                </c:pt>
                <c:pt idx="962">
                  <c:v>2014-12-05</c:v>
                </c:pt>
                <c:pt idx="963">
                  <c:v>2014-12-08</c:v>
                </c:pt>
                <c:pt idx="964">
                  <c:v>2014-12-09</c:v>
                </c:pt>
                <c:pt idx="965">
                  <c:v>2014-12-10</c:v>
                </c:pt>
                <c:pt idx="966">
                  <c:v>2014-12-11</c:v>
                </c:pt>
                <c:pt idx="967">
                  <c:v>2014-12-12</c:v>
                </c:pt>
                <c:pt idx="968">
                  <c:v>2014-12-15</c:v>
                </c:pt>
                <c:pt idx="969">
                  <c:v>2014-12-16</c:v>
                </c:pt>
                <c:pt idx="970">
                  <c:v>2014-12-17</c:v>
                </c:pt>
                <c:pt idx="971">
                  <c:v>2014-12-18</c:v>
                </c:pt>
                <c:pt idx="972">
                  <c:v>2014-12-19</c:v>
                </c:pt>
                <c:pt idx="973">
                  <c:v>2014-12-22</c:v>
                </c:pt>
                <c:pt idx="974">
                  <c:v>2014-12-23</c:v>
                </c:pt>
                <c:pt idx="975">
                  <c:v>2014-12-24</c:v>
                </c:pt>
                <c:pt idx="976">
                  <c:v>2014-12-26</c:v>
                </c:pt>
                <c:pt idx="977">
                  <c:v>2014-12-29</c:v>
                </c:pt>
                <c:pt idx="978">
                  <c:v>2014-12-30</c:v>
                </c:pt>
                <c:pt idx="979">
                  <c:v>2014-12-31</c:v>
                </c:pt>
                <c:pt idx="980">
                  <c:v>2015-01-02</c:v>
                </c:pt>
                <c:pt idx="981">
                  <c:v>2015-01-05</c:v>
                </c:pt>
                <c:pt idx="982">
                  <c:v>2015-01-06</c:v>
                </c:pt>
                <c:pt idx="983">
                  <c:v>2015-01-07</c:v>
                </c:pt>
                <c:pt idx="984">
                  <c:v>2015-01-08</c:v>
                </c:pt>
                <c:pt idx="985">
                  <c:v>2015-01-09</c:v>
                </c:pt>
                <c:pt idx="986">
                  <c:v>2015-01-12</c:v>
                </c:pt>
                <c:pt idx="987">
                  <c:v>2015-01-13</c:v>
                </c:pt>
                <c:pt idx="988">
                  <c:v>2015-01-14</c:v>
                </c:pt>
                <c:pt idx="989">
                  <c:v>2015-01-15</c:v>
                </c:pt>
                <c:pt idx="990">
                  <c:v>2015-01-16</c:v>
                </c:pt>
                <c:pt idx="991">
                  <c:v>2015-01-20</c:v>
                </c:pt>
                <c:pt idx="992">
                  <c:v>2015-01-21</c:v>
                </c:pt>
                <c:pt idx="993">
                  <c:v>2015-01-22</c:v>
                </c:pt>
                <c:pt idx="994">
                  <c:v>2015-01-23</c:v>
                </c:pt>
                <c:pt idx="995">
                  <c:v>2015-01-26</c:v>
                </c:pt>
                <c:pt idx="996">
                  <c:v>2015-01-27</c:v>
                </c:pt>
                <c:pt idx="997">
                  <c:v>2015-01-28</c:v>
                </c:pt>
                <c:pt idx="998">
                  <c:v>2015-01-29</c:v>
                </c:pt>
                <c:pt idx="999">
                  <c:v>2015-01-30</c:v>
                </c:pt>
                <c:pt idx="1000">
                  <c:v>2015-02-02</c:v>
                </c:pt>
                <c:pt idx="1001">
                  <c:v>2015-02-03</c:v>
                </c:pt>
                <c:pt idx="1002">
                  <c:v>2015-02-04</c:v>
                </c:pt>
                <c:pt idx="1003">
                  <c:v>2015-02-05</c:v>
                </c:pt>
                <c:pt idx="1004">
                  <c:v>2015-02-06</c:v>
                </c:pt>
                <c:pt idx="1005">
                  <c:v>2015-02-09</c:v>
                </c:pt>
                <c:pt idx="1006">
                  <c:v>2015-02-10</c:v>
                </c:pt>
                <c:pt idx="1007">
                  <c:v>2015-02-11</c:v>
                </c:pt>
                <c:pt idx="1008">
                  <c:v>2015-02-12</c:v>
                </c:pt>
                <c:pt idx="1009">
                  <c:v>2015-02-13</c:v>
                </c:pt>
                <c:pt idx="1010">
                  <c:v>2015-02-17</c:v>
                </c:pt>
                <c:pt idx="1011">
                  <c:v>2015-02-18</c:v>
                </c:pt>
                <c:pt idx="1012">
                  <c:v>2015-02-19</c:v>
                </c:pt>
                <c:pt idx="1013">
                  <c:v>2015-02-20</c:v>
                </c:pt>
                <c:pt idx="1014">
                  <c:v>2015-02-23</c:v>
                </c:pt>
                <c:pt idx="1015">
                  <c:v>2015-02-24</c:v>
                </c:pt>
                <c:pt idx="1016">
                  <c:v>2015-02-25</c:v>
                </c:pt>
                <c:pt idx="1017">
                  <c:v>2015-02-26</c:v>
                </c:pt>
                <c:pt idx="1018">
                  <c:v>2015-02-27</c:v>
                </c:pt>
                <c:pt idx="1019">
                  <c:v>2015-03-02</c:v>
                </c:pt>
                <c:pt idx="1020">
                  <c:v>2015-03-03</c:v>
                </c:pt>
                <c:pt idx="1021">
                  <c:v>2015-03-04</c:v>
                </c:pt>
                <c:pt idx="1022">
                  <c:v>2015-03-05</c:v>
                </c:pt>
                <c:pt idx="1023">
                  <c:v>2015-03-06</c:v>
                </c:pt>
                <c:pt idx="1024">
                  <c:v>2015-03-09</c:v>
                </c:pt>
                <c:pt idx="1025">
                  <c:v>2015-03-10</c:v>
                </c:pt>
                <c:pt idx="1026">
                  <c:v>2015-03-11</c:v>
                </c:pt>
                <c:pt idx="1027">
                  <c:v>2015-03-12</c:v>
                </c:pt>
                <c:pt idx="1028">
                  <c:v>2015-03-13</c:v>
                </c:pt>
                <c:pt idx="1029">
                  <c:v>2015-03-16</c:v>
                </c:pt>
                <c:pt idx="1030">
                  <c:v>2015-03-17</c:v>
                </c:pt>
                <c:pt idx="1031">
                  <c:v>2015-03-18</c:v>
                </c:pt>
                <c:pt idx="1032">
                  <c:v>2015-03-19</c:v>
                </c:pt>
                <c:pt idx="1033">
                  <c:v>2015-03-20</c:v>
                </c:pt>
                <c:pt idx="1034">
                  <c:v>2015-03-23</c:v>
                </c:pt>
                <c:pt idx="1035">
                  <c:v>2015-03-24</c:v>
                </c:pt>
                <c:pt idx="1036">
                  <c:v>2015-03-25</c:v>
                </c:pt>
                <c:pt idx="1037">
                  <c:v>2015-03-26</c:v>
                </c:pt>
                <c:pt idx="1038">
                  <c:v>2015-03-27</c:v>
                </c:pt>
                <c:pt idx="1039">
                  <c:v>2015-03-30</c:v>
                </c:pt>
                <c:pt idx="1040">
                  <c:v>2015-03-31</c:v>
                </c:pt>
                <c:pt idx="1041">
                  <c:v>2015-04-01</c:v>
                </c:pt>
                <c:pt idx="1042">
                  <c:v>2015-04-02</c:v>
                </c:pt>
                <c:pt idx="1043">
                  <c:v>2015-04-03</c:v>
                </c:pt>
                <c:pt idx="1044">
                  <c:v>2015-04-06</c:v>
                </c:pt>
                <c:pt idx="1045">
                  <c:v>2015-04-07</c:v>
                </c:pt>
                <c:pt idx="1046">
                  <c:v>2015-04-08</c:v>
                </c:pt>
                <c:pt idx="1047">
                  <c:v>2015-04-09</c:v>
                </c:pt>
                <c:pt idx="1048">
                  <c:v>2015-04-10</c:v>
                </c:pt>
                <c:pt idx="1049">
                  <c:v>2015-04-13</c:v>
                </c:pt>
                <c:pt idx="1050">
                  <c:v>2015-04-14</c:v>
                </c:pt>
                <c:pt idx="1051">
                  <c:v>2015-04-15</c:v>
                </c:pt>
                <c:pt idx="1052">
                  <c:v>2015-04-16</c:v>
                </c:pt>
                <c:pt idx="1053">
                  <c:v>2015-04-17</c:v>
                </c:pt>
                <c:pt idx="1054">
                  <c:v>2015-04-20</c:v>
                </c:pt>
                <c:pt idx="1055">
                  <c:v>2015-04-21</c:v>
                </c:pt>
                <c:pt idx="1056">
                  <c:v>2015-04-22</c:v>
                </c:pt>
                <c:pt idx="1057">
                  <c:v>2015-04-23</c:v>
                </c:pt>
                <c:pt idx="1058">
                  <c:v>2015-04-24</c:v>
                </c:pt>
                <c:pt idx="1059">
                  <c:v>2015-04-27</c:v>
                </c:pt>
                <c:pt idx="1060">
                  <c:v>2015-04-28</c:v>
                </c:pt>
                <c:pt idx="1061">
                  <c:v>2015-04-29</c:v>
                </c:pt>
                <c:pt idx="1062">
                  <c:v>2015-04-30</c:v>
                </c:pt>
                <c:pt idx="1063">
                  <c:v>2015-05-01</c:v>
                </c:pt>
                <c:pt idx="1064">
                  <c:v>2015-05-04</c:v>
                </c:pt>
                <c:pt idx="1065">
                  <c:v>2015-05-05</c:v>
                </c:pt>
                <c:pt idx="1066">
                  <c:v>2015-05-06</c:v>
                </c:pt>
                <c:pt idx="1067">
                  <c:v>2015-05-07</c:v>
                </c:pt>
                <c:pt idx="1068">
                  <c:v>2015-05-08</c:v>
                </c:pt>
                <c:pt idx="1069">
                  <c:v>2015-05-11</c:v>
                </c:pt>
                <c:pt idx="1070">
                  <c:v>2015-05-12</c:v>
                </c:pt>
                <c:pt idx="1071">
                  <c:v>2015-05-13</c:v>
                </c:pt>
                <c:pt idx="1072">
                  <c:v>2015-05-14</c:v>
                </c:pt>
                <c:pt idx="1073">
                  <c:v>2015-05-15</c:v>
                </c:pt>
                <c:pt idx="1074">
                  <c:v>2015-05-18</c:v>
                </c:pt>
                <c:pt idx="1075">
                  <c:v>2015-05-19</c:v>
                </c:pt>
                <c:pt idx="1076">
                  <c:v>2015-05-20</c:v>
                </c:pt>
                <c:pt idx="1077">
                  <c:v>2015-05-21</c:v>
                </c:pt>
                <c:pt idx="1078">
                  <c:v>2015-05-22</c:v>
                </c:pt>
                <c:pt idx="1079">
                  <c:v>2015-05-26</c:v>
                </c:pt>
                <c:pt idx="1080">
                  <c:v>2015-05-27</c:v>
                </c:pt>
                <c:pt idx="1081">
                  <c:v>2015-05-28</c:v>
                </c:pt>
                <c:pt idx="1082">
                  <c:v>2015-05-29</c:v>
                </c:pt>
                <c:pt idx="1083">
                  <c:v>2015-06-01</c:v>
                </c:pt>
                <c:pt idx="1084">
                  <c:v>2015-06-02</c:v>
                </c:pt>
                <c:pt idx="1085">
                  <c:v>2015-06-03</c:v>
                </c:pt>
                <c:pt idx="1086">
                  <c:v>2015-06-04</c:v>
                </c:pt>
                <c:pt idx="1087">
                  <c:v>2015-06-05</c:v>
                </c:pt>
                <c:pt idx="1088">
                  <c:v>2015-06-08</c:v>
                </c:pt>
                <c:pt idx="1089">
                  <c:v>2015-06-09</c:v>
                </c:pt>
                <c:pt idx="1090">
                  <c:v>2015-06-10</c:v>
                </c:pt>
                <c:pt idx="1091">
                  <c:v>2015-06-11</c:v>
                </c:pt>
                <c:pt idx="1092">
                  <c:v>2015-06-12</c:v>
                </c:pt>
                <c:pt idx="1093">
                  <c:v>2015-06-15</c:v>
                </c:pt>
                <c:pt idx="1094">
                  <c:v>2015-06-16</c:v>
                </c:pt>
                <c:pt idx="1095">
                  <c:v>2015-06-17</c:v>
                </c:pt>
                <c:pt idx="1096">
                  <c:v>2015-06-18</c:v>
                </c:pt>
                <c:pt idx="1097">
                  <c:v>2015-06-19</c:v>
                </c:pt>
                <c:pt idx="1098">
                  <c:v>2015-06-22</c:v>
                </c:pt>
                <c:pt idx="1099">
                  <c:v>2015-06-23</c:v>
                </c:pt>
                <c:pt idx="1100">
                  <c:v>2015-06-24</c:v>
                </c:pt>
                <c:pt idx="1101">
                  <c:v>2015-06-25</c:v>
                </c:pt>
                <c:pt idx="1102">
                  <c:v>2015-06-26</c:v>
                </c:pt>
                <c:pt idx="1103">
                  <c:v>2015-06-29</c:v>
                </c:pt>
                <c:pt idx="1104">
                  <c:v>2015-06-30</c:v>
                </c:pt>
                <c:pt idx="1105">
                  <c:v>2015-07-01</c:v>
                </c:pt>
                <c:pt idx="1106">
                  <c:v>2015-07-02</c:v>
                </c:pt>
                <c:pt idx="1107">
                  <c:v>2015-07-06</c:v>
                </c:pt>
                <c:pt idx="1108">
                  <c:v>2015-07-07</c:v>
                </c:pt>
                <c:pt idx="1109">
                  <c:v>2015-07-08</c:v>
                </c:pt>
                <c:pt idx="1110">
                  <c:v>2015-07-09</c:v>
                </c:pt>
                <c:pt idx="1111">
                  <c:v>2015-07-10</c:v>
                </c:pt>
                <c:pt idx="1112">
                  <c:v>2015-07-13</c:v>
                </c:pt>
                <c:pt idx="1113">
                  <c:v>2015-07-14</c:v>
                </c:pt>
                <c:pt idx="1114">
                  <c:v>2015-07-15</c:v>
                </c:pt>
                <c:pt idx="1115">
                  <c:v>2015-07-16</c:v>
                </c:pt>
                <c:pt idx="1116">
                  <c:v>2015-07-17</c:v>
                </c:pt>
                <c:pt idx="1117">
                  <c:v>2015-07-20</c:v>
                </c:pt>
                <c:pt idx="1118">
                  <c:v>2015-07-21</c:v>
                </c:pt>
                <c:pt idx="1119">
                  <c:v>2015-07-22</c:v>
                </c:pt>
                <c:pt idx="1120">
                  <c:v>2015-07-23</c:v>
                </c:pt>
                <c:pt idx="1121">
                  <c:v>2015-07-24</c:v>
                </c:pt>
                <c:pt idx="1122">
                  <c:v>2015-07-27</c:v>
                </c:pt>
                <c:pt idx="1123">
                  <c:v>2015-07-28</c:v>
                </c:pt>
                <c:pt idx="1124">
                  <c:v>2015-07-29</c:v>
                </c:pt>
                <c:pt idx="1125">
                  <c:v>2015-07-30</c:v>
                </c:pt>
                <c:pt idx="1126">
                  <c:v>2015-07-31</c:v>
                </c:pt>
                <c:pt idx="1127">
                  <c:v>2015-08-03</c:v>
                </c:pt>
                <c:pt idx="1128">
                  <c:v>2015-08-04</c:v>
                </c:pt>
                <c:pt idx="1129">
                  <c:v>2015-08-05</c:v>
                </c:pt>
                <c:pt idx="1130">
                  <c:v>2015-08-06</c:v>
                </c:pt>
                <c:pt idx="1131">
                  <c:v>2015-08-07</c:v>
                </c:pt>
                <c:pt idx="1132">
                  <c:v>2015-08-10</c:v>
                </c:pt>
                <c:pt idx="1133">
                  <c:v>2015-08-11</c:v>
                </c:pt>
                <c:pt idx="1134">
                  <c:v>2015-08-12</c:v>
                </c:pt>
                <c:pt idx="1135">
                  <c:v>2015-08-13</c:v>
                </c:pt>
                <c:pt idx="1136">
                  <c:v>2015-08-14</c:v>
                </c:pt>
                <c:pt idx="1137">
                  <c:v>2015-08-17</c:v>
                </c:pt>
                <c:pt idx="1138">
                  <c:v>2015-08-18</c:v>
                </c:pt>
                <c:pt idx="1139">
                  <c:v>2015-08-19</c:v>
                </c:pt>
                <c:pt idx="1140">
                  <c:v>2015-08-20</c:v>
                </c:pt>
                <c:pt idx="1141">
                  <c:v>2015-08-21</c:v>
                </c:pt>
                <c:pt idx="1142">
                  <c:v>2015-08-24</c:v>
                </c:pt>
                <c:pt idx="1143">
                  <c:v>2015-08-25</c:v>
                </c:pt>
                <c:pt idx="1144">
                  <c:v>2015-08-26</c:v>
                </c:pt>
                <c:pt idx="1145">
                  <c:v>2015-08-27</c:v>
                </c:pt>
                <c:pt idx="1146">
                  <c:v>2015-08-28</c:v>
                </c:pt>
                <c:pt idx="1147">
                  <c:v>2015-08-31</c:v>
                </c:pt>
                <c:pt idx="1148">
                  <c:v>2015-09-01</c:v>
                </c:pt>
                <c:pt idx="1149">
                  <c:v>2015-09-02</c:v>
                </c:pt>
                <c:pt idx="1150">
                  <c:v>2015-09-03</c:v>
                </c:pt>
                <c:pt idx="1151">
                  <c:v>2015-09-04</c:v>
                </c:pt>
                <c:pt idx="1152">
                  <c:v>2015-09-08</c:v>
                </c:pt>
                <c:pt idx="1153">
                  <c:v>2015-09-09</c:v>
                </c:pt>
                <c:pt idx="1154">
                  <c:v>2015-09-10</c:v>
                </c:pt>
                <c:pt idx="1155">
                  <c:v>2015-09-11</c:v>
                </c:pt>
                <c:pt idx="1156">
                  <c:v>2015-09-14</c:v>
                </c:pt>
                <c:pt idx="1157">
                  <c:v>2015-09-15</c:v>
                </c:pt>
                <c:pt idx="1158">
                  <c:v>2015-09-16</c:v>
                </c:pt>
                <c:pt idx="1159">
                  <c:v>2015-09-17</c:v>
                </c:pt>
                <c:pt idx="1160">
                  <c:v>2015-09-18</c:v>
                </c:pt>
                <c:pt idx="1161">
                  <c:v>2015-09-21</c:v>
                </c:pt>
                <c:pt idx="1162">
                  <c:v>2015-09-22</c:v>
                </c:pt>
                <c:pt idx="1163">
                  <c:v>2015-09-23</c:v>
                </c:pt>
                <c:pt idx="1164">
                  <c:v>2015-09-24</c:v>
                </c:pt>
                <c:pt idx="1165">
                  <c:v>2015-09-25</c:v>
                </c:pt>
                <c:pt idx="1166">
                  <c:v>2015-09-28</c:v>
                </c:pt>
                <c:pt idx="1167">
                  <c:v>2015-09-29</c:v>
                </c:pt>
                <c:pt idx="1168">
                  <c:v>2015-09-30</c:v>
                </c:pt>
                <c:pt idx="1169">
                  <c:v>2015-10-01</c:v>
                </c:pt>
                <c:pt idx="1170">
                  <c:v>2015-10-02</c:v>
                </c:pt>
                <c:pt idx="1171">
                  <c:v>2015-10-05</c:v>
                </c:pt>
                <c:pt idx="1172">
                  <c:v>2015-10-06</c:v>
                </c:pt>
                <c:pt idx="1173">
                  <c:v>2015-10-07</c:v>
                </c:pt>
                <c:pt idx="1174">
                  <c:v>2015-10-08</c:v>
                </c:pt>
                <c:pt idx="1175">
                  <c:v>2015-10-09</c:v>
                </c:pt>
                <c:pt idx="1176">
                  <c:v>2015-10-13</c:v>
                </c:pt>
                <c:pt idx="1177">
                  <c:v>2015-10-14</c:v>
                </c:pt>
                <c:pt idx="1178">
                  <c:v>2015-10-15</c:v>
                </c:pt>
                <c:pt idx="1179">
                  <c:v>2015-10-16</c:v>
                </c:pt>
                <c:pt idx="1180">
                  <c:v>2015-10-19</c:v>
                </c:pt>
                <c:pt idx="1181">
                  <c:v>2015-10-20</c:v>
                </c:pt>
                <c:pt idx="1182">
                  <c:v>2015-10-21</c:v>
                </c:pt>
                <c:pt idx="1183">
                  <c:v>2015-10-22</c:v>
                </c:pt>
                <c:pt idx="1184">
                  <c:v>2015-10-23</c:v>
                </c:pt>
                <c:pt idx="1185">
                  <c:v>2015-10-26</c:v>
                </c:pt>
                <c:pt idx="1186">
                  <c:v>2015-10-27</c:v>
                </c:pt>
                <c:pt idx="1187">
                  <c:v>2015-10-28</c:v>
                </c:pt>
                <c:pt idx="1188">
                  <c:v>2015-10-29</c:v>
                </c:pt>
                <c:pt idx="1189">
                  <c:v>2015-10-30</c:v>
                </c:pt>
                <c:pt idx="1190">
                  <c:v>2015-11-02</c:v>
                </c:pt>
                <c:pt idx="1191">
                  <c:v>2015-11-03</c:v>
                </c:pt>
                <c:pt idx="1192">
                  <c:v>2015-11-04</c:v>
                </c:pt>
                <c:pt idx="1193">
                  <c:v>2015-11-05</c:v>
                </c:pt>
                <c:pt idx="1194">
                  <c:v>2015-11-06</c:v>
                </c:pt>
                <c:pt idx="1195">
                  <c:v>2015-11-09</c:v>
                </c:pt>
                <c:pt idx="1196">
                  <c:v>2015-11-10</c:v>
                </c:pt>
                <c:pt idx="1197">
                  <c:v>2015-11-12</c:v>
                </c:pt>
                <c:pt idx="1198">
                  <c:v>2015-11-13</c:v>
                </c:pt>
                <c:pt idx="1199">
                  <c:v>2015-11-16</c:v>
                </c:pt>
                <c:pt idx="1200">
                  <c:v>2015-11-17</c:v>
                </c:pt>
                <c:pt idx="1201">
                  <c:v>2015-11-18</c:v>
                </c:pt>
                <c:pt idx="1202">
                  <c:v>2015-11-19</c:v>
                </c:pt>
                <c:pt idx="1203">
                  <c:v>2015-11-20</c:v>
                </c:pt>
                <c:pt idx="1204">
                  <c:v>2015-11-23</c:v>
                </c:pt>
                <c:pt idx="1205">
                  <c:v>2015-11-24</c:v>
                </c:pt>
                <c:pt idx="1206">
                  <c:v>2015-11-25</c:v>
                </c:pt>
                <c:pt idx="1207">
                  <c:v>2015-11-27</c:v>
                </c:pt>
                <c:pt idx="1208">
                  <c:v>2015-11-30</c:v>
                </c:pt>
                <c:pt idx="1209">
                  <c:v>2015-12-01</c:v>
                </c:pt>
                <c:pt idx="1210">
                  <c:v>2015-12-02</c:v>
                </c:pt>
                <c:pt idx="1211">
                  <c:v>2015-12-03</c:v>
                </c:pt>
                <c:pt idx="1212">
                  <c:v>2015-12-04</c:v>
                </c:pt>
                <c:pt idx="1213">
                  <c:v>2015-12-07</c:v>
                </c:pt>
                <c:pt idx="1214">
                  <c:v>2015-12-08</c:v>
                </c:pt>
                <c:pt idx="1215">
                  <c:v>2015-12-09</c:v>
                </c:pt>
                <c:pt idx="1216">
                  <c:v>2015-12-10</c:v>
                </c:pt>
                <c:pt idx="1217">
                  <c:v>2015-12-11</c:v>
                </c:pt>
                <c:pt idx="1218">
                  <c:v>2015-12-14</c:v>
                </c:pt>
                <c:pt idx="1219">
                  <c:v>2015-12-15</c:v>
                </c:pt>
                <c:pt idx="1220">
                  <c:v>2015-12-16</c:v>
                </c:pt>
                <c:pt idx="1221">
                  <c:v>2015-12-17</c:v>
                </c:pt>
                <c:pt idx="1222">
                  <c:v>2015-12-18</c:v>
                </c:pt>
                <c:pt idx="1223">
                  <c:v>2015-12-21</c:v>
                </c:pt>
                <c:pt idx="1224">
                  <c:v>2015-12-22</c:v>
                </c:pt>
                <c:pt idx="1225">
                  <c:v>2015-12-23</c:v>
                </c:pt>
                <c:pt idx="1226">
                  <c:v>2015-12-24</c:v>
                </c:pt>
                <c:pt idx="1227">
                  <c:v>2015-12-28</c:v>
                </c:pt>
                <c:pt idx="1228">
                  <c:v>2015-12-29</c:v>
                </c:pt>
                <c:pt idx="1229">
                  <c:v>2015-12-30</c:v>
                </c:pt>
                <c:pt idx="1230">
                  <c:v>2015-12-31</c:v>
                </c:pt>
                <c:pt idx="1231">
                  <c:v>2016-01-04</c:v>
                </c:pt>
                <c:pt idx="1232">
                  <c:v>2016-01-05</c:v>
                </c:pt>
                <c:pt idx="1233">
                  <c:v>2016-01-06</c:v>
                </c:pt>
                <c:pt idx="1234">
                  <c:v>2016-01-07</c:v>
                </c:pt>
                <c:pt idx="1235">
                  <c:v>2016-01-08</c:v>
                </c:pt>
                <c:pt idx="1236">
                  <c:v>2016-01-11</c:v>
                </c:pt>
                <c:pt idx="1237">
                  <c:v>2016-01-12</c:v>
                </c:pt>
                <c:pt idx="1238">
                  <c:v>2016-01-13</c:v>
                </c:pt>
                <c:pt idx="1239">
                  <c:v>2016-01-14</c:v>
                </c:pt>
                <c:pt idx="1240">
                  <c:v>2016-01-15</c:v>
                </c:pt>
                <c:pt idx="1241">
                  <c:v>2016-01-19</c:v>
                </c:pt>
                <c:pt idx="1242">
                  <c:v>2016-01-20</c:v>
                </c:pt>
                <c:pt idx="1243">
                  <c:v>2016-01-21</c:v>
                </c:pt>
                <c:pt idx="1244">
                  <c:v>2016-01-22</c:v>
                </c:pt>
                <c:pt idx="1245">
                  <c:v>2016-01-25</c:v>
                </c:pt>
                <c:pt idx="1246">
                  <c:v>2016-01-26</c:v>
                </c:pt>
                <c:pt idx="1247">
                  <c:v>2016-01-27</c:v>
                </c:pt>
                <c:pt idx="1248">
                  <c:v>2016-01-28</c:v>
                </c:pt>
                <c:pt idx="1249">
                  <c:v>2016-01-29</c:v>
                </c:pt>
                <c:pt idx="1250">
                  <c:v>2016-02-01</c:v>
                </c:pt>
                <c:pt idx="1251">
                  <c:v>2016-02-02</c:v>
                </c:pt>
                <c:pt idx="1252">
                  <c:v>2016-02-03</c:v>
                </c:pt>
                <c:pt idx="1253">
                  <c:v>2016-02-04</c:v>
                </c:pt>
                <c:pt idx="1254">
                  <c:v>2016-02-05</c:v>
                </c:pt>
                <c:pt idx="1255">
                  <c:v>2016-02-08</c:v>
                </c:pt>
                <c:pt idx="1256">
                  <c:v>2016-02-09</c:v>
                </c:pt>
                <c:pt idx="1257">
                  <c:v>2016-02-10</c:v>
                </c:pt>
                <c:pt idx="1258">
                  <c:v>2016-02-11</c:v>
                </c:pt>
                <c:pt idx="1259">
                  <c:v>2016-02-12</c:v>
                </c:pt>
                <c:pt idx="1260">
                  <c:v>2016-02-16</c:v>
                </c:pt>
                <c:pt idx="1261">
                  <c:v>2016-02-17</c:v>
                </c:pt>
                <c:pt idx="1262">
                  <c:v>2016-02-18</c:v>
                </c:pt>
                <c:pt idx="1263">
                  <c:v>2016-02-19</c:v>
                </c:pt>
                <c:pt idx="1264">
                  <c:v>2016-02-22</c:v>
                </c:pt>
                <c:pt idx="1265">
                  <c:v>2016-02-23</c:v>
                </c:pt>
                <c:pt idx="1266">
                  <c:v>2016-02-24</c:v>
                </c:pt>
                <c:pt idx="1267">
                  <c:v>2016-02-25</c:v>
                </c:pt>
                <c:pt idx="1268">
                  <c:v>2016-02-26</c:v>
                </c:pt>
                <c:pt idx="1269">
                  <c:v>2016-02-29</c:v>
                </c:pt>
                <c:pt idx="1270">
                  <c:v>2016-03-01</c:v>
                </c:pt>
              </c:strCache>
            </c:strRef>
          </c:cat>
          <c:val>
            <c:numRef>
              <c:f>Sheet1!$D$3:$D$1273</c:f>
              <c:numCache>
                <c:formatCode>General</c:formatCode>
                <c:ptCount val="1271"/>
                <c:pt idx="0">
                  <c:v>4.7634863325593999</c:v>
                </c:pt>
                <c:pt idx="1">
                  <c:v>4.8401784895429403</c:v>
                </c:pt>
                <c:pt idx="2">
                  <c:v>4.8832354703136804</c:v>
                </c:pt>
                <c:pt idx="3">
                  <c:v>4.95117496641579</c:v>
                </c:pt>
                <c:pt idx="4">
                  <c:v>4.9685042630825507</c:v>
                </c:pt>
                <c:pt idx="5">
                  <c:v>5.0436070510303006</c:v>
                </c:pt>
                <c:pt idx="6">
                  <c:v>5.0132338350272594</c:v>
                </c:pt>
                <c:pt idx="7">
                  <c:v>5.0615404379065296</c:v>
                </c:pt>
                <c:pt idx="8">
                  <c:v>4.9946008025877395</c:v>
                </c:pt>
                <c:pt idx="9">
                  <c:v>4.95343856597027</c:v>
                </c:pt>
                <c:pt idx="10">
                  <c:v>4.9454011382960594</c:v>
                </c:pt>
                <c:pt idx="11">
                  <c:v>4.9014068849497798</c:v>
                </c:pt>
                <c:pt idx="12">
                  <c:v>4.8528855398742197</c:v>
                </c:pt>
                <c:pt idx="13">
                  <c:v>4.8688342421401405</c:v>
                </c:pt>
                <c:pt idx="14">
                  <c:v>4.8024236292892697</c:v>
                </c:pt>
                <c:pt idx="15">
                  <c:v>4.8259430086225308</c:v>
                </c:pt>
                <c:pt idx="16">
                  <c:v>4.7827059103898701</c:v>
                </c:pt>
                <c:pt idx="17">
                  <c:v>4.7687516851892404</c:v>
                </c:pt>
                <c:pt idx="18">
                  <c:v>4.7499149423992204</c:v>
                </c:pt>
                <c:pt idx="19">
                  <c:v>4.7557743134708392</c:v>
                </c:pt>
                <c:pt idx="20">
                  <c:v>4.8221569118107297</c:v>
                </c:pt>
                <c:pt idx="21">
                  <c:v>4.8989079258520096</c:v>
                </c:pt>
                <c:pt idx="22">
                  <c:v>4.8088256178583704</c:v>
                </c:pt>
                <c:pt idx="23">
                  <c:v>4.8187319265325801</c:v>
                </c:pt>
                <c:pt idx="24">
                  <c:v>4.8551167147916301</c:v>
                </c:pt>
                <c:pt idx="25">
                  <c:v>4.7618417310171095</c:v>
                </c:pt>
                <c:pt idx="26">
                  <c:v>4.7118060677638498</c:v>
                </c:pt>
                <c:pt idx="27">
                  <c:v>4.7273957813879299</c:v>
                </c:pt>
                <c:pt idx="28">
                  <c:v>4.6929314338075399</c:v>
                </c:pt>
                <c:pt idx="29">
                  <c:v>4.6863697822093799</c:v>
                </c:pt>
                <c:pt idx="30">
                  <c:v>4.5973134291617406</c:v>
                </c:pt>
                <c:pt idx="31">
                  <c:v>4.6229390039751497</c:v>
                </c:pt>
                <c:pt idx="32">
                  <c:v>4.6268750460134491</c:v>
                </c:pt>
                <c:pt idx="33">
                  <c:v>4.6790814997706303</c:v>
                </c:pt>
                <c:pt idx="34">
                  <c:v>4.7050565209654707</c:v>
                </c:pt>
                <c:pt idx="35">
                  <c:v>4.7881833654772601</c:v>
                </c:pt>
                <c:pt idx="36">
                  <c:v>4.8074527357389503</c:v>
                </c:pt>
                <c:pt idx="37">
                  <c:v>4.8397071279152906</c:v>
                </c:pt>
                <c:pt idx="38">
                  <c:v>4.8420134271435504</c:v>
                </c:pt>
                <c:pt idx="39">
                  <c:v>4.8820707681569502</c:v>
                </c:pt>
                <c:pt idx="40">
                  <c:v>4.7889476665501505</c:v>
                </c:pt>
                <c:pt idx="41">
                  <c:v>4.7833270695809702</c:v>
                </c:pt>
                <c:pt idx="42">
                  <c:v>4.7926330749422599</c:v>
                </c:pt>
                <c:pt idx="43">
                  <c:v>4.79082801235801</c:v>
                </c:pt>
                <c:pt idx="44">
                  <c:v>4.8469442265222202</c:v>
                </c:pt>
                <c:pt idx="45">
                  <c:v>4.8548911068406309</c:v>
                </c:pt>
                <c:pt idx="46">
                  <c:v>4.8501300784177008</c:v>
                </c:pt>
                <c:pt idx="47">
                  <c:v>4.8589166075317198</c:v>
                </c:pt>
                <c:pt idx="48">
                  <c:v>4.8540407291240708</c:v>
                </c:pt>
                <c:pt idx="49">
                  <c:v>4.8028252001847704</c:v>
                </c:pt>
                <c:pt idx="50">
                  <c:v>4.7636776350008097</c:v>
                </c:pt>
                <c:pt idx="51">
                  <c:v>4.7703170014790501</c:v>
                </c:pt>
                <c:pt idx="52">
                  <c:v>4.7021603228248603</c:v>
                </c:pt>
                <c:pt idx="53">
                  <c:v>4.6689065148505895</c:v>
                </c:pt>
                <c:pt idx="54">
                  <c:v>4.65737114719595</c:v>
                </c:pt>
                <c:pt idx="55">
                  <c:v>4.7148821604498901</c:v>
                </c:pt>
                <c:pt idx="56">
                  <c:v>4.7165323402184498</c:v>
                </c:pt>
                <c:pt idx="57">
                  <c:v>4.6844638796260298</c:v>
                </c:pt>
                <c:pt idx="58">
                  <c:v>4.6534581582239793</c:v>
                </c:pt>
                <c:pt idx="59">
                  <c:v>4.7002070335227</c:v>
                </c:pt>
                <c:pt idx="60">
                  <c:v>4.6349616367435607</c:v>
                </c:pt>
                <c:pt idx="61">
                  <c:v>4.6175731819480506</c:v>
                </c:pt>
                <c:pt idx="62">
                  <c:v>4.6281709295975402</c:v>
                </c:pt>
                <c:pt idx="63">
                  <c:v>4.5976053504918299</c:v>
                </c:pt>
                <c:pt idx="64">
                  <c:v>4.5927137930391808</c:v>
                </c:pt>
                <c:pt idx="65">
                  <c:v>4.5421681358348494</c:v>
                </c:pt>
                <c:pt idx="66">
                  <c:v>4.5334623741879003</c:v>
                </c:pt>
                <c:pt idx="67">
                  <c:v>4.5196094683196097</c:v>
                </c:pt>
                <c:pt idx="68">
                  <c:v>4.5625995486730595</c:v>
                </c:pt>
                <c:pt idx="69">
                  <c:v>4.5514944693055401</c:v>
                </c:pt>
                <c:pt idx="70">
                  <c:v>4.5740503835685695</c:v>
                </c:pt>
                <c:pt idx="71">
                  <c:v>4.5574641738766601</c:v>
                </c:pt>
                <c:pt idx="72">
                  <c:v>4.5402882208070094</c:v>
                </c:pt>
                <c:pt idx="73">
                  <c:v>4.5250393471129895</c:v>
                </c:pt>
                <c:pt idx="74">
                  <c:v>4.5492449288284202</c:v>
                </c:pt>
                <c:pt idx="75">
                  <c:v>4.5567279801068201</c:v>
                </c:pt>
                <c:pt idx="76">
                  <c:v>4.5439115320389698</c:v>
                </c:pt>
                <c:pt idx="77">
                  <c:v>4.54722369101734</c:v>
                </c:pt>
                <c:pt idx="78">
                  <c:v>4.5350770068340198</c:v>
                </c:pt>
                <c:pt idx="79">
                  <c:v>4.5153803017029599</c:v>
                </c:pt>
                <c:pt idx="80">
                  <c:v>4.4438338332392995</c:v>
                </c:pt>
                <c:pt idx="81">
                  <c:v>4.4667533069573695</c:v>
                </c:pt>
                <c:pt idx="82">
                  <c:v>4.4650943309259796</c:v>
                </c:pt>
                <c:pt idx="83">
                  <c:v>4.4032553597280302</c:v>
                </c:pt>
                <c:pt idx="84">
                  <c:v>4.4536274604279402</c:v>
                </c:pt>
                <c:pt idx="85">
                  <c:v>4.4330446979735196</c:v>
                </c:pt>
                <c:pt idx="86">
                  <c:v>4.4404757854666901</c:v>
                </c:pt>
                <c:pt idx="87">
                  <c:v>4.4355755604652298</c:v>
                </c:pt>
                <c:pt idx="88">
                  <c:v>4.3796100796436299</c:v>
                </c:pt>
                <c:pt idx="89">
                  <c:v>4.4189752896297296</c:v>
                </c:pt>
                <c:pt idx="90">
                  <c:v>4.41989089162551</c:v>
                </c:pt>
                <c:pt idx="91">
                  <c:v>4.4297150329845101</c:v>
                </c:pt>
                <c:pt idx="92">
                  <c:v>4.4982720948506998</c:v>
                </c:pt>
                <c:pt idx="93">
                  <c:v>4.4146949113873699</c:v>
                </c:pt>
                <c:pt idx="94">
                  <c:v>4.3929554021272699</c:v>
                </c:pt>
                <c:pt idx="95">
                  <c:v>4.4142574876802501</c:v>
                </c:pt>
                <c:pt idx="96">
                  <c:v>4.4348433171363002</c:v>
                </c:pt>
                <c:pt idx="97">
                  <c:v>4.4421434683335796</c:v>
                </c:pt>
                <c:pt idx="98">
                  <c:v>4.4484406413676805</c:v>
                </c:pt>
                <c:pt idx="99">
                  <c:v>4.3804637878467299</c:v>
                </c:pt>
                <c:pt idx="100">
                  <c:v>4.3794432655761701</c:v>
                </c:pt>
                <c:pt idx="101">
                  <c:v>4.4232770751603203</c:v>
                </c:pt>
                <c:pt idx="102">
                  <c:v>4.5027168004820997</c:v>
                </c:pt>
                <c:pt idx="103">
                  <c:v>4.5203775436964504</c:v>
                </c:pt>
                <c:pt idx="104">
                  <c:v>4.5513287657435999</c:v>
                </c:pt>
                <c:pt idx="105">
                  <c:v>4.5798009280714602</c:v>
                </c:pt>
                <c:pt idx="106">
                  <c:v>4.5412406263696399</c:v>
                </c:pt>
                <c:pt idx="107">
                  <c:v>4.5052019947875301</c:v>
                </c:pt>
                <c:pt idx="108">
                  <c:v>4.5597529432592605</c:v>
                </c:pt>
                <c:pt idx="109">
                  <c:v>4.4604981712855798</c:v>
                </c:pt>
                <c:pt idx="110">
                  <c:v>4.4169293451912504</c:v>
                </c:pt>
                <c:pt idx="111">
                  <c:v>4.4038617254805796</c:v>
                </c:pt>
                <c:pt idx="112">
                  <c:v>4.3618138048668698</c:v>
                </c:pt>
                <c:pt idx="113">
                  <c:v>4.39603005429914</c:v>
                </c:pt>
                <c:pt idx="114">
                  <c:v>4.3804172356335904</c:v>
                </c:pt>
                <c:pt idx="115">
                  <c:v>4.4117975780747498</c:v>
                </c:pt>
                <c:pt idx="116">
                  <c:v>4.4003884599116905</c:v>
                </c:pt>
                <c:pt idx="117">
                  <c:v>4.4570437113454702</c:v>
                </c:pt>
                <c:pt idx="118">
                  <c:v>4.4927523677201204</c:v>
                </c:pt>
                <c:pt idx="119">
                  <c:v>4.4679851710876601</c:v>
                </c:pt>
                <c:pt idx="120">
                  <c:v>4.5027908605529294</c:v>
                </c:pt>
                <c:pt idx="121">
                  <c:v>4.4741208264778596</c:v>
                </c:pt>
                <c:pt idx="122">
                  <c:v>4.5255473756050302</c:v>
                </c:pt>
                <c:pt idx="123">
                  <c:v>4.4839526032140498</c:v>
                </c:pt>
                <c:pt idx="124">
                  <c:v>4.3603449879156599</c:v>
                </c:pt>
                <c:pt idx="125">
                  <c:v>4.3159892282564805</c:v>
                </c:pt>
                <c:pt idx="126">
                  <c:v>4.2086080981159295</c:v>
                </c:pt>
                <c:pt idx="127">
                  <c:v>4.1994291320336501</c:v>
                </c:pt>
                <c:pt idx="128">
                  <c:v>4.0710425521459594</c:v>
                </c:pt>
                <c:pt idx="129">
                  <c:v>4.2338834092963999</c:v>
                </c:pt>
                <c:pt idx="130">
                  <c:v>4.11173952846395</c:v>
                </c:pt>
                <c:pt idx="131">
                  <c:v>3.9459610607412499</c:v>
                </c:pt>
                <c:pt idx="132">
                  <c:v>4.0262740221178204</c:v>
                </c:pt>
                <c:pt idx="133">
                  <c:v>4.1698067690017702</c:v>
                </c:pt>
                <c:pt idx="134">
                  <c:v>4.1101701531576103</c:v>
                </c:pt>
                <c:pt idx="135">
                  <c:v>4.1750818982489699</c:v>
                </c:pt>
                <c:pt idx="136">
                  <c:v>4.1052890956544896</c:v>
                </c:pt>
                <c:pt idx="137">
                  <c:v>4.0131642651301203</c:v>
                </c:pt>
                <c:pt idx="138">
                  <c:v>3.99307680913999</c:v>
                </c:pt>
                <c:pt idx="139">
                  <c:v>4.0276221966687302</c:v>
                </c:pt>
                <c:pt idx="140">
                  <c:v>4.0476274511021897</c:v>
                </c:pt>
                <c:pt idx="141">
                  <c:v>4.1087803245507999</c:v>
                </c:pt>
                <c:pt idx="142">
                  <c:v>4.15118290694652</c:v>
                </c:pt>
                <c:pt idx="143">
                  <c:v>4.2352159866602603</c:v>
                </c:pt>
                <c:pt idx="144">
                  <c:v>4.1957077067593103</c:v>
                </c:pt>
                <c:pt idx="145">
                  <c:v>4.2830887205793502</c:v>
                </c:pt>
                <c:pt idx="146">
                  <c:v>4.2019118610641799</c:v>
                </c:pt>
                <c:pt idx="147">
                  <c:v>4.1781425865536495</c:v>
                </c:pt>
                <c:pt idx="148">
                  <c:v>4.1143675498163201</c:v>
                </c:pt>
                <c:pt idx="149">
                  <c:v>4.0141705048320402</c:v>
                </c:pt>
                <c:pt idx="150">
                  <c:v>4.0137653060730099</c:v>
                </c:pt>
                <c:pt idx="151">
                  <c:v>4.0595898757086601</c:v>
                </c:pt>
                <c:pt idx="152">
                  <c:v>4.0285041314441097</c:v>
                </c:pt>
                <c:pt idx="153">
                  <c:v>3.96136543234533</c:v>
                </c:pt>
                <c:pt idx="154">
                  <c:v>4.0095547825675402</c:v>
                </c:pt>
                <c:pt idx="155">
                  <c:v>4.0445683474631604</c:v>
                </c:pt>
                <c:pt idx="156">
                  <c:v>4.0413622029944101</c:v>
                </c:pt>
                <c:pt idx="157">
                  <c:v>4.0881174521998798</c:v>
                </c:pt>
                <c:pt idx="158">
                  <c:v>4.0877516698930396</c:v>
                </c:pt>
                <c:pt idx="159">
                  <c:v>3.9790025107187499</c:v>
                </c:pt>
                <c:pt idx="160">
                  <c:v>4.0001238480428896</c:v>
                </c:pt>
                <c:pt idx="161">
                  <c:v>3.7921659528875198</c:v>
                </c:pt>
                <c:pt idx="162">
                  <c:v>3.6241881936672797</c:v>
                </c:pt>
                <c:pt idx="163">
                  <c:v>3.7516170631901797</c:v>
                </c:pt>
                <c:pt idx="164">
                  <c:v>3.8435395670207297</c:v>
                </c:pt>
                <c:pt idx="165">
                  <c:v>3.9644467506805499</c:v>
                </c:pt>
                <c:pt idx="166">
                  <c:v>4.0474851126986398</c:v>
                </c:pt>
                <c:pt idx="167">
                  <c:v>3.9647802511615398</c:v>
                </c:pt>
                <c:pt idx="168">
                  <c:v>3.9222779367896097</c:v>
                </c:pt>
                <c:pt idx="169">
                  <c:v>3.8495698340681503</c:v>
                </c:pt>
                <c:pt idx="170">
                  <c:v>3.9265673740437999</c:v>
                </c:pt>
                <c:pt idx="171">
                  <c:v>3.9590648056897799</c:v>
                </c:pt>
                <c:pt idx="172">
                  <c:v>4.0266461083289498</c:v>
                </c:pt>
                <c:pt idx="173">
                  <c:v>4.1234499365571997</c:v>
                </c:pt>
                <c:pt idx="174">
                  <c:v>4.1574902121382999</c:v>
                </c:pt>
                <c:pt idx="175">
                  <c:v>4.1269757353708503</c:v>
                </c:pt>
                <c:pt idx="176">
                  <c:v>4.0958877202953303</c:v>
                </c:pt>
                <c:pt idx="177">
                  <c:v>4.1536215099980396</c:v>
                </c:pt>
                <c:pt idx="178">
                  <c:v>4.0873097216503798</c:v>
                </c:pt>
                <c:pt idx="179">
                  <c:v>4.0829075635904299</c:v>
                </c:pt>
                <c:pt idx="180">
                  <c:v>4.04875698008318</c:v>
                </c:pt>
                <c:pt idx="181">
                  <c:v>4.0740329447661896</c:v>
                </c:pt>
                <c:pt idx="182">
                  <c:v>4.0777023524489602</c:v>
                </c:pt>
                <c:pt idx="183">
                  <c:v>4.11054126212907</c:v>
                </c:pt>
                <c:pt idx="184">
                  <c:v>4.0117102858371396</c:v>
                </c:pt>
                <c:pt idx="185">
                  <c:v>4.0502773292157803</c:v>
                </c:pt>
                <c:pt idx="186">
                  <c:v>4.1693954135373703</c:v>
                </c:pt>
                <c:pt idx="187">
                  <c:v>4.0886900575046496</c:v>
                </c:pt>
                <c:pt idx="188">
                  <c:v>3.9800561498966003</c:v>
                </c:pt>
                <c:pt idx="189">
                  <c:v>3.85647686651338</c:v>
                </c:pt>
                <c:pt idx="190">
                  <c:v>3.8011447014711797</c:v>
                </c:pt>
                <c:pt idx="191">
                  <c:v>3.8473783769174599</c:v>
                </c:pt>
                <c:pt idx="192">
                  <c:v>3.8067073022432796</c:v>
                </c:pt>
                <c:pt idx="193">
                  <c:v>3.7761438596375303</c:v>
                </c:pt>
                <c:pt idx="194">
                  <c:v>3.8523193983588797</c:v>
                </c:pt>
                <c:pt idx="195">
                  <c:v>3.8997855684137699</c:v>
                </c:pt>
                <c:pt idx="196">
                  <c:v>3.9557842124055402</c:v>
                </c:pt>
                <c:pt idx="197">
                  <c:v>3.95223070107666</c:v>
                </c:pt>
                <c:pt idx="198">
                  <c:v>3.9781931986733401</c:v>
                </c:pt>
                <c:pt idx="199">
                  <c:v>3.9237430397341</c:v>
                </c:pt>
                <c:pt idx="200">
                  <c:v>3.8860071567931498</c:v>
                </c:pt>
                <c:pt idx="201">
                  <c:v>3.9356408831632499</c:v>
                </c:pt>
                <c:pt idx="202">
                  <c:v>3.8989848500266198</c:v>
                </c:pt>
                <c:pt idx="203">
                  <c:v>3.8664723818371498</c:v>
                </c:pt>
                <c:pt idx="204">
                  <c:v>3.88155548084683</c:v>
                </c:pt>
                <c:pt idx="205">
                  <c:v>3.9590147137609399</c:v>
                </c:pt>
                <c:pt idx="206">
                  <c:v>3.9242918700286502</c:v>
                </c:pt>
                <c:pt idx="207">
                  <c:v>3.91799451209739</c:v>
                </c:pt>
                <c:pt idx="208">
                  <c:v>3.9097310830765002</c:v>
                </c:pt>
                <c:pt idx="209">
                  <c:v>3.9419265797425904</c:v>
                </c:pt>
                <c:pt idx="210">
                  <c:v>3.8756420627422896</c:v>
                </c:pt>
                <c:pt idx="211">
                  <c:v>3.8892062245963999</c:v>
                </c:pt>
                <c:pt idx="212">
                  <c:v>3.9029066015886702</c:v>
                </c:pt>
                <c:pt idx="213">
                  <c:v>3.8513264418694497</c:v>
                </c:pt>
                <c:pt idx="214">
                  <c:v>3.8194184215581704</c:v>
                </c:pt>
                <c:pt idx="215">
                  <c:v>3.8978948631589798</c:v>
                </c:pt>
                <c:pt idx="216">
                  <c:v>3.8893956982572098</c:v>
                </c:pt>
                <c:pt idx="217">
                  <c:v>3.8448107563649696</c:v>
                </c:pt>
                <c:pt idx="218">
                  <c:v>3.8165847113254596</c:v>
                </c:pt>
                <c:pt idx="219">
                  <c:v>3.8579292418630304</c:v>
                </c:pt>
                <c:pt idx="220">
                  <c:v>3.8077204575375401</c:v>
                </c:pt>
                <c:pt idx="221">
                  <c:v>3.7961312483554002</c:v>
                </c:pt>
                <c:pt idx="222">
                  <c:v>3.8749508001732496</c:v>
                </c:pt>
                <c:pt idx="223">
                  <c:v>3.8979658713086001</c:v>
                </c:pt>
                <c:pt idx="224">
                  <c:v>3.8874868692742797</c:v>
                </c:pt>
                <c:pt idx="225">
                  <c:v>3.9622633637732401</c:v>
                </c:pt>
                <c:pt idx="226">
                  <c:v>3.94430040702124</c:v>
                </c:pt>
                <c:pt idx="227">
                  <c:v>3.80648763738342</c:v>
                </c:pt>
                <c:pt idx="228">
                  <c:v>3.7871300722699601</c:v>
                </c:pt>
                <c:pt idx="229">
                  <c:v>3.7751473664553803</c:v>
                </c:pt>
                <c:pt idx="230">
                  <c:v>3.7504517144175602</c:v>
                </c:pt>
                <c:pt idx="231">
                  <c:v>3.8472799086895302</c:v>
                </c:pt>
                <c:pt idx="232">
                  <c:v>3.7616872107824397</c:v>
                </c:pt>
                <c:pt idx="233">
                  <c:v>3.7089540805196402</c:v>
                </c:pt>
                <c:pt idx="234">
                  <c:v>3.7272946269708003</c:v>
                </c:pt>
                <c:pt idx="235">
                  <c:v>3.7693646373619396</c:v>
                </c:pt>
                <c:pt idx="236">
                  <c:v>3.8098189634222304</c:v>
                </c:pt>
                <c:pt idx="237">
                  <c:v>3.7783868587499403</c:v>
                </c:pt>
                <c:pt idx="238">
                  <c:v>3.7423523590185401</c:v>
                </c:pt>
                <c:pt idx="239">
                  <c:v>3.7886883584386402</c:v>
                </c:pt>
                <c:pt idx="240">
                  <c:v>3.8743924587901297</c:v>
                </c:pt>
                <c:pt idx="241">
                  <c:v>3.93620708864895</c:v>
                </c:pt>
                <c:pt idx="242">
                  <c:v>3.9475511401892498</c:v>
                </c:pt>
                <c:pt idx="243">
                  <c:v>3.9440044061192601</c:v>
                </c:pt>
                <c:pt idx="244">
                  <c:v>3.9313211523039699</c:v>
                </c:pt>
                <c:pt idx="245">
                  <c:v>3.8544604755956402</c:v>
                </c:pt>
                <c:pt idx="246">
                  <c:v>3.7928880380443299</c:v>
                </c:pt>
                <c:pt idx="247">
                  <c:v>3.75754837054206</c:v>
                </c:pt>
                <c:pt idx="248">
                  <c:v>3.75825191228168</c:v>
                </c:pt>
                <c:pt idx="249">
                  <c:v>3.7255994689571299</c:v>
                </c:pt>
                <c:pt idx="250">
                  <c:v>3.7909402352460697</c:v>
                </c:pt>
                <c:pt idx="251">
                  <c:v>3.73439970749354</c:v>
                </c:pt>
                <c:pt idx="252">
                  <c:v>3.8281395013636503</c:v>
                </c:pt>
                <c:pt idx="253">
                  <c:v>3.7793256255862095</c:v>
                </c:pt>
                <c:pt idx="254">
                  <c:v>3.8125993047853299</c:v>
                </c:pt>
                <c:pt idx="255">
                  <c:v>3.8171294820221799</c:v>
                </c:pt>
                <c:pt idx="256">
                  <c:v>3.8959532267299299</c:v>
                </c:pt>
                <c:pt idx="257">
                  <c:v>3.8598477563642799</c:v>
                </c:pt>
                <c:pt idx="258">
                  <c:v>3.8675842593691301</c:v>
                </c:pt>
                <c:pt idx="259">
                  <c:v>3.8169134243676499</c:v>
                </c:pt>
                <c:pt idx="260">
                  <c:v>3.7977887944085698</c:v>
                </c:pt>
                <c:pt idx="261">
                  <c:v>3.8472499830652698</c:v>
                </c:pt>
                <c:pt idx="262">
                  <c:v>3.8839376279376996</c:v>
                </c:pt>
                <c:pt idx="263">
                  <c:v>3.9387329207667996</c:v>
                </c:pt>
                <c:pt idx="264">
                  <c:v>3.8990511032433002</c:v>
                </c:pt>
                <c:pt idx="265">
                  <c:v>3.8607525461096799</c:v>
                </c:pt>
                <c:pt idx="266">
                  <c:v>3.8727667883678896</c:v>
                </c:pt>
                <c:pt idx="267">
                  <c:v>3.8464587619018298</c:v>
                </c:pt>
                <c:pt idx="268">
                  <c:v>3.8361158776338895</c:v>
                </c:pt>
                <c:pt idx="269">
                  <c:v>3.8929022103418998</c:v>
                </c:pt>
                <c:pt idx="270">
                  <c:v>3.9398942668718</c:v>
                </c:pt>
                <c:pt idx="271">
                  <c:v>3.9019736702173597</c:v>
                </c:pt>
                <c:pt idx="272">
                  <c:v>3.9119414284806799</c:v>
                </c:pt>
                <c:pt idx="273">
                  <c:v>3.8762320480049297</c:v>
                </c:pt>
                <c:pt idx="274">
                  <c:v>3.8326257347463</c:v>
                </c:pt>
                <c:pt idx="275">
                  <c:v>3.8666441573405499</c:v>
                </c:pt>
                <c:pt idx="276">
                  <c:v>3.8549546124995198</c:v>
                </c:pt>
                <c:pt idx="277">
                  <c:v>3.8492466670275998</c:v>
                </c:pt>
                <c:pt idx="278">
                  <c:v>3.92440511887609</c:v>
                </c:pt>
                <c:pt idx="279">
                  <c:v>4.0530212786328299</c:v>
                </c:pt>
                <c:pt idx="280">
                  <c:v>4.0423917743859494</c:v>
                </c:pt>
                <c:pt idx="281">
                  <c:v>4.01438786850672</c:v>
                </c:pt>
                <c:pt idx="282">
                  <c:v>4.11981168533908</c:v>
                </c:pt>
                <c:pt idx="283">
                  <c:v>4.1248762102070504</c:v>
                </c:pt>
                <c:pt idx="284">
                  <c:v>4.0023109631554501</c:v>
                </c:pt>
                <c:pt idx="285">
                  <c:v>4.0020746228388395</c:v>
                </c:pt>
                <c:pt idx="286">
                  <c:v>3.9774404831767902</c:v>
                </c:pt>
                <c:pt idx="287">
                  <c:v>3.9632685237865499</c:v>
                </c:pt>
                <c:pt idx="288">
                  <c:v>3.88489426994385</c:v>
                </c:pt>
                <c:pt idx="289">
                  <c:v>3.8709325649801101</c:v>
                </c:pt>
                <c:pt idx="290">
                  <c:v>3.8360490422996301</c:v>
                </c:pt>
                <c:pt idx="291">
                  <c:v>3.88101025241395</c:v>
                </c:pt>
                <c:pt idx="292">
                  <c:v>3.8590526322276002</c:v>
                </c:pt>
                <c:pt idx="293">
                  <c:v>3.9790045225545398</c:v>
                </c:pt>
                <c:pt idx="294">
                  <c:v>3.9322864915043199</c:v>
                </c:pt>
                <c:pt idx="295">
                  <c:v>3.8774510783774701</c:v>
                </c:pt>
                <c:pt idx="296">
                  <c:v>3.7542100167555499</c:v>
                </c:pt>
                <c:pt idx="297">
                  <c:v>3.7350040568392897</c:v>
                </c:pt>
                <c:pt idx="298">
                  <c:v>3.7344731815687897</c:v>
                </c:pt>
                <c:pt idx="299">
                  <c:v>3.7881892028374802</c:v>
                </c:pt>
                <c:pt idx="300">
                  <c:v>3.8248560824903302</c:v>
                </c:pt>
                <c:pt idx="301">
                  <c:v>3.78967180852006</c:v>
                </c:pt>
                <c:pt idx="302">
                  <c:v>3.77548927355345</c:v>
                </c:pt>
                <c:pt idx="303">
                  <c:v>3.8145055966029302</c:v>
                </c:pt>
                <c:pt idx="304">
                  <c:v>3.8393855214863097</c:v>
                </c:pt>
                <c:pt idx="305">
                  <c:v>3.7963680134499498</c:v>
                </c:pt>
                <c:pt idx="306">
                  <c:v>3.8122803486318499</c:v>
                </c:pt>
                <c:pt idx="307">
                  <c:v>3.7797431378908999</c:v>
                </c:pt>
                <c:pt idx="308">
                  <c:v>3.8098991067976398</c:v>
                </c:pt>
                <c:pt idx="309">
                  <c:v>3.830414237401</c:v>
                </c:pt>
                <c:pt idx="310">
                  <c:v>3.8004037496045302</c:v>
                </c:pt>
                <c:pt idx="311">
                  <c:v>3.7796748928117001</c:v>
                </c:pt>
                <c:pt idx="312">
                  <c:v>3.7665969476778001</c:v>
                </c:pt>
                <c:pt idx="313">
                  <c:v>3.7988512083394701</c:v>
                </c:pt>
                <c:pt idx="314">
                  <c:v>3.78600162500882</c:v>
                </c:pt>
                <c:pt idx="315">
                  <c:v>3.7949553078156399</c:v>
                </c:pt>
                <c:pt idx="316">
                  <c:v>3.7634887941779898</c:v>
                </c:pt>
                <c:pt idx="317">
                  <c:v>3.7710943641796399</c:v>
                </c:pt>
                <c:pt idx="318">
                  <c:v>3.7583229919339698</c:v>
                </c:pt>
                <c:pt idx="319">
                  <c:v>3.7337356828399</c:v>
                </c:pt>
                <c:pt idx="320">
                  <c:v>3.7255792487178803</c:v>
                </c:pt>
                <c:pt idx="321">
                  <c:v>3.7062485927153999</c:v>
                </c:pt>
                <c:pt idx="322">
                  <c:v>3.6749462968366</c:v>
                </c:pt>
                <c:pt idx="323">
                  <c:v>3.67068057298756</c:v>
                </c:pt>
                <c:pt idx="324">
                  <c:v>3.6723891243352402</c:v>
                </c:pt>
                <c:pt idx="325">
                  <c:v>3.6041011122121098</c:v>
                </c:pt>
                <c:pt idx="326">
                  <c:v>3.6102324923348901</c:v>
                </c:pt>
                <c:pt idx="327">
                  <c:v>3.66583053228694</c:v>
                </c:pt>
                <c:pt idx="328">
                  <c:v>3.7019540113660501</c:v>
                </c:pt>
                <c:pt idx="329">
                  <c:v>3.7474497089927099</c:v>
                </c:pt>
                <c:pt idx="330">
                  <c:v>3.7729106493144298</c:v>
                </c:pt>
                <c:pt idx="331">
                  <c:v>3.7758219579262198</c:v>
                </c:pt>
                <c:pt idx="332">
                  <c:v>3.7838563077920599</c:v>
                </c:pt>
                <c:pt idx="333">
                  <c:v>3.6397773136862597</c:v>
                </c:pt>
                <c:pt idx="334">
                  <c:v>3.6013035806345099</c:v>
                </c:pt>
                <c:pt idx="335">
                  <c:v>3.4864992552349001</c:v>
                </c:pt>
                <c:pt idx="336">
                  <c:v>3.5771691065216702</c:v>
                </c:pt>
                <c:pt idx="337">
                  <c:v>3.6270720737985398</c:v>
                </c:pt>
                <c:pt idx="338">
                  <c:v>3.6661135819945203</c:v>
                </c:pt>
                <c:pt idx="339">
                  <c:v>3.6367022083630403</c:v>
                </c:pt>
                <c:pt idx="340">
                  <c:v>3.6382290059735101</c:v>
                </c:pt>
                <c:pt idx="341">
                  <c:v>3.5990205481248503</c:v>
                </c:pt>
                <c:pt idx="342">
                  <c:v>3.6550825446221302</c:v>
                </c:pt>
                <c:pt idx="343">
                  <c:v>3.6185437560106202</c:v>
                </c:pt>
                <c:pt idx="344">
                  <c:v>3.5969179159724201</c:v>
                </c:pt>
                <c:pt idx="345">
                  <c:v>3.5795272909442599</c:v>
                </c:pt>
                <c:pt idx="346">
                  <c:v>3.5611294228946999</c:v>
                </c:pt>
                <c:pt idx="347">
                  <c:v>3.5648799482860203</c:v>
                </c:pt>
                <c:pt idx="348">
                  <c:v>3.6110620021570599</c:v>
                </c:pt>
                <c:pt idx="349">
                  <c:v>3.5828953276322499</c:v>
                </c:pt>
                <c:pt idx="350">
                  <c:v>3.63704251904189</c:v>
                </c:pt>
                <c:pt idx="351">
                  <c:v>3.5473506037170699</c:v>
                </c:pt>
                <c:pt idx="352">
                  <c:v>3.5852372062587898</c:v>
                </c:pt>
                <c:pt idx="353">
                  <c:v>3.5605127609410498</c:v>
                </c:pt>
                <c:pt idx="354">
                  <c:v>3.5228039897861896</c:v>
                </c:pt>
                <c:pt idx="355">
                  <c:v>3.5955592413228201</c:v>
                </c:pt>
                <c:pt idx="356">
                  <c:v>3.5171588276770498</c:v>
                </c:pt>
                <c:pt idx="357">
                  <c:v>3.5774614275478198</c:v>
                </c:pt>
                <c:pt idx="358">
                  <c:v>3.5505587374905501</c:v>
                </c:pt>
                <c:pt idx="359">
                  <c:v>3.4708272697309104</c:v>
                </c:pt>
                <c:pt idx="360">
                  <c:v>3.4433764340580302</c:v>
                </c:pt>
                <c:pt idx="361">
                  <c:v>3.4172090432721802</c:v>
                </c:pt>
                <c:pt idx="362">
                  <c:v>3.4332428986611498</c:v>
                </c:pt>
                <c:pt idx="363">
                  <c:v>3.4250522746938197</c:v>
                </c:pt>
                <c:pt idx="364">
                  <c:v>3.4801281578609098</c:v>
                </c:pt>
                <c:pt idx="365">
                  <c:v>3.41846799982289</c:v>
                </c:pt>
                <c:pt idx="366">
                  <c:v>3.4577215464987603</c:v>
                </c:pt>
                <c:pt idx="367">
                  <c:v>3.4167068448028601</c:v>
                </c:pt>
                <c:pt idx="368">
                  <c:v>3.43397816583439</c:v>
                </c:pt>
                <c:pt idx="369">
                  <c:v>3.3658168006673801</c:v>
                </c:pt>
                <c:pt idx="370">
                  <c:v>3.31808827882542</c:v>
                </c:pt>
                <c:pt idx="371">
                  <c:v>3.2880344115370899</c:v>
                </c:pt>
                <c:pt idx="372">
                  <c:v>3.3771960252154098</c:v>
                </c:pt>
                <c:pt idx="373">
                  <c:v>3.4016178558229897</c:v>
                </c:pt>
                <c:pt idx="374">
                  <c:v>3.5823648284640397</c:v>
                </c:pt>
                <c:pt idx="375">
                  <c:v>3.4503387544465398</c:v>
                </c:pt>
                <c:pt idx="376">
                  <c:v>3.4284240737619198</c:v>
                </c:pt>
                <c:pt idx="377">
                  <c:v>3.4862184256235</c:v>
                </c:pt>
                <c:pt idx="378">
                  <c:v>3.4569089071888301</c:v>
                </c:pt>
                <c:pt idx="379">
                  <c:v>3.5470911104462202</c:v>
                </c:pt>
                <c:pt idx="380">
                  <c:v>3.5305924622908096</c:v>
                </c:pt>
                <c:pt idx="381">
                  <c:v>3.5851649972140098</c:v>
                </c:pt>
                <c:pt idx="382">
                  <c:v>3.5254203447217902</c:v>
                </c:pt>
                <c:pt idx="383">
                  <c:v>3.5287133023212398</c:v>
                </c:pt>
                <c:pt idx="384">
                  <c:v>3.5088894418097398</c:v>
                </c:pt>
                <c:pt idx="385">
                  <c:v>3.5041623489338098</c:v>
                </c:pt>
                <c:pt idx="386">
                  <c:v>3.57475302475261</c:v>
                </c:pt>
                <c:pt idx="387">
                  <c:v>3.6644372780023504</c:v>
                </c:pt>
                <c:pt idx="388">
                  <c:v>3.6964980371041802</c:v>
                </c:pt>
                <c:pt idx="389">
                  <c:v>3.6653408158051999</c:v>
                </c:pt>
                <c:pt idx="390">
                  <c:v>3.6449806981639403</c:v>
                </c:pt>
                <c:pt idx="391">
                  <c:v>3.6521951278610905</c:v>
                </c:pt>
                <c:pt idx="392">
                  <c:v>3.4838966454049798</c:v>
                </c:pt>
                <c:pt idx="393">
                  <c:v>3.4165310420431401</c:v>
                </c:pt>
                <c:pt idx="394">
                  <c:v>3.4479193452707801</c:v>
                </c:pt>
                <c:pt idx="395">
                  <c:v>3.4125785110903402</c:v>
                </c:pt>
                <c:pt idx="396">
                  <c:v>3.3828643009427202</c:v>
                </c:pt>
                <c:pt idx="397">
                  <c:v>3.5105093010515498</c:v>
                </c:pt>
                <c:pt idx="398">
                  <c:v>3.4754335286962705</c:v>
                </c:pt>
                <c:pt idx="399">
                  <c:v>3.4106739302097804</c:v>
                </c:pt>
                <c:pt idx="400">
                  <c:v>3.4258921901916102</c:v>
                </c:pt>
                <c:pt idx="401">
                  <c:v>3.4747510829517601</c:v>
                </c:pt>
                <c:pt idx="402">
                  <c:v>3.5355471467491202</c:v>
                </c:pt>
                <c:pt idx="403">
                  <c:v>3.4533121998590399</c:v>
                </c:pt>
                <c:pt idx="404">
                  <c:v>3.4573215685534202</c:v>
                </c:pt>
                <c:pt idx="405">
                  <c:v>3.4731865073982902</c:v>
                </c:pt>
                <c:pt idx="406">
                  <c:v>3.4730798245487602</c:v>
                </c:pt>
                <c:pt idx="407">
                  <c:v>3.2498766697218899</c:v>
                </c:pt>
                <c:pt idx="408">
                  <c:v>3.3119123660278103</c:v>
                </c:pt>
                <c:pt idx="409">
                  <c:v>3.3250282726171103</c:v>
                </c:pt>
                <c:pt idx="410">
                  <c:v>3.3132618193058603</c:v>
                </c:pt>
                <c:pt idx="411">
                  <c:v>3.3537600025724297</c:v>
                </c:pt>
                <c:pt idx="412">
                  <c:v>3.3128376118075105</c:v>
                </c:pt>
                <c:pt idx="413">
                  <c:v>3.2396038996224004</c:v>
                </c:pt>
                <c:pt idx="414">
                  <c:v>3.1862504941670204</c:v>
                </c:pt>
                <c:pt idx="415">
                  <c:v>3.1224596493798398</c:v>
                </c:pt>
                <c:pt idx="416">
                  <c:v>3.2210232489989501</c:v>
                </c:pt>
                <c:pt idx="417">
                  <c:v>3.2983346243657499</c:v>
                </c:pt>
                <c:pt idx="418">
                  <c:v>3.2872737311394804</c:v>
                </c:pt>
                <c:pt idx="419">
                  <c:v>3.2264658607796299</c:v>
                </c:pt>
                <c:pt idx="420">
                  <c:v>3.14662839146304</c:v>
                </c:pt>
                <c:pt idx="421">
                  <c:v>3.24570293062615</c:v>
                </c:pt>
                <c:pt idx="422">
                  <c:v>3.3371404729188803</c:v>
                </c:pt>
                <c:pt idx="423">
                  <c:v>3.3711748210206203</c:v>
                </c:pt>
                <c:pt idx="424">
                  <c:v>3.3834575114017102</c:v>
                </c:pt>
                <c:pt idx="425">
                  <c:v>3.2880243308863402</c:v>
                </c:pt>
                <c:pt idx="426">
                  <c:v>3.2501409922087299</c:v>
                </c:pt>
                <c:pt idx="427">
                  <c:v>3.2461965064973</c:v>
                </c:pt>
                <c:pt idx="428">
                  <c:v>3.2747242777425001</c:v>
                </c:pt>
                <c:pt idx="429">
                  <c:v>3.3216390434582399</c:v>
                </c:pt>
                <c:pt idx="430">
                  <c:v>3.4214723594302896</c:v>
                </c:pt>
                <c:pt idx="431">
                  <c:v>3.4595732336386398</c:v>
                </c:pt>
                <c:pt idx="432">
                  <c:v>3.3930232739042703</c:v>
                </c:pt>
                <c:pt idx="433">
                  <c:v>3.4263330057510997</c:v>
                </c:pt>
                <c:pt idx="434">
                  <c:v>3.4098448526514105</c:v>
                </c:pt>
                <c:pt idx="435">
                  <c:v>3.3544833360701798</c:v>
                </c:pt>
                <c:pt idx="436">
                  <c:v>3.4070025326732098</c:v>
                </c:pt>
                <c:pt idx="437">
                  <c:v>3.3357094882927401</c:v>
                </c:pt>
                <c:pt idx="438">
                  <c:v>3.3053314073490601</c:v>
                </c:pt>
                <c:pt idx="439">
                  <c:v>3.2568526072898401</c:v>
                </c:pt>
                <c:pt idx="440">
                  <c:v>3.3469318314544099</c:v>
                </c:pt>
                <c:pt idx="441">
                  <c:v>3.3094339249738196</c:v>
                </c:pt>
                <c:pt idx="442">
                  <c:v>3.2624450139661603</c:v>
                </c:pt>
                <c:pt idx="443">
                  <c:v>3.36339398943774</c:v>
                </c:pt>
                <c:pt idx="444">
                  <c:v>3.2337393037728597</c:v>
                </c:pt>
                <c:pt idx="445">
                  <c:v>3.1913311663753698</c:v>
                </c:pt>
                <c:pt idx="446">
                  <c:v>3.2013625114124498</c:v>
                </c:pt>
                <c:pt idx="447">
                  <c:v>3.22474474462684</c:v>
                </c:pt>
                <c:pt idx="448">
                  <c:v>3.3177310894519301</c:v>
                </c:pt>
                <c:pt idx="449">
                  <c:v>3.2757156520292501</c:v>
                </c:pt>
                <c:pt idx="450">
                  <c:v>3.2194841382777302</c:v>
                </c:pt>
                <c:pt idx="451">
                  <c:v>3.2533447034682599</c:v>
                </c:pt>
                <c:pt idx="452">
                  <c:v>3.3254181891194499</c:v>
                </c:pt>
                <c:pt idx="453">
                  <c:v>3.3209430967534099</c:v>
                </c:pt>
                <c:pt idx="454">
                  <c:v>3.3296648834611902</c:v>
                </c:pt>
                <c:pt idx="455">
                  <c:v>3.2612994374204702</c:v>
                </c:pt>
                <c:pt idx="456">
                  <c:v>3.1724495167996203</c:v>
                </c:pt>
                <c:pt idx="457">
                  <c:v>3.2136776566327701</c:v>
                </c:pt>
                <c:pt idx="458">
                  <c:v>3.2351472604292901</c:v>
                </c:pt>
                <c:pt idx="459">
                  <c:v>3.2352369480580299</c:v>
                </c:pt>
                <c:pt idx="460">
                  <c:v>3.2489259701456401</c:v>
                </c:pt>
                <c:pt idx="461">
                  <c:v>3.2305336357394401</c:v>
                </c:pt>
                <c:pt idx="462">
                  <c:v>3.26914715020254</c:v>
                </c:pt>
                <c:pt idx="463">
                  <c:v>3.2974792862319799</c:v>
                </c:pt>
                <c:pt idx="464">
                  <c:v>3.35553840701228</c:v>
                </c:pt>
                <c:pt idx="465">
                  <c:v>3.3155256159473603</c:v>
                </c:pt>
                <c:pt idx="466">
                  <c:v>3.3149103650821803</c:v>
                </c:pt>
                <c:pt idx="467">
                  <c:v>3.2755499878822598</c:v>
                </c:pt>
                <c:pt idx="468">
                  <c:v>3.28524803899754</c:v>
                </c:pt>
                <c:pt idx="469">
                  <c:v>3.2804105509367898</c:v>
                </c:pt>
                <c:pt idx="470">
                  <c:v>3.2917916861888501</c:v>
                </c:pt>
                <c:pt idx="471">
                  <c:v>3.3606679546225702</c:v>
                </c:pt>
                <c:pt idx="472">
                  <c:v>3.30254651699597</c:v>
                </c:pt>
                <c:pt idx="473">
                  <c:v>3.2835678311368399</c:v>
                </c:pt>
                <c:pt idx="474">
                  <c:v>3.2438626352175399</c:v>
                </c:pt>
                <c:pt idx="475">
                  <c:v>3.2724545744228402</c:v>
                </c:pt>
                <c:pt idx="476">
                  <c:v>3.2638765704306598</c:v>
                </c:pt>
                <c:pt idx="477">
                  <c:v>3.22864568852706</c:v>
                </c:pt>
                <c:pt idx="478">
                  <c:v>3.2465443409910399</c:v>
                </c:pt>
                <c:pt idx="479">
                  <c:v>3.2580987302587099</c:v>
                </c:pt>
                <c:pt idx="480">
                  <c:v>3.32493674689883</c:v>
                </c:pt>
                <c:pt idx="481">
                  <c:v>3.44589479016877</c:v>
                </c:pt>
                <c:pt idx="482">
                  <c:v>3.4653498267049501</c:v>
                </c:pt>
                <c:pt idx="483">
                  <c:v>3.4202016711265801</c:v>
                </c:pt>
                <c:pt idx="484">
                  <c:v>3.39417973759249</c:v>
                </c:pt>
                <c:pt idx="485">
                  <c:v>3.2688325991479901</c:v>
                </c:pt>
                <c:pt idx="486">
                  <c:v>3.3204010847430601</c:v>
                </c:pt>
                <c:pt idx="487">
                  <c:v>3.2962802577186499</c:v>
                </c:pt>
                <c:pt idx="488">
                  <c:v>3.2929958519774001</c:v>
                </c:pt>
                <c:pt idx="489">
                  <c:v>3.3084373882831501</c:v>
                </c:pt>
                <c:pt idx="490">
                  <c:v>3.3085808348443901</c:v>
                </c:pt>
                <c:pt idx="491">
                  <c:v>3.3830821678910201</c:v>
                </c:pt>
                <c:pt idx="492">
                  <c:v>3.3644501732529903</c:v>
                </c:pt>
                <c:pt idx="493">
                  <c:v>3.3663787484617202</c:v>
                </c:pt>
                <c:pt idx="494">
                  <c:v>3.3346348815998299</c:v>
                </c:pt>
                <c:pt idx="495">
                  <c:v>3.3587412428348697</c:v>
                </c:pt>
                <c:pt idx="496">
                  <c:v>3.4966408443619699</c:v>
                </c:pt>
                <c:pt idx="497">
                  <c:v>3.5306505794868102</c:v>
                </c:pt>
                <c:pt idx="498">
                  <c:v>3.5511316027420401</c:v>
                </c:pt>
                <c:pt idx="499">
                  <c:v>3.5224590443697599</c:v>
                </c:pt>
                <c:pt idx="500">
                  <c:v>3.51893411197352</c:v>
                </c:pt>
                <c:pt idx="501">
                  <c:v>3.5365720566862402</c:v>
                </c:pt>
                <c:pt idx="502">
                  <c:v>3.5007935342589098</c:v>
                </c:pt>
                <c:pt idx="503">
                  <c:v>3.5456861706782901</c:v>
                </c:pt>
                <c:pt idx="504">
                  <c:v>3.4632817021740201</c:v>
                </c:pt>
                <c:pt idx="505">
                  <c:v>3.45521211744488</c:v>
                </c:pt>
                <c:pt idx="506">
                  <c:v>3.4770251758249699</c:v>
                </c:pt>
                <c:pt idx="507">
                  <c:v>3.46915809165939</c:v>
                </c:pt>
                <c:pt idx="508">
                  <c:v>3.5108614681689598</c:v>
                </c:pt>
                <c:pt idx="509">
                  <c:v>3.54360412131421</c:v>
                </c:pt>
                <c:pt idx="510">
                  <c:v>3.4984335629438603</c:v>
                </c:pt>
                <c:pt idx="511">
                  <c:v>3.5106700565732902</c:v>
                </c:pt>
                <c:pt idx="512">
                  <c:v>3.5279055787179003</c:v>
                </c:pt>
                <c:pt idx="513">
                  <c:v>3.5216381131378198</c:v>
                </c:pt>
                <c:pt idx="514">
                  <c:v>3.5094091491132899</c:v>
                </c:pt>
                <c:pt idx="515">
                  <c:v>3.5088085174844097</c:v>
                </c:pt>
                <c:pt idx="516">
                  <c:v>3.4415274569933501</c:v>
                </c:pt>
                <c:pt idx="517">
                  <c:v>3.4226255585759997</c:v>
                </c:pt>
                <c:pt idx="518">
                  <c:v>3.44903666011361</c:v>
                </c:pt>
                <c:pt idx="519">
                  <c:v>3.4206542103223398</c:v>
                </c:pt>
                <c:pt idx="520">
                  <c:v>3.4057468175983998</c:v>
                </c:pt>
                <c:pt idx="521">
                  <c:v>3.4215927826441601</c:v>
                </c:pt>
                <c:pt idx="522">
                  <c:v>3.4365732357634799</c:v>
                </c:pt>
                <c:pt idx="523">
                  <c:v>3.49878195127478</c:v>
                </c:pt>
                <c:pt idx="524">
                  <c:v>3.5595370188689097</c:v>
                </c:pt>
                <c:pt idx="525">
                  <c:v>3.6381450524705401</c:v>
                </c:pt>
                <c:pt idx="526">
                  <c:v>3.6262141069483298</c:v>
                </c:pt>
                <c:pt idx="527">
                  <c:v>3.59268481648368</c:v>
                </c:pt>
                <c:pt idx="528">
                  <c:v>3.5660183627853099</c:v>
                </c:pt>
                <c:pt idx="529">
                  <c:v>3.5710382667984</c:v>
                </c:pt>
                <c:pt idx="530">
                  <c:v>3.5299160152696798</c:v>
                </c:pt>
                <c:pt idx="531">
                  <c:v>3.4952065015310301</c:v>
                </c:pt>
                <c:pt idx="532">
                  <c:v>3.4724429897671598</c:v>
                </c:pt>
                <c:pt idx="533">
                  <c:v>3.4863291563594601</c:v>
                </c:pt>
                <c:pt idx="534">
                  <c:v>3.5156213661600004</c:v>
                </c:pt>
                <c:pt idx="535">
                  <c:v>3.48083091361823</c:v>
                </c:pt>
                <c:pt idx="536">
                  <c:v>3.4788223865969501</c:v>
                </c:pt>
                <c:pt idx="537">
                  <c:v>3.4819048057311504</c:v>
                </c:pt>
                <c:pt idx="538">
                  <c:v>3.4864960940037903</c:v>
                </c:pt>
                <c:pt idx="539">
                  <c:v>3.49276114108984</c:v>
                </c:pt>
                <c:pt idx="540">
                  <c:v>3.4735571185522804</c:v>
                </c:pt>
                <c:pt idx="541">
                  <c:v>3.4886266852676497</c:v>
                </c:pt>
                <c:pt idx="542">
                  <c:v>3.4586234411288901</c:v>
                </c:pt>
                <c:pt idx="543">
                  <c:v>3.3797778666264899</c:v>
                </c:pt>
                <c:pt idx="544">
                  <c:v>3.3112880438427301</c:v>
                </c:pt>
                <c:pt idx="545">
                  <c:v>3.3708545492755899</c:v>
                </c:pt>
                <c:pt idx="546">
                  <c:v>3.3832825852677</c:v>
                </c:pt>
                <c:pt idx="547">
                  <c:v>3.4419166734952702</c:v>
                </c:pt>
                <c:pt idx="548">
                  <c:v>3.4152008988821496</c:v>
                </c:pt>
                <c:pt idx="549">
                  <c:v>3.3503627851842603</c:v>
                </c:pt>
                <c:pt idx="550">
                  <c:v>3.3277846264947897</c:v>
                </c:pt>
                <c:pt idx="551">
                  <c:v>3.3517751280589598</c:v>
                </c:pt>
                <c:pt idx="552">
                  <c:v>3.3237166831238998</c:v>
                </c:pt>
                <c:pt idx="553">
                  <c:v>3.3055859080908898</c:v>
                </c:pt>
                <c:pt idx="554">
                  <c:v>3.3214940685910399</c:v>
                </c:pt>
                <c:pt idx="555">
                  <c:v>3.3197635841161697</c:v>
                </c:pt>
                <c:pt idx="556">
                  <c:v>3.31119714916895</c:v>
                </c:pt>
                <c:pt idx="557">
                  <c:v>3.3432343953727401</c:v>
                </c:pt>
                <c:pt idx="558">
                  <c:v>3.3431913581375001</c:v>
                </c:pt>
                <c:pt idx="559">
                  <c:v>3.2903540979074299</c:v>
                </c:pt>
                <c:pt idx="560">
                  <c:v>3.2853252378359601</c:v>
                </c:pt>
                <c:pt idx="561">
                  <c:v>3.2643834205486399</c:v>
                </c:pt>
                <c:pt idx="562">
                  <c:v>3.2153107746083602</c:v>
                </c:pt>
                <c:pt idx="563">
                  <c:v>3.2470584871460897</c:v>
                </c:pt>
                <c:pt idx="564">
                  <c:v>3.3611049294153101</c:v>
                </c:pt>
                <c:pt idx="565">
                  <c:v>3.3773579813010901</c:v>
                </c:pt>
                <c:pt idx="566">
                  <c:v>3.3938977951652403</c:v>
                </c:pt>
                <c:pt idx="567">
                  <c:v>3.3710362825903899</c:v>
                </c:pt>
                <c:pt idx="568">
                  <c:v>3.39524584212618</c:v>
                </c:pt>
                <c:pt idx="569">
                  <c:v>3.4854480572044801</c:v>
                </c:pt>
                <c:pt idx="570">
                  <c:v>3.5195905065213999</c:v>
                </c:pt>
                <c:pt idx="571">
                  <c:v>3.56131543188634</c:v>
                </c:pt>
                <c:pt idx="572">
                  <c:v>3.4910459143932302</c:v>
                </c:pt>
                <c:pt idx="573">
                  <c:v>3.3930569749999999</c:v>
                </c:pt>
                <c:pt idx="574">
                  <c:v>3.5149929290305799</c:v>
                </c:pt>
                <c:pt idx="575">
                  <c:v>3.5420630433314302</c:v>
                </c:pt>
                <c:pt idx="576">
                  <c:v>3.4937055649550199</c:v>
                </c:pt>
                <c:pt idx="577">
                  <c:v>3.6203318841846102</c:v>
                </c:pt>
                <c:pt idx="578">
                  <c:v>3.65379934791238</c:v>
                </c:pt>
                <c:pt idx="579">
                  <c:v>3.6468650784108396</c:v>
                </c:pt>
                <c:pt idx="580">
                  <c:v>3.7758512804478004</c:v>
                </c:pt>
                <c:pt idx="581">
                  <c:v>3.8045596036626903</c:v>
                </c:pt>
                <c:pt idx="582">
                  <c:v>3.7895122397398899</c:v>
                </c:pt>
                <c:pt idx="583">
                  <c:v>3.84218029520652</c:v>
                </c:pt>
                <c:pt idx="584">
                  <c:v>3.8451913296419402</c:v>
                </c:pt>
                <c:pt idx="585">
                  <c:v>3.87460256628958</c:v>
                </c:pt>
                <c:pt idx="586">
                  <c:v>3.8515737413978499</c:v>
                </c:pt>
                <c:pt idx="587">
                  <c:v>3.8142449306100703</c:v>
                </c:pt>
                <c:pt idx="588">
                  <c:v>3.8709677550094903</c:v>
                </c:pt>
                <c:pt idx="589">
                  <c:v>3.8966020846824403</c:v>
                </c:pt>
                <c:pt idx="590">
                  <c:v>3.8664755500572001</c:v>
                </c:pt>
                <c:pt idx="591">
                  <c:v>3.9314622213180304</c:v>
                </c:pt>
                <c:pt idx="592">
                  <c:v>3.8846813367430402</c:v>
                </c:pt>
                <c:pt idx="593">
                  <c:v>3.8469876954244602</c:v>
                </c:pt>
                <c:pt idx="594">
                  <c:v>3.8980154515616503</c:v>
                </c:pt>
                <c:pt idx="595">
                  <c:v>3.8962942698123904</c:v>
                </c:pt>
                <c:pt idx="596">
                  <c:v>4.0080394738375507</c:v>
                </c:pt>
                <c:pt idx="597">
                  <c:v>4.15384638825401</c:v>
                </c:pt>
                <c:pt idx="598">
                  <c:v>4.3097150973253502</c:v>
                </c:pt>
                <c:pt idx="599">
                  <c:v>4.3649411890924004</c:v>
                </c:pt>
                <c:pt idx="600">
                  <c:v>4.3785664232115806</c:v>
                </c:pt>
                <c:pt idx="601">
                  <c:v>4.4273121481157798</c:v>
                </c:pt>
                <c:pt idx="602">
                  <c:v>4.3052218837608098</c:v>
                </c:pt>
                <c:pt idx="603">
                  <c:v>4.2940134265702099</c:v>
                </c:pt>
                <c:pt idx="604">
                  <c:v>4.2825099303808196</c:v>
                </c:pt>
                <c:pt idx="605">
                  <c:v>4.2963820026923303</c:v>
                </c:pt>
                <c:pt idx="606">
                  <c:v>4.2621651574101298</c:v>
                </c:pt>
                <c:pt idx="607">
                  <c:v>4.5664920061495797</c:v>
                </c:pt>
                <c:pt idx="608">
                  <c:v>4.4378798139564601</c:v>
                </c:pt>
                <c:pt idx="609">
                  <c:v>4.3812566510232402</c:v>
                </c:pt>
                <c:pt idx="610">
                  <c:v>4.4725524153299601</c:v>
                </c:pt>
                <c:pt idx="611">
                  <c:v>4.3551529075405195</c:v>
                </c:pt>
                <c:pt idx="612">
                  <c:v>4.3619977232637996</c:v>
                </c:pt>
                <c:pt idx="613">
                  <c:v>4.2922132158970401</c:v>
                </c:pt>
                <c:pt idx="614">
                  <c:v>4.2786512094147602</c:v>
                </c:pt>
                <c:pt idx="615">
                  <c:v>4.22223394298301</c:v>
                </c:pt>
                <c:pt idx="616">
                  <c:v>4.26721566463491</c:v>
                </c:pt>
                <c:pt idx="617">
                  <c:v>4.2097593826576194</c:v>
                </c:pt>
                <c:pt idx="618">
                  <c:v>4.2004509779767094</c:v>
                </c:pt>
                <c:pt idx="619">
                  <c:v>4.2422731613487601</c:v>
                </c:pt>
                <c:pt idx="620">
                  <c:v>4.3224951244575696</c:v>
                </c:pt>
                <c:pt idx="621">
                  <c:v>4.3336059205877397</c:v>
                </c:pt>
                <c:pt idx="622">
                  <c:v>4.2881401372541594</c:v>
                </c:pt>
                <c:pt idx="623">
                  <c:v>4.2989659604062203</c:v>
                </c:pt>
                <c:pt idx="624">
                  <c:v>4.3214162862115399</c:v>
                </c:pt>
                <c:pt idx="625">
                  <c:v>4.3084613747433904</c:v>
                </c:pt>
                <c:pt idx="626">
                  <c:v>4.4317928640914097</c:v>
                </c:pt>
                <c:pt idx="627">
                  <c:v>4.3024883601479704</c:v>
                </c:pt>
                <c:pt idx="628">
                  <c:v>4.3167339080662801</c:v>
                </c:pt>
                <c:pt idx="629">
                  <c:v>4.3420090464846304</c:v>
                </c:pt>
                <c:pt idx="630">
                  <c:v>4.2931563288379095</c:v>
                </c:pt>
                <c:pt idx="631">
                  <c:v>4.2651148850485301</c:v>
                </c:pt>
                <c:pt idx="632">
                  <c:v>4.2475778951930394</c:v>
                </c:pt>
                <c:pt idx="633">
                  <c:v>4.26751088200057</c:v>
                </c:pt>
                <c:pt idx="634">
                  <c:v>4.37022468085389</c:v>
                </c:pt>
                <c:pt idx="635">
                  <c:v>4.3890867068886603</c:v>
                </c:pt>
                <c:pt idx="636">
                  <c:v>4.4474585428556805</c:v>
                </c:pt>
                <c:pt idx="637">
                  <c:v>4.5392267465715399</c:v>
                </c:pt>
                <c:pt idx="638">
                  <c:v>4.6160460598662203</c:v>
                </c:pt>
                <c:pt idx="639">
                  <c:v>4.5356812526311403</c:v>
                </c:pt>
                <c:pt idx="640">
                  <c:v>4.5660314920123195</c:v>
                </c:pt>
                <c:pt idx="641">
                  <c:v>4.6015809867241497</c:v>
                </c:pt>
                <c:pt idx="642">
                  <c:v>4.4928463695782401</c:v>
                </c:pt>
                <c:pt idx="643">
                  <c:v>4.4563299355180002</c:v>
                </c:pt>
                <c:pt idx="644">
                  <c:v>4.3863992632199995</c:v>
                </c:pt>
                <c:pt idx="645">
                  <c:v>4.4122956945566001</c:v>
                </c:pt>
                <c:pt idx="646">
                  <c:v>4.3641739532649702</c:v>
                </c:pt>
                <c:pt idx="647">
                  <c:v>4.3658824188119603</c:v>
                </c:pt>
                <c:pt idx="648">
                  <c:v>4.4708084952850395</c:v>
                </c:pt>
                <c:pt idx="649">
                  <c:v>4.5902950036596701</c:v>
                </c:pt>
                <c:pt idx="650">
                  <c:v>4.6974159483074702</c:v>
                </c:pt>
                <c:pt idx="651">
                  <c:v>4.6319585276688802</c:v>
                </c:pt>
                <c:pt idx="652">
                  <c:v>4.5602125736156598</c:v>
                </c:pt>
                <c:pt idx="653">
                  <c:v>4.6132779065842904</c:v>
                </c:pt>
                <c:pt idx="654">
                  <c:v>4.4817470466956602</c:v>
                </c:pt>
                <c:pt idx="655">
                  <c:v>4.48086287613995</c:v>
                </c:pt>
                <c:pt idx="656">
                  <c:v>4.4653014354649301</c:v>
                </c:pt>
                <c:pt idx="657">
                  <c:v>4.4195969454242796</c:v>
                </c:pt>
                <c:pt idx="658">
                  <c:v>4.4008638510393698</c:v>
                </c:pt>
                <c:pt idx="659">
                  <c:v>4.2466152661539898</c:v>
                </c:pt>
                <c:pt idx="660">
                  <c:v>4.2659892178257399</c:v>
                </c:pt>
                <c:pt idx="661">
                  <c:v>4.2741154870576601</c:v>
                </c:pt>
                <c:pt idx="662">
                  <c:v>4.2454112080998803</c:v>
                </c:pt>
                <c:pt idx="663">
                  <c:v>4.1831997017413096</c:v>
                </c:pt>
                <c:pt idx="664">
                  <c:v>4.1621880368547899</c:v>
                </c:pt>
                <c:pt idx="665">
                  <c:v>4.1893806072912296</c:v>
                </c:pt>
                <c:pt idx="666">
                  <c:v>4.1609189567977101</c:v>
                </c:pt>
                <c:pt idx="667">
                  <c:v>4.1612808192634301</c:v>
                </c:pt>
                <c:pt idx="668">
                  <c:v>4.1814739676895698</c:v>
                </c:pt>
                <c:pt idx="669">
                  <c:v>4.1455130216866696</c:v>
                </c:pt>
                <c:pt idx="670">
                  <c:v>4.1227179246666603</c:v>
                </c:pt>
                <c:pt idx="671">
                  <c:v>4.1520304541736603</c:v>
                </c:pt>
                <c:pt idx="672">
                  <c:v>4.1528563352269297</c:v>
                </c:pt>
                <c:pt idx="673">
                  <c:v>4.1666454027183697</c:v>
                </c:pt>
                <c:pt idx="674">
                  <c:v>4.1712336262916399</c:v>
                </c:pt>
                <c:pt idx="675">
                  <c:v>4.1859461283169797</c:v>
                </c:pt>
                <c:pt idx="676">
                  <c:v>4.1889017512463997</c:v>
                </c:pt>
                <c:pt idx="677">
                  <c:v>4.2297520523191103</c:v>
                </c:pt>
                <c:pt idx="678">
                  <c:v>4.1928620812439403</c:v>
                </c:pt>
                <c:pt idx="679">
                  <c:v>4.1021466291271302</c:v>
                </c:pt>
                <c:pt idx="680">
                  <c:v>4.1060992896606301</c:v>
                </c:pt>
                <c:pt idx="681">
                  <c:v>4.12848506922378</c:v>
                </c:pt>
                <c:pt idx="682">
                  <c:v>4.0311913637666104</c:v>
                </c:pt>
                <c:pt idx="683">
                  <c:v>4.0077780990092293</c:v>
                </c:pt>
                <c:pt idx="684">
                  <c:v>4.0308353262477006</c:v>
                </c:pt>
                <c:pt idx="685">
                  <c:v>4.00572789119198</c:v>
                </c:pt>
                <c:pt idx="686">
                  <c:v>4.0129302666906499</c:v>
                </c:pt>
                <c:pt idx="687">
                  <c:v>4.0079303491163696</c:v>
                </c:pt>
                <c:pt idx="688">
                  <c:v>4.0253114324386496</c:v>
                </c:pt>
                <c:pt idx="689">
                  <c:v>4.04452937639841</c:v>
                </c:pt>
                <c:pt idx="690">
                  <c:v>4.1234558796483398</c:v>
                </c:pt>
                <c:pt idx="691">
                  <c:v>4.1029312404434997</c:v>
                </c:pt>
                <c:pt idx="692">
                  <c:v>4.1761815957737403</c:v>
                </c:pt>
                <c:pt idx="693">
                  <c:v>4.1517064447142102</c:v>
                </c:pt>
                <c:pt idx="694">
                  <c:v>4.1435022274964002</c:v>
                </c:pt>
                <c:pt idx="695">
                  <c:v>4.2705046018981303</c:v>
                </c:pt>
                <c:pt idx="696">
                  <c:v>4.2759140179655297</c:v>
                </c:pt>
                <c:pt idx="697">
                  <c:v>4.2812451223399099</c:v>
                </c:pt>
                <c:pt idx="698">
                  <c:v>4.2293186543038201</c:v>
                </c:pt>
                <c:pt idx="699">
                  <c:v>4.22241385733283</c:v>
                </c:pt>
                <c:pt idx="700">
                  <c:v>4.1841334255558502</c:v>
                </c:pt>
                <c:pt idx="701">
                  <c:v>4.2198326114545903</c:v>
                </c:pt>
                <c:pt idx="702">
                  <c:v>4.2061044460544199</c:v>
                </c:pt>
                <c:pt idx="703">
                  <c:v>4.2009397394747197</c:v>
                </c:pt>
                <c:pt idx="704">
                  <c:v>4.1872873296056197</c:v>
                </c:pt>
                <c:pt idx="705">
                  <c:v>4.1893180493164097</c:v>
                </c:pt>
                <c:pt idx="706">
                  <c:v>4.1763911788689603</c:v>
                </c:pt>
                <c:pt idx="707">
                  <c:v>4.24227722861204</c:v>
                </c:pt>
                <c:pt idx="708">
                  <c:v>4.2456187149267102</c:v>
                </c:pt>
                <c:pt idx="709">
                  <c:v>4.3131971354097196</c:v>
                </c:pt>
                <c:pt idx="710">
                  <c:v>4.3124256464127697</c:v>
                </c:pt>
                <c:pt idx="711">
                  <c:v>4.3934696741568402</c:v>
                </c:pt>
                <c:pt idx="712">
                  <c:v>4.4076378371692</c:v>
                </c:pt>
                <c:pt idx="713">
                  <c:v>4.3912806473068304</c:v>
                </c:pt>
                <c:pt idx="714">
                  <c:v>4.3599973711704303</c:v>
                </c:pt>
                <c:pt idx="715">
                  <c:v>4.3202717539538602</c:v>
                </c:pt>
                <c:pt idx="716">
                  <c:v>4.3461191161910104</c:v>
                </c:pt>
                <c:pt idx="717">
                  <c:v>4.3731864726903202</c:v>
                </c:pt>
                <c:pt idx="718">
                  <c:v>4.3595314834050205</c:v>
                </c:pt>
                <c:pt idx="719">
                  <c:v>4.3611563263139601</c:v>
                </c:pt>
                <c:pt idx="720">
                  <c:v>4.3303216079893003</c:v>
                </c:pt>
                <c:pt idx="721">
                  <c:v>4.4083266868494499</c:v>
                </c:pt>
                <c:pt idx="722">
                  <c:v>4.4555070160793102</c:v>
                </c:pt>
                <c:pt idx="723">
                  <c:v>4.3867700791483095</c:v>
                </c:pt>
                <c:pt idx="724">
                  <c:v>4.4083031994722903</c:v>
                </c:pt>
                <c:pt idx="725">
                  <c:v>4.4494398919380203</c:v>
                </c:pt>
                <c:pt idx="726">
                  <c:v>4.45046193863298</c:v>
                </c:pt>
                <c:pt idx="727">
                  <c:v>4.4487582211508201</c:v>
                </c:pt>
                <c:pt idx="728">
                  <c:v>4.41405209429064</c:v>
                </c:pt>
                <c:pt idx="729">
                  <c:v>4.4759843750617998</c:v>
                </c:pt>
                <c:pt idx="730">
                  <c:v>4.4826553021875997</c:v>
                </c:pt>
                <c:pt idx="731">
                  <c:v>4.4862139642643104</c:v>
                </c:pt>
                <c:pt idx="732">
                  <c:v>4.4593074736615197</c:v>
                </c:pt>
                <c:pt idx="733">
                  <c:v>4.4258089195358101</c:v>
                </c:pt>
                <c:pt idx="734">
                  <c:v>4.44766697458825</c:v>
                </c:pt>
                <c:pt idx="735">
                  <c:v>4.4262374006778895</c:v>
                </c:pt>
                <c:pt idx="736">
                  <c:v>4.3231344476108795</c:v>
                </c:pt>
                <c:pt idx="737">
                  <c:v>4.2777533188101495</c:v>
                </c:pt>
                <c:pt idx="738">
                  <c:v>4.3347069101672799</c:v>
                </c:pt>
                <c:pt idx="739">
                  <c:v>4.3394941185753</c:v>
                </c:pt>
                <c:pt idx="740">
                  <c:v>4.3017701963785999</c:v>
                </c:pt>
                <c:pt idx="741">
                  <c:v>4.2817985770238201</c:v>
                </c:pt>
                <c:pt idx="742">
                  <c:v>4.27533091807212</c:v>
                </c:pt>
                <c:pt idx="743">
                  <c:v>4.3447859623665099</c:v>
                </c:pt>
                <c:pt idx="744">
                  <c:v>4.2894704991440697</c:v>
                </c:pt>
                <c:pt idx="745">
                  <c:v>4.2456651558389895</c:v>
                </c:pt>
                <c:pt idx="746">
                  <c:v>4.2883786027112496</c:v>
                </c:pt>
                <c:pt idx="747">
                  <c:v>4.2781555339436403</c:v>
                </c:pt>
                <c:pt idx="748">
                  <c:v>4.2043725455431904</c:v>
                </c:pt>
                <c:pt idx="749">
                  <c:v>4.21425012419789</c:v>
                </c:pt>
                <c:pt idx="750">
                  <c:v>4.1839002937006802</c:v>
                </c:pt>
                <c:pt idx="751">
                  <c:v>4.1143242412590499</c:v>
                </c:pt>
                <c:pt idx="752">
                  <c:v>4.1543866853338001</c:v>
                </c:pt>
                <c:pt idx="753">
                  <c:v>4.1829349668904197</c:v>
                </c:pt>
                <c:pt idx="754">
                  <c:v>4.2044556061468397</c:v>
                </c:pt>
                <c:pt idx="755">
                  <c:v>4.1675276608066598</c:v>
                </c:pt>
                <c:pt idx="756">
                  <c:v>4.1721365019498302</c:v>
                </c:pt>
                <c:pt idx="757">
                  <c:v>4.2119263282749202</c:v>
                </c:pt>
                <c:pt idx="758">
                  <c:v>4.2628366866357004</c:v>
                </c:pt>
                <c:pt idx="759">
                  <c:v>4.2224373216764297</c:v>
                </c:pt>
                <c:pt idx="760">
                  <c:v>4.2501021379996198</c:v>
                </c:pt>
                <c:pt idx="761">
                  <c:v>4.22830631712384</c:v>
                </c:pt>
                <c:pt idx="762">
                  <c:v>4.2649646789079005</c:v>
                </c:pt>
                <c:pt idx="763">
                  <c:v>4.2851059424018301</c:v>
                </c:pt>
                <c:pt idx="764">
                  <c:v>4.2679336917223898</c:v>
                </c:pt>
                <c:pt idx="765">
                  <c:v>4.2739947668775002</c:v>
                </c:pt>
                <c:pt idx="766">
                  <c:v>4.2203668180993805</c:v>
                </c:pt>
                <c:pt idx="767">
                  <c:v>4.2502990055039103</c:v>
                </c:pt>
                <c:pt idx="768">
                  <c:v>4.2254639549412705</c:v>
                </c:pt>
                <c:pt idx="769">
                  <c:v>4.2399295738067</c:v>
                </c:pt>
                <c:pt idx="770">
                  <c:v>4.2137422068555503</c:v>
                </c:pt>
                <c:pt idx="771">
                  <c:v>4.2867566483490505</c:v>
                </c:pt>
                <c:pt idx="772">
                  <c:v>4.2437910438039204</c:v>
                </c:pt>
                <c:pt idx="773">
                  <c:v>4.2659761049301395</c:v>
                </c:pt>
                <c:pt idx="774">
                  <c:v>4.3036393025973894</c:v>
                </c:pt>
                <c:pt idx="775">
                  <c:v>4.2888396717565502</c:v>
                </c:pt>
                <c:pt idx="776">
                  <c:v>4.2861218975509594</c:v>
                </c:pt>
                <c:pt idx="777">
                  <c:v>4.2417741000598097</c:v>
                </c:pt>
                <c:pt idx="778">
                  <c:v>4.1816235227519902</c:v>
                </c:pt>
                <c:pt idx="779">
                  <c:v>4.1966722929273699</c:v>
                </c:pt>
                <c:pt idx="780">
                  <c:v>4.2506464859589803</c:v>
                </c:pt>
                <c:pt idx="781">
                  <c:v>4.2274131081593396</c:v>
                </c:pt>
                <c:pt idx="782">
                  <c:v>4.2932044325379</c:v>
                </c:pt>
                <c:pt idx="783">
                  <c:v>4.3066045026422701</c:v>
                </c:pt>
                <c:pt idx="784">
                  <c:v>4.2731484249729101</c:v>
                </c:pt>
                <c:pt idx="785">
                  <c:v>4.2734623518347501</c:v>
                </c:pt>
                <c:pt idx="786">
                  <c:v>4.2727642287459897</c:v>
                </c:pt>
                <c:pt idx="787">
                  <c:v>4.2688323844715095</c:v>
                </c:pt>
                <c:pt idx="788">
                  <c:v>4.2523590278447099</c:v>
                </c:pt>
                <c:pt idx="789">
                  <c:v>4.2777012577170499</c:v>
                </c:pt>
                <c:pt idx="790">
                  <c:v>4.2939511806470101</c:v>
                </c:pt>
                <c:pt idx="791">
                  <c:v>4.3197934632033199</c:v>
                </c:pt>
                <c:pt idx="792">
                  <c:v>4.38921403178463</c:v>
                </c:pt>
                <c:pt idx="793">
                  <c:v>4.3666189034841603</c:v>
                </c:pt>
                <c:pt idx="794">
                  <c:v>4.3121431427023698</c:v>
                </c:pt>
                <c:pt idx="795">
                  <c:v>4.2776833694470699</c:v>
                </c:pt>
                <c:pt idx="796">
                  <c:v>4.2557698521311398</c:v>
                </c:pt>
                <c:pt idx="797">
                  <c:v>4.2287019604744795</c:v>
                </c:pt>
                <c:pt idx="798">
                  <c:v>4.1691321081593795</c:v>
                </c:pt>
                <c:pt idx="799">
                  <c:v>4.1697805482299097</c:v>
                </c:pt>
                <c:pt idx="800">
                  <c:v>4.1944350253510096</c:v>
                </c:pt>
                <c:pt idx="801">
                  <c:v>4.1915390788750502</c:v>
                </c:pt>
                <c:pt idx="802">
                  <c:v>4.2135496917921502</c:v>
                </c:pt>
                <c:pt idx="803">
                  <c:v>4.2707696015842798</c:v>
                </c:pt>
                <c:pt idx="804">
                  <c:v>4.2842431397037499</c:v>
                </c:pt>
                <c:pt idx="805">
                  <c:v>4.2785602204938202</c:v>
                </c:pt>
                <c:pt idx="806">
                  <c:v>4.1971128535921807</c:v>
                </c:pt>
                <c:pt idx="807">
                  <c:v>4.1911683158353803</c:v>
                </c:pt>
                <c:pt idx="808">
                  <c:v>4.1699257273859605</c:v>
                </c:pt>
                <c:pt idx="809">
                  <c:v>4.1773145386408395</c:v>
                </c:pt>
                <c:pt idx="810">
                  <c:v>4.1992277367764004</c:v>
                </c:pt>
                <c:pt idx="811">
                  <c:v>4.1900970270203999</c:v>
                </c:pt>
                <c:pt idx="812">
                  <c:v>4.1501955946595199</c:v>
                </c:pt>
                <c:pt idx="813">
                  <c:v>4.1384912900937598</c:v>
                </c:pt>
                <c:pt idx="814">
                  <c:v>4.1511694814520599</c:v>
                </c:pt>
                <c:pt idx="815">
                  <c:v>4.1303629376403697</c:v>
                </c:pt>
                <c:pt idx="816">
                  <c:v>4.0753396382173603</c:v>
                </c:pt>
                <c:pt idx="817">
                  <c:v>4.0689812570383204</c:v>
                </c:pt>
                <c:pt idx="818">
                  <c:v>4.1067147432885198</c:v>
                </c:pt>
                <c:pt idx="819">
                  <c:v>4.1345117066738499</c:v>
                </c:pt>
                <c:pt idx="820">
                  <c:v>4.1115829891505999</c:v>
                </c:pt>
                <c:pt idx="821">
                  <c:v>4.0443375042743099</c:v>
                </c:pt>
                <c:pt idx="822">
                  <c:v>4.0267580504540303</c:v>
                </c:pt>
                <c:pt idx="823">
                  <c:v>4.05442057077929</c:v>
                </c:pt>
                <c:pt idx="824">
                  <c:v>4.0722194584966305</c:v>
                </c:pt>
                <c:pt idx="825">
                  <c:v>4.0378732122690701</c:v>
                </c:pt>
                <c:pt idx="826">
                  <c:v>4.0398427091605296</c:v>
                </c:pt>
                <c:pt idx="827">
                  <c:v>4.05390098832261</c:v>
                </c:pt>
                <c:pt idx="828">
                  <c:v>4.0457548084999102</c:v>
                </c:pt>
                <c:pt idx="829">
                  <c:v>4.0258059268629696</c:v>
                </c:pt>
                <c:pt idx="830">
                  <c:v>3.9406737423668101</c:v>
                </c:pt>
                <c:pt idx="831">
                  <c:v>3.96769132636893</c:v>
                </c:pt>
                <c:pt idx="832">
                  <c:v>3.9768083372887499</c:v>
                </c:pt>
                <c:pt idx="833">
                  <c:v>4.0518271111055597</c:v>
                </c:pt>
                <c:pt idx="834">
                  <c:v>4.1035464088520204</c:v>
                </c:pt>
                <c:pt idx="835">
                  <c:v>4.0811187667079807</c:v>
                </c:pt>
                <c:pt idx="836">
                  <c:v>4.0553561115001706</c:v>
                </c:pt>
                <c:pt idx="837">
                  <c:v>4.0671270772173305</c:v>
                </c:pt>
                <c:pt idx="838">
                  <c:v>4.0823768360343404</c:v>
                </c:pt>
                <c:pt idx="839">
                  <c:v>4.1039656445874204</c:v>
                </c:pt>
                <c:pt idx="840">
                  <c:v>4.1191869402496799</c:v>
                </c:pt>
                <c:pt idx="841">
                  <c:v>4.0724154015266896</c:v>
                </c:pt>
                <c:pt idx="842">
                  <c:v>4.0887957638969299</c:v>
                </c:pt>
                <c:pt idx="843">
                  <c:v>4.0757881566341503</c:v>
                </c:pt>
                <c:pt idx="844">
                  <c:v>4.1311138488358603</c:v>
                </c:pt>
                <c:pt idx="845">
                  <c:v>4.0692100719207298</c:v>
                </c:pt>
                <c:pt idx="846">
                  <c:v>4.0544589847189094</c:v>
                </c:pt>
                <c:pt idx="847">
                  <c:v>4.0524686042418594</c:v>
                </c:pt>
                <c:pt idx="848">
                  <c:v>4.0557652720164903</c:v>
                </c:pt>
                <c:pt idx="849">
                  <c:v>4.0318117360892298</c:v>
                </c:pt>
                <c:pt idx="850">
                  <c:v>3.9830244540231403</c:v>
                </c:pt>
                <c:pt idx="851">
                  <c:v>3.9586297224021303</c:v>
                </c:pt>
                <c:pt idx="852">
                  <c:v>3.96050389985305</c:v>
                </c:pt>
                <c:pt idx="853">
                  <c:v>3.9481856937339201</c:v>
                </c:pt>
                <c:pt idx="854">
                  <c:v>3.9989078942984002</c:v>
                </c:pt>
                <c:pt idx="855">
                  <c:v>4.0586950767014898</c:v>
                </c:pt>
                <c:pt idx="856">
                  <c:v>4.0823436873818704</c:v>
                </c:pt>
                <c:pt idx="857">
                  <c:v>4.0671224282761997</c:v>
                </c:pt>
                <c:pt idx="858">
                  <c:v>4.0335882272497301</c:v>
                </c:pt>
                <c:pt idx="859">
                  <c:v>4.0436026335507602</c:v>
                </c:pt>
                <c:pt idx="860">
                  <c:v>4.02608062424558</c:v>
                </c:pt>
                <c:pt idx="861">
                  <c:v>4.0124987702907902</c:v>
                </c:pt>
                <c:pt idx="862">
                  <c:v>4.04890699035216</c:v>
                </c:pt>
                <c:pt idx="863">
                  <c:v>4.0578554535480098</c:v>
                </c:pt>
                <c:pt idx="864">
                  <c:v>4.0497107474966398</c:v>
                </c:pt>
                <c:pt idx="865">
                  <c:v>3.9978300472060999</c:v>
                </c:pt>
                <c:pt idx="866">
                  <c:v>3.9972862814580701</c:v>
                </c:pt>
                <c:pt idx="867">
                  <c:v>3.9935597358205697</c:v>
                </c:pt>
                <c:pt idx="868">
                  <c:v>3.9851737996584298</c:v>
                </c:pt>
                <c:pt idx="869">
                  <c:v>4.0338401855390797</c:v>
                </c:pt>
                <c:pt idx="870">
                  <c:v>4.0853341243250201</c:v>
                </c:pt>
                <c:pt idx="871">
                  <c:v>4.0409391735493596</c:v>
                </c:pt>
                <c:pt idx="872">
                  <c:v>4.0543687193827003</c:v>
                </c:pt>
                <c:pt idx="873">
                  <c:v>4.03178427774938</c:v>
                </c:pt>
                <c:pt idx="874">
                  <c:v>4.0696753193638298</c:v>
                </c:pt>
                <c:pt idx="875">
                  <c:v>4.0799897080147796</c:v>
                </c:pt>
                <c:pt idx="876">
                  <c:v>4.0323067528811798</c:v>
                </c:pt>
                <c:pt idx="877">
                  <c:v>4.0217049047536895</c:v>
                </c:pt>
                <c:pt idx="878">
                  <c:v>4.0202074029572197</c:v>
                </c:pt>
                <c:pt idx="879">
                  <c:v>4.0507081221856698</c:v>
                </c:pt>
                <c:pt idx="880">
                  <c:v>4.0151991540623202</c:v>
                </c:pt>
                <c:pt idx="881">
                  <c:v>4.0060807892748702</c:v>
                </c:pt>
                <c:pt idx="882">
                  <c:v>4.0165488371886999</c:v>
                </c:pt>
                <c:pt idx="883">
                  <c:v>4.0260271213895802</c:v>
                </c:pt>
                <c:pt idx="884">
                  <c:v>4.0032795305890199</c:v>
                </c:pt>
                <c:pt idx="885">
                  <c:v>3.9820751975126902</c:v>
                </c:pt>
                <c:pt idx="886">
                  <c:v>3.9356964556510503</c:v>
                </c:pt>
                <c:pt idx="887">
                  <c:v>3.9820986937886302</c:v>
                </c:pt>
                <c:pt idx="888">
                  <c:v>4.00695845573168</c:v>
                </c:pt>
                <c:pt idx="889">
                  <c:v>4.0136374409523699</c:v>
                </c:pt>
                <c:pt idx="890">
                  <c:v>3.9875330496011703</c:v>
                </c:pt>
                <c:pt idx="891">
                  <c:v>3.9815751088267803</c:v>
                </c:pt>
                <c:pt idx="892">
                  <c:v>3.96931272929372</c:v>
                </c:pt>
                <c:pt idx="893">
                  <c:v>3.9601904338209302</c:v>
                </c:pt>
                <c:pt idx="894">
                  <c:v>3.9389766964125301</c:v>
                </c:pt>
                <c:pt idx="895">
                  <c:v>3.91822900220598</c:v>
                </c:pt>
                <c:pt idx="896">
                  <c:v>3.9204436657218902</c:v>
                </c:pt>
                <c:pt idx="897">
                  <c:v>3.97357576021296</c:v>
                </c:pt>
                <c:pt idx="898">
                  <c:v>3.99603421255205</c:v>
                </c:pt>
                <c:pt idx="899">
                  <c:v>4.0235106124569899</c:v>
                </c:pt>
                <c:pt idx="900">
                  <c:v>4.03886385943383</c:v>
                </c:pt>
                <c:pt idx="901">
                  <c:v>4.0467591726618695</c:v>
                </c:pt>
                <c:pt idx="902">
                  <c:v>4.0749424641141596</c:v>
                </c:pt>
                <c:pt idx="903">
                  <c:v>4.04645994708277</c:v>
                </c:pt>
                <c:pt idx="904">
                  <c:v>4.0453347668967705</c:v>
                </c:pt>
                <c:pt idx="905">
                  <c:v>4.1081002933626394</c:v>
                </c:pt>
                <c:pt idx="906">
                  <c:v>4.0881360127709199</c:v>
                </c:pt>
                <c:pt idx="907">
                  <c:v>4.09087792984724</c:v>
                </c:pt>
                <c:pt idx="908">
                  <c:v>4.1151026284412904</c:v>
                </c:pt>
                <c:pt idx="909">
                  <c:v>4.1263301655241298</c:v>
                </c:pt>
                <c:pt idx="910">
                  <c:v>4.08265491200937</c:v>
                </c:pt>
                <c:pt idx="911">
                  <c:v>4.0659193295872296</c:v>
                </c:pt>
                <c:pt idx="912">
                  <c:v>4.0408718433632203</c:v>
                </c:pt>
                <c:pt idx="913">
                  <c:v>4.0649333915905803</c:v>
                </c:pt>
                <c:pt idx="914">
                  <c:v>4.0214043215492303</c:v>
                </c:pt>
                <c:pt idx="915">
                  <c:v>4.0398980745917603</c:v>
                </c:pt>
                <c:pt idx="916">
                  <c:v>4.0174131243021804</c:v>
                </c:pt>
                <c:pt idx="917">
                  <c:v>4.0326253005058597</c:v>
                </c:pt>
                <c:pt idx="918">
                  <c:v>3.9725448677573798</c:v>
                </c:pt>
                <c:pt idx="919">
                  <c:v>3.98985985179967</c:v>
                </c:pt>
                <c:pt idx="920">
                  <c:v>3.99456062133752</c:v>
                </c:pt>
                <c:pt idx="921">
                  <c:v>3.97673636240008</c:v>
                </c:pt>
                <c:pt idx="922">
                  <c:v>3.91092383353143</c:v>
                </c:pt>
                <c:pt idx="923">
                  <c:v>3.90915590876984</c:v>
                </c:pt>
                <c:pt idx="924">
                  <c:v>3.9115502284845101</c:v>
                </c:pt>
                <c:pt idx="925">
                  <c:v>3.9086703901768698</c:v>
                </c:pt>
                <c:pt idx="926">
                  <c:v>3.81787254704876</c:v>
                </c:pt>
                <c:pt idx="927">
                  <c:v>3.7130832357796</c:v>
                </c:pt>
                <c:pt idx="928">
                  <c:v>3.80178385362019</c:v>
                </c:pt>
                <c:pt idx="929">
                  <c:v>3.8207750422965998</c:v>
                </c:pt>
                <c:pt idx="930">
                  <c:v>3.79408965325992</c:v>
                </c:pt>
                <c:pt idx="931">
                  <c:v>3.81441284921672</c:v>
                </c:pt>
                <c:pt idx="932">
                  <c:v>3.8107199497916602</c:v>
                </c:pt>
                <c:pt idx="933">
                  <c:v>3.8520845472046297</c:v>
                </c:pt>
                <c:pt idx="934">
                  <c:v>3.8621757289919696</c:v>
                </c:pt>
                <c:pt idx="935">
                  <c:v>3.8457421074050098</c:v>
                </c:pt>
                <c:pt idx="936">
                  <c:v>3.8683731146767002</c:v>
                </c:pt>
                <c:pt idx="937">
                  <c:v>3.89269297151117</c:v>
                </c:pt>
                <c:pt idx="938">
                  <c:v>3.87200862957565</c:v>
                </c:pt>
                <c:pt idx="939">
                  <c:v>3.89333498044576</c:v>
                </c:pt>
                <c:pt idx="940">
                  <c:v>3.9308723538534198</c:v>
                </c:pt>
                <c:pt idx="941">
                  <c:v>3.92783623344824</c:v>
                </c:pt>
                <c:pt idx="942">
                  <c:v>3.9126247047278397</c:v>
                </c:pt>
                <c:pt idx="943">
                  <c:v>3.9201860444471297</c:v>
                </c:pt>
                <c:pt idx="944">
                  <c:v>3.8695362034079102</c:v>
                </c:pt>
                <c:pt idx="945">
                  <c:v>3.9045117393845299</c:v>
                </c:pt>
                <c:pt idx="946">
                  <c:v>3.8899361572346201</c:v>
                </c:pt>
                <c:pt idx="947">
                  <c:v>3.8775398561784402</c:v>
                </c:pt>
                <c:pt idx="948">
                  <c:v>3.8417598883805302</c:v>
                </c:pt>
                <c:pt idx="949">
                  <c:v>3.8475495583827501</c:v>
                </c:pt>
                <c:pt idx="950">
                  <c:v>3.8357097676249401</c:v>
                </c:pt>
                <c:pt idx="951">
                  <c:v>3.87041268163554</c:v>
                </c:pt>
                <c:pt idx="952">
                  <c:v>3.8489131100370897</c:v>
                </c:pt>
                <c:pt idx="953">
                  <c:v>3.8314896030964398</c:v>
                </c:pt>
                <c:pt idx="954">
                  <c:v>3.8198343162471797</c:v>
                </c:pt>
                <c:pt idx="955">
                  <c:v>3.7651824618393097</c:v>
                </c:pt>
                <c:pt idx="956">
                  <c:v>3.7923594418375997</c:v>
                </c:pt>
                <c:pt idx="957">
                  <c:v>3.7539494175581503</c:v>
                </c:pt>
                <c:pt idx="958">
                  <c:v>3.7705442437906997</c:v>
                </c:pt>
                <c:pt idx="959">
                  <c:v>3.8333054451976398</c:v>
                </c:pt>
                <c:pt idx="960">
                  <c:v>3.8059853138402699</c:v>
                </c:pt>
                <c:pt idx="961">
                  <c:v>3.7761792293780099</c:v>
                </c:pt>
                <c:pt idx="962">
                  <c:v>3.8283042573912698</c:v>
                </c:pt>
                <c:pt idx="963">
                  <c:v>3.78242801072349</c:v>
                </c:pt>
                <c:pt idx="964">
                  <c:v>3.7596931498398201</c:v>
                </c:pt>
                <c:pt idx="965">
                  <c:v>3.7558201867427501</c:v>
                </c:pt>
                <c:pt idx="966">
                  <c:v>3.7677474777483599</c:v>
                </c:pt>
                <c:pt idx="967">
                  <c:v>3.70489094004395</c:v>
                </c:pt>
                <c:pt idx="968">
                  <c:v>3.7334881309655099</c:v>
                </c:pt>
                <c:pt idx="969">
                  <c:v>3.6915621350640002</c:v>
                </c:pt>
                <c:pt idx="970">
                  <c:v>3.7136328782702397</c:v>
                </c:pt>
                <c:pt idx="971">
                  <c:v>3.7347127537965199</c:v>
                </c:pt>
                <c:pt idx="972">
                  <c:v>3.7102226043021798</c:v>
                </c:pt>
                <c:pt idx="973">
                  <c:v>3.70212694410889</c:v>
                </c:pt>
                <c:pt idx="974">
                  <c:v>3.7868071513575199</c:v>
                </c:pt>
                <c:pt idx="975">
                  <c:v>3.7722145072783801</c:v>
                </c:pt>
                <c:pt idx="976">
                  <c:v>3.7537044738811902</c:v>
                </c:pt>
                <c:pt idx="977">
                  <c:v>3.7234415825384803</c:v>
                </c:pt>
                <c:pt idx="978">
                  <c:v>3.7144598307177401</c:v>
                </c:pt>
                <c:pt idx="979">
                  <c:v>3.7443444524623697</c:v>
                </c:pt>
                <c:pt idx="980">
                  <c:v>3.6959235533976598</c:v>
                </c:pt>
                <c:pt idx="981">
                  <c:v>3.6067484376687498</c:v>
                </c:pt>
                <c:pt idx="982">
                  <c:v>3.5268428480934899</c:v>
                </c:pt>
                <c:pt idx="983">
                  <c:v>3.5741123521869582</c:v>
                </c:pt>
                <c:pt idx="984">
                  <c:v>3.626698453227533</c:v>
                </c:pt>
                <c:pt idx="985">
                  <c:v>3.59556127791293</c:v>
                </c:pt>
                <c:pt idx="986">
                  <c:v>3.5428882693084103</c:v>
                </c:pt>
                <c:pt idx="987">
                  <c:v>3.5288130412179401</c:v>
                </c:pt>
                <c:pt idx="988">
                  <c:v>3.4534760534832802</c:v>
                </c:pt>
                <c:pt idx="989">
                  <c:v>3.4177395049883703</c:v>
                </c:pt>
                <c:pt idx="990">
                  <c:v>3.5078894550645598</c:v>
                </c:pt>
                <c:pt idx="991">
                  <c:v>3.5197817648142298</c:v>
                </c:pt>
                <c:pt idx="992">
                  <c:v>3.62182562483311</c:v>
                </c:pt>
                <c:pt idx="993">
                  <c:v>3.6303517633531603</c:v>
                </c:pt>
                <c:pt idx="994">
                  <c:v>3.5821377749413186</c:v>
                </c:pt>
                <c:pt idx="995">
                  <c:v>3.6097499819228274</c:v>
                </c:pt>
                <c:pt idx="996">
                  <c:v>3.5989991057221697</c:v>
                </c:pt>
                <c:pt idx="997">
                  <c:v>3.4924856172079499</c:v>
                </c:pt>
                <c:pt idx="998">
                  <c:v>3.49826049994028</c:v>
                </c:pt>
                <c:pt idx="999">
                  <c:v>3.4375689191347303</c:v>
                </c:pt>
                <c:pt idx="1000">
                  <c:v>3.4331415611452201</c:v>
                </c:pt>
                <c:pt idx="1001">
                  <c:v>3.52350933338727</c:v>
                </c:pt>
                <c:pt idx="1002">
                  <c:v>3.5773875930224501</c:v>
                </c:pt>
                <c:pt idx="1003">
                  <c:v>3.5700771324772202</c:v>
                </c:pt>
                <c:pt idx="1004">
                  <c:v>3.6860398518957602</c:v>
                </c:pt>
                <c:pt idx="1005">
                  <c:v>3.6968479760007003</c:v>
                </c:pt>
                <c:pt idx="1006">
                  <c:v>3.7562450533759302</c:v>
                </c:pt>
                <c:pt idx="1007">
                  <c:v>3.6483800905368597</c:v>
                </c:pt>
                <c:pt idx="1008">
                  <c:v>3.6310329105669599</c:v>
                </c:pt>
                <c:pt idx="1009">
                  <c:v>3.6532388861441398</c:v>
                </c:pt>
                <c:pt idx="1010">
                  <c:v>3.7740320559960101</c:v>
                </c:pt>
                <c:pt idx="1011">
                  <c:v>3.6823665699870798</c:v>
                </c:pt>
                <c:pt idx="1012">
                  <c:v>3.7068104573070801</c:v>
                </c:pt>
                <c:pt idx="1013">
                  <c:v>3.7252632116509901</c:v>
                </c:pt>
                <c:pt idx="1014">
                  <c:v>3.6808980692697499</c:v>
                </c:pt>
                <c:pt idx="1015">
                  <c:v>3.6214130024873299</c:v>
                </c:pt>
                <c:pt idx="1016">
                  <c:v>3.6346959533687402</c:v>
                </c:pt>
                <c:pt idx="1017">
                  <c:v>3.6726526072688102</c:v>
                </c:pt>
                <c:pt idx="1018">
                  <c:v>3.6450572158724102</c:v>
                </c:pt>
                <c:pt idx="1019">
                  <c:v>3.7000936019467399</c:v>
                </c:pt>
                <c:pt idx="1020">
                  <c:v>3.7426585850292899</c:v>
                </c:pt>
                <c:pt idx="1021">
                  <c:v>3.6840214917534397</c:v>
                </c:pt>
                <c:pt idx="1022">
                  <c:v>3.6753993439766699</c:v>
                </c:pt>
                <c:pt idx="1023">
                  <c:v>3.7901547799018998</c:v>
                </c:pt>
                <c:pt idx="1024">
                  <c:v>3.7620652925299298</c:v>
                </c:pt>
                <c:pt idx="1025">
                  <c:v>3.7061881058067598</c:v>
                </c:pt>
                <c:pt idx="1026">
                  <c:v>3.7233769533181196</c:v>
                </c:pt>
                <c:pt idx="1027">
                  <c:v>3.70936076025398</c:v>
                </c:pt>
                <c:pt idx="1028">
                  <c:v>3.7270473991425002</c:v>
                </c:pt>
                <c:pt idx="1029">
                  <c:v>3.71971850182792</c:v>
                </c:pt>
                <c:pt idx="1030">
                  <c:v>3.6913826593046597</c:v>
                </c:pt>
                <c:pt idx="1031">
                  <c:v>3.58121057809542</c:v>
                </c:pt>
                <c:pt idx="1032">
                  <c:v>3.59791823876128</c:v>
                </c:pt>
                <c:pt idx="1033">
                  <c:v>3.5601346135437</c:v>
                </c:pt>
                <c:pt idx="1034">
                  <c:v>3.5458711529916602</c:v>
                </c:pt>
                <c:pt idx="1035">
                  <c:v>3.4982083905463801</c:v>
                </c:pt>
                <c:pt idx="1036">
                  <c:v>3.5915983780453198</c:v>
                </c:pt>
                <c:pt idx="1037">
                  <c:v>3.6794280422785</c:v>
                </c:pt>
                <c:pt idx="1038">
                  <c:v>3.6209122282996598</c:v>
                </c:pt>
                <c:pt idx="1039">
                  <c:v>3.61805041244327</c:v>
                </c:pt>
                <c:pt idx="1040">
                  <c:v>3.5884641432789399</c:v>
                </c:pt>
                <c:pt idx="1041">
                  <c:v>3.5199848403902902</c:v>
                </c:pt>
                <c:pt idx="1042">
                  <c:v>3.5720017330006102</c:v>
                </c:pt>
                <c:pt idx="1043">
                  <c:v>3.51160748653581</c:v>
                </c:pt>
                <c:pt idx="1044">
                  <c:v>3.5546361687405201</c:v>
                </c:pt>
                <c:pt idx="1045">
                  <c:v>3.5495015238785199</c:v>
                </c:pt>
                <c:pt idx="1046">
                  <c:v>3.5552830786511898</c:v>
                </c:pt>
                <c:pt idx="1047">
                  <c:v>3.5826198454281002</c:v>
                </c:pt>
                <c:pt idx="1048">
                  <c:v>3.60235612953191</c:v>
                </c:pt>
                <c:pt idx="1049">
                  <c:v>3.5763020174169098</c:v>
                </c:pt>
                <c:pt idx="1050">
                  <c:v>3.5318203342613899</c:v>
                </c:pt>
                <c:pt idx="1051">
                  <c:v>3.5521044555697898</c:v>
                </c:pt>
                <c:pt idx="1052">
                  <c:v>3.5433138127987496</c:v>
                </c:pt>
                <c:pt idx="1053">
                  <c:v>3.5345312914577702</c:v>
                </c:pt>
                <c:pt idx="1054">
                  <c:v>3.5660000880702603</c:v>
                </c:pt>
                <c:pt idx="1055">
                  <c:v>3.5899319510850702</c:v>
                </c:pt>
                <c:pt idx="1056">
                  <c:v>3.6174343987467301</c:v>
                </c:pt>
                <c:pt idx="1057">
                  <c:v>3.5983955665293399</c:v>
                </c:pt>
                <c:pt idx="1058">
                  <c:v>3.5716672027692402</c:v>
                </c:pt>
                <c:pt idx="1059">
                  <c:v>3.5858418354186901</c:v>
                </c:pt>
                <c:pt idx="1060">
                  <c:v>3.6412494396305499</c:v>
                </c:pt>
                <c:pt idx="1061">
                  <c:v>3.6516522765573196</c:v>
                </c:pt>
                <c:pt idx="1062">
                  <c:v>3.65292112796695</c:v>
                </c:pt>
                <c:pt idx="1063">
                  <c:v>3.7113163120641603</c:v>
                </c:pt>
                <c:pt idx="1064">
                  <c:v>3.7465824106146499</c:v>
                </c:pt>
                <c:pt idx="1065">
                  <c:v>3.78055488043469</c:v>
                </c:pt>
                <c:pt idx="1066">
                  <c:v>3.7810943349565802</c:v>
                </c:pt>
                <c:pt idx="1067">
                  <c:v>3.7235671060441202</c:v>
                </c:pt>
                <c:pt idx="1068">
                  <c:v>3.67189683125327</c:v>
                </c:pt>
                <c:pt idx="1069">
                  <c:v>3.7817707284284801</c:v>
                </c:pt>
                <c:pt idx="1070">
                  <c:v>3.7980788831124004</c:v>
                </c:pt>
                <c:pt idx="1071">
                  <c:v>3.8112560132733195</c:v>
                </c:pt>
                <c:pt idx="1072">
                  <c:v>3.7595372967933596</c:v>
                </c:pt>
                <c:pt idx="1073">
                  <c:v>3.6789634470402302</c:v>
                </c:pt>
                <c:pt idx="1074">
                  <c:v>3.7423266787946501</c:v>
                </c:pt>
                <c:pt idx="1075">
                  <c:v>3.7740951033786896</c:v>
                </c:pt>
                <c:pt idx="1076">
                  <c:v>3.7843427545110599</c:v>
                </c:pt>
                <c:pt idx="1077">
                  <c:v>3.7340564715846103</c:v>
                </c:pt>
                <c:pt idx="1078">
                  <c:v>3.76560144383037</c:v>
                </c:pt>
                <c:pt idx="1079">
                  <c:v>3.7241508666135799</c:v>
                </c:pt>
                <c:pt idx="1080">
                  <c:v>3.7541580254928899</c:v>
                </c:pt>
                <c:pt idx="1081">
                  <c:v>3.7494587072174399</c:v>
                </c:pt>
                <c:pt idx="1082">
                  <c:v>3.7206504344365499</c:v>
                </c:pt>
                <c:pt idx="1083">
                  <c:v>3.7953997635202201</c:v>
                </c:pt>
                <c:pt idx="1084">
                  <c:v>3.8693266194262801</c:v>
                </c:pt>
                <c:pt idx="1085">
                  <c:v>3.92903763357375</c:v>
                </c:pt>
                <c:pt idx="1086">
                  <c:v>3.8802980656149999</c:v>
                </c:pt>
                <c:pt idx="1087">
                  <c:v>3.9731621271118698</c:v>
                </c:pt>
                <c:pt idx="1088">
                  <c:v>3.9398512735370801</c:v>
                </c:pt>
                <c:pt idx="1089">
                  <c:v>3.9839227816246399</c:v>
                </c:pt>
                <c:pt idx="1090">
                  <c:v>4.0101274529928403</c:v>
                </c:pt>
                <c:pt idx="1091">
                  <c:v>3.9088980902050601</c:v>
                </c:pt>
                <c:pt idx="1092">
                  <c:v>3.9247229049735601</c:v>
                </c:pt>
                <c:pt idx="1093">
                  <c:v>3.9176312829502997</c:v>
                </c:pt>
                <c:pt idx="1094">
                  <c:v>3.8865230672567597</c:v>
                </c:pt>
                <c:pt idx="1095">
                  <c:v>3.8894003722349302</c:v>
                </c:pt>
                <c:pt idx="1096">
                  <c:v>3.90404076072317</c:v>
                </c:pt>
                <c:pt idx="1097">
                  <c:v>3.8394562518917303</c:v>
                </c:pt>
                <c:pt idx="1098">
                  <c:v>3.9333957367156103</c:v>
                </c:pt>
                <c:pt idx="1099">
                  <c:v>3.9791433690798801</c:v>
                </c:pt>
                <c:pt idx="1100">
                  <c:v>3.9725923434251103</c:v>
                </c:pt>
                <c:pt idx="1101">
                  <c:v>3.9972240405545403</c:v>
                </c:pt>
                <c:pt idx="1102">
                  <c:v>4.08360052743335</c:v>
                </c:pt>
                <c:pt idx="1103">
                  <c:v>3.9665186529683103</c:v>
                </c:pt>
                <c:pt idx="1104">
                  <c:v>3.95461217629216</c:v>
                </c:pt>
                <c:pt idx="1105">
                  <c:v>4.0148865083625598</c:v>
                </c:pt>
                <c:pt idx="1106">
                  <c:v>3.9850666537786896</c:v>
                </c:pt>
                <c:pt idx="1107">
                  <c:v>3.8930839755865199</c:v>
                </c:pt>
                <c:pt idx="1108">
                  <c:v>3.8619731679419598</c:v>
                </c:pt>
                <c:pt idx="1109">
                  <c:v>3.8784190402399599</c:v>
                </c:pt>
                <c:pt idx="1110">
                  <c:v>3.9512664497207899</c:v>
                </c:pt>
                <c:pt idx="1111">
                  <c:v>4.0461881406257199</c:v>
                </c:pt>
                <c:pt idx="1112">
                  <c:v>4.0433538051330995</c:v>
                </c:pt>
                <c:pt idx="1113">
                  <c:v>4.00738019701972</c:v>
                </c:pt>
                <c:pt idx="1114">
                  <c:v>3.9519316974767098</c:v>
                </c:pt>
                <c:pt idx="1115">
                  <c:v>3.9509806672529</c:v>
                </c:pt>
                <c:pt idx="1116">
                  <c:v>3.9376085231892497</c:v>
                </c:pt>
                <c:pt idx="1117">
                  <c:v>3.9570121744668398</c:v>
                </c:pt>
                <c:pt idx="1118">
                  <c:v>3.9277421612917198</c:v>
                </c:pt>
                <c:pt idx="1119">
                  <c:v>3.9165439713659698</c:v>
                </c:pt>
                <c:pt idx="1120">
                  <c:v>3.8907960558474799</c:v>
                </c:pt>
                <c:pt idx="1121">
                  <c:v>3.8980791264158099</c:v>
                </c:pt>
                <c:pt idx="1122">
                  <c:v>3.8661536783504897</c:v>
                </c:pt>
                <c:pt idx="1123">
                  <c:v>3.85929906757013</c:v>
                </c:pt>
                <c:pt idx="1124">
                  <c:v>3.8847251218972603</c:v>
                </c:pt>
                <c:pt idx="1125">
                  <c:v>3.8839539808035299</c:v>
                </c:pt>
                <c:pt idx="1126">
                  <c:v>3.80501655996237</c:v>
                </c:pt>
                <c:pt idx="1127">
                  <c:v>3.7754673173612701</c:v>
                </c:pt>
                <c:pt idx="1128">
                  <c:v>3.84876514567279</c:v>
                </c:pt>
                <c:pt idx="1129">
                  <c:v>3.8660953344804998</c:v>
                </c:pt>
                <c:pt idx="1130">
                  <c:v>3.82914869998024</c:v>
                </c:pt>
                <c:pt idx="1131">
                  <c:v>3.7806857532494602</c:v>
                </c:pt>
                <c:pt idx="1132">
                  <c:v>3.83248422061091</c:v>
                </c:pt>
                <c:pt idx="1133">
                  <c:v>3.7466356292115597</c:v>
                </c:pt>
                <c:pt idx="1134">
                  <c:v>3.7970308184098198</c:v>
                </c:pt>
                <c:pt idx="1135">
                  <c:v>3.8522362368974599</c:v>
                </c:pt>
                <c:pt idx="1136">
                  <c:v>3.87297091779527</c:v>
                </c:pt>
                <c:pt idx="1137">
                  <c:v>3.8464311022538999</c:v>
                </c:pt>
                <c:pt idx="1138">
                  <c:v>3.8703458625735898</c:v>
                </c:pt>
                <c:pt idx="1139">
                  <c:v>3.7820615328214195</c:v>
                </c:pt>
                <c:pt idx="1140">
                  <c:v>3.7520435366250897</c:v>
                </c:pt>
                <c:pt idx="1141">
                  <c:v>3.72665654576641</c:v>
                </c:pt>
                <c:pt idx="1142">
                  <c:v>3.6822196680546497</c:v>
                </c:pt>
                <c:pt idx="1143">
                  <c:v>3.8002530281615199</c:v>
                </c:pt>
                <c:pt idx="1144">
                  <c:v>3.7909417671472703</c:v>
                </c:pt>
                <c:pt idx="1145">
                  <c:v>3.78769325217554</c:v>
                </c:pt>
                <c:pt idx="1146">
                  <c:v>3.7922289499562303</c:v>
                </c:pt>
                <c:pt idx="1147">
                  <c:v>3.81359456123407</c:v>
                </c:pt>
                <c:pt idx="1148">
                  <c:v>3.78882748728457</c:v>
                </c:pt>
                <c:pt idx="1149">
                  <c:v>3.8055636825910399</c:v>
                </c:pt>
                <c:pt idx="1150">
                  <c:v>3.7746599617798102</c:v>
                </c:pt>
                <c:pt idx="1151">
                  <c:v>3.7484449652910303</c:v>
                </c:pt>
                <c:pt idx="1152">
                  <c:v>3.7882332606684797</c:v>
                </c:pt>
                <c:pt idx="1153">
                  <c:v>3.80148187110307</c:v>
                </c:pt>
                <c:pt idx="1154">
                  <c:v>3.8314535081480798</c:v>
                </c:pt>
                <c:pt idx="1155">
                  <c:v>3.8141951019543301</c:v>
                </c:pt>
                <c:pt idx="1156">
                  <c:v>3.8067355863174499</c:v>
                </c:pt>
                <c:pt idx="1157">
                  <c:v>3.88994143085137</c:v>
                </c:pt>
                <c:pt idx="1158">
                  <c:v>3.8546490191582801</c:v>
                </c:pt>
                <c:pt idx="1159">
                  <c:v>3.7566067972202699</c:v>
                </c:pt>
                <c:pt idx="1160">
                  <c:v>3.69827505987252</c:v>
                </c:pt>
                <c:pt idx="1161">
                  <c:v>3.7768516180982799</c:v>
                </c:pt>
                <c:pt idx="1162">
                  <c:v>3.72142207962353</c:v>
                </c:pt>
                <c:pt idx="1163">
                  <c:v>3.78275442043646</c:v>
                </c:pt>
                <c:pt idx="1164">
                  <c:v>3.7805288726990298</c:v>
                </c:pt>
                <c:pt idx="1165">
                  <c:v>3.8080100083333801</c:v>
                </c:pt>
                <c:pt idx="1166">
                  <c:v>3.7638941775519901</c:v>
                </c:pt>
                <c:pt idx="1167">
                  <c:v>3.7217109454242898</c:v>
                </c:pt>
                <c:pt idx="1168">
                  <c:v>3.7040977351488498</c:v>
                </c:pt>
                <c:pt idx="1169">
                  <c:v>3.68060915603087</c:v>
                </c:pt>
                <c:pt idx="1170">
                  <c:v>3.6318323841710498</c:v>
                </c:pt>
                <c:pt idx="1171">
                  <c:v>3.6756201525562999</c:v>
                </c:pt>
                <c:pt idx="1172">
                  <c:v>3.6592310149498797</c:v>
                </c:pt>
                <c:pt idx="1173">
                  <c:v>3.6683828074309499</c:v>
                </c:pt>
                <c:pt idx="1174">
                  <c:v>3.7131494220069698</c:v>
                </c:pt>
                <c:pt idx="1175">
                  <c:v>3.7148475660693601</c:v>
                </c:pt>
                <c:pt idx="1176">
                  <c:v>3.6874799900544</c:v>
                </c:pt>
                <c:pt idx="1177">
                  <c:v>3.6459184797114998</c:v>
                </c:pt>
                <c:pt idx="1178">
                  <c:v>3.66825881973518</c:v>
                </c:pt>
                <c:pt idx="1179">
                  <c:v>3.6712877317211201</c:v>
                </c:pt>
                <c:pt idx="1180">
                  <c:v>3.6730170566982001</c:v>
                </c:pt>
                <c:pt idx="1181">
                  <c:v>3.7107498931757701</c:v>
                </c:pt>
                <c:pt idx="1182">
                  <c:v>3.6913302626937101</c:v>
                </c:pt>
                <c:pt idx="1183">
                  <c:v>3.6640182213119501</c:v>
                </c:pt>
                <c:pt idx="1184">
                  <c:v>3.71792932893183</c:v>
                </c:pt>
                <c:pt idx="1185">
                  <c:v>3.7025115424349502</c:v>
                </c:pt>
                <c:pt idx="1186">
                  <c:v>3.6706372650670502</c:v>
                </c:pt>
                <c:pt idx="1187">
                  <c:v>3.7029535292124605</c:v>
                </c:pt>
                <c:pt idx="1188">
                  <c:v>3.7831844710518396</c:v>
                </c:pt>
                <c:pt idx="1189">
                  <c:v>3.7515595865455902</c:v>
                </c:pt>
                <c:pt idx="1190">
                  <c:v>3.7721883047927802</c:v>
                </c:pt>
                <c:pt idx="1191">
                  <c:v>3.8054398692453804</c:v>
                </c:pt>
                <c:pt idx="1192">
                  <c:v>3.82048916746679</c:v>
                </c:pt>
                <c:pt idx="1193">
                  <c:v>3.8252288193832502</c:v>
                </c:pt>
                <c:pt idx="1194">
                  <c:v>3.89912412943396</c:v>
                </c:pt>
                <c:pt idx="1195">
                  <c:v>3.9258975330433303</c:v>
                </c:pt>
                <c:pt idx="1196">
                  <c:v>3.9003230574818901</c:v>
                </c:pt>
                <c:pt idx="1197">
                  <c:v>3.9177852948748102</c:v>
                </c:pt>
                <c:pt idx="1198">
                  <c:v>3.8794553306891602</c:v>
                </c:pt>
                <c:pt idx="1199">
                  <c:v>3.87246990166248</c:v>
                </c:pt>
                <c:pt idx="1200">
                  <c:v>3.8591837532520903</c:v>
                </c:pt>
                <c:pt idx="1201">
                  <c:v>3.8485872764795501</c:v>
                </c:pt>
                <c:pt idx="1202">
                  <c:v>3.8261086030932301</c:v>
                </c:pt>
                <c:pt idx="1203">
                  <c:v>3.8472461060804499</c:v>
                </c:pt>
                <c:pt idx="1204">
                  <c:v>3.84774022768271</c:v>
                </c:pt>
                <c:pt idx="1205">
                  <c:v>3.8419796254600502</c:v>
                </c:pt>
                <c:pt idx="1206">
                  <c:v>3.8738759718330802</c:v>
                </c:pt>
                <c:pt idx="1207">
                  <c:v>3.8666767576716903</c:v>
                </c:pt>
                <c:pt idx="1208">
                  <c:v>3.8513441968602202</c:v>
                </c:pt>
                <c:pt idx="1209">
                  <c:v>3.7986067801443202</c:v>
                </c:pt>
                <c:pt idx="1210">
                  <c:v>3.8161702750462001</c:v>
                </c:pt>
                <c:pt idx="1211">
                  <c:v>3.9540415949029599</c:v>
                </c:pt>
                <c:pt idx="1212">
                  <c:v>3.8962491114712199</c:v>
                </c:pt>
                <c:pt idx="1213">
                  <c:v>3.8495096170501601</c:v>
                </c:pt>
                <c:pt idx="1214">
                  <c:v>3.87453822688162</c:v>
                </c:pt>
                <c:pt idx="1215">
                  <c:v>3.8215860390557999</c:v>
                </c:pt>
                <c:pt idx="1216">
                  <c:v>3.8606576097112799</c:v>
                </c:pt>
                <c:pt idx="1217">
                  <c:v>3.79351753873327</c:v>
                </c:pt>
                <c:pt idx="1218">
                  <c:v>3.8588215471864102</c:v>
                </c:pt>
                <c:pt idx="1219">
                  <c:v>3.8908842525368299</c:v>
                </c:pt>
                <c:pt idx="1220">
                  <c:v>3.90669324917434</c:v>
                </c:pt>
                <c:pt idx="1221">
                  <c:v>3.86684051158465</c:v>
                </c:pt>
                <c:pt idx="1222">
                  <c:v>3.8384317139851403</c:v>
                </c:pt>
                <c:pt idx="1223">
                  <c:v>3.8461036356640603</c:v>
                </c:pt>
                <c:pt idx="1224">
                  <c:v>3.8907459517552003</c:v>
                </c:pt>
                <c:pt idx="1225">
                  <c:v>3.9040510445796102</c:v>
                </c:pt>
                <c:pt idx="1226">
                  <c:v>3.8890196834066102</c:v>
                </c:pt>
                <c:pt idx="1227">
                  <c:v>3.8644074654734299</c:v>
                </c:pt>
                <c:pt idx="1228">
                  <c:v>3.91883130993283</c:v>
                </c:pt>
                <c:pt idx="1229">
                  <c:v>3.9243627128524698</c:v>
                </c:pt>
                <c:pt idx="1230">
                  <c:v>3.8812920342817199</c:v>
                </c:pt>
                <c:pt idx="1231">
                  <c:v>3.8693553111970003</c:v>
                </c:pt>
                <c:pt idx="1232">
                  <c:v>3.8710399052096802</c:v>
                </c:pt>
                <c:pt idx="1233">
                  <c:v>3.8215555471837597</c:v>
                </c:pt>
                <c:pt idx="1234">
                  <c:v>3.80010572689896</c:v>
                </c:pt>
                <c:pt idx="1235">
                  <c:v>3.7736118348183103</c:v>
                </c:pt>
                <c:pt idx="1236">
                  <c:v>3.7859892579891001</c:v>
                </c:pt>
                <c:pt idx="1237">
                  <c:v>3.7306289159513799</c:v>
                </c:pt>
                <c:pt idx="1238">
                  <c:v>3.7626922052470699</c:v>
                </c:pt>
                <c:pt idx="1239">
                  <c:v>3.7755768100323901</c:v>
                </c:pt>
                <c:pt idx="1240">
                  <c:v>3.7324560384958301</c:v>
                </c:pt>
                <c:pt idx="1241">
                  <c:v>3.7382765206031801</c:v>
                </c:pt>
                <c:pt idx="1242">
                  <c:v>3.6658428763210349</c:v>
                </c:pt>
                <c:pt idx="1243">
                  <c:v>#N/A</c:v>
                </c:pt>
                <c:pt idx="1244">
                  <c:v>3.7143381053920752</c:v>
                </c:pt>
                <c:pt idx="1245">
                  <c:v>3.6960602348210454</c:v>
                </c:pt>
                <c:pt idx="1246">
                  <c:v>3.6575305725738048</c:v>
                </c:pt>
                <c:pt idx="1247">
                  <c:v>3.6615874994095252</c:v>
                </c:pt>
                <c:pt idx="1248">
                  <c:v>3.6389326142159839</c:v>
                </c:pt>
                <c:pt idx="1249">
                  <c:v>3.579614717823814</c:v>
                </c:pt>
                <c:pt idx="1250">
                  <c:v>3.6403549522917937</c:v>
                </c:pt>
                <c:pt idx="1251">
                  <c:v>3.549369007834104</c:v>
                </c:pt>
                <c:pt idx="1252">
                  <c:v>3.547173010301174</c:v>
                </c:pt>
                <c:pt idx="1253">
                  <c:v>3.5805140052240199</c:v>
                </c:pt>
                <c:pt idx="1254">
                  <c:v>3.57131498877611</c:v>
                </c:pt>
                <c:pt idx="1255">
                  <c:v>3.4913346571700998</c:v>
                </c:pt>
                <c:pt idx="1256">
                  <c:v>3.4657199370023202</c:v>
                </c:pt>
                <c:pt idx="1257">
                  <c:v>3.4431216100487299</c:v>
                </c:pt>
                <c:pt idx="1258">
                  <c:v>3.4044067717213928</c:v>
                </c:pt>
                <c:pt idx="1259">
                  <c:v>3.5313290068448429</c:v>
                </c:pt>
                <c:pt idx="1260">
                  <c:v>3.537735306970653</c:v>
                </c:pt>
                <c:pt idx="1261">
                  <c:v>3.5789296807124629</c:v>
                </c:pt>
                <c:pt idx="1262">
                  <c:v>3.5317954551809452</c:v>
                </c:pt>
                <c:pt idx="1263">
                  <c:v>3.532456095125295</c:v>
                </c:pt>
                <c:pt idx="1264">
                  <c:v>3.541519650025315</c:v>
                </c:pt>
                <c:pt idx="1265">
                  <c:v>3.523156847457475</c:v>
                </c:pt>
                <c:pt idx="1266">
                  <c:v>3.5040213744159452</c:v>
                </c:pt>
                <c:pt idx="1267">
                  <c:v>3.4745084304693101</c:v>
                </c:pt>
                <c:pt idx="1268">
                  <c:v>3.5368113589050703</c:v>
                </c:pt>
                <c:pt idx="1269">
                  <c:v>3.50825479168493</c:v>
                </c:pt>
                <c:pt idx="1270">
                  <c:v>3.5969116053586903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3066496"/>
        <c:axId val="325167360"/>
      </c:lineChart>
      <c:catAx>
        <c:axId val="323066496"/>
        <c:scaling>
          <c:orientation val="minMax"/>
        </c:scaling>
        <c:delete val="0"/>
        <c:axPos val="b"/>
        <c:numFmt formatCode="m/d;@" sourceLinked="0"/>
        <c:majorTickMark val="out"/>
        <c:minorTickMark val="none"/>
        <c:tickLblPos val="nextTo"/>
        <c:crossAx val="325167360"/>
        <c:crosses val="autoZero"/>
        <c:auto val="1"/>
        <c:lblAlgn val="ctr"/>
        <c:lblOffset val="100"/>
        <c:noMultiLvlLbl val="0"/>
      </c:catAx>
      <c:valAx>
        <c:axId val="325167360"/>
        <c:scaling>
          <c:orientation val="minMax"/>
          <c:min val="3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2306649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519112</xdr:colOff>
      <xdr:row>4</xdr:row>
      <xdr:rowOff>100011</xdr:rowOff>
    </xdr:from>
    <xdr:to>
      <xdr:col>26</xdr:col>
      <xdr:colOff>95250</xdr:colOff>
      <xdr:row>30</xdr:row>
      <xdr:rowOff>47624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name="Query from Agency_10" backgroundRefresh="0" adjustColumnWidth="0" connectionId="1" autoFormatId="16" applyNumberFormats="0" applyBorderFormats="0" applyFontFormats="0" applyPatternFormats="0" applyAlignmentFormats="0" applyWidthHeightFormats="0">
  <queryTableRefresh nextId="64" unboundColumnsRight="1">
    <queryTableFields count="4">
      <queryTableField id="57" name="TickerName" tableColumnId="2"/>
      <queryTableField id="61" name="AsOfDate" tableColumnId="6"/>
      <queryTableField id="62" name="SeriesNumValue" tableColumnId="7"/>
      <queryTableField id="63" dataBound="0" tableColumnId="1"/>
    </queryTableFields>
  </queryTableRefresh>
</queryTable>
</file>

<file path=xl/queryTables/queryTable2.xml><?xml version="1.0" encoding="utf-8"?>
<queryTable xmlns="http://schemas.openxmlformats.org/spreadsheetml/2006/main" name="Query from Agency_11" backgroundRefresh="0" adjustColumnWidth="0" connectionId="2" autoFormatId="16" applyNumberFormats="0" applyBorderFormats="0" applyFontFormats="0" applyPatternFormats="0" applyAlignmentFormats="0" applyWidthHeightFormats="0">
  <queryTableRefresh nextId="74">
    <queryTableFields count="3">
      <queryTableField id="57" name="TickerName" tableColumnId="2"/>
      <queryTableField id="61" name="AsOfDate" tableColumnId="6"/>
      <queryTableField id="62" name="SeriesNumValue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id="1" name="OneWeekMtgRatesDataTable8" displayName="OneWeekMtgRatesDataTable8" ref="A2:D1273" tableType="queryTable" totalsRowShown="0" headerRowDxfId="10" dataDxfId="9">
  <tableColumns count="4">
    <tableColumn id="2" uniqueName="2" name="TickerName" queryTableFieldId="57" dataDxfId="8" dataCellStyle="Normal 2 7"/>
    <tableColumn id="6" uniqueName="6" name="AsOfDate" queryTableFieldId="61" dataDxfId="7" dataCellStyle="Normal 2 7"/>
    <tableColumn id="7" uniqueName="7" name="SeriesNumValue" queryTableFieldId="62" dataDxfId="6" dataCellStyle="Normal 2 7"/>
    <tableColumn id="1" uniqueName="1" name="Mortage Rate" queryTableFieldId="63" dataDxfId="5" dataCellStyle="Normal 2 7">
      <calculatedColumnFormula>VLOOKUP(OneWeekMtgRatesDataTable8[[#This Row],[AsOfDate]],G:H,2,0)+OneWeekMtgRatesDataTable8[[#This Row],[SeriesNumValue]]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OneWeekMtgRatesDataTable83" displayName="OneWeekMtgRatesDataTable83" ref="F2:H1272" tableType="queryTable" totalsRowShown="0" headerRowDxfId="4" dataDxfId="3">
  <tableColumns count="3">
    <tableColumn id="2" uniqueName="2" name="TickerName" queryTableFieldId="57" dataDxfId="2" dataCellStyle="Normal 2 7"/>
    <tableColumn id="6" uniqueName="6" name="AsOfDate" queryTableFieldId="61" dataDxfId="1" dataCellStyle="Normal 2 7"/>
    <tableColumn id="7" uniqueName="7" name="SeriesNumValue" queryTableFieldId="62" dataDxfId="0" dataCellStyle="Normal 2 7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47"/>
  <sheetViews>
    <sheetView tabSelected="1" workbookViewId="0">
      <selection activeCell="L2" sqref="L2"/>
    </sheetView>
  </sheetViews>
  <sheetFormatPr defaultRowHeight="15" x14ac:dyDescent="0.25"/>
  <cols>
    <col min="1" max="1" width="15.140625" bestFit="1" customWidth="1"/>
    <col min="2" max="2" width="10.140625" bestFit="1" customWidth="1"/>
    <col min="3" max="3" width="14.140625" bestFit="1" customWidth="1"/>
    <col min="6" max="6" width="15.7109375" bestFit="1" customWidth="1"/>
    <col min="7" max="7" width="10.140625" bestFit="1" customWidth="1"/>
    <col min="8" max="8" width="14.140625" bestFit="1" customWidth="1"/>
    <col min="11" max="11" width="10.7109375" bestFit="1" customWidth="1"/>
  </cols>
  <sheetData>
    <row r="1" spans="1:12" x14ac:dyDescent="0.25">
      <c r="A1" t="s">
        <v>1276</v>
      </c>
      <c r="F1" t="s">
        <v>4</v>
      </c>
      <c r="L1" t="s">
        <v>1279</v>
      </c>
    </row>
    <row r="2" spans="1:12" x14ac:dyDescent="0.25">
      <c r="A2" s="1" t="s">
        <v>0</v>
      </c>
      <c r="B2" s="1" t="s">
        <v>1</v>
      </c>
      <c r="C2" s="1" t="s">
        <v>2</v>
      </c>
      <c r="D2" s="3" t="s">
        <v>1278</v>
      </c>
      <c r="F2" s="1" t="s">
        <v>0</v>
      </c>
      <c r="G2" s="1" t="s">
        <v>1</v>
      </c>
      <c r="H2" s="1" t="s">
        <v>2</v>
      </c>
      <c r="K2" s="4">
        <v>40168</v>
      </c>
      <c r="L2">
        <v>4.9749999999999996</v>
      </c>
    </row>
    <row r="3" spans="1:12" x14ac:dyDescent="0.25">
      <c r="A3" s="1" t="s">
        <v>5</v>
      </c>
      <c r="B3" s="1" t="s">
        <v>6</v>
      </c>
      <c r="C3" s="1">
        <v>4.2330193845594</v>
      </c>
      <c r="D3" s="2">
        <f>VLOOKUP(OneWeekMtgRatesDataTable8[[#This Row],[AsOfDate]],G:H,2,0)+OneWeekMtgRatesDataTable8[[#This Row],[SeriesNumValue]]</f>
        <v>4.7634863325593999</v>
      </c>
      <c r="F3" s="1" t="s">
        <v>1277</v>
      </c>
      <c r="G3" s="1" t="s">
        <v>6</v>
      </c>
      <c r="H3" s="1">
        <v>0.53046694800000005</v>
      </c>
      <c r="K3" s="4">
        <v>40169</v>
      </c>
      <c r="L3">
        <v>4.9749999999999996</v>
      </c>
    </row>
    <row r="4" spans="1:12" x14ac:dyDescent="0.25">
      <c r="A4" s="1" t="s">
        <v>5</v>
      </c>
      <c r="B4" s="1" t="s">
        <v>7</v>
      </c>
      <c r="C4" s="1">
        <v>4.28369779454294</v>
      </c>
      <c r="D4" s="2">
        <f>VLOOKUP(OneWeekMtgRatesDataTable8[[#This Row],[AsOfDate]],G:H,2,0)+OneWeekMtgRatesDataTable8[[#This Row],[SeriesNumValue]]</f>
        <v>4.8401784895429403</v>
      </c>
      <c r="F4" s="1" t="s">
        <v>1277</v>
      </c>
      <c r="G4" s="1" t="s">
        <v>7</v>
      </c>
      <c r="H4" s="1">
        <v>0.55648069499999997</v>
      </c>
      <c r="K4" s="4">
        <v>40170</v>
      </c>
      <c r="L4">
        <v>4.9749999999999996</v>
      </c>
    </row>
    <row r="5" spans="1:12" x14ac:dyDescent="0.25">
      <c r="A5" s="1" t="s">
        <v>5</v>
      </c>
      <c r="B5" s="1" t="s">
        <v>8</v>
      </c>
      <c r="C5" s="1">
        <v>4.3267547753136801</v>
      </c>
      <c r="D5" s="2">
        <f>VLOOKUP(OneWeekMtgRatesDataTable8[[#This Row],[AsOfDate]],G:H,2,0)+OneWeekMtgRatesDataTable8[[#This Row],[SeriesNumValue]]</f>
        <v>4.8832354703136804</v>
      </c>
      <c r="F5" s="1" t="s">
        <v>1277</v>
      </c>
      <c r="G5" s="1" t="s">
        <v>8</v>
      </c>
      <c r="H5" s="1">
        <v>0.55648069499999997</v>
      </c>
      <c r="K5" s="4">
        <v>40171</v>
      </c>
      <c r="L5">
        <v>5.0650000000000004</v>
      </c>
    </row>
    <row r="6" spans="1:12" x14ac:dyDescent="0.25">
      <c r="A6" s="1" t="s">
        <v>5</v>
      </c>
      <c r="B6" s="1" t="s">
        <v>9</v>
      </c>
      <c r="C6" s="1">
        <v>4.3946942714157897</v>
      </c>
      <c r="D6" s="2">
        <f>VLOOKUP(OneWeekMtgRatesDataTable8[[#This Row],[AsOfDate]],G:H,2,0)+OneWeekMtgRatesDataTable8[[#This Row],[SeriesNumValue]]</f>
        <v>4.95117496641579</v>
      </c>
      <c r="F6" s="1" t="s">
        <v>1277</v>
      </c>
      <c r="G6" s="1" t="s">
        <v>9</v>
      </c>
      <c r="H6" s="1">
        <v>0.55648069499999997</v>
      </c>
      <c r="K6" s="4">
        <v>40175</v>
      </c>
      <c r="L6">
        <v>5.0650000000000004</v>
      </c>
    </row>
    <row r="7" spans="1:12" x14ac:dyDescent="0.25">
      <c r="A7" s="1" t="s">
        <v>5</v>
      </c>
      <c r="B7" s="1" t="s">
        <v>10</v>
      </c>
      <c r="C7" s="1">
        <v>4.4120235680825504</v>
      </c>
      <c r="D7" s="2">
        <f>VLOOKUP(OneWeekMtgRatesDataTable8[[#This Row],[AsOfDate]],G:H,2,0)+OneWeekMtgRatesDataTable8[[#This Row],[SeriesNumValue]]</f>
        <v>4.9685042630825507</v>
      </c>
      <c r="F7" s="1" t="s">
        <v>1277</v>
      </c>
      <c r="G7" s="1" t="s">
        <v>10</v>
      </c>
      <c r="H7" s="1">
        <v>0.55648069499999997</v>
      </c>
      <c r="K7" s="4">
        <v>40176</v>
      </c>
      <c r="L7">
        <v>5.0650000000000004</v>
      </c>
    </row>
    <row r="8" spans="1:12" x14ac:dyDescent="0.25">
      <c r="A8" s="1" t="s">
        <v>5</v>
      </c>
      <c r="B8" s="1" t="s">
        <v>11</v>
      </c>
      <c r="C8" s="1">
        <v>4.4871263560303003</v>
      </c>
      <c r="D8" s="2">
        <f>VLOOKUP(OneWeekMtgRatesDataTable8[[#This Row],[AsOfDate]],G:H,2,0)+OneWeekMtgRatesDataTable8[[#This Row],[SeriesNumValue]]</f>
        <v>5.0436070510303006</v>
      </c>
      <c r="F8" s="1" t="s">
        <v>1277</v>
      </c>
      <c r="G8" s="1" t="s">
        <v>11</v>
      </c>
      <c r="H8" s="1">
        <v>0.55648069499999997</v>
      </c>
      <c r="K8" s="4">
        <v>40177</v>
      </c>
      <c r="L8">
        <v>5.0650000000000004</v>
      </c>
    </row>
    <row r="9" spans="1:12" x14ac:dyDescent="0.25">
      <c r="A9" s="1" t="s">
        <v>5</v>
      </c>
      <c r="B9" s="1" t="s">
        <v>12</v>
      </c>
      <c r="C9" s="1">
        <v>4.4529420360272596</v>
      </c>
      <c r="D9" s="2">
        <f>VLOOKUP(OneWeekMtgRatesDataTable8[[#This Row],[AsOfDate]],G:H,2,0)+OneWeekMtgRatesDataTable8[[#This Row],[SeriesNumValue]]</f>
        <v>5.0132338350272594</v>
      </c>
      <c r="F9" s="1" t="s">
        <v>1277</v>
      </c>
      <c r="G9" s="1" t="s">
        <v>12</v>
      </c>
      <c r="H9" s="1">
        <v>0.56029179900000003</v>
      </c>
      <c r="K9" s="4">
        <v>40178</v>
      </c>
      <c r="L9">
        <v>5.0149999999999997</v>
      </c>
    </row>
    <row r="10" spans="1:12" x14ac:dyDescent="0.25">
      <c r="A10" s="1" t="s">
        <v>5</v>
      </c>
      <c r="B10" s="1" t="s">
        <v>13</v>
      </c>
      <c r="C10" s="1">
        <v>4.5012486389065298</v>
      </c>
      <c r="D10" s="2">
        <f>VLOOKUP(OneWeekMtgRatesDataTable8[[#This Row],[AsOfDate]],G:H,2,0)+OneWeekMtgRatesDataTable8[[#This Row],[SeriesNumValue]]</f>
        <v>5.0615404379065296</v>
      </c>
      <c r="F10" s="1" t="s">
        <v>1277</v>
      </c>
      <c r="G10" s="1" t="s">
        <v>13</v>
      </c>
      <c r="H10" s="1">
        <v>0.56029179900000003</v>
      </c>
      <c r="K10" s="4">
        <v>40182</v>
      </c>
      <c r="L10">
        <v>5.0149999999999997</v>
      </c>
    </row>
    <row r="11" spans="1:12" x14ac:dyDescent="0.25">
      <c r="A11" s="1" t="s">
        <v>5</v>
      </c>
      <c r="B11" s="1" t="s">
        <v>14</v>
      </c>
      <c r="C11" s="1">
        <v>4.4343090035877397</v>
      </c>
      <c r="D11" s="2">
        <f>VLOOKUP(OneWeekMtgRatesDataTable8[[#This Row],[AsOfDate]],G:H,2,0)+OneWeekMtgRatesDataTable8[[#This Row],[SeriesNumValue]]</f>
        <v>4.9946008025877395</v>
      </c>
      <c r="F11" s="1" t="s">
        <v>1277</v>
      </c>
      <c r="G11" s="1" t="s">
        <v>14</v>
      </c>
      <c r="H11" s="1">
        <v>0.56029179900000003</v>
      </c>
      <c r="K11" s="4">
        <v>40183</v>
      </c>
      <c r="L11">
        <v>5.0149999999999997</v>
      </c>
    </row>
    <row r="12" spans="1:12" x14ac:dyDescent="0.25">
      <c r="A12" s="1" t="s">
        <v>5</v>
      </c>
      <c r="B12" s="1" t="s">
        <v>15</v>
      </c>
      <c r="C12" s="1">
        <v>4.3931467669702702</v>
      </c>
      <c r="D12" s="2">
        <f>VLOOKUP(OneWeekMtgRatesDataTable8[[#This Row],[AsOfDate]],G:H,2,0)+OneWeekMtgRatesDataTable8[[#This Row],[SeriesNumValue]]</f>
        <v>4.95343856597027</v>
      </c>
      <c r="F12" s="1" t="s">
        <v>1277</v>
      </c>
      <c r="G12" s="1" t="s">
        <v>15</v>
      </c>
      <c r="H12" s="1">
        <v>0.56029179900000003</v>
      </c>
      <c r="K12" s="4">
        <v>40184</v>
      </c>
      <c r="L12">
        <v>5.0149999999999997</v>
      </c>
    </row>
    <row r="13" spans="1:12" x14ac:dyDescent="0.25">
      <c r="A13" s="1" t="s">
        <v>5</v>
      </c>
      <c r="B13" s="1" t="s">
        <v>16</v>
      </c>
      <c r="C13" s="1">
        <v>4.3851093392960596</v>
      </c>
      <c r="D13" s="2">
        <f>VLOOKUP(OneWeekMtgRatesDataTable8[[#This Row],[AsOfDate]],G:H,2,0)+OneWeekMtgRatesDataTable8[[#This Row],[SeriesNumValue]]</f>
        <v>4.9454011382960594</v>
      </c>
      <c r="F13" s="1" t="s">
        <v>1277</v>
      </c>
      <c r="G13" s="1" t="s">
        <v>16</v>
      </c>
      <c r="H13" s="1">
        <v>0.56029179900000003</v>
      </c>
      <c r="K13" s="4">
        <v>40185</v>
      </c>
      <c r="L13">
        <v>4.9850000000000003</v>
      </c>
    </row>
    <row r="14" spans="1:12" x14ac:dyDescent="0.25">
      <c r="A14" s="1" t="s">
        <v>5</v>
      </c>
      <c r="B14" s="1" t="s">
        <v>17</v>
      </c>
      <c r="C14" s="1">
        <v>4.3989620429497798</v>
      </c>
      <c r="D14" s="2">
        <f>VLOOKUP(OneWeekMtgRatesDataTable8[[#This Row],[AsOfDate]],G:H,2,0)+OneWeekMtgRatesDataTable8[[#This Row],[SeriesNumValue]]</f>
        <v>4.9014068849497798</v>
      </c>
      <c r="F14" s="1" t="s">
        <v>1277</v>
      </c>
      <c r="G14" s="1" t="s">
        <v>17</v>
      </c>
      <c r="H14" s="1">
        <v>0.50244484199999995</v>
      </c>
      <c r="K14" s="4">
        <v>40186</v>
      </c>
      <c r="L14">
        <v>4.9850000000000003</v>
      </c>
    </row>
    <row r="15" spans="1:12" x14ac:dyDescent="0.25">
      <c r="A15" s="1" t="s">
        <v>5</v>
      </c>
      <c r="B15" s="1" t="s">
        <v>18</v>
      </c>
      <c r="C15" s="1">
        <v>4.3504406978742196</v>
      </c>
      <c r="D15" s="2">
        <f>VLOOKUP(OneWeekMtgRatesDataTable8[[#This Row],[AsOfDate]],G:H,2,0)+OneWeekMtgRatesDataTable8[[#This Row],[SeriesNumValue]]</f>
        <v>4.8528855398742197</v>
      </c>
      <c r="F15" s="1" t="s">
        <v>1277</v>
      </c>
      <c r="G15" s="1" t="s">
        <v>18</v>
      </c>
      <c r="H15" s="1">
        <v>0.50244484199999995</v>
      </c>
      <c r="K15" s="4">
        <v>40189</v>
      </c>
      <c r="L15">
        <v>4.9850000000000003</v>
      </c>
    </row>
    <row r="16" spans="1:12" x14ac:dyDescent="0.25">
      <c r="A16" s="1" t="s">
        <v>5</v>
      </c>
      <c r="B16" s="1" t="s">
        <v>19</v>
      </c>
      <c r="C16" s="1">
        <v>4.3663894001401404</v>
      </c>
      <c r="D16" s="2">
        <f>VLOOKUP(OneWeekMtgRatesDataTable8[[#This Row],[AsOfDate]],G:H,2,0)+OneWeekMtgRatesDataTable8[[#This Row],[SeriesNumValue]]</f>
        <v>4.8688342421401405</v>
      </c>
      <c r="F16" s="1" t="s">
        <v>1277</v>
      </c>
      <c r="G16" s="1" t="s">
        <v>19</v>
      </c>
      <c r="H16" s="1">
        <v>0.50244484199999995</v>
      </c>
      <c r="K16" s="4">
        <v>40190</v>
      </c>
      <c r="L16">
        <v>4.9850000000000003</v>
      </c>
    </row>
    <row r="17" spans="1:12" x14ac:dyDescent="0.25">
      <c r="A17" s="1" t="s">
        <v>5</v>
      </c>
      <c r="B17" s="1" t="s">
        <v>20</v>
      </c>
      <c r="C17" s="1">
        <v>4.2999787872892696</v>
      </c>
      <c r="D17" s="2">
        <f>VLOOKUP(OneWeekMtgRatesDataTable8[[#This Row],[AsOfDate]],G:H,2,0)+OneWeekMtgRatesDataTable8[[#This Row],[SeriesNumValue]]</f>
        <v>4.8024236292892697</v>
      </c>
      <c r="F17" s="1" t="s">
        <v>1277</v>
      </c>
      <c r="G17" s="1" t="s">
        <v>20</v>
      </c>
      <c r="H17" s="1">
        <v>0.50244484199999995</v>
      </c>
      <c r="K17" s="4">
        <v>40191</v>
      </c>
      <c r="L17">
        <v>4.9850000000000003</v>
      </c>
    </row>
    <row r="18" spans="1:12" x14ac:dyDescent="0.25">
      <c r="A18" s="1" t="s">
        <v>5</v>
      </c>
      <c r="B18" s="1" t="s">
        <v>21</v>
      </c>
      <c r="C18" s="1">
        <v>4.3068603066225304</v>
      </c>
      <c r="D18" s="2">
        <f>VLOOKUP(OneWeekMtgRatesDataTable8[[#This Row],[AsOfDate]],G:H,2,0)+OneWeekMtgRatesDataTable8[[#This Row],[SeriesNumValue]]</f>
        <v>4.8259430086225308</v>
      </c>
      <c r="F18" s="1" t="s">
        <v>1277</v>
      </c>
      <c r="G18" s="1" t="s">
        <v>21</v>
      </c>
      <c r="H18" s="1">
        <v>0.51908270199999995</v>
      </c>
      <c r="K18" s="4">
        <v>40192</v>
      </c>
      <c r="L18">
        <v>4.915</v>
      </c>
    </row>
    <row r="19" spans="1:12" x14ac:dyDescent="0.25">
      <c r="A19" s="1" t="s">
        <v>5</v>
      </c>
      <c r="B19" s="1" t="s">
        <v>22</v>
      </c>
      <c r="C19" s="1">
        <v>4.2636232083898697</v>
      </c>
      <c r="D19" s="2">
        <f>VLOOKUP(OneWeekMtgRatesDataTable8[[#This Row],[AsOfDate]],G:H,2,0)+OneWeekMtgRatesDataTable8[[#This Row],[SeriesNumValue]]</f>
        <v>4.7827059103898701</v>
      </c>
      <c r="F19" s="1" t="s">
        <v>1277</v>
      </c>
      <c r="G19" s="1" t="s">
        <v>22</v>
      </c>
      <c r="H19" s="1">
        <v>0.51908270199999995</v>
      </c>
      <c r="K19" s="4">
        <v>40193</v>
      </c>
      <c r="L19">
        <v>4.915</v>
      </c>
    </row>
    <row r="20" spans="1:12" x14ac:dyDescent="0.25">
      <c r="A20" s="1" t="s">
        <v>5</v>
      </c>
      <c r="B20" s="1" t="s">
        <v>23</v>
      </c>
      <c r="C20" s="1">
        <v>4.24966898318924</v>
      </c>
      <c r="D20" s="2">
        <f>VLOOKUP(OneWeekMtgRatesDataTable8[[#This Row],[AsOfDate]],G:H,2,0)+OneWeekMtgRatesDataTable8[[#This Row],[SeriesNumValue]]</f>
        <v>4.7687516851892404</v>
      </c>
      <c r="F20" s="1" t="s">
        <v>1277</v>
      </c>
      <c r="G20" s="1" t="s">
        <v>23</v>
      </c>
      <c r="H20" s="1">
        <v>0.51908270199999995</v>
      </c>
      <c r="K20" s="4">
        <v>40197</v>
      </c>
      <c r="L20">
        <v>4.915</v>
      </c>
    </row>
    <row r="21" spans="1:12" x14ac:dyDescent="0.25">
      <c r="A21" s="1" t="s">
        <v>5</v>
      </c>
      <c r="B21" s="1" t="s">
        <v>24</v>
      </c>
      <c r="C21" s="1">
        <v>4.23083224039922</v>
      </c>
      <c r="D21" s="2">
        <f>VLOOKUP(OneWeekMtgRatesDataTable8[[#This Row],[AsOfDate]],G:H,2,0)+OneWeekMtgRatesDataTable8[[#This Row],[SeriesNumValue]]</f>
        <v>4.7499149423992204</v>
      </c>
      <c r="F21" s="1" t="s">
        <v>1277</v>
      </c>
      <c r="G21" s="1" t="s">
        <v>24</v>
      </c>
      <c r="H21" s="1">
        <v>0.51908270199999995</v>
      </c>
      <c r="K21" s="4">
        <v>40198</v>
      </c>
      <c r="L21">
        <v>4.915</v>
      </c>
    </row>
    <row r="22" spans="1:12" x14ac:dyDescent="0.25">
      <c r="A22" s="1" t="s">
        <v>5</v>
      </c>
      <c r="B22" s="1" t="s">
        <v>25</v>
      </c>
      <c r="C22" s="1">
        <v>4.2366916114708397</v>
      </c>
      <c r="D22" s="2">
        <f>VLOOKUP(OneWeekMtgRatesDataTable8[[#This Row],[AsOfDate]],G:H,2,0)+OneWeekMtgRatesDataTable8[[#This Row],[SeriesNumValue]]</f>
        <v>4.7557743134708392</v>
      </c>
      <c r="F22" s="1" t="s">
        <v>1277</v>
      </c>
      <c r="G22" s="1" t="s">
        <v>25</v>
      </c>
      <c r="H22" s="1">
        <v>0.51908270199999995</v>
      </c>
      <c r="K22" s="4">
        <v>40199</v>
      </c>
      <c r="L22">
        <v>4.88</v>
      </c>
    </row>
    <row r="23" spans="1:12" x14ac:dyDescent="0.25">
      <c r="A23" s="1" t="s">
        <v>5</v>
      </c>
      <c r="B23" s="1" t="s">
        <v>26</v>
      </c>
      <c r="C23" s="1">
        <v>4.2791501508107297</v>
      </c>
      <c r="D23" s="2">
        <f>VLOOKUP(OneWeekMtgRatesDataTable8[[#This Row],[AsOfDate]],G:H,2,0)+OneWeekMtgRatesDataTable8[[#This Row],[SeriesNumValue]]</f>
        <v>4.8221569118107297</v>
      </c>
      <c r="F23" s="1" t="s">
        <v>1277</v>
      </c>
      <c r="G23" s="1" t="s">
        <v>26</v>
      </c>
      <c r="H23" s="1">
        <v>0.543006761</v>
      </c>
      <c r="K23" s="4">
        <v>40200</v>
      </c>
      <c r="L23">
        <v>4.88</v>
      </c>
    </row>
    <row r="24" spans="1:12" x14ac:dyDescent="0.25">
      <c r="A24" s="1" t="s">
        <v>5</v>
      </c>
      <c r="B24" s="1" t="s">
        <v>27</v>
      </c>
      <c r="C24" s="1">
        <v>4.3559011648520096</v>
      </c>
      <c r="D24" s="2">
        <f>VLOOKUP(OneWeekMtgRatesDataTable8[[#This Row],[AsOfDate]],G:H,2,0)+OneWeekMtgRatesDataTable8[[#This Row],[SeriesNumValue]]</f>
        <v>4.8989079258520096</v>
      </c>
      <c r="F24" s="1" t="s">
        <v>1277</v>
      </c>
      <c r="G24" s="1" t="s">
        <v>27</v>
      </c>
      <c r="H24" s="1">
        <v>0.543006761</v>
      </c>
      <c r="K24" s="4">
        <v>40203</v>
      </c>
      <c r="L24">
        <v>4.88</v>
      </c>
    </row>
    <row r="25" spans="1:12" x14ac:dyDescent="0.25">
      <c r="A25" s="1" t="s">
        <v>5</v>
      </c>
      <c r="B25" s="1" t="s">
        <v>28</v>
      </c>
      <c r="C25" s="1">
        <v>4.2658188568583704</v>
      </c>
      <c r="D25" s="2">
        <f>VLOOKUP(OneWeekMtgRatesDataTable8[[#This Row],[AsOfDate]],G:H,2,0)+OneWeekMtgRatesDataTable8[[#This Row],[SeriesNumValue]]</f>
        <v>4.8088256178583704</v>
      </c>
      <c r="F25" s="1" t="s">
        <v>1277</v>
      </c>
      <c r="G25" s="1" t="s">
        <v>28</v>
      </c>
      <c r="H25" s="1">
        <v>0.543006761</v>
      </c>
      <c r="K25" s="4">
        <v>40204</v>
      </c>
      <c r="L25">
        <v>4.88</v>
      </c>
    </row>
    <row r="26" spans="1:12" x14ac:dyDescent="0.25">
      <c r="A26" s="1" t="s">
        <v>5</v>
      </c>
      <c r="B26" s="1" t="s">
        <v>29</v>
      </c>
      <c r="C26" s="1">
        <v>4.2757251655325801</v>
      </c>
      <c r="D26" s="2">
        <f>VLOOKUP(OneWeekMtgRatesDataTable8[[#This Row],[AsOfDate]],G:H,2,0)+OneWeekMtgRatesDataTable8[[#This Row],[SeriesNumValue]]</f>
        <v>4.8187319265325801</v>
      </c>
      <c r="F26" s="1" t="s">
        <v>1277</v>
      </c>
      <c r="G26" s="1" t="s">
        <v>29</v>
      </c>
      <c r="H26" s="1">
        <v>0.543006761</v>
      </c>
      <c r="K26" s="4">
        <v>40205</v>
      </c>
      <c r="L26">
        <v>4.88</v>
      </c>
    </row>
    <row r="27" spans="1:12" x14ac:dyDescent="0.25">
      <c r="A27" s="1" t="s">
        <v>5</v>
      </c>
      <c r="B27" s="1" t="s">
        <v>30</v>
      </c>
      <c r="C27" s="1">
        <v>4.3121099537916301</v>
      </c>
      <c r="D27" s="2">
        <f>VLOOKUP(OneWeekMtgRatesDataTable8[[#This Row],[AsOfDate]],G:H,2,0)+OneWeekMtgRatesDataTable8[[#This Row],[SeriesNumValue]]</f>
        <v>4.8551167147916301</v>
      </c>
      <c r="F27" s="1" t="s">
        <v>1277</v>
      </c>
      <c r="G27" s="1" t="s">
        <v>30</v>
      </c>
      <c r="H27" s="1">
        <v>0.543006761</v>
      </c>
      <c r="K27" s="4">
        <v>40206</v>
      </c>
      <c r="L27">
        <v>4.9349999999999996</v>
      </c>
    </row>
    <row r="28" spans="1:12" x14ac:dyDescent="0.25">
      <c r="A28" s="1" t="s">
        <v>5</v>
      </c>
      <c r="B28" s="1" t="s">
        <v>31</v>
      </c>
      <c r="C28" s="1">
        <v>4.2484409490171098</v>
      </c>
      <c r="D28" s="2">
        <f>VLOOKUP(OneWeekMtgRatesDataTable8[[#This Row],[AsOfDate]],G:H,2,0)+OneWeekMtgRatesDataTable8[[#This Row],[SeriesNumValue]]</f>
        <v>4.7618417310171095</v>
      </c>
      <c r="F28" s="1" t="s">
        <v>1277</v>
      </c>
      <c r="G28" s="1" t="s">
        <v>31</v>
      </c>
      <c r="H28" s="1">
        <v>0.51340078200000006</v>
      </c>
      <c r="K28" s="4">
        <v>40207</v>
      </c>
      <c r="L28">
        <v>4.9349999999999996</v>
      </c>
    </row>
    <row r="29" spans="1:12" x14ac:dyDescent="0.25">
      <c r="A29" s="1" t="s">
        <v>5</v>
      </c>
      <c r="B29" s="1" t="s">
        <v>32</v>
      </c>
      <c r="C29" s="1">
        <v>4.1984052857638501</v>
      </c>
      <c r="D29" s="2">
        <f>VLOOKUP(OneWeekMtgRatesDataTable8[[#This Row],[AsOfDate]],G:H,2,0)+OneWeekMtgRatesDataTable8[[#This Row],[SeriesNumValue]]</f>
        <v>4.7118060677638498</v>
      </c>
      <c r="F29" s="1" t="s">
        <v>1277</v>
      </c>
      <c r="G29" s="1" t="s">
        <v>32</v>
      </c>
      <c r="H29" s="1">
        <v>0.51340078200000006</v>
      </c>
      <c r="K29" s="4">
        <v>40210</v>
      </c>
      <c r="L29">
        <v>4.9349999999999996</v>
      </c>
    </row>
    <row r="30" spans="1:12" x14ac:dyDescent="0.25">
      <c r="A30" s="1" t="s">
        <v>5</v>
      </c>
      <c r="B30" s="1" t="s">
        <v>33</v>
      </c>
      <c r="C30" s="1">
        <v>4.2139949993879302</v>
      </c>
      <c r="D30" s="2">
        <f>VLOOKUP(OneWeekMtgRatesDataTable8[[#This Row],[AsOfDate]],G:H,2,0)+OneWeekMtgRatesDataTable8[[#This Row],[SeriesNumValue]]</f>
        <v>4.7273957813879299</v>
      </c>
      <c r="F30" s="1" t="s">
        <v>1277</v>
      </c>
      <c r="G30" s="1" t="s">
        <v>33</v>
      </c>
      <c r="H30" s="1">
        <v>0.51340078200000006</v>
      </c>
      <c r="K30" s="4">
        <v>40211</v>
      </c>
      <c r="L30">
        <v>4.9349999999999996</v>
      </c>
    </row>
    <row r="31" spans="1:12" x14ac:dyDescent="0.25">
      <c r="A31" s="1" t="s">
        <v>5</v>
      </c>
      <c r="B31" s="1" t="s">
        <v>34</v>
      </c>
      <c r="C31" s="1">
        <v>4.1795306518075401</v>
      </c>
      <c r="D31" s="2">
        <f>VLOOKUP(OneWeekMtgRatesDataTable8[[#This Row],[AsOfDate]],G:H,2,0)+OneWeekMtgRatesDataTable8[[#This Row],[SeriesNumValue]]</f>
        <v>4.6929314338075399</v>
      </c>
      <c r="F31" s="1" t="s">
        <v>1277</v>
      </c>
      <c r="G31" s="1" t="s">
        <v>34</v>
      </c>
      <c r="H31" s="1">
        <v>0.51340078200000006</v>
      </c>
      <c r="K31" s="4">
        <v>40212</v>
      </c>
      <c r="L31">
        <v>4.9349999999999996</v>
      </c>
    </row>
    <row r="32" spans="1:12" x14ac:dyDescent="0.25">
      <c r="A32" s="1" t="s">
        <v>5</v>
      </c>
      <c r="B32" s="1" t="s">
        <v>35</v>
      </c>
      <c r="C32" s="1">
        <v>4.1729690002093802</v>
      </c>
      <c r="D32" s="2">
        <f>VLOOKUP(OneWeekMtgRatesDataTable8[[#This Row],[AsOfDate]],G:H,2,0)+OneWeekMtgRatesDataTable8[[#This Row],[SeriesNumValue]]</f>
        <v>4.6863697822093799</v>
      </c>
      <c r="F32" s="1" t="s">
        <v>1277</v>
      </c>
      <c r="G32" s="1" t="s">
        <v>35</v>
      </c>
      <c r="H32" s="1">
        <v>0.51340078200000006</v>
      </c>
      <c r="K32" s="4">
        <v>40213</v>
      </c>
      <c r="L32">
        <v>4.8949999999999996</v>
      </c>
    </row>
    <row r="33" spans="1:12" x14ac:dyDescent="0.25">
      <c r="A33" s="1" t="s">
        <v>5</v>
      </c>
      <c r="B33" s="1" t="s">
        <v>36</v>
      </c>
      <c r="C33" s="1">
        <v>4.0816167711617402</v>
      </c>
      <c r="D33" s="2">
        <f>VLOOKUP(OneWeekMtgRatesDataTable8[[#This Row],[AsOfDate]],G:H,2,0)+OneWeekMtgRatesDataTable8[[#This Row],[SeriesNumValue]]</f>
        <v>4.5973134291617406</v>
      </c>
      <c r="F33" s="1" t="s">
        <v>1277</v>
      </c>
      <c r="G33" s="1" t="s">
        <v>36</v>
      </c>
      <c r="H33" s="1">
        <v>0.51569665799999997</v>
      </c>
      <c r="K33" s="4">
        <v>40214</v>
      </c>
      <c r="L33">
        <v>4.8949999999999996</v>
      </c>
    </row>
    <row r="34" spans="1:12" x14ac:dyDescent="0.25">
      <c r="A34" s="1" t="s">
        <v>5</v>
      </c>
      <c r="B34" s="1" t="s">
        <v>37</v>
      </c>
      <c r="C34" s="1">
        <v>4.1072423459751501</v>
      </c>
      <c r="D34" s="2">
        <f>VLOOKUP(OneWeekMtgRatesDataTable8[[#This Row],[AsOfDate]],G:H,2,0)+OneWeekMtgRatesDataTable8[[#This Row],[SeriesNumValue]]</f>
        <v>4.6229390039751497</v>
      </c>
      <c r="F34" s="1" t="s">
        <v>1277</v>
      </c>
      <c r="G34" s="1" t="s">
        <v>37</v>
      </c>
      <c r="H34" s="1">
        <v>0.51569665799999997</v>
      </c>
      <c r="K34" s="4">
        <v>40217</v>
      </c>
      <c r="L34">
        <v>4.8949999999999996</v>
      </c>
    </row>
    <row r="35" spans="1:12" x14ac:dyDescent="0.25">
      <c r="A35" s="1" t="s">
        <v>5</v>
      </c>
      <c r="B35" s="1" t="s">
        <v>38</v>
      </c>
      <c r="C35" s="1">
        <v>4.1111783880134496</v>
      </c>
      <c r="D35" s="2">
        <f>VLOOKUP(OneWeekMtgRatesDataTable8[[#This Row],[AsOfDate]],G:H,2,0)+OneWeekMtgRatesDataTable8[[#This Row],[SeriesNumValue]]</f>
        <v>4.6268750460134491</v>
      </c>
      <c r="F35" s="1" t="s">
        <v>1277</v>
      </c>
      <c r="G35" s="1" t="s">
        <v>38</v>
      </c>
      <c r="H35" s="1">
        <v>0.51569665799999997</v>
      </c>
      <c r="K35" s="4">
        <v>40218</v>
      </c>
      <c r="L35">
        <v>4.8949999999999996</v>
      </c>
    </row>
    <row r="36" spans="1:12" x14ac:dyDescent="0.25">
      <c r="A36" s="1" t="s">
        <v>5</v>
      </c>
      <c r="B36" s="1" t="s">
        <v>39</v>
      </c>
      <c r="C36" s="1">
        <v>4.1633848417706298</v>
      </c>
      <c r="D36" s="2">
        <f>VLOOKUP(OneWeekMtgRatesDataTable8[[#This Row],[AsOfDate]],G:H,2,0)+OneWeekMtgRatesDataTable8[[#This Row],[SeriesNumValue]]</f>
        <v>4.6790814997706303</v>
      </c>
      <c r="F36" s="1" t="s">
        <v>1277</v>
      </c>
      <c r="G36" s="1" t="s">
        <v>39</v>
      </c>
      <c r="H36" s="1">
        <v>0.51569665799999997</v>
      </c>
      <c r="K36" s="4">
        <v>40219</v>
      </c>
      <c r="L36">
        <v>4.8949999999999996</v>
      </c>
    </row>
    <row r="37" spans="1:12" x14ac:dyDescent="0.25">
      <c r="A37" s="1" t="s">
        <v>5</v>
      </c>
      <c r="B37" s="1" t="s">
        <v>40</v>
      </c>
      <c r="C37" s="1">
        <v>4.1893598629654702</v>
      </c>
      <c r="D37" s="2">
        <f>VLOOKUP(OneWeekMtgRatesDataTable8[[#This Row],[AsOfDate]],G:H,2,0)+OneWeekMtgRatesDataTable8[[#This Row],[SeriesNumValue]]</f>
        <v>4.7050565209654707</v>
      </c>
      <c r="F37" s="1" t="s">
        <v>1277</v>
      </c>
      <c r="G37" s="1" t="s">
        <v>40</v>
      </c>
      <c r="H37" s="1">
        <v>0.51569665799999997</v>
      </c>
      <c r="K37" s="4">
        <v>40220</v>
      </c>
      <c r="L37">
        <v>4.8550000000000004</v>
      </c>
    </row>
    <row r="38" spans="1:12" x14ac:dyDescent="0.25">
      <c r="A38" s="1" t="s">
        <v>5</v>
      </c>
      <c r="B38" s="1" t="s">
        <v>41</v>
      </c>
      <c r="C38" s="1">
        <v>4.2092705664772598</v>
      </c>
      <c r="D38" s="2">
        <f>VLOOKUP(OneWeekMtgRatesDataTable8[[#This Row],[AsOfDate]],G:H,2,0)+OneWeekMtgRatesDataTable8[[#This Row],[SeriesNumValue]]</f>
        <v>4.7881833654772601</v>
      </c>
      <c r="F38" s="1" t="s">
        <v>1277</v>
      </c>
      <c r="G38" s="1" t="s">
        <v>41</v>
      </c>
      <c r="H38" s="1">
        <v>0.57891279900000003</v>
      </c>
      <c r="K38" s="4">
        <v>40221</v>
      </c>
      <c r="L38">
        <v>4.8550000000000004</v>
      </c>
    </row>
    <row r="39" spans="1:12" x14ac:dyDescent="0.25">
      <c r="A39" s="1" t="s">
        <v>5</v>
      </c>
      <c r="B39" s="1" t="s">
        <v>42</v>
      </c>
      <c r="C39" s="1">
        <v>4.22853993673895</v>
      </c>
      <c r="D39" s="2">
        <f>VLOOKUP(OneWeekMtgRatesDataTable8[[#This Row],[AsOfDate]],G:H,2,0)+OneWeekMtgRatesDataTable8[[#This Row],[SeriesNumValue]]</f>
        <v>4.8074527357389503</v>
      </c>
      <c r="F39" s="1" t="s">
        <v>1277</v>
      </c>
      <c r="G39" s="1" t="s">
        <v>42</v>
      </c>
      <c r="H39" s="1">
        <v>0.57891279900000003</v>
      </c>
      <c r="K39" s="4">
        <v>40225</v>
      </c>
      <c r="L39">
        <v>4.8550000000000004</v>
      </c>
    </row>
    <row r="40" spans="1:12" x14ac:dyDescent="0.25">
      <c r="A40" s="1" t="s">
        <v>5</v>
      </c>
      <c r="B40" s="1" t="s">
        <v>43</v>
      </c>
      <c r="C40" s="1">
        <v>4.2607943289152903</v>
      </c>
      <c r="D40" s="2">
        <f>VLOOKUP(OneWeekMtgRatesDataTable8[[#This Row],[AsOfDate]],G:H,2,0)+OneWeekMtgRatesDataTable8[[#This Row],[SeriesNumValue]]</f>
        <v>4.8397071279152906</v>
      </c>
      <c r="F40" s="1" t="s">
        <v>1277</v>
      </c>
      <c r="G40" s="1" t="s">
        <v>43</v>
      </c>
      <c r="H40" s="1">
        <v>0.57891279900000003</v>
      </c>
      <c r="K40" s="4">
        <v>40226</v>
      </c>
      <c r="L40">
        <v>4.8550000000000004</v>
      </c>
    </row>
    <row r="41" spans="1:12" x14ac:dyDescent="0.25">
      <c r="A41" s="1" t="s">
        <v>5</v>
      </c>
      <c r="B41" s="1" t="s">
        <v>44</v>
      </c>
      <c r="C41" s="1">
        <v>4.2631006281435502</v>
      </c>
      <c r="D41" s="2">
        <f>VLOOKUP(OneWeekMtgRatesDataTable8[[#This Row],[AsOfDate]],G:H,2,0)+OneWeekMtgRatesDataTable8[[#This Row],[SeriesNumValue]]</f>
        <v>4.8420134271435504</v>
      </c>
      <c r="F41" s="1" t="s">
        <v>1277</v>
      </c>
      <c r="G41" s="1" t="s">
        <v>44</v>
      </c>
      <c r="H41" s="1">
        <v>0.57891279900000003</v>
      </c>
      <c r="K41" s="4">
        <v>40227</v>
      </c>
      <c r="L41">
        <v>4.9749999999999996</v>
      </c>
    </row>
    <row r="42" spans="1:12" x14ac:dyDescent="0.25">
      <c r="A42" s="1" t="s">
        <v>5</v>
      </c>
      <c r="B42" s="1" t="s">
        <v>45</v>
      </c>
      <c r="C42" s="1">
        <v>4.3031579691569499</v>
      </c>
      <c r="D42" s="2">
        <f>VLOOKUP(OneWeekMtgRatesDataTable8[[#This Row],[AsOfDate]],G:H,2,0)+OneWeekMtgRatesDataTable8[[#This Row],[SeriesNumValue]]</f>
        <v>4.8820707681569502</v>
      </c>
      <c r="F42" s="1" t="s">
        <v>1277</v>
      </c>
      <c r="G42" s="1" t="s">
        <v>45</v>
      </c>
      <c r="H42" s="1">
        <v>0.57891279900000003</v>
      </c>
      <c r="K42" s="4">
        <v>40228</v>
      </c>
      <c r="L42">
        <v>4.9749999999999996</v>
      </c>
    </row>
    <row r="43" spans="1:12" x14ac:dyDescent="0.25">
      <c r="A43" s="1" t="s">
        <v>5</v>
      </c>
      <c r="B43" s="1" t="s">
        <v>46</v>
      </c>
      <c r="C43" s="1">
        <v>4.2688327995501503</v>
      </c>
      <c r="D43" s="2">
        <f>VLOOKUP(OneWeekMtgRatesDataTable8[[#This Row],[AsOfDate]],G:H,2,0)+OneWeekMtgRatesDataTable8[[#This Row],[SeriesNumValue]]</f>
        <v>4.7889476665501505</v>
      </c>
      <c r="F43" s="1" t="s">
        <v>1277</v>
      </c>
      <c r="G43" s="1" t="s">
        <v>46</v>
      </c>
      <c r="H43" s="1">
        <v>0.52011486699999998</v>
      </c>
      <c r="K43" s="4">
        <v>40231</v>
      </c>
      <c r="L43">
        <v>4.9749999999999996</v>
      </c>
    </row>
    <row r="44" spans="1:12" x14ac:dyDescent="0.25">
      <c r="A44" s="1" t="s">
        <v>5</v>
      </c>
      <c r="B44" s="1" t="s">
        <v>47</v>
      </c>
      <c r="C44" s="1">
        <v>4.26321220258097</v>
      </c>
      <c r="D44" s="2">
        <f>VLOOKUP(OneWeekMtgRatesDataTable8[[#This Row],[AsOfDate]],G:H,2,0)+OneWeekMtgRatesDataTable8[[#This Row],[SeriesNumValue]]</f>
        <v>4.7833270695809702</v>
      </c>
      <c r="F44" s="1" t="s">
        <v>1277</v>
      </c>
      <c r="G44" s="1" t="s">
        <v>47</v>
      </c>
      <c r="H44" s="1">
        <v>0.52011486699999998</v>
      </c>
      <c r="K44" s="4">
        <v>40232</v>
      </c>
      <c r="L44">
        <v>4.9749999999999996</v>
      </c>
    </row>
    <row r="45" spans="1:12" x14ac:dyDescent="0.25">
      <c r="A45" s="1" t="s">
        <v>5</v>
      </c>
      <c r="B45" s="1" t="s">
        <v>48</v>
      </c>
      <c r="C45" s="1">
        <v>4.2725182079422597</v>
      </c>
      <c r="D45" s="2">
        <f>VLOOKUP(OneWeekMtgRatesDataTable8[[#This Row],[AsOfDate]],G:H,2,0)+OneWeekMtgRatesDataTable8[[#This Row],[SeriesNumValue]]</f>
        <v>4.7926330749422599</v>
      </c>
      <c r="F45" s="1" t="s">
        <v>1277</v>
      </c>
      <c r="G45" s="1" t="s">
        <v>48</v>
      </c>
      <c r="H45" s="1">
        <v>0.52011486699999998</v>
      </c>
      <c r="K45" s="4">
        <v>40233</v>
      </c>
      <c r="L45">
        <v>4.9749999999999996</v>
      </c>
    </row>
    <row r="46" spans="1:12" x14ac:dyDescent="0.25">
      <c r="A46" s="1" t="s">
        <v>5</v>
      </c>
      <c r="B46" s="1" t="s">
        <v>49</v>
      </c>
      <c r="C46" s="1">
        <v>4.2707131453580098</v>
      </c>
      <c r="D46" s="2">
        <f>VLOOKUP(OneWeekMtgRatesDataTable8[[#This Row],[AsOfDate]],G:H,2,0)+OneWeekMtgRatesDataTable8[[#This Row],[SeriesNumValue]]</f>
        <v>4.79082801235801</v>
      </c>
      <c r="F46" s="1" t="s">
        <v>1277</v>
      </c>
      <c r="G46" s="1" t="s">
        <v>49</v>
      </c>
      <c r="H46" s="1">
        <v>0.52011486699999998</v>
      </c>
      <c r="K46" s="4">
        <v>40234</v>
      </c>
      <c r="L46">
        <v>4.8949999999999996</v>
      </c>
    </row>
    <row r="47" spans="1:12" x14ac:dyDescent="0.25">
      <c r="A47" s="1" t="s">
        <v>5</v>
      </c>
      <c r="B47" s="1" t="s">
        <v>50</v>
      </c>
      <c r="C47" s="1">
        <v>4.32682935952222</v>
      </c>
      <c r="D47" s="2">
        <f>VLOOKUP(OneWeekMtgRatesDataTable8[[#This Row],[AsOfDate]],G:H,2,0)+OneWeekMtgRatesDataTable8[[#This Row],[SeriesNumValue]]</f>
        <v>4.8469442265222202</v>
      </c>
      <c r="F47" s="1" t="s">
        <v>1277</v>
      </c>
      <c r="G47" s="1" t="s">
        <v>50</v>
      </c>
      <c r="H47" s="1">
        <v>0.52011486699999998</v>
      </c>
      <c r="K47" s="4">
        <v>40235</v>
      </c>
      <c r="L47">
        <v>4.8949999999999996</v>
      </c>
    </row>
    <row r="48" spans="1:12" x14ac:dyDescent="0.25">
      <c r="A48" s="1" t="s">
        <v>5</v>
      </c>
      <c r="B48" s="1" t="s">
        <v>51</v>
      </c>
      <c r="C48" s="1">
        <v>4.3581821128406304</v>
      </c>
      <c r="D48" s="2">
        <f>VLOOKUP(OneWeekMtgRatesDataTable8[[#This Row],[AsOfDate]],G:H,2,0)+OneWeekMtgRatesDataTable8[[#This Row],[SeriesNumValue]]</f>
        <v>4.8548911068406309</v>
      </c>
      <c r="F48" s="1" t="s">
        <v>1277</v>
      </c>
      <c r="G48" s="1" t="s">
        <v>51</v>
      </c>
      <c r="H48" s="1">
        <v>0.49670899400000001</v>
      </c>
      <c r="K48" s="4">
        <v>40238</v>
      </c>
      <c r="L48">
        <v>4.8949999999999996</v>
      </c>
    </row>
    <row r="49" spans="1:12" x14ac:dyDescent="0.25">
      <c r="A49" s="1" t="s">
        <v>5</v>
      </c>
      <c r="B49" s="1" t="s">
        <v>52</v>
      </c>
      <c r="C49" s="1">
        <v>4.3534210844177004</v>
      </c>
      <c r="D49" s="2">
        <f>VLOOKUP(OneWeekMtgRatesDataTable8[[#This Row],[AsOfDate]],G:H,2,0)+OneWeekMtgRatesDataTable8[[#This Row],[SeriesNumValue]]</f>
        <v>4.8501300784177008</v>
      </c>
      <c r="F49" s="1" t="s">
        <v>1277</v>
      </c>
      <c r="G49" s="1" t="s">
        <v>52</v>
      </c>
      <c r="H49" s="1">
        <v>0.49670899400000001</v>
      </c>
      <c r="K49" s="4">
        <v>40239</v>
      </c>
      <c r="L49">
        <v>4.8949999999999996</v>
      </c>
    </row>
    <row r="50" spans="1:12" x14ac:dyDescent="0.25">
      <c r="A50" s="2" t="s">
        <v>5</v>
      </c>
      <c r="B50" s="2" t="s">
        <v>53</v>
      </c>
      <c r="C50" s="2">
        <v>4.3622076135317203</v>
      </c>
      <c r="D50" s="2">
        <f>VLOOKUP(OneWeekMtgRatesDataTable8[[#This Row],[AsOfDate]],G:H,2,0)+OneWeekMtgRatesDataTable8[[#This Row],[SeriesNumValue]]</f>
        <v>4.8589166075317198</v>
      </c>
      <c r="F50" s="2" t="s">
        <v>1277</v>
      </c>
      <c r="G50" s="2" t="s">
        <v>53</v>
      </c>
      <c r="H50" s="2">
        <v>0.49670899400000001</v>
      </c>
      <c r="K50" s="4">
        <v>40240</v>
      </c>
      <c r="L50">
        <v>4.8949999999999996</v>
      </c>
    </row>
    <row r="51" spans="1:12" x14ac:dyDescent="0.25">
      <c r="A51" s="2" t="s">
        <v>5</v>
      </c>
      <c r="B51" s="2" t="s">
        <v>54</v>
      </c>
      <c r="C51" s="2">
        <v>4.3573317351240703</v>
      </c>
      <c r="D51" s="2">
        <f>VLOOKUP(OneWeekMtgRatesDataTable8[[#This Row],[AsOfDate]],G:H,2,0)+OneWeekMtgRatesDataTable8[[#This Row],[SeriesNumValue]]</f>
        <v>4.8540407291240708</v>
      </c>
      <c r="F51" s="2" t="s">
        <v>1277</v>
      </c>
      <c r="G51" s="2" t="s">
        <v>54</v>
      </c>
      <c r="H51" s="2">
        <v>0.49670899400000001</v>
      </c>
      <c r="K51" s="4">
        <v>40241</v>
      </c>
      <c r="L51">
        <v>4.875</v>
      </c>
    </row>
    <row r="52" spans="1:12" x14ac:dyDescent="0.25">
      <c r="A52" s="2" t="s">
        <v>5</v>
      </c>
      <c r="B52" s="2" t="s">
        <v>55</v>
      </c>
      <c r="C52" s="2">
        <v>4.30611620618477</v>
      </c>
      <c r="D52" s="2">
        <f>VLOOKUP(OneWeekMtgRatesDataTable8[[#This Row],[AsOfDate]],G:H,2,0)+OneWeekMtgRatesDataTable8[[#This Row],[SeriesNumValue]]</f>
        <v>4.8028252001847704</v>
      </c>
      <c r="F52" s="2" t="s">
        <v>1277</v>
      </c>
      <c r="G52" s="2" t="s">
        <v>55</v>
      </c>
      <c r="H52" s="2">
        <v>0.49670899400000001</v>
      </c>
      <c r="K52" s="4">
        <v>40242</v>
      </c>
      <c r="L52">
        <v>4.875</v>
      </c>
    </row>
    <row r="53" spans="1:12" x14ac:dyDescent="0.25">
      <c r="A53" s="2" t="s">
        <v>5</v>
      </c>
      <c r="B53" s="2" t="s">
        <v>56</v>
      </c>
      <c r="C53" s="2">
        <v>4.2868662030008098</v>
      </c>
      <c r="D53" s="2">
        <f>VLOOKUP(OneWeekMtgRatesDataTable8[[#This Row],[AsOfDate]],G:H,2,0)+OneWeekMtgRatesDataTable8[[#This Row],[SeriesNumValue]]</f>
        <v>4.7636776350008097</v>
      </c>
      <c r="F53" s="2" t="s">
        <v>1277</v>
      </c>
      <c r="G53" s="2" t="s">
        <v>56</v>
      </c>
      <c r="H53" s="2">
        <v>0.47681143199999998</v>
      </c>
      <c r="K53" s="4">
        <v>40245</v>
      </c>
      <c r="L53">
        <v>4.875</v>
      </c>
    </row>
    <row r="54" spans="1:12" x14ac:dyDescent="0.25">
      <c r="A54" s="2" t="s">
        <v>5</v>
      </c>
      <c r="B54" s="2" t="s">
        <v>57</v>
      </c>
      <c r="C54" s="2">
        <v>4.2935055694790503</v>
      </c>
      <c r="D54" s="2">
        <f>VLOOKUP(OneWeekMtgRatesDataTable8[[#This Row],[AsOfDate]],G:H,2,0)+OneWeekMtgRatesDataTable8[[#This Row],[SeriesNumValue]]</f>
        <v>4.7703170014790501</v>
      </c>
      <c r="F54" s="2" t="s">
        <v>1277</v>
      </c>
      <c r="G54" s="2" t="s">
        <v>57</v>
      </c>
      <c r="H54" s="2">
        <v>0.47681143199999998</v>
      </c>
      <c r="K54" s="4">
        <v>40246</v>
      </c>
      <c r="L54">
        <v>4.875</v>
      </c>
    </row>
    <row r="55" spans="1:12" x14ac:dyDescent="0.25">
      <c r="A55" s="2" t="s">
        <v>5</v>
      </c>
      <c r="B55" s="2" t="s">
        <v>58</v>
      </c>
      <c r="C55" s="2">
        <v>4.2253488908248604</v>
      </c>
      <c r="D55" s="2">
        <f>VLOOKUP(OneWeekMtgRatesDataTable8[[#This Row],[AsOfDate]],G:H,2,0)+OneWeekMtgRatesDataTable8[[#This Row],[SeriesNumValue]]</f>
        <v>4.7021603228248603</v>
      </c>
      <c r="F55" s="2" t="s">
        <v>1277</v>
      </c>
      <c r="G55" s="2" t="s">
        <v>58</v>
      </c>
      <c r="H55" s="2">
        <v>0.47681143199999998</v>
      </c>
      <c r="K55" s="4">
        <v>40247</v>
      </c>
      <c r="L55">
        <v>4.875</v>
      </c>
    </row>
    <row r="56" spans="1:12" x14ac:dyDescent="0.25">
      <c r="A56" s="2" t="s">
        <v>5</v>
      </c>
      <c r="B56" s="2" t="s">
        <v>59</v>
      </c>
      <c r="C56" s="2">
        <v>4.1920950828505896</v>
      </c>
      <c r="D56" s="2">
        <f>VLOOKUP(OneWeekMtgRatesDataTable8[[#This Row],[AsOfDate]],G:H,2,0)+OneWeekMtgRatesDataTable8[[#This Row],[SeriesNumValue]]</f>
        <v>4.6689065148505895</v>
      </c>
      <c r="F56" s="2" t="s">
        <v>1277</v>
      </c>
      <c r="G56" s="2" t="s">
        <v>59</v>
      </c>
      <c r="H56" s="2">
        <v>0.47681143199999998</v>
      </c>
      <c r="K56" s="4">
        <v>40248</v>
      </c>
      <c r="L56">
        <v>4.8849999999999998</v>
      </c>
    </row>
    <row r="57" spans="1:12" x14ac:dyDescent="0.25">
      <c r="A57" s="2" t="s">
        <v>5</v>
      </c>
      <c r="B57" s="2" t="s">
        <v>60</v>
      </c>
      <c r="C57" s="2">
        <v>4.1805597151959502</v>
      </c>
      <c r="D57" s="2">
        <f>VLOOKUP(OneWeekMtgRatesDataTable8[[#This Row],[AsOfDate]],G:H,2,0)+OneWeekMtgRatesDataTable8[[#This Row],[SeriesNumValue]]</f>
        <v>4.65737114719595</v>
      </c>
      <c r="F57" s="2" t="s">
        <v>1277</v>
      </c>
      <c r="G57" s="2" t="s">
        <v>60</v>
      </c>
      <c r="H57" s="2">
        <v>0.47681143199999998</v>
      </c>
      <c r="K57" s="4">
        <v>40249</v>
      </c>
      <c r="L57">
        <v>4.8849999999999998</v>
      </c>
    </row>
    <row r="58" spans="1:12" x14ac:dyDescent="0.25">
      <c r="A58" s="2" t="s">
        <v>5</v>
      </c>
      <c r="B58" s="2" t="s">
        <v>61</v>
      </c>
      <c r="C58" s="2">
        <v>4.2102300154498904</v>
      </c>
      <c r="D58" s="2">
        <f>VLOOKUP(OneWeekMtgRatesDataTable8[[#This Row],[AsOfDate]],G:H,2,0)+OneWeekMtgRatesDataTable8[[#This Row],[SeriesNumValue]]</f>
        <v>4.7148821604498901</v>
      </c>
      <c r="F58" s="2" t="s">
        <v>1277</v>
      </c>
      <c r="G58" s="2" t="s">
        <v>61</v>
      </c>
      <c r="H58" s="2">
        <v>0.504652145</v>
      </c>
      <c r="K58" s="4">
        <v>40252</v>
      </c>
      <c r="L58">
        <v>4.8849999999999998</v>
      </c>
    </row>
    <row r="59" spans="1:12" x14ac:dyDescent="0.25">
      <c r="A59" s="2" t="s">
        <v>5</v>
      </c>
      <c r="B59" s="2" t="s">
        <v>62</v>
      </c>
      <c r="C59" s="2">
        <v>4.2118801952184501</v>
      </c>
      <c r="D59" s="2">
        <f>VLOOKUP(OneWeekMtgRatesDataTable8[[#This Row],[AsOfDate]],G:H,2,0)+OneWeekMtgRatesDataTable8[[#This Row],[SeriesNumValue]]</f>
        <v>4.7165323402184498</v>
      </c>
      <c r="F59" s="2" t="s">
        <v>1277</v>
      </c>
      <c r="G59" s="2" t="s">
        <v>62</v>
      </c>
      <c r="H59" s="2">
        <v>0.504652145</v>
      </c>
      <c r="K59" s="4">
        <v>40253</v>
      </c>
      <c r="L59">
        <v>4.8849999999999998</v>
      </c>
    </row>
    <row r="60" spans="1:12" x14ac:dyDescent="0.25">
      <c r="A60" s="2" t="s">
        <v>5</v>
      </c>
      <c r="B60" s="2" t="s">
        <v>63</v>
      </c>
      <c r="C60" s="2">
        <v>4.1798117346260302</v>
      </c>
      <c r="D60" s="2">
        <f>VLOOKUP(OneWeekMtgRatesDataTable8[[#This Row],[AsOfDate]],G:H,2,0)+OneWeekMtgRatesDataTable8[[#This Row],[SeriesNumValue]]</f>
        <v>4.6844638796260298</v>
      </c>
      <c r="F60" s="2" t="s">
        <v>1277</v>
      </c>
      <c r="G60" s="2" t="s">
        <v>63</v>
      </c>
      <c r="H60" s="2">
        <v>0.504652145</v>
      </c>
      <c r="K60" s="4">
        <v>40254</v>
      </c>
      <c r="L60">
        <v>4.8849999999999998</v>
      </c>
    </row>
    <row r="61" spans="1:12" x14ac:dyDescent="0.25">
      <c r="A61" s="2" t="s">
        <v>5</v>
      </c>
      <c r="B61" s="2" t="s">
        <v>64</v>
      </c>
      <c r="C61" s="2">
        <v>4.1488060132239797</v>
      </c>
      <c r="D61" s="2">
        <f>VLOOKUP(OneWeekMtgRatesDataTable8[[#This Row],[AsOfDate]],G:H,2,0)+OneWeekMtgRatesDataTable8[[#This Row],[SeriesNumValue]]</f>
        <v>4.6534581582239793</v>
      </c>
      <c r="F61" s="2" t="s">
        <v>1277</v>
      </c>
      <c r="G61" s="2" t="s">
        <v>64</v>
      </c>
      <c r="H61" s="2">
        <v>0.504652145</v>
      </c>
      <c r="K61" s="4">
        <v>40255</v>
      </c>
      <c r="L61">
        <v>4.8899999999999997</v>
      </c>
    </row>
    <row r="62" spans="1:12" x14ac:dyDescent="0.25">
      <c r="A62" s="2" t="s">
        <v>5</v>
      </c>
      <c r="B62" s="2" t="s">
        <v>65</v>
      </c>
      <c r="C62" s="2">
        <v>4.1737753595226996</v>
      </c>
      <c r="D62" s="2">
        <f>VLOOKUP(OneWeekMtgRatesDataTable8[[#This Row],[AsOfDate]],G:H,2,0)+OneWeekMtgRatesDataTable8[[#This Row],[SeriesNumValue]]</f>
        <v>4.7002070335227</v>
      </c>
      <c r="F62" s="2" t="s">
        <v>1277</v>
      </c>
      <c r="G62" s="2" t="s">
        <v>65</v>
      </c>
      <c r="H62" s="2">
        <v>0.52643167400000002</v>
      </c>
      <c r="K62" s="4">
        <v>40256</v>
      </c>
      <c r="L62">
        <v>4.8899999999999997</v>
      </c>
    </row>
    <row r="63" spans="1:12" x14ac:dyDescent="0.25">
      <c r="A63" s="2" t="s">
        <v>5</v>
      </c>
      <c r="B63" s="2" t="s">
        <v>66</v>
      </c>
      <c r="C63" s="2">
        <v>4.1085299627435603</v>
      </c>
      <c r="D63" s="2">
        <f>VLOOKUP(OneWeekMtgRatesDataTable8[[#This Row],[AsOfDate]],G:H,2,0)+OneWeekMtgRatesDataTable8[[#This Row],[SeriesNumValue]]</f>
        <v>4.6349616367435607</v>
      </c>
      <c r="F63" s="2" t="s">
        <v>1277</v>
      </c>
      <c r="G63" s="2" t="s">
        <v>66</v>
      </c>
      <c r="H63" s="2">
        <v>0.52643167400000002</v>
      </c>
      <c r="K63" s="4">
        <v>40259</v>
      </c>
      <c r="L63">
        <v>4.8899999999999997</v>
      </c>
    </row>
    <row r="64" spans="1:12" x14ac:dyDescent="0.25">
      <c r="A64" s="2" t="s">
        <v>5</v>
      </c>
      <c r="B64" s="2" t="s">
        <v>67</v>
      </c>
      <c r="C64" s="2">
        <v>4.0911415079480502</v>
      </c>
      <c r="D64" s="2">
        <f>VLOOKUP(OneWeekMtgRatesDataTable8[[#This Row],[AsOfDate]],G:H,2,0)+OneWeekMtgRatesDataTable8[[#This Row],[SeriesNumValue]]</f>
        <v>4.6175731819480506</v>
      </c>
      <c r="F64" s="2" t="s">
        <v>1277</v>
      </c>
      <c r="G64" s="2" t="s">
        <v>67</v>
      </c>
      <c r="H64" s="2">
        <v>0.52643167400000002</v>
      </c>
      <c r="K64" s="4">
        <v>40260</v>
      </c>
      <c r="L64">
        <v>4.8899999999999997</v>
      </c>
    </row>
    <row r="65" spans="1:12" x14ac:dyDescent="0.25">
      <c r="A65" s="2" t="s">
        <v>5</v>
      </c>
      <c r="B65" s="2" t="s">
        <v>68</v>
      </c>
      <c r="C65" s="2">
        <v>4.1017392555975398</v>
      </c>
      <c r="D65" s="2">
        <f>VLOOKUP(OneWeekMtgRatesDataTable8[[#This Row],[AsOfDate]],G:H,2,0)+OneWeekMtgRatesDataTable8[[#This Row],[SeriesNumValue]]</f>
        <v>4.6281709295975402</v>
      </c>
      <c r="F65" s="2" t="s">
        <v>1277</v>
      </c>
      <c r="G65" s="2" t="s">
        <v>68</v>
      </c>
      <c r="H65" s="2">
        <v>0.52643167400000002</v>
      </c>
      <c r="K65" s="4">
        <v>40261</v>
      </c>
      <c r="L65">
        <v>4.8899999999999997</v>
      </c>
    </row>
    <row r="66" spans="1:12" x14ac:dyDescent="0.25">
      <c r="A66" s="2" t="s">
        <v>5</v>
      </c>
      <c r="B66" s="2" t="s">
        <v>69</v>
      </c>
      <c r="C66" s="2">
        <v>4.0711736764918296</v>
      </c>
      <c r="D66" s="2">
        <f>VLOOKUP(OneWeekMtgRatesDataTable8[[#This Row],[AsOfDate]],G:H,2,0)+OneWeekMtgRatesDataTable8[[#This Row],[SeriesNumValue]]</f>
        <v>4.5976053504918299</v>
      </c>
      <c r="F66" s="2" t="s">
        <v>1277</v>
      </c>
      <c r="G66" s="2" t="s">
        <v>69</v>
      </c>
      <c r="H66" s="2">
        <v>0.52643167400000002</v>
      </c>
      <c r="K66" s="4">
        <v>40262</v>
      </c>
      <c r="L66">
        <v>5.0049999999999999</v>
      </c>
    </row>
    <row r="67" spans="1:12" x14ac:dyDescent="0.25">
      <c r="A67" s="2" t="s">
        <v>5</v>
      </c>
      <c r="B67" s="2" t="s">
        <v>70</v>
      </c>
      <c r="C67" s="2">
        <v>4.0402883420391804</v>
      </c>
      <c r="D67" s="2">
        <f>VLOOKUP(OneWeekMtgRatesDataTable8[[#This Row],[AsOfDate]],G:H,2,0)+OneWeekMtgRatesDataTable8[[#This Row],[SeriesNumValue]]</f>
        <v>4.5927137930391808</v>
      </c>
      <c r="F67" s="2" t="s">
        <v>1277</v>
      </c>
      <c r="G67" s="2" t="s">
        <v>70</v>
      </c>
      <c r="H67" s="2">
        <v>0.55242545099999996</v>
      </c>
      <c r="K67" s="4">
        <v>40263</v>
      </c>
      <c r="L67">
        <v>5.0049999999999999</v>
      </c>
    </row>
    <row r="68" spans="1:12" x14ac:dyDescent="0.25">
      <c r="A68" s="2" t="s">
        <v>5</v>
      </c>
      <c r="B68" s="2" t="s">
        <v>71</v>
      </c>
      <c r="C68" s="2">
        <v>3.9897426848348498</v>
      </c>
      <c r="D68" s="2">
        <f>VLOOKUP(OneWeekMtgRatesDataTable8[[#This Row],[AsOfDate]],G:H,2,0)+OneWeekMtgRatesDataTable8[[#This Row],[SeriesNumValue]]</f>
        <v>4.5421681358348494</v>
      </c>
      <c r="F68" s="2" t="s">
        <v>1277</v>
      </c>
      <c r="G68" s="2" t="s">
        <v>71</v>
      </c>
      <c r="H68" s="2">
        <v>0.55242545099999996</v>
      </c>
      <c r="K68" s="4">
        <v>40266</v>
      </c>
      <c r="L68">
        <v>5.0049999999999999</v>
      </c>
    </row>
    <row r="69" spans="1:12" x14ac:dyDescent="0.25">
      <c r="A69" s="2" t="s">
        <v>5</v>
      </c>
      <c r="B69" s="2" t="s">
        <v>72</v>
      </c>
      <c r="C69" s="2">
        <v>3.9810369231878999</v>
      </c>
      <c r="D69" s="2">
        <f>VLOOKUP(OneWeekMtgRatesDataTable8[[#This Row],[AsOfDate]],G:H,2,0)+OneWeekMtgRatesDataTable8[[#This Row],[SeriesNumValue]]</f>
        <v>4.5334623741879003</v>
      </c>
      <c r="F69" s="2" t="s">
        <v>1277</v>
      </c>
      <c r="G69" s="2" t="s">
        <v>72</v>
      </c>
      <c r="H69" s="2">
        <v>0.55242545099999996</v>
      </c>
      <c r="K69" s="4">
        <v>40267</v>
      </c>
      <c r="L69">
        <v>5.0049999999999999</v>
      </c>
    </row>
    <row r="70" spans="1:12" x14ac:dyDescent="0.25">
      <c r="A70" s="2" t="s">
        <v>5</v>
      </c>
      <c r="B70" s="2" t="s">
        <v>73</v>
      </c>
      <c r="C70" s="2">
        <v>3.9671840173196098</v>
      </c>
      <c r="D70" s="2">
        <f>VLOOKUP(OneWeekMtgRatesDataTable8[[#This Row],[AsOfDate]],G:H,2,0)+OneWeekMtgRatesDataTable8[[#This Row],[SeriesNumValue]]</f>
        <v>4.5196094683196097</v>
      </c>
      <c r="F70" s="2" t="s">
        <v>1277</v>
      </c>
      <c r="G70" s="2" t="s">
        <v>73</v>
      </c>
      <c r="H70" s="2">
        <v>0.55242545099999996</v>
      </c>
      <c r="K70" s="4">
        <v>40268</v>
      </c>
      <c r="L70">
        <v>5.0049999999999999</v>
      </c>
    </row>
    <row r="71" spans="1:12" x14ac:dyDescent="0.25">
      <c r="A71" s="2" t="s">
        <v>5</v>
      </c>
      <c r="B71" s="2" t="s">
        <v>74</v>
      </c>
      <c r="C71" s="2">
        <v>4.01017409767306</v>
      </c>
      <c r="D71" s="2">
        <f>VLOOKUP(OneWeekMtgRatesDataTable8[[#This Row],[AsOfDate]],G:H,2,0)+OneWeekMtgRatesDataTable8[[#This Row],[SeriesNumValue]]</f>
        <v>4.5625995486730595</v>
      </c>
      <c r="F71" s="2" t="s">
        <v>1277</v>
      </c>
      <c r="G71" s="2" t="s">
        <v>74</v>
      </c>
      <c r="H71" s="2">
        <v>0.55242545099999996</v>
      </c>
      <c r="K71" s="4">
        <v>40269</v>
      </c>
      <c r="L71">
        <v>5.1100000000000003</v>
      </c>
    </row>
    <row r="72" spans="1:12" x14ac:dyDescent="0.25">
      <c r="A72" s="2" t="s">
        <v>5</v>
      </c>
      <c r="B72" s="2" t="s">
        <v>75</v>
      </c>
      <c r="C72" s="2">
        <v>3.98265251730554</v>
      </c>
      <c r="D72" s="2">
        <f>VLOOKUP(OneWeekMtgRatesDataTable8[[#This Row],[AsOfDate]],G:H,2,0)+OneWeekMtgRatesDataTable8[[#This Row],[SeriesNumValue]]</f>
        <v>4.5514944693055401</v>
      </c>
      <c r="F72" s="2" t="s">
        <v>1277</v>
      </c>
      <c r="G72" s="2" t="s">
        <v>75</v>
      </c>
      <c r="H72" s="2">
        <v>0.56884195199999998</v>
      </c>
      <c r="K72" s="4">
        <v>40270</v>
      </c>
      <c r="L72">
        <v>5.1100000000000003</v>
      </c>
    </row>
    <row r="73" spans="1:12" x14ac:dyDescent="0.25">
      <c r="A73" s="2" t="s">
        <v>5</v>
      </c>
      <c r="B73" s="2" t="s">
        <v>76</v>
      </c>
      <c r="C73" s="2">
        <v>4.0052084315685699</v>
      </c>
      <c r="D73" s="2">
        <f>VLOOKUP(OneWeekMtgRatesDataTable8[[#This Row],[AsOfDate]],G:H,2,0)+OneWeekMtgRatesDataTable8[[#This Row],[SeriesNumValue]]</f>
        <v>4.5740503835685695</v>
      </c>
      <c r="F73" s="2" t="s">
        <v>1277</v>
      </c>
      <c r="G73" s="2" t="s">
        <v>76</v>
      </c>
      <c r="H73" s="2">
        <v>0.56884195199999998</v>
      </c>
      <c r="K73" s="4">
        <v>40273</v>
      </c>
      <c r="L73">
        <v>5.1100000000000003</v>
      </c>
    </row>
    <row r="74" spans="1:12" x14ac:dyDescent="0.25">
      <c r="A74" s="2" t="s">
        <v>5</v>
      </c>
      <c r="B74" s="2" t="s">
        <v>77</v>
      </c>
      <c r="C74" s="2">
        <v>3.98862222187666</v>
      </c>
      <c r="D74" s="2">
        <f>VLOOKUP(OneWeekMtgRatesDataTable8[[#This Row],[AsOfDate]],G:H,2,0)+OneWeekMtgRatesDataTable8[[#This Row],[SeriesNumValue]]</f>
        <v>4.5574641738766601</v>
      </c>
      <c r="F74" s="2" t="s">
        <v>1277</v>
      </c>
      <c r="G74" s="2" t="s">
        <v>77</v>
      </c>
      <c r="H74" s="2">
        <v>0.56884195199999998</v>
      </c>
      <c r="K74" s="4">
        <v>40274</v>
      </c>
      <c r="L74">
        <v>5.1100000000000003</v>
      </c>
    </row>
    <row r="75" spans="1:12" x14ac:dyDescent="0.25">
      <c r="A75" s="2" t="s">
        <v>5</v>
      </c>
      <c r="B75" s="2" t="s">
        <v>78</v>
      </c>
      <c r="C75" s="2">
        <v>3.9714462688070098</v>
      </c>
      <c r="D75" s="2">
        <f>VLOOKUP(OneWeekMtgRatesDataTable8[[#This Row],[AsOfDate]],G:H,2,0)+OneWeekMtgRatesDataTable8[[#This Row],[SeriesNumValue]]</f>
        <v>4.5402882208070094</v>
      </c>
      <c r="F75" s="2" t="s">
        <v>1277</v>
      </c>
      <c r="G75" s="2" t="s">
        <v>78</v>
      </c>
      <c r="H75" s="2">
        <v>0.56884195199999998</v>
      </c>
      <c r="K75" s="4">
        <v>40275</v>
      </c>
      <c r="L75">
        <v>5.1100000000000003</v>
      </c>
    </row>
    <row r="76" spans="1:12" x14ac:dyDescent="0.25">
      <c r="A76" s="2" t="s">
        <v>5</v>
      </c>
      <c r="B76" s="2" t="s">
        <v>79</v>
      </c>
      <c r="C76" s="2">
        <v>3.9561973951129898</v>
      </c>
      <c r="D76" s="2">
        <f>VLOOKUP(OneWeekMtgRatesDataTable8[[#This Row],[AsOfDate]],G:H,2,0)+OneWeekMtgRatesDataTable8[[#This Row],[SeriesNumValue]]</f>
        <v>4.5250393471129895</v>
      </c>
      <c r="F76" s="2" t="s">
        <v>1277</v>
      </c>
      <c r="G76" s="2" t="s">
        <v>79</v>
      </c>
      <c r="H76" s="2">
        <v>0.56884195199999998</v>
      </c>
      <c r="K76" s="4">
        <v>40276</v>
      </c>
      <c r="L76">
        <v>4.97</v>
      </c>
    </row>
    <row r="77" spans="1:12" x14ac:dyDescent="0.25">
      <c r="A77" s="2" t="s">
        <v>5</v>
      </c>
      <c r="B77" s="2" t="s">
        <v>80</v>
      </c>
      <c r="C77" s="2">
        <v>3.9981747408284201</v>
      </c>
      <c r="D77" s="2">
        <f>VLOOKUP(OneWeekMtgRatesDataTable8[[#This Row],[AsOfDate]],G:H,2,0)+OneWeekMtgRatesDataTable8[[#This Row],[SeriesNumValue]]</f>
        <v>4.5492449288284202</v>
      </c>
      <c r="F77" s="2" t="s">
        <v>1277</v>
      </c>
      <c r="G77" s="2" t="s">
        <v>80</v>
      </c>
      <c r="H77" s="2">
        <v>0.55107018799999996</v>
      </c>
      <c r="K77" s="4">
        <v>40277</v>
      </c>
      <c r="L77">
        <v>4.97</v>
      </c>
    </row>
    <row r="78" spans="1:12" x14ac:dyDescent="0.25">
      <c r="A78" s="2" t="s">
        <v>5</v>
      </c>
      <c r="B78" s="2" t="s">
        <v>81</v>
      </c>
      <c r="C78" s="2">
        <v>4.0056577921068204</v>
      </c>
      <c r="D78" s="2">
        <f>VLOOKUP(OneWeekMtgRatesDataTable8[[#This Row],[AsOfDate]],G:H,2,0)+OneWeekMtgRatesDataTable8[[#This Row],[SeriesNumValue]]</f>
        <v>4.5567279801068201</v>
      </c>
      <c r="F78" s="2" t="s">
        <v>1277</v>
      </c>
      <c r="G78" s="2" t="s">
        <v>81</v>
      </c>
      <c r="H78" s="2">
        <v>0.55107018799999996</v>
      </c>
      <c r="K78" s="4">
        <v>40280</v>
      </c>
      <c r="L78">
        <v>4.97</v>
      </c>
    </row>
    <row r="79" spans="1:12" x14ac:dyDescent="0.25">
      <c r="A79" s="2" t="s">
        <v>5</v>
      </c>
      <c r="B79" s="2" t="s">
        <v>82</v>
      </c>
      <c r="C79" s="2">
        <v>3.9928413440389701</v>
      </c>
      <c r="D79" s="2">
        <f>VLOOKUP(OneWeekMtgRatesDataTable8[[#This Row],[AsOfDate]],G:H,2,0)+OneWeekMtgRatesDataTable8[[#This Row],[SeriesNumValue]]</f>
        <v>4.5439115320389698</v>
      </c>
      <c r="F79" s="2" t="s">
        <v>1277</v>
      </c>
      <c r="G79" s="2" t="s">
        <v>82</v>
      </c>
      <c r="H79" s="2">
        <v>0.55107018799999996</v>
      </c>
      <c r="K79" s="4">
        <v>40281</v>
      </c>
      <c r="L79">
        <v>4.97</v>
      </c>
    </row>
    <row r="80" spans="1:12" x14ac:dyDescent="0.25">
      <c r="A80" s="2" t="s">
        <v>5</v>
      </c>
      <c r="B80" s="2" t="s">
        <v>83</v>
      </c>
      <c r="C80" s="2">
        <v>3.9961535030173398</v>
      </c>
      <c r="D80" s="2">
        <f>VLOOKUP(OneWeekMtgRatesDataTable8[[#This Row],[AsOfDate]],G:H,2,0)+OneWeekMtgRatesDataTable8[[#This Row],[SeriesNumValue]]</f>
        <v>4.54722369101734</v>
      </c>
      <c r="F80" s="2" t="s">
        <v>1277</v>
      </c>
      <c r="G80" s="2" t="s">
        <v>83</v>
      </c>
      <c r="H80" s="2">
        <v>0.55107018799999996</v>
      </c>
      <c r="K80" s="4">
        <v>40282</v>
      </c>
      <c r="L80">
        <v>4.97</v>
      </c>
    </row>
    <row r="81" spans="1:12" x14ac:dyDescent="0.25">
      <c r="A81" s="2" t="s">
        <v>5</v>
      </c>
      <c r="B81" s="2" t="s">
        <v>84</v>
      </c>
      <c r="C81" s="2">
        <v>3.9840068188340201</v>
      </c>
      <c r="D81" s="2">
        <f>VLOOKUP(OneWeekMtgRatesDataTable8[[#This Row],[AsOfDate]],G:H,2,0)+OneWeekMtgRatesDataTable8[[#This Row],[SeriesNumValue]]</f>
        <v>4.5350770068340198</v>
      </c>
      <c r="F81" s="2" t="s">
        <v>1277</v>
      </c>
      <c r="G81" s="2" t="s">
        <v>84</v>
      </c>
      <c r="H81" s="2">
        <v>0.55107018799999996</v>
      </c>
      <c r="K81" s="4">
        <v>40283</v>
      </c>
      <c r="L81">
        <v>4.9950000000000001</v>
      </c>
    </row>
    <row r="82" spans="1:12" x14ac:dyDescent="0.25">
      <c r="A82" s="2" t="s">
        <v>5</v>
      </c>
      <c r="B82" s="2" t="s">
        <v>85</v>
      </c>
      <c r="C82" s="2">
        <v>3.9826402417029598</v>
      </c>
      <c r="D82" s="2">
        <f>VLOOKUP(OneWeekMtgRatesDataTable8[[#This Row],[AsOfDate]],G:H,2,0)+OneWeekMtgRatesDataTable8[[#This Row],[SeriesNumValue]]</f>
        <v>4.5153803017029599</v>
      </c>
      <c r="F82" s="2" t="s">
        <v>1277</v>
      </c>
      <c r="G82" s="2" t="s">
        <v>85</v>
      </c>
      <c r="H82" s="2">
        <v>0.53274005999999996</v>
      </c>
      <c r="K82" s="4">
        <v>40284</v>
      </c>
      <c r="L82">
        <v>4.9950000000000001</v>
      </c>
    </row>
    <row r="83" spans="1:12" x14ac:dyDescent="0.25">
      <c r="A83" s="2" t="s">
        <v>5</v>
      </c>
      <c r="B83" s="2" t="s">
        <v>86</v>
      </c>
      <c r="C83" s="2">
        <v>3.9110937732392999</v>
      </c>
      <c r="D83" s="2">
        <f>VLOOKUP(OneWeekMtgRatesDataTable8[[#This Row],[AsOfDate]],G:H,2,0)+OneWeekMtgRatesDataTable8[[#This Row],[SeriesNumValue]]</f>
        <v>4.4438338332392995</v>
      </c>
      <c r="F83" s="2" t="s">
        <v>1277</v>
      </c>
      <c r="G83" s="2" t="s">
        <v>86</v>
      </c>
      <c r="H83" s="2">
        <v>0.53274005999999996</v>
      </c>
      <c r="K83" s="4">
        <v>40287</v>
      </c>
      <c r="L83">
        <v>4.9950000000000001</v>
      </c>
    </row>
    <row r="84" spans="1:12" x14ac:dyDescent="0.25">
      <c r="A84" s="2" t="s">
        <v>5</v>
      </c>
      <c r="B84" s="2" t="s">
        <v>87</v>
      </c>
      <c r="C84" s="2">
        <v>3.9340132469573699</v>
      </c>
      <c r="D84" s="2">
        <f>VLOOKUP(OneWeekMtgRatesDataTable8[[#This Row],[AsOfDate]],G:H,2,0)+OneWeekMtgRatesDataTable8[[#This Row],[SeriesNumValue]]</f>
        <v>4.4667533069573695</v>
      </c>
      <c r="F84" s="2" t="s">
        <v>1277</v>
      </c>
      <c r="G84" s="2" t="s">
        <v>87</v>
      </c>
      <c r="H84" s="2">
        <v>0.53274005999999996</v>
      </c>
      <c r="K84" s="4">
        <v>40288</v>
      </c>
      <c r="L84">
        <v>4.9950000000000001</v>
      </c>
    </row>
    <row r="85" spans="1:12" x14ac:dyDescent="0.25">
      <c r="A85" s="2" t="s">
        <v>5</v>
      </c>
      <c r="B85" s="2" t="s">
        <v>88</v>
      </c>
      <c r="C85" s="2">
        <v>3.93235427092598</v>
      </c>
      <c r="D85" s="2">
        <f>VLOOKUP(OneWeekMtgRatesDataTable8[[#This Row],[AsOfDate]],G:H,2,0)+OneWeekMtgRatesDataTable8[[#This Row],[SeriesNumValue]]</f>
        <v>4.4650943309259796</v>
      </c>
      <c r="F85" s="2" t="s">
        <v>1277</v>
      </c>
      <c r="G85" s="2" t="s">
        <v>88</v>
      </c>
      <c r="H85" s="2">
        <v>0.53274005999999996</v>
      </c>
      <c r="K85" s="4">
        <v>40289</v>
      </c>
      <c r="L85">
        <v>4.9950000000000001</v>
      </c>
    </row>
    <row r="86" spans="1:12" x14ac:dyDescent="0.25">
      <c r="A86" s="2" t="s">
        <v>5</v>
      </c>
      <c r="B86" s="2" t="s">
        <v>89</v>
      </c>
      <c r="C86" s="2">
        <v>3.86349424372803</v>
      </c>
      <c r="D86" s="2">
        <f>VLOOKUP(OneWeekMtgRatesDataTable8[[#This Row],[AsOfDate]],G:H,2,0)+OneWeekMtgRatesDataTable8[[#This Row],[SeriesNumValue]]</f>
        <v>4.4032553597280302</v>
      </c>
      <c r="F86" s="2" t="s">
        <v>1277</v>
      </c>
      <c r="G86" s="2" t="s">
        <v>89</v>
      </c>
      <c r="H86" s="2">
        <v>0.53976111599999999</v>
      </c>
      <c r="K86" s="4">
        <v>40290</v>
      </c>
      <c r="L86">
        <v>4.9850000000000003</v>
      </c>
    </row>
    <row r="87" spans="1:12" x14ac:dyDescent="0.25">
      <c r="A87" s="2" t="s">
        <v>5</v>
      </c>
      <c r="B87" s="2" t="s">
        <v>90</v>
      </c>
      <c r="C87" s="2">
        <v>3.91386634442794</v>
      </c>
      <c r="D87" s="2">
        <f>VLOOKUP(OneWeekMtgRatesDataTable8[[#This Row],[AsOfDate]],G:H,2,0)+OneWeekMtgRatesDataTable8[[#This Row],[SeriesNumValue]]</f>
        <v>4.4536274604279402</v>
      </c>
      <c r="F87" s="2" t="s">
        <v>1277</v>
      </c>
      <c r="G87" s="2" t="s">
        <v>90</v>
      </c>
      <c r="H87" s="2">
        <v>0.53976111599999999</v>
      </c>
      <c r="K87" s="4">
        <v>40291</v>
      </c>
      <c r="L87">
        <v>4.9850000000000003</v>
      </c>
    </row>
    <row r="88" spans="1:12" x14ac:dyDescent="0.25">
      <c r="A88" s="2" t="s">
        <v>5</v>
      </c>
      <c r="B88" s="2" t="s">
        <v>91</v>
      </c>
      <c r="C88" s="2">
        <v>3.8932835819735199</v>
      </c>
      <c r="D88" s="2">
        <f>VLOOKUP(OneWeekMtgRatesDataTable8[[#This Row],[AsOfDate]],G:H,2,0)+OneWeekMtgRatesDataTable8[[#This Row],[SeriesNumValue]]</f>
        <v>4.4330446979735196</v>
      </c>
      <c r="F88" s="2" t="s">
        <v>1277</v>
      </c>
      <c r="G88" s="2" t="s">
        <v>91</v>
      </c>
      <c r="H88" s="2">
        <v>0.53976111599999999</v>
      </c>
      <c r="K88" s="4">
        <v>40294</v>
      </c>
      <c r="L88">
        <v>4.9850000000000003</v>
      </c>
    </row>
    <row r="89" spans="1:12" x14ac:dyDescent="0.25">
      <c r="A89" s="2" t="s">
        <v>5</v>
      </c>
      <c r="B89" s="2" t="s">
        <v>92</v>
      </c>
      <c r="C89" s="2">
        <v>3.9007146694666899</v>
      </c>
      <c r="D89" s="2">
        <f>VLOOKUP(OneWeekMtgRatesDataTable8[[#This Row],[AsOfDate]],G:H,2,0)+OneWeekMtgRatesDataTable8[[#This Row],[SeriesNumValue]]</f>
        <v>4.4404757854666901</v>
      </c>
      <c r="F89" s="2" t="s">
        <v>1277</v>
      </c>
      <c r="G89" s="2" t="s">
        <v>92</v>
      </c>
      <c r="H89" s="2">
        <v>0.53976111599999999</v>
      </c>
      <c r="K89" s="4">
        <v>40295</v>
      </c>
      <c r="L89">
        <v>4.9850000000000003</v>
      </c>
    </row>
    <row r="90" spans="1:12" x14ac:dyDescent="0.25">
      <c r="A90" s="2" t="s">
        <v>5</v>
      </c>
      <c r="B90" s="2" t="s">
        <v>93</v>
      </c>
      <c r="C90" s="2">
        <v>3.8958144444652301</v>
      </c>
      <c r="D90" s="2">
        <f>VLOOKUP(OneWeekMtgRatesDataTable8[[#This Row],[AsOfDate]],G:H,2,0)+OneWeekMtgRatesDataTable8[[#This Row],[SeriesNumValue]]</f>
        <v>4.4355755604652298</v>
      </c>
      <c r="F90" s="2" t="s">
        <v>1277</v>
      </c>
      <c r="G90" s="2" t="s">
        <v>93</v>
      </c>
      <c r="H90" s="2">
        <v>0.53976111599999999</v>
      </c>
      <c r="K90" s="4">
        <v>40296</v>
      </c>
      <c r="L90">
        <v>4.9850000000000003</v>
      </c>
    </row>
    <row r="91" spans="1:12" x14ac:dyDescent="0.25">
      <c r="A91" s="2" t="s">
        <v>5</v>
      </c>
      <c r="B91" s="2" t="s">
        <v>94</v>
      </c>
      <c r="C91" s="2">
        <v>3.8566823596436302</v>
      </c>
      <c r="D91" s="2">
        <f>VLOOKUP(OneWeekMtgRatesDataTable8[[#This Row],[AsOfDate]],G:H,2,0)+OneWeekMtgRatesDataTable8[[#This Row],[SeriesNumValue]]</f>
        <v>4.3796100796436299</v>
      </c>
      <c r="F91" s="2" t="s">
        <v>1277</v>
      </c>
      <c r="G91" s="2" t="s">
        <v>94</v>
      </c>
      <c r="H91" s="2">
        <v>0.52292771999999998</v>
      </c>
      <c r="K91" s="4">
        <v>40297</v>
      </c>
      <c r="L91">
        <v>4.9249999999999998</v>
      </c>
    </row>
    <row r="92" spans="1:12" x14ac:dyDescent="0.25">
      <c r="A92" s="2" t="s">
        <v>5</v>
      </c>
      <c r="B92" s="2" t="s">
        <v>95</v>
      </c>
      <c r="C92" s="2">
        <v>3.8960475696297299</v>
      </c>
      <c r="D92" s="2">
        <f>VLOOKUP(OneWeekMtgRatesDataTable8[[#This Row],[AsOfDate]],G:H,2,0)+OneWeekMtgRatesDataTable8[[#This Row],[SeriesNumValue]]</f>
        <v>4.4189752896297296</v>
      </c>
      <c r="F92" s="2" t="s">
        <v>1277</v>
      </c>
      <c r="G92" s="2" t="s">
        <v>95</v>
      </c>
      <c r="H92" s="2">
        <v>0.52292771999999998</v>
      </c>
      <c r="K92" s="4">
        <v>40298</v>
      </c>
      <c r="L92">
        <v>4.9249999999999998</v>
      </c>
    </row>
    <row r="93" spans="1:12" x14ac:dyDescent="0.25">
      <c r="A93" s="2" t="s">
        <v>5</v>
      </c>
      <c r="B93" s="2" t="s">
        <v>96</v>
      </c>
      <c r="C93" s="2">
        <v>3.8969631716255102</v>
      </c>
      <c r="D93" s="2">
        <f>VLOOKUP(OneWeekMtgRatesDataTable8[[#This Row],[AsOfDate]],G:H,2,0)+OneWeekMtgRatesDataTable8[[#This Row],[SeriesNumValue]]</f>
        <v>4.41989089162551</v>
      </c>
      <c r="F93" s="2" t="s">
        <v>1277</v>
      </c>
      <c r="G93" s="2" t="s">
        <v>96</v>
      </c>
      <c r="H93" s="2">
        <v>0.52292771999999998</v>
      </c>
      <c r="K93" s="4">
        <v>40301</v>
      </c>
      <c r="L93">
        <v>4.9249999999999998</v>
      </c>
    </row>
    <row r="94" spans="1:12" x14ac:dyDescent="0.25">
      <c r="A94" s="2" t="s">
        <v>5</v>
      </c>
      <c r="B94" s="2" t="s">
        <v>97</v>
      </c>
      <c r="C94" s="2">
        <v>3.9067873129845099</v>
      </c>
      <c r="D94" s="2">
        <f>VLOOKUP(OneWeekMtgRatesDataTable8[[#This Row],[AsOfDate]],G:H,2,0)+OneWeekMtgRatesDataTable8[[#This Row],[SeriesNumValue]]</f>
        <v>4.4297150329845101</v>
      </c>
      <c r="F94" s="2" t="s">
        <v>1277</v>
      </c>
      <c r="G94" s="2" t="s">
        <v>97</v>
      </c>
      <c r="H94" s="2">
        <v>0.52292771999999998</v>
      </c>
      <c r="K94" s="4">
        <v>40302</v>
      </c>
      <c r="L94">
        <v>4.9249999999999998</v>
      </c>
    </row>
    <row r="95" spans="1:12" x14ac:dyDescent="0.25">
      <c r="A95" s="2" t="s">
        <v>5</v>
      </c>
      <c r="B95" s="2" t="s">
        <v>98</v>
      </c>
      <c r="C95" s="2">
        <v>3.9753443748507</v>
      </c>
      <c r="D95" s="2">
        <f>VLOOKUP(OneWeekMtgRatesDataTable8[[#This Row],[AsOfDate]],G:H,2,0)+OneWeekMtgRatesDataTable8[[#This Row],[SeriesNumValue]]</f>
        <v>4.4982720948506998</v>
      </c>
      <c r="F95" s="2" t="s">
        <v>1277</v>
      </c>
      <c r="G95" s="2" t="s">
        <v>98</v>
      </c>
      <c r="H95" s="2">
        <v>0.52292771999999998</v>
      </c>
      <c r="K95" s="4">
        <v>40303</v>
      </c>
      <c r="L95">
        <v>4.9249999999999998</v>
      </c>
    </row>
    <row r="96" spans="1:12" x14ac:dyDescent="0.25">
      <c r="A96" s="2" t="s">
        <v>5</v>
      </c>
      <c r="B96" s="2" t="s">
        <v>99</v>
      </c>
      <c r="C96" s="2">
        <v>3.9059042463873701</v>
      </c>
      <c r="D96" s="2">
        <f>VLOOKUP(OneWeekMtgRatesDataTable8[[#This Row],[AsOfDate]],G:H,2,0)+OneWeekMtgRatesDataTable8[[#This Row],[SeriesNumValue]]</f>
        <v>4.4146949113873699</v>
      </c>
      <c r="F96" s="2" t="s">
        <v>1277</v>
      </c>
      <c r="G96" s="2" t="s">
        <v>99</v>
      </c>
      <c r="H96" s="2">
        <v>0.50879066500000003</v>
      </c>
      <c r="K96" s="4">
        <v>40304</v>
      </c>
      <c r="L96">
        <v>4.8550000000000004</v>
      </c>
    </row>
    <row r="97" spans="1:12" x14ac:dyDescent="0.25">
      <c r="A97" s="2" t="s">
        <v>5</v>
      </c>
      <c r="B97" s="2" t="s">
        <v>100</v>
      </c>
      <c r="C97" s="2">
        <v>3.8841647371272701</v>
      </c>
      <c r="D97" s="2">
        <f>VLOOKUP(OneWeekMtgRatesDataTable8[[#This Row],[AsOfDate]],G:H,2,0)+OneWeekMtgRatesDataTable8[[#This Row],[SeriesNumValue]]</f>
        <v>4.3929554021272699</v>
      </c>
      <c r="F97" s="2" t="s">
        <v>1277</v>
      </c>
      <c r="G97" s="2" t="s">
        <v>100</v>
      </c>
      <c r="H97" s="2">
        <v>0.50879066500000003</v>
      </c>
      <c r="K97" s="4">
        <v>40305</v>
      </c>
      <c r="L97">
        <v>4.8550000000000004</v>
      </c>
    </row>
    <row r="98" spans="1:12" x14ac:dyDescent="0.25">
      <c r="A98" s="2" t="s">
        <v>5</v>
      </c>
      <c r="B98" s="2" t="s">
        <v>101</v>
      </c>
      <c r="C98" s="2">
        <v>3.9054668226802498</v>
      </c>
      <c r="D98" s="2">
        <f>VLOOKUP(OneWeekMtgRatesDataTable8[[#This Row],[AsOfDate]],G:H,2,0)+OneWeekMtgRatesDataTable8[[#This Row],[SeriesNumValue]]</f>
        <v>4.4142574876802501</v>
      </c>
      <c r="F98" s="2" t="s">
        <v>1277</v>
      </c>
      <c r="G98" s="2" t="s">
        <v>101</v>
      </c>
      <c r="H98" s="2">
        <v>0.50879066500000003</v>
      </c>
      <c r="K98" s="4">
        <v>40308</v>
      </c>
      <c r="L98">
        <v>4.8550000000000004</v>
      </c>
    </row>
    <row r="99" spans="1:12" x14ac:dyDescent="0.25">
      <c r="A99" s="2" t="s">
        <v>5</v>
      </c>
      <c r="B99" s="2" t="s">
        <v>102</v>
      </c>
      <c r="C99" s="2">
        <v>3.9260526521362999</v>
      </c>
      <c r="D99" s="2">
        <f>VLOOKUP(OneWeekMtgRatesDataTable8[[#This Row],[AsOfDate]],G:H,2,0)+OneWeekMtgRatesDataTable8[[#This Row],[SeriesNumValue]]</f>
        <v>4.4348433171363002</v>
      </c>
      <c r="F99" s="2" t="s">
        <v>1277</v>
      </c>
      <c r="G99" s="2" t="s">
        <v>102</v>
      </c>
      <c r="H99" s="2">
        <v>0.50879066500000003</v>
      </c>
      <c r="K99" s="4">
        <v>40309</v>
      </c>
      <c r="L99">
        <v>4.8550000000000004</v>
      </c>
    </row>
    <row r="100" spans="1:12" x14ac:dyDescent="0.25">
      <c r="A100" s="2" t="s">
        <v>5</v>
      </c>
      <c r="B100" s="2" t="s">
        <v>103</v>
      </c>
      <c r="C100" s="2">
        <v>3.9333528033335798</v>
      </c>
      <c r="D100" s="2">
        <f>VLOOKUP(OneWeekMtgRatesDataTable8[[#This Row],[AsOfDate]],G:H,2,0)+OneWeekMtgRatesDataTable8[[#This Row],[SeriesNumValue]]</f>
        <v>4.4421434683335796</v>
      </c>
      <c r="F100" s="2" t="s">
        <v>1277</v>
      </c>
      <c r="G100" s="2" t="s">
        <v>103</v>
      </c>
      <c r="H100" s="2">
        <v>0.50879066500000003</v>
      </c>
      <c r="K100" s="4">
        <v>40310</v>
      </c>
      <c r="L100">
        <v>4.8550000000000004</v>
      </c>
    </row>
    <row r="101" spans="1:12" x14ac:dyDescent="0.25">
      <c r="A101" s="2" t="s">
        <v>5</v>
      </c>
      <c r="B101" s="2" t="s">
        <v>104</v>
      </c>
      <c r="C101" s="2">
        <v>3.9103100553676802</v>
      </c>
      <c r="D101" s="2">
        <f>VLOOKUP(OneWeekMtgRatesDataTable8[[#This Row],[AsOfDate]],G:H,2,0)+OneWeekMtgRatesDataTable8[[#This Row],[SeriesNumValue]]</f>
        <v>4.4484406413676805</v>
      </c>
      <c r="F101" s="2" t="s">
        <v>1277</v>
      </c>
      <c r="G101" s="2" t="s">
        <v>104</v>
      </c>
      <c r="H101" s="2">
        <v>0.53813058599999997</v>
      </c>
      <c r="K101" s="4">
        <v>40311</v>
      </c>
      <c r="L101">
        <v>4.7649999999999997</v>
      </c>
    </row>
    <row r="102" spans="1:12" x14ac:dyDescent="0.25">
      <c r="A102" s="2" t="s">
        <v>5</v>
      </c>
      <c r="B102" s="2" t="s">
        <v>105</v>
      </c>
      <c r="C102" s="2">
        <v>3.84233320184673</v>
      </c>
      <c r="D102" s="2">
        <f>VLOOKUP(OneWeekMtgRatesDataTable8[[#This Row],[AsOfDate]],G:H,2,0)+OneWeekMtgRatesDataTable8[[#This Row],[SeriesNumValue]]</f>
        <v>4.3804637878467299</v>
      </c>
      <c r="F102" s="2" t="s">
        <v>1277</v>
      </c>
      <c r="G102" s="2" t="s">
        <v>105</v>
      </c>
      <c r="H102" s="2">
        <v>0.53813058599999997</v>
      </c>
      <c r="K102" s="4">
        <v>40312</v>
      </c>
      <c r="L102">
        <v>4.7649999999999997</v>
      </c>
    </row>
    <row r="103" spans="1:12" x14ac:dyDescent="0.25">
      <c r="A103" s="2" t="s">
        <v>5</v>
      </c>
      <c r="B103" s="2" t="s">
        <v>106</v>
      </c>
      <c r="C103" s="2">
        <v>3.8413126795761698</v>
      </c>
      <c r="D103" s="2">
        <f>VLOOKUP(OneWeekMtgRatesDataTable8[[#This Row],[AsOfDate]],G:H,2,0)+OneWeekMtgRatesDataTable8[[#This Row],[SeriesNumValue]]</f>
        <v>4.3794432655761701</v>
      </c>
      <c r="F103" s="2" t="s">
        <v>1277</v>
      </c>
      <c r="G103" s="2" t="s">
        <v>106</v>
      </c>
      <c r="H103" s="2">
        <v>0.53813058599999997</v>
      </c>
      <c r="K103" s="4">
        <v>40315</v>
      </c>
      <c r="L103">
        <v>4.7649999999999997</v>
      </c>
    </row>
    <row r="104" spans="1:12" x14ac:dyDescent="0.25">
      <c r="A104" s="2" t="s">
        <v>5</v>
      </c>
      <c r="B104" s="2" t="s">
        <v>107</v>
      </c>
      <c r="C104" s="2">
        <v>3.88514648916032</v>
      </c>
      <c r="D104" s="2">
        <f>VLOOKUP(OneWeekMtgRatesDataTable8[[#This Row],[AsOfDate]],G:H,2,0)+OneWeekMtgRatesDataTable8[[#This Row],[SeriesNumValue]]</f>
        <v>4.4232770751603203</v>
      </c>
      <c r="F104" s="2" t="s">
        <v>1277</v>
      </c>
      <c r="G104" s="2" t="s">
        <v>107</v>
      </c>
      <c r="H104" s="2">
        <v>0.53813058599999997</v>
      </c>
      <c r="K104" s="4">
        <v>40316</v>
      </c>
      <c r="L104">
        <v>4.7649999999999997</v>
      </c>
    </row>
    <row r="105" spans="1:12" x14ac:dyDescent="0.25">
      <c r="A105" s="2" t="s">
        <v>5</v>
      </c>
      <c r="B105" s="2" t="s">
        <v>108</v>
      </c>
      <c r="C105" s="2">
        <v>3.9645862144820998</v>
      </c>
      <c r="D105" s="2">
        <f>VLOOKUP(OneWeekMtgRatesDataTable8[[#This Row],[AsOfDate]],G:H,2,0)+OneWeekMtgRatesDataTable8[[#This Row],[SeriesNumValue]]</f>
        <v>4.5027168004820997</v>
      </c>
      <c r="F105" s="2" t="s">
        <v>1277</v>
      </c>
      <c r="G105" s="2" t="s">
        <v>108</v>
      </c>
      <c r="H105" s="2">
        <v>0.53813058599999997</v>
      </c>
      <c r="K105" s="4">
        <v>40317</v>
      </c>
      <c r="L105">
        <v>4.7649999999999997</v>
      </c>
    </row>
    <row r="106" spans="1:12" x14ac:dyDescent="0.25">
      <c r="A106" s="2" t="s">
        <v>5</v>
      </c>
      <c r="B106" s="2" t="s">
        <v>109</v>
      </c>
      <c r="C106" s="2">
        <v>3.9900665756964502</v>
      </c>
      <c r="D106" s="2">
        <f>VLOOKUP(OneWeekMtgRatesDataTable8[[#This Row],[AsOfDate]],G:H,2,0)+OneWeekMtgRatesDataTable8[[#This Row],[SeriesNumValue]]</f>
        <v>4.5203775436964504</v>
      </c>
      <c r="F106" s="2" t="s">
        <v>1277</v>
      </c>
      <c r="G106" s="2" t="s">
        <v>109</v>
      </c>
      <c r="H106" s="2">
        <v>0.53031096799999999</v>
      </c>
      <c r="K106" s="4">
        <v>40318</v>
      </c>
      <c r="L106">
        <v>4.7050000000000001</v>
      </c>
    </row>
    <row r="107" spans="1:12" x14ac:dyDescent="0.25">
      <c r="A107" s="2" t="s">
        <v>5</v>
      </c>
      <c r="B107" s="2" t="s">
        <v>110</v>
      </c>
      <c r="C107" s="2">
        <v>4.0210177977435997</v>
      </c>
      <c r="D107" s="2">
        <f>VLOOKUP(OneWeekMtgRatesDataTable8[[#This Row],[AsOfDate]],G:H,2,0)+OneWeekMtgRatesDataTable8[[#This Row],[SeriesNumValue]]</f>
        <v>4.5513287657435999</v>
      </c>
      <c r="F107" s="2" t="s">
        <v>1277</v>
      </c>
      <c r="G107" s="2" t="s">
        <v>110</v>
      </c>
      <c r="H107" s="2">
        <v>0.53031096799999999</v>
      </c>
      <c r="K107" s="4">
        <v>40319</v>
      </c>
      <c r="L107">
        <v>4.7050000000000001</v>
      </c>
    </row>
    <row r="108" spans="1:12" x14ac:dyDescent="0.25">
      <c r="A108" s="2" t="s">
        <v>5</v>
      </c>
      <c r="B108" s="2" t="s">
        <v>111</v>
      </c>
      <c r="C108" s="2">
        <v>4.04948996007146</v>
      </c>
      <c r="D108" s="2">
        <f>VLOOKUP(OneWeekMtgRatesDataTable8[[#This Row],[AsOfDate]],G:H,2,0)+OneWeekMtgRatesDataTable8[[#This Row],[SeriesNumValue]]</f>
        <v>4.5798009280714602</v>
      </c>
      <c r="F108" s="2" t="s">
        <v>1277</v>
      </c>
      <c r="G108" s="2" t="s">
        <v>111</v>
      </c>
      <c r="H108" s="2">
        <v>0.53031096799999999</v>
      </c>
      <c r="K108" s="4">
        <v>40322</v>
      </c>
      <c r="L108">
        <v>4.7050000000000001</v>
      </c>
    </row>
    <row r="109" spans="1:12" x14ac:dyDescent="0.25">
      <c r="A109" s="2" t="s">
        <v>5</v>
      </c>
      <c r="B109" s="2" t="s">
        <v>112</v>
      </c>
      <c r="C109" s="2">
        <v>4.0109296583696397</v>
      </c>
      <c r="D109" s="2">
        <f>VLOOKUP(OneWeekMtgRatesDataTable8[[#This Row],[AsOfDate]],G:H,2,0)+OneWeekMtgRatesDataTable8[[#This Row],[SeriesNumValue]]</f>
        <v>4.5412406263696399</v>
      </c>
      <c r="F109" s="2" t="s">
        <v>1277</v>
      </c>
      <c r="G109" s="2" t="s">
        <v>112</v>
      </c>
      <c r="H109" s="2">
        <v>0.53031096799999999</v>
      </c>
      <c r="K109" s="4">
        <v>40323</v>
      </c>
      <c r="L109">
        <v>4.7050000000000001</v>
      </c>
    </row>
    <row r="110" spans="1:12" x14ac:dyDescent="0.25">
      <c r="A110" s="2" t="s">
        <v>5</v>
      </c>
      <c r="B110" s="2" t="s">
        <v>113</v>
      </c>
      <c r="C110" s="2">
        <v>4.00074846478753</v>
      </c>
      <c r="D110" s="2">
        <f>VLOOKUP(OneWeekMtgRatesDataTable8[[#This Row],[AsOfDate]],G:H,2,0)+OneWeekMtgRatesDataTable8[[#This Row],[SeriesNumValue]]</f>
        <v>4.5052019947875301</v>
      </c>
      <c r="F110" s="2" t="s">
        <v>1277</v>
      </c>
      <c r="G110" s="2" t="s">
        <v>113</v>
      </c>
      <c r="H110" s="2">
        <v>0.50445353000000004</v>
      </c>
      <c r="K110" s="4">
        <v>40324</v>
      </c>
      <c r="L110">
        <v>4.7050000000000001</v>
      </c>
    </row>
    <row r="111" spans="1:12" x14ac:dyDescent="0.25">
      <c r="A111" s="2" t="s">
        <v>5</v>
      </c>
      <c r="B111" s="2" t="s">
        <v>114</v>
      </c>
      <c r="C111" s="2">
        <v>4.0552994132592604</v>
      </c>
      <c r="D111" s="2">
        <f>VLOOKUP(OneWeekMtgRatesDataTable8[[#This Row],[AsOfDate]],G:H,2,0)+OneWeekMtgRatesDataTable8[[#This Row],[SeriesNumValue]]</f>
        <v>4.5597529432592605</v>
      </c>
      <c r="F111" s="2" t="s">
        <v>1277</v>
      </c>
      <c r="G111" s="2" t="s">
        <v>114</v>
      </c>
      <c r="H111" s="2">
        <v>0.50445353000000004</v>
      </c>
      <c r="K111" s="4">
        <v>40325</v>
      </c>
      <c r="L111">
        <v>4.74</v>
      </c>
    </row>
    <row r="112" spans="1:12" x14ac:dyDescent="0.25">
      <c r="A112" s="2" t="s">
        <v>5</v>
      </c>
      <c r="B112" s="2" t="s">
        <v>115</v>
      </c>
      <c r="C112" s="2">
        <v>3.9560446412855801</v>
      </c>
      <c r="D112" s="2">
        <f>VLOOKUP(OneWeekMtgRatesDataTable8[[#This Row],[AsOfDate]],G:H,2,0)+OneWeekMtgRatesDataTable8[[#This Row],[SeriesNumValue]]</f>
        <v>4.4604981712855798</v>
      </c>
      <c r="F112" s="2" t="s">
        <v>1277</v>
      </c>
      <c r="G112" s="2" t="s">
        <v>115</v>
      </c>
      <c r="H112" s="2">
        <v>0.50445353000000004</v>
      </c>
      <c r="K112" s="4">
        <v>40326</v>
      </c>
      <c r="L112">
        <v>4.74</v>
      </c>
    </row>
    <row r="113" spans="1:12" x14ac:dyDescent="0.25">
      <c r="A113" s="2" t="s">
        <v>5</v>
      </c>
      <c r="B113" s="2" t="s">
        <v>116</v>
      </c>
      <c r="C113" s="2">
        <v>3.9124758151912502</v>
      </c>
      <c r="D113" s="2">
        <f>VLOOKUP(OneWeekMtgRatesDataTable8[[#This Row],[AsOfDate]],G:H,2,0)+OneWeekMtgRatesDataTable8[[#This Row],[SeriesNumValue]]</f>
        <v>4.4169293451912504</v>
      </c>
      <c r="F113" s="2" t="s">
        <v>1277</v>
      </c>
      <c r="G113" s="2" t="s">
        <v>116</v>
      </c>
      <c r="H113" s="2">
        <v>0.50445353000000004</v>
      </c>
      <c r="K113" s="4">
        <v>40330</v>
      </c>
      <c r="L113">
        <v>4.74</v>
      </c>
    </row>
    <row r="114" spans="1:12" x14ac:dyDescent="0.25">
      <c r="A114" s="2" t="s">
        <v>5</v>
      </c>
      <c r="B114" s="2" t="s">
        <v>117</v>
      </c>
      <c r="C114" s="2">
        <v>3.8994081954805799</v>
      </c>
      <c r="D114" s="2">
        <f>VLOOKUP(OneWeekMtgRatesDataTable8[[#This Row],[AsOfDate]],G:H,2,0)+OneWeekMtgRatesDataTable8[[#This Row],[SeriesNumValue]]</f>
        <v>4.4038617254805796</v>
      </c>
      <c r="F114" s="2" t="s">
        <v>1277</v>
      </c>
      <c r="G114" s="2" t="s">
        <v>117</v>
      </c>
      <c r="H114" s="2">
        <v>0.50445353000000004</v>
      </c>
      <c r="K114" s="4">
        <v>40331</v>
      </c>
      <c r="L114">
        <v>4.74</v>
      </c>
    </row>
    <row r="115" spans="1:12" x14ac:dyDescent="0.25">
      <c r="A115" s="2" t="s">
        <v>5</v>
      </c>
      <c r="B115" s="2" t="s">
        <v>118</v>
      </c>
      <c r="C115" s="2">
        <v>3.8643242728668699</v>
      </c>
      <c r="D115" s="2">
        <f>VLOOKUP(OneWeekMtgRatesDataTable8[[#This Row],[AsOfDate]],G:H,2,0)+OneWeekMtgRatesDataTable8[[#This Row],[SeriesNumValue]]</f>
        <v>4.3618138048668698</v>
      </c>
      <c r="F115" s="2" t="s">
        <v>1277</v>
      </c>
      <c r="G115" s="2" t="s">
        <v>118</v>
      </c>
      <c r="H115" s="2">
        <v>0.49748953200000001</v>
      </c>
      <c r="K115" s="4">
        <v>40332</v>
      </c>
      <c r="L115">
        <v>4.6449999999999996</v>
      </c>
    </row>
    <row r="116" spans="1:12" x14ac:dyDescent="0.25">
      <c r="A116" s="2" t="s">
        <v>5</v>
      </c>
      <c r="B116" s="2" t="s">
        <v>119</v>
      </c>
      <c r="C116" s="2">
        <v>3.8985405222991401</v>
      </c>
      <c r="D116" s="2">
        <f>VLOOKUP(OneWeekMtgRatesDataTable8[[#This Row],[AsOfDate]],G:H,2,0)+OneWeekMtgRatesDataTable8[[#This Row],[SeriesNumValue]]</f>
        <v>4.39603005429914</v>
      </c>
      <c r="F116" s="2" t="s">
        <v>1277</v>
      </c>
      <c r="G116" s="2" t="s">
        <v>119</v>
      </c>
      <c r="H116" s="2">
        <v>0.49748953200000001</v>
      </c>
      <c r="K116" s="4">
        <v>40333</v>
      </c>
      <c r="L116">
        <v>4.6449999999999996</v>
      </c>
    </row>
    <row r="117" spans="1:12" x14ac:dyDescent="0.25">
      <c r="A117" s="2" t="s">
        <v>5</v>
      </c>
      <c r="B117" s="2" t="s">
        <v>120</v>
      </c>
      <c r="C117" s="2">
        <v>3.8829277036335901</v>
      </c>
      <c r="D117" s="2">
        <f>VLOOKUP(OneWeekMtgRatesDataTable8[[#This Row],[AsOfDate]],G:H,2,0)+OneWeekMtgRatesDataTable8[[#This Row],[SeriesNumValue]]</f>
        <v>4.3804172356335904</v>
      </c>
      <c r="F117" s="2" t="s">
        <v>1277</v>
      </c>
      <c r="G117" s="2" t="s">
        <v>120</v>
      </c>
      <c r="H117" s="2">
        <v>0.49748953200000001</v>
      </c>
      <c r="K117" s="4">
        <v>40336</v>
      </c>
      <c r="L117">
        <v>4.6449999999999996</v>
      </c>
    </row>
    <row r="118" spans="1:12" x14ac:dyDescent="0.25">
      <c r="A118" s="2" t="s">
        <v>5</v>
      </c>
      <c r="B118" s="2" t="s">
        <v>121</v>
      </c>
      <c r="C118" s="2">
        <v>3.9143080460747499</v>
      </c>
      <c r="D118" s="2">
        <f>VLOOKUP(OneWeekMtgRatesDataTable8[[#This Row],[AsOfDate]],G:H,2,0)+OneWeekMtgRatesDataTable8[[#This Row],[SeriesNumValue]]</f>
        <v>4.4117975780747498</v>
      </c>
      <c r="F118" s="2" t="s">
        <v>1277</v>
      </c>
      <c r="G118" s="2" t="s">
        <v>121</v>
      </c>
      <c r="H118" s="2">
        <v>0.49748953200000001</v>
      </c>
      <c r="K118" s="4">
        <v>40337</v>
      </c>
      <c r="L118">
        <v>4.6449999999999996</v>
      </c>
    </row>
    <row r="119" spans="1:12" x14ac:dyDescent="0.25">
      <c r="A119" s="2" t="s">
        <v>5</v>
      </c>
      <c r="B119" s="2" t="s">
        <v>122</v>
      </c>
      <c r="C119" s="2">
        <v>3.9028989279116901</v>
      </c>
      <c r="D119" s="2">
        <f>VLOOKUP(OneWeekMtgRatesDataTable8[[#This Row],[AsOfDate]],G:H,2,0)+OneWeekMtgRatesDataTable8[[#This Row],[SeriesNumValue]]</f>
        <v>4.4003884599116905</v>
      </c>
      <c r="F119" s="2" t="s">
        <v>1277</v>
      </c>
      <c r="G119" s="2" t="s">
        <v>122</v>
      </c>
      <c r="H119" s="2">
        <v>0.49748953200000001</v>
      </c>
      <c r="K119" s="4">
        <v>40338</v>
      </c>
      <c r="L119">
        <v>4.6449999999999996</v>
      </c>
    </row>
    <row r="120" spans="1:12" x14ac:dyDescent="0.25">
      <c r="A120" s="2" t="s">
        <v>5</v>
      </c>
      <c r="B120" s="2" t="s">
        <v>123</v>
      </c>
      <c r="C120" s="2">
        <v>3.9147234393454702</v>
      </c>
      <c r="D120" s="2">
        <f>VLOOKUP(OneWeekMtgRatesDataTable8[[#This Row],[AsOfDate]],G:H,2,0)+OneWeekMtgRatesDataTable8[[#This Row],[SeriesNumValue]]</f>
        <v>4.4570437113454702</v>
      </c>
      <c r="F120" s="2" t="s">
        <v>1277</v>
      </c>
      <c r="G120" s="2" t="s">
        <v>123</v>
      </c>
      <c r="H120" s="2">
        <v>0.54232027199999999</v>
      </c>
      <c r="K120" s="4">
        <v>40339</v>
      </c>
      <c r="L120">
        <v>4.6749999999999998</v>
      </c>
    </row>
    <row r="121" spans="1:12" x14ac:dyDescent="0.25">
      <c r="A121" s="2" t="s">
        <v>5</v>
      </c>
      <c r="B121" s="2" t="s">
        <v>124</v>
      </c>
      <c r="C121" s="2">
        <v>3.95043209572012</v>
      </c>
      <c r="D121" s="2">
        <f>VLOOKUP(OneWeekMtgRatesDataTable8[[#This Row],[AsOfDate]],G:H,2,0)+OneWeekMtgRatesDataTable8[[#This Row],[SeriesNumValue]]</f>
        <v>4.4927523677201204</v>
      </c>
      <c r="F121" s="2" t="s">
        <v>1277</v>
      </c>
      <c r="G121" s="2" t="s">
        <v>124</v>
      </c>
      <c r="H121" s="2">
        <v>0.54232027199999999</v>
      </c>
      <c r="K121" s="4">
        <v>40340</v>
      </c>
      <c r="L121">
        <v>4.6749999999999998</v>
      </c>
    </row>
    <row r="122" spans="1:12" x14ac:dyDescent="0.25">
      <c r="A122" s="2" t="s">
        <v>5</v>
      </c>
      <c r="B122" s="2" t="s">
        <v>125</v>
      </c>
      <c r="C122" s="2">
        <v>3.9256648990876601</v>
      </c>
      <c r="D122" s="2">
        <f>VLOOKUP(OneWeekMtgRatesDataTable8[[#This Row],[AsOfDate]],G:H,2,0)+OneWeekMtgRatesDataTable8[[#This Row],[SeriesNumValue]]</f>
        <v>4.4679851710876601</v>
      </c>
      <c r="F122" s="2" t="s">
        <v>1277</v>
      </c>
      <c r="G122" s="2" t="s">
        <v>125</v>
      </c>
      <c r="H122" s="2">
        <v>0.54232027199999999</v>
      </c>
      <c r="K122" s="4">
        <v>40343</v>
      </c>
      <c r="L122">
        <v>4.6749999999999998</v>
      </c>
    </row>
    <row r="123" spans="1:12" x14ac:dyDescent="0.25">
      <c r="A123" s="2" t="s">
        <v>5</v>
      </c>
      <c r="B123" s="2" t="s">
        <v>126</v>
      </c>
      <c r="C123" s="2">
        <v>3.9604705885529299</v>
      </c>
      <c r="D123" s="2">
        <f>VLOOKUP(OneWeekMtgRatesDataTable8[[#This Row],[AsOfDate]],G:H,2,0)+OneWeekMtgRatesDataTable8[[#This Row],[SeriesNumValue]]</f>
        <v>4.5027908605529294</v>
      </c>
      <c r="F123" s="2" t="s">
        <v>1277</v>
      </c>
      <c r="G123" s="2" t="s">
        <v>126</v>
      </c>
      <c r="H123" s="2">
        <v>0.54232027199999999</v>
      </c>
      <c r="K123" s="4">
        <v>40344</v>
      </c>
      <c r="L123">
        <v>4.6749999999999998</v>
      </c>
    </row>
    <row r="124" spans="1:12" x14ac:dyDescent="0.25">
      <c r="A124" s="2" t="s">
        <v>5</v>
      </c>
      <c r="B124" s="2" t="s">
        <v>127</v>
      </c>
      <c r="C124" s="2">
        <v>3.93180055447786</v>
      </c>
      <c r="D124" s="2">
        <f>VLOOKUP(OneWeekMtgRatesDataTable8[[#This Row],[AsOfDate]],G:H,2,0)+OneWeekMtgRatesDataTable8[[#This Row],[SeriesNumValue]]</f>
        <v>4.4741208264778596</v>
      </c>
      <c r="F124" s="2" t="s">
        <v>1277</v>
      </c>
      <c r="G124" s="2" t="s">
        <v>127</v>
      </c>
      <c r="H124" s="2">
        <v>0.54232027199999999</v>
      </c>
      <c r="K124" s="4">
        <v>40345</v>
      </c>
      <c r="L124">
        <v>4.6749999999999998</v>
      </c>
    </row>
    <row r="125" spans="1:12" x14ac:dyDescent="0.25">
      <c r="A125" s="2" t="s">
        <v>5</v>
      </c>
      <c r="B125" s="2" t="s">
        <v>128</v>
      </c>
      <c r="C125" s="2">
        <v>3.9740262536050301</v>
      </c>
      <c r="D125" s="2">
        <f>VLOOKUP(OneWeekMtgRatesDataTable8[[#This Row],[AsOfDate]],G:H,2,0)+OneWeekMtgRatesDataTable8[[#This Row],[SeriesNumValue]]</f>
        <v>4.5255473756050302</v>
      </c>
      <c r="F125" s="2" t="s">
        <v>1277</v>
      </c>
      <c r="G125" s="2" t="s">
        <v>128</v>
      </c>
      <c r="H125" s="2">
        <v>0.55152112200000003</v>
      </c>
      <c r="K125" s="4">
        <v>40346</v>
      </c>
      <c r="L125">
        <v>4.6150000000000002</v>
      </c>
    </row>
    <row r="126" spans="1:12" x14ac:dyDescent="0.25">
      <c r="A126" s="2" t="s">
        <v>5</v>
      </c>
      <c r="B126" s="2" t="s">
        <v>129</v>
      </c>
      <c r="C126" s="2">
        <v>3.9324314812140502</v>
      </c>
      <c r="D126" s="2">
        <f>VLOOKUP(OneWeekMtgRatesDataTable8[[#This Row],[AsOfDate]],G:H,2,0)+OneWeekMtgRatesDataTable8[[#This Row],[SeriesNumValue]]</f>
        <v>4.4839526032140498</v>
      </c>
      <c r="F126" s="2" t="s">
        <v>1277</v>
      </c>
      <c r="G126" s="2" t="s">
        <v>129</v>
      </c>
      <c r="H126" s="2">
        <v>0.55152112200000003</v>
      </c>
      <c r="K126" s="4">
        <v>40347</v>
      </c>
      <c r="L126">
        <v>4.6150000000000002</v>
      </c>
    </row>
    <row r="127" spans="1:12" x14ac:dyDescent="0.25">
      <c r="A127" s="2" t="s">
        <v>5</v>
      </c>
      <c r="B127" s="2" t="s">
        <v>130</v>
      </c>
      <c r="C127" s="2">
        <v>3.8088238659156599</v>
      </c>
      <c r="D127" s="2">
        <f>VLOOKUP(OneWeekMtgRatesDataTable8[[#This Row],[AsOfDate]],G:H,2,0)+OneWeekMtgRatesDataTable8[[#This Row],[SeriesNumValue]]</f>
        <v>4.3603449879156599</v>
      </c>
      <c r="F127" s="2" t="s">
        <v>1277</v>
      </c>
      <c r="G127" s="2" t="s">
        <v>130</v>
      </c>
      <c r="H127" s="2">
        <v>0.55152112200000003</v>
      </c>
      <c r="K127" s="4">
        <v>40350</v>
      </c>
      <c r="L127">
        <v>4.6150000000000002</v>
      </c>
    </row>
    <row r="128" spans="1:12" x14ac:dyDescent="0.25">
      <c r="A128" s="2" t="s">
        <v>5</v>
      </c>
      <c r="B128" s="2" t="s">
        <v>131</v>
      </c>
      <c r="C128" s="2">
        <v>3.76446810625648</v>
      </c>
      <c r="D128" s="2">
        <f>VLOOKUP(OneWeekMtgRatesDataTable8[[#This Row],[AsOfDate]],G:H,2,0)+OneWeekMtgRatesDataTable8[[#This Row],[SeriesNumValue]]</f>
        <v>4.3159892282564805</v>
      </c>
      <c r="F128" s="2" t="s">
        <v>1277</v>
      </c>
      <c r="G128" s="2" t="s">
        <v>131</v>
      </c>
      <c r="H128" s="2">
        <v>0.55152112200000003</v>
      </c>
      <c r="K128" s="4">
        <v>40351</v>
      </c>
      <c r="L128">
        <v>4.6150000000000002</v>
      </c>
    </row>
    <row r="129" spans="1:12" x14ac:dyDescent="0.25">
      <c r="A129" s="2" t="s">
        <v>5</v>
      </c>
      <c r="B129" s="2" t="s">
        <v>132</v>
      </c>
      <c r="C129" s="2">
        <v>3.6570869761159299</v>
      </c>
      <c r="D129" s="2">
        <f>VLOOKUP(OneWeekMtgRatesDataTable8[[#This Row],[AsOfDate]],G:H,2,0)+OneWeekMtgRatesDataTable8[[#This Row],[SeriesNumValue]]</f>
        <v>4.2086080981159295</v>
      </c>
      <c r="F129" s="2" t="s">
        <v>1277</v>
      </c>
      <c r="G129" s="2" t="s">
        <v>132</v>
      </c>
      <c r="H129" s="2">
        <v>0.55152112200000003</v>
      </c>
      <c r="K129" s="4">
        <v>40352</v>
      </c>
      <c r="L129">
        <v>4.6150000000000002</v>
      </c>
    </row>
    <row r="130" spans="1:12" x14ac:dyDescent="0.25">
      <c r="A130" s="2" t="s">
        <v>5</v>
      </c>
      <c r="B130" s="2" t="s">
        <v>133</v>
      </c>
      <c r="C130" s="2">
        <v>3.61498902203365</v>
      </c>
      <c r="D130" s="2">
        <f>VLOOKUP(OneWeekMtgRatesDataTable8[[#This Row],[AsOfDate]],G:H,2,0)+OneWeekMtgRatesDataTable8[[#This Row],[SeriesNumValue]]</f>
        <v>4.1994291320336501</v>
      </c>
      <c r="F130" s="2" t="s">
        <v>1277</v>
      </c>
      <c r="G130" s="2" t="s">
        <v>133</v>
      </c>
      <c r="H130" s="2">
        <v>0.58444010999999996</v>
      </c>
      <c r="K130" s="4">
        <v>40353</v>
      </c>
      <c r="L130">
        <v>4.5049999999999999</v>
      </c>
    </row>
    <row r="131" spans="1:12" x14ac:dyDescent="0.25">
      <c r="A131" s="2" t="s">
        <v>5</v>
      </c>
      <c r="B131" s="2" t="s">
        <v>134</v>
      </c>
      <c r="C131" s="2">
        <v>3.4866024421459598</v>
      </c>
      <c r="D131" s="2">
        <f>VLOOKUP(OneWeekMtgRatesDataTable8[[#This Row],[AsOfDate]],G:H,2,0)+OneWeekMtgRatesDataTable8[[#This Row],[SeriesNumValue]]</f>
        <v>4.0710425521459594</v>
      </c>
      <c r="F131" s="2" t="s">
        <v>1277</v>
      </c>
      <c r="G131" s="2" t="s">
        <v>134</v>
      </c>
      <c r="H131" s="2">
        <v>0.58444010999999996</v>
      </c>
      <c r="K131" s="4">
        <v>40354</v>
      </c>
      <c r="L131">
        <v>4.5049999999999999</v>
      </c>
    </row>
    <row r="132" spans="1:12" x14ac:dyDescent="0.25">
      <c r="A132" s="2" t="s">
        <v>5</v>
      </c>
      <c r="B132" s="2" t="s">
        <v>135</v>
      </c>
      <c r="C132" s="2">
        <v>3.6494432992963999</v>
      </c>
      <c r="D132" s="2">
        <f>VLOOKUP(OneWeekMtgRatesDataTable8[[#This Row],[AsOfDate]],G:H,2,0)+OneWeekMtgRatesDataTable8[[#This Row],[SeriesNumValue]]</f>
        <v>4.2338834092963999</v>
      </c>
      <c r="F132" s="2" t="s">
        <v>1277</v>
      </c>
      <c r="G132" s="2" t="s">
        <v>135</v>
      </c>
      <c r="H132" s="2">
        <v>0.58444010999999996</v>
      </c>
      <c r="K132" s="4">
        <v>40357</v>
      </c>
      <c r="L132">
        <v>4.5049999999999999</v>
      </c>
    </row>
    <row r="133" spans="1:12" x14ac:dyDescent="0.25">
      <c r="A133" s="2" t="s">
        <v>5</v>
      </c>
      <c r="B133" s="2" t="s">
        <v>136</v>
      </c>
      <c r="C133" s="2">
        <v>3.5272994184639499</v>
      </c>
      <c r="D133" s="2">
        <f>VLOOKUP(OneWeekMtgRatesDataTable8[[#This Row],[AsOfDate]],G:H,2,0)+OneWeekMtgRatesDataTable8[[#This Row],[SeriesNumValue]]</f>
        <v>4.11173952846395</v>
      </c>
      <c r="F133" s="2" t="s">
        <v>1277</v>
      </c>
      <c r="G133" s="2" t="s">
        <v>136</v>
      </c>
      <c r="H133" s="2">
        <v>0.58444010999999996</v>
      </c>
      <c r="K133" s="4">
        <v>40358</v>
      </c>
      <c r="L133">
        <v>4.5049999999999999</v>
      </c>
    </row>
    <row r="134" spans="1:12" x14ac:dyDescent="0.25">
      <c r="A134" s="2" t="s">
        <v>5</v>
      </c>
      <c r="B134" s="2" t="s">
        <v>137</v>
      </c>
      <c r="C134" s="2">
        <v>3.3615209507412498</v>
      </c>
      <c r="D134" s="2">
        <f>VLOOKUP(OneWeekMtgRatesDataTable8[[#This Row],[AsOfDate]],G:H,2,0)+OneWeekMtgRatesDataTable8[[#This Row],[SeriesNumValue]]</f>
        <v>3.9459610607412499</v>
      </c>
      <c r="F134" s="2" t="s">
        <v>1277</v>
      </c>
      <c r="G134" s="2" t="s">
        <v>137</v>
      </c>
      <c r="H134" s="2">
        <v>0.58444010999999996</v>
      </c>
      <c r="K134" s="4">
        <v>40359</v>
      </c>
      <c r="L134">
        <v>4.5049999999999999</v>
      </c>
    </row>
    <row r="135" spans="1:12" x14ac:dyDescent="0.25">
      <c r="A135" s="2" t="s">
        <v>5</v>
      </c>
      <c r="B135" s="2" t="s">
        <v>138</v>
      </c>
      <c r="C135" s="2">
        <v>3.2328090551178201</v>
      </c>
      <c r="D135" s="2">
        <f>VLOOKUP(OneWeekMtgRatesDataTable8[[#This Row],[AsOfDate]],G:H,2,0)+OneWeekMtgRatesDataTable8[[#This Row],[SeriesNumValue]]</f>
        <v>4.0262740221178204</v>
      </c>
      <c r="F135" s="2" t="s">
        <v>1277</v>
      </c>
      <c r="G135" s="2" t="s">
        <v>138</v>
      </c>
      <c r="H135" s="2">
        <v>0.79346496700000002</v>
      </c>
      <c r="K135" s="4">
        <v>40360</v>
      </c>
      <c r="L135">
        <v>4.4950000000000001</v>
      </c>
    </row>
    <row r="136" spans="1:12" x14ac:dyDescent="0.25">
      <c r="A136" s="2" t="s">
        <v>5</v>
      </c>
      <c r="B136" s="2" t="s">
        <v>139</v>
      </c>
      <c r="C136" s="2">
        <v>3.3763418020017699</v>
      </c>
      <c r="D136" s="2">
        <f>VLOOKUP(OneWeekMtgRatesDataTable8[[#This Row],[AsOfDate]],G:H,2,0)+OneWeekMtgRatesDataTable8[[#This Row],[SeriesNumValue]]</f>
        <v>4.1698067690017702</v>
      </c>
      <c r="F136" s="2" t="s">
        <v>1277</v>
      </c>
      <c r="G136" s="2" t="s">
        <v>139</v>
      </c>
      <c r="H136" s="2">
        <v>0.79346496700000002</v>
      </c>
      <c r="K136" s="4">
        <v>40361</v>
      </c>
      <c r="L136">
        <v>4.4950000000000001</v>
      </c>
    </row>
    <row r="137" spans="1:12" x14ac:dyDescent="0.25">
      <c r="A137" s="2" t="s">
        <v>5</v>
      </c>
      <c r="B137" s="2" t="s">
        <v>140</v>
      </c>
      <c r="C137" s="2">
        <v>3.31670518615761</v>
      </c>
      <c r="D137" s="2">
        <f>VLOOKUP(OneWeekMtgRatesDataTable8[[#This Row],[AsOfDate]],G:H,2,0)+OneWeekMtgRatesDataTable8[[#This Row],[SeriesNumValue]]</f>
        <v>4.1101701531576103</v>
      </c>
      <c r="F137" s="2" t="s">
        <v>1277</v>
      </c>
      <c r="G137" s="2" t="s">
        <v>140</v>
      </c>
      <c r="H137" s="2">
        <v>0.79346496700000002</v>
      </c>
      <c r="K137" s="4">
        <v>40365</v>
      </c>
      <c r="L137">
        <v>4.4950000000000001</v>
      </c>
    </row>
    <row r="138" spans="1:12" x14ac:dyDescent="0.25">
      <c r="A138" s="2" t="s">
        <v>5</v>
      </c>
      <c r="B138" s="2" t="s">
        <v>141</v>
      </c>
      <c r="C138" s="2">
        <v>3.3816169312489701</v>
      </c>
      <c r="D138" s="2">
        <f>VLOOKUP(OneWeekMtgRatesDataTable8[[#This Row],[AsOfDate]],G:H,2,0)+OneWeekMtgRatesDataTable8[[#This Row],[SeriesNumValue]]</f>
        <v>4.1750818982489699</v>
      </c>
      <c r="F138" s="2" t="s">
        <v>1277</v>
      </c>
      <c r="G138" s="2" t="s">
        <v>141</v>
      </c>
      <c r="H138" s="2">
        <v>0.79346496700000002</v>
      </c>
      <c r="K138" s="4">
        <v>40366</v>
      </c>
      <c r="L138">
        <v>4.4950000000000001</v>
      </c>
    </row>
    <row r="139" spans="1:12" x14ac:dyDescent="0.25">
      <c r="A139" s="2" t="s">
        <v>5</v>
      </c>
      <c r="B139" s="2" t="s">
        <v>142</v>
      </c>
      <c r="C139" s="2">
        <v>3.3118241286544898</v>
      </c>
      <c r="D139" s="2">
        <f>VLOOKUP(OneWeekMtgRatesDataTable8[[#This Row],[AsOfDate]],G:H,2,0)+OneWeekMtgRatesDataTable8[[#This Row],[SeriesNumValue]]</f>
        <v>4.1052890956544896</v>
      </c>
      <c r="F139" s="2" t="s">
        <v>1277</v>
      </c>
      <c r="G139" s="2" t="s">
        <v>142</v>
      </c>
      <c r="H139" s="2">
        <v>0.79346496700000002</v>
      </c>
      <c r="K139" s="4">
        <v>40367</v>
      </c>
      <c r="L139">
        <v>4.4950000000000001</v>
      </c>
    </row>
    <row r="140" spans="1:12" x14ac:dyDescent="0.25">
      <c r="A140" s="2" t="s">
        <v>5</v>
      </c>
      <c r="B140" s="2" t="s">
        <v>143</v>
      </c>
      <c r="C140" s="2">
        <v>3.26932734313012</v>
      </c>
      <c r="D140" s="2">
        <f>VLOOKUP(OneWeekMtgRatesDataTable8[[#This Row],[AsOfDate]],G:H,2,0)+OneWeekMtgRatesDataTable8[[#This Row],[SeriesNumValue]]</f>
        <v>4.0131642651301203</v>
      </c>
      <c r="F140" s="2" t="s">
        <v>1277</v>
      </c>
      <c r="G140" s="2" t="s">
        <v>143</v>
      </c>
      <c r="H140" s="2">
        <v>0.74383692199999996</v>
      </c>
      <c r="K140" s="4">
        <v>40368</v>
      </c>
      <c r="L140">
        <v>4.4950000000000001</v>
      </c>
    </row>
    <row r="141" spans="1:12" x14ac:dyDescent="0.25">
      <c r="A141" s="2" t="s">
        <v>5</v>
      </c>
      <c r="B141" s="2" t="s">
        <v>144</v>
      </c>
      <c r="C141" s="2">
        <v>3.2492398871399901</v>
      </c>
      <c r="D141" s="2">
        <f>VLOOKUP(OneWeekMtgRatesDataTable8[[#This Row],[AsOfDate]],G:H,2,0)+OneWeekMtgRatesDataTable8[[#This Row],[SeriesNumValue]]</f>
        <v>3.99307680913999</v>
      </c>
      <c r="F141" s="2" t="s">
        <v>1277</v>
      </c>
      <c r="G141" s="2" t="s">
        <v>144</v>
      </c>
      <c r="H141" s="2">
        <v>0.74383692199999996</v>
      </c>
      <c r="K141" s="4">
        <v>40371</v>
      </c>
      <c r="L141">
        <v>4.4950000000000001</v>
      </c>
    </row>
    <row r="142" spans="1:12" x14ac:dyDescent="0.25">
      <c r="A142" s="2" t="s">
        <v>5</v>
      </c>
      <c r="B142" s="2" t="s">
        <v>145</v>
      </c>
      <c r="C142" s="2">
        <v>3.2837852746687299</v>
      </c>
      <c r="D142" s="2">
        <f>VLOOKUP(OneWeekMtgRatesDataTable8[[#This Row],[AsOfDate]],G:H,2,0)+OneWeekMtgRatesDataTable8[[#This Row],[SeriesNumValue]]</f>
        <v>4.0276221966687302</v>
      </c>
      <c r="F142" s="2" t="s">
        <v>1277</v>
      </c>
      <c r="G142" s="2" t="s">
        <v>145</v>
      </c>
      <c r="H142" s="2">
        <v>0.74383692199999996</v>
      </c>
      <c r="K142" s="4">
        <v>40372</v>
      </c>
      <c r="L142">
        <v>4.4950000000000001</v>
      </c>
    </row>
    <row r="143" spans="1:12" x14ac:dyDescent="0.25">
      <c r="A143" s="2" t="s">
        <v>5</v>
      </c>
      <c r="B143" s="2" t="s">
        <v>146</v>
      </c>
      <c r="C143" s="2">
        <v>3.3037905291021898</v>
      </c>
      <c r="D143" s="2">
        <f>VLOOKUP(OneWeekMtgRatesDataTable8[[#This Row],[AsOfDate]],G:H,2,0)+OneWeekMtgRatesDataTable8[[#This Row],[SeriesNumValue]]</f>
        <v>4.0476274511021897</v>
      </c>
      <c r="F143" s="2" t="s">
        <v>1277</v>
      </c>
      <c r="G143" s="2" t="s">
        <v>146</v>
      </c>
      <c r="H143" s="2">
        <v>0.74383692199999996</v>
      </c>
      <c r="K143" s="4">
        <v>40373</v>
      </c>
      <c r="L143">
        <v>4.4950000000000001</v>
      </c>
    </row>
    <row r="144" spans="1:12" x14ac:dyDescent="0.25">
      <c r="A144" s="2" t="s">
        <v>5</v>
      </c>
      <c r="B144" s="2" t="s">
        <v>147</v>
      </c>
      <c r="C144" s="2">
        <v>3.3649434025508</v>
      </c>
      <c r="D144" s="2">
        <f>VLOOKUP(OneWeekMtgRatesDataTable8[[#This Row],[AsOfDate]],G:H,2,0)+OneWeekMtgRatesDataTable8[[#This Row],[SeriesNumValue]]</f>
        <v>4.1087803245507999</v>
      </c>
      <c r="F144" s="2" t="s">
        <v>1277</v>
      </c>
      <c r="G144" s="2" t="s">
        <v>147</v>
      </c>
      <c r="H144" s="2">
        <v>0.74383692199999996</v>
      </c>
      <c r="K144" s="4">
        <v>40374</v>
      </c>
      <c r="L144">
        <v>4.4850000000000003</v>
      </c>
    </row>
    <row r="145" spans="1:12" x14ac:dyDescent="0.25">
      <c r="A145" s="2" t="s">
        <v>5</v>
      </c>
      <c r="B145" s="2" t="s">
        <v>148</v>
      </c>
      <c r="C145" s="2">
        <v>3.3081684069465198</v>
      </c>
      <c r="D145" s="2">
        <f>VLOOKUP(OneWeekMtgRatesDataTable8[[#This Row],[AsOfDate]],G:H,2,0)+OneWeekMtgRatesDataTable8[[#This Row],[SeriesNumValue]]</f>
        <v>4.15118290694652</v>
      </c>
      <c r="F145" s="2" t="s">
        <v>1277</v>
      </c>
      <c r="G145" s="2" t="s">
        <v>148</v>
      </c>
      <c r="H145" s="2">
        <v>0.8430145</v>
      </c>
      <c r="K145" s="4">
        <v>40375</v>
      </c>
      <c r="L145">
        <v>4.4850000000000003</v>
      </c>
    </row>
    <row r="146" spans="1:12" x14ac:dyDescent="0.25">
      <c r="A146" s="2" t="s">
        <v>5</v>
      </c>
      <c r="B146" s="2" t="s">
        <v>149</v>
      </c>
      <c r="C146" s="2">
        <v>3.3922014866602601</v>
      </c>
      <c r="D146" s="2">
        <f>VLOOKUP(OneWeekMtgRatesDataTable8[[#This Row],[AsOfDate]],G:H,2,0)+OneWeekMtgRatesDataTable8[[#This Row],[SeriesNumValue]]</f>
        <v>4.2352159866602603</v>
      </c>
      <c r="F146" s="2" t="s">
        <v>1277</v>
      </c>
      <c r="G146" s="2" t="s">
        <v>149</v>
      </c>
      <c r="H146" s="2">
        <v>0.8430145</v>
      </c>
      <c r="K146" s="4">
        <v>40378</v>
      </c>
      <c r="L146">
        <v>4.4850000000000003</v>
      </c>
    </row>
    <row r="147" spans="1:12" x14ac:dyDescent="0.25">
      <c r="A147" s="2" t="s">
        <v>5</v>
      </c>
      <c r="B147" s="2" t="s">
        <v>150</v>
      </c>
      <c r="C147" s="2">
        <v>3.35269320675931</v>
      </c>
      <c r="D147" s="2">
        <f>VLOOKUP(OneWeekMtgRatesDataTable8[[#This Row],[AsOfDate]],G:H,2,0)+OneWeekMtgRatesDataTable8[[#This Row],[SeriesNumValue]]</f>
        <v>4.1957077067593103</v>
      </c>
      <c r="F147" s="2" t="s">
        <v>1277</v>
      </c>
      <c r="G147" s="2" t="s">
        <v>150</v>
      </c>
      <c r="H147" s="2">
        <v>0.8430145</v>
      </c>
      <c r="K147" s="4">
        <v>40379</v>
      </c>
      <c r="L147">
        <v>4.4850000000000003</v>
      </c>
    </row>
    <row r="148" spans="1:12" x14ac:dyDescent="0.25">
      <c r="A148" s="2" t="s">
        <v>5</v>
      </c>
      <c r="B148" s="2" t="s">
        <v>151</v>
      </c>
      <c r="C148" s="2">
        <v>3.44007422057935</v>
      </c>
      <c r="D148" s="2">
        <f>VLOOKUP(OneWeekMtgRatesDataTable8[[#This Row],[AsOfDate]],G:H,2,0)+OneWeekMtgRatesDataTable8[[#This Row],[SeriesNumValue]]</f>
        <v>4.2830887205793502</v>
      </c>
      <c r="F148" s="2" t="s">
        <v>1277</v>
      </c>
      <c r="G148" s="2" t="s">
        <v>151</v>
      </c>
      <c r="H148" s="2">
        <v>0.8430145</v>
      </c>
      <c r="K148" s="4">
        <v>40380</v>
      </c>
      <c r="L148">
        <v>4.4850000000000003</v>
      </c>
    </row>
    <row r="149" spans="1:12" x14ac:dyDescent="0.25">
      <c r="A149" s="2" t="s">
        <v>5</v>
      </c>
      <c r="B149" s="2" t="s">
        <v>152</v>
      </c>
      <c r="C149" s="2">
        <v>3.3588973610641801</v>
      </c>
      <c r="D149" s="2">
        <f>VLOOKUP(OneWeekMtgRatesDataTable8[[#This Row],[AsOfDate]],G:H,2,0)+OneWeekMtgRatesDataTable8[[#This Row],[SeriesNumValue]]</f>
        <v>4.2019118610641799</v>
      </c>
      <c r="F149" s="2" t="s">
        <v>1277</v>
      </c>
      <c r="G149" s="2" t="s">
        <v>152</v>
      </c>
      <c r="H149" s="2">
        <v>0.8430145</v>
      </c>
      <c r="K149" s="4">
        <v>40381</v>
      </c>
      <c r="L149">
        <v>4.4649999999999999</v>
      </c>
    </row>
    <row r="150" spans="1:12" x14ac:dyDescent="0.25">
      <c r="A150" s="2" t="s">
        <v>5</v>
      </c>
      <c r="B150" s="2" t="s">
        <v>153</v>
      </c>
      <c r="C150" s="2">
        <v>3.4273948025536498</v>
      </c>
      <c r="D150" s="2">
        <f>VLOOKUP(OneWeekMtgRatesDataTable8[[#This Row],[AsOfDate]],G:H,2,0)+OneWeekMtgRatesDataTable8[[#This Row],[SeriesNumValue]]</f>
        <v>4.1781425865536495</v>
      </c>
      <c r="F150" s="2" t="s">
        <v>1277</v>
      </c>
      <c r="G150" s="2" t="s">
        <v>153</v>
      </c>
      <c r="H150" s="2">
        <v>0.75074778399999997</v>
      </c>
      <c r="K150" s="4">
        <v>40382</v>
      </c>
      <c r="L150">
        <v>4.4649999999999999</v>
      </c>
    </row>
    <row r="151" spans="1:12" x14ac:dyDescent="0.25">
      <c r="A151" s="2" t="s">
        <v>5</v>
      </c>
      <c r="B151" s="2" t="s">
        <v>154</v>
      </c>
      <c r="C151" s="2">
        <v>3.3636197658163201</v>
      </c>
      <c r="D151" s="2">
        <f>VLOOKUP(OneWeekMtgRatesDataTable8[[#This Row],[AsOfDate]],G:H,2,0)+OneWeekMtgRatesDataTable8[[#This Row],[SeriesNumValue]]</f>
        <v>4.1143675498163201</v>
      </c>
      <c r="F151" s="2" t="s">
        <v>1277</v>
      </c>
      <c r="G151" s="2" t="s">
        <v>154</v>
      </c>
      <c r="H151" s="2">
        <v>0.75074778399999997</v>
      </c>
      <c r="K151" s="4">
        <v>40385</v>
      </c>
      <c r="L151">
        <v>4.4649999999999999</v>
      </c>
    </row>
    <row r="152" spans="1:12" x14ac:dyDescent="0.25">
      <c r="A152" s="2" t="s">
        <v>5</v>
      </c>
      <c r="B152" s="2" t="s">
        <v>155</v>
      </c>
      <c r="C152" s="2">
        <v>3.2634227208320401</v>
      </c>
      <c r="D152" s="2">
        <f>VLOOKUP(OneWeekMtgRatesDataTable8[[#This Row],[AsOfDate]],G:H,2,0)+OneWeekMtgRatesDataTable8[[#This Row],[SeriesNumValue]]</f>
        <v>4.0141705048320402</v>
      </c>
      <c r="F152" s="2" t="s">
        <v>1277</v>
      </c>
      <c r="G152" s="2" t="s">
        <v>155</v>
      </c>
      <c r="H152" s="2">
        <v>0.75074778399999997</v>
      </c>
      <c r="K152" s="4">
        <v>40386</v>
      </c>
      <c r="L152">
        <v>4.4649999999999999</v>
      </c>
    </row>
    <row r="153" spans="1:12" x14ac:dyDescent="0.25">
      <c r="A153" s="2" t="s">
        <v>5</v>
      </c>
      <c r="B153" s="2" t="s">
        <v>156</v>
      </c>
      <c r="C153" s="2">
        <v>3.2630175220730102</v>
      </c>
      <c r="D153" s="2">
        <f>VLOOKUP(OneWeekMtgRatesDataTable8[[#This Row],[AsOfDate]],G:H,2,0)+OneWeekMtgRatesDataTable8[[#This Row],[SeriesNumValue]]</f>
        <v>4.0137653060730099</v>
      </c>
      <c r="F153" s="2" t="s">
        <v>1277</v>
      </c>
      <c r="G153" s="2" t="s">
        <v>156</v>
      </c>
      <c r="H153" s="2">
        <v>0.75074778399999997</v>
      </c>
      <c r="K153" s="4">
        <v>40387</v>
      </c>
      <c r="L153">
        <v>4.4649999999999999</v>
      </c>
    </row>
    <row r="154" spans="1:12" x14ac:dyDescent="0.25">
      <c r="A154" s="2" t="s">
        <v>5</v>
      </c>
      <c r="B154" s="2" t="s">
        <v>157</v>
      </c>
      <c r="C154" s="2">
        <v>3.3161398377086599</v>
      </c>
      <c r="D154" s="2">
        <f>VLOOKUP(OneWeekMtgRatesDataTable8[[#This Row],[AsOfDate]],G:H,2,0)+OneWeekMtgRatesDataTable8[[#This Row],[SeriesNumValue]]</f>
        <v>4.0595898757086601</v>
      </c>
      <c r="F154" s="2" t="s">
        <v>1277</v>
      </c>
      <c r="G154" s="2" t="s">
        <v>157</v>
      </c>
      <c r="H154" s="2">
        <v>0.74345003799999998</v>
      </c>
      <c r="K154" s="4">
        <v>40388</v>
      </c>
      <c r="L154">
        <v>4.415</v>
      </c>
    </row>
    <row r="155" spans="1:12" x14ac:dyDescent="0.25">
      <c r="A155" s="2" t="s">
        <v>5</v>
      </c>
      <c r="B155" s="2" t="s">
        <v>158</v>
      </c>
      <c r="C155" s="2">
        <v>3.2850540934441099</v>
      </c>
      <c r="D155" s="2">
        <f>VLOOKUP(OneWeekMtgRatesDataTable8[[#This Row],[AsOfDate]],G:H,2,0)+OneWeekMtgRatesDataTable8[[#This Row],[SeriesNumValue]]</f>
        <v>4.0285041314441097</v>
      </c>
      <c r="F155" s="2" t="s">
        <v>1277</v>
      </c>
      <c r="G155" s="2" t="s">
        <v>158</v>
      </c>
      <c r="H155" s="2">
        <v>0.74345003799999998</v>
      </c>
      <c r="K155" s="4">
        <v>40389</v>
      </c>
      <c r="L155">
        <v>4.415</v>
      </c>
    </row>
    <row r="156" spans="1:12" x14ac:dyDescent="0.25">
      <c r="A156" s="2" t="s">
        <v>5</v>
      </c>
      <c r="B156" s="2" t="s">
        <v>159</v>
      </c>
      <c r="C156" s="2">
        <v>3.2179153943453298</v>
      </c>
      <c r="D156" s="2">
        <f>VLOOKUP(OneWeekMtgRatesDataTable8[[#This Row],[AsOfDate]],G:H,2,0)+OneWeekMtgRatesDataTable8[[#This Row],[SeriesNumValue]]</f>
        <v>3.96136543234533</v>
      </c>
      <c r="F156" s="2" t="s">
        <v>1277</v>
      </c>
      <c r="G156" s="2" t="s">
        <v>159</v>
      </c>
      <c r="H156" s="2">
        <v>0.74345003799999998</v>
      </c>
      <c r="K156" s="4">
        <v>40392</v>
      </c>
      <c r="L156">
        <v>4.415</v>
      </c>
    </row>
    <row r="157" spans="1:12" x14ac:dyDescent="0.25">
      <c r="A157" s="2" t="s">
        <v>5</v>
      </c>
      <c r="B157" s="2" t="s">
        <v>160</v>
      </c>
      <c r="C157" s="2">
        <v>3.26610474456754</v>
      </c>
      <c r="D157" s="2">
        <f>VLOOKUP(OneWeekMtgRatesDataTable8[[#This Row],[AsOfDate]],G:H,2,0)+OneWeekMtgRatesDataTable8[[#This Row],[SeriesNumValue]]</f>
        <v>4.0095547825675402</v>
      </c>
      <c r="F157" s="2" t="s">
        <v>1277</v>
      </c>
      <c r="G157" s="2" t="s">
        <v>160</v>
      </c>
      <c r="H157" s="2">
        <v>0.74345003799999998</v>
      </c>
      <c r="K157" s="4">
        <v>40393</v>
      </c>
      <c r="L157">
        <v>4.415</v>
      </c>
    </row>
    <row r="158" spans="1:12" x14ac:dyDescent="0.25">
      <c r="A158" s="2" t="s">
        <v>5</v>
      </c>
      <c r="B158" s="2" t="s">
        <v>161</v>
      </c>
      <c r="C158" s="2">
        <v>3.3011183094631602</v>
      </c>
      <c r="D158" s="2">
        <f>VLOOKUP(OneWeekMtgRatesDataTable8[[#This Row],[AsOfDate]],G:H,2,0)+OneWeekMtgRatesDataTable8[[#This Row],[SeriesNumValue]]</f>
        <v>4.0445683474631604</v>
      </c>
      <c r="F158" s="2" t="s">
        <v>1277</v>
      </c>
      <c r="G158" s="2" t="s">
        <v>161</v>
      </c>
      <c r="H158" s="2">
        <v>0.74345003799999998</v>
      </c>
      <c r="K158" s="4">
        <v>40394</v>
      </c>
      <c r="L158">
        <v>4.415</v>
      </c>
    </row>
    <row r="159" spans="1:12" x14ac:dyDescent="0.25">
      <c r="A159" s="2" t="s">
        <v>5</v>
      </c>
      <c r="B159" s="2" t="s">
        <v>162</v>
      </c>
      <c r="C159" s="2">
        <v>3.3005008889944101</v>
      </c>
      <c r="D159" s="2">
        <f>VLOOKUP(OneWeekMtgRatesDataTable8[[#This Row],[AsOfDate]],G:H,2,0)+OneWeekMtgRatesDataTable8[[#This Row],[SeriesNumValue]]</f>
        <v>4.0413622029944101</v>
      </c>
      <c r="F159" s="2" t="s">
        <v>1277</v>
      </c>
      <c r="G159" s="2" t="s">
        <v>162</v>
      </c>
      <c r="H159" s="2">
        <v>0.74086131399999999</v>
      </c>
      <c r="K159" s="4">
        <v>40395</v>
      </c>
      <c r="L159">
        <v>4.3650000000000002</v>
      </c>
    </row>
    <row r="160" spans="1:12" x14ac:dyDescent="0.25">
      <c r="A160" s="2" t="s">
        <v>5</v>
      </c>
      <c r="B160" s="2" t="s">
        <v>163</v>
      </c>
      <c r="C160" s="2">
        <v>3.3472561381998802</v>
      </c>
      <c r="D160" s="2">
        <f>VLOOKUP(OneWeekMtgRatesDataTable8[[#This Row],[AsOfDate]],G:H,2,0)+OneWeekMtgRatesDataTable8[[#This Row],[SeriesNumValue]]</f>
        <v>4.0881174521998798</v>
      </c>
      <c r="F160" s="2" t="s">
        <v>1277</v>
      </c>
      <c r="G160" s="2" t="s">
        <v>163</v>
      </c>
      <c r="H160" s="2">
        <v>0.74086131399999999</v>
      </c>
      <c r="K160" s="4">
        <v>40396</v>
      </c>
      <c r="L160">
        <v>4.3650000000000002</v>
      </c>
    </row>
    <row r="161" spans="1:12" x14ac:dyDescent="0.25">
      <c r="A161" s="2" t="s">
        <v>5</v>
      </c>
      <c r="B161" s="2" t="s">
        <v>164</v>
      </c>
      <c r="C161" s="2">
        <v>3.3468903558930401</v>
      </c>
      <c r="D161" s="2">
        <f>VLOOKUP(OneWeekMtgRatesDataTable8[[#This Row],[AsOfDate]],G:H,2,0)+OneWeekMtgRatesDataTable8[[#This Row],[SeriesNumValue]]</f>
        <v>4.0877516698930396</v>
      </c>
      <c r="F161" s="2" t="s">
        <v>1277</v>
      </c>
      <c r="G161" s="2" t="s">
        <v>164</v>
      </c>
      <c r="H161" s="2">
        <v>0.74086131399999999</v>
      </c>
      <c r="K161" s="4">
        <v>40399</v>
      </c>
      <c r="L161">
        <v>4.3650000000000002</v>
      </c>
    </row>
    <row r="162" spans="1:12" x14ac:dyDescent="0.25">
      <c r="A162" s="2" t="s">
        <v>5</v>
      </c>
      <c r="B162" s="2" t="s">
        <v>165</v>
      </c>
      <c r="C162" s="2">
        <v>3.2381411967187499</v>
      </c>
      <c r="D162" s="2">
        <f>VLOOKUP(OneWeekMtgRatesDataTable8[[#This Row],[AsOfDate]],G:H,2,0)+OneWeekMtgRatesDataTable8[[#This Row],[SeriesNumValue]]</f>
        <v>3.9790025107187499</v>
      </c>
      <c r="F162" s="2" t="s">
        <v>1277</v>
      </c>
      <c r="G162" s="2" t="s">
        <v>165</v>
      </c>
      <c r="H162" s="2">
        <v>0.74086131399999999</v>
      </c>
      <c r="K162" s="4">
        <v>40400</v>
      </c>
      <c r="L162">
        <v>4.3650000000000002</v>
      </c>
    </row>
    <row r="163" spans="1:12" x14ac:dyDescent="0.25">
      <c r="A163" s="2" t="s">
        <v>5</v>
      </c>
      <c r="B163" s="2" t="s">
        <v>166</v>
      </c>
      <c r="C163" s="2">
        <v>3.25926253404289</v>
      </c>
      <c r="D163" s="2">
        <f>VLOOKUP(OneWeekMtgRatesDataTable8[[#This Row],[AsOfDate]],G:H,2,0)+OneWeekMtgRatesDataTable8[[#This Row],[SeriesNumValue]]</f>
        <v>4.0001238480428896</v>
      </c>
      <c r="F163" s="2" t="s">
        <v>1277</v>
      </c>
      <c r="G163" s="2" t="s">
        <v>166</v>
      </c>
      <c r="H163" s="2">
        <v>0.74086131399999999</v>
      </c>
      <c r="K163" s="4">
        <v>40401</v>
      </c>
      <c r="L163">
        <v>4.3650000000000002</v>
      </c>
    </row>
    <row r="164" spans="1:12" x14ac:dyDescent="0.25">
      <c r="A164" s="2" t="s">
        <v>5</v>
      </c>
      <c r="B164" s="2" t="s">
        <v>167</v>
      </c>
      <c r="C164" s="2">
        <v>3.0193449968875199</v>
      </c>
      <c r="D164" s="2">
        <f>VLOOKUP(OneWeekMtgRatesDataTable8[[#This Row],[AsOfDate]],G:H,2,0)+OneWeekMtgRatesDataTable8[[#This Row],[SeriesNumValue]]</f>
        <v>3.7921659528875198</v>
      </c>
      <c r="F164" s="2" t="s">
        <v>1277</v>
      </c>
      <c r="G164" s="2" t="s">
        <v>167</v>
      </c>
      <c r="H164" s="2">
        <v>0.772820956</v>
      </c>
      <c r="K164" s="4">
        <v>40402</v>
      </c>
      <c r="L164">
        <v>4.3449999999999998</v>
      </c>
    </row>
    <row r="165" spans="1:12" x14ac:dyDescent="0.25">
      <c r="A165" s="2" t="s">
        <v>5</v>
      </c>
      <c r="B165" s="2" t="s">
        <v>168</v>
      </c>
      <c r="C165" s="2">
        <v>2.8513672376672798</v>
      </c>
      <c r="D165" s="2">
        <f>VLOOKUP(OneWeekMtgRatesDataTable8[[#This Row],[AsOfDate]],G:H,2,0)+OneWeekMtgRatesDataTable8[[#This Row],[SeriesNumValue]]</f>
        <v>3.6241881936672797</v>
      </c>
      <c r="F165" s="2" t="s">
        <v>1277</v>
      </c>
      <c r="G165" s="2" t="s">
        <v>168</v>
      </c>
      <c r="H165" s="2">
        <v>0.772820956</v>
      </c>
      <c r="K165" s="4">
        <v>40403</v>
      </c>
      <c r="L165">
        <v>4.3449999999999998</v>
      </c>
    </row>
    <row r="166" spans="1:12" x14ac:dyDescent="0.25">
      <c r="A166" s="2" t="s">
        <v>5</v>
      </c>
      <c r="B166" s="2" t="s">
        <v>169</v>
      </c>
      <c r="C166" s="2">
        <v>2.9787961071901798</v>
      </c>
      <c r="D166" s="2">
        <f>VLOOKUP(OneWeekMtgRatesDataTable8[[#This Row],[AsOfDate]],G:H,2,0)+OneWeekMtgRatesDataTable8[[#This Row],[SeriesNumValue]]</f>
        <v>3.7516170631901797</v>
      </c>
      <c r="F166" s="2" t="s">
        <v>1277</v>
      </c>
      <c r="G166" s="2" t="s">
        <v>169</v>
      </c>
      <c r="H166" s="2">
        <v>0.772820956</v>
      </c>
      <c r="K166" s="4">
        <v>40406</v>
      </c>
      <c r="L166">
        <v>4.3449999999999998</v>
      </c>
    </row>
    <row r="167" spans="1:12" x14ac:dyDescent="0.25">
      <c r="A167" s="2" t="s">
        <v>5</v>
      </c>
      <c r="B167" s="2" t="s">
        <v>170</v>
      </c>
      <c r="C167" s="2">
        <v>3.0707186110207298</v>
      </c>
      <c r="D167" s="2">
        <f>VLOOKUP(OneWeekMtgRatesDataTable8[[#This Row],[AsOfDate]],G:H,2,0)+OneWeekMtgRatesDataTable8[[#This Row],[SeriesNumValue]]</f>
        <v>3.8435395670207297</v>
      </c>
      <c r="F167" s="2" t="s">
        <v>1277</v>
      </c>
      <c r="G167" s="2" t="s">
        <v>170</v>
      </c>
      <c r="H167" s="2">
        <v>0.772820956</v>
      </c>
      <c r="K167" s="4">
        <v>40407</v>
      </c>
      <c r="L167">
        <v>4.3449999999999998</v>
      </c>
    </row>
    <row r="168" spans="1:12" x14ac:dyDescent="0.25">
      <c r="A168" s="2" t="s">
        <v>5</v>
      </c>
      <c r="B168" s="2" t="s">
        <v>171</v>
      </c>
      <c r="C168" s="2">
        <v>3.19162579468055</v>
      </c>
      <c r="D168" s="2">
        <f>VLOOKUP(OneWeekMtgRatesDataTable8[[#This Row],[AsOfDate]],G:H,2,0)+OneWeekMtgRatesDataTable8[[#This Row],[SeriesNumValue]]</f>
        <v>3.9644467506805499</v>
      </c>
      <c r="F168" s="2" t="s">
        <v>1277</v>
      </c>
      <c r="G168" s="2" t="s">
        <v>171</v>
      </c>
      <c r="H168" s="2">
        <v>0.772820956</v>
      </c>
      <c r="K168" s="4">
        <v>40408</v>
      </c>
      <c r="L168">
        <v>4.3449999999999998</v>
      </c>
    </row>
    <row r="169" spans="1:12" x14ac:dyDescent="0.25">
      <c r="A169" s="2" t="s">
        <v>5</v>
      </c>
      <c r="B169" s="2" t="s">
        <v>172</v>
      </c>
      <c r="C169" s="2">
        <v>3.16373332869864</v>
      </c>
      <c r="D169" s="2">
        <f>VLOOKUP(OneWeekMtgRatesDataTable8[[#This Row],[AsOfDate]],G:H,2,0)+OneWeekMtgRatesDataTable8[[#This Row],[SeriesNumValue]]</f>
        <v>4.0474851126986398</v>
      </c>
      <c r="F169" s="2" t="s">
        <v>1277</v>
      </c>
      <c r="G169" s="2" t="s">
        <v>172</v>
      </c>
      <c r="H169" s="2">
        <v>0.88375178399999998</v>
      </c>
      <c r="K169" s="4">
        <v>40409</v>
      </c>
      <c r="L169">
        <v>4.2850000000000001</v>
      </c>
    </row>
    <row r="170" spans="1:12" x14ac:dyDescent="0.25">
      <c r="A170" s="2" t="s">
        <v>5</v>
      </c>
      <c r="B170" s="2" t="s">
        <v>173</v>
      </c>
      <c r="C170" s="2">
        <v>3.08102846716154</v>
      </c>
      <c r="D170" s="2">
        <f>VLOOKUP(OneWeekMtgRatesDataTable8[[#This Row],[AsOfDate]],G:H,2,0)+OneWeekMtgRatesDataTable8[[#This Row],[SeriesNumValue]]</f>
        <v>3.9647802511615398</v>
      </c>
      <c r="F170" s="2" t="s">
        <v>1277</v>
      </c>
      <c r="G170" s="2" t="s">
        <v>173</v>
      </c>
      <c r="H170" s="2">
        <v>0.88375178399999998</v>
      </c>
      <c r="K170" s="4">
        <v>40410</v>
      </c>
      <c r="L170">
        <v>4.2850000000000001</v>
      </c>
    </row>
    <row r="171" spans="1:12" x14ac:dyDescent="0.25">
      <c r="A171" s="2" t="s">
        <v>5</v>
      </c>
      <c r="B171" s="2" t="s">
        <v>174</v>
      </c>
      <c r="C171" s="2">
        <v>3.0385261527896099</v>
      </c>
      <c r="D171" s="2">
        <f>VLOOKUP(OneWeekMtgRatesDataTable8[[#This Row],[AsOfDate]],G:H,2,0)+OneWeekMtgRatesDataTable8[[#This Row],[SeriesNumValue]]</f>
        <v>3.9222779367896097</v>
      </c>
      <c r="F171" s="2" t="s">
        <v>1277</v>
      </c>
      <c r="G171" s="2" t="s">
        <v>174</v>
      </c>
      <c r="H171" s="2">
        <v>0.88375178399999998</v>
      </c>
      <c r="K171" s="4">
        <v>40413</v>
      </c>
      <c r="L171">
        <v>4.2850000000000001</v>
      </c>
    </row>
    <row r="172" spans="1:12" x14ac:dyDescent="0.25">
      <c r="A172" s="2" t="s">
        <v>5</v>
      </c>
      <c r="B172" s="2" t="s">
        <v>175</v>
      </c>
      <c r="C172" s="2">
        <v>2.9658180500681501</v>
      </c>
      <c r="D172" s="2">
        <f>VLOOKUP(OneWeekMtgRatesDataTable8[[#This Row],[AsOfDate]],G:H,2,0)+OneWeekMtgRatesDataTable8[[#This Row],[SeriesNumValue]]</f>
        <v>3.8495698340681503</v>
      </c>
      <c r="F172" s="2" t="s">
        <v>1277</v>
      </c>
      <c r="G172" s="2" t="s">
        <v>175</v>
      </c>
      <c r="H172" s="2">
        <v>0.88375178399999998</v>
      </c>
      <c r="K172" s="4">
        <v>40414</v>
      </c>
      <c r="L172">
        <v>4.2850000000000001</v>
      </c>
    </row>
    <row r="173" spans="1:12" x14ac:dyDescent="0.25">
      <c r="A173" s="2" t="s">
        <v>5</v>
      </c>
      <c r="B173" s="2" t="s">
        <v>176</v>
      </c>
      <c r="C173" s="2">
        <v>3.0428155900438001</v>
      </c>
      <c r="D173" s="2">
        <f>VLOOKUP(OneWeekMtgRatesDataTable8[[#This Row],[AsOfDate]],G:H,2,0)+OneWeekMtgRatesDataTable8[[#This Row],[SeriesNumValue]]</f>
        <v>3.9265673740437999</v>
      </c>
      <c r="F173" s="2" t="s">
        <v>1277</v>
      </c>
      <c r="G173" s="2" t="s">
        <v>176</v>
      </c>
      <c r="H173" s="2">
        <v>0.88375178399999998</v>
      </c>
      <c r="K173" s="4">
        <v>40415</v>
      </c>
      <c r="L173">
        <v>4.2850000000000001</v>
      </c>
    </row>
    <row r="174" spans="1:12" x14ac:dyDescent="0.25">
      <c r="A174" s="2" t="s">
        <v>5</v>
      </c>
      <c r="B174" s="2" t="s">
        <v>177</v>
      </c>
      <c r="C174" s="2">
        <v>3.1183780726897798</v>
      </c>
      <c r="D174" s="2">
        <f>VLOOKUP(OneWeekMtgRatesDataTable8[[#This Row],[AsOfDate]],G:H,2,0)+OneWeekMtgRatesDataTable8[[#This Row],[SeriesNumValue]]</f>
        <v>3.9590648056897799</v>
      </c>
      <c r="F174" s="2" t="s">
        <v>1277</v>
      </c>
      <c r="G174" s="2" t="s">
        <v>177</v>
      </c>
      <c r="H174" s="2">
        <v>0.84068673299999996</v>
      </c>
      <c r="K174" s="4">
        <v>40416</v>
      </c>
      <c r="L174">
        <v>4.2450000000000001</v>
      </c>
    </row>
    <row r="175" spans="1:12" x14ac:dyDescent="0.25">
      <c r="A175" s="2" t="s">
        <v>5</v>
      </c>
      <c r="B175" s="2" t="s">
        <v>178</v>
      </c>
      <c r="C175" s="2">
        <v>3.1859593753289501</v>
      </c>
      <c r="D175" s="2">
        <f>VLOOKUP(OneWeekMtgRatesDataTable8[[#This Row],[AsOfDate]],G:H,2,0)+OneWeekMtgRatesDataTable8[[#This Row],[SeriesNumValue]]</f>
        <v>4.0266461083289498</v>
      </c>
      <c r="F175" s="2" t="s">
        <v>1277</v>
      </c>
      <c r="G175" s="2" t="s">
        <v>178</v>
      </c>
      <c r="H175" s="2">
        <v>0.84068673299999996</v>
      </c>
      <c r="K175" s="4">
        <v>40417</v>
      </c>
      <c r="L175">
        <v>4.2450000000000001</v>
      </c>
    </row>
    <row r="176" spans="1:12" x14ac:dyDescent="0.25">
      <c r="A176" s="2" t="s">
        <v>5</v>
      </c>
      <c r="B176" s="2" t="s">
        <v>179</v>
      </c>
      <c r="C176" s="2">
        <v>3.2827632035572001</v>
      </c>
      <c r="D176" s="2">
        <f>VLOOKUP(OneWeekMtgRatesDataTable8[[#This Row],[AsOfDate]],G:H,2,0)+OneWeekMtgRatesDataTable8[[#This Row],[SeriesNumValue]]</f>
        <v>4.1234499365571997</v>
      </c>
      <c r="F176" s="2" t="s">
        <v>1277</v>
      </c>
      <c r="G176" s="2" t="s">
        <v>179</v>
      </c>
      <c r="H176" s="2">
        <v>0.84068673299999996</v>
      </c>
      <c r="K176" s="4">
        <v>40420</v>
      </c>
      <c r="L176">
        <v>4.2450000000000001</v>
      </c>
    </row>
    <row r="177" spans="1:12" x14ac:dyDescent="0.25">
      <c r="A177" s="2" t="s">
        <v>5</v>
      </c>
      <c r="B177" s="2" t="s">
        <v>180</v>
      </c>
      <c r="C177" s="2">
        <v>3.3168034791382999</v>
      </c>
      <c r="D177" s="2">
        <f>VLOOKUP(OneWeekMtgRatesDataTable8[[#This Row],[AsOfDate]],G:H,2,0)+OneWeekMtgRatesDataTable8[[#This Row],[SeriesNumValue]]</f>
        <v>4.1574902121382999</v>
      </c>
      <c r="F177" s="2" t="s">
        <v>1277</v>
      </c>
      <c r="G177" s="2" t="s">
        <v>180</v>
      </c>
      <c r="H177" s="2">
        <v>0.84068673299999996</v>
      </c>
      <c r="K177" s="4">
        <v>40421</v>
      </c>
      <c r="L177">
        <v>4.2450000000000001</v>
      </c>
    </row>
    <row r="178" spans="1:12" x14ac:dyDescent="0.25">
      <c r="A178" s="2" t="s">
        <v>5</v>
      </c>
      <c r="B178" s="2" t="s">
        <v>181</v>
      </c>
      <c r="C178" s="2">
        <v>3.3378096663708501</v>
      </c>
      <c r="D178" s="2">
        <f>VLOOKUP(OneWeekMtgRatesDataTable8[[#This Row],[AsOfDate]],G:H,2,0)+OneWeekMtgRatesDataTable8[[#This Row],[SeriesNumValue]]</f>
        <v>4.1269757353708503</v>
      </c>
      <c r="F178" s="2" t="s">
        <v>1277</v>
      </c>
      <c r="G178" s="2" t="s">
        <v>181</v>
      </c>
      <c r="H178" s="2">
        <v>0.78916606899999997</v>
      </c>
      <c r="K178" s="4">
        <v>40422</v>
      </c>
      <c r="L178">
        <v>4.2450000000000001</v>
      </c>
    </row>
    <row r="179" spans="1:12" x14ac:dyDescent="0.25">
      <c r="A179" s="2" t="s">
        <v>5</v>
      </c>
      <c r="B179" s="2" t="s">
        <v>182</v>
      </c>
      <c r="C179" s="2">
        <v>3.3067216512953301</v>
      </c>
      <c r="D179" s="2">
        <f>VLOOKUP(OneWeekMtgRatesDataTable8[[#This Row],[AsOfDate]],G:H,2,0)+OneWeekMtgRatesDataTable8[[#This Row],[SeriesNumValue]]</f>
        <v>4.0958877202953303</v>
      </c>
      <c r="F179" s="2" t="s">
        <v>1277</v>
      </c>
      <c r="G179" s="2" t="s">
        <v>182</v>
      </c>
      <c r="H179" s="2">
        <v>0.78916606899999997</v>
      </c>
      <c r="K179" s="4">
        <v>40423</v>
      </c>
      <c r="L179">
        <v>4.2750000000000004</v>
      </c>
    </row>
    <row r="180" spans="1:12" x14ac:dyDescent="0.25">
      <c r="A180" s="2" t="s">
        <v>5</v>
      </c>
      <c r="B180" s="2" t="s">
        <v>183</v>
      </c>
      <c r="C180" s="2">
        <v>3.3644554409980398</v>
      </c>
      <c r="D180" s="2">
        <f>VLOOKUP(OneWeekMtgRatesDataTable8[[#This Row],[AsOfDate]],G:H,2,0)+OneWeekMtgRatesDataTable8[[#This Row],[SeriesNumValue]]</f>
        <v>4.1536215099980396</v>
      </c>
      <c r="F180" s="2" t="s">
        <v>1277</v>
      </c>
      <c r="G180" s="2" t="s">
        <v>183</v>
      </c>
      <c r="H180" s="2">
        <v>0.78916606899999997</v>
      </c>
      <c r="K180" s="4">
        <v>40424</v>
      </c>
      <c r="L180">
        <v>4.2750000000000004</v>
      </c>
    </row>
    <row r="181" spans="1:12" x14ac:dyDescent="0.25">
      <c r="A181" s="2" t="s">
        <v>5</v>
      </c>
      <c r="B181" s="2" t="s">
        <v>184</v>
      </c>
      <c r="C181" s="2">
        <v>3.29814365265038</v>
      </c>
      <c r="D181" s="2">
        <f>VLOOKUP(OneWeekMtgRatesDataTable8[[#This Row],[AsOfDate]],G:H,2,0)+OneWeekMtgRatesDataTable8[[#This Row],[SeriesNumValue]]</f>
        <v>4.0873097216503798</v>
      </c>
      <c r="F181" s="2" t="s">
        <v>1277</v>
      </c>
      <c r="G181" s="2" t="s">
        <v>184</v>
      </c>
      <c r="H181" s="2">
        <v>0.78916606899999997</v>
      </c>
      <c r="K181" s="4">
        <v>40428</v>
      </c>
      <c r="L181">
        <v>4.2750000000000004</v>
      </c>
    </row>
    <row r="182" spans="1:12" x14ac:dyDescent="0.25">
      <c r="A182" s="2" t="s">
        <v>5</v>
      </c>
      <c r="B182" s="2" t="s">
        <v>185</v>
      </c>
      <c r="C182" s="2">
        <v>3.2937414945904302</v>
      </c>
      <c r="D182" s="2">
        <f>VLOOKUP(OneWeekMtgRatesDataTable8[[#This Row],[AsOfDate]],G:H,2,0)+OneWeekMtgRatesDataTable8[[#This Row],[SeriesNumValue]]</f>
        <v>4.0829075635904299</v>
      </c>
      <c r="F182" s="2" t="s">
        <v>1277</v>
      </c>
      <c r="G182" s="2" t="s">
        <v>185</v>
      </c>
      <c r="H182" s="2">
        <v>0.78916606899999997</v>
      </c>
      <c r="K182" s="4">
        <v>40429</v>
      </c>
      <c r="L182">
        <v>4.2750000000000004</v>
      </c>
    </row>
    <row r="183" spans="1:12" x14ac:dyDescent="0.25">
      <c r="A183" s="2" t="s">
        <v>5</v>
      </c>
      <c r="B183" s="2" t="s">
        <v>186</v>
      </c>
      <c r="C183" s="2">
        <v>3.3017117850831799</v>
      </c>
      <c r="D183" s="2">
        <f>VLOOKUP(OneWeekMtgRatesDataTable8[[#This Row],[AsOfDate]],G:H,2,0)+OneWeekMtgRatesDataTable8[[#This Row],[SeriesNumValue]]</f>
        <v>4.04875698008318</v>
      </c>
      <c r="F183" s="2" t="s">
        <v>1277</v>
      </c>
      <c r="G183" s="2" t="s">
        <v>186</v>
      </c>
      <c r="H183" s="2">
        <v>0.747045195</v>
      </c>
      <c r="K183" s="4">
        <v>40430</v>
      </c>
      <c r="L183">
        <v>4.2949999999999999</v>
      </c>
    </row>
    <row r="184" spans="1:12" x14ac:dyDescent="0.25">
      <c r="A184" s="2" t="s">
        <v>5</v>
      </c>
      <c r="B184" s="2" t="s">
        <v>187</v>
      </c>
      <c r="C184" s="2">
        <v>3.3269877497661899</v>
      </c>
      <c r="D184" s="2">
        <f>VLOOKUP(OneWeekMtgRatesDataTable8[[#This Row],[AsOfDate]],G:H,2,0)+OneWeekMtgRatesDataTable8[[#This Row],[SeriesNumValue]]</f>
        <v>4.0740329447661896</v>
      </c>
      <c r="F184" s="2" t="s">
        <v>1277</v>
      </c>
      <c r="G184" s="2" t="s">
        <v>187</v>
      </c>
      <c r="H184" s="2">
        <v>0.747045195</v>
      </c>
      <c r="K184" s="4">
        <v>40431</v>
      </c>
      <c r="L184">
        <v>4.2949999999999999</v>
      </c>
    </row>
    <row r="185" spans="1:12" x14ac:dyDescent="0.25">
      <c r="A185" s="2" t="s">
        <v>5</v>
      </c>
      <c r="B185" s="2" t="s">
        <v>188</v>
      </c>
      <c r="C185" s="2">
        <v>3.3306571574489601</v>
      </c>
      <c r="D185" s="2">
        <f>VLOOKUP(OneWeekMtgRatesDataTable8[[#This Row],[AsOfDate]],G:H,2,0)+OneWeekMtgRatesDataTable8[[#This Row],[SeriesNumValue]]</f>
        <v>4.0777023524489602</v>
      </c>
      <c r="F185" s="2" t="s">
        <v>1277</v>
      </c>
      <c r="G185" s="2" t="s">
        <v>188</v>
      </c>
      <c r="H185" s="2">
        <v>0.747045195</v>
      </c>
      <c r="K185" s="4">
        <v>40434</v>
      </c>
      <c r="L185">
        <v>4.2949999999999999</v>
      </c>
    </row>
    <row r="186" spans="1:12" x14ac:dyDescent="0.25">
      <c r="A186" s="2" t="s">
        <v>5</v>
      </c>
      <c r="B186" s="2" t="s">
        <v>189</v>
      </c>
      <c r="C186" s="2">
        <v>3.3634960671290699</v>
      </c>
      <c r="D186" s="2">
        <f>VLOOKUP(OneWeekMtgRatesDataTable8[[#This Row],[AsOfDate]],G:H,2,0)+OneWeekMtgRatesDataTable8[[#This Row],[SeriesNumValue]]</f>
        <v>4.11054126212907</v>
      </c>
      <c r="F186" s="2" t="s">
        <v>1277</v>
      </c>
      <c r="G186" s="2" t="s">
        <v>189</v>
      </c>
      <c r="H186" s="2">
        <v>0.747045195</v>
      </c>
      <c r="K186" s="4">
        <v>40435</v>
      </c>
      <c r="L186">
        <v>4.2949999999999999</v>
      </c>
    </row>
    <row r="187" spans="1:12" x14ac:dyDescent="0.25">
      <c r="A187" s="2" t="s">
        <v>5</v>
      </c>
      <c r="B187" s="2" t="s">
        <v>190</v>
      </c>
      <c r="C187" s="2">
        <v>3.26466509083714</v>
      </c>
      <c r="D187" s="2">
        <f>VLOOKUP(OneWeekMtgRatesDataTable8[[#This Row],[AsOfDate]],G:H,2,0)+OneWeekMtgRatesDataTable8[[#This Row],[SeriesNumValue]]</f>
        <v>4.0117102858371396</v>
      </c>
      <c r="F187" s="2" t="s">
        <v>1277</v>
      </c>
      <c r="G187" s="2" t="s">
        <v>190</v>
      </c>
      <c r="H187" s="2">
        <v>0.747045195</v>
      </c>
      <c r="K187" s="4">
        <v>40436</v>
      </c>
      <c r="L187">
        <v>4.2949999999999999</v>
      </c>
    </row>
    <row r="188" spans="1:12" x14ac:dyDescent="0.25">
      <c r="A188" s="2" t="s">
        <v>5</v>
      </c>
      <c r="B188" s="2" t="s">
        <v>191</v>
      </c>
      <c r="C188" s="2">
        <v>3.3217981772157801</v>
      </c>
      <c r="D188" s="2">
        <f>VLOOKUP(OneWeekMtgRatesDataTable8[[#This Row],[AsOfDate]],G:H,2,0)+OneWeekMtgRatesDataTable8[[#This Row],[SeriesNumValue]]</f>
        <v>4.0502773292157803</v>
      </c>
      <c r="F188" s="2" t="s">
        <v>1277</v>
      </c>
      <c r="G188" s="2" t="s">
        <v>191</v>
      </c>
      <c r="H188" s="2">
        <v>0.72847915200000002</v>
      </c>
      <c r="K188" s="4">
        <v>40437</v>
      </c>
      <c r="L188">
        <v>4.2949999999999999</v>
      </c>
    </row>
    <row r="189" spans="1:12" x14ac:dyDescent="0.25">
      <c r="A189" s="2" t="s">
        <v>5</v>
      </c>
      <c r="B189" s="2" t="s">
        <v>192</v>
      </c>
      <c r="C189" s="2">
        <v>3.4409162615373701</v>
      </c>
      <c r="D189" s="2">
        <f>VLOOKUP(OneWeekMtgRatesDataTable8[[#This Row],[AsOfDate]],G:H,2,0)+OneWeekMtgRatesDataTable8[[#This Row],[SeriesNumValue]]</f>
        <v>4.1693954135373703</v>
      </c>
      <c r="F189" s="2" t="s">
        <v>1277</v>
      </c>
      <c r="G189" s="2" t="s">
        <v>192</v>
      </c>
      <c r="H189" s="2">
        <v>0.72847915200000002</v>
      </c>
      <c r="K189" s="4">
        <v>40438</v>
      </c>
      <c r="L189">
        <v>4.2949999999999999</v>
      </c>
    </row>
    <row r="190" spans="1:12" x14ac:dyDescent="0.25">
      <c r="A190" s="2" t="s">
        <v>5</v>
      </c>
      <c r="B190" s="2" t="s">
        <v>193</v>
      </c>
      <c r="C190" s="2">
        <v>3.3602109055046498</v>
      </c>
      <c r="D190" s="2">
        <f>VLOOKUP(OneWeekMtgRatesDataTable8[[#This Row],[AsOfDate]],G:H,2,0)+OneWeekMtgRatesDataTable8[[#This Row],[SeriesNumValue]]</f>
        <v>4.0886900575046496</v>
      </c>
      <c r="F190" s="2" t="s">
        <v>1277</v>
      </c>
      <c r="G190" s="2" t="s">
        <v>193</v>
      </c>
      <c r="H190" s="2">
        <v>0.72847915200000002</v>
      </c>
      <c r="K190" s="4">
        <v>40441</v>
      </c>
      <c r="L190">
        <v>4.2949999999999999</v>
      </c>
    </row>
    <row r="191" spans="1:12" x14ac:dyDescent="0.25">
      <c r="A191" s="2" t="s">
        <v>5</v>
      </c>
      <c r="B191" s="2" t="s">
        <v>194</v>
      </c>
      <c r="C191" s="2">
        <v>3.2515769978966</v>
      </c>
      <c r="D191" s="2">
        <f>VLOOKUP(OneWeekMtgRatesDataTable8[[#This Row],[AsOfDate]],G:H,2,0)+OneWeekMtgRatesDataTable8[[#This Row],[SeriesNumValue]]</f>
        <v>3.9800561498966003</v>
      </c>
      <c r="F191" s="2" t="s">
        <v>1277</v>
      </c>
      <c r="G191" s="2" t="s">
        <v>194</v>
      </c>
      <c r="H191" s="2">
        <v>0.72847915200000002</v>
      </c>
      <c r="K191" s="4">
        <v>40442</v>
      </c>
      <c r="L191">
        <v>4.2949999999999999</v>
      </c>
    </row>
    <row r="192" spans="1:12" x14ac:dyDescent="0.25">
      <c r="A192" s="2" t="s">
        <v>5</v>
      </c>
      <c r="B192" s="2" t="s">
        <v>195</v>
      </c>
      <c r="C192" s="2">
        <v>3.1279977145133802</v>
      </c>
      <c r="D192" s="2">
        <f>VLOOKUP(OneWeekMtgRatesDataTable8[[#This Row],[AsOfDate]],G:H,2,0)+OneWeekMtgRatesDataTable8[[#This Row],[SeriesNumValue]]</f>
        <v>3.85647686651338</v>
      </c>
      <c r="F192" s="2" t="s">
        <v>1277</v>
      </c>
      <c r="G192" s="2" t="s">
        <v>195</v>
      </c>
      <c r="H192" s="2">
        <v>0.72847915200000002</v>
      </c>
      <c r="K192" s="4">
        <v>40443</v>
      </c>
      <c r="L192">
        <v>4.2949999999999999</v>
      </c>
    </row>
    <row r="193" spans="1:12" x14ac:dyDescent="0.25">
      <c r="A193" s="2" t="s">
        <v>5</v>
      </c>
      <c r="B193" s="2" t="s">
        <v>196</v>
      </c>
      <c r="C193" s="2">
        <v>3.1403563464711799</v>
      </c>
      <c r="D193" s="2">
        <f>VLOOKUP(OneWeekMtgRatesDataTable8[[#This Row],[AsOfDate]],G:H,2,0)+OneWeekMtgRatesDataTable8[[#This Row],[SeriesNumValue]]</f>
        <v>3.8011447014711797</v>
      </c>
      <c r="F193" s="2" t="s">
        <v>1277</v>
      </c>
      <c r="G193" s="2" t="s">
        <v>196</v>
      </c>
      <c r="H193" s="2">
        <v>0.66078835499999999</v>
      </c>
      <c r="K193" s="4">
        <v>40444</v>
      </c>
      <c r="L193">
        <v>4.2699999999999996</v>
      </c>
    </row>
    <row r="194" spans="1:12" x14ac:dyDescent="0.25">
      <c r="A194" s="2" t="s">
        <v>5</v>
      </c>
      <c r="B194" s="2" t="s">
        <v>197</v>
      </c>
      <c r="C194" s="2">
        <v>3.1865900219174601</v>
      </c>
      <c r="D194" s="2">
        <f>VLOOKUP(OneWeekMtgRatesDataTable8[[#This Row],[AsOfDate]],G:H,2,0)+OneWeekMtgRatesDataTable8[[#This Row],[SeriesNumValue]]</f>
        <v>3.8473783769174599</v>
      </c>
      <c r="F194" s="2" t="s">
        <v>1277</v>
      </c>
      <c r="G194" s="2" t="s">
        <v>197</v>
      </c>
      <c r="H194" s="2">
        <v>0.66078835499999999</v>
      </c>
      <c r="K194" s="4">
        <v>40445</v>
      </c>
      <c r="L194">
        <v>4.2699999999999996</v>
      </c>
    </row>
    <row r="195" spans="1:12" x14ac:dyDescent="0.25">
      <c r="A195" s="2" t="s">
        <v>5</v>
      </c>
      <c r="B195" s="2" t="s">
        <v>198</v>
      </c>
      <c r="C195" s="2">
        <v>3.1459189472432798</v>
      </c>
      <c r="D195" s="2">
        <f>VLOOKUP(OneWeekMtgRatesDataTable8[[#This Row],[AsOfDate]],G:H,2,0)+OneWeekMtgRatesDataTable8[[#This Row],[SeriesNumValue]]</f>
        <v>3.8067073022432796</v>
      </c>
      <c r="F195" s="2" t="s">
        <v>1277</v>
      </c>
      <c r="G195" s="2" t="s">
        <v>198</v>
      </c>
      <c r="H195" s="2">
        <v>0.66078835499999999</v>
      </c>
      <c r="K195" s="4">
        <v>40448</v>
      </c>
      <c r="L195">
        <v>4.2699999999999996</v>
      </c>
    </row>
    <row r="196" spans="1:12" x14ac:dyDescent="0.25">
      <c r="A196" s="2" t="s">
        <v>5</v>
      </c>
      <c r="B196" s="2" t="s">
        <v>199</v>
      </c>
      <c r="C196" s="2">
        <v>3.1153555046375301</v>
      </c>
      <c r="D196" s="2">
        <f>VLOOKUP(OneWeekMtgRatesDataTable8[[#This Row],[AsOfDate]],G:H,2,0)+OneWeekMtgRatesDataTable8[[#This Row],[SeriesNumValue]]</f>
        <v>3.7761438596375303</v>
      </c>
      <c r="F196" s="2" t="s">
        <v>1277</v>
      </c>
      <c r="G196" s="2" t="s">
        <v>199</v>
      </c>
      <c r="H196" s="2">
        <v>0.66078835499999999</v>
      </c>
      <c r="K196" s="4">
        <v>40449</v>
      </c>
      <c r="L196">
        <v>4.2699999999999996</v>
      </c>
    </row>
    <row r="197" spans="1:12" x14ac:dyDescent="0.25">
      <c r="A197" s="2" t="s">
        <v>5</v>
      </c>
      <c r="B197" s="2" t="s">
        <v>200</v>
      </c>
      <c r="C197" s="2">
        <v>3.1915310433588799</v>
      </c>
      <c r="D197" s="2">
        <f>VLOOKUP(OneWeekMtgRatesDataTable8[[#This Row],[AsOfDate]],G:H,2,0)+OneWeekMtgRatesDataTable8[[#This Row],[SeriesNumValue]]</f>
        <v>3.8523193983588797</v>
      </c>
      <c r="F197" s="2" t="s">
        <v>1277</v>
      </c>
      <c r="G197" s="2" t="s">
        <v>200</v>
      </c>
      <c r="H197" s="2">
        <v>0.66078835499999999</v>
      </c>
      <c r="K197" s="4">
        <v>40450</v>
      </c>
      <c r="L197">
        <v>4.2699999999999996</v>
      </c>
    </row>
    <row r="198" spans="1:12" x14ac:dyDescent="0.25">
      <c r="A198" s="2" t="s">
        <v>5</v>
      </c>
      <c r="B198" s="2" t="s">
        <v>201</v>
      </c>
      <c r="C198" s="2">
        <v>3.1408308394137698</v>
      </c>
      <c r="D198" s="2">
        <f>VLOOKUP(OneWeekMtgRatesDataTable8[[#This Row],[AsOfDate]],G:H,2,0)+OneWeekMtgRatesDataTable8[[#This Row],[SeriesNumValue]]</f>
        <v>3.8997855684137699</v>
      </c>
      <c r="F198" s="2" t="s">
        <v>1277</v>
      </c>
      <c r="G198" s="2" t="s">
        <v>201</v>
      </c>
      <c r="H198" s="2">
        <v>0.75895472900000005</v>
      </c>
      <c r="K198" s="4">
        <v>40451</v>
      </c>
      <c r="L198">
        <v>4.22</v>
      </c>
    </row>
    <row r="199" spans="1:12" x14ac:dyDescent="0.25">
      <c r="A199" s="2" t="s">
        <v>5</v>
      </c>
      <c r="B199" s="2" t="s">
        <v>202</v>
      </c>
      <c r="C199" s="2">
        <v>3.1968294834055402</v>
      </c>
      <c r="D199" s="2">
        <f>VLOOKUP(OneWeekMtgRatesDataTable8[[#This Row],[AsOfDate]],G:H,2,0)+OneWeekMtgRatesDataTable8[[#This Row],[SeriesNumValue]]</f>
        <v>3.9557842124055402</v>
      </c>
      <c r="F199" s="2" t="s">
        <v>1277</v>
      </c>
      <c r="G199" s="2" t="s">
        <v>202</v>
      </c>
      <c r="H199" s="2">
        <v>0.75895472900000005</v>
      </c>
      <c r="K199" s="4">
        <v>40452</v>
      </c>
      <c r="L199">
        <v>4.22</v>
      </c>
    </row>
    <row r="200" spans="1:12" x14ac:dyDescent="0.25">
      <c r="A200" s="2" t="s">
        <v>5</v>
      </c>
      <c r="B200" s="2" t="s">
        <v>203</v>
      </c>
      <c r="C200" s="2">
        <v>3.1932759720766599</v>
      </c>
      <c r="D200" s="2">
        <f>VLOOKUP(OneWeekMtgRatesDataTable8[[#This Row],[AsOfDate]],G:H,2,0)+OneWeekMtgRatesDataTable8[[#This Row],[SeriesNumValue]]</f>
        <v>3.95223070107666</v>
      </c>
      <c r="F200" s="2" t="s">
        <v>1277</v>
      </c>
      <c r="G200" s="2" t="s">
        <v>203</v>
      </c>
      <c r="H200" s="2">
        <v>0.75895472900000005</v>
      </c>
      <c r="K200" s="4">
        <v>40455</v>
      </c>
      <c r="L200">
        <v>4.22</v>
      </c>
    </row>
    <row r="201" spans="1:12" x14ac:dyDescent="0.25">
      <c r="A201" s="2" t="s">
        <v>5</v>
      </c>
      <c r="B201" s="2" t="s">
        <v>204</v>
      </c>
      <c r="C201" s="2">
        <v>3.21923846967334</v>
      </c>
      <c r="D201" s="2">
        <f>VLOOKUP(OneWeekMtgRatesDataTable8[[#This Row],[AsOfDate]],G:H,2,0)+OneWeekMtgRatesDataTable8[[#This Row],[SeriesNumValue]]</f>
        <v>3.9781931986733401</v>
      </c>
      <c r="F201" s="2" t="s">
        <v>1277</v>
      </c>
      <c r="G201" s="2" t="s">
        <v>204</v>
      </c>
      <c r="H201" s="2">
        <v>0.75895472900000005</v>
      </c>
      <c r="K201" s="4">
        <v>40456</v>
      </c>
      <c r="L201">
        <v>4.22</v>
      </c>
    </row>
    <row r="202" spans="1:12" x14ac:dyDescent="0.25">
      <c r="A202" s="2" t="s">
        <v>5</v>
      </c>
      <c r="B202" s="2" t="s">
        <v>205</v>
      </c>
      <c r="C202" s="2">
        <v>3.2014386947341</v>
      </c>
      <c r="D202" s="2">
        <f>VLOOKUP(OneWeekMtgRatesDataTable8[[#This Row],[AsOfDate]],G:H,2,0)+OneWeekMtgRatesDataTable8[[#This Row],[SeriesNumValue]]</f>
        <v>3.9237430397341</v>
      </c>
      <c r="F202" s="2" t="s">
        <v>1277</v>
      </c>
      <c r="G202" s="2" t="s">
        <v>205</v>
      </c>
      <c r="H202" s="2">
        <v>0.72230434499999996</v>
      </c>
      <c r="K202" s="4">
        <v>40457</v>
      </c>
      <c r="L202">
        <v>4.22</v>
      </c>
    </row>
    <row r="203" spans="1:12" x14ac:dyDescent="0.25">
      <c r="A203" s="2" t="s">
        <v>5</v>
      </c>
      <c r="B203" s="2" t="s">
        <v>206</v>
      </c>
      <c r="C203" s="2">
        <v>3.1637028117931498</v>
      </c>
      <c r="D203" s="2">
        <f>VLOOKUP(OneWeekMtgRatesDataTable8[[#This Row],[AsOfDate]],G:H,2,0)+OneWeekMtgRatesDataTable8[[#This Row],[SeriesNumValue]]</f>
        <v>3.8860071567931498</v>
      </c>
      <c r="F203" s="2" t="s">
        <v>1277</v>
      </c>
      <c r="G203" s="2" t="s">
        <v>206</v>
      </c>
      <c r="H203" s="2">
        <v>0.72230434499999996</v>
      </c>
      <c r="K203" s="4">
        <v>40458</v>
      </c>
      <c r="L203">
        <v>4.1399999999999997</v>
      </c>
    </row>
    <row r="204" spans="1:12" x14ac:dyDescent="0.25">
      <c r="A204" s="2" t="s">
        <v>5</v>
      </c>
      <c r="B204" s="2" t="s">
        <v>207</v>
      </c>
      <c r="C204" s="2">
        <v>3.2133365381632499</v>
      </c>
      <c r="D204" s="2">
        <f>VLOOKUP(OneWeekMtgRatesDataTable8[[#This Row],[AsOfDate]],G:H,2,0)+OneWeekMtgRatesDataTable8[[#This Row],[SeriesNumValue]]</f>
        <v>3.9356408831632499</v>
      </c>
      <c r="F204" s="2" t="s">
        <v>1277</v>
      </c>
      <c r="G204" s="2" t="s">
        <v>207</v>
      </c>
      <c r="H204" s="2">
        <v>0.72230434499999996</v>
      </c>
      <c r="K204" s="4">
        <v>40459</v>
      </c>
      <c r="L204">
        <v>4.1399999999999997</v>
      </c>
    </row>
    <row r="205" spans="1:12" x14ac:dyDescent="0.25">
      <c r="A205" s="2" t="s">
        <v>5</v>
      </c>
      <c r="B205" s="2" t="s">
        <v>208</v>
      </c>
      <c r="C205" s="2">
        <v>3.1766805050266198</v>
      </c>
      <c r="D205" s="2">
        <f>VLOOKUP(OneWeekMtgRatesDataTable8[[#This Row],[AsOfDate]],G:H,2,0)+OneWeekMtgRatesDataTable8[[#This Row],[SeriesNumValue]]</f>
        <v>3.8989848500266198</v>
      </c>
      <c r="F205" s="2" t="s">
        <v>1277</v>
      </c>
      <c r="G205" s="2" t="s">
        <v>208</v>
      </c>
      <c r="H205" s="2">
        <v>0.72230434499999996</v>
      </c>
      <c r="K205" s="4">
        <v>40463</v>
      </c>
      <c r="L205">
        <v>4.1399999999999997</v>
      </c>
    </row>
    <row r="206" spans="1:12" x14ac:dyDescent="0.25">
      <c r="A206" s="2" t="s">
        <v>5</v>
      </c>
      <c r="B206" s="2" t="s">
        <v>209</v>
      </c>
      <c r="C206" s="2">
        <v>3.1441680368371498</v>
      </c>
      <c r="D206" s="2">
        <f>VLOOKUP(OneWeekMtgRatesDataTable8[[#This Row],[AsOfDate]],G:H,2,0)+OneWeekMtgRatesDataTable8[[#This Row],[SeriesNumValue]]</f>
        <v>3.8664723818371498</v>
      </c>
      <c r="F206" s="2" t="s">
        <v>1277</v>
      </c>
      <c r="G206" s="2" t="s">
        <v>209</v>
      </c>
      <c r="H206" s="2">
        <v>0.72230434499999996</v>
      </c>
      <c r="K206" s="4">
        <v>40464</v>
      </c>
      <c r="L206">
        <v>4.1399999999999997</v>
      </c>
    </row>
    <row r="207" spans="1:12" x14ac:dyDescent="0.25">
      <c r="A207" s="2" t="s">
        <v>5</v>
      </c>
      <c r="B207" s="2" t="s">
        <v>210</v>
      </c>
      <c r="C207" s="2">
        <v>3.1451663238468299</v>
      </c>
      <c r="D207" s="2">
        <f>VLOOKUP(OneWeekMtgRatesDataTable8[[#This Row],[AsOfDate]],G:H,2,0)+OneWeekMtgRatesDataTable8[[#This Row],[SeriesNumValue]]</f>
        <v>3.88155548084683</v>
      </c>
      <c r="F207" s="2" t="s">
        <v>1277</v>
      </c>
      <c r="G207" s="2" t="s">
        <v>210</v>
      </c>
      <c r="H207" s="2">
        <v>0.73638915699999996</v>
      </c>
      <c r="K207" s="4">
        <v>40465</v>
      </c>
      <c r="L207">
        <v>4.16</v>
      </c>
    </row>
    <row r="208" spans="1:12" x14ac:dyDescent="0.25">
      <c r="A208" s="2" t="s">
        <v>5</v>
      </c>
      <c r="B208" s="2" t="s">
        <v>211</v>
      </c>
      <c r="C208" s="2">
        <v>3.2226255567609399</v>
      </c>
      <c r="D208" s="2">
        <f>VLOOKUP(OneWeekMtgRatesDataTable8[[#This Row],[AsOfDate]],G:H,2,0)+OneWeekMtgRatesDataTable8[[#This Row],[SeriesNumValue]]</f>
        <v>3.9590147137609399</v>
      </c>
      <c r="F208" s="2" t="s">
        <v>1277</v>
      </c>
      <c r="G208" s="2" t="s">
        <v>211</v>
      </c>
      <c r="H208" s="2">
        <v>0.73638915699999996</v>
      </c>
      <c r="K208" s="4">
        <v>40466</v>
      </c>
      <c r="L208">
        <v>4.16</v>
      </c>
    </row>
    <row r="209" spans="1:12" x14ac:dyDescent="0.25">
      <c r="A209" s="2" t="s">
        <v>5</v>
      </c>
      <c r="B209" s="2" t="s">
        <v>212</v>
      </c>
      <c r="C209" s="2">
        <v>3.1879027130286501</v>
      </c>
      <c r="D209" s="2">
        <f>VLOOKUP(OneWeekMtgRatesDataTable8[[#This Row],[AsOfDate]],G:H,2,0)+OneWeekMtgRatesDataTable8[[#This Row],[SeriesNumValue]]</f>
        <v>3.9242918700286502</v>
      </c>
      <c r="F209" s="2" t="s">
        <v>1277</v>
      </c>
      <c r="G209" s="2" t="s">
        <v>212</v>
      </c>
      <c r="H209" s="2">
        <v>0.73638915699999996</v>
      </c>
      <c r="K209" s="4">
        <v>40469</v>
      </c>
      <c r="L209">
        <v>4.16</v>
      </c>
    </row>
    <row r="210" spans="1:12" x14ac:dyDescent="0.25">
      <c r="A210" s="2" t="s">
        <v>5</v>
      </c>
      <c r="B210" s="2" t="s">
        <v>213</v>
      </c>
      <c r="C210" s="2">
        <v>3.18160535509739</v>
      </c>
      <c r="D210" s="2">
        <f>VLOOKUP(OneWeekMtgRatesDataTable8[[#This Row],[AsOfDate]],G:H,2,0)+OneWeekMtgRatesDataTable8[[#This Row],[SeriesNumValue]]</f>
        <v>3.91799451209739</v>
      </c>
      <c r="F210" s="2" t="s">
        <v>1277</v>
      </c>
      <c r="G210" s="2" t="s">
        <v>213</v>
      </c>
      <c r="H210" s="2">
        <v>0.73638915699999996</v>
      </c>
      <c r="K210" s="4">
        <v>40470</v>
      </c>
      <c r="L210">
        <v>4.16</v>
      </c>
    </row>
    <row r="211" spans="1:12" x14ac:dyDescent="0.25">
      <c r="A211" s="2" t="s">
        <v>5</v>
      </c>
      <c r="B211" s="2" t="s">
        <v>214</v>
      </c>
      <c r="C211" s="2">
        <v>3.1770193190764999</v>
      </c>
      <c r="D211" s="2">
        <f>VLOOKUP(OneWeekMtgRatesDataTable8[[#This Row],[AsOfDate]],G:H,2,0)+OneWeekMtgRatesDataTable8[[#This Row],[SeriesNumValue]]</f>
        <v>3.9097310830765002</v>
      </c>
      <c r="F211" s="2" t="s">
        <v>1277</v>
      </c>
      <c r="G211" s="2" t="s">
        <v>214</v>
      </c>
      <c r="H211" s="2">
        <v>0.73271176400000004</v>
      </c>
      <c r="K211" s="4">
        <v>40471</v>
      </c>
      <c r="L211">
        <v>4.16</v>
      </c>
    </row>
    <row r="212" spans="1:12" x14ac:dyDescent="0.25">
      <c r="A212" s="2" t="s">
        <v>5</v>
      </c>
      <c r="B212" s="2" t="s">
        <v>215</v>
      </c>
      <c r="C212" s="2">
        <v>3.2092148157425902</v>
      </c>
      <c r="D212" s="2">
        <f>VLOOKUP(OneWeekMtgRatesDataTable8[[#This Row],[AsOfDate]],G:H,2,0)+OneWeekMtgRatesDataTable8[[#This Row],[SeriesNumValue]]</f>
        <v>3.9419265797425904</v>
      </c>
      <c r="F212" s="2" t="s">
        <v>1277</v>
      </c>
      <c r="G212" s="2" t="s">
        <v>215</v>
      </c>
      <c r="H212" s="2">
        <v>0.73271176400000004</v>
      </c>
      <c r="K212" s="4">
        <v>40472</v>
      </c>
      <c r="L212">
        <v>4.18</v>
      </c>
    </row>
    <row r="213" spans="1:12" x14ac:dyDescent="0.25">
      <c r="A213" s="2" t="s">
        <v>5</v>
      </c>
      <c r="B213" s="2" t="s">
        <v>216</v>
      </c>
      <c r="C213" s="2">
        <v>3.1429302987422898</v>
      </c>
      <c r="D213" s="2">
        <f>VLOOKUP(OneWeekMtgRatesDataTable8[[#This Row],[AsOfDate]],G:H,2,0)+OneWeekMtgRatesDataTable8[[#This Row],[SeriesNumValue]]</f>
        <v>3.8756420627422896</v>
      </c>
      <c r="F213" s="2" t="s">
        <v>1277</v>
      </c>
      <c r="G213" s="2" t="s">
        <v>216</v>
      </c>
      <c r="H213" s="2">
        <v>0.73271176400000004</v>
      </c>
      <c r="K213" s="4">
        <v>40473</v>
      </c>
      <c r="L213">
        <v>4.18</v>
      </c>
    </row>
    <row r="214" spans="1:12" x14ac:dyDescent="0.25">
      <c r="A214" s="2" t="s">
        <v>5</v>
      </c>
      <c r="B214" s="2" t="s">
        <v>217</v>
      </c>
      <c r="C214" s="2">
        <v>3.1564944605964</v>
      </c>
      <c r="D214" s="2">
        <f>VLOOKUP(OneWeekMtgRatesDataTable8[[#This Row],[AsOfDate]],G:H,2,0)+OneWeekMtgRatesDataTable8[[#This Row],[SeriesNumValue]]</f>
        <v>3.8892062245963999</v>
      </c>
      <c r="F214" s="2" t="s">
        <v>1277</v>
      </c>
      <c r="G214" s="2" t="s">
        <v>217</v>
      </c>
      <c r="H214" s="2">
        <v>0.73271176400000004</v>
      </c>
      <c r="K214" s="4">
        <v>40476</v>
      </c>
      <c r="L214">
        <v>4.18</v>
      </c>
    </row>
    <row r="215" spans="1:12" x14ac:dyDescent="0.25">
      <c r="A215" s="2" t="s">
        <v>5</v>
      </c>
      <c r="B215" s="2" t="s">
        <v>218</v>
      </c>
      <c r="C215" s="2">
        <v>3.1701948375886699</v>
      </c>
      <c r="D215" s="2">
        <f>VLOOKUP(OneWeekMtgRatesDataTable8[[#This Row],[AsOfDate]],G:H,2,0)+OneWeekMtgRatesDataTable8[[#This Row],[SeriesNumValue]]</f>
        <v>3.9029066015886702</v>
      </c>
      <c r="F215" s="2" t="s">
        <v>1277</v>
      </c>
      <c r="G215" s="2" t="s">
        <v>218</v>
      </c>
      <c r="H215" s="2">
        <v>0.73271176400000004</v>
      </c>
      <c r="K215" s="4">
        <v>40477</v>
      </c>
      <c r="L215">
        <v>4.18</v>
      </c>
    </row>
    <row r="216" spans="1:12" x14ac:dyDescent="0.25">
      <c r="A216" s="2" t="s">
        <v>5</v>
      </c>
      <c r="B216" s="2" t="s">
        <v>219</v>
      </c>
      <c r="C216" s="2">
        <v>3.0901166558694499</v>
      </c>
      <c r="D216" s="2">
        <f>VLOOKUP(OneWeekMtgRatesDataTable8[[#This Row],[AsOfDate]],G:H,2,0)+OneWeekMtgRatesDataTable8[[#This Row],[SeriesNumValue]]</f>
        <v>3.8513264418694497</v>
      </c>
      <c r="F216" s="2" t="s">
        <v>1277</v>
      </c>
      <c r="G216" s="2" t="s">
        <v>219</v>
      </c>
      <c r="H216" s="2">
        <v>0.761209786</v>
      </c>
      <c r="K216" s="4">
        <v>40478</v>
      </c>
      <c r="L216">
        <v>4.18</v>
      </c>
    </row>
    <row r="217" spans="1:12" x14ac:dyDescent="0.25">
      <c r="A217" s="2" t="s">
        <v>5</v>
      </c>
      <c r="B217" s="2" t="s">
        <v>220</v>
      </c>
      <c r="C217" s="2">
        <v>3.0582086355581701</v>
      </c>
      <c r="D217" s="2">
        <f>VLOOKUP(OneWeekMtgRatesDataTable8[[#This Row],[AsOfDate]],G:H,2,0)+OneWeekMtgRatesDataTable8[[#This Row],[SeriesNumValue]]</f>
        <v>3.8194184215581704</v>
      </c>
      <c r="F217" s="2" t="s">
        <v>1277</v>
      </c>
      <c r="G217" s="2" t="s">
        <v>220</v>
      </c>
      <c r="H217" s="2">
        <v>0.761209786</v>
      </c>
      <c r="K217" s="4">
        <v>40479</v>
      </c>
      <c r="L217">
        <v>4.1900000000000004</v>
      </c>
    </row>
    <row r="218" spans="1:12" x14ac:dyDescent="0.25">
      <c r="A218" s="2" t="s">
        <v>5</v>
      </c>
      <c r="B218" s="2" t="s">
        <v>221</v>
      </c>
      <c r="C218" s="2">
        <v>3.13668507715898</v>
      </c>
      <c r="D218" s="2">
        <f>VLOOKUP(OneWeekMtgRatesDataTable8[[#This Row],[AsOfDate]],G:H,2,0)+OneWeekMtgRatesDataTable8[[#This Row],[SeriesNumValue]]</f>
        <v>3.8978948631589798</v>
      </c>
      <c r="F218" s="2" t="s">
        <v>1277</v>
      </c>
      <c r="G218" s="2" t="s">
        <v>221</v>
      </c>
      <c r="H218" s="2">
        <v>0.761209786</v>
      </c>
      <c r="K218" s="4">
        <v>40480</v>
      </c>
      <c r="L218">
        <v>4.1900000000000004</v>
      </c>
    </row>
    <row r="219" spans="1:12" x14ac:dyDescent="0.25">
      <c r="A219" s="2" t="s">
        <v>5</v>
      </c>
      <c r="B219" s="2" t="s">
        <v>222</v>
      </c>
      <c r="C219" s="2">
        <v>3.12818591225721</v>
      </c>
      <c r="D219" s="2">
        <f>VLOOKUP(OneWeekMtgRatesDataTable8[[#This Row],[AsOfDate]],G:H,2,0)+OneWeekMtgRatesDataTable8[[#This Row],[SeriesNumValue]]</f>
        <v>3.8893956982572098</v>
      </c>
      <c r="F219" s="2" t="s">
        <v>1277</v>
      </c>
      <c r="G219" s="2" t="s">
        <v>222</v>
      </c>
      <c r="H219" s="2">
        <v>0.761209786</v>
      </c>
      <c r="K219" s="4">
        <v>40483</v>
      </c>
      <c r="L219">
        <v>4.1900000000000004</v>
      </c>
    </row>
    <row r="220" spans="1:12" x14ac:dyDescent="0.25">
      <c r="A220" s="2" t="s">
        <v>5</v>
      </c>
      <c r="B220" s="2" t="s">
        <v>223</v>
      </c>
      <c r="C220" s="2">
        <v>3.0836009703649698</v>
      </c>
      <c r="D220" s="2">
        <f>VLOOKUP(OneWeekMtgRatesDataTable8[[#This Row],[AsOfDate]],G:H,2,0)+OneWeekMtgRatesDataTable8[[#This Row],[SeriesNumValue]]</f>
        <v>3.8448107563649696</v>
      </c>
      <c r="F220" s="2" t="s">
        <v>1277</v>
      </c>
      <c r="G220" s="2" t="s">
        <v>223</v>
      </c>
      <c r="H220" s="2">
        <v>0.761209786</v>
      </c>
      <c r="K220" s="4">
        <v>40484</v>
      </c>
      <c r="L220">
        <v>4.1900000000000004</v>
      </c>
    </row>
    <row r="221" spans="1:12" x14ac:dyDescent="0.25">
      <c r="A221" s="2" t="s">
        <v>5</v>
      </c>
      <c r="B221" s="2" t="s">
        <v>224</v>
      </c>
      <c r="C221" s="2">
        <v>3.0099010383254599</v>
      </c>
      <c r="D221" s="2">
        <f>VLOOKUP(OneWeekMtgRatesDataTable8[[#This Row],[AsOfDate]],G:H,2,0)+OneWeekMtgRatesDataTable8[[#This Row],[SeriesNumValue]]</f>
        <v>3.8165847113254596</v>
      </c>
      <c r="F221" s="2" t="s">
        <v>1277</v>
      </c>
      <c r="G221" s="2" t="s">
        <v>224</v>
      </c>
      <c r="H221" s="2">
        <v>0.80668367299999999</v>
      </c>
      <c r="K221" s="4">
        <v>40485</v>
      </c>
      <c r="L221">
        <v>4.1900000000000004</v>
      </c>
    </row>
    <row r="222" spans="1:12" x14ac:dyDescent="0.25">
      <c r="A222" s="2" t="s">
        <v>5</v>
      </c>
      <c r="B222" s="2" t="s">
        <v>225</v>
      </c>
      <c r="C222" s="2">
        <v>3.0512455688630302</v>
      </c>
      <c r="D222" s="2">
        <f>VLOOKUP(OneWeekMtgRatesDataTable8[[#This Row],[AsOfDate]],G:H,2,0)+OneWeekMtgRatesDataTable8[[#This Row],[SeriesNumValue]]</f>
        <v>3.8579292418630304</v>
      </c>
      <c r="F222" s="2" t="s">
        <v>1277</v>
      </c>
      <c r="G222" s="2" t="s">
        <v>225</v>
      </c>
      <c r="H222" s="2">
        <v>0.80668367299999999</v>
      </c>
      <c r="K222" s="4">
        <v>40486</v>
      </c>
      <c r="L222">
        <v>4.12</v>
      </c>
    </row>
    <row r="223" spans="1:12" x14ac:dyDescent="0.25">
      <c r="A223" s="2" t="s">
        <v>5</v>
      </c>
      <c r="B223" s="2" t="s">
        <v>226</v>
      </c>
      <c r="C223" s="2">
        <v>3.0010367845375399</v>
      </c>
      <c r="D223" s="2">
        <f>VLOOKUP(OneWeekMtgRatesDataTable8[[#This Row],[AsOfDate]],G:H,2,0)+OneWeekMtgRatesDataTable8[[#This Row],[SeriesNumValue]]</f>
        <v>3.8077204575375401</v>
      </c>
      <c r="F223" s="2" t="s">
        <v>1277</v>
      </c>
      <c r="G223" s="2" t="s">
        <v>226</v>
      </c>
      <c r="H223" s="2">
        <v>0.80668367299999999</v>
      </c>
      <c r="K223" s="4">
        <v>40487</v>
      </c>
      <c r="L223">
        <v>4.12</v>
      </c>
    </row>
    <row r="224" spans="1:12" x14ac:dyDescent="0.25">
      <c r="A224" s="2" t="s">
        <v>5</v>
      </c>
      <c r="B224" s="2" t="s">
        <v>227</v>
      </c>
      <c r="C224" s="2">
        <v>2.9894475753554</v>
      </c>
      <c r="D224" s="2">
        <f>VLOOKUP(OneWeekMtgRatesDataTable8[[#This Row],[AsOfDate]],G:H,2,0)+OneWeekMtgRatesDataTable8[[#This Row],[SeriesNumValue]]</f>
        <v>3.7961312483554002</v>
      </c>
      <c r="F224" s="2" t="s">
        <v>1277</v>
      </c>
      <c r="G224" s="2" t="s">
        <v>227</v>
      </c>
      <c r="H224" s="2">
        <v>0.80668367299999999</v>
      </c>
      <c r="K224" s="4">
        <v>40490</v>
      </c>
      <c r="L224">
        <v>4.12</v>
      </c>
    </row>
    <row r="225" spans="1:12" x14ac:dyDescent="0.25">
      <c r="A225" s="2" t="s">
        <v>5</v>
      </c>
      <c r="B225" s="2" t="s">
        <v>228</v>
      </c>
      <c r="C225" s="2">
        <v>3.0682671271732498</v>
      </c>
      <c r="D225" s="2">
        <f>VLOOKUP(OneWeekMtgRatesDataTable8[[#This Row],[AsOfDate]],G:H,2,0)+OneWeekMtgRatesDataTable8[[#This Row],[SeriesNumValue]]</f>
        <v>3.8749508001732496</v>
      </c>
      <c r="F225" s="2" t="s">
        <v>1277</v>
      </c>
      <c r="G225" s="2" t="s">
        <v>228</v>
      </c>
      <c r="H225" s="2">
        <v>0.80668367299999999</v>
      </c>
      <c r="K225" s="4">
        <v>40491</v>
      </c>
      <c r="L225">
        <v>4.12</v>
      </c>
    </row>
    <row r="226" spans="1:12" x14ac:dyDescent="0.25">
      <c r="A226" s="2" t="s">
        <v>5</v>
      </c>
      <c r="B226" s="2" t="s">
        <v>229</v>
      </c>
      <c r="C226" s="2">
        <v>3.1062066033086002</v>
      </c>
      <c r="D226" s="2">
        <f>VLOOKUP(OneWeekMtgRatesDataTable8[[#This Row],[AsOfDate]],G:H,2,0)+OneWeekMtgRatesDataTable8[[#This Row],[SeriesNumValue]]</f>
        <v>3.8979658713086001</v>
      </c>
      <c r="F226" s="2" t="s">
        <v>1277</v>
      </c>
      <c r="G226" s="2" t="s">
        <v>229</v>
      </c>
      <c r="H226" s="2">
        <v>0.79175926799999996</v>
      </c>
      <c r="K226" s="4">
        <v>40492</v>
      </c>
      <c r="L226">
        <v>4.12</v>
      </c>
    </row>
    <row r="227" spans="1:12" x14ac:dyDescent="0.25">
      <c r="A227" s="2" t="s">
        <v>5</v>
      </c>
      <c r="B227" s="2" t="s">
        <v>230</v>
      </c>
      <c r="C227" s="2">
        <v>3.0957276012742798</v>
      </c>
      <c r="D227" s="2">
        <f>VLOOKUP(OneWeekMtgRatesDataTable8[[#This Row],[AsOfDate]],G:H,2,0)+OneWeekMtgRatesDataTable8[[#This Row],[SeriesNumValue]]</f>
        <v>3.8874868692742797</v>
      </c>
      <c r="F227" s="2" t="s">
        <v>1277</v>
      </c>
      <c r="G227" s="2" t="s">
        <v>230</v>
      </c>
      <c r="H227" s="2">
        <v>0.79175926799999996</v>
      </c>
      <c r="K227" s="4">
        <v>40494</v>
      </c>
      <c r="L227">
        <v>4.3650000000000002</v>
      </c>
    </row>
    <row r="228" spans="1:12" x14ac:dyDescent="0.25">
      <c r="A228" s="2" t="s">
        <v>5</v>
      </c>
      <c r="B228" s="2" t="s">
        <v>231</v>
      </c>
      <c r="C228" s="2">
        <v>3.1705040957732402</v>
      </c>
      <c r="D228" s="2">
        <f>VLOOKUP(OneWeekMtgRatesDataTable8[[#This Row],[AsOfDate]],G:H,2,0)+OneWeekMtgRatesDataTable8[[#This Row],[SeriesNumValue]]</f>
        <v>3.9622633637732401</v>
      </c>
      <c r="F228" s="2" t="s">
        <v>1277</v>
      </c>
      <c r="G228" s="2" t="s">
        <v>231</v>
      </c>
      <c r="H228" s="2">
        <v>0.79175926799999996</v>
      </c>
      <c r="K228" s="4">
        <v>40497</v>
      </c>
      <c r="L228">
        <v>4.3650000000000002</v>
      </c>
    </row>
    <row r="229" spans="1:12" x14ac:dyDescent="0.25">
      <c r="A229" s="2" t="s">
        <v>5</v>
      </c>
      <c r="B229" s="2" t="s">
        <v>232</v>
      </c>
      <c r="C229" s="2">
        <v>3.1525411390212401</v>
      </c>
      <c r="D229" s="2">
        <f>VLOOKUP(OneWeekMtgRatesDataTable8[[#This Row],[AsOfDate]],G:H,2,0)+OneWeekMtgRatesDataTable8[[#This Row],[SeriesNumValue]]</f>
        <v>3.94430040702124</v>
      </c>
      <c r="F229" s="2" t="s">
        <v>1277</v>
      </c>
      <c r="G229" s="2" t="s">
        <v>232</v>
      </c>
      <c r="H229" s="2">
        <v>0.79175926799999996</v>
      </c>
      <c r="K229" s="4">
        <v>40498</v>
      </c>
      <c r="L229">
        <v>4.3650000000000002</v>
      </c>
    </row>
    <row r="230" spans="1:12" x14ac:dyDescent="0.25">
      <c r="A230" s="2" t="s">
        <v>5</v>
      </c>
      <c r="B230" s="2" t="s">
        <v>233</v>
      </c>
      <c r="C230" s="2">
        <v>3.0482411283834199</v>
      </c>
      <c r="D230" s="2">
        <f>VLOOKUP(OneWeekMtgRatesDataTable8[[#This Row],[AsOfDate]],G:H,2,0)+OneWeekMtgRatesDataTable8[[#This Row],[SeriesNumValue]]</f>
        <v>3.80648763738342</v>
      </c>
      <c r="F230" s="2" t="s">
        <v>1277</v>
      </c>
      <c r="G230" s="2" t="s">
        <v>233</v>
      </c>
      <c r="H230" s="2">
        <v>0.75824650900000001</v>
      </c>
      <c r="K230" s="4">
        <v>40499</v>
      </c>
      <c r="L230">
        <v>4.3650000000000002</v>
      </c>
    </row>
    <row r="231" spans="1:12" x14ac:dyDescent="0.25">
      <c r="A231" s="2" t="s">
        <v>5</v>
      </c>
      <c r="B231" s="2" t="s">
        <v>234</v>
      </c>
      <c r="C231" s="2">
        <v>3.02888356326996</v>
      </c>
      <c r="D231" s="2">
        <f>VLOOKUP(OneWeekMtgRatesDataTable8[[#This Row],[AsOfDate]],G:H,2,0)+OneWeekMtgRatesDataTable8[[#This Row],[SeriesNumValue]]</f>
        <v>3.7871300722699601</v>
      </c>
      <c r="F231" s="2" t="s">
        <v>1277</v>
      </c>
      <c r="G231" s="2" t="s">
        <v>234</v>
      </c>
      <c r="H231" s="2">
        <v>0.75824650900000001</v>
      </c>
      <c r="K231" s="4">
        <v>40500</v>
      </c>
      <c r="L231">
        <v>4.3499999999999996</v>
      </c>
    </row>
    <row r="232" spans="1:12" x14ac:dyDescent="0.25">
      <c r="A232" s="2" t="s">
        <v>5</v>
      </c>
      <c r="B232" s="2" t="s">
        <v>235</v>
      </c>
      <c r="C232" s="2">
        <v>3.0169008574553802</v>
      </c>
      <c r="D232" s="2">
        <f>VLOOKUP(OneWeekMtgRatesDataTable8[[#This Row],[AsOfDate]],G:H,2,0)+OneWeekMtgRatesDataTable8[[#This Row],[SeriesNumValue]]</f>
        <v>3.7751473664553803</v>
      </c>
      <c r="F232" s="2" t="s">
        <v>1277</v>
      </c>
      <c r="G232" s="2" t="s">
        <v>235</v>
      </c>
      <c r="H232" s="2">
        <v>0.75824650900000001</v>
      </c>
      <c r="K232" s="4">
        <v>40501</v>
      </c>
      <c r="L232">
        <v>4.3499999999999996</v>
      </c>
    </row>
    <row r="233" spans="1:12" x14ac:dyDescent="0.25">
      <c r="A233" s="2" t="s">
        <v>5</v>
      </c>
      <c r="B233" s="2" t="s">
        <v>236</v>
      </c>
      <c r="C233" s="2">
        <v>2.9922052054175601</v>
      </c>
      <c r="D233" s="2">
        <f>VLOOKUP(OneWeekMtgRatesDataTable8[[#This Row],[AsOfDate]],G:H,2,0)+OneWeekMtgRatesDataTable8[[#This Row],[SeriesNumValue]]</f>
        <v>3.7504517144175602</v>
      </c>
      <c r="F233" s="2" t="s">
        <v>1277</v>
      </c>
      <c r="G233" s="2" t="s">
        <v>236</v>
      </c>
      <c r="H233" s="2">
        <v>0.75824650900000001</v>
      </c>
      <c r="K233" s="4">
        <v>40504</v>
      </c>
      <c r="L233">
        <v>4.3499999999999996</v>
      </c>
    </row>
    <row r="234" spans="1:12" x14ac:dyDescent="0.25">
      <c r="A234" s="2" t="s">
        <v>5</v>
      </c>
      <c r="B234" s="2" t="s">
        <v>237</v>
      </c>
      <c r="C234" s="2">
        <v>2.99570308668953</v>
      </c>
      <c r="D234" s="2">
        <f>VLOOKUP(OneWeekMtgRatesDataTable8[[#This Row],[AsOfDate]],G:H,2,0)+OneWeekMtgRatesDataTable8[[#This Row],[SeriesNumValue]]</f>
        <v>3.8472799086895302</v>
      </c>
      <c r="F234" s="2" t="s">
        <v>1277</v>
      </c>
      <c r="G234" s="2" t="s">
        <v>237</v>
      </c>
      <c r="H234" s="2">
        <v>0.85157682199999996</v>
      </c>
      <c r="K234" s="4">
        <v>40505</v>
      </c>
      <c r="L234">
        <v>4.3499999999999996</v>
      </c>
    </row>
    <row r="235" spans="1:12" x14ac:dyDescent="0.25">
      <c r="A235" s="2" t="s">
        <v>5</v>
      </c>
      <c r="B235" s="2" t="s">
        <v>238</v>
      </c>
      <c r="C235" s="2">
        <v>2.91011038878244</v>
      </c>
      <c r="D235" s="2">
        <f>VLOOKUP(OneWeekMtgRatesDataTable8[[#This Row],[AsOfDate]],G:H,2,0)+OneWeekMtgRatesDataTable8[[#This Row],[SeriesNumValue]]</f>
        <v>3.7616872107824397</v>
      </c>
      <c r="F235" s="2" t="s">
        <v>1277</v>
      </c>
      <c r="G235" s="2" t="s">
        <v>238</v>
      </c>
      <c r="H235" s="2">
        <v>0.85157682199999996</v>
      </c>
      <c r="K235" s="4">
        <v>40506</v>
      </c>
      <c r="L235">
        <v>4.3499999999999996</v>
      </c>
    </row>
    <row r="236" spans="1:12" x14ac:dyDescent="0.25">
      <c r="A236" s="2" t="s">
        <v>5</v>
      </c>
      <c r="B236" s="2" t="s">
        <v>239</v>
      </c>
      <c r="C236" s="2">
        <v>2.85737725851964</v>
      </c>
      <c r="D236" s="2">
        <f>VLOOKUP(OneWeekMtgRatesDataTable8[[#This Row],[AsOfDate]],G:H,2,0)+OneWeekMtgRatesDataTable8[[#This Row],[SeriesNumValue]]</f>
        <v>3.7089540805196402</v>
      </c>
      <c r="F236" s="2" t="s">
        <v>1277</v>
      </c>
      <c r="G236" s="2" t="s">
        <v>239</v>
      </c>
      <c r="H236" s="2">
        <v>0.85157682199999996</v>
      </c>
      <c r="K236" s="4">
        <v>40508</v>
      </c>
      <c r="L236">
        <v>4.41</v>
      </c>
    </row>
    <row r="237" spans="1:12" x14ac:dyDescent="0.25">
      <c r="A237" s="2" t="s">
        <v>5</v>
      </c>
      <c r="B237" s="2" t="s">
        <v>240</v>
      </c>
      <c r="C237" s="2">
        <v>2.8757178049708001</v>
      </c>
      <c r="D237" s="2">
        <f>VLOOKUP(OneWeekMtgRatesDataTable8[[#This Row],[AsOfDate]],G:H,2,0)+OneWeekMtgRatesDataTable8[[#This Row],[SeriesNumValue]]</f>
        <v>3.7272946269708003</v>
      </c>
      <c r="F237" s="2" t="s">
        <v>1277</v>
      </c>
      <c r="G237" s="2" t="s">
        <v>240</v>
      </c>
      <c r="H237" s="2">
        <v>0.85157682199999996</v>
      </c>
      <c r="K237" s="4">
        <v>40511</v>
      </c>
      <c r="L237">
        <v>4.41</v>
      </c>
    </row>
    <row r="238" spans="1:12" x14ac:dyDescent="0.25">
      <c r="A238" s="2" t="s">
        <v>5</v>
      </c>
      <c r="B238" s="2" t="s">
        <v>241</v>
      </c>
      <c r="C238" s="2">
        <v>2.9177878153619399</v>
      </c>
      <c r="D238" s="2">
        <f>VLOOKUP(OneWeekMtgRatesDataTable8[[#This Row],[AsOfDate]],G:H,2,0)+OneWeekMtgRatesDataTable8[[#This Row],[SeriesNumValue]]</f>
        <v>3.7693646373619396</v>
      </c>
      <c r="F238" s="2" t="s">
        <v>1277</v>
      </c>
      <c r="G238" s="2" t="s">
        <v>241</v>
      </c>
      <c r="H238" s="2">
        <v>0.85157682199999996</v>
      </c>
      <c r="K238" s="4">
        <v>40512</v>
      </c>
      <c r="L238">
        <v>4.41</v>
      </c>
    </row>
    <row r="239" spans="1:12" x14ac:dyDescent="0.25">
      <c r="A239" s="2" t="s">
        <v>5</v>
      </c>
      <c r="B239" s="2" t="s">
        <v>242</v>
      </c>
      <c r="C239" s="2">
        <v>2.8837720214222302</v>
      </c>
      <c r="D239" s="2">
        <f>VLOOKUP(OneWeekMtgRatesDataTable8[[#This Row],[AsOfDate]],G:H,2,0)+OneWeekMtgRatesDataTable8[[#This Row],[SeriesNumValue]]</f>
        <v>3.8098189634222304</v>
      </c>
      <c r="F239" s="2" t="s">
        <v>1277</v>
      </c>
      <c r="G239" s="2" t="s">
        <v>242</v>
      </c>
      <c r="H239" s="2">
        <v>0.92604694200000004</v>
      </c>
      <c r="K239" s="4">
        <v>40513</v>
      </c>
      <c r="L239">
        <v>4.41</v>
      </c>
    </row>
    <row r="240" spans="1:12" x14ac:dyDescent="0.25">
      <c r="A240" s="2" t="s">
        <v>5</v>
      </c>
      <c r="B240" s="2" t="s">
        <v>243</v>
      </c>
      <c r="C240" s="2">
        <v>2.8523399167499401</v>
      </c>
      <c r="D240" s="2">
        <f>VLOOKUP(OneWeekMtgRatesDataTable8[[#This Row],[AsOfDate]],G:H,2,0)+OneWeekMtgRatesDataTable8[[#This Row],[SeriesNumValue]]</f>
        <v>3.7783868587499403</v>
      </c>
      <c r="F240" s="2" t="s">
        <v>1277</v>
      </c>
      <c r="G240" s="2" t="s">
        <v>243</v>
      </c>
      <c r="H240" s="2">
        <v>0.92604694200000004</v>
      </c>
      <c r="K240" s="4">
        <v>40514</v>
      </c>
      <c r="L240">
        <v>4.5350000000000001</v>
      </c>
    </row>
    <row r="241" spans="1:12" x14ac:dyDescent="0.25">
      <c r="A241" s="2" t="s">
        <v>5</v>
      </c>
      <c r="B241" s="2" t="s">
        <v>244</v>
      </c>
      <c r="C241" s="2">
        <v>2.81630541701854</v>
      </c>
      <c r="D241" s="2">
        <f>VLOOKUP(OneWeekMtgRatesDataTable8[[#This Row],[AsOfDate]],G:H,2,0)+OneWeekMtgRatesDataTable8[[#This Row],[SeriesNumValue]]</f>
        <v>3.7423523590185401</v>
      </c>
      <c r="F241" s="2" t="s">
        <v>1277</v>
      </c>
      <c r="G241" s="2" t="s">
        <v>244</v>
      </c>
      <c r="H241" s="2">
        <v>0.92604694200000004</v>
      </c>
      <c r="K241" s="4">
        <v>40515</v>
      </c>
      <c r="L241">
        <v>4.5350000000000001</v>
      </c>
    </row>
    <row r="242" spans="1:12" x14ac:dyDescent="0.25">
      <c r="A242" s="2" t="s">
        <v>5</v>
      </c>
      <c r="B242" s="2" t="s">
        <v>245</v>
      </c>
      <c r="C242" s="2">
        <v>2.86264141643864</v>
      </c>
      <c r="D242" s="2">
        <f>VLOOKUP(OneWeekMtgRatesDataTable8[[#This Row],[AsOfDate]],G:H,2,0)+OneWeekMtgRatesDataTable8[[#This Row],[SeriesNumValue]]</f>
        <v>3.7886883584386402</v>
      </c>
      <c r="F242" s="2" t="s">
        <v>1277</v>
      </c>
      <c r="G242" s="2" t="s">
        <v>245</v>
      </c>
      <c r="H242" s="2">
        <v>0.92604694200000004</v>
      </c>
      <c r="K242" s="4">
        <v>40518</v>
      </c>
      <c r="L242">
        <v>4.5350000000000001</v>
      </c>
    </row>
    <row r="243" spans="1:12" x14ac:dyDescent="0.25">
      <c r="A243" s="2" t="s">
        <v>5</v>
      </c>
      <c r="B243" s="2" t="s">
        <v>246</v>
      </c>
      <c r="C243" s="2">
        <v>2.9029521947901298</v>
      </c>
      <c r="D243" s="2">
        <f>VLOOKUP(OneWeekMtgRatesDataTable8[[#This Row],[AsOfDate]],G:H,2,0)+OneWeekMtgRatesDataTable8[[#This Row],[SeriesNumValue]]</f>
        <v>3.8743924587901297</v>
      </c>
      <c r="F243" s="2" t="s">
        <v>1277</v>
      </c>
      <c r="G243" s="2" t="s">
        <v>246</v>
      </c>
      <c r="H243" s="2">
        <v>0.97144026400000005</v>
      </c>
      <c r="K243" s="4">
        <v>40519</v>
      </c>
      <c r="L243">
        <v>4.5350000000000001</v>
      </c>
    </row>
    <row r="244" spans="1:12" x14ac:dyDescent="0.25">
      <c r="A244" s="2" t="s">
        <v>5</v>
      </c>
      <c r="B244" s="2" t="s">
        <v>247</v>
      </c>
      <c r="C244" s="2">
        <v>2.96476682464895</v>
      </c>
      <c r="D244" s="2">
        <f>VLOOKUP(OneWeekMtgRatesDataTable8[[#This Row],[AsOfDate]],G:H,2,0)+OneWeekMtgRatesDataTable8[[#This Row],[SeriesNumValue]]</f>
        <v>3.93620708864895</v>
      </c>
      <c r="F244" s="2" t="s">
        <v>1277</v>
      </c>
      <c r="G244" s="2" t="s">
        <v>247</v>
      </c>
      <c r="H244" s="2">
        <v>0.97144026400000005</v>
      </c>
      <c r="K244" s="4">
        <v>40520</v>
      </c>
      <c r="L244">
        <v>4.5350000000000001</v>
      </c>
    </row>
    <row r="245" spans="1:12" x14ac:dyDescent="0.25">
      <c r="A245" s="2" t="s">
        <v>5</v>
      </c>
      <c r="B245" s="2" t="s">
        <v>248</v>
      </c>
      <c r="C245" s="2">
        <v>2.9761108761892499</v>
      </c>
      <c r="D245" s="2">
        <f>VLOOKUP(OneWeekMtgRatesDataTable8[[#This Row],[AsOfDate]],G:H,2,0)+OneWeekMtgRatesDataTable8[[#This Row],[SeriesNumValue]]</f>
        <v>3.9475511401892498</v>
      </c>
      <c r="F245" s="2" t="s">
        <v>1277</v>
      </c>
      <c r="G245" s="2" t="s">
        <v>248</v>
      </c>
      <c r="H245" s="2">
        <v>0.97144026400000005</v>
      </c>
      <c r="K245" s="4">
        <v>40521</v>
      </c>
      <c r="L245">
        <v>4.7549999999999999</v>
      </c>
    </row>
    <row r="246" spans="1:12" x14ac:dyDescent="0.25">
      <c r="A246" s="2" t="s">
        <v>5</v>
      </c>
      <c r="B246" s="2" t="s">
        <v>249</v>
      </c>
      <c r="C246" s="2">
        <v>2.9725641421192601</v>
      </c>
      <c r="D246" s="2">
        <f>VLOOKUP(OneWeekMtgRatesDataTable8[[#This Row],[AsOfDate]],G:H,2,0)+OneWeekMtgRatesDataTable8[[#This Row],[SeriesNumValue]]</f>
        <v>3.9440044061192601</v>
      </c>
      <c r="F246" s="2" t="s">
        <v>1277</v>
      </c>
      <c r="G246" s="2" t="s">
        <v>249</v>
      </c>
      <c r="H246" s="2">
        <v>0.97144026400000005</v>
      </c>
      <c r="K246" s="4">
        <v>40522</v>
      </c>
      <c r="L246">
        <v>4.7549999999999999</v>
      </c>
    </row>
    <row r="247" spans="1:12" x14ac:dyDescent="0.25">
      <c r="A247" s="2" t="s">
        <v>5</v>
      </c>
      <c r="B247" s="2" t="s">
        <v>250</v>
      </c>
      <c r="C247" s="2">
        <v>2.95988088830397</v>
      </c>
      <c r="D247" s="2">
        <f>VLOOKUP(OneWeekMtgRatesDataTable8[[#This Row],[AsOfDate]],G:H,2,0)+OneWeekMtgRatesDataTable8[[#This Row],[SeriesNumValue]]</f>
        <v>3.9313211523039699</v>
      </c>
      <c r="F247" s="2" t="s">
        <v>1277</v>
      </c>
      <c r="G247" s="2" t="s">
        <v>250</v>
      </c>
      <c r="H247" s="2">
        <v>0.97144026400000005</v>
      </c>
      <c r="K247" s="4">
        <v>40525</v>
      </c>
      <c r="L247">
        <v>4.7549999999999999</v>
      </c>
    </row>
    <row r="248" spans="1:12" x14ac:dyDescent="0.25">
      <c r="A248" s="2" t="s">
        <v>5</v>
      </c>
      <c r="B248" s="2" t="s">
        <v>251</v>
      </c>
      <c r="C248" s="2">
        <v>2.9051562775956401</v>
      </c>
      <c r="D248" s="2">
        <f>VLOOKUP(OneWeekMtgRatesDataTable8[[#This Row],[AsOfDate]],G:H,2,0)+OneWeekMtgRatesDataTable8[[#This Row],[SeriesNumValue]]</f>
        <v>3.8544604755956402</v>
      </c>
      <c r="F248" s="2" t="s">
        <v>1277</v>
      </c>
      <c r="G248" s="2" t="s">
        <v>251</v>
      </c>
      <c r="H248" s="2">
        <v>0.94930419799999999</v>
      </c>
      <c r="K248" s="4">
        <v>40526</v>
      </c>
      <c r="L248">
        <v>4.7549999999999999</v>
      </c>
    </row>
    <row r="249" spans="1:12" x14ac:dyDescent="0.25">
      <c r="A249" s="2" t="s">
        <v>5</v>
      </c>
      <c r="B249" s="2" t="s">
        <v>252</v>
      </c>
      <c r="C249" s="2">
        <v>2.8435838400443298</v>
      </c>
      <c r="D249" s="2">
        <f>VLOOKUP(OneWeekMtgRatesDataTable8[[#This Row],[AsOfDate]],G:H,2,0)+OneWeekMtgRatesDataTable8[[#This Row],[SeriesNumValue]]</f>
        <v>3.7928880380443299</v>
      </c>
      <c r="F249" s="2" t="s">
        <v>1277</v>
      </c>
      <c r="G249" s="2" t="s">
        <v>252</v>
      </c>
      <c r="H249" s="2">
        <v>0.94930419799999999</v>
      </c>
      <c r="K249" s="4">
        <v>40527</v>
      </c>
      <c r="L249">
        <v>4.7549999999999999</v>
      </c>
    </row>
    <row r="250" spans="1:12" x14ac:dyDescent="0.25">
      <c r="A250" s="2" t="s">
        <v>5</v>
      </c>
      <c r="B250" s="2" t="s">
        <v>253</v>
      </c>
      <c r="C250" s="2">
        <v>2.8082441725420599</v>
      </c>
      <c r="D250" s="2">
        <f>VLOOKUP(OneWeekMtgRatesDataTable8[[#This Row],[AsOfDate]],G:H,2,0)+OneWeekMtgRatesDataTable8[[#This Row],[SeriesNumValue]]</f>
        <v>3.75754837054206</v>
      </c>
      <c r="F250" s="2" t="s">
        <v>1277</v>
      </c>
      <c r="G250" s="2" t="s">
        <v>253</v>
      </c>
      <c r="H250" s="2">
        <v>0.94930419799999999</v>
      </c>
      <c r="K250" s="4">
        <v>40528</v>
      </c>
      <c r="L250">
        <v>4.7350000000000003</v>
      </c>
    </row>
    <row r="251" spans="1:12" x14ac:dyDescent="0.25">
      <c r="A251" s="2" t="s">
        <v>5</v>
      </c>
      <c r="B251" s="2" t="s">
        <v>254</v>
      </c>
      <c r="C251" s="2">
        <v>2.8089477142816799</v>
      </c>
      <c r="D251" s="2">
        <f>VLOOKUP(OneWeekMtgRatesDataTable8[[#This Row],[AsOfDate]],G:H,2,0)+OneWeekMtgRatesDataTable8[[#This Row],[SeriesNumValue]]</f>
        <v>3.75825191228168</v>
      </c>
      <c r="F251" s="2" t="s">
        <v>1277</v>
      </c>
      <c r="G251" s="2" t="s">
        <v>254</v>
      </c>
      <c r="H251" s="2">
        <v>0.94930419799999999</v>
      </c>
      <c r="K251" s="4">
        <v>40529</v>
      </c>
      <c r="L251">
        <v>4.7350000000000003</v>
      </c>
    </row>
    <row r="252" spans="1:12" x14ac:dyDescent="0.25">
      <c r="A252" s="2" t="s">
        <v>5</v>
      </c>
      <c r="B252" s="2" t="s">
        <v>255</v>
      </c>
      <c r="C252" s="2">
        <v>2.7762952709571298</v>
      </c>
      <c r="D252" s="2">
        <f>VLOOKUP(OneWeekMtgRatesDataTable8[[#This Row],[AsOfDate]],G:H,2,0)+OneWeekMtgRatesDataTable8[[#This Row],[SeriesNumValue]]</f>
        <v>3.7255994689571299</v>
      </c>
      <c r="F252" s="2" t="s">
        <v>1277</v>
      </c>
      <c r="G252" s="2" t="s">
        <v>255</v>
      </c>
      <c r="H252" s="2">
        <v>0.94930419799999999</v>
      </c>
      <c r="K252" s="4">
        <v>40532</v>
      </c>
      <c r="L252">
        <v>4.7350000000000003</v>
      </c>
    </row>
    <row r="253" spans="1:12" x14ac:dyDescent="0.25">
      <c r="A253" s="2" t="s">
        <v>5</v>
      </c>
      <c r="B253" s="2" t="s">
        <v>256</v>
      </c>
      <c r="C253" s="2">
        <v>2.77294304324607</v>
      </c>
      <c r="D253" s="2">
        <f>VLOOKUP(OneWeekMtgRatesDataTable8[[#This Row],[AsOfDate]],G:H,2,0)+OneWeekMtgRatesDataTable8[[#This Row],[SeriesNumValue]]</f>
        <v>3.7909402352460697</v>
      </c>
      <c r="F253" s="2" t="s">
        <v>1277</v>
      </c>
      <c r="G253" s="2" t="s">
        <v>256</v>
      </c>
      <c r="H253" s="2">
        <v>1.0179971919999999</v>
      </c>
      <c r="K253" s="4">
        <v>40533</v>
      </c>
      <c r="L253">
        <v>4.7350000000000003</v>
      </c>
    </row>
    <row r="254" spans="1:12" x14ac:dyDescent="0.25">
      <c r="A254" s="2" t="s">
        <v>5</v>
      </c>
      <c r="B254" s="2" t="s">
        <v>257</v>
      </c>
      <c r="C254" s="2">
        <v>2.7164025154935398</v>
      </c>
      <c r="D254" s="2">
        <f>VLOOKUP(OneWeekMtgRatesDataTable8[[#This Row],[AsOfDate]],G:H,2,0)+OneWeekMtgRatesDataTable8[[#This Row],[SeriesNumValue]]</f>
        <v>3.73439970749354</v>
      </c>
      <c r="F254" s="2" t="s">
        <v>1277</v>
      </c>
      <c r="G254" s="2" t="s">
        <v>257</v>
      </c>
      <c r="H254" s="2">
        <v>1.0179971919999999</v>
      </c>
      <c r="K254" s="4">
        <v>40534</v>
      </c>
      <c r="L254">
        <v>4.7350000000000003</v>
      </c>
    </row>
    <row r="255" spans="1:12" x14ac:dyDescent="0.25">
      <c r="A255" s="2" t="s">
        <v>5</v>
      </c>
      <c r="B255" s="2" t="s">
        <v>258</v>
      </c>
      <c r="C255" s="2">
        <v>2.8101423093636502</v>
      </c>
      <c r="D255" s="2">
        <f>VLOOKUP(OneWeekMtgRatesDataTable8[[#This Row],[AsOfDate]],G:H,2,0)+OneWeekMtgRatesDataTable8[[#This Row],[SeriesNumValue]]</f>
        <v>3.8281395013636503</v>
      </c>
      <c r="F255" s="2" t="s">
        <v>1277</v>
      </c>
      <c r="G255" s="2" t="s">
        <v>258</v>
      </c>
      <c r="H255" s="2">
        <v>1.0179971919999999</v>
      </c>
      <c r="K255" s="4">
        <v>40535</v>
      </c>
      <c r="L255">
        <v>4.8099999999999996</v>
      </c>
    </row>
    <row r="256" spans="1:12" x14ac:dyDescent="0.25">
      <c r="A256" s="2" t="s">
        <v>5</v>
      </c>
      <c r="B256" s="2" t="s">
        <v>259</v>
      </c>
      <c r="C256" s="2">
        <v>2.7613284335862098</v>
      </c>
      <c r="D256" s="2">
        <f>VLOOKUP(OneWeekMtgRatesDataTable8[[#This Row],[AsOfDate]],G:H,2,0)+OneWeekMtgRatesDataTable8[[#This Row],[SeriesNumValue]]</f>
        <v>3.7793256255862095</v>
      </c>
      <c r="F256" s="2" t="s">
        <v>1277</v>
      </c>
      <c r="G256" s="2" t="s">
        <v>259</v>
      </c>
      <c r="H256" s="2">
        <v>1.0179971919999999</v>
      </c>
      <c r="K256" s="4">
        <v>40539</v>
      </c>
      <c r="L256">
        <v>4.8099999999999996</v>
      </c>
    </row>
    <row r="257" spans="1:12" x14ac:dyDescent="0.25">
      <c r="A257" s="2" t="s">
        <v>5</v>
      </c>
      <c r="B257" s="2" t="s">
        <v>260</v>
      </c>
      <c r="C257" s="2">
        <v>2.7946021127853302</v>
      </c>
      <c r="D257" s="2">
        <f>VLOOKUP(OneWeekMtgRatesDataTable8[[#This Row],[AsOfDate]],G:H,2,0)+OneWeekMtgRatesDataTable8[[#This Row],[SeriesNumValue]]</f>
        <v>3.8125993047853299</v>
      </c>
      <c r="F257" s="2" t="s">
        <v>1277</v>
      </c>
      <c r="G257" s="2" t="s">
        <v>260</v>
      </c>
      <c r="H257" s="2">
        <v>1.0179971919999999</v>
      </c>
      <c r="K257" s="4">
        <v>40540</v>
      </c>
      <c r="L257">
        <v>4.8099999999999996</v>
      </c>
    </row>
    <row r="258" spans="1:12" x14ac:dyDescent="0.25">
      <c r="A258" s="2" t="s">
        <v>5</v>
      </c>
      <c r="B258" s="2" t="s">
        <v>261</v>
      </c>
      <c r="C258" s="2">
        <v>2.7670306950221799</v>
      </c>
      <c r="D258" s="2">
        <f>VLOOKUP(OneWeekMtgRatesDataTable8[[#This Row],[AsOfDate]],G:H,2,0)+OneWeekMtgRatesDataTable8[[#This Row],[SeriesNumValue]]</f>
        <v>3.8171294820221799</v>
      </c>
      <c r="F258" s="2" t="s">
        <v>1277</v>
      </c>
      <c r="G258" s="2" t="s">
        <v>261</v>
      </c>
      <c r="H258" s="2">
        <v>1.050098787</v>
      </c>
      <c r="K258" s="4">
        <v>40541</v>
      </c>
      <c r="L258">
        <v>4.8099999999999996</v>
      </c>
    </row>
    <row r="259" spans="1:12" x14ac:dyDescent="0.25">
      <c r="A259" s="2" t="s">
        <v>5</v>
      </c>
      <c r="B259" s="2" t="s">
        <v>262</v>
      </c>
      <c r="C259" s="2">
        <v>2.8458544397299299</v>
      </c>
      <c r="D259" s="2">
        <f>VLOOKUP(OneWeekMtgRatesDataTable8[[#This Row],[AsOfDate]],G:H,2,0)+OneWeekMtgRatesDataTable8[[#This Row],[SeriesNumValue]]</f>
        <v>3.8959532267299299</v>
      </c>
      <c r="F259" s="2" t="s">
        <v>1277</v>
      </c>
      <c r="G259" s="2" t="s">
        <v>262</v>
      </c>
      <c r="H259" s="2">
        <v>1.050098787</v>
      </c>
      <c r="K259" s="4">
        <v>40542</v>
      </c>
      <c r="L259">
        <v>4.72</v>
      </c>
    </row>
    <row r="260" spans="1:12" x14ac:dyDescent="0.25">
      <c r="A260" s="2" t="s">
        <v>5</v>
      </c>
      <c r="B260" s="2" t="s">
        <v>263</v>
      </c>
      <c r="C260" s="2">
        <v>2.8097489693642799</v>
      </c>
      <c r="D260" s="2">
        <f>VLOOKUP(OneWeekMtgRatesDataTable8[[#This Row],[AsOfDate]],G:H,2,0)+OneWeekMtgRatesDataTable8[[#This Row],[SeriesNumValue]]</f>
        <v>3.8598477563642799</v>
      </c>
      <c r="F260" s="2" t="s">
        <v>1277</v>
      </c>
      <c r="G260" s="2" t="s">
        <v>263</v>
      </c>
      <c r="H260" s="2">
        <v>1.050098787</v>
      </c>
      <c r="K260" s="4">
        <v>40543</v>
      </c>
      <c r="L260">
        <v>4.72</v>
      </c>
    </row>
    <row r="261" spans="1:12" x14ac:dyDescent="0.25">
      <c r="A261" s="2" t="s">
        <v>5</v>
      </c>
      <c r="B261" s="2" t="s">
        <v>264</v>
      </c>
      <c r="C261" s="2">
        <v>2.8174854723691301</v>
      </c>
      <c r="D261" s="2">
        <f>VLOOKUP(OneWeekMtgRatesDataTable8[[#This Row],[AsOfDate]],G:H,2,0)+OneWeekMtgRatesDataTable8[[#This Row],[SeriesNumValue]]</f>
        <v>3.8675842593691301</v>
      </c>
      <c r="F261" s="2" t="s">
        <v>1277</v>
      </c>
      <c r="G261" s="2" t="s">
        <v>264</v>
      </c>
      <c r="H261" s="2">
        <v>1.050098787</v>
      </c>
      <c r="K261" s="4">
        <v>40546</v>
      </c>
      <c r="L261">
        <v>4.72</v>
      </c>
    </row>
    <row r="262" spans="1:12" x14ac:dyDescent="0.25">
      <c r="A262" s="2" t="s">
        <v>5</v>
      </c>
      <c r="B262" s="2" t="s">
        <v>265</v>
      </c>
      <c r="C262" s="2">
        <v>2.7668146373676499</v>
      </c>
      <c r="D262" s="2">
        <f>VLOOKUP(OneWeekMtgRatesDataTable8[[#This Row],[AsOfDate]],G:H,2,0)+OneWeekMtgRatesDataTable8[[#This Row],[SeriesNumValue]]</f>
        <v>3.8169134243676499</v>
      </c>
      <c r="F262" s="2" t="s">
        <v>1277</v>
      </c>
      <c r="G262" s="2" t="s">
        <v>265</v>
      </c>
      <c r="H262" s="2">
        <v>1.050098787</v>
      </c>
      <c r="K262" s="4">
        <v>40547</v>
      </c>
      <c r="L262">
        <v>4.72</v>
      </c>
    </row>
    <row r="263" spans="1:12" x14ac:dyDescent="0.25">
      <c r="A263" s="2" t="s">
        <v>5</v>
      </c>
      <c r="B263" s="2" t="s">
        <v>266</v>
      </c>
      <c r="C263" s="2">
        <v>2.78221187240857</v>
      </c>
      <c r="D263" s="2">
        <f>VLOOKUP(OneWeekMtgRatesDataTable8[[#This Row],[AsOfDate]],G:H,2,0)+OneWeekMtgRatesDataTable8[[#This Row],[SeriesNumValue]]</f>
        <v>3.7977887944085698</v>
      </c>
      <c r="F263" s="2" t="s">
        <v>1277</v>
      </c>
      <c r="G263" s="2" t="s">
        <v>266</v>
      </c>
      <c r="H263" s="2">
        <v>1.0155769219999999</v>
      </c>
      <c r="K263" s="4">
        <v>40548</v>
      </c>
      <c r="L263">
        <v>4.72</v>
      </c>
    </row>
    <row r="264" spans="1:12" x14ac:dyDescent="0.25">
      <c r="A264" s="2" t="s">
        <v>5</v>
      </c>
      <c r="B264" s="2" t="s">
        <v>267</v>
      </c>
      <c r="C264" s="2">
        <v>2.8316730610652701</v>
      </c>
      <c r="D264" s="2">
        <f>VLOOKUP(OneWeekMtgRatesDataTable8[[#This Row],[AsOfDate]],G:H,2,0)+OneWeekMtgRatesDataTable8[[#This Row],[SeriesNumValue]]</f>
        <v>3.8472499830652698</v>
      </c>
      <c r="F264" s="2" t="s">
        <v>1277</v>
      </c>
      <c r="G264" s="2" t="s">
        <v>267</v>
      </c>
      <c r="H264" s="2">
        <v>1.0155769219999999</v>
      </c>
      <c r="K264" s="4">
        <v>40549</v>
      </c>
      <c r="L264">
        <v>4.66</v>
      </c>
    </row>
    <row r="265" spans="1:12" x14ac:dyDescent="0.25">
      <c r="A265" s="2" t="s">
        <v>5</v>
      </c>
      <c r="B265" s="2" t="s">
        <v>268</v>
      </c>
      <c r="C265" s="2">
        <v>2.8683607059376999</v>
      </c>
      <c r="D265" s="2">
        <f>VLOOKUP(OneWeekMtgRatesDataTable8[[#This Row],[AsOfDate]],G:H,2,0)+OneWeekMtgRatesDataTable8[[#This Row],[SeriesNumValue]]</f>
        <v>3.8839376279376996</v>
      </c>
      <c r="F265" s="2" t="s">
        <v>1277</v>
      </c>
      <c r="G265" s="2" t="s">
        <v>268</v>
      </c>
      <c r="H265" s="2">
        <v>1.0155769219999999</v>
      </c>
      <c r="K265" s="4">
        <v>40550</v>
      </c>
      <c r="L265">
        <v>4.66</v>
      </c>
    </row>
    <row r="266" spans="1:12" x14ac:dyDescent="0.25">
      <c r="A266" s="2" t="s">
        <v>5</v>
      </c>
      <c r="B266" s="2" t="s">
        <v>269</v>
      </c>
      <c r="C266" s="2">
        <v>2.9231559987667999</v>
      </c>
      <c r="D266" s="2">
        <f>VLOOKUP(OneWeekMtgRatesDataTable8[[#This Row],[AsOfDate]],G:H,2,0)+OneWeekMtgRatesDataTable8[[#This Row],[SeriesNumValue]]</f>
        <v>3.9387329207667996</v>
      </c>
      <c r="F266" s="2" t="s">
        <v>1277</v>
      </c>
      <c r="G266" s="2" t="s">
        <v>269</v>
      </c>
      <c r="H266" s="2">
        <v>1.0155769219999999</v>
      </c>
      <c r="K266" s="4">
        <v>40553</v>
      </c>
      <c r="L266">
        <v>4.66</v>
      </c>
    </row>
    <row r="267" spans="1:12" x14ac:dyDescent="0.25">
      <c r="A267" s="2" t="s">
        <v>5</v>
      </c>
      <c r="B267" s="2" t="s">
        <v>270</v>
      </c>
      <c r="C267" s="2">
        <v>2.8731313932433</v>
      </c>
      <c r="D267" s="2">
        <f>VLOOKUP(OneWeekMtgRatesDataTable8[[#This Row],[AsOfDate]],G:H,2,0)+OneWeekMtgRatesDataTable8[[#This Row],[SeriesNumValue]]</f>
        <v>3.8990511032433002</v>
      </c>
      <c r="F267" s="2" t="s">
        <v>1277</v>
      </c>
      <c r="G267" s="2" t="s">
        <v>270</v>
      </c>
      <c r="H267" s="2">
        <v>1.0259197099999999</v>
      </c>
      <c r="K267" s="4">
        <v>40554</v>
      </c>
      <c r="L267">
        <v>4.66</v>
      </c>
    </row>
    <row r="268" spans="1:12" x14ac:dyDescent="0.25">
      <c r="A268" s="2" t="s">
        <v>5</v>
      </c>
      <c r="B268" s="2" t="s">
        <v>271</v>
      </c>
      <c r="C268" s="2">
        <v>2.8348328361096802</v>
      </c>
      <c r="D268" s="2">
        <f>VLOOKUP(OneWeekMtgRatesDataTable8[[#This Row],[AsOfDate]],G:H,2,0)+OneWeekMtgRatesDataTable8[[#This Row],[SeriesNumValue]]</f>
        <v>3.8607525461096799</v>
      </c>
      <c r="F268" s="2" t="s">
        <v>1277</v>
      </c>
      <c r="G268" s="2" t="s">
        <v>271</v>
      </c>
      <c r="H268" s="2">
        <v>1.0259197099999999</v>
      </c>
      <c r="K268" s="4">
        <v>40555</v>
      </c>
      <c r="L268">
        <v>4.66</v>
      </c>
    </row>
    <row r="269" spans="1:12" x14ac:dyDescent="0.25">
      <c r="A269" s="2" t="s">
        <v>5</v>
      </c>
      <c r="B269" s="2" t="s">
        <v>272</v>
      </c>
      <c r="C269" s="2">
        <v>2.8468470783678899</v>
      </c>
      <c r="D269" s="2">
        <f>VLOOKUP(OneWeekMtgRatesDataTable8[[#This Row],[AsOfDate]],G:H,2,0)+OneWeekMtgRatesDataTable8[[#This Row],[SeriesNumValue]]</f>
        <v>3.8727667883678896</v>
      </c>
      <c r="F269" s="2" t="s">
        <v>1277</v>
      </c>
      <c r="G269" s="2" t="s">
        <v>272</v>
      </c>
      <c r="H269" s="2">
        <v>1.0259197099999999</v>
      </c>
      <c r="K269" s="4">
        <v>40556</v>
      </c>
      <c r="L269">
        <v>4.6900000000000004</v>
      </c>
    </row>
    <row r="270" spans="1:12" x14ac:dyDescent="0.25">
      <c r="A270" s="2" t="s">
        <v>5</v>
      </c>
      <c r="B270" s="2" t="s">
        <v>273</v>
      </c>
      <c r="C270" s="2">
        <v>2.8205390519018301</v>
      </c>
      <c r="D270" s="2">
        <f>VLOOKUP(OneWeekMtgRatesDataTable8[[#This Row],[AsOfDate]],G:H,2,0)+OneWeekMtgRatesDataTable8[[#This Row],[SeriesNumValue]]</f>
        <v>3.8464587619018298</v>
      </c>
      <c r="F270" s="2" t="s">
        <v>1277</v>
      </c>
      <c r="G270" s="2" t="s">
        <v>273</v>
      </c>
      <c r="H270" s="2">
        <v>1.0259197099999999</v>
      </c>
      <c r="K270" s="4">
        <v>40557</v>
      </c>
      <c r="L270">
        <v>4.6900000000000004</v>
      </c>
    </row>
    <row r="271" spans="1:12" x14ac:dyDescent="0.25">
      <c r="A271" s="2" t="s">
        <v>5</v>
      </c>
      <c r="B271" s="2" t="s">
        <v>274</v>
      </c>
      <c r="C271" s="2">
        <v>2.8101961676338898</v>
      </c>
      <c r="D271" s="2">
        <f>VLOOKUP(OneWeekMtgRatesDataTable8[[#This Row],[AsOfDate]],G:H,2,0)+OneWeekMtgRatesDataTable8[[#This Row],[SeriesNumValue]]</f>
        <v>3.8361158776338895</v>
      </c>
      <c r="F271" s="2" t="s">
        <v>1277</v>
      </c>
      <c r="G271" s="2" t="s">
        <v>274</v>
      </c>
      <c r="H271" s="2">
        <v>1.0259197099999999</v>
      </c>
      <c r="K271" s="4">
        <v>40561</v>
      </c>
      <c r="L271">
        <v>4.6900000000000004</v>
      </c>
    </row>
    <row r="272" spans="1:12" x14ac:dyDescent="0.25">
      <c r="A272" s="2" t="s">
        <v>5</v>
      </c>
      <c r="B272" s="2" t="s">
        <v>275</v>
      </c>
      <c r="C272" s="2">
        <v>2.8817315463419</v>
      </c>
      <c r="D272" s="2">
        <f>VLOOKUP(OneWeekMtgRatesDataTable8[[#This Row],[AsOfDate]],G:H,2,0)+OneWeekMtgRatesDataTable8[[#This Row],[SeriesNumValue]]</f>
        <v>3.8929022103418998</v>
      </c>
      <c r="F272" s="2" t="s">
        <v>1277</v>
      </c>
      <c r="G272" s="2" t="s">
        <v>275</v>
      </c>
      <c r="H272" s="2">
        <v>1.011170664</v>
      </c>
      <c r="K272" s="4">
        <v>40562</v>
      </c>
      <c r="L272">
        <v>4.6900000000000004</v>
      </c>
    </row>
    <row r="273" spans="1:12" x14ac:dyDescent="0.25">
      <c r="A273" s="2" t="s">
        <v>5</v>
      </c>
      <c r="B273" s="2" t="s">
        <v>276</v>
      </c>
      <c r="C273" s="2">
        <v>2.9287236028717998</v>
      </c>
      <c r="D273" s="2">
        <f>VLOOKUP(OneWeekMtgRatesDataTable8[[#This Row],[AsOfDate]],G:H,2,0)+OneWeekMtgRatesDataTable8[[#This Row],[SeriesNumValue]]</f>
        <v>3.9398942668718</v>
      </c>
      <c r="F273" s="2" t="s">
        <v>1277</v>
      </c>
      <c r="G273" s="2" t="s">
        <v>276</v>
      </c>
      <c r="H273" s="2">
        <v>1.011170664</v>
      </c>
      <c r="K273" s="4">
        <v>40563</v>
      </c>
      <c r="L273">
        <v>4.7249999999999996</v>
      </c>
    </row>
    <row r="274" spans="1:12" x14ac:dyDescent="0.25">
      <c r="A274" s="2" t="s">
        <v>5</v>
      </c>
      <c r="B274" s="2" t="s">
        <v>277</v>
      </c>
      <c r="C274" s="2">
        <v>2.89080300621736</v>
      </c>
      <c r="D274" s="2">
        <f>VLOOKUP(OneWeekMtgRatesDataTable8[[#This Row],[AsOfDate]],G:H,2,0)+OneWeekMtgRatesDataTable8[[#This Row],[SeriesNumValue]]</f>
        <v>3.9019736702173597</v>
      </c>
      <c r="F274" s="2" t="s">
        <v>1277</v>
      </c>
      <c r="G274" s="2" t="s">
        <v>277</v>
      </c>
      <c r="H274" s="2">
        <v>1.011170664</v>
      </c>
      <c r="K274" s="4">
        <v>40564</v>
      </c>
      <c r="L274">
        <v>4.7249999999999996</v>
      </c>
    </row>
    <row r="275" spans="1:12" x14ac:dyDescent="0.25">
      <c r="A275" s="2" t="s">
        <v>5</v>
      </c>
      <c r="B275" s="2" t="s">
        <v>278</v>
      </c>
      <c r="C275" s="2">
        <v>2.9007707644806802</v>
      </c>
      <c r="D275" s="2">
        <f>VLOOKUP(OneWeekMtgRatesDataTable8[[#This Row],[AsOfDate]],G:H,2,0)+OneWeekMtgRatesDataTable8[[#This Row],[SeriesNumValue]]</f>
        <v>3.9119414284806799</v>
      </c>
      <c r="F275" s="2" t="s">
        <v>1277</v>
      </c>
      <c r="G275" s="2" t="s">
        <v>278</v>
      </c>
      <c r="H275" s="2">
        <v>1.011170664</v>
      </c>
      <c r="K275" s="4">
        <v>40567</v>
      </c>
      <c r="L275">
        <v>4.7249999999999996</v>
      </c>
    </row>
    <row r="276" spans="1:12" x14ac:dyDescent="0.25">
      <c r="A276" s="2" t="s">
        <v>5</v>
      </c>
      <c r="B276" s="2" t="s">
        <v>279</v>
      </c>
      <c r="C276" s="2">
        <v>2.8650613840049299</v>
      </c>
      <c r="D276" s="2">
        <f>VLOOKUP(OneWeekMtgRatesDataTable8[[#This Row],[AsOfDate]],G:H,2,0)+OneWeekMtgRatesDataTable8[[#This Row],[SeriesNumValue]]</f>
        <v>3.8762320480049297</v>
      </c>
      <c r="F276" s="2" t="s">
        <v>1277</v>
      </c>
      <c r="G276" s="2" t="s">
        <v>279</v>
      </c>
      <c r="H276" s="2">
        <v>1.011170664</v>
      </c>
      <c r="K276" s="4">
        <v>40568</v>
      </c>
      <c r="L276">
        <v>4.7249999999999996</v>
      </c>
    </row>
    <row r="277" spans="1:12" x14ac:dyDescent="0.25">
      <c r="A277" s="2" t="s">
        <v>5</v>
      </c>
      <c r="B277" s="2" t="s">
        <v>280</v>
      </c>
      <c r="C277" s="2">
        <v>2.8996218577463</v>
      </c>
      <c r="D277" s="2">
        <f>VLOOKUP(OneWeekMtgRatesDataTable8[[#This Row],[AsOfDate]],G:H,2,0)+OneWeekMtgRatesDataTable8[[#This Row],[SeriesNumValue]]</f>
        <v>3.8326257347463</v>
      </c>
      <c r="F277" s="2" t="s">
        <v>1277</v>
      </c>
      <c r="G277" s="2" t="s">
        <v>280</v>
      </c>
      <c r="H277" s="2">
        <v>0.93300387699999998</v>
      </c>
      <c r="K277" s="4">
        <v>40569</v>
      </c>
      <c r="L277">
        <v>4.7249999999999996</v>
      </c>
    </row>
    <row r="278" spans="1:12" x14ac:dyDescent="0.25">
      <c r="A278" s="2" t="s">
        <v>5</v>
      </c>
      <c r="B278" s="2" t="s">
        <v>281</v>
      </c>
      <c r="C278" s="2">
        <v>2.9336402803405499</v>
      </c>
      <c r="D278" s="2">
        <f>VLOOKUP(OneWeekMtgRatesDataTable8[[#This Row],[AsOfDate]],G:H,2,0)+OneWeekMtgRatesDataTable8[[#This Row],[SeriesNumValue]]</f>
        <v>3.8666441573405499</v>
      </c>
      <c r="F278" s="2" t="s">
        <v>1277</v>
      </c>
      <c r="G278" s="2" t="s">
        <v>281</v>
      </c>
      <c r="H278" s="2">
        <v>0.93300387699999998</v>
      </c>
      <c r="K278" s="4">
        <v>40570</v>
      </c>
      <c r="L278">
        <v>4.76</v>
      </c>
    </row>
    <row r="279" spans="1:12" x14ac:dyDescent="0.25">
      <c r="A279" s="2" t="s">
        <v>5</v>
      </c>
      <c r="B279" s="2" t="s">
        <v>282</v>
      </c>
      <c r="C279" s="2">
        <v>2.9219507354995198</v>
      </c>
      <c r="D279" s="2">
        <f>VLOOKUP(OneWeekMtgRatesDataTable8[[#This Row],[AsOfDate]],G:H,2,0)+OneWeekMtgRatesDataTable8[[#This Row],[SeriesNumValue]]</f>
        <v>3.8549546124995198</v>
      </c>
      <c r="F279" s="2" t="s">
        <v>1277</v>
      </c>
      <c r="G279" s="2" t="s">
        <v>282</v>
      </c>
      <c r="H279" s="2">
        <v>0.93300387699999998</v>
      </c>
      <c r="K279" s="4">
        <v>40571</v>
      </c>
      <c r="L279">
        <v>4.76</v>
      </c>
    </row>
    <row r="280" spans="1:12" x14ac:dyDescent="0.25">
      <c r="A280" s="2" t="s">
        <v>5</v>
      </c>
      <c r="B280" s="2" t="s">
        <v>283</v>
      </c>
      <c r="C280" s="2">
        <v>2.9162427900275998</v>
      </c>
      <c r="D280" s="2">
        <f>VLOOKUP(OneWeekMtgRatesDataTable8[[#This Row],[AsOfDate]],G:H,2,0)+OneWeekMtgRatesDataTable8[[#This Row],[SeriesNumValue]]</f>
        <v>3.8492466670275998</v>
      </c>
      <c r="F280" s="2" t="s">
        <v>1277</v>
      </c>
      <c r="G280" s="2" t="s">
        <v>283</v>
      </c>
      <c r="H280" s="2">
        <v>0.93300387699999998</v>
      </c>
      <c r="K280" s="4">
        <v>40574</v>
      </c>
      <c r="L280">
        <v>4.76</v>
      </c>
    </row>
    <row r="281" spans="1:12" x14ac:dyDescent="0.25">
      <c r="A281" s="2" t="s">
        <v>5</v>
      </c>
      <c r="B281" s="2" t="s">
        <v>284</v>
      </c>
      <c r="C281" s="2">
        <v>2.99140124187609</v>
      </c>
      <c r="D281" s="2">
        <f>VLOOKUP(OneWeekMtgRatesDataTable8[[#This Row],[AsOfDate]],G:H,2,0)+OneWeekMtgRatesDataTable8[[#This Row],[SeriesNumValue]]</f>
        <v>3.92440511887609</v>
      </c>
      <c r="F281" s="2" t="s">
        <v>1277</v>
      </c>
      <c r="G281" s="2" t="s">
        <v>284</v>
      </c>
      <c r="H281" s="2">
        <v>0.93300387699999998</v>
      </c>
      <c r="K281" s="4">
        <v>40575</v>
      </c>
      <c r="L281">
        <v>4.76</v>
      </c>
    </row>
    <row r="282" spans="1:12" x14ac:dyDescent="0.25">
      <c r="A282" s="2" t="s">
        <v>5</v>
      </c>
      <c r="B282" s="2" t="s">
        <v>285</v>
      </c>
      <c r="C282" s="2">
        <v>3.1695853606328299</v>
      </c>
      <c r="D282" s="2">
        <f>VLOOKUP(OneWeekMtgRatesDataTable8[[#This Row],[AsOfDate]],G:H,2,0)+OneWeekMtgRatesDataTable8[[#This Row],[SeriesNumValue]]</f>
        <v>4.0530212786328299</v>
      </c>
      <c r="F282" s="2" t="s">
        <v>1277</v>
      </c>
      <c r="G282" s="2" t="s">
        <v>285</v>
      </c>
      <c r="H282" s="2">
        <v>0.88343591799999999</v>
      </c>
      <c r="K282" s="4">
        <v>40576</v>
      </c>
      <c r="L282">
        <v>4.76</v>
      </c>
    </row>
    <row r="283" spans="1:12" x14ac:dyDescent="0.25">
      <c r="A283" s="2" t="s">
        <v>5</v>
      </c>
      <c r="B283" s="2" t="s">
        <v>286</v>
      </c>
      <c r="C283" s="2">
        <v>3.1589558563859499</v>
      </c>
      <c r="D283" s="2">
        <f>VLOOKUP(OneWeekMtgRatesDataTable8[[#This Row],[AsOfDate]],G:H,2,0)+OneWeekMtgRatesDataTable8[[#This Row],[SeriesNumValue]]</f>
        <v>4.0423917743859494</v>
      </c>
      <c r="F283" s="2" t="s">
        <v>1277</v>
      </c>
      <c r="G283" s="2" t="s">
        <v>286</v>
      </c>
      <c r="H283" s="2">
        <v>0.88343591799999999</v>
      </c>
      <c r="K283" s="4">
        <v>40577</v>
      </c>
      <c r="L283">
        <v>4.9749999999999996</v>
      </c>
    </row>
    <row r="284" spans="1:12" x14ac:dyDescent="0.25">
      <c r="A284" s="2" t="s">
        <v>5</v>
      </c>
      <c r="B284" s="2" t="s">
        <v>287</v>
      </c>
      <c r="C284" s="2">
        <v>3.13095195050672</v>
      </c>
      <c r="D284" s="2">
        <f>VLOOKUP(OneWeekMtgRatesDataTable8[[#This Row],[AsOfDate]],G:H,2,0)+OneWeekMtgRatesDataTable8[[#This Row],[SeriesNumValue]]</f>
        <v>4.01438786850672</v>
      </c>
      <c r="F284" s="2" t="s">
        <v>1277</v>
      </c>
      <c r="G284" s="2" t="s">
        <v>287</v>
      </c>
      <c r="H284" s="2">
        <v>0.88343591799999999</v>
      </c>
      <c r="K284" s="4">
        <v>40578</v>
      </c>
      <c r="L284">
        <v>4.9749999999999996</v>
      </c>
    </row>
    <row r="285" spans="1:12" x14ac:dyDescent="0.25">
      <c r="A285" s="2" t="s">
        <v>5</v>
      </c>
      <c r="B285" s="2" t="s">
        <v>288</v>
      </c>
      <c r="C285" s="2">
        <v>3.2363757673390801</v>
      </c>
      <c r="D285" s="2">
        <f>VLOOKUP(OneWeekMtgRatesDataTable8[[#This Row],[AsOfDate]],G:H,2,0)+OneWeekMtgRatesDataTable8[[#This Row],[SeriesNumValue]]</f>
        <v>4.11981168533908</v>
      </c>
      <c r="F285" s="2" t="s">
        <v>1277</v>
      </c>
      <c r="G285" s="2" t="s">
        <v>288</v>
      </c>
      <c r="H285" s="2">
        <v>0.88343591799999999</v>
      </c>
      <c r="K285" s="4">
        <v>40581</v>
      </c>
      <c r="L285">
        <v>4.9749999999999996</v>
      </c>
    </row>
    <row r="286" spans="1:12" x14ac:dyDescent="0.25">
      <c r="A286" s="2" t="s">
        <v>5</v>
      </c>
      <c r="B286" s="2" t="s">
        <v>289</v>
      </c>
      <c r="C286" s="2">
        <v>3.24144029220705</v>
      </c>
      <c r="D286" s="2">
        <f>VLOOKUP(OneWeekMtgRatesDataTable8[[#This Row],[AsOfDate]],G:H,2,0)+OneWeekMtgRatesDataTable8[[#This Row],[SeriesNumValue]]</f>
        <v>4.1248762102070504</v>
      </c>
      <c r="F286" s="2" t="s">
        <v>1277</v>
      </c>
      <c r="G286" s="2" t="s">
        <v>289</v>
      </c>
      <c r="H286" s="2">
        <v>0.88343591799999999</v>
      </c>
      <c r="K286" s="4">
        <v>40582</v>
      </c>
      <c r="L286">
        <v>4.9749999999999996</v>
      </c>
    </row>
    <row r="287" spans="1:12" x14ac:dyDescent="0.25">
      <c r="A287" s="2" t="s">
        <v>5</v>
      </c>
      <c r="B287" s="2" t="s">
        <v>290</v>
      </c>
      <c r="C287" s="2">
        <v>3.15731967015545</v>
      </c>
      <c r="D287" s="2">
        <f>VLOOKUP(OneWeekMtgRatesDataTable8[[#This Row],[AsOfDate]],G:H,2,0)+OneWeekMtgRatesDataTable8[[#This Row],[SeriesNumValue]]</f>
        <v>4.0023109631554501</v>
      </c>
      <c r="F287" s="2" t="s">
        <v>1277</v>
      </c>
      <c r="G287" s="2" t="s">
        <v>290</v>
      </c>
      <c r="H287" s="2">
        <v>0.84499129299999998</v>
      </c>
      <c r="K287" s="4">
        <v>40583</v>
      </c>
      <c r="L287">
        <v>4.9749999999999996</v>
      </c>
    </row>
    <row r="288" spans="1:12" x14ac:dyDescent="0.25">
      <c r="A288" s="2" t="s">
        <v>5</v>
      </c>
      <c r="B288" s="2" t="s">
        <v>291</v>
      </c>
      <c r="C288" s="2">
        <v>3.1570833298388399</v>
      </c>
      <c r="D288" s="2">
        <f>VLOOKUP(OneWeekMtgRatesDataTable8[[#This Row],[AsOfDate]],G:H,2,0)+OneWeekMtgRatesDataTable8[[#This Row],[SeriesNumValue]]</f>
        <v>4.0020746228388395</v>
      </c>
      <c r="F288" s="2" t="s">
        <v>1277</v>
      </c>
      <c r="G288" s="2" t="s">
        <v>291</v>
      </c>
      <c r="H288" s="2">
        <v>0.84499129299999998</v>
      </c>
      <c r="K288" s="4">
        <v>40584</v>
      </c>
      <c r="L288">
        <v>4.9249999999999998</v>
      </c>
    </row>
    <row r="289" spans="1:12" x14ac:dyDescent="0.25">
      <c r="A289" s="2" t="s">
        <v>5</v>
      </c>
      <c r="B289" s="2" t="s">
        <v>292</v>
      </c>
      <c r="C289" s="2">
        <v>3.1324491901767901</v>
      </c>
      <c r="D289" s="2">
        <f>VLOOKUP(OneWeekMtgRatesDataTable8[[#This Row],[AsOfDate]],G:H,2,0)+OneWeekMtgRatesDataTable8[[#This Row],[SeriesNumValue]]</f>
        <v>3.9774404831767902</v>
      </c>
      <c r="F289" s="2" t="s">
        <v>1277</v>
      </c>
      <c r="G289" s="2" t="s">
        <v>292</v>
      </c>
      <c r="H289" s="2">
        <v>0.84499129299999998</v>
      </c>
      <c r="K289" s="4">
        <v>40585</v>
      </c>
      <c r="L289">
        <v>4.9249999999999998</v>
      </c>
    </row>
    <row r="290" spans="1:12" x14ac:dyDescent="0.25">
      <c r="A290" s="2" t="s">
        <v>5</v>
      </c>
      <c r="B290" s="2" t="s">
        <v>293</v>
      </c>
      <c r="C290" s="2">
        <v>3.1182772307865498</v>
      </c>
      <c r="D290" s="2">
        <f>VLOOKUP(OneWeekMtgRatesDataTable8[[#This Row],[AsOfDate]],G:H,2,0)+OneWeekMtgRatesDataTable8[[#This Row],[SeriesNumValue]]</f>
        <v>3.9632685237865499</v>
      </c>
      <c r="F290" s="2" t="s">
        <v>1277</v>
      </c>
      <c r="G290" s="2" t="s">
        <v>293</v>
      </c>
      <c r="H290" s="2">
        <v>0.84499129299999998</v>
      </c>
      <c r="K290" s="4">
        <v>40588</v>
      </c>
      <c r="L290">
        <v>4.9249999999999998</v>
      </c>
    </row>
    <row r="291" spans="1:12" x14ac:dyDescent="0.25">
      <c r="A291" s="2" t="s">
        <v>5</v>
      </c>
      <c r="B291" s="2" t="s">
        <v>294</v>
      </c>
      <c r="C291" s="2">
        <v>3.0399029769438499</v>
      </c>
      <c r="D291" s="2">
        <f>VLOOKUP(OneWeekMtgRatesDataTable8[[#This Row],[AsOfDate]],G:H,2,0)+OneWeekMtgRatesDataTable8[[#This Row],[SeriesNumValue]]</f>
        <v>3.88489426994385</v>
      </c>
      <c r="F291" s="2" t="s">
        <v>1277</v>
      </c>
      <c r="G291" s="2" t="s">
        <v>294</v>
      </c>
      <c r="H291" s="2">
        <v>0.84499129299999998</v>
      </c>
      <c r="K291" s="4">
        <v>40589</v>
      </c>
      <c r="L291">
        <v>4.9249999999999998</v>
      </c>
    </row>
    <row r="292" spans="1:12" x14ac:dyDescent="0.25">
      <c r="A292" s="2" t="s">
        <v>5</v>
      </c>
      <c r="B292" s="2" t="s">
        <v>295</v>
      </c>
      <c r="C292" s="2">
        <v>3.0568438879801101</v>
      </c>
      <c r="D292" s="2">
        <f>VLOOKUP(OneWeekMtgRatesDataTable8[[#This Row],[AsOfDate]],G:H,2,0)+OneWeekMtgRatesDataTable8[[#This Row],[SeriesNumValue]]</f>
        <v>3.8709325649801101</v>
      </c>
      <c r="F292" s="2" t="s">
        <v>1277</v>
      </c>
      <c r="G292" s="2" t="s">
        <v>295</v>
      </c>
      <c r="H292" s="2">
        <v>0.81408867699999998</v>
      </c>
      <c r="K292" s="4">
        <v>40590</v>
      </c>
      <c r="L292">
        <v>4.9249999999999998</v>
      </c>
    </row>
    <row r="293" spans="1:12" x14ac:dyDescent="0.25">
      <c r="A293" s="2" t="s">
        <v>5</v>
      </c>
      <c r="B293" s="2" t="s">
        <v>296</v>
      </c>
      <c r="C293" s="2">
        <v>3.0219603652996301</v>
      </c>
      <c r="D293" s="2">
        <f>VLOOKUP(OneWeekMtgRatesDataTable8[[#This Row],[AsOfDate]],G:H,2,0)+OneWeekMtgRatesDataTable8[[#This Row],[SeriesNumValue]]</f>
        <v>3.8360490422996301</v>
      </c>
      <c r="F293" s="2" t="s">
        <v>1277</v>
      </c>
      <c r="G293" s="2" t="s">
        <v>296</v>
      </c>
      <c r="H293" s="2">
        <v>0.81408867699999998</v>
      </c>
      <c r="K293" s="4">
        <v>40591</v>
      </c>
      <c r="L293">
        <v>4.8499999999999996</v>
      </c>
    </row>
    <row r="294" spans="1:12" x14ac:dyDescent="0.25">
      <c r="A294" s="2" t="s">
        <v>5</v>
      </c>
      <c r="B294" s="2" t="s">
        <v>297</v>
      </c>
      <c r="C294" s="2">
        <v>3.0669215754139501</v>
      </c>
      <c r="D294" s="2">
        <f>VLOOKUP(OneWeekMtgRatesDataTable8[[#This Row],[AsOfDate]],G:H,2,0)+OneWeekMtgRatesDataTable8[[#This Row],[SeriesNumValue]]</f>
        <v>3.88101025241395</v>
      </c>
      <c r="F294" s="2" t="s">
        <v>1277</v>
      </c>
      <c r="G294" s="2" t="s">
        <v>297</v>
      </c>
      <c r="H294" s="2">
        <v>0.81408867699999998</v>
      </c>
      <c r="K294" s="4">
        <v>40592</v>
      </c>
      <c r="L294">
        <v>4.8499999999999996</v>
      </c>
    </row>
    <row r="295" spans="1:12" x14ac:dyDescent="0.25">
      <c r="A295" s="2" t="s">
        <v>5</v>
      </c>
      <c r="B295" s="2" t="s">
        <v>298</v>
      </c>
      <c r="C295" s="2">
        <v>3.0449639552276002</v>
      </c>
      <c r="D295" s="2">
        <f>VLOOKUP(OneWeekMtgRatesDataTable8[[#This Row],[AsOfDate]],G:H,2,0)+OneWeekMtgRatesDataTable8[[#This Row],[SeriesNumValue]]</f>
        <v>3.8590526322276002</v>
      </c>
      <c r="F295" s="2" t="s">
        <v>1277</v>
      </c>
      <c r="G295" s="2" t="s">
        <v>298</v>
      </c>
      <c r="H295" s="2">
        <v>0.81408867699999998</v>
      </c>
      <c r="K295" s="4">
        <v>40596</v>
      </c>
      <c r="L295">
        <v>4.8499999999999996</v>
      </c>
    </row>
    <row r="296" spans="1:12" x14ac:dyDescent="0.25">
      <c r="A296" s="2" t="s">
        <v>5</v>
      </c>
      <c r="B296" s="2" t="s">
        <v>299</v>
      </c>
      <c r="C296" s="2">
        <v>3.1649158455545399</v>
      </c>
      <c r="D296" s="2">
        <f>VLOOKUP(OneWeekMtgRatesDataTable8[[#This Row],[AsOfDate]],G:H,2,0)+OneWeekMtgRatesDataTable8[[#This Row],[SeriesNumValue]]</f>
        <v>3.9790045225545398</v>
      </c>
      <c r="F296" s="2" t="s">
        <v>1277</v>
      </c>
      <c r="G296" s="2" t="s">
        <v>299</v>
      </c>
      <c r="H296" s="2">
        <v>0.81408867699999998</v>
      </c>
      <c r="K296" s="4">
        <v>40597</v>
      </c>
      <c r="L296">
        <v>4.8499999999999996</v>
      </c>
    </row>
    <row r="297" spans="1:12" x14ac:dyDescent="0.25">
      <c r="A297" s="2" t="s">
        <v>5</v>
      </c>
      <c r="B297" s="2" t="s">
        <v>300</v>
      </c>
      <c r="C297" s="2">
        <v>3.10879854950432</v>
      </c>
      <c r="D297" s="2">
        <f>VLOOKUP(OneWeekMtgRatesDataTable8[[#This Row],[AsOfDate]],G:H,2,0)+OneWeekMtgRatesDataTable8[[#This Row],[SeriesNumValue]]</f>
        <v>3.9322864915043199</v>
      </c>
      <c r="F297" s="2" t="s">
        <v>1277</v>
      </c>
      <c r="G297" s="2" t="s">
        <v>300</v>
      </c>
      <c r="H297" s="2">
        <v>0.82348794199999997</v>
      </c>
      <c r="K297" s="4">
        <v>40598</v>
      </c>
      <c r="L297">
        <v>4.7949999999999999</v>
      </c>
    </row>
    <row r="298" spans="1:12" x14ac:dyDescent="0.25">
      <c r="A298" s="2" t="s">
        <v>5</v>
      </c>
      <c r="B298" s="2" t="s">
        <v>301</v>
      </c>
      <c r="C298" s="2">
        <v>3.0539631363774702</v>
      </c>
      <c r="D298" s="2">
        <f>VLOOKUP(OneWeekMtgRatesDataTable8[[#This Row],[AsOfDate]],G:H,2,0)+OneWeekMtgRatesDataTable8[[#This Row],[SeriesNumValue]]</f>
        <v>3.8774510783774701</v>
      </c>
      <c r="F298" s="2" t="s">
        <v>1277</v>
      </c>
      <c r="G298" s="2" t="s">
        <v>301</v>
      </c>
      <c r="H298" s="2">
        <v>0.82348794199999997</v>
      </c>
      <c r="K298" s="4">
        <v>40599</v>
      </c>
      <c r="L298">
        <v>4.7949999999999999</v>
      </c>
    </row>
    <row r="299" spans="1:12" x14ac:dyDescent="0.25">
      <c r="A299" s="2" t="s">
        <v>5</v>
      </c>
      <c r="B299" s="2" t="s">
        <v>302</v>
      </c>
      <c r="C299" s="2">
        <v>2.93072207475555</v>
      </c>
      <c r="D299" s="2">
        <f>VLOOKUP(OneWeekMtgRatesDataTable8[[#This Row],[AsOfDate]],G:H,2,0)+OneWeekMtgRatesDataTable8[[#This Row],[SeriesNumValue]]</f>
        <v>3.7542100167555499</v>
      </c>
      <c r="F299" s="2" t="s">
        <v>1277</v>
      </c>
      <c r="G299" s="2" t="s">
        <v>302</v>
      </c>
      <c r="H299" s="2">
        <v>0.82348794199999997</v>
      </c>
      <c r="K299" s="4">
        <v>40602</v>
      </c>
      <c r="L299">
        <v>4.7949999999999999</v>
      </c>
    </row>
    <row r="300" spans="1:12" x14ac:dyDescent="0.25">
      <c r="A300" s="2" t="s">
        <v>5</v>
      </c>
      <c r="B300" s="2" t="s">
        <v>303</v>
      </c>
      <c r="C300" s="2">
        <v>2.9115161148392898</v>
      </c>
      <c r="D300" s="2">
        <f>VLOOKUP(OneWeekMtgRatesDataTable8[[#This Row],[AsOfDate]],G:H,2,0)+OneWeekMtgRatesDataTable8[[#This Row],[SeriesNumValue]]</f>
        <v>3.7350040568392897</v>
      </c>
      <c r="F300" s="2" t="s">
        <v>1277</v>
      </c>
      <c r="G300" s="2" t="s">
        <v>303</v>
      </c>
      <c r="H300" s="2">
        <v>0.82348794199999997</v>
      </c>
      <c r="K300" s="4">
        <v>40603</v>
      </c>
      <c r="L300">
        <v>4.7949999999999999</v>
      </c>
    </row>
    <row r="301" spans="1:12" x14ac:dyDescent="0.25">
      <c r="A301" s="2" t="s">
        <v>5</v>
      </c>
      <c r="B301" s="2" t="s">
        <v>304</v>
      </c>
      <c r="C301" s="2">
        <v>2.9109852395687899</v>
      </c>
      <c r="D301" s="2">
        <f>VLOOKUP(OneWeekMtgRatesDataTable8[[#This Row],[AsOfDate]],G:H,2,0)+OneWeekMtgRatesDataTable8[[#This Row],[SeriesNumValue]]</f>
        <v>3.7344731815687897</v>
      </c>
      <c r="F301" s="2" t="s">
        <v>1277</v>
      </c>
      <c r="G301" s="2" t="s">
        <v>304</v>
      </c>
      <c r="H301" s="2">
        <v>0.82348794199999997</v>
      </c>
      <c r="K301" s="4">
        <v>40604</v>
      </c>
      <c r="L301">
        <v>4.7949999999999999</v>
      </c>
    </row>
    <row r="302" spans="1:12" x14ac:dyDescent="0.25">
      <c r="A302" s="2" t="s">
        <v>5</v>
      </c>
      <c r="B302" s="2" t="s">
        <v>305</v>
      </c>
      <c r="C302" s="2">
        <v>2.9307831448374801</v>
      </c>
      <c r="D302" s="2">
        <f>VLOOKUP(OneWeekMtgRatesDataTable8[[#This Row],[AsOfDate]],G:H,2,0)+OneWeekMtgRatesDataTable8[[#This Row],[SeriesNumValue]]</f>
        <v>3.7881892028374802</v>
      </c>
      <c r="F302" s="2" t="s">
        <v>1277</v>
      </c>
      <c r="G302" s="2" t="s">
        <v>305</v>
      </c>
      <c r="H302" s="2">
        <v>0.85740605800000003</v>
      </c>
      <c r="K302" s="4">
        <v>40605</v>
      </c>
      <c r="L302">
        <v>4.8049999999999997</v>
      </c>
    </row>
    <row r="303" spans="1:12" x14ac:dyDescent="0.25">
      <c r="A303" s="2" t="s">
        <v>5</v>
      </c>
      <c r="B303" s="2" t="s">
        <v>306</v>
      </c>
      <c r="C303" s="2">
        <v>2.9674500244903301</v>
      </c>
      <c r="D303" s="2">
        <f>VLOOKUP(OneWeekMtgRatesDataTable8[[#This Row],[AsOfDate]],G:H,2,0)+OneWeekMtgRatesDataTable8[[#This Row],[SeriesNumValue]]</f>
        <v>3.8248560824903302</v>
      </c>
      <c r="F303" s="2" t="s">
        <v>1277</v>
      </c>
      <c r="G303" s="2" t="s">
        <v>306</v>
      </c>
      <c r="H303" s="2">
        <v>0.85740605800000003</v>
      </c>
      <c r="K303" s="4">
        <v>40606</v>
      </c>
      <c r="L303">
        <v>4.8049999999999997</v>
      </c>
    </row>
    <row r="304" spans="1:12" x14ac:dyDescent="0.25">
      <c r="A304" s="2" t="s">
        <v>5</v>
      </c>
      <c r="B304" s="2" t="s">
        <v>307</v>
      </c>
      <c r="C304" s="2">
        <v>2.93226575052006</v>
      </c>
      <c r="D304" s="2">
        <f>VLOOKUP(OneWeekMtgRatesDataTable8[[#This Row],[AsOfDate]],G:H,2,0)+OneWeekMtgRatesDataTable8[[#This Row],[SeriesNumValue]]</f>
        <v>3.78967180852006</v>
      </c>
      <c r="F304" s="2" t="s">
        <v>1277</v>
      </c>
      <c r="G304" s="2" t="s">
        <v>307</v>
      </c>
      <c r="H304" s="2">
        <v>0.85740605800000003</v>
      </c>
      <c r="K304" s="4">
        <v>40609</v>
      </c>
      <c r="L304">
        <v>4.8049999999999997</v>
      </c>
    </row>
    <row r="305" spans="1:12" x14ac:dyDescent="0.25">
      <c r="A305" s="2" t="s">
        <v>5</v>
      </c>
      <c r="B305" s="2" t="s">
        <v>308</v>
      </c>
      <c r="C305" s="2">
        <v>2.91808321555345</v>
      </c>
      <c r="D305" s="2">
        <f>VLOOKUP(OneWeekMtgRatesDataTable8[[#This Row],[AsOfDate]],G:H,2,0)+OneWeekMtgRatesDataTable8[[#This Row],[SeriesNumValue]]</f>
        <v>3.77548927355345</v>
      </c>
      <c r="F305" s="2" t="s">
        <v>1277</v>
      </c>
      <c r="G305" s="2" t="s">
        <v>308</v>
      </c>
      <c r="H305" s="2">
        <v>0.85740605800000003</v>
      </c>
      <c r="K305" s="4">
        <v>40610</v>
      </c>
      <c r="L305">
        <v>4.8049999999999997</v>
      </c>
    </row>
    <row r="306" spans="1:12" x14ac:dyDescent="0.25">
      <c r="A306" s="2" t="s">
        <v>5</v>
      </c>
      <c r="B306" s="2" t="s">
        <v>309</v>
      </c>
      <c r="C306" s="2">
        <v>2.9570995386029302</v>
      </c>
      <c r="D306" s="2">
        <f>VLOOKUP(OneWeekMtgRatesDataTable8[[#This Row],[AsOfDate]],G:H,2,0)+OneWeekMtgRatesDataTable8[[#This Row],[SeriesNumValue]]</f>
        <v>3.8145055966029302</v>
      </c>
      <c r="F306" s="2" t="s">
        <v>1277</v>
      </c>
      <c r="G306" s="2" t="s">
        <v>309</v>
      </c>
      <c r="H306" s="2">
        <v>0.85740605800000003</v>
      </c>
      <c r="K306" s="4">
        <v>40611</v>
      </c>
      <c r="L306">
        <v>4.8049999999999997</v>
      </c>
    </row>
    <row r="307" spans="1:12" x14ac:dyDescent="0.25">
      <c r="A307" s="2" t="s">
        <v>5</v>
      </c>
      <c r="B307" s="2" t="s">
        <v>310</v>
      </c>
      <c r="C307" s="2">
        <v>2.9304565344863098</v>
      </c>
      <c r="D307" s="2">
        <f>VLOOKUP(OneWeekMtgRatesDataTable8[[#This Row],[AsOfDate]],G:H,2,0)+OneWeekMtgRatesDataTable8[[#This Row],[SeriesNumValue]]</f>
        <v>3.8393855214863097</v>
      </c>
      <c r="F307" s="2" t="s">
        <v>1277</v>
      </c>
      <c r="G307" s="2" t="s">
        <v>310</v>
      </c>
      <c r="H307" s="2">
        <v>0.90892898700000002</v>
      </c>
      <c r="K307" s="4">
        <v>40612</v>
      </c>
      <c r="L307">
        <v>4.6849999999999996</v>
      </c>
    </row>
    <row r="308" spans="1:12" x14ac:dyDescent="0.25">
      <c r="A308" s="2" t="s">
        <v>5</v>
      </c>
      <c r="B308" s="2" t="s">
        <v>311</v>
      </c>
      <c r="C308" s="2">
        <v>2.8874390264499499</v>
      </c>
      <c r="D308" s="2">
        <f>VLOOKUP(OneWeekMtgRatesDataTable8[[#This Row],[AsOfDate]],G:H,2,0)+OneWeekMtgRatesDataTable8[[#This Row],[SeriesNumValue]]</f>
        <v>3.7963680134499498</v>
      </c>
      <c r="F308" s="2" t="s">
        <v>1277</v>
      </c>
      <c r="G308" s="2" t="s">
        <v>311</v>
      </c>
      <c r="H308" s="2">
        <v>0.90892898700000002</v>
      </c>
      <c r="K308" s="4">
        <v>40613</v>
      </c>
      <c r="L308">
        <v>4.6849999999999996</v>
      </c>
    </row>
    <row r="309" spans="1:12" x14ac:dyDescent="0.25">
      <c r="A309" s="2" t="s">
        <v>5</v>
      </c>
      <c r="B309" s="2" t="s">
        <v>312</v>
      </c>
      <c r="C309" s="2">
        <v>2.90335136163185</v>
      </c>
      <c r="D309" s="2">
        <f>VLOOKUP(OneWeekMtgRatesDataTable8[[#This Row],[AsOfDate]],G:H,2,0)+OneWeekMtgRatesDataTable8[[#This Row],[SeriesNumValue]]</f>
        <v>3.8122803486318499</v>
      </c>
      <c r="F309" s="2" t="s">
        <v>1277</v>
      </c>
      <c r="G309" s="2" t="s">
        <v>312</v>
      </c>
      <c r="H309" s="2">
        <v>0.90892898700000002</v>
      </c>
      <c r="K309" s="4">
        <v>40616</v>
      </c>
      <c r="L309">
        <v>4.6849999999999996</v>
      </c>
    </row>
    <row r="310" spans="1:12" x14ac:dyDescent="0.25">
      <c r="A310" s="2" t="s">
        <v>5</v>
      </c>
      <c r="B310" s="2" t="s">
        <v>313</v>
      </c>
      <c r="C310" s="2">
        <v>2.8708141508909</v>
      </c>
      <c r="D310" s="2">
        <f>VLOOKUP(OneWeekMtgRatesDataTable8[[#This Row],[AsOfDate]],G:H,2,0)+OneWeekMtgRatesDataTable8[[#This Row],[SeriesNumValue]]</f>
        <v>3.7797431378908999</v>
      </c>
      <c r="F310" s="2" t="s">
        <v>1277</v>
      </c>
      <c r="G310" s="2" t="s">
        <v>313</v>
      </c>
      <c r="H310" s="2">
        <v>0.90892898700000002</v>
      </c>
      <c r="K310" s="4">
        <v>40617</v>
      </c>
      <c r="L310">
        <v>4.6849999999999996</v>
      </c>
    </row>
    <row r="311" spans="1:12" x14ac:dyDescent="0.25">
      <c r="A311" s="2" t="s">
        <v>5</v>
      </c>
      <c r="B311" s="2" t="s">
        <v>314</v>
      </c>
      <c r="C311" s="2">
        <v>2.9009701197976399</v>
      </c>
      <c r="D311" s="2">
        <f>VLOOKUP(OneWeekMtgRatesDataTable8[[#This Row],[AsOfDate]],G:H,2,0)+OneWeekMtgRatesDataTable8[[#This Row],[SeriesNumValue]]</f>
        <v>3.8098991067976398</v>
      </c>
      <c r="F311" s="2" t="s">
        <v>1277</v>
      </c>
      <c r="G311" s="2" t="s">
        <v>314</v>
      </c>
      <c r="H311" s="2">
        <v>0.90892898700000002</v>
      </c>
      <c r="K311" s="4">
        <v>40618</v>
      </c>
      <c r="L311">
        <v>4.6849999999999996</v>
      </c>
    </row>
    <row r="312" spans="1:12" x14ac:dyDescent="0.25">
      <c r="A312" s="2" t="s">
        <v>5</v>
      </c>
      <c r="B312" s="2" t="s">
        <v>315</v>
      </c>
      <c r="C312" s="2">
        <v>2.9224114614009999</v>
      </c>
      <c r="D312" s="2">
        <f>VLOOKUP(OneWeekMtgRatesDataTable8[[#This Row],[AsOfDate]],G:H,2,0)+OneWeekMtgRatesDataTable8[[#This Row],[SeriesNumValue]]</f>
        <v>3.830414237401</v>
      </c>
      <c r="F312" s="2" t="s">
        <v>1277</v>
      </c>
      <c r="G312" s="2" t="s">
        <v>315</v>
      </c>
      <c r="H312" s="2">
        <v>0.90800277600000001</v>
      </c>
      <c r="K312" s="4">
        <v>40619</v>
      </c>
      <c r="L312">
        <v>4.7350000000000003</v>
      </c>
    </row>
    <row r="313" spans="1:12" x14ac:dyDescent="0.25">
      <c r="A313" s="2" t="s">
        <v>5</v>
      </c>
      <c r="B313" s="2" t="s">
        <v>316</v>
      </c>
      <c r="C313" s="2">
        <v>2.8924009736045302</v>
      </c>
      <c r="D313" s="2">
        <f>VLOOKUP(OneWeekMtgRatesDataTable8[[#This Row],[AsOfDate]],G:H,2,0)+OneWeekMtgRatesDataTable8[[#This Row],[SeriesNumValue]]</f>
        <v>3.8004037496045302</v>
      </c>
      <c r="F313" s="2" t="s">
        <v>1277</v>
      </c>
      <c r="G313" s="2" t="s">
        <v>316</v>
      </c>
      <c r="H313" s="2">
        <v>0.90800277600000001</v>
      </c>
      <c r="K313" s="4">
        <v>40620</v>
      </c>
      <c r="L313">
        <v>4.7350000000000003</v>
      </c>
    </row>
    <row r="314" spans="1:12" x14ac:dyDescent="0.25">
      <c r="A314" s="2" t="s">
        <v>5</v>
      </c>
      <c r="B314" s="2" t="s">
        <v>317</v>
      </c>
      <c r="C314" s="2">
        <v>2.8716721168117001</v>
      </c>
      <c r="D314" s="2">
        <f>VLOOKUP(OneWeekMtgRatesDataTable8[[#This Row],[AsOfDate]],G:H,2,0)+OneWeekMtgRatesDataTable8[[#This Row],[SeriesNumValue]]</f>
        <v>3.7796748928117001</v>
      </c>
      <c r="F314" s="2" t="s">
        <v>1277</v>
      </c>
      <c r="G314" s="2" t="s">
        <v>317</v>
      </c>
      <c r="H314" s="2">
        <v>0.90800277600000001</v>
      </c>
      <c r="K314" s="4">
        <v>40623</v>
      </c>
      <c r="L314">
        <v>4.7350000000000003</v>
      </c>
    </row>
    <row r="315" spans="1:12" x14ac:dyDescent="0.25">
      <c r="A315" s="2" t="s">
        <v>5</v>
      </c>
      <c r="B315" s="2" t="s">
        <v>318</v>
      </c>
      <c r="C315" s="2">
        <v>2.8585941716778001</v>
      </c>
      <c r="D315" s="2">
        <f>VLOOKUP(OneWeekMtgRatesDataTable8[[#This Row],[AsOfDate]],G:H,2,0)+OneWeekMtgRatesDataTable8[[#This Row],[SeriesNumValue]]</f>
        <v>3.7665969476778001</v>
      </c>
      <c r="F315" s="2" t="s">
        <v>1277</v>
      </c>
      <c r="G315" s="2" t="s">
        <v>318</v>
      </c>
      <c r="H315" s="2">
        <v>0.90800277600000001</v>
      </c>
      <c r="K315" s="4">
        <v>40624</v>
      </c>
      <c r="L315">
        <v>4.7350000000000003</v>
      </c>
    </row>
    <row r="316" spans="1:12" x14ac:dyDescent="0.25">
      <c r="A316" s="2" t="s">
        <v>5</v>
      </c>
      <c r="B316" s="2" t="s">
        <v>319</v>
      </c>
      <c r="C316" s="2">
        <v>2.8908484323394701</v>
      </c>
      <c r="D316" s="2">
        <f>VLOOKUP(OneWeekMtgRatesDataTable8[[#This Row],[AsOfDate]],G:H,2,0)+OneWeekMtgRatesDataTable8[[#This Row],[SeriesNumValue]]</f>
        <v>3.7988512083394701</v>
      </c>
      <c r="F316" s="2" t="s">
        <v>1277</v>
      </c>
      <c r="G316" s="2" t="s">
        <v>319</v>
      </c>
      <c r="H316" s="2">
        <v>0.90800277600000001</v>
      </c>
      <c r="K316" s="4">
        <v>40625</v>
      </c>
      <c r="L316">
        <v>4.7350000000000003</v>
      </c>
    </row>
    <row r="317" spans="1:12" x14ac:dyDescent="0.25">
      <c r="A317" s="2" t="s">
        <v>5</v>
      </c>
      <c r="B317" s="2" t="s">
        <v>320</v>
      </c>
      <c r="C317" s="2">
        <v>2.8733809550088201</v>
      </c>
      <c r="D317" s="2">
        <f>VLOOKUP(OneWeekMtgRatesDataTable8[[#This Row],[AsOfDate]],G:H,2,0)+OneWeekMtgRatesDataTable8[[#This Row],[SeriesNumValue]]</f>
        <v>3.78600162500882</v>
      </c>
      <c r="F317" s="2" t="s">
        <v>1277</v>
      </c>
      <c r="G317" s="2" t="s">
        <v>320</v>
      </c>
      <c r="H317" s="2">
        <v>0.91262067000000002</v>
      </c>
      <c r="K317" s="4">
        <v>40626</v>
      </c>
      <c r="L317">
        <v>4.7850000000000001</v>
      </c>
    </row>
    <row r="318" spans="1:12" x14ac:dyDescent="0.25">
      <c r="A318" s="2" t="s">
        <v>5</v>
      </c>
      <c r="B318" s="2" t="s">
        <v>321</v>
      </c>
      <c r="C318" s="2">
        <v>2.88233463781564</v>
      </c>
      <c r="D318" s="2">
        <f>VLOOKUP(OneWeekMtgRatesDataTable8[[#This Row],[AsOfDate]],G:H,2,0)+OneWeekMtgRatesDataTable8[[#This Row],[SeriesNumValue]]</f>
        <v>3.7949553078156399</v>
      </c>
      <c r="F318" s="2" t="s">
        <v>1277</v>
      </c>
      <c r="G318" s="2" t="s">
        <v>321</v>
      </c>
      <c r="H318" s="2">
        <v>0.91262067000000002</v>
      </c>
      <c r="K318" s="4">
        <v>40627</v>
      </c>
      <c r="L318">
        <v>4.7850000000000001</v>
      </c>
    </row>
    <row r="319" spans="1:12" x14ac:dyDescent="0.25">
      <c r="A319" s="2" t="s">
        <v>5</v>
      </c>
      <c r="B319" s="2" t="s">
        <v>322</v>
      </c>
      <c r="C319" s="2">
        <v>2.8508681241779898</v>
      </c>
      <c r="D319" s="2">
        <f>VLOOKUP(OneWeekMtgRatesDataTable8[[#This Row],[AsOfDate]],G:H,2,0)+OneWeekMtgRatesDataTable8[[#This Row],[SeriesNumValue]]</f>
        <v>3.7634887941779898</v>
      </c>
      <c r="F319" s="2" t="s">
        <v>1277</v>
      </c>
      <c r="G319" s="2" t="s">
        <v>322</v>
      </c>
      <c r="H319" s="2">
        <v>0.91262067000000002</v>
      </c>
      <c r="K319" s="4">
        <v>40630</v>
      </c>
      <c r="L319">
        <v>4.7850000000000001</v>
      </c>
    </row>
    <row r="320" spans="1:12" x14ac:dyDescent="0.25">
      <c r="A320" s="2" t="s">
        <v>5</v>
      </c>
      <c r="B320" s="2" t="s">
        <v>323</v>
      </c>
      <c r="C320" s="2">
        <v>2.85847369417964</v>
      </c>
      <c r="D320" s="2">
        <f>VLOOKUP(OneWeekMtgRatesDataTable8[[#This Row],[AsOfDate]],G:H,2,0)+OneWeekMtgRatesDataTable8[[#This Row],[SeriesNumValue]]</f>
        <v>3.7710943641796399</v>
      </c>
      <c r="F320" s="2" t="s">
        <v>1277</v>
      </c>
      <c r="G320" s="2" t="s">
        <v>323</v>
      </c>
      <c r="H320" s="2">
        <v>0.91262067000000002</v>
      </c>
      <c r="K320" s="4">
        <v>40631</v>
      </c>
      <c r="L320">
        <v>4.7850000000000001</v>
      </c>
    </row>
    <row r="321" spans="1:12" x14ac:dyDescent="0.25">
      <c r="A321" s="2" t="s">
        <v>5</v>
      </c>
      <c r="B321" s="2" t="s">
        <v>324</v>
      </c>
      <c r="C321" s="2">
        <v>2.8457023219339699</v>
      </c>
      <c r="D321" s="2">
        <f>VLOOKUP(OneWeekMtgRatesDataTable8[[#This Row],[AsOfDate]],G:H,2,0)+OneWeekMtgRatesDataTable8[[#This Row],[SeriesNumValue]]</f>
        <v>3.7583229919339698</v>
      </c>
      <c r="F321" s="2" t="s">
        <v>1277</v>
      </c>
      <c r="G321" s="2" t="s">
        <v>324</v>
      </c>
      <c r="H321" s="2">
        <v>0.91262067000000002</v>
      </c>
      <c r="K321" s="4">
        <v>40632</v>
      </c>
      <c r="L321">
        <v>4.7850000000000001</v>
      </c>
    </row>
    <row r="322" spans="1:12" x14ac:dyDescent="0.25">
      <c r="A322" s="2" t="s">
        <v>5</v>
      </c>
      <c r="B322" s="2" t="s">
        <v>325</v>
      </c>
      <c r="C322" s="2">
        <v>2.8327642978398999</v>
      </c>
      <c r="D322" s="2">
        <f>VLOOKUP(OneWeekMtgRatesDataTable8[[#This Row],[AsOfDate]],G:H,2,0)+OneWeekMtgRatesDataTable8[[#This Row],[SeriesNumValue]]</f>
        <v>3.7337356828399</v>
      </c>
      <c r="F322" s="2" t="s">
        <v>1277</v>
      </c>
      <c r="G322" s="2" t="s">
        <v>325</v>
      </c>
      <c r="H322" s="2">
        <v>0.90097138499999996</v>
      </c>
      <c r="K322" s="4">
        <v>40633</v>
      </c>
      <c r="L322">
        <v>4.7949999999999999</v>
      </c>
    </row>
    <row r="323" spans="1:12" x14ac:dyDescent="0.25">
      <c r="A323" s="2" t="s">
        <v>5</v>
      </c>
      <c r="B323" s="2" t="s">
        <v>326</v>
      </c>
      <c r="C323" s="2">
        <v>2.8246078637178802</v>
      </c>
      <c r="D323" s="2">
        <f>VLOOKUP(OneWeekMtgRatesDataTable8[[#This Row],[AsOfDate]],G:H,2,0)+OneWeekMtgRatesDataTable8[[#This Row],[SeriesNumValue]]</f>
        <v>3.7255792487178803</v>
      </c>
      <c r="F323" s="2" t="s">
        <v>1277</v>
      </c>
      <c r="G323" s="2" t="s">
        <v>326</v>
      </c>
      <c r="H323" s="2">
        <v>0.90097138499999996</v>
      </c>
      <c r="K323" s="4">
        <v>40634</v>
      </c>
      <c r="L323">
        <v>4.7949999999999999</v>
      </c>
    </row>
    <row r="324" spans="1:12" x14ac:dyDescent="0.25">
      <c r="A324" s="2" t="s">
        <v>5</v>
      </c>
      <c r="B324" s="2" t="s">
        <v>327</v>
      </c>
      <c r="C324" s="2">
        <v>2.8052772077153998</v>
      </c>
      <c r="D324" s="2">
        <f>VLOOKUP(OneWeekMtgRatesDataTable8[[#This Row],[AsOfDate]],G:H,2,0)+OneWeekMtgRatesDataTable8[[#This Row],[SeriesNumValue]]</f>
        <v>3.7062485927153999</v>
      </c>
      <c r="F324" s="2" t="s">
        <v>1277</v>
      </c>
      <c r="G324" s="2" t="s">
        <v>327</v>
      </c>
      <c r="H324" s="2">
        <v>0.90097138499999996</v>
      </c>
      <c r="K324" s="4">
        <v>40637</v>
      </c>
      <c r="L324">
        <v>4.7949999999999999</v>
      </c>
    </row>
    <row r="325" spans="1:12" x14ac:dyDescent="0.25">
      <c r="A325" s="2" t="s">
        <v>5</v>
      </c>
      <c r="B325" s="2" t="s">
        <v>328</v>
      </c>
      <c r="C325" s="2">
        <v>2.7739749118365999</v>
      </c>
      <c r="D325" s="2">
        <f>VLOOKUP(OneWeekMtgRatesDataTable8[[#This Row],[AsOfDate]],G:H,2,0)+OneWeekMtgRatesDataTable8[[#This Row],[SeriesNumValue]]</f>
        <v>3.6749462968366</v>
      </c>
      <c r="F325" s="2" t="s">
        <v>1277</v>
      </c>
      <c r="G325" s="2" t="s">
        <v>328</v>
      </c>
      <c r="H325" s="2">
        <v>0.90097138499999996</v>
      </c>
      <c r="K325" s="4">
        <v>40638</v>
      </c>
      <c r="L325">
        <v>4.7949999999999999</v>
      </c>
    </row>
    <row r="326" spans="1:12" x14ac:dyDescent="0.25">
      <c r="A326" s="2" t="s">
        <v>5</v>
      </c>
      <c r="B326" s="2" t="s">
        <v>329</v>
      </c>
      <c r="C326" s="2">
        <v>2.7697091879875599</v>
      </c>
      <c r="D326" s="2">
        <f>VLOOKUP(OneWeekMtgRatesDataTable8[[#This Row],[AsOfDate]],G:H,2,0)+OneWeekMtgRatesDataTable8[[#This Row],[SeriesNumValue]]</f>
        <v>3.67068057298756</v>
      </c>
      <c r="F326" s="2" t="s">
        <v>1277</v>
      </c>
      <c r="G326" s="2" t="s">
        <v>329</v>
      </c>
      <c r="H326" s="2">
        <v>0.90097138499999996</v>
      </c>
      <c r="K326" s="4">
        <v>40639</v>
      </c>
      <c r="L326">
        <v>4.7949999999999999</v>
      </c>
    </row>
    <row r="327" spans="1:12" x14ac:dyDescent="0.25">
      <c r="A327" s="2" t="s">
        <v>5</v>
      </c>
      <c r="B327" s="2" t="s">
        <v>330</v>
      </c>
      <c r="C327" s="2">
        <v>2.7401286983352402</v>
      </c>
      <c r="D327" s="2">
        <f>VLOOKUP(OneWeekMtgRatesDataTable8[[#This Row],[AsOfDate]],G:H,2,0)+OneWeekMtgRatesDataTable8[[#This Row],[SeriesNumValue]]</f>
        <v>3.6723891243352402</v>
      </c>
      <c r="F327" s="2" t="s">
        <v>1277</v>
      </c>
      <c r="G327" s="2" t="s">
        <v>330</v>
      </c>
      <c r="H327" s="2">
        <v>0.93226042600000003</v>
      </c>
      <c r="K327" s="4">
        <v>40640</v>
      </c>
      <c r="L327">
        <v>4.8099999999999996</v>
      </c>
    </row>
    <row r="328" spans="1:12" x14ac:dyDescent="0.25">
      <c r="A328" s="2" t="s">
        <v>5</v>
      </c>
      <c r="B328" s="2" t="s">
        <v>331</v>
      </c>
      <c r="C328" s="2">
        <v>2.6718406862121098</v>
      </c>
      <c r="D328" s="2">
        <f>VLOOKUP(OneWeekMtgRatesDataTable8[[#This Row],[AsOfDate]],G:H,2,0)+OneWeekMtgRatesDataTable8[[#This Row],[SeriesNumValue]]</f>
        <v>3.6041011122121098</v>
      </c>
      <c r="F328" s="2" t="s">
        <v>1277</v>
      </c>
      <c r="G328" s="2" t="s">
        <v>331</v>
      </c>
      <c r="H328" s="2">
        <v>0.93226042600000003</v>
      </c>
      <c r="K328" s="4">
        <v>40641</v>
      </c>
      <c r="L328">
        <v>4.8099999999999996</v>
      </c>
    </row>
    <row r="329" spans="1:12" x14ac:dyDescent="0.25">
      <c r="A329" s="2" t="s">
        <v>5</v>
      </c>
      <c r="B329" s="2" t="s">
        <v>332</v>
      </c>
      <c r="C329" s="2">
        <v>2.67797206633489</v>
      </c>
      <c r="D329" s="2">
        <f>VLOOKUP(OneWeekMtgRatesDataTable8[[#This Row],[AsOfDate]],G:H,2,0)+OneWeekMtgRatesDataTable8[[#This Row],[SeriesNumValue]]</f>
        <v>3.6102324923348901</v>
      </c>
      <c r="F329" s="2" t="s">
        <v>1277</v>
      </c>
      <c r="G329" s="2" t="s">
        <v>332</v>
      </c>
      <c r="H329" s="2">
        <v>0.93226042600000003</v>
      </c>
      <c r="K329" s="4">
        <v>40644</v>
      </c>
      <c r="L329">
        <v>4.8099999999999996</v>
      </c>
    </row>
    <row r="330" spans="1:12" x14ac:dyDescent="0.25">
      <c r="A330" s="2" t="s">
        <v>5</v>
      </c>
      <c r="B330" s="2" t="s">
        <v>333</v>
      </c>
      <c r="C330" s="2">
        <v>2.73357010628694</v>
      </c>
      <c r="D330" s="2">
        <f>VLOOKUP(OneWeekMtgRatesDataTable8[[#This Row],[AsOfDate]],G:H,2,0)+OneWeekMtgRatesDataTable8[[#This Row],[SeriesNumValue]]</f>
        <v>3.66583053228694</v>
      </c>
      <c r="F330" s="2" t="s">
        <v>1277</v>
      </c>
      <c r="G330" s="2" t="s">
        <v>333</v>
      </c>
      <c r="H330" s="2">
        <v>0.93226042600000003</v>
      </c>
      <c r="K330" s="4">
        <v>40645</v>
      </c>
      <c r="L330">
        <v>4.8099999999999996</v>
      </c>
    </row>
    <row r="331" spans="1:12" x14ac:dyDescent="0.25">
      <c r="A331" s="2" t="s">
        <v>5</v>
      </c>
      <c r="B331" s="2" t="s">
        <v>334</v>
      </c>
      <c r="C331" s="2">
        <v>2.76969358536605</v>
      </c>
      <c r="D331" s="2">
        <f>VLOOKUP(OneWeekMtgRatesDataTable8[[#This Row],[AsOfDate]],G:H,2,0)+OneWeekMtgRatesDataTable8[[#This Row],[SeriesNumValue]]</f>
        <v>3.7019540113660501</v>
      </c>
      <c r="F331" s="2" t="s">
        <v>1277</v>
      </c>
      <c r="G331" s="2" t="s">
        <v>334</v>
      </c>
      <c r="H331" s="2">
        <v>0.93226042600000003</v>
      </c>
      <c r="K331" s="4">
        <v>40646</v>
      </c>
      <c r="L331">
        <v>4.8099999999999996</v>
      </c>
    </row>
    <row r="332" spans="1:12" x14ac:dyDescent="0.25">
      <c r="A332" s="2" t="s">
        <v>5</v>
      </c>
      <c r="B332" s="2" t="s">
        <v>335</v>
      </c>
      <c r="C332" s="2">
        <v>2.7350812469927099</v>
      </c>
      <c r="D332" s="2">
        <f>VLOOKUP(OneWeekMtgRatesDataTable8[[#This Row],[AsOfDate]],G:H,2,0)+OneWeekMtgRatesDataTable8[[#This Row],[SeriesNumValue]]</f>
        <v>3.7474497089927099</v>
      </c>
      <c r="F332" s="2" t="s">
        <v>1277</v>
      </c>
      <c r="G332" s="2" t="s">
        <v>335</v>
      </c>
      <c r="H332" s="2">
        <v>1.012368462</v>
      </c>
      <c r="K332" s="4">
        <v>40647</v>
      </c>
      <c r="L332">
        <v>4.7249999999999996</v>
      </c>
    </row>
    <row r="333" spans="1:12" x14ac:dyDescent="0.25">
      <c r="A333" s="2" t="s">
        <v>5</v>
      </c>
      <c r="B333" s="2" t="s">
        <v>336</v>
      </c>
      <c r="C333" s="2">
        <v>2.7605421873144298</v>
      </c>
      <c r="D333" s="2">
        <f>VLOOKUP(OneWeekMtgRatesDataTable8[[#This Row],[AsOfDate]],G:H,2,0)+OneWeekMtgRatesDataTable8[[#This Row],[SeriesNumValue]]</f>
        <v>3.7729106493144298</v>
      </c>
      <c r="F333" s="2" t="s">
        <v>1277</v>
      </c>
      <c r="G333" s="2" t="s">
        <v>336</v>
      </c>
      <c r="H333" s="2">
        <v>1.012368462</v>
      </c>
      <c r="K333" s="4">
        <v>40648</v>
      </c>
      <c r="L333">
        <v>4.7249999999999996</v>
      </c>
    </row>
    <row r="334" spans="1:12" x14ac:dyDescent="0.25">
      <c r="A334" s="2" t="s">
        <v>5</v>
      </c>
      <c r="B334" s="2" t="s">
        <v>337</v>
      </c>
      <c r="C334" s="2">
        <v>2.7634534959262198</v>
      </c>
      <c r="D334" s="2">
        <f>VLOOKUP(OneWeekMtgRatesDataTable8[[#This Row],[AsOfDate]],G:H,2,0)+OneWeekMtgRatesDataTable8[[#This Row],[SeriesNumValue]]</f>
        <v>3.7758219579262198</v>
      </c>
      <c r="F334" s="2" t="s">
        <v>1277</v>
      </c>
      <c r="G334" s="2" t="s">
        <v>337</v>
      </c>
      <c r="H334" s="2">
        <v>1.012368462</v>
      </c>
      <c r="K334" s="4">
        <v>40651</v>
      </c>
      <c r="L334">
        <v>4.7249999999999996</v>
      </c>
    </row>
    <row r="335" spans="1:12" x14ac:dyDescent="0.25">
      <c r="A335" s="2" t="s">
        <v>5</v>
      </c>
      <c r="B335" s="2" t="s">
        <v>338</v>
      </c>
      <c r="C335" s="2">
        <v>2.77148784579206</v>
      </c>
      <c r="D335" s="2">
        <f>VLOOKUP(OneWeekMtgRatesDataTable8[[#This Row],[AsOfDate]],G:H,2,0)+OneWeekMtgRatesDataTable8[[#This Row],[SeriesNumValue]]</f>
        <v>3.7838563077920599</v>
      </c>
      <c r="F335" s="2" t="s">
        <v>1277</v>
      </c>
      <c r="G335" s="2" t="s">
        <v>338</v>
      </c>
      <c r="H335" s="2">
        <v>1.012368462</v>
      </c>
      <c r="K335" s="4">
        <v>40652</v>
      </c>
      <c r="L335">
        <v>4.7249999999999996</v>
      </c>
    </row>
    <row r="336" spans="1:12" x14ac:dyDescent="0.25">
      <c r="A336" s="2" t="s">
        <v>5</v>
      </c>
      <c r="B336" s="2" t="s">
        <v>339</v>
      </c>
      <c r="C336" s="2">
        <v>2.6848642616862599</v>
      </c>
      <c r="D336" s="2">
        <f>VLOOKUP(OneWeekMtgRatesDataTable8[[#This Row],[AsOfDate]],G:H,2,0)+OneWeekMtgRatesDataTable8[[#This Row],[SeriesNumValue]]</f>
        <v>3.6397773136862597</v>
      </c>
      <c r="F336" s="2" t="s">
        <v>1277</v>
      </c>
      <c r="G336" s="2" t="s">
        <v>339</v>
      </c>
      <c r="H336" s="2">
        <v>0.95491305199999998</v>
      </c>
      <c r="K336" s="4">
        <v>40653</v>
      </c>
      <c r="L336">
        <v>4.7249999999999996</v>
      </c>
    </row>
    <row r="337" spans="1:12" x14ac:dyDescent="0.25">
      <c r="A337" s="2" t="s">
        <v>5</v>
      </c>
      <c r="B337" s="2" t="s">
        <v>340</v>
      </c>
      <c r="C337" s="2">
        <v>2.6463905286345102</v>
      </c>
      <c r="D337" s="2">
        <f>VLOOKUP(OneWeekMtgRatesDataTable8[[#This Row],[AsOfDate]],G:H,2,0)+OneWeekMtgRatesDataTable8[[#This Row],[SeriesNumValue]]</f>
        <v>3.6013035806345099</v>
      </c>
      <c r="F337" s="2" t="s">
        <v>1277</v>
      </c>
      <c r="G337" s="2" t="s">
        <v>340</v>
      </c>
      <c r="H337" s="2">
        <v>0.95491305199999998</v>
      </c>
      <c r="K337" s="4">
        <v>40654</v>
      </c>
      <c r="L337">
        <v>4.7050000000000001</v>
      </c>
    </row>
    <row r="338" spans="1:12" x14ac:dyDescent="0.25">
      <c r="A338" s="2" t="s">
        <v>5</v>
      </c>
      <c r="B338" s="2" t="s">
        <v>341</v>
      </c>
      <c r="C338" s="2">
        <v>2.5315862032348999</v>
      </c>
      <c r="D338" s="2">
        <f>VLOOKUP(OneWeekMtgRatesDataTable8[[#This Row],[AsOfDate]],G:H,2,0)+OneWeekMtgRatesDataTable8[[#This Row],[SeriesNumValue]]</f>
        <v>3.4864992552349001</v>
      </c>
      <c r="F338" s="2" t="s">
        <v>1277</v>
      </c>
      <c r="G338" s="2" t="s">
        <v>341</v>
      </c>
      <c r="H338" s="2">
        <v>0.95491305199999998</v>
      </c>
      <c r="K338" s="4">
        <v>40658</v>
      </c>
      <c r="L338">
        <v>4.7050000000000001</v>
      </c>
    </row>
    <row r="339" spans="1:12" x14ac:dyDescent="0.25">
      <c r="A339" s="2" t="s">
        <v>5</v>
      </c>
      <c r="B339" s="2" t="s">
        <v>342</v>
      </c>
      <c r="C339" s="2">
        <v>2.62225605452167</v>
      </c>
      <c r="D339" s="2">
        <f>VLOOKUP(OneWeekMtgRatesDataTable8[[#This Row],[AsOfDate]],G:H,2,0)+OneWeekMtgRatesDataTable8[[#This Row],[SeriesNumValue]]</f>
        <v>3.5771691065216702</v>
      </c>
      <c r="F339" s="2" t="s">
        <v>1277</v>
      </c>
      <c r="G339" s="2" t="s">
        <v>342</v>
      </c>
      <c r="H339" s="2">
        <v>0.95491305199999998</v>
      </c>
      <c r="K339" s="4">
        <v>40659</v>
      </c>
      <c r="L339">
        <v>4.7050000000000001</v>
      </c>
    </row>
    <row r="340" spans="1:12" x14ac:dyDescent="0.25">
      <c r="A340" s="2" t="s">
        <v>5</v>
      </c>
      <c r="B340" s="2" t="s">
        <v>343</v>
      </c>
      <c r="C340" s="2">
        <v>2.67215902179854</v>
      </c>
      <c r="D340" s="2">
        <f>VLOOKUP(OneWeekMtgRatesDataTable8[[#This Row],[AsOfDate]],G:H,2,0)+OneWeekMtgRatesDataTable8[[#This Row],[SeriesNumValue]]</f>
        <v>3.6270720737985398</v>
      </c>
      <c r="F340" s="2" t="s">
        <v>1277</v>
      </c>
      <c r="G340" s="2" t="s">
        <v>343</v>
      </c>
      <c r="H340" s="2">
        <v>0.95491305199999998</v>
      </c>
      <c r="K340" s="4">
        <v>40660</v>
      </c>
      <c r="L340">
        <v>4.7050000000000001</v>
      </c>
    </row>
    <row r="341" spans="1:12" x14ac:dyDescent="0.25">
      <c r="A341" s="2" t="s">
        <v>5</v>
      </c>
      <c r="B341" s="2" t="s">
        <v>344</v>
      </c>
      <c r="C341" s="2">
        <v>2.7069899299945201</v>
      </c>
      <c r="D341" s="2">
        <f>VLOOKUP(OneWeekMtgRatesDataTable8[[#This Row],[AsOfDate]],G:H,2,0)+OneWeekMtgRatesDataTable8[[#This Row],[SeriesNumValue]]</f>
        <v>3.6661135819945203</v>
      </c>
      <c r="F341" s="2" t="s">
        <v>1277</v>
      </c>
      <c r="G341" s="2" t="s">
        <v>344</v>
      </c>
      <c r="H341" s="2">
        <v>0.95912365200000005</v>
      </c>
      <c r="K341" s="4">
        <v>40661</v>
      </c>
      <c r="L341">
        <v>4.6349999999999998</v>
      </c>
    </row>
    <row r="342" spans="1:12" x14ac:dyDescent="0.25">
      <c r="A342" s="2" t="s">
        <v>5</v>
      </c>
      <c r="B342" s="2" t="s">
        <v>345</v>
      </c>
      <c r="C342" s="2">
        <v>2.6775785563630401</v>
      </c>
      <c r="D342" s="2">
        <f>VLOOKUP(OneWeekMtgRatesDataTable8[[#This Row],[AsOfDate]],G:H,2,0)+OneWeekMtgRatesDataTable8[[#This Row],[SeriesNumValue]]</f>
        <v>3.6367022083630403</v>
      </c>
      <c r="F342" s="2" t="s">
        <v>1277</v>
      </c>
      <c r="G342" s="2" t="s">
        <v>345</v>
      </c>
      <c r="H342" s="2">
        <v>0.95912365200000005</v>
      </c>
      <c r="K342" s="4">
        <v>40662</v>
      </c>
      <c r="L342">
        <v>4.6349999999999998</v>
      </c>
    </row>
    <row r="343" spans="1:12" x14ac:dyDescent="0.25">
      <c r="A343" s="2" t="s">
        <v>5</v>
      </c>
      <c r="B343" s="2" t="s">
        <v>346</v>
      </c>
      <c r="C343" s="2">
        <v>2.6791053539735099</v>
      </c>
      <c r="D343" s="2">
        <f>VLOOKUP(OneWeekMtgRatesDataTable8[[#This Row],[AsOfDate]],G:H,2,0)+OneWeekMtgRatesDataTable8[[#This Row],[SeriesNumValue]]</f>
        <v>3.6382290059735101</v>
      </c>
      <c r="F343" s="2" t="s">
        <v>1277</v>
      </c>
      <c r="G343" s="2" t="s">
        <v>346</v>
      </c>
      <c r="H343" s="2">
        <v>0.95912365200000005</v>
      </c>
      <c r="K343" s="4">
        <v>40665</v>
      </c>
      <c r="L343">
        <v>4.6349999999999998</v>
      </c>
    </row>
    <row r="344" spans="1:12" x14ac:dyDescent="0.25">
      <c r="A344" s="2" t="s">
        <v>5</v>
      </c>
      <c r="B344" s="2" t="s">
        <v>347</v>
      </c>
      <c r="C344" s="2">
        <v>2.6398968961248501</v>
      </c>
      <c r="D344" s="2">
        <f>VLOOKUP(OneWeekMtgRatesDataTable8[[#This Row],[AsOfDate]],G:H,2,0)+OneWeekMtgRatesDataTable8[[#This Row],[SeriesNumValue]]</f>
        <v>3.5990205481248503</v>
      </c>
      <c r="F344" s="2" t="s">
        <v>1277</v>
      </c>
      <c r="G344" s="2" t="s">
        <v>347</v>
      </c>
      <c r="H344" s="2">
        <v>0.95912365200000005</v>
      </c>
      <c r="K344" s="4">
        <v>40666</v>
      </c>
      <c r="L344">
        <v>4.6349999999999998</v>
      </c>
    </row>
    <row r="345" spans="1:12" x14ac:dyDescent="0.25">
      <c r="A345" s="2" t="s">
        <v>5</v>
      </c>
      <c r="B345" s="2" t="s">
        <v>348</v>
      </c>
      <c r="C345" s="2">
        <v>2.6959588926221301</v>
      </c>
      <c r="D345" s="2">
        <f>VLOOKUP(OneWeekMtgRatesDataTable8[[#This Row],[AsOfDate]],G:H,2,0)+OneWeekMtgRatesDataTable8[[#This Row],[SeriesNumValue]]</f>
        <v>3.6550825446221302</v>
      </c>
      <c r="F345" s="2" t="s">
        <v>1277</v>
      </c>
      <c r="G345" s="2" t="s">
        <v>348</v>
      </c>
      <c r="H345" s="2">
        <v>0.95912365200000005</v>
      </c>
      <c r="K345" s="4">
        <v>40667</v>
      </c>
      <c r="L345">
        <v>4.6349999999999998</v>
      </c>
    </row>
    <row r="346" spans="1:12" x14ac:dyDescent="0.25">
      <c r="A346" s="2" t="s">
        <v>5</v>
      </c>
      <c r="B346" s="2" t="s">
        <v>349</v>
      </c>
      <c r="C346" s="2">
        <v>2.6525646200106201</v>
      </c>
      <c r="D346" s="2">
        <f>VLOOKUP(OneWeekMtgRatesDataTable8[[#This Row],[AsOfDate]],G:H,2,0)+OneWeekMtgRatesDataTable8[[#This Row],[SeriesNumValue]]</f>
        <v>3.6185437560106202</v>
      </c>
      <c r="F346" s="2" t="s">
        <v>1277</v>
      </c>
      <c r="G346" s="2" t="s">
        <v>349</v>
      </c>
      <c r="H346" s="2">
        <v>0.96597913599999996</v>
      </c>
      <c r="K346" s="4">
        <v>40668</v>
      </c>
      <c r="L346">
        <v>4.5549999999999997</v>
      </c>
    </row>
    <row r="347" spans="1:12" x14ac:dyDescent="0.25">
      <c r="A347" s="2" t="s">
        <v>5</v>
      </c>
      <c r="B347" s="2" t="s">
        <v>350</v>
      </c>
      <c r="C347" s="2">
        <v>2.63093877997242</v>
      </c>
      <c r="D347" s="2">
        <f>VLOOKUP(OneWeekMtgRatesDataTable8[[#This Row],[AsOfDate]],G:H,2,0)+OneWeekMtgRatesDataTable8[[#This Row],[SeriesNumValue]]</f>
        <v>3.5969179159724201</v>
      </c>
      <c r="F347" s="2" t="s">
        <v>1277</v>
      </c>
      <c r="G347" s="2" t="s">
        <v>350</v>
      </c>
      <c r="H347" s="2">
        <v>0.96597913599999996</v>
      </c>
      <c r="K347" s="4">
        <v>40669</v>
      </c>
      <c r="L347">
        <v>4.5549999999999997</v>
      </c>
    </row>
    <row r="348" spans="1:12" x14ac:dyDescent="0.25">
      <c r="A348" s="2" t="s">
        <v>5</v>
      </c>
      <c r="B348" s="2" t="s">
        <v>351</v>
      </c>
      <c r="C348" s="2">
        <v>2.6135481549442598</v>
      </c>
      <c r="D348" s="2">
        <f>VLOOKUP(OneWeekMtgRatesDataTable8[[#This Row],[AsOfDate]],G:H,2,0)+OneWeekMtgRatesDataTable8[[#This Row],[SeriesNumValue]]</f>
        <v>3.5795272909442599</v>
      </c>
      <c r="F348" s="2" t="s">
        <v>1277</v>
      </c>
      <c r="G348" s="2" t="s">
        <v>351</v>
      </c>
      <c r="H348" s="2">
        <v>0.96597913599999996</v>
      </c>
      <c r="K348" s="4">
        <v>40672</v>
      </c>
      <c r="L348">
        <v>4.5549999999999997</v>
      </c>
    </row>
    <row r="349" spans="1:12" x14ac:dyDescent="0.25">
      <c r="A349" s="2" t="s">
        <v>5</v>
      </c>
      <c r="B349" s="2" t="s">
        <v>352</v>
      </c>
      <c r="C349" s="2">
        <v>2.5951502868946998</v>
      </c>
      <c r="D349" s="2">
        <f>VLOOKUP(OneWeekMtgRatesDataTable8[[#This Row],[AsOfDate]],G:H,2,0)+OneWeekMtgRatesDataTable8[[#This Row],[SeriesNumValue]]</f>
        <v>3.5611294228946999</v>
      </c>
      <c r="F349" s="2" t="s">
        <v>1277</v>
      </c>
      <c r="G349" s="2" t="s">
        <v>352</v>
      </c>
      <c r="H349" s="2">
        <v>0.96597913599999996</v>
      </c>
      <c r="K349" s="4">
        <v>40673</v>
      </c>
      <c r="L349">
        <v>4.5549999999999997</v>
      </c>
    </row>
    <row r="350" spans="1:12" x14ac:dyDescent="0.25">
      <c r="A350" s="2" t="s">
        <v>5</v>
      </c>
      <c r="B350" s="2" t="s">
        <v>353</v>
      </c>
      <c r="C350" s="2">
        <v>2.5989008122860202</v>
      </c>
      <c r="D350" s="2">
        <f>VLOOKUP(OneWeekMtgRatesDataTable8[[#This Row],[AsOfDate]],G:H,2,0)+OneWeekMtgRatesDataTable8[[#This Row],[SeriesNumValue]]</f>
        <v>3.5648799482860203</v>
      </c>
      <c r="F350" s="2" t="s">
        <v>1277</v>
      </c>
      <c r="G350" s="2" t="s">
        <v>353</v>
      </c>
      <c r="H350" s="2">
        <v>0.96597913599999996</v>
      </c>
      <c r="K350" s="4">
        <v>40674</v>
      </c>
      <c r="L350">
        <v>4.5549999999999997</v>
      </c>
    </row>
    <row r="351" spans="1:12" x14ac:dyDescent="0.25">
      <c r="A351" s="2" t="s">
        <v>5</v>
      </c>
      <c r="B351" s="2" t="s">
        <v>354</v>
      </c>
      <c r="C351" s="2">
        <v>2.6422120111570599</v>
      </c>
      <c r="D351" s="2">
        <f>VLOOKUP(OneWeekMtgRatesDataTable8[[#This Row],[AsOfDate]],G:H,2,0)+OneWeekMtgRatesDataTable8[[#This Row],[SeriesNumValue]]</f>
        <v>3.6110620021570599</v>
      </c>
      <c r="F351" s="2" t="s">
        <v>1277</v>
      </c>
      <c r="G351" s="2" t="s">
        <v>354</v>
      </c>
      <c r="H351" s="2">
        <v>0.96884999100000002</v>
      </c>
      <c r="K351" s="4">
        <v>40675</v>
      </c>
      <c r="L351">
        <v>4.5350000000000001</v>
      </c>
    </row>
    <row r="352" spans="1:12" x14ac:dyDescent="0.25">
      <c r="A352" s="2" t="s">
        <v>5</v>
      </c>
      <c r="B352" s="2" t="s">
        <v>355</v>
      </c>
      <c r="C352" s="2">
        <v>2.61404533663225</v>
      </c>
      <c r="D352" s="2">
        <f>VLOOKUP(OneWeekMtgRatesDataTable8[[#This Row],[AsOfDate]],G:H,2,0)+OneWeekMtgRatesDataTable8[[#This Row],[SeriesNumValue]]</f>
        <v>3.5828953276322499</v>
      </c>
      <c r="F352" s="2" t="s">
        <v>1277</v>
      </c>
      <c r="G352" s="2" t="s">
        <v>355</v>
      </c>
      <c r="H352" s="2">
        <v>0.96884999100000002</v>
      </c>
      <c r="K352" s="4">
        <v>40676</v>
      </c>
      <c r="L352">
        <v>4.5350000000000001</v>
      </c>
    </row>
    <row r="353" spans="1:12" x14ac:dyDescent="0.25">
      <c r="A353" s="2" t="s">
        <v>5</v>
      </c>
      <c r="B353" s="2" t="s">
        <v>356</v>
      </c>
      <c r="C353" s="2">
        <v>2.6681925280418901</v>
      </c>
      <c r="D353" s="2">
        <f>VLOOKUP(OneWeekMtgRatesDataTable8[[#This Row],[AsOfDate]],G:H,2,0)+OneWeekMtgRatesDataTable8[[#This Row],[SeriesNumValue]]</f>
        <v>3.63704251904189</v>
      </c>
      <c r="F353" s="2" t="s">
        <v>1277</v>
      </c>
      <c r="G353" s="2" t="s">
        <v>356</v>
      </c>
      <c r="H353" s="2">
        <v>0.96884999100000002</v>
      </c>
      <c r="K353" s="4">
        <v>40679</v>
      </c>
      <c r="L353">
        <v>4.5350000000000001</v>
      </c>
    </row>
    <row r="354" spans="1:12" x14ac:dyDescent="0.25">
      <c r="A354" s="2" t="s">
        <v>5</v>
      </c>
      <c r="B354" s="2" t="s">
        <v>357</v>
      </c>
      <c r="C354" s="2">
        <v>2.57850061271707</v>
      </c>
      <c r="D354" s="2">
        <f>VLOOKUP(OneWeekMtgRatesDataTable8[[#This Row],[AsOfDate]],G:H,2,0)+OneWeekMtgRatesDataTable8[[#This Row],[SeriesNumValue]]</f>
        <v>3.5473506037170699</v>
      </c>
      <c r="F354" s="2" t="s">
        <v>1277</v>
      </c>
      <c r="G354" s="2" t="s">
        <v>357</v>
      </c>
      <c r="H354" s="2">
        <v>0.96884999100000002</v>
      </c>
      <c r="K354" s="4">
        <v>40680</v>
      </c>
      <c r="L354">
        <v>4.5350000000000001</v>
      </c>
    </row>
    <row r="355" spans="1:12" x14ac:dyDescent="0.25">
      <c r="A355" s="2" t="s">
        <v>5</v>
      </c>
      <c r="B355" s="2" t="s">
        <v>358</v>
      </c>
      <c r="C355" s="2">
        <v>2.6163872152587899</v>
      </c>
      <c r="D355" s="2">
        <f>VLOOKUP(OneWeekMtgRatesDataTable8[[#This Row],[AsOfDate]],G:H,2,0)+OneWeekMtgRatesDataTable8[[#This Row],[SeriesNumValue]]</f>
        <v>3.5852372062587898</v>
      </c>
      <c r="F355" s="2" t="s">
        <v>1277</v>
      </c>
      <c r="G355" s="2" t="s">
        <v>358</v>
      </c>
      <c r="H355" s="2">
        <v>0.96884999100000002</v>
      </c>
      <c r="K355" s="4">
        <v>40681</v>
      </c>
      <c r="L355">
        <v>4.5350000000000001</v>
      </c>
    </row>
    <row r="356" spans="1:12" x14ac:dyDescent="0.25">
      <c r="A356" s="2" t="s">
        <v>5</v>
      </c>
      <c r="B356" s="2" t="s">
        <v>359</v>
      </c>
      <c r="C356" s="2">
        <v>2.5886723749410501</v>
      </c>
      <c r="D356" s="2">
        <f>VLOOKUP(OneWeekMtgRatesDataTable8[[#This Row],[AsOfDate]],G:H,2,0)+OneWeekMtgRatesDataTable8[[#This Row],[SeriesNumValue]]</f>
        <v>3.5605127609410498</v>
      </c>
      <c r="F356" s="2" t="s">
        <v>1277</v>
      </c>
      <c r="G356" s="2" t="s">
        <v>359</v>
      </c>
      <c r="H356" s="2">
        <v>0.971840386</v>
      </c>
      <c r="K356" s="4">
        <v>40682</v>
      </c>
      <c r="L356">
        <v>4.5250000000000004</v>
      </c>
    </row>
    <row r="357" spans="1:12" x14ac:dyDescent="0.25">
      <c r="A357" s="2" t="s">
        <v>5</v>
      </c>
      <c r="B357" s="2" t="s">
        <v>360</v>
      </c>
      <c r="C357" s="2">
        <v>2.5509636037861898</v>
      </c>
      <c r="D357" s="2">
        <f>VLOOKUP(OneWeekMtgRatesDataTable8[[#This Row],[AsOfDate]],G:H,2,0)+OneWeekMtgRatesDataTable8[[#This Row],[SeriesNumValue]]</f>
        <v>3.5228039897861896</v>
      </c>
      <c r="F357" s="2" t="s">
        <v>1277</v>
      </c>
      <c r="G357" s="2" t="s">
        <v>360</v>
      </c>
      <c r="H357" s="2">
        <v>0.971840386</v>
      </c>
      <c r="K357" s="4">
        <v>40683</v>
      </c>
      <c r="L357">
        <v>4.5250000000000004</v>
      </c>
    </row>
    <row r="358" spans="1:12" x14ac:dyDescent="0.25">
      <c r="A358" s="2" t="s">
        <v>5</v>
      </c>
      <c r="B358" s="2" t="s">
        <v>361</v>
      </c>
      <c r="C358" s="2">
        <v>2.6237188553228199</v>
      </c>
      <c r="D358" s="2">
        <f>VLOOKUP(OneWeekMtgRatesDataTable8[[#This Row],[AsOfDate]],G:H,2,0)+OneWeekMtgRatesDataTable8[[#This Row],[SeriesNumValue]]</f>
        <v>3.5955592413228201</v>
      </c>
      <c r="F358" s="2" t="s">
        <v>1277</v>
      </c>
      <c r="G358" s="2" t="s">
        <v>361</v>
      </c>
      <c r="H358" s="2">
        <v>0.971840386</v>
      </c>
      <c r="K358" s="4">
        <v>40686</v>
      </c>
      <c r="L358">
        <v>4.5250000000000004</v>
      </c>
    </row>
    <row r="359" spans="1:12" x14ac:dyDescent="0.25">
      <c r="A359" s="2" t="s">
        <v>5</v>
      </c>
      <c r="B359" s="2" t="s">
        <v>362</v>
      </c>
      <c r="C359" s="2">
        <v>2.54531844167705</v>
      </c>
      <c r="D359" s="2">
        <f>VLOOKUP(OneWeekMtgRatesDataTable8[[#This Row],[AsOfDate]],G:H,2,0)+OneWeekMtgRatesDataTable8[[#This Row],[SeriesNumValue]]</f>
        <v>3.5171588276770498</v>
      </c>
      <c r="F359" s="2" t="s">
        <v>1277</v>
      </c>
      <c r="G359" s="2" t="s">
        <v>362</v>
      </c>
      <c r="H359" s="2">
        <v>0.971840386</v>
      </c>
      <c r="K359" s="4">
        <v>40687</v>
      </c>
      <c r="L359">
        <v>4.5250000000000004</v>
      </c>
    </row>
    <row r="360" spans="1:12" x14ac:dyDescent="0.25">
      <c r="A360" s="2" t="s">
        <v>5</v>
      </c>
      <c r="B360" s="2" t="s">
        <v>363</v>
      </c>
      <c r="C360" s="2">
        <v>2.58328220354782</v>
      </c>
      <c r="D360" s="2">
        <f>VLOOKUP(OneWeekMtgRatesDataTable8[[#This Row],[AsOfDate]],G:H,2,0)+OneWeekMtgRatesDataTable8[[#This Row],[SeriesNumValue]]</f>
        <v>3.5774614275478198</v>
      </c>
      <c r="F360" s="2" t="s">
        <v>1277</v>
      </c>
      <c r="G360" s="2" t="s">
        <v>363</v>
      </c>
      <c r="H360" s="2">
        <v>0.99417922400000003</v>
      </c>
      <c r="K360" s="4">
        <v>40688</v>
      </c>
      <c r="L360">
        <v>4.5250000000000004</v>
      </c>
    </row>
    <row r="361" spans="1:12" x14ac:dyDescent="0.25">
      <c r="A361" s="2" t="s">
        <v>5</v>
      </c>
      <c r="B361" s="2" t="s">
        <v>364</v>
      </c>
      <c r="C361" s="2">
        <v>2.5563795134905498</v>
      </c>
      <c r="D361" s="2">
        <f>VLOOKUP(OneWeekMtgRatesDataTable8[[#This Row],[AsOfDate]],G:H,2,0)+OneWeekMtgRatesDataTable8[[#This Row],[SeriesNumValue]]</f>
        <v>3.5505587374905501</v>
      </c>
      <c r="F361" s="2" t="s">
        <v>1277</v>
      </c>
      <c r="G361" s="2" t="s">
        <v>364</v>
      </c>
      <c r="H361" s="2">
        <v>0.99417922400000003</v>
      </c>
      <c r="K361" s="4">
        <v>40689</v>
      </c>
      <c r="L361">
        <v>4.45</v>
      </c>
    </row>
    <row r="362" spans="1:12" x14ac:dyDescent="0.25">
      <c r="A362" s="2" t="s">
        <v>5</v>
      </c>
      <c r="B362" s="2" t="s">
        <v>365</v>
      </c>
      <c r="C362" s="2">
        <v>2.4766480457309101</v>
      </c>
      <c r="D362" s="2">
        <f>VLOOKUP(OneWeekMtgRatesDataTable8[[#This Row],[AsOfDate]],G:H,2,0)+OneWeekMtgRatesDataTable8[[#This Row],[SeriesNumValue]]</f>
        <v>3.4708272697309104</v>
      </c>
      <c r="F362" s="2" t="s">
        <v>1277</v>
      </c>
      <c r="G362" s="2" t="s">
        <v>365</v>
      </c>
      <c r="H362" s="2">
        <v>0.99417922400000003</v>
      </c>
      <c r="K362" s="4">
        <v>40690</v>
      </c>
      <c r="L362">
        <v>4.45</v>
      </c>
    </row>
    <row r="363" spans="1:12" x14ac:dyDescent="0.25">
      <c r="A363" s="2" t="s">
        <v>5</v>
      </c>
      <c r="B363" s="2" t="s">
        <v>366</v>
      </c>
      <c r="C363" s="2">
        <v>2.4491972100580299</v>
      </c>
      <c r="D363" s="2">
        <f>VLOOKUP(OneWeekMtgRatesDataTable8[[#This Row],[AsOfDate]],G:H,2,0)+OneWeekMtgRatesDataTable8[[#This Row],[SeriesNumValue]]</f>
        <v>3.4433764340580302</v>
      </c>
      <c r="F363" s="2" t="s">
        <v>1277</v>
      </c>
      <c r="G363" s="2" t="s">
        <v>366</v>
      </c>
      <c r="H363" s="2">
        <v>0.99417922400000003</v>
      </c>
      <c r="K363" s="4">
        <v>40694</v>
      </c>
      <c r="L363">
        <v>4.45</v>
      </c>
    </row>
    <row r="364" spans="1:12" x14ac:dyDescent="0.25">
      <c r="A364" s="2" t="s">
        <v>5</v>
      </c>
      <c r="B364" s="2" t="s">
        <v>367</v>
      </c>
      <c r="C364" s="2">
        <v>2.42302981927218</v>
      </c>
      <c r="D364" s="2">
        <f>VLOOKUP(OneWeekMtgRatesDataTable8[[#This Row],[AsOfDate]],G:H,2,0)+OneWeekMtgRatesDataTable8[[#This Row],[SeriesNumValue]]</f>
        <v>3.4172090432721802</v>
      </c>
      <c r="F364" s="2" t="s">
        <v>1277</v>
      </c>
      <c r="G364" s="2" t="s">
        <v>367</v>
      </c>
      <c r="H364" s="2">
        <v>0.99417922400000003</v>
      </c>
      <c r="K364" s="4">
        <v>40695</v>
      </c>
      <c r="L364">
        <v>4.45</v>
      </c>
    </row>
    <row r="365" spans="1:12" x14ac:dyDescent="0.25">
      <c r="A365" s="2" t="s">
        <v>5</v>
      </c>
      <c r="B365" s="2" t="s">
        <v>368</v>
      </c>
      <c r="C365" s="2">
        <v>2.4116172706611501</v>
      </c>
      <c r="D365" s="2">
        <f>VLOOKUP(OneWeekMtgRatesDataTable8[[#This Row],[AsOfDate]],G:H,2,0)+OneWeekMtgRatesDataTable8[[#This Row],[SeriesNumValue]]</f>
        <v>3.4332428986611498</v>
      </c>
      <c r="F365" s="2" t="s">
        <v>1277</v>
      </c>
      <c r="G365" s="2" t="s">
        <v>368</v>
      </c>
      <c r="H365" s="2">
        <v>1.021625628</v>
      </c>
      <c r="K365" s="4">
        <v>40696</v>
      </c>
      <c r="L365">
        <v>4.415</v>
      </c>
    </row>
    <row r="366" spans="1:12" x14ac:dyDescent="0.25">
      <c r="A366" s="2" t="s">
        <v>5</v>
      </c>
      <c r="B366" s="2" t="s">
        <v>369</v>
      </c>
      <c r="C366" s="2">
        <v>2.4034266466938199</v>
      </c>
      <c r="D366" s="2">
        <f>VLOOKUP(OneWeekMtgRatesDataTable8[[#This Row],[AsOfDate]],G:H,2,0)+OneWeekMtgRatesDataTable8[[#This Row],[SeriesNumValue]]</f>
        <v>3.4250522746938197</v>
      </c>
      <c r="F366" s="2" t="s">
        <v>1277</v>
      </c>
      <c r="G366" s="2" t="s">
        <v>369</v>
      </c>
      <c r="H366" s="2">
        <v>1.021625628</v>
      </c>
      <c r="K366" s="4">
        <v>40697</v>
      </c>
      <c r="L366">
        <v>4.415</v>
      </c>
    </row>
    <row r="367" spans="1:12" x14ac:dyDescent="0.25">
      <c r="A367" s="2" t="s">
        <v>5</v>
      </c>
      <c r="B367" s="2" t="s">
        <v>370</v>
      </c>
      <c r="C367" s="2">
        <v>2.45850252986091</v>
      </c>
      <c r="D367" s="2">
        <f>VLOOKUP(OneWeekMtgRatesDataTable8[[#This Row],[AsOfDate]],G:H,2,0)+OneWeekMtgRatesDataTable8[[#This Row],[SeriesNumValue]]</f>
        <v>3.4801281578609098</v>
      </c>
      <c r="F367" s="2" t="s">
        <v>1277</v>
      </c>
      <c r="G367" s="2" t="s">
        <v>370</v>
      </c>
      <c r="H367" s="2">
        <v>1.021625628</v>
      </c>
      <c r="K367" s="4">
        <v>40700</v>
      </c>
      <c r="L367">
        <v>4.415</v>
      </c>
    </row>
    <row r="368" spans="1:12" x14ac:dyDescent="0.25">
      <c r="A368" s="2" t="s">
        <v>5</v>
      </c>
      <c r="B368" s="2" t="s">
        <v>371</v>
      </c>
      <c r="C368" s="2">
        <v>2.3968423718228902</v>
      </c>
      <c r="D368" s="2">
        <f>VLOOKUP(OneWeekMtgRatesDataTable8[[#This Row],[AsOfDate]],G:H,2,0)+OneWeekMtgRatesDataTable8[[#This Row],[SeriesNumValue]]</f>
        <v>3.41846799982289</v>
      </c>
      <c r="F368" s="2" t="s">
        <v>1277</v>
      </c>
      <c r="G368" s="2" t="s">
        <v>371</v>
      </c>
      <c r="H368" s="2">
        <v>1.021625628</v>
      </c>
      <c r="K368" s="4">
        <v>40701</v>
      </c>
      <c r="L368">
        <v>4.415</v>
      </c>
    </row>
    <row r="369" spans="1:12" x14ac:dyDescent="0.25">
      <c r="A369" s="2" t="s">
        <v>5</v>
      </c>
      <c r="B369" s="2" t="s">
        <v>372</v>
      </c>
      <c r="C369" s="2">
        <v>2.4360959184987601</v>
      </c>
      <c r="D369" s="2">
        <f>VLOOKUP(OneWeekMtgRatesDataTable8[[#This Row],[AsOfDate]],G:H,2,0)+OneWeekMtgRatesDataTable8[[#This Row],[SeriesNumValue]]</f>
        <v>3.4577215464987603</v>
      </c>
      <c r="F369" s="2" t="s">
        <v>1277</v>
      </c>
      <c r="G369" s="2" t="s">
        <v>372</v>
      </c>
      <c r="H369" s="2">
        <v>1.021625628</v>
      </c>
      <c r="K369" s="4">
        <v>40702</v>
      </c>
      <c r="L369">
        <v>4.415</v>
      </c>
    </row>
    <row r="370" spans="1:12" x14ac:dyDescent="0.25">
      <c r="A370" s="2" t="s">
        <v>5</v>
      </c>
      <c r="B370" s="2" t="s">
        <v>373</v>
      </c>
      <c r="C370" s="2">
        <v>2.3758504228028601</v>
      </c>
      <c r="D370" s="2">
        <f>VLOOKUP(OneWeekMtgRatesDataTable8[[#This Row],[AsOfDate]],G:H,2,0)+OneWeekMtgRatesDataTable8[[#This Row],[SeriesNumValue]]</f>
        <v>3.4167068448028601</v>
      </c>
      <c r="F370" s="2" t="s">
        <v>1277</v>
      </c>
      <c r="G370" s="2" t="s">
        <v>373</v>
      </c>
      <c r="H370" s="2">
        <v>1.0408564220000001</v>
      </c>
      <c r="K370" s="4">
        <v>40703</v>
      </c>
      <c r="L370">
        <v>4.4249999999999998</v>
      </c>
    </row>
    <row r="371" spans="1:12" x14ac:dyDescent="0.25">
      <c r="A371" s="2" t="s">
        <v>5</v>
      </c>
      <c r="B371" s="2" t="s">
        <v>374</v>
      </c>
      <c r="C371" s="2">
        <v>2.3931217438343899</v>
      </c>
      <c r="D371" s="2">
        <f>VLOOKUP(OneWeekMtgRatesDataTable8[[#This Row],[AsOfDate]],G:H,2,0)+OneWeekMtgRatesDataTable8[[#This Row],[SeriesNumValue]]</f>
        <v>3.43397816583439</v>
      </c>
      <c r="F371" s="2" t="s">
        <v>1277</v>
      </c>
      <c r="G371" s="2" t="s">
        <v>374</v>
      </c>
      <c r="H371" s="2">
        <v>1.0408564220000001</v>
      </c>
      <c r="K371" s="4">
        <v>40704</v>
      </c>
      <c r="L371">
        <v>4.4249999999999998</v>
      </c>
    </row>
    <row r="372" spans="1:12" x14ac:dyDescent="0.25">
      <c r="A372" s="2" t="s">
        <v>5</v>
      </c>
      <c r="B372" s="2" t="s">
        <v>375</v>
      </c>
      <c r="C372" s="2">
        <v>2.32496037866738</v>
      </c>
      <c r="D372" s="2">
        <f>VLOOKUP(OneWeekMtgRatesDataTable8[[#This Row],[AsOfDate]],G:H,2,0)+OneWeekMtgRatesDataTable8[[#This Row],[SeriesNumValue]]</f>
        <v>3.3658168006673801</v>
      </c>
      <c r="F372" s="2" t="s">
        <v>1277</v>
      </c>
      <c r="G372" s="2" t="s">
        <v>375</v>
      </c>
      <c r="H372" s="2">
        <v>1.0408564220000001</v>
      </c>
      <c r="K372" s="4">
        <v>40707</v>
      </c>
      <c r="L372">
        <v>4.4249999999999998</v>
      </c>
    </row>
    <row r="373" spans="1:12" x14ac:dyDescent="0.25">
      <c r="A373" s="2" t="s">
        <v>5</v>
      </c>
      <c r="B373" s="2" t="s">
        <v>376</v>
      </c>
      <c r="C373" s="2">
        <v>2.27723185682542</v>
      </c>
      <c r="D373" s="2">
        <f>VLOOKUP(OneWeekMtgRatesDataTable8[[#This Row],[AsOfDate]],G:H,2,0)+OneWeekMtgRatesDataTable8[[#This Row],[SeriesNumValue]]</f>
        <v>3.31808827882542</v>
      </c>
      <c r="F373" s="2" t="s">
        <v>1277</v>
      </c>
      <c r="G373" s="2" t="s">
        <v>376</v>
      </c>
      <c r="H373" s="2">
        <v>1.0408564220000001</v>
      </c>
      <c r="K373" s="4">
        <v>40708</v>
      </c>
      <c r="L373">
        <v>4.4249999999999998</v>
      </c>
    </row>
    <row r="374" spans="1:12" x14ac:dyDescent="0.25">
      <c r="A374" s="2" t="s">
        <v>5</v>
      </c>
      <c r="B374" s="2" t="s">
        <v>377</v>
      </c>
      <c r="C374" s="2">
        <v>2.2471779895370898</v>
      </c>
      <c r="D374" s="2">
        <f>VLOOKUP(OneWeekMtgRatesDataTable8[[#This Row],[AsOfDate]],G:H,2,0)+OneWeekMtgRatesDataTable8[[#This Row],[SeriesNumValue]]</f>
        <v>3.2880344115370899</v>
      </c>
      <c r="F374" s="2" t="s">
        <v>1277</v>
      </c>
      <c r="G374" s="2" t="s">
        <v>377</v>
      </c>
      <c r="H374" s="2">
        <v>1.0408564220000001</v>
      </c>
      <c r="K374" s="4">
        <v>40709</v>
      </c>
      <c r="L374">
        <v>4.4249999999999998</v>
      </c>
    </row>
    <row r="375" spans="1:12" x14ac:dyDescent="0.25">
      <c r="A375" s="2" t="s">
        <v>5</v>
      </c>
      <c r="B375" s="2" t="s">
        <v>378</v>
      </c>
      <c r="C375" s="2">
        <v>2.2633680242154099</v>
      </c>
      <c r="D375" s="2">
        <f>VLOOKUP(OneWeekMtgRatesDataTable8[[#This Row],[AsOfDate]],G:H,2,0)+OneWeekMtgRatesDataTable8[[#This Row],[SeriesNumValue]]</f>
        <v>3.3771960252154098</v>
      </c>
      <c r="F375" s="2" t="s">
        <v>1277</v>
      </c>
      <c r="G375" s="2" t="s">
        <v>378</v>
      </c>
      <c r="H375" s="2">
        <v>1.1138280009999999</v>
      </c>
      <c r="K375" s="4">
        <v>40710</v>
      </c>
      <c r="L375">
        <v>4.45</v>
      </c>
    </row>
    <row r="376" spans="1:12" x14ac:dyDescent="0.25">
      <c r="A376" s="2" t="s">
        <v>5</v>
      </c>
      <c r="B376" s="2" t="s">
        <v>379</v>
      </c>
      <c r="C376" s="2">
        <v>2.2877898548229898</v>
      </c>
      <c r="D376" s="2">
        <f>VLOOKUP(OneWeekMtgRatesDataTable8[[#This Row],[AsOfDate]],G:H,2,0)+OneWeekMtgRatesDataTable8[[#This Row],[SeriesNumValue]]</f>
        <v>3.4016178558229897</v>
      </c>
      <c r="F376" s="2" t="s">
        <v>1277</v>
      </c>
      <c r="G376" s="2" t="s">
        <v>379</v>
      </c>
      <c r="H376" s="2">
        <v>1.1138280009999999</v>
      </c>
      <c r="K376" s="4">
        <v>40711</v>
      </c>
      <c r="L376">
        <v>4.45</v>
      </c>
    </row>
    <row r="377" spans="1:12" x14ac:dyDescent="0.25">
      <c r="A377" s="2" t="s">
        <v>5</v>
      </c>
      <c r="B377" s="2" t="s">
        <v>380</v>
      </c>
      <c r="C377" s="2">
        <v>2.4685368274640398</v>
      </c>
      <c r="D377" s="2">
        <f>VLOOKUP(OneWeekMtgRatesDataTable8[[#This Row],[AsOfDate]],G:H,2,0)+OneWeekMtgRatesDataTable8[[#This Row],[SeriesNumValue]]</f>
        <v>3.5823648284640397</v>
      </c>
      <c r="F377" s="2" t="s">
        <v>1277</v>
      </c>
      <c r="G377" s="2" t="s">
        <v>380</v>
      </c>
      <c r="H377" s="2">
        <v>1.1138280009999999</v>
      </c>
      <c r="K377" s="4">
        <v>40714</v>
      </c>
      <c r="L377">
        <v>4.45</v>
      </c>
    </row>
    <row r="378" spans="1:12" x14ac:dyDescent="0.25">
      <c r="A378" s="2" t="s">
        <v>5</v>
      </c>
      <c r="B378" s="2" t="s">
        <v>381</v>
      </c>
      <c r="C378" s="2">
        <v>2.3365107534465399</v>
      </c>
      <c r="D378" s="2">
        <f>VLOOKUP(OneWeekMtgRatesDataTable8[[#This Row],[AsOfDate]],G:H,2,0)+OneWeekMtgRatesDataTable8[[#This Row],[SeriesNumValue]]</f>
        <v>3.4503387544465398</v>
      </c>
      <c r="F378" s="2" t="s">
        <v>1277</v>
      </c>
      <c r="G378" s="2" t="s">
        <v>381</v>
      </c>
      <c r="H378" s="2">
        <v>1.1138280009999999</v>
      </c>
      <c r="K378" s="4">
        <v>40715</v>
      </c>
      <c r="L378">
        <v>4.45</v>
      </c>
    </row>
    <row r="379" spans="1:12" x14ac:dyDescent="0.25">
      <c r="A379" s="2" t="s">
        <v>5</v>
      </c>
      <c r="B379" s="2" t="s">
        <v>382</v>
      </c>
      <c r="C379" s="2">
        <v>2.3145960727619199</v>
      </c>
      <c r="D379" s="2">
        <f>VLOOKUP(OneWeekMtgRatesDataTable8[[#This Row],[AsOfDate]],G:H,2,0)+OneWeekMtgRatesDataTable8[[#This Row],[SeriesNumValue]]</f>
        <v>3.4284240737619198</v>
      </c>
      <c r="F379" s="2" t="s">
        <v>1277</v>
      </c>
      <c r="G379" s="2" t="s">
        <v>382</v>
      </c>
      <c r="H379" s="2">
        <v>1.1138280009999999</v>
      </c>
      <c r="K379" s="4">
        <v>40716</v>
      </c>
      <c r="L379">
        <v>4.45</v>
      </c>
    </row>
    <row r="380" spans="1:12" x14ac:dyDescent="0.25">
      <c r="A380" s="2" t="s">
        <v>5</v>
      </c>
      <c r="B380" s="2" t="s">
        <v>383</v>
      </c>
      <c r="C380" s="2">
        <v>2.3658814096234999</v>
      </c>
      <c r="D380" s="2">
        <f>VLOOKUP(OneWeekMtgRatesDataTable8[[#This Row],[AsOfDate]],G:H,2,0)+OneWeekMtgRatesDataTable8[[#This Row],[SeriesNumValue]]</f>
        <v>3.4862184256235</v>
      </c>
      <c r="F380" s="2" t="s">
        <v>1277</v>
      </c>
      <c r="G380" s="2" t="s">
        <v>383</v>
      </c>
      <c r="H380" s="2">
        <v>1.1203370159999999</v>
      </c>
      <c r="K380" s="4">
        <v>40717</v>
      </c>
      <c r="L380">
        <v>4.4349999999999996</v>
      </c>
    </row>
    <row r="381" spans="1:12" x14ac:dyDescent="0.25">
      <c r="A381" s="2" t="s">
        <v>5</v>
      </c>
      <c r="B381" s="2" t="s">
        <v>384</v>
      </c>
      <c r="C381" s="2">
        <v>2.33657189118883</v>
      </c>
      <c r="D381" s="2">
        <f>VLOOKUP(OneWeekMtgRatesDataTable8[[#This Row],[AsOfDate]],G:H,2,0)+OneWeekMtgRatesDataTable8[[#This Row],[SeriesNumValue]]</f>
        <v>3.4569089071888301</v>
      </c>
      <c r="F381" s="2" t="s">
        <v>1277</v>
      </c>
      <c r="G381" s="2" t="s">
        <v>384</v>
      </c>
      <c r="H381" s="2">
        <v>1.1203370159999999</v>
      </c>
      <c r="K381" s="4">
        <v>40718</v>
      </c>
      <c r="L381">
        <v>4.4349999999999996</v>
      </c>
    </row>
    <row r="382" spans="1:12" x14ac:dyDescent="0.25">
      <c r="A382" s="2" t="s">
        <v>5</v>
      </c>
      <c r="B382" s="2" t="s">
        <v>385</v>
      </c>
      <c r="C382" s="2">
        <v>2.42675409444622</v>
      </c>
      <c r="D382" s="2">
        <f>VLOOKUP(OneWeekMtgRatesDataTable8[[#This Row],[AsOfDate]],G:H,2,0)+OneWeekMtgRatesDataTable8[[#This Row],[SeriesNumValue]]</f>
        <v>3.5470911104462202</v>
      </c>
      <c r="F382" s="2" t="s">
        <v>1277</v>
      </c>
      <c r="G382" s="2" t="s">
        <v>385</v>
      </c>
      <c r="H382" s="2">
        <v>1.1203370159999999</v>
      </c>
      <c r="K382" s="4">
        <v>40721</v>
      </c>
      <c r="L382">
        <v>4.4349999999999996</v>
      </c>
    </row>
    <row r="383" spans="1:12" x14ac:dyDescent="0.25">
      <c r="A383" s="2" t="s">
        <v>5</v>
      </c>
      <c r="B383" s="2" t="s">
        <v>386</v>
      </c>
      <c r="C383" s="2">
        <v>2.4102554462908099</v>
      </c>
      <c r="D383" s="2">
        <f>VLOOKUP(OneWeekMtgRatesDataTable8[[#This Row],[AsOfDate]],G:H,2,0)+OneWeekMtgRatesDataTable8[[#This Row],[SeriesNumValue]]</f>
        <v>3.5305924622908096</v>
      </c>
      <c r="F383" s="2" t="s">
        <v>1277</v>
      </c>
      <c r="G383" s="2" t="s">
        <v>386</v>
      </c>
      <c r="H383" s="2">
        <v>1.1203370159999999</v>
      </c>
      <c r="K383" s="4">
        <v>40722</v>
      </c>
      <c r="L383">
        <v>4.4349999999999996</v>
      </c>
    </row>
    <row r="384" spans="1:12" x14ac:dyDescent="0.25">
      <c r="A384" s="2" t="s">
        <v>5</v>
      </c>
      <c r="B384" s="2" t="s">
        <v>387</v>
      </c>
      <c r="C384" s="2">
        <v>2.4648279812140101</v>
      </c>
      <c r="D384" s="2">
        <f>VLOOKUP(OneWeekMtgRatesDataTable8[[#This Row],[AsOfDate]],G:H,2,0)+OneWeekMtgRatesDataTable8[[#This Row],[SeriesNumValue]]</f>
        <v>3.5851649972140098</v>
      </c>
      <c r="F384" s="2" t="s">
        <v>1277</v>
      </c>
      <c r="G384" s="2" t="s">
        <v>387</v>
      </c>
      <c r="H384" s="2">
        <v>1.1203370159999999</v>
      </c>
      <c r="K384" s="4">
        <v>40723</v>
      </c>
      <c r="L384">
        <v>4.4349999999999996</v>
      </c>
    </row>
    <row r="385" spans="1:12" x14ac:dyDescent="0.25">
      <c r="A385" s="2" t="s">
        <v>5</v>
      </c>
      <c r="B385" s="2" t="s">
        <v>388</v>
      </c>
      <c r="C385" s="2">
        <v>2.45387778372179</v>
      </c>
      <c r="D385" s="2">
        <f>VLOOKUP(OneWeekMtgRatesDataTable8[[#This Row],[AsOfDate]],G:H,2,0)+OneWeekMtgRatesDataTable8[[#This Row],[SeriesNumValue]]</f>
        <v>3.5254203447217902</v>
      </c>
      <c r="F385" s="2" t="s">
        <v>1277</v>
      </c>
      <c r="G385" s="2" t="s">
        <v>388</v>
      </c>
      <c r="H385" s="2">
        <v>1.071542561</v>
      </c>
      <c r="K385" s="4">
        <v>40724</v>
      </c>
      <c r="L385">
        <v>4.5250000000000004</v>
      </c>
    </row>
    <row r="386" spans="1:12" x14ac:dyDescent="0.25">
      <c r="A386" s="2" t="s">
        <v>5</v>
      </c>
      <c r="B386" s="2" t="s">
        <v>389</v>
      </c>
      <c r="C386" s="2">
        <v>2.45717074132124</v>
      </c>
      <c r="D386" s="2">
        <f>VLOOKUP(OneWeekMtgRatesDataTable8[[#This Row],[AsOfDate]],G:H,2,0)+OneWeekMtgRatesDataTable8[[#This Row],[SeriesNumValue]]</f>
        <v>3.5287133023212398</v>
      </c>
      <c r="F386" s="2" t="s">
        <v>1277</v>
      </c>
      <c r="G386" s="2" t="s">
        <v>389</v>
      </c>
      <c r="H386" s="2">
        <v>1.071542561</v>
      </c>
      <c r="K386" s="4">
        <v>40725</v>
      </c>
      <c r="L386">
        <v>4.5250000000000004</v>
      </c>
    </row>
    <row r="387" spans="1:12" x14ac:dyDescent="0.25">
      <c r="A387" s="2" t="s">
        <v>5</v>
      </c>
      <c r="B387" s="2" t="s">
        <v>390</v>
      </c>
      <c r="C387" s="2">
        <v>2.43734688080974</v>
      </c>
      <c r="D387" s="2">
        <f>VLOOKUP(OneWeekMtgRatesDataTable8[[#This Row],[AsOfDate]],G:H,2,0)+OneWeekMtgRatesDataTable8[[#This Row],[SeriesNumValue]]</f>
        <v>3.5088894418097398</v>
      </c>
      <c r="F387" s="2" t="s">
        <v>1277</v>
      </c>
      <c r="G387" s="2" t="s">
        <v>390</v>
      </c>
      <c r="H387" s="2">
        <v>1.071542561</v>
      </c>
      <c r="K387" s="4">
        <v>40729</v>
      </c>
      <c r="L387">
        <v>4.5250000000000004</v>
      </c>
    </row>
    <row r="388" spans="1:12" x14ac:dyDescent="0.25">
      <c r="A388" s="2" t="s">
        <v>5</v>
      </c>
      <c r="B388" s="2" t="s">
        <v>391</v>
      </c>
      <c r="C388" s="2">
        <v>2.4326197879338101</v>
      </c>
      <c r="D388" s="2">
        <f>VLOOKUP(OneWeekMtgRatesDataTable8[[#This Row],[AsOfDate]],G:H,2,0)+OneWeekMtgRatesDataTable8[[#This Row],[SeriesNumValue]]</f>
        <v>3.5041623489338098</v>
      </c>
      <c r="F388" s="2" t="s">
        <v>1277</v>
      </c>
      <c r="G388" s="2" t="s">
        <v>391</v>
      </c>
      <c r="H388" s="2">
        <v>1.071542561</v>
      </c>
      <c r="K388" s="4">
        <v>40730</v>
      </c>
      <c r="L388">
        <v>4.5250000000000004</v>
      </c>
    </row>
    <row r="389" spans="1:12" x14ac:dyDescent="0.25">
      <c r="A389" s="2" t="s">
        <v>5</v>
      </c>
      <c r="B389" s="2" t="s">
        <v>392</v>
      </c>
      <c r="C389" s="2">
        <v>2.5032104637526098</v>
      </c>
      <c r="D389" s="2">
        <f>VLOOKUP(OneWeekMtgRatesDataTable8[[#This Row],[AsOfDate]],G:H,2,0)+OneWeekMtgRatesDataTable8[[#This Row],[SeriesNumValue]]</f>
        <v>3.57475302475261</v>
      </c>
      <c r="F389" s="2" t="s">
        <v>1277</v>
      </c>
      <c r="G389" s="2" t="s">
        <v>392</v>
      </c>
      <c r="H389" s="2">
        <v>1.071542561</v>
      </c>
      <c r="K389" s="4">
        <v>40731</v>
      </c>
      <c r="L389">
        <v>4.4349999999999996</v>
      </c>
    </row>
    <row r="390" spans="1:12" x14ac:dyDescent="0.25">
      <c r="A390" s="2" t="s">
        <v>5</v>
      </c>
      <c r="B390" s="2" t="s">
        <v>393</v>
      </c>
      <c r="C390" s="2">
        <v>2.6381335660023502</v>
      </c>
      <c r="D390" s="2">
        <f>VLOOKUP(OneWeekMtgRatesDataTable8[[#This Row],[AsOfDate]],G:H,2,0)+OneWeekMtgRatesDataTable8[[#This Row],[SeriesNumValue]]</f>
        <v>3.6644372780023504</v>
      </c>
      <c r="F390" s="2" t="s">
        <v>1277</v>
      </c>
      <c r="G390" s="2" t="s">
        <v>393</v>
      </c>
      <c r="H390" s="2">
        <v>1.026303712</v>
      </c>
      <c r="K390" s="4">
        <v>40732</v>
      </c>
      <c r="L390">
        <v>4.4349999999999996</v>
      </c>
    </row>
    <row r="391" spans="1:12" x14ac:dyDescent="0.25">
      <c r="A391" s="2" t="s">
        <v>5</v>
      </c>
      <c r="B391" s="2" t="s">
        <v>394</v>
      </c>
      <c r="C391" s="2">
        <v>2.67019432510418</v>
      </c>
      <c r="D391" s="2">
        <f>VLOOKUP(OneWeekMtgRatesDataTable8[[#This Row],[AsOfDate]],G:H,2,0)+OneWeekMtgRatesDataTable8[[#This Row],[SeriesNumValue]]</f>
        <v>3.6964980371041802</v>
      </c>
      <c r="F391" s="2" t="s">
        <v>1277</v>
      </c>
      <c r="G391" s="2" t="s">
        <v>394</v>
      </c>
      <c r="H391" s="2">
        <v>1.026303712</v>
      </c>
      <c r="K391" s="4">
        <v>40735</v>
      </c>
      <c r="L391">
        <v>4.4349999999999996</v>
      </c>
    </row>
    <row r="392" spans="1:12" x14ac:dyDescent="0.25">
      <c r="A392" s="2" t="s">
        <v>5</v>
      </c>
      <c r="B392" s="2" t="s">
        <v>395</v>
      </c>
      <c r="C392" s="2">
        <v>2.6390371038052001</v>
      </c>
      <c r="D392" s="2">
        <f>VLOOKUP(OneWeekMtgRatesDataTable8[[#This Row],[AsOfDate]],G:H,2,0)+OneWeekMtgRatesDataTable8[[#This Row],[SeriesNumValue]]</f>
        <v>3.6653408158051999</v>
      </c>
      <c r="F392" s="2" t="s">
        <v>1277</v>
      </c>
      <c r="G392" s="2" t="s">
        <v>395</v>
      </c>
      <c r="H392" s="2">
        <v>1.026303712</v>
      </c>
      <c r="K392" s="4">
        <v>40736</v>
      </c>
      <c r="L392">
        <v>4.4349999999999996</v>
      </c>
    </row>
    <row r="393" spans="1:12" x14ac:dyDescent="0.25">
      <c r="A393" s="2" t="s">
        <v>5</v>
      </c>
      <c r="B393" s="2" t="s">
        <v>396</v>
      </c>
      <c r="C393" s="2">
        <v>2.6186769861639401</v>
      </c>
      <c r="D393" s="2">
        <f>VLOOKUP(OneWeekMtgRatesDataTable8[[#This Row],[AsOfDate]],G:H,2,0)+OneWeekMtgRatesDataTable8[[#This Row],[SeriesNumValue]]</f>
        <v>3.6449806981639403</v>
      </c>
      <c r="F393" s="2" t="s">
        <v>1277</v>
      </c>
      <c r="G393" s="2" t="s">
        <v>396</v>
      </c>
      <c r="H393" s="2">
        <v>1.026303712</v>
      </c>
      <c r="K393" s="4">
        <v>40737</v>
      </c>
      <c r="L393">
        <v>4.4349999999999996</v>
      </c>
    </row>
    <row r="394" spans="1:12" x14ac:dyDescent="0.25">
      <c r="A394" s="2" t="s">
        <v>5</v>
      </c>
      <c r="B394" s="2" t="s">
        <v>397</v>
      </c>
      <c r="C394" s="2">
        <v>2.6258914158610902</v>
      </c>
      <c r="D394" s="2">
        <f>VLOOKUP(OneWeekMtgRatesDataTable8[[#This Row],[AsOfDate]],G:H,2,0)+OneWeekMtgRatesDataTable8[[#This Row],[SeriesNumValue]]</f>
        <v>3.6521951278610905</v>
      </c>
      <c r="F394" s="2" t="s">
        <v>1277</v>
      </c>
      <c r="G394" s="2" t="s">
        <v>397</v>
      </c>
      <c r="H394" s="2">
        <v>1.026303712</v>
      </c>
      <c r="K394" s="4">
        <v>40738</v>
      </c>
      <c r="L394">
        <v>4.4450000000000003</v>
      </c>
    </row>
    <row r="395" spans="1:12" x14ac:dyDescent="0.25">
      <c r="A395" s="2" t="s">
        <v>5</v>
      </c>
      <c r="B395" s="2" t="s">
        <v>398</v>
      </c>
      <c r="C395" s="2">
        <v>2.5120707644049798</v>
      </c>
      <c r="D395" s="2">
        <f>VLOOKUP(OneWeekMtgRatesDataTable8[[#This Row],[AsOfDate]],G:H,2,0)+OneWeekMtgRatesDataTable8[[#This Row],[SeriesNumValue]]</f>
        <v>3.4838966454049798</v>
      </c>
      <c r="F395" s="2" t="s">
        <v>1277</v>
      </c>
      <c r="G395" s="2" t="s">
        <v>398</v>
      </c>
      <c r="H395" s="2">
        <v>0.971825881</v>
      </c>
      <c r="K395" s="4">
        <v>40739</v>
      </c>
      <c r="L395">
        <v>4.4450000000000003</v>
      </c>
    </row>
    <row r="396" spans="1:12" x14ac:dyDescent="0.25">
      <c r="A396" s="2" t="s">
        <v>5</v>
      </c>
      <c r="B396" s="2" t="s">
        <v>399</v>
      </c>
      <c r="C396" s="2">
        <v>2.4447051610431401</v>
      </c>
      <c r="D396" s="2">
        <f>VLOOKUP(OneWeekMtgRatesDataTable8[[#This Row],[AsOfDate]],G:H,2,0)+OneWeekMtgRatesDataTable8[[#This Row],[SeriesNumValue]]</f>
        <v>3.4165310420431401</v>
      </c>
      <c r="F396" s="2" t="s">
        <v>1277</v>
      </c>
      <c r="G396" s="2" t="s">
        <v>399</v>
      </c>
      <c r="H396" s="2">
        <v>0.971825881</v>
      </c>
      <c r="K396" s="4">
        <v>40742</v>
      </c>
      <c r="L396">
        <v>4.4450000000000003</v>
      </c>
    </row>
    <row r="397" spans="1:12" x14ac:dyDescent="0.25">
      <c r="A397" s="2" t="s">
        <v>5</v>
      </c>
      <c r="B397" s="2" t="s">
        <v>400</v>
      </c>
      <c r="C397" s="2">
        <v>2.4760934642707801</v>
      </c>
      <c r="D397" s="2">
        <f>VLOOKUP(OneWeekMtgRatesDataTable8[[#This Row],[AsOfDate]],G:H,2,0)+OneWeekMtgRatesDataTable8[[#This Row],[SeriesNumValue]]</f>
        <v>3.4479193452707801</v>
      </c>
      <c r="F397" s="2" t="s">
        <v>1277</v>
      </c>
      <c r="G397" s="2" t="s">
        <v>400</v>
      </c>
      <c r="H397" s="2">
        <v>0.971825881</v>
      </c>
      <c r="K397" s="4">
        <v>40743</v>
      </c>
      <c r="L397">
        <v>4.4450000000000003</v>
      </c>
    </row>
    <row r="398" spans="1:12" x14ac:dyDescent="0.25">
      <c r="A398" s="2" t="s">
        <v>5</v>
      </c>
      <c r="B398" s="2" t="s">
        <v>401</v>
      </c>
      <c r="C398" s="2">
        <v>2.4407526300903402</v>
      </c>
      <c r="D398" s="2">
        <f>VLOOKUP(OneWeekMtgRatesDataTable8[[#This Row],[AsOfDate]],G:H,2,0)+OneWeekMtgRatesDataTable8[[#This Row],[SeriesNumValue]]</f>
        <v>3.4125785110903402</v>
      </c>
      <c r="F398" s="2" t="s">
        <v>1277</v>
      </c>
      <c r="G398" s="2" t="s">
        <v>401</v>
      </c>
      <c r="H398" s="2">
        <v>0.971825881</v>
      </c>
      <c r="K398" s="4">
        <v>40744</v>
      </c>
      <c r="L398">
        <v>4.4450000000000003</v>
      </c>
    </row>
    <row r="399" spans="1:12" x14ac:dyDescent="0.25">
      <c r="A399" s="2" t="s">
        <v>5</v>
      </c>
      <c r="B399" s="2" t="s">
        <v>402</v>
      </c>
      <c r="C399" s="2">
        <v>2.4110384199427202</v>
      </c>
      <c r="D399" s="2">
        <f>VLOOKUP(OneWeekMtgRatesDataTable8[[#This Row],[AsOfDate]],G:H,2,0)+OneWeekMtgRatesDataTable8[[#This Row],[SeriesNumValue]]</f>
        <v>3.3828643009427202</v>
      </c>
      <c r="F399" s="2" t="s">
        <v>1277</v>
      </c>
      <c r="G399" s="2" t="s">
        <v>402</v>
      </c>
      <c r="H399" s="2">
        <v>0.971825881</v>
      </c>
      <c r="K399" s="4">
        <v>40745</v>
      </c>
      <c r="L399">
        <v>4.5</v>
      </c>
    </row>
    <row r="400" spans="1:12" x14ac:dyDescent="0.25">
      <c r="A400" s="2" t="s">
        <v>5</v>
      </c>
      <c r="B400" s="2" t="s">
        <v>403</v>
      </c>
      <c r="C400" s="2">
        <v>2.4687840450515499</v>
      </c>
      <c r="D400" s="2">
        <f>VLOOKUP(OneWeekMtgRatesDataTable8[[#This Row],[AsOfDate]],G:H,2,0)+OneWeekMtgRatesDataTable8[[#This Row],[SeriesNumValue]]</f>
        <v>3.5105093010515498</v>
      </c>
      <c r="F400" s="2" t="s">
        <v>1277</v>
      </c>
      <c r="G400" s="2" t="s">
        <v>403</v>
      </c>
      <c r="H400" s="2">
        <v>1.0417252560000001</v>
      </c>
      <c r="K400" s="4">
        <v>40746</v>
      </c>
      <c r="L400">
        <v>4.5</v>
      </c>
    </row>
    <row r="401" spans="1:12" x14ac:dyDescent="0.25">
      <c r="A401" s="2" t="s">
        <v>5</v>
      </c>
      <c r="B401" s="2" t="s">
        <v>404</v>
      </c>
      <c r="C401" s="2">
        <v>2.4337082726962702</v>
      </c>
      <c r="D401" s="2">
        <f>VLOOKUP(OneWeekMtgRatesDataTable8[[#This Row],[AsOfDate]],G:H,2,0)+OneWeekMtgRatesDataTable8[[#This Row],[SeriesNumValue]]</f>
        <v>3.4754335286962705</v>
      </c>
      <c r="F401" s="2" t="s">
        <v>1277</v>
      </c>
      <c r="G401" s="2" t="s">
        <v>404</v>
      </c>
      <c r="H401" s="2">
        <v>1.0417252560000001</v>
      </c>
      <c r="K401" s="4">
        <v>40749</v>
      </c>
      <c r="L401">
        <v>4.5</v>
      </c>
    </row>
    <row r="402" spans="1:12" x14ac:dyDescent="0.25">
      <c r="A402" s="2" t="s">
        <v>5</v>
      </c>
      <c r="B402" s="2" t="s">
        <v>405</v>
      </c>
      <c r="C402" s="2">
        <v>2.3689486742097801</v>
      </c>
      <c r="D402" s="2">
        <f>VLOOKUP(OneWeekMtgRatesDataTable8[[#This Row],[AsOfDate]],G:H,2,0)+OneWeekMtgRatesDataTable8[[#This Row],[SeriesNumValue]]</f>
        <v>3.4106739302097804</v>
      </c>
      <c r="F402" s="2" t="s">
        <v>1277</v>
      </c>
      <c r="G402" s="2" t="s">
        <v>405</v>
      </c>
      <c r="H402" s="2">
        <v>1.0417252560000001</v>
      </c>
      <c r="K402" s="4">
        <v>40750</v>
      </c>
      <c r="L402">
        <v>4.5</v>
      </c>
    </row>
    <row r="403" spans="1:12" x14ac:dyDescent="0.25">
      <c r="A403" s="2" t="s">
        <v>5</v>
      </c>
      <c r="B403" s="2" t="s">
        <v>406</v>
      </c>
      <c r="C403" s="2">
        <v>2.3841669341916099</v>
      </c>
      <c r="D403" s="2">
        <f>VLOOKUP(OneWeekMtgRatesDataTable8[[#This Row],[AsOfDate]],G:H,2,0)+OneWeekMtgRatesDataTable8[[#This Row],[SeriesNumValue]]</f>
        <v>3.4258921901916102</v>
      </c>
      <c r="F403" s="2" t="s">
        <v>1277</v>
      </c>
      <c r="G403" s="2" t="s">
        <v>406</v>
      </c>
      <c r="H403" s="2">
        <v>1.0417252560000001</v>
      </c>
      <c r="K403" s="4">
        <v>40751</v>
      </c>
      <c r="L403">
        <v>4.5</v>
      </c>
    </row>
    <row r="404" spans="1:12" x14ac:dyDescent="0.25">
      <c r="A404" s="2" t="s">
        <v>5</v>
      </c>
      <c r="B404" s="2" t="s">
        <v>407</v>
      </c>
      <c r="C404" s="2">
        <v>2.39527607095176</v>
      </c>
      <c r="D404" s="2">
        <f>VLOOKUP(OneWeekMtgRatesDataTable8[[#This Row],[AsOfDate]],G:H,2,0)+OneWeekMtgRatesDataTable8[[#This Row],[SeriesNumValue]]</f>
        <v>3.4747510829517601</v>
      </c>
      <c r="F404" s="2" t="s">
        <v>1277</v>
      </c>
      <c r="G404" s="2" t="s">
        <v>407</v>
      </c>
      <c r="H404" s="2">
        <v>1.0794750120000001</v>
      </c>
      <c r="K404" s="4">
        <v>40752</v>
      </c>
      <c r="L404">
        <v>4.34</v>
      </c>
    </row>
    <row r="405" spans="1:12" x14ac:dyDescent="0.25">
      <c r="A405" s="2" t="s">
        <v>5</v>
      </c>
      <c r="B405" s="2" t="s">
        <v>408</v>
      </c>
      <c r="C405" s="2">
        <v>2.4560721347491201</v>
      </c>
      <c r="D405" s="2">
        <f>VLOOKUP(OneWeekMtgRatesDataTable8[[#This Row],[AsOfDate]],G:H,2,0)+OneWeekMtgRatesDataTable8[[#This Row],[SeriesNumValue]]</f>
        <v>3.5355471467491202</v>
      </c>
      <c r="F405" s="2" t="s">
        <v>1277</v>
      </c>
      <c r="G405" s="2" t="s">
        <v>408</v>
      </c>
      <c r="H405" s="2">
        <v>1.0794750120000001</v>
      </c>
      <c r="K405" s="4">
        <v>40753</v>
      </c>
      <c r="L405">
        <v>4.34</v>
      </c>
    </row>
    <row r="406" spans="1:12" x14ac:dyDescent="0.25">
      <c r="A406" s="2" t="s">
        <v>5</v>
      </c>
      <c r="B406" s="2" t="s">
        <v>409</v>
      </c>
      <c r="C406" s="2">
        <v>2.3738371878590399</v>
      </c>
      <c r="D406" s="2">
        <f>VLOOKUP(OneWeekMtgRatesDataTable8[[#This Row],[AsOfDate]],G:H,2,0)+OneWeekMtgRatesDataTable8[[#This Row],[SeriesNumValue]]</f>
        <v>3.4533121998590399</v>
      </c>
      <c r="F406" s="2" t="s">
        <v>1277</v>
      </c>
      <c r="G406" s="2" t="s">
        <v>409</v>
      </c>
      <c r="H406" s="2">
        <v>1.0794750120000001</v>
      </c>
      <c r="K406" s="4">
        <v>40756</v>
      </c>
      <c r="L406">
        <v>4.34</v>
      </c>
    </row>
    <row r="407" spans="1:12" x14ac:dyDescent="0.25">
      <c r="A407" s="2" t="s">
        <v>5</v>
      </c>
      <c r="B407" s="2" t="s">
        <v>410</v>
      </c>
      <c r="C407" s="2">
        <v>2.3778465565534201</v>
      </c>
      <c r="D407" s="2">
        <f>VLOOKUP(OneWeekMtgRatesDataTable8[[#This Row],[AsOfDate]],G:H,2,0)+OneWeekMtgRatesDataTable8[[#This Row],[SeriesNumValue]]</f>
        <v>3.4573215685534202</v>
      </c>
      <c r="F407" s="2" t="s">
        <v>1277</v>
      </c>
      <c r="G407" s="2" t="s">
        <v>410</v>
      </c>
      <c r="H407" s="2">
        <v>1.0794750120000001</v>
      </c>
      <c r="K407" s="4">
        <v>40757</v>
      </c>
      <c r="L407">
        <v>4.34</v>
      </c>
    </row>
    <row r="408" spans="1:12" x14ac:dyDescent="0.25">
      <c r="A408" s="2" t="s">
        <v>5</v>
      </c>
      <c r="B408" s="2" t="s">
        <v>411</v>
      </c>
      <c r="C408" s="2">
        <v>2.3937114953982901</v>
      </c>
      <c r="D408" s="2">
        <f>VLOOKUP(OneWeekMtgRatesDataTable8[[#This Row],[AsOfDate]],G:H,2,0)+OneWeekMtgRatesDataTable8[[#This Row],[SeriesNumValue]]</f>
        <v>3.4731865073982902</v>
      </c>
      <c r="F408" s="2" t="s">
        <v>1277</v>
      </c>
      <c r="G408" s="2" t="s">
        <v>411</v>
      </c>
      <c r="H408" s="2">
        <v>1.0794750120000001</v>
      </c>
      <c r="K408" s="4">
        <v>40758</v>
      </c>
      <c r="L408">
        <v>4.34</v>
      </c>
    </row>
    <row r="409" spans="1:12" x14ac:dyDescent="0.25">
      <c r="A409" s="2" t="s">
        <v>5</v>
      </c>
      <c r="B409" s="2" t="s">
        <v>412</v>
      </c>
      <c r="C409" s="2">
        <v>2.4292166245487601</v>
      </c>
      <c r="D409" s="2">
        <f>VLOOKUP(OneWeekMtgRatesDataTable8[[#This Row],[AsOfDate]],G:H,2,0)+OneWeekMtgRatesDataTable8[[#This Row],[SeriesNumValue]]</f>
        <v>3.4730798245487602</v>
      </c>
      <c r="F409" s="2" t="s">
        <v>1277</v>
      </c>
      <c r="G409" s="2" t="s">
        <v>412</v>
      </c>
      <c r="H409" s="2">
        <v>1.0438632000000001</v>
      </c>
      <c r="K409" s="4">
        <v>40759</v>
      </c>
      <c r="L409">
        <v>4.2450000000000001</v>
      </c>
    </row>
    <row r="410" spans="1:12" x14ac:dyDescent="0.25">
      <c r="A410" s="2" t="s">
        <v>5</v>
      </c>
      <c r="B410" s="2" t="s">
        <v>413</v>
      </c>
      <c r="C410" s="2">
        <v>2.2060134697218898</v>
      </c>
      <c r="D410" s="2">
        <f>VLOOKUP(OneWeekMtgRatesDataTable8[[#This Row],[AsOfDate]],G:H,2,0)+OneWeekMtgRatesDataTable8[[#This Row],[SeriesNumValue]]</f>
        <v>3.2498766697218899</v>
      </c>
      <c r="F410" s="2" t="s">
        <v>1277</v>
      </c>
      <c r="G410" s="2" t="s">
        <v>413</v>
      </c>
      <c r="H410" s="2">
        <v>1.0438632000000001</v>
      </c>
      <c r="K410" s="4">
        <v>40760</v>
      </c>
      <c r="L410">
        <v>4.2450000000000001</v>
      </c>
    </row>
    <row r="411" spans="1:12" x14ac:dyDescent="0.25">
      <c r="A411" s="2" t="s">
        <v>5</v>
      </c>
      <c r="B411" s="2" t="s">
        <v>414</v>
      </c>
      <c r="C411" s="2">
        <v>2.2680491660278101</v>
      </c>
      <c r="D411" s="2">
        <f>VLOOKUP(OneWeekMtgRatesDataTable8[[#This Row],[AsOfDate]],G:H,2,0)+OneWeekMtgRatesDataTable8[[#This Row],[SeriesNumValue]]</f>
        <v>3.3119123660278103</v>
      </c>
      <c r="F411" s="2" t="s">
        <v>1277</v>
      </c>
      <c r="G411" s="2" t="s">
        <v>414</v>
      </c>
      <c r="H411" s="2">
        <v>1.0438632000000001</v>
      </c>
      <c r="K411" s="4">
        <v>40763</v>
      </c>
      <c r="L411">
        <v>4.2450000000000001</v>
      </c>
    </row>
    <row r="412" spans="1:12" x14ac:dyDescent="0.25">
      <c r="A412" s="2" t="s">
        <v>5</v>
      </c>
      <c r="B412" s="2" t="s">
        <v>415</v>
      </c>
      <c r="C412" s="2">
        <v>2.2811650726171102</v>
      </c>
      <c r="D412" s="2">
        <f>VLOOKUP(OneWeekMtgRatesDataTable8[[#This Row],[AsOfDate]],G:H,2,0)+OneWeekMtgRatesDataTable8[[#This Row],[SeriesNumValue]]</f>
        <v>3.3250282726171103</v>
      </c>
      <c r="F412" s="2" t="s">
        <v>1277</v>
      </c>
      <c r="G412" s="2" t="s">
        <v>415</v>
      </c>
      <c r="H412" s="2">
        <v>1.0438632000000001</v>
      </c>
      <c r="K412" s="4">
        <v>40764</v>
      </c>
      <c r="L412">
        <v>4.2450000000000001</v>
      </c>
    </row>
    <row r="413" spans="1:12" x14ac:dyDescent="0.25">
      <c r="A413" s="2" t="s">
        <v>5</v>
      </c>
      <c r="B413" s="2" t="s">
        <v>416</v>
      </c>
      <c r="C413" s="2">
        <v>2.2693986193058602</v>
      </c>
      <c r="D413" s="2">
        <f>VLOOKUP(OneWeekMtgRatesDataTable8[[#This Row],[AsOfDate]],G:H,2,0)+OneWeekMtgRatesDataTable8[[#This Row],[SeriesNumValue]]</f>
        <v>3.3132618193058603</v>
      </c>
      <c r="F413" s="2" t="s">
        <v>1277</v>
      </c>
      <c r="G413" s="2" t="s">
        <v>416</v>
      </c>
      <c r="H413" s="2">
        <v>1.0438632000000001</v>
      </c>
      <c r="K413" s="4">
        <v>40765</v>
      </c>
      <c r="L413">
        <v>4.2450000000000001</v>
      </c>
    </row>
    <row r="414" spans="1:12" x14ac:dyDescent="0.25">
      <c r="A414" s="2" t="s">
        <v>5</v>
      </c>
      <c r="B414" s="2" t="s">
        <v>417</v>
      </c>
      <c r="C414" s="2">
        <v>2.2108565855724298</v>
      </c>
      <c r="D414" s="2">
        <f>VLOOKUP(OneWeekMtgRatesDataTable8[[#This Row],[AsOfDate]],G:H,2,0)+OneWeekMtgRatesDataTable8[[#This Row],[SeriesNumValue]]</f>
        <v>3.3537600025724297</v>
      </c>
      <c r="F414" s="2" t="s">
        <v>1277</v>
      </c>
      <c r="G414" s="2" t="s">
        <v>417</v>
      </c>
      <c r="H414" s="2">
        <v>1.1429034170000001</v>
      </c>
      <c r="K414" s="4">
        <v>40766</v>
      </c>
      <c r="L414">
        <v>4.0750000000000002</v>
      </c>
    </row>
    <row r="415" spans="1:12" x14ac:dyDescent="0.25">
      <c r="A415" s="2" t="s">
        <v>5</v>
      </c>
      <c r="B415" s="2" t="s">
        <v>418</v>
      </c>
      <c r="C415" s="2">
        <v>2.1699341948075102</v>
      </c>
      <c r="D415" s="2">
        <f>VLOOKUP(OneWeekMtgRatesDataTable8[[#This Row],[AsOfDate]],G:H,2,0)+OneWeekMtgRatesDataTable8[[#This Row],[SeriesNumValue]]</f>
        <v>3.3128376118075105</v>
      </c>
      <c r="F415" s="2" t="s">
        <v>1277</v>
      </c>
      <c r="G415" s="2" t="s">
        <v>418</v>
      </c>
      <c r="H415" s="2">
        <v>1.1429034170000001</v>
      </c>
      <c r="K415" s="4">
        <v>40767</v>
      </c>
      <c r="L415">
        <v>4.0750000000000002</v>
      </c>
    </row>
    <row r="416" spans="1:12" x14ac:dyDescent="0.25">
      <c r="A416" s="2" t="s">
        <v>5</v>
      </c>
      <c r="B416" s="2" t="s">
        <v>419</v>
      </c>
      <c r="C416" s="2">
        <v>2.0967004826224001</v>
      </c>
      <c r="D416" s="2">
        <f>VLOOKUP(OneWeekMtgRatesDataTable8[[#This Row],[AsOfDate]],G:H,2,0)+OneWeekMtgRatesDataTable8[[#This Row],[SeriesNumValue]]</f>
        <v>3.2396038996224004</v>
      </c>
      <c r="F416" s="2" t="s">
        <v>1277</v>
      </c>
      <c r="G416" s="2" t="s">
        <v>419</v>
      </c>
      <c r="H416" s="2">
        <v>1.1429034170000001</v>
      </c>
      <c r="K416" s="4">
        <v>40770</v>
      </c>
      <c r="L416">
        <v>4.0750000000000002</v>
      </c>
    </row>
    <row r="417" spans="1:12" x14ac:dyDescent="0.25">
      <c r="A417" s="2" t="s">
        <v>5</v>
      </c>
      <c r="B417" s="2" t="s">
        <v>420</v>
      </c>
      <c r="C417" s="2">
        <v>2.0433470771670201</v>
      </c>
      <c r="D417" s="2">
        <f>VLOOKUP(OneWeekMtgRatesDataTable8[[#This Row],[AsOfDate]],G:H,2,0)+OneWeekMtgRatesDataTable8[[#This Row],[SeriesNumValue]]</f>
        <v>3.1862504941670204</v>
      </c>
      <c r="F417" s="2" t="s">
        <v>1277</v>
      </c>
      <c r="G417" s="2" t="s">
        <v>420</v>
      </c>
      <c r="H417" s="2">
        <v>1.1429034170000001</v>
      </c>
      <c r="K417" s="4">
        <v>40771</v>
      </c>
      <c r="L417">
        <v>4.0750000000000002</v>
      </c>
    </row>
    <row r="418" spans="1:12" x14ac:dyDescent="0.25">
      <c r="A418" s="2" t="s">
        <v>5</v>
      </c>
      <c r="B418" s="2" t="s">
        <v>421</v>
      </c>
      <c r="C418" s="2">
        <v>1.9795562323798399</v>
      </c>
      <c r="D418" s="2">
        <f>VLOOKUP(OneWeekMtgRatesDataTable8[[#This Row],[AsOfDate]],G:H,2,0)+OneWeekMtgRatesDataTable8[[#This Row],[SeriesNumValue]]</f>
        <v>3.1224596493798398</v>
      </c>
      <c r="F418" s="2" t="s">
        <v>1277</v>
      </c>
      <c r="G418" s="2" t="s">
        <v>421</v>
      </c>
      <c r="H418" s="2">
        <v>1.1429034170000001</v>
      </c>
      <c r="K418" s="4">
        <v>40772</v>
      </c>
      <c r="L418">
        <v>4.0750000000000002</v>
      </c>
    </row>
    <row r="419" spans="1:12" x14ac:dyDescent="0.25">
      <c r="A419" s="2" t="s">
        <v>5</v>
      </c>
      <c r="B419" s="2" t="s">
        <v>422</v>
      </c>
      <c r="C419" s="2">
        <v>1.9736635579989501</v>
      </c>
      <c r="D419" s="2">
        <f>VLOOKUP(OneWeekMtgRatesDataTable8[[#This Row],[AsOfDate]],G:H,2,0)+OneWeekMtgRatesDataTable8[[#This Row],[SeriesNumValue]]</f>
        <v>3.2210232489989501</v>
      </c>
      <c r="F419" s="2" t="s">
        <v>1277</v>
      </c>
      <c r="G419" s="2" t="s">
        <v>422</v>
      </c>
      <c r="H419" s="2">
        <v>1.247359691</v>
      </c>
      <c r="K419" s="4">
        <v>40773</v>
      </c>
      <c r="L419">
        <v>4.1449999999999996</v>
      </c>
    </row>
    <row r="420" spans="1:12" x14ac:dyDescent="0.25">
      <c r="A420" s="2" t="s">
        <v>5</v>
      </c>
      <c r="B420" s="2" t="s">
        <v>423</v>
      </c>
      <c r="C420" s="2">
        <v>2.0509749333657501</v>
      </c>
      <c r="D420" s="2">
        <f>VLOOKUP(OneWeekMtgRatesDataTable8[[#This Row],[AsOfDate]],G:H,2,0)+OneWeekMtgRatesDataTable8[[#This Row],[SeriesNumValue]]</f>
        <v>3.2983346243657499</v>
      </c>
      <c r="F420" s="2" t="s">
        <v>1277</v>
      </c>
      <c r="G420" s="2" t="s">
        <v>423</v>
      </c>
      <c r="H420" s="2">
        <v>1.247359691</v>
      </c>
      <c r="K420" s="4">
        <v>40774</v>
      </c>
      <c r="L420">
        <v>4.1449999999999996</v>
      </c>
    </row>
    <row r="421" spans="1:12" x14ac:dyDescent="0.25">
      <c r="A421" s="2" t="s">
        <v>5</v>
      </c>
      <c r="B421" s="2" t="s">
        <v>424</v>
      </c>
      <c r="C421" s="2">
        <v>2.0399140401394802</v>
      </c>
      <c r="D421" s="2">
        <f>VLOOKUP(OneWeekMtgRatesDataTable8[[#This Row],[AsOfDate]],G:H,2,0)+OneWeekMtgRatesDataTable8[[#This Row],[SeriesNumValue]]</f>
        <v>3.2872737311394804</v>
      </c>
      <c r="F421" s="2" t="s">
        <v>1277</v>
      </c>
      <c r="G421" s="2" t="s">
        <v>424</v>
      </c>
      <c r="H421" s="2">
        <v>1.247359691</v>
      </c>
      <c r="K421" s="4">
        <v>40777</v>
      </c>
      <c r="L421">
        <v>4.1449999999999996</v>
      </c>
    </row>
    <row r="422" spans="1:12" x14ac:dyDescent="0.25">
      <c r="A422" s="2" t="s">
        <v>5</v>
      </c>
      <c r="B422" s="2" t="s">
        <v>425</v>
      </c>
      <c r="C422" s="2">
        <v>1.9791061697796299</v>
      </c>
      <c r="D422" s="2">
        <f>VLOOKUP(OneWeekMtgRatesDataTable8[[#This Row],[AsOfDate]],G:H,2,0)+OneWeekMtgRatesDataTable8[[#This Row],[SeriesNumValue]]</f>
        <v>3.2264658607796299</v>
      </c>
      <c r="F422" s="2" t="s">
        <v>1277</v>
      </c>
      <c r="G422" s="2" t="s">
        <v>425</v>
      </c>
      <c r="H422" s="2">
        <v>1.247359691</v>
      </c>
      <c r="K422" s="4">
        <v>40778</v>
      </c>
      <c r="L422">
        <v>4.1449999999999996</v>
      </c>
    </row>
    <row r="423" spans="1:12" x14ac:dyDescent="0.25">
      <c r="A423" s="2" t="s">
        <v>5</v>
      </c>
      <c r="B423" s="2" t="s">
        <v>426</v>
      </c>
      <c r="C423" s="2">
        <v>1.89926870046304</v>
      </c>
      <c r="D423" s="2">
        <f>VLOOKUP(OneWeekMtgRatesDataTable8[[#This Row],[AsOfDate]],G:H,2,0)+OneWeekMtgRatesDataTable8[[#This Row],[SeriesNumValue]]</f>
        <v>3.14662839146304</v>
      </c>
      <c r="F423" s="2" t="s">
        <v>1277</v>
      </c>
      <c r="G423" s="2" t="s">
        <v>426</v>
      </c>
      <c r="H423" s="2">
        <v>1.247359691</v>
      </c>
      <c r="K423" s="4">
        <v>40779</v>
      </c>
      <c r="L423">
        <v>4.1449999999999996</v>
      </c>
    </row>
    <row r="424" spans="1:12" x14ac:dyDescent="0.25">
      <c r="A424" s="2" t="s">
        <v>5</v>
      </c>
      <c r="B424" s="2" t="s">
        <v>427</v>
      </c>
      <c r="C424" s="2">
        <v>1.9744446236261499</v>
      </c>
      <c r="D424" s="2">
        <f>VLOOKUP(OneWeekMtgRatesDataTable8[[#This Row],[AsOfDate]],G:H,2,0)+OneWeekMtgRatesDataTable8[[#This Row],[SeriesNumValue]]</f>
        <v>3.24570293062615</v>
      </c>
      <c r="F424" s="2" t="s">
        <v>1277</v>
      </c>
      <c r="G424" s="2" t="s">
        <v>427</v>
      </c>
      <c r="H424" s="2">
        <v>1.2712583070000001</v>
      </c>
      <c r="K424" s="4">
        <v>40780</v>
      </c>
      <c r="L424">
        <v>4.1449999999999996</v>
      </c>
    </row>
    <row r="425" spans="1:12" x14ac:dyDescent="0.25">
      <c r="A425" s="2" t="s">
        <v>5</v>
      </c>
      <c r="B425" s="2" t="s">
        <v>428</v>
      </c>
      <c r="C425" s="2">
        <v>2.0658821659188802</v>
      </c>
      <c r="D425" s="2">
        <f>VLOOKUP(OneWeekMtgRatesDataTable8[[#This Row],[AsOfDate]],G:H,2,0)+OneWeekMtgRatesDataTable8[[#This Row],[SeriesNumValue]]</f>
        <v>3.3371404729188803</v>
      </c>
      <c r="F425" s="2" t="s">
        <v>1277</v>
      </c>
      <c r="G425" s="2" t="s">
        <v>428</v>
      </c>
      <c r="H425" s="2">
        <v>1.2712583070000001</v>
      </c>
      <c r="K425" s="4">
        <v>40781</v>
      </c>
      <c r="L425">
        <v>4.1449999999999996</v>
      </c>
    </row>
    <row r="426" spans="1:12" x14ac:dyDescent="0.25">
      <c r="A426" s="2" t="s">
        <v>5</v>
      </c>
      <c r="B426" s="2" t="s">
        <v>429</v>
      </c>
      <c r="C426" s="2">
        <v>2.0999165140206202</v>
      </c>
      <c r="D426" s="2">
        <f>VLOOKUP(OneWeekMtgRatesDataTable8[[#This Row],[AsOfDate]],G:H,2,0)+OneWeekMtgRatesDataTable8[[#This Row],[SeriesNumValue]]</f>
        <v>3.3711748210206203</v>
      </c>
      <c r="F426" s="2" t="s">
        <v>1277</v>
      </c>
      <c r="G426" s="2" t="s">
        <v>429</v>
      </c>
      <c r="H426" s="2">
        <v>1.2712583070000001</v>
      </c>
      <c r="K426" s="4">
        <v>40784</v>
      </c>
      <c r="L426">
        <v>4.1449999999999996</v>
      </c>
    </row>
    <row r="427" spans="1:12" x14ac:dyDescent="0.25">
      <c r="A427" s="2" t="s">
        <v>5</v>
      </c>
      <c r="B427" s="2" t="s">
        <v>430</v>
      </c>
      <c r="C427" s="2">
        <v>2.1121992044017102</v>
      </c>
      <c r="D427" s="2">
        <f>VLOOKUP(OneWeekMtgRatesDataTable8[[#This Row],[AsOfDate]],G:H,2,0)+OneWeekMtgRatesDataTable8[[#This Row],[SeriesNumValue]]</f>
        <v>3.3834575114017102</v>
      </c>
      <c r="F427" s="2" t="s">
        <v>1277</v>
      </c>
      <c r="G427" s="2" t="s">
        <v>430</v>
      </c>
      <c r="H427" s="2">
        <v>1.2712583070000001</v>
      </c>
      <c r="K427" s="4">
        <v>40785</v>
      </c>
      <c r="L427">
        <v>4.1449999999999996</v>
      </c>
    </row>
    <row r="428" spans="1:12" x14ac:dyDescent="0.25">
      <c r="A428" s="2" t="s">
        <v>5</v>
      </c>
      <c r="B428" s="2" t="s">
        <v>431</v>
      </c>
      <c r="C428" s="2">
        <v>2.0566984028863402</v>
      </c>
      <c r="D428" s="2">
        <f>VLOOKUP(OneWeekMtgRatesDataTable8[[#This Row],[AsOfDate]],G:H,2,0)+OneWeekMtgRatesDataTable8[[#This Row],[SeriesNumValue]]</f>
        <v>3.2880243308863402</v>
      </c>
      <c r="F428" s="2" t="s">
        <v>1277</v>
      </c>
      <c r="G428" s="2" t="s">
        <v>431</v>
      </c>
      <c r="H428" s="2">
        <v>1.231325928</v>
      </c>
      <c r="K428" s="4">
        <v>40786</v>
      </c>
      <c r="L428">
        <v>4.1449999999999996</v>
      </c>
    </row>
    <row r="429" spans="1:12" x14ac:dyDescent="0.25">
      <c r="A429" s="2" t="s">
        <v>5</v>
      </c>
      <c r="B429" s="2" t="s">
        <v>432</v>
      </c>
      <c r="C429" s="2">
        <v>2.0188150642087299</v>
      </c>
      <c r="D429" s="2">
        <f>VLOOKUP(OneWeekMtgRatesDataTable8[[#This Row],[AsOfDate]],G:H,2,0)+OneWeekMtgRatesDataTable8[[#This Row],[SeriesNumValue]]</f>
        <v>3.2501409922087299</v>
      </c>
      <c r="F429" s="2" t="s">
        <v>1277</v>
      </c>
      <c r="G429" s="2" t="s">
        <v>432</v>
      </c>
      <c r="H429" s="2">
        <v>1.231325928</v>
      </c>
      <c r="K429" s="4">
        <v>40787</v>
      </c>
      <c r="L429">
        <v>4.0449999999999999</v>
      </c>
    </row>
    <row r="430" spans="1:12" x14ac:dyDescent="0.25">
      <c r="A430" s="2" t="s">
        <v>5</v>
      </c>
      <c r="B430" s="2" t="s">
        <v>433</v>
      </c>
      <c r="C430" s="2">
        <v>2.0148705784973</v>
      </c>
      <c r="D430" s="2">
        <f>VLOOKUP(OneWeekMtgRatesDataTable8[[#This Row],[AsOfDate]],G:H,2,0)+OneWeekMtgRatesDataTable8[[#This Row],[SeriesNumValue]]</f>
        <v>3.2461965064973</v>
      </c>
      <c r="F430" s="2" t="s">
        <v>1277</v>
      </c>
      <c r="G430" s="2" t="s">
        <v>433</v>
      </c>
      <c r="H430" s="2">
        <v>1.231325928</v>
      </c>
      <c r="K430" s="4">
        <v>40788</v>
      </c>
      <c r="L430">
        <v>4.0449999999999999</v>
      </c>
    </row>
    <row r="431" spans="1:12" x14ac:dyDescent="0.25">
      <c r="A431" s="2" t="s">
        <v>5</v>
      </c>
      <c r="B431" s="2" t="s">
        <v>434</v>
      </c>
      <c r="C431" s="2">
        <v>2.0433983497425001</v>
      </c>
      <c r="D431" s="2">
        <f>VLOOKUP(OneWeekMtgRatesDataTable8[[#This Row],[AsOfDate]],G:H,2,0)+OneWeekMtgRatesDataTable8[[#This Row],[SeriesNumValue]]</f>
        <v>3.2747242777425001</v>
      </c>
      <c r="F431" s="2" t="s">
        <v>1277</v>
      </c>
      <c r="G431" s="2" t="s">
        <v>434</v>
      </c>
      <c r="H431" s="2">
        <v>1.231325928</v>
      </c>
      <c r="K431" s="4">
        <v>40792</v>
      </c>
      <c r="L431">
        <v>4.0449999999999999</v>
      </c>
    </row>
    <row r="432" spans="1:12" x14ac:dyDescent="0.25">
      <c r="A432" s="2" t="s">
        <v>5</v>
      </c>
      <c r="B432" s="2" t="s">
        <v>435</v>
      </c>
      <c r="C432" s="2">
        <v>2.0903131154582399</v>
      </c>
      <c r="D432" s="2">
        <f>VLOOKUP(OneWeekMtgRatesDataTable8[[#This Row],[AsOfDate]],G:H,2,0)+OneWeekMtgRatesDataTable8[[#This Row],[SeriesNumValue]]</f>
        <v>3.3216390434582399</v>
      </c>
      <c r="F432" s="2" t="s">
        <v>1277</v>
      </c>
      <c r="G432" s="2" t="s">
        <v>435</v>
      </c>
      <c r="H432" s="2">
        <v>1.231325928</v>
      </c>
      <c r="K432" s="4">
        <v>40793</v>
      </c>
      <c r="L432">
        <v>4.0449999999999999</v>
      </c>
    </row>
    <row r="433" spans="1:12" x14ac:dyDescent="0.25">
      <c r="A433" s="2" t="s">
        <v>5</v>
      </c>
      <c r="B433" s="2" t="s">
        <v>436</v>
      </c>
      <c r="C433" s="2">
        <v>2.1999397264302898</v>
      </c>
      <c r="D433" s="2">
        <f>VLOOKUP(OneWeekMtgRatesDataTable8[[#This Row],[AsOfDate]],G:H,2,0)+OneWeekMtgRatesDataTable8[[#This Row],[SeriesNumValue]]</f>
        <v>3.4214723594302896</v>
      </c>
      <c r="F433" s="2" t="s">
        <v>1277</v>
      </c>
      <c r="G433" s="2" t="s">
        <v>436</v>
      </c>
      <c r="H433" s="2">
        <v>1.221532633</v>
      </c>
      <c r="K433" s="4">
        <v>40794</v>
      </c>
      <c r="L433">
        <v>4.0149999999999997</v>
      </c>
    </row>
    <row r="434" spans="1:12" x14ac:dyDescent="0.25">
      <c r="A434" s="2" t="s">
        <v>5</v>
      </c>
      <c r="B434" s="2" t="s">
        <v>437</v>
      </c>
      <c r="C434" s="2">
        <v>2.23804060063864</v>
      </c>
      <c r="D434" s="2">
        <f>VLOOKUP(OneWeekMtgRatesDataTable8[[#This Row],[AsOfDate]],G:H,2,0)+OneWeekMtgRatesDataTable8[[#This Row],[SeriesNumValue]]</f>
        <v>3.4595732336386398</v>
      </c>
      <c r="F434" s="2" t="s">
        <v>1277</v>
      </c>
      <c r="G434" s="2" t="s">
        <v>437</v>
      </c>
      <c r="H434" s="2">
        <v>1.221532633</v>
      </c>
      <c r="K434" s="4">
        <v>40795</v>
      </c>
      <c r="L434">
        <v>4.0149999999999997</v>
      </c>
    </row>
    <row r="435" spans="1:12" x14ac:dyDescent="0.25">
      <c r="A435" s="2" t="s">
        <v>5</v>
      </c>
      <c r="B435" s="2" t="s">
        <v>438</v>
      </c>
      <c r="C435" s="2">
        <v>2.17149064090427</v>
      </c>
      <c r="D435" s="2">
        <f>VLOOKUP(OneWeekMtgRatesDataTable8[[#This Row],[AsOfDate]],G:H,2,0)+OneWeekMtgRatesDataTable8[[#This Row],[SeriesNumValue]]</f>
        <v>3.3930232739042703</v>
      </c>
      <c r="F435" s="2" t="s">
        <v>1277</v>
      </c>
      <c r="G435" s="2" t="s">
        <v>438</v>
      </c>
      <c r="H435" s="2">
        <v>1.221532633</v>
      </c>
      <c r="K435" s="4">
        <v>40798</v>
      </c>
      <c r="L435">
        <v>4.0149999999999997</v>
      </c>
    </row>
    <row r="436" spans="1:12" x14ac:dyDescent="0.25">
      <c r="A436" s="2" t="s">
        <v>5</v>
      </c>
      <c r="B436" s="2" t="s">
        <v>439</v>
      </c>
      <c r="C436" s="2">
        <v>2.2048003727510999</v>
      </c>
      <c r="D436" s="2">
        <f>VLOOKUP(OneWeekMtgRatesDataTable8[[#This Row],[AsOfDate]],G:H,2,0)+OneWeekMtgRatesDataTable8[[#This Row],[SeriesNumValue]]</f>
        <v>3.4263330057510997</v>
      </c>
      <c r="F436" s="2" t="s">
        <v>1277</v>
      </c>
      <c r="G436" s="2" t="s">
        <v>439</v>
      </c>
      <c r="H436" s="2">
        <v>1.221532633</v>
      </c>
      <c r="K436" s="4">
        <v>40799</v>
      </c>
      <c r="L436">
        <v>4.0149999999999997</v>
      </c>
    </row>
    <row r="437" spans="1:12" x14ac:dyDescent="0.25">
      <c r="A437" s="2" t="s">
        <v>5</v>
      </c>
      <c r="B437" s="2" t="s">
        <v>440</v>
      </c>
      <c r="C437" s="2">
        <v>2.1883122196514102</v>
      </c>
      <c r="D437" s="2">
        <f>VLOOKUP(OneWeekMtgRatesDataTable8[[#This Row],[AsOfDate]],G:H,2,0)+OneWeekMtgRatesDataTable8[[#This Row],[SeriesNumValue]]</f>
        <v>3.4098448526514105</v>
      </c>
      <c r="F437" s="2" t="s">
        <v>1277</v>
      </c>
      <c r="G437" s="2" t="s">
        <v>440</v>
      </c>
      <c r="H437" s="2">
        <v>1.221532633</v>
      </c>
      <c r="K437" s="4">
        <v>40800</v>
      </c>
      <c r="L437">
        <v>4.0149999999999997</v>
      </c>
    </row>
    <row r="438" spans="1:12" x14ac:dyDescent="0.25">
      <c r="A438" s="2" t="s">
        <v>5</v>
      </c>
      <c r="B438" s="2" t="s">
        <v>441</v>
      </c>
      <c r="C438" s="2">
        <v>2.2250151290701798</v>
      </c>
      <c r="D438" s="2">
        <f>VLOOKUP(OneWeekMtgRatesDataTable8[[#This Row],[AsOfDate]],G:H,2,0)+OneWeekMtgRatesDataTable8[[#This Row],[SeriesNumValue]]</f>
        <v>3.3544833360701798</v>
      </c>
      <c r="F438" s="2" t="s">
        <v>1277</v>
      </c>
      <c r="G438" s="2" t="s">
        <v>441</v>
      </c>
      <c r="H438" s="2">
        <v>1.1294682069999999</v>
      </c>
      <c r="K438" s="4">
        <v>40801</v>
      </c>
      <c r="L438">
        <v>4.0149999999999997</v>
      </c>
    </row>
    <row r="439" spans="1:12" x14ac:dyDescent="0.25">
      <c r="A439" s="2" t="s">
        <v>5</v>
      </c>
      <c r="B439" s="2" t="s">
        <v>442</v>
      </c>
      <c r="C439" s="2">
        <v>2.2775343256732099</v>
      </c>
      <c r="D439" s="2">
        <f>VLOOKUP(OneWeekMtgRatesDataTable8[[#This Row],[AsOfDate]],G:H,2,0)+OneWeekMtgRatesDataTable8[[#This Row],[SeriesNumValue]]</f>
        <v>3.4070025326732098</v>
      </c>
      <c r="F439" s="2" t="s">
        <v>1277</v>
      </c>
      <c r="G439" s="2" t="s">
        <v>442</v>
      </c>
      <c r="H439" s="2">
        <v>1.1294682069999999</v>
      </c>
      <c r="K439" s="4">
        <v>40802</v>
      </c>
      <c r="L439">
        <v>4.0149999999999997</v>
      </c>
    </row>
    <row r="440" spans="1:12" x14ac:dyDescent="0.25">
      <c r="A440" s="2" t="s">
        <v>5</v>
      </c>
      <c r="B440" s="2" t="s">
        <v>443</v>
      </c>
      <c r="C440" s="2">
        <v>2.2062412812927401</v>
      </c>
      <c r="D440" s="2">
        <f>VLOOKUP(OneWeekMtgRatesDataTable8[[#This Row],[AsOfDate]],G:H,2,0)+OneWeekMtgRatesDataTable8[[#This Row],[SeriesNumValue]]</f>
        <v>3.3357094882927401</v>
      </c>
      <c r="F440" s="2" t="s">
        <v>1277</v>
      </c>
      <c r="G440" s="2" t="s">
        <v>443</v>
      </c>
      <c r="H440" s="2">
        <v>1.1294682069999999</v>
      </c>
      <c r="K440" s="4">
        <v>40805</v>
      </c>
      <c r="L440">
        <v>4.0149999999999997</v>
      </c>
    </row>
    <row r="441" spans="1:12" x14ac:dyDescent="0.25">
      <c r="A441" s="2" t="s">
        <v>5</v>
      </c>
      <c r="B441" s="2" t="s">
        <v>444</v>
      </c>
      <c r="C441" s="2">
        <v>2.1758632003490601</v>
      </c>
      <c r="D441" s="2">
        <f>VLOOKUP(OneWeekMtgRatesDataTable8[[#This Row],[AsOfDate]],G:H,2,0)+OneWeekMtgRatesDataTable8[[#This Row],[SeriesNumValue]]</f>
        <v>3.3053314073490601</v>
      </c>
      <c r="F441" s="2" t="s">
        <v>1277</v>
      </c>
      <c r="G441" s="2" t="s">
        <v>444</v>
      </c>
      <c r="H441" s="2">
        <v>1.1294682069999999</v>
      </c>
      <c r="K441" s="4">
        <v>40806</v>
      </c>
      <c r="L441">
        <v>4.0149999999999997</v>
      </c>
    </row>
    <row r="442" spans="1:12" x14ac:dyDescent="0.25">
      <c r="A442" s="2" t="s">
        <v>5</v>
      </c>
      <c r="B442" s="2" t="s">
        <v>445</v>
      </c>
      <c r="C442" s="2">
        <v>2.1423497452898399</v>
      </c>
      <c r="D442" s="2">
        <f>VLOOKUP(OneWeekMtgRatesDataTable8[[#This Row],[AsOfDate]],G:H,2,0)+OneWeekMtgRatesDataTable8[[#This Row],[SeriesNumValue]]</f>
        <v>3.2568526072898401</v>
      </c>
      <c r="F442" s="2" t="s">
        <v>1277</v>
      </c>
      <c r="G442" s="2" t="s">
        <v>445</v>
      </c>
      <c r="H442" s="2">
        <v>1.1145028619999999</v>
      </c>
      <c r="K442" s="4">
        <v>40807</v>
      </c>
      <c r="L442">
        <v>4.0149999999999997</v>
      </c>
    </row>
    <row r="443" spans="1:12" x14ac:dyDescent="0.25">
      <c r="A443" s="2" t="s">
        <v>5</v>
      </c>
      <c r="B443" s="2" t="s">
        <v>446</v>
      </c>
      <c r="C443" s="2">
        <v>2.2324289694544102</v>
      </c>
      <c r="D443" s="2">
        <f>VLOOKUP(OneWeekMtgRatesDataTable8[[#This Row],[AsOfDate]],G:H,2,0)+OneWeekMtgRatesDataTable8[[#This Row],[SeriesNumValue]]</f>
        <v>3.3469318314544099</v>
      </c>
      <c r="F443" s="2" t="s">
        <v>1277</v>
      </c>
      <c r="G443" s="2" t="s">
        <v>446</v>
      </c>
      <c r="H443" s="2">
        <v>1.1145028619999999</v>
      </c>
      <c r="K443" s="4">
        <v>40808</v>
      </c>
      <c r="L443">
        <v>3.9350000000000001</v>
      </c>
    </row>
    <row r="444" spans="1:12" x14ac:dyDescent="0.25">
      <c r="A444" s="2" t="s">
        <v>5</v>
      </c>
      <c r="B444" s="2" t="s">
        <v>447</v>
      </c>
      <c r="C444" s="2">
        <v>2.1949310629738199</v>
      </c>
      <c r="D444" s="2">
        <f>VLOOKUP(OneWeekMtgRatesDataTable8[[#This Row],[AsOfDate]],G:H,2,0)+OneWeekMtgRatesDataTable8[[#This Row],[SeriesNumValue]]</f>
        <v>3.3094339249738196</v>
      </c>
      <c r="F444" s="2" t="s">
        <v>1277</v>
      </c>
      <c r="G444" s="2" t="s">
        <v>447</v>
      </c>
      <c r="H444" s="2">
        <v>1.1145028619999999</v>
      </c>
      <c r="K444" s="4">
        <v>40809</v>
      </c>
      <c r="L444">
        <v>3.9350000000000001</v>
      </c>
    </row>
    <row r="445" spans="1:12" x14ac:dyDescent="0.25">
      <c r="A445" s="2" t="s">
        <v>5</v>
      </c>
      <c r="B445" s="2" t="s">
        <v>448</v>
      </c>
      <c r="C445" s="2">
        <v>2.1479421519661601</v>
      </c>
      <c r="D445" s="2">
        <f>VLOOKUP(OneWeekMtgRatesDataTable8[[#This Row],[AsOfDate]],G:H,2,0)+OneWeekMtgRatesDataTable8[[#This Row],[SeriesNumValue]]</f>
        <v>3.2624450139661603</v>
      </c>
      <c r="F445" s="2" t="s">
        <v>1277</v>
      </c>
      <c r="G445" s="2" t="s">
        <v>448</v>
      </c>
      <c r="H445" s="2">
        <v>1.1145028619999999</v>
      </c>
      <c r="K445" s="4">
        <v>40812</v>
      </c>
      <c r="L445">
        <v>3.9350000000000001</v>
      </c>
    </row>
    <row r="446" spans="1:12" x14ac:dyDescent="0.25">
      <c r="A446" s="2" t="s">
        <v>5</v>
      </c>
      <c r="B446" s="2" t="s">
        <v>449</v>
      </c>
      <c r="C446" s="2">
        <v>2.2488911274377399</v>
      </c>
      <c r="D446" s="2">
        <f>VLOOKUP(OneWeekMtgRatesDataTable8[[#This Row],[AsOfDate]],G:H,2,0)+OneWeekMtgRatesDataTable8[[#This Row],[SeriesNumValue]]</f>
        <v>3.36339398943774</v>
      </c>
      <c r="F446" s="2" t="s">
        <v>1277</v>
      </c>
      <c r="G446" s="2" t="s">
        <v>449</v>
      </c>
      <c r="H446" s="2">
        <v>1.1145028619999999</v>
      </c>
      <c r="K446" s="4">
        <v>40813</v>
      </c>
      <c r="L446">
        <v>3.9350000000000001</v>
      </c>
    </row>
    <row r="447" spans="1:12" x14ac:dyDescent="0.25">
      <c r="A447" s="2" t="s">
        <v>5</v>
      </c>
      <c r="B447" s="2" t="s">
        <v>450</v>
      </c>
      <c r="C447" s="2">
        <v>2.0919724577728598</v>
      </c>
      <c r="D447" s="2">
        <f>VLOOKUP(OneWeekMtgRatesDataTable8[[#This Row],[AsOfDate]],G:H,2,0)+OneWeekMtgRatesDataTable8[[#This Row],[SeriesNumValue]]</f>
        <v>3.2337393037728597</v>
      </c>
      <c r="F447" s="2" t="s">
        <v>1277</v>
      </c>
      <c r="G447" s="2" t="s">
        <v>450</v>
      </c>
      <c r="H447" s="2">
        <v>1.1417668459999999</v>
      </c>
      <c r="K447" s="4">
        <v>40814</v>
      </c>
      <c r="L447">
        <v>3.9350000000000001</v>
      </c>
    </row>
    <row r="448" spans="1:12" x14ac:dyDescent="0.25">
      <c r="A448" s="2" t="s">
        <v>5</v>
      </c>
      <c r="B448" s="2" t="s">
        <v>451</v>
      </c>
      <c r="C448" s="2">
        <v>2.04956432037537</v>
      </c>
      <c r="D448" s="2">
        <f>VLOOKUP(OneWeekMtgRatesDataTable8[[#This Row],[AsOfDate]],G:H,2,0)+OneWeekMtgRatesDataTable8[[#This Row],[SeriesNumValue]]</f>
        <v>3.1913311663753698</v>
      </c>
      <c r="F448" s="2" t="s">
        <v>1277</v>
      </c>
      <c r="G448" s="2" t="s">
        <v>451</v>
      </c>
      <c r="H448" s="2">
        <v>1.1417668459999999</v>
      </c>
      <c r="K448" s="4">
        <v>40815</v>
      </c>
      <c r="L448">
        <v>3.89</v>
      </c>
    </row>
    <row r="449" spans="1:12" x14ac:dyDescent="0.25">
      <c r="A449" s="2" t="s">
        <v>5</v>
      </c>
      <c r="B449" s="2" t="s">
        <v>452</v>
      </c>
      <c r="C449" s="2">
        <v>2.0595956654124499</v>
      </c>
      <c r="D449" s="2">
        <f>VLOOKUP(OneWeekMtgRatesDataTable8[[#This Row],[AsOfDate]],G:H,2,0)+OneWeekMtgRatesDataTable8[[#This Row],[SeriesNumValue]]</f>
        <v>3.2013625114124498</v>
      </c>
      <c r="F449" s="2" t="s">
        <v>1277</v>
      </c>
      <c r="G449" s="2" t="s">
        <v>452</v>
      </c>
      <c r="H449" s="2">
        <v>1.1417668459999999</v>
      </c>
      <c r="K449" s="4">
        <v>40816</v>
      </c>
      <c r="L449">
        <v>3.89</v>
      </c>
    </row>
    <row r="450" spans="1:12" x14ac:dyDescent="0.25">
      <c r="A450" s="2" t="s">
        <v>5</v>
      </c>
      <c r="B450" s="2" t="s">
        <v>453</v>
      </c>
      <c r="C450" s="2">
        <v>2.0829778986268401</v>
      </c>
      <c r="D450" s="2">
        <f>VLOOKUP(OneWeekMtgRatesDataTable8[[#This Row],[AsOfDate]],G:H,2,0)+OneWeekMtgRatesDataTable8[[#This Row],[SeriesNumValue]]</f>
        <v>3.22474474462684</v>
      </c>
      <c r="F450" s="2" t="s">
        <v>1277</v>
      </c>
      <c r="G450" s="2" t="s">
        <v>453</v>
      </c>
      <c r="H450" s="2">
        <v>1.1417668459999999</v>
      </c>
      <c r="K450" s="4">
        <v>40819</v>
      </c>
      <c r="L450">
        <v>3.89</v>
      </c>
    </row>
    <row r="451" spans="1:12" x14ac:dyDescent="0.25">
      <c r="A451" s="2" t="s">
        <v>5</v>
      </c>
      <c r="B451" s="2" t="s">
        <v>454</v>
      </c>
      <c r="C451" s="2">
        <v>2.1343540804519301</v>
      </c>
      <c r="D451" s="2">
        <f>VLOOKUP(OneWeekMtgRatesDataTable8[[#This Row],[AsOfDate]],G:H,2,0)+OneWeekMtgRatesDataTable8[[#This Row],[SeriesNumValue]]</f>
        <v>3.3177310894519301</v>
      </c>
      <c r="F451" s="2" t="s">
        <v>1277</v>
      </c>
      <c r="G451" s="2" t="s">
        <v>454</v>
      </c>
      <c r="H451" s="2">
        <v>1.183377009</v>
      </c>
      <c r="K451" s="4">
        <v>40820</v>
      </c>
      <c r="L451">
        <v>3.89</v>
      </c>
    </row>
    <row r="452" spans="1:12" x14ac:dyDescent="0.25">
      <c r="A452" s="2" t="s">
        <v>5</v>
      </c>
      <c r="B452" s="2" t="s">
        <v>455</v>
      </c>
      <c r="C452" s="2">
        <v>2.0923386430292501</v>
      </c>
      <c r="D452" s="2">
        <f>VLOOKUP(OneWeekMtgRatesDataTable8[[#This Row],[AsOfDate]],G:H,2,0)+OneWeekMtgRatesDataTable8[[#This Row],[SeriesNumValue]]</f>
        <v>3.2757156520292501</v>
      </c>
      <c r="F452" s="2" t="s">
        <v>1277</v>
      </c>
      <c r="G452" s="2" t="s">
        <v>455</v>
      </c>
      <c r="H452" s="2">
        <v>1.183377009</v>
      </c>
      <c r="K452" s="4">
        <v>40821</v>
      </c>
      <c r="L452">
        <v>3.89</v>
      </c>
    </row>
    <row r="453" spans="1:12" x14ac:dyDescent="0.25">
      <c r="A453" s="2" t="s">
        <v>5</v>
      </c>
      <c r="B453" s="2" t="s">
        <v>456</v>
      </c>
      <c r="C453" s="2">
        <v>2.0361071292777302</v>
      </c>
      <c r="D453" s="2">
        <f>VLOOKUP(OneWeekMtgRatesDataTable8[[#This Row],[AsOfDate]],G:H,2,0)+OneWeekMtgRatesDataTable8[[#This Row],[SeriesNumValue]]</f>
        <v>3.2194841382777302</v>
      </c>
      <c r="F453" s="2" t="s">
        <v>1277</v>
      </c>
      <c r="G453" s="2" t="s">
        <v>456</v>
      </c>
      <c r="H453" s="2">
        <v>1.183377009</v>
      </c>
      <c r="K453" s="4">
        <v>40822</v>
      </c>
      <c r="L453">
        <v>4.07</v>
      </c>
    </row>
    <row r="454" spans="1:12" x14ac:dyDescent="0.25">
      <c r="A454" s="2" t="s">
        <v>5</v>
      </c>
      <c r="B454" s="2" t="s">
        <v>457</v>
      </c>
      <c r="C454" s="2">
        <v>2.0699676944682599</v>
      </c>
      <c r="D454" s="2">
        <f>VLOOKUP(OneWeekMtgRatesDataTable8[[#This Row],[AsOfDate]],G:H,2,0)+OneWeekMtgRatesDataTable8[[#This Row],[SeriesNumValue]]</f>
        <v>3.2533447034682599</v>
      </c>
      <c r="F454" s="2" t="s">
        <v>1277</v>
      </c>
      <c r="G454" s="2" t="s">
        <v>457</v>
      </c>
      <c r="H454" s="2">
        <v>1.183377009</v>
      </c>
      <c r="K454" s="4">
        <v>40823</v>
      </c>
      <c r="L454">
        <v>4.07</v>
      </c>
    </row>
    <row r="455" spans="1:12" x14ac:dyDescent="0.25">
      <c r="A455" s="2" t="s">
        <v>5</v>
      </c>
      <c r="B455" s="2" t="s">
        <v>458</v>
      </c>
      <c r="C455" s="2">
        <v>2.1420411801194499</v>
      </c>
      <c r="D455" s="2">
        <f>VLOOKUP(OneWeekMtgRatesDataTable8[[#This Row],[AsOfDate]],G:H,2,0)+OneWeekMtgRatesDataTable8[[#This Row],[SeriesNumValue]]</f>
        <v>3.3254181891194499</v>
      </c>
      <c r="F455" s="2" t="s">
        <v>1277</v>
      </c>
      <c r="G455" s="2" t="s">
        <v>458</v>
      </c>
      <c r="H455" s="2">
        <v>1.183377009</v>
      </c>
      <c r="K455" s="4">
        <v>40827</v>
      </c>
      <c r="L455">
        <v>4.07</v>
      </c>
    </row>
    <row r="456" spans="1:12" x14ac:dyDescent="0.25">
      <c r="A456" s="2" t="s">
        <v>5</v>
      </c>
      <c r="B456" s="2" t="s">
        <v>459</v>
      </c>
      <c r="C456" s="2">
        <v>2.1925425327534098</v>
      </c>
      <c r="D456" s="2">
        <f>VLOOKUP(OneWeekMtgRatesDataTable8[[#This Row],[AsOfDate]],G:H,2,0)+OneWeekMtgRatesDataTable8[[#This Row],[SeriesNumValue]]</f>
        <v>3.3209430967534099</v>
      </c>
      <c r="F456" s="2" t="s">
        <v>1277</v>
      </c>
      <c r="G456" s="2" t="s">
        <v>459</v>
      </c>
      <c r="H456" s="2">
        <v>1.1284005640000001</v>
      </c>
      <c r="K456" s="4">
        <v>40828</v>
      </c>
      <c r="L456">
        <v>4.07</v>
      </c>
    </row>
    <row r="457" spans="1:12" x14ac:dyDescent="0.25">
      <c r="A457" s="2" t="s">
        <v>5</v>
      </c>
      <c r="B457" s="2" t="s">
        <v>460</v>
      </c>
      <c r="C457" s="2">
        <v>2.2012643194611901</v>
      </c>
      <c r="D457" s="2">
        <f>VLOOKUP(OneWeekMtgRatesDataTable8[[#This Row],[AsOfDate]],G:H,2,0)+OneWeekMtgRatesDataTable8[[#This Row],[SeriesNumValue]]</f>
        <v>3.3296648834611902</v>
      </c>
      <c r="F457" s="2" t="s">
        <v>1277</v>
      </c>
      <c r="G457" s="2" t="s">
        <v>460</v>
      </c>
      <c r="H457" s="2">
        <v>1.1284005640000001</v>
      </c>
      <c r="K457" s="4">
        <v>40829</v>
      </c>
      <c r="L457">
        <v>4.0599999999999996</v>
      </c>
    </row>
    <row r="458" spans="1:12" x14ac:dyDescent="0.25">
      <c r="A458" s="2" t="s">
        <v>5</v>
      </c>
      <c r="B458" s="2" t="s">
        <v>461</v>
      </c>
      <c r="C458" s="2">
        <v>2.1328988734204701</v>
      </c>
      <c r="D458" s="2">
        <f>VLOOKUP(OneWeekMtgRatesDataTable8[[#This Row],[AsOfDate]],G:H,2,0)+OneWeekMtgRatesDataTable8[[#This Row],[SeriesNumValue]]</f>
        <v>3.2612994374204702</v>
      </c>
      <c r="F458" s="2" t="s">
        <v>1277</v>
      </c>
      <c r="G458" s="2" t="s">
        <v>461</v>
      </c>
      <c r="H458" s="2">
        <v>1.1284005640000001</v>
      </c>
      <c r="K458" s="4">
        <v>40830</v>
      </c>
      <c r="L458">
        <v>4.0599999999999996</v>
      </c>
    </row>
    <row r="459" spans="1:12" x14ac:dyDescent="0.25">
      <c r="A459" s="2" t="s">
        <v>5</v>
      </c>
      <c r="B459" s="2" t="s">
        <v>462</v>
      </c>
      <c r="C459" s="2">
        <v>2.0440489527996202</v>
      </c>
      <c r="D459" s="2">
        <f>VLOOKUP(OneWeekMtgRatesDataTable8[[#This Row],[AsOfDate]],G:H,2,0)+OneWeekMtgRatesDataTable8[[#This Row],[SeriesNumValue]]</f>
        <v>3.1724495167996203</v>
      </c>
      <c r="F459" s="2" t="s">
        <v>1277</v>
      </c>
      <c r="G459" s="2" t="s">
        <v>462</v>
      </c>
      <c r="H459" s="2">
        <v>1.1284005640000001</v>
      </c>
      <c r="K459" s="4">
        <v>40833</v>
      </c>
      <c r="L459">
        <v>4.0599999999999996</v>
      </c>
    </row>
    <row r="460" spans="1:12" x14ac:dyDescent="0.25">
      <c r="A460" s="2" t="s">
        <v>5</v>
      </c>
      <c r="B460" s="2" t="s">
        <v>463</v>
      </c>
      <c r="C460" s="2">
        <v>2.0509742576327699</v>
      </c>
      <c r="D460" s="2">
        <f>VLOOKUP(OneWeekMtgRatesDataTable8[[#This Row],[AsOfDate]],G:H,2,0)+OneWeekMtgRatesDataTable8[[#This Row],[SeriesNumValue]]</f>
        <v>3.2136776566327701</v>
      </c>
      <c r="F460" s="2" t="s">
        <v>1277</v>
      </c>
      <c r="G460" s="2" t="s">
        <v>463</v>
      </c>
      <c r="H460" s="2">
        <v>1.162703399</v>
      </c>
      <c r="K460" s="4">
        <v>40834</v>
      </c>
      <c r="L460">
        <v>4.0599999999999996</v>
      </c>
    </row>
    <row r="461" spans="1:12" x14ac:dyDescent="0.25">
      <c r="A461" s="2" t="s">
        <v>5</v>
      </c>
      <c r="B461" s="2" t="s">
        <v>464</v>
      </c>
      <c r="C461" s="2">
        <v>2.0724438614292899</v>
      </c>
      <c r="D461" s="2">
        <f>VLOOKUP(OneWeekMtgRatesDataTable8[[#This Row],[AsOfDate]],G:H,2,0)+OneWeekMtgRatesDataTable8[[#This Row],[SeriesNumValue]]</f>
        <v>3.2351472604292901</v>
      </c>
      <c r="F461" s="2" t="s">
        <v>1277</v>
      </c>
      <c r="G461" s="2" t="s">
        <v>464</v>
      </c>
      <c r="H461" s="2">
        <v>1.162703399</v>
      </c>
      <c r="K461" s="4">
        <v>40835</v>
      </c>
      <c r="L461">
        <v>4.0599999999999996</v>
      </c>
    </row>
    <row r="462" spans="1:12" x14ac:dyDescent="0.25">
      <c r="A462" s="2" t="s">
        <v>5</v>
      </c>
      <c r="B462" s="2" t="s">
        <v>465</v>
      </c>
      <c r="C462" s="2">
        <v>2.0725335490580301</v>
      </c>
      <c r="D462" s="2">
        <f>VLOOKUP(OneWeekMtgRatesDataTable8[[#This Row],[AsOfDate]],G:H,2,0)+OneWeekMtgRatesDataTable8[[#This Row],[SeriesNumValue]]</f>
        <v>3.2352369480580299</v>
      </c>
      <c r="F462" s="2" t="s">
        <v>1277</v>
      </c>
      <c r="G462" s="2" t="s">
        <v>465</v>
      </c>
      <c r="H462" s="2">
        <v>1.162703399</v>
      </c>
      <c r="K462" s="4">
        <v>40836</v>
      </c>
      <c r="L462">
        <v>4.05</v>
      </c>
    </row>
    <row r="463" spans="1:12" x14ac:dyDescent="0.25">
      <c r="A463" s="2" t="s">
        <v>5</v>
      </c>
      <c r="B463" s="2" t="s">
        <v>466</v>
      </c>
      <c r="C463" s="2">
        <v>2.0862225711456399</v>
      </c>
      <c r="D463" s="2">
        <f>VLOOKUP(OneWeekMtgRatesDataTable8[[#This Row],[AsOfDate]],G:H,2,0)+OneWeekMtgRatesDataTable8[[#This Row],[SeriesNumValue]]</f>
        <v>3.2489259701456401</v>
      </c>
      <c r="F463" s="2" t="s">
        <v>1277</v>
      </c>
      <c r="G463" s="2" t="s">
        <v>466</v>
      </c>
      <c r="H463" s="2">
        <v>1.162703399</v>
      </c>
      <c r="K463" s="4">
        <v>40837</v>
      </c>
      <c r="L463">
        <v>4.05</v>
      </c>
    </row>
    <row r="464" spans="1:12" x14ac:dyDescent="0.25">
      <c r="A464" s="2" t="s">
        <v>5</v>
      </c>
      <c r="B464" s="2" t="s">
        <v>467</v>
      </c>
      <c r="C464" s="2">
        <v>2.0678302367394399</v>
      </c>
      <c r="D464" s="2">
        <f>VLOOKUP(OneWeekMtgRatesDataTable8[[#This Row],[AsOfDate]],G:H,2,0)+OneWeekMtgRatesDataTable8[[#This Row],[SeriesNumValue]]</f>
        <v>3.2305336357394401</v>
      </c>
      <c r="F464" s="2" t="s">
        <v>1277</v>
      </c>
      <c r="G464" s="2" t="s">
        <v>467</v>
      </c>
      <c r="H464" s="2">
        <v>1.162703399</v>
      </c>
      <c r="K464" s="4">
        <v>40840</v>
      </c>
      <c r="L464">
        <v>4.05</v>
      </c>
    </row>
    <row r="465" spans="1:12" x14ac:dyDescent="0.25">
      <c r="A465" s="2" t="s">
        <v>5</v>
      </c>
      <c r="B465" s="2" t="s">
        <v>468</v>
      </c>
      <c r="C465" s="2">
        <v>2.0799414922025399</v>
      </c>
      <c r="D465" s="2">
        <f>VLOOKUP(OneWeekMtgRatesDataTable8[[#This Row],[AsOfDate]],G:H,2,0)+OneWeekMtgRatesDataTable8[[#This Row],[SeriesNumValue]]</f>
        <v>3.26914715020254</v>
      </c>
      <c r="F465" s="2" t="s">
        <v>1277</v>
      </c>
      <c r="G465" s="2" t="s">
        <v>468</v>
      </c>
      <c r="H465" s="2">
        <v>1.1892056580000001</v>
      </c>
      <c r="K465" s="4">
        <v>40841</v>
      </c>
      <c r="L465">
        <v>4.05</v>
      </c>
    </row>
    <row r="466" spans="1:12" x14ac:dyDescent="0.25">
      <c r="A466" s="2" t="s">
        <v>5</v>
      </c>
      <c r="B466" s="2" t="s">
        <v>469</v>
      </c>
      <c r="C466" s="2">
        <v>2.1082736282319798</v>
      </c>
      <c r="D466" s="2">
        <f>VLOOKUP(OneWeekMtgRatesDataTable8[[#This Row],[AsOfDate]],G:H,2,0)+OneWeekMtgRatesDataTable8[[#This Row],[SeriesNumValue]]</f>
        <v>3.2974792862319799</v>
      </c>
      <c r="F466" s="2" t="s">
        <v>1277</v>
      </c>
      <c r="G466" s="2" t="s">
        <v>469</v>
      </c>
      <c r="H466" s="2">
        <v>1.1892056580000001</v>
      </c>
      <c r="K466" s="4">
        <v>40842</v>
      </c>
      <c r="L466">
        <v>4.05</v>
      </c>
    </row>
    <row r="467" spans="1:12" x14ac:dyDescent="0.25">
      <c r="A467" s="2" t="s">
        <v>5</v>
      </c>
      <c r="B467" s="2" t="s">
        <v>470</v>
      </c>
      <c r="C467" s="2">
        <v>2.1663327490122799</v>
      </c>
      <c r="D467" s="2">
        <f>VLOOKUP(OneWeekMtgRatesDataTable8[[#This Row],[AsOfDate]],G:H,2,0)+OneWeekMtgRatesDataTable8[[#This Row],[SeriesNumValue]]</f>
        <v>3.35553840701228</v>
      </c>
      <c r="F467" s="2" t="s">
        <v>1277</v>
      </c>
      <c r="G467" s="2" t="s">
        <v>470</v>
      </c>
      <c r="H467" s="2">
        <v>1.1892056580000001</v>
      </c>
      <c r="K467" s="4">
        <v>40843</v>
      </c>
      <c r="L467">
        <v>3.9249999999999998</v>
      </c>
    </row>
    <row r="468" spans="1:12" x14ac:dyDescent="0.25">
      <c r="A468" s="2" t="s">
        <v>5</v>
      </c>
      <c r="B468" s="2" t="s">
        <v>471</v>
      </c>
      <c r="C468" s="2">
        <v>2.1263199579473602</v>
      </c>
      <c r="D468" s="2">
        <f>VLOOKUP(OneWeekMtgRatesDataTable8[[#This Row],[AsOfDate]],G:H,2,0)+OneWeekMtgRatesDataTable8[[#This Row],[SeriesNumValue]]</f>
        <v>3.3155256159473603</v>
      </c>
      <c r="F468" s="2" t="s">
        <v>1277</v>
      </c>
      <c r="G468" s="2" t="s">
        <v>471</v>
      </c>
      <c r="H468" s="2">
        <v>1.1892056580000001</v>
      </c>
      <c r="K468" s="4">
        <v>40844</v>
      </c>
      <c r="L468">
        <v>3.9249999999999998</v>
      </c>
    </row>
    <row r="469" spans="1:12" x14ac:dyDescent="0.25">
      <c r="A469" s="2" t="s">
        <v>5</v>
      </c>
      <c r="B469" s="2" t="s">
        <v>472</v>
      </c>
      <c r="C469" s="2">
        <v>2.1257047070821802</v>
      </c>
      <c r="D469" s="2">
        <f>VLOOKUP(OneWeekMtgRatesDataTable8[[#This Row],[AsOfDate]],G:H,2,0)+OneWeekMtgRatesDataTable8[[#This Row],[SeriesNumValue]]</f>
        <v>3.3149103650821803</v>
      </c>
      <c r="F469" s="2" t="s">
        <v>1277</v>
      </c>
      <c r="G469" s="2" t="s">
        <v>472</v>
      </c>
      <c r="H469" s="2">
        <v>1.1892056580000001</v>
      </c>
      <c r="K469" s="4">
        <v>40847</v>
      </c>
      <c r="L469">
        <v>3.9249999999999998</v>
      </c>
    </row>
    <row r="470" spans="1:12" x14ac:dyDescent="0.25">
      <c r="A470" s="2" t="s">
        <v>5</v>
      </c>
      <c r="B470" s="2" t="s">
        <v>473</v>
      </c>
      <c r="C470" s="2">
        <v>2.1698452448822598</v>
      </c>
      <c r="D470" s="2">
        <f>VLOOKUP(OneWeekMtgRatesDataTable8[[#This Row],[AsOfDate]],G:H,2,0)+OneWeekMtgRatesDataTable8[[#This Row],[SeriesNumValue]]</f>
        <v>3.2755499878822598</v>
      </c>
      <c r="F470" s="2" t="s">
        <v>1277</v>
      </c>
      <c r="G470" s="2" t="s">
        <v>473</v>
      </c>
      <c r="H470" s="2">
        <v>1.105704743</v>
      </c>
      <c r="K470" s="4">
        <v>40848</v>
      </c>
      <c r="L470">
        <v>3.9249999999999998</v>
      </c>
    </row>
    <row r="471" spans="1:12" x14ac:dyDescent="0.25">
      <c r="A471" s="2" t="s">
        <v>5</v>
      </c>
      <c r="B471" s="2" t="s">
        <v>474</v>
      </c>
      <c r="C471" s="2">
        <v>2.17954329599754</v>
      </c>
      <c r="D471" s="2">
        <f>VLOOKUP(OneWeekMtgRatesDataTable8[[#This Row],[AsOfDate]],G:H,2,0)+OneWeekMtgRatesDataTable8[[#This Row],[SeriesNumValue]]</f>
        <v>3.28524803899754</v>
      </c>
      <c r="F471" s="2" t="s">
        <v>1277</v>
      </c>
      <c r="G471" s="2" t="s">
        <v>474</v>
      </c>
      <c r="H471" s="2">
        <v>1.105704743</v>
      </c>
      <c r="K471" s="4">
        <v>40849</v>
      </c>
      <c r="L471">
        <v>3.9249999999999998</v>
      </c>
    </row>
    <row r="472" spans="1:12" x14ac:dyDescent="0.25">
      <c r="A472" s="2" t="s">
        <v>5</v>
      </c>
      <c r="B472" s="2" t="s">
        <v>475</v>
      </c>
      <c r="C472" s="2">
        <v>2.1747058079367898</v>
      </c>
      <c r="D472" s="2">
        <f>VLOOKUP(OneWeekMtgRatesDataTable8[[#This Row],[AsOfDate]],G:H,2,0)+OneWeekMtgRatesDataTable8[[#This Row],[SeriesNumValue]]</f>
        <v>3.2804105509367898</v>
      </c>
      <c r="F472" s="2" t="s">
        <v>1277</v>
      </c>
      <c r="G472" s="2" t="s">
        <v>475</v>
      </c>
      <c r="H472" s="2">
        <v>1.105704743</v>
      </c>
      <c r="K472" s="4">
        <v>40850</v>
      </c>
      <c r="L472">
        <v>3.915</v>
      </c>
    </row>
    <row r="473" spans="1:12" x14ac:dyDescent="0.25">
      <c r="A473" s="2" t="s">
        <v>5</v>
      </c>
      <c r="B473" s="2" t="s">
        <v>476</v>
      </c>
      <c r="C473" s="2">
        <v>2.1860869431888501</v>
      </c>
      <c r="D473" s="2">
        <f>VLOOKUP(OneWeekMtgRatesDataTable8[[#This Row],[AsOfDate]],G:H,2,0)+OneWeekMtgRatesDataTable8[[#This Row],[SeriesNumValue]]</f>
        <v>3.2917916861888501</v>
      </c>
      <c r="F473" s="2" t="s">
        <v>1277</v>
      </c>
      <c r="G473" s="2" t="s">
        <v>476</v>
      </c>
      <c r="H473" s="2">
        <v>1.105704743</v>
      </c>
      <c r="K473" s="4">
        <v>40851</v>
      </c>
      <c r="L473">
        <v>3.915</v>
      </c>
    </row>
    <row r="474" spans="1:12" x14ac:dyDescent="0.25">
      <c r="A474" s="2" t="s">
        <v>5</v>
      </c>
      <c r="B474" s="2" t="s">
        <v>477</v>
      </c>
      <c r="C474" s="2">
        <v>2.2549632116225702</v>
      </c>
      <c r="D474" s="2">
        <f>VLOOKUP(OneWeekMtgRatesDataTable8[[#This Row],[AsOfDate]],G:H,2,0)+OneWeekMtgRatesDataTable8[[#This Row],[SeriesNumValue]]</f>
        <v>3.3606679546225702</v>
      </c>
      <c r="F474" s="2" t="s">
        <v>1277</v>
      </c>
      <c r="G474" s="2" t="s">
        <v>477</v>
      </c>
      <c r="H474" s="2">
        <v>1.105704743</v>
      </c>
      <c r="K474" s="4">
        <v>40854</v>
      </c>
      <c r="L474">
        <v>3.915</v>
      </c>
    </row>
    <row r="475" spans="1:12" x14ac:dyDescent="0.25">
      <c r="A475" s="2" t="s">
        <v>5</v>
      </c>
      <c r="B475" s="2" t="s">
        <v>478</v>
      </c>
      <c r="C475" s="2">
        <v>2.20825796099597</v>
      </c>
      <c r="D475" s="2">
        <f>VLOOKUP(OneWeekMtgRatesDataTable8[[#This Row],[AsOfDate]],G:H,2,0)+OneWeekMtgRatesDataTable8[[#This Row],[SeriesNumValue]]</f>
        <v>3.30254651699597</v>
      </c>
      <c r="F475" s="2" t="s">
        <v>1277</v>
      </c>
      <c r="G475" s="2" t="s">
        <v>478</v>
      </c>
      <c r="H475" s="2">
        <v>1.094288556</v>
      </c>
      <c r="K475" s="4">
        <v>40855</v>
      </c>
      <c r="L475">
        <v>3.915</v>
      </c>
    </row>
    <row r="476" spans="1:12" x14ac:dyDescent="0.25">
      <c r="A476" s="2" t="s">
        <v>5</v>
      </c>
      <c r="B476" s="2" t="s">
        <v>479</v>
      </c>
      <c r="C476" s="2">
        <v>2.18927927513684</v>
      </c>
      <c r="D476" s="2">
        <f>VLOOKUP(OneWeekMtgRatesDataTable8[[#This Row],[AsOfDate]],G:H,2,0)+OneWeekMtgRatesDataTable8[[#This Row],[SeriesNumValue]]</f>
        <v>3.2835678311368399</v>
      </c>
      <c r="F476" s="2" t="s">
        <v>1277</v>
      </c>
      <c r="G476" s="2" t="s">
        <v>479</v>
      </c>
      <c r="H476" s="2">
        <v>1.094288556</v>
      </c>
      <c r="K476" s="4">
        <v>40856</v>
      </c>
      <c r="L476">
        <v>3.915</v>
      </c>
    </row>
    <row r="477" spans="1:12" x14ac:dyDescent="0.25">
      <c r="A477" s="2" t="s">
        <v>5</v>
      </c>
      <c r="B477" s="2" t="s">
        <v>480</v>
      </c>
      <c r="C477" s="2">
        <v>2.14957407921754</v>
      </c>
      <c r="D477" s="2">
        <f>VLOOKUP(OneWeekMtgRatesDataTable8[[#This Row],[AsOfDate]],G:H,2,0)+OneWeekMtgRatesDataTable8[[#This Row],[SeriesNumValue]]</f>
        <v>3.2438626352175399</v>
      </c>
      <c r="F477" s="2" t="s">
        <v>1277</v>
      </c>
      <c r="G477" s="2" t="s">
        <v>480</v>
      </c>
      <c r="H477" s="2">
        <v>1.094288556</v>
      </c>
      <c r="K477" s="4">
        <v>40857</v>
      </c>
      <c r="L477">
        <v>3.9249999999999998</v>
      </c>
    </row>
    <row r="478" spans="1:12" x14ac:dyDescent="0.25">
      <c r="A478" s="2" t="s">
        <v>5</v>
      </c>
      <c r="B478" s="2" t="s">
        <v>481</v>
      </c>
      <c r="C478" s="2">
        <v>2.1781660184228402</v>
      </c>
      <c r="D478" s="2">
        <f>VLOOKUP(OneWeekMtgRatesDataTable8[[#This Row],[AsOfDate]],G:H,2,0)+OneWeekMtgRatesDataTable8[[#This Row],[SeriesNumValue]]</f>
        <v>3.2724545744228402</v>
      </c>
      <c r="F478" s="2" t="s">
        <v>1277</v>
      </c>
      <c r="G478" s="2" t="s">
        <v>481</v>
      </c>
      <c r="H478" s="2">
        <v>1.094288556</v>
      </c>
      <c r="K478" s="4">
        <v>40861</v>
      </c>
      <c r="L478">
        <v>3.9249999999999998</v>
      </c>
    </row>
    <row r="479" spans="1:12" x14ac:dyDescent="0.25">
      <c r="A479" s="2" t="s">
        <v>5</v>
      </c>
      <c r="B479" s="2" t="s">
        <v>482</v>
      </c>
      <c r="C479" s="2">
        <v>2.1575085514306598</v>
      </c>
      <c r="D479" s="2">
        <f>VLOOKUP(OneWeekMtgRatesDataTable8[[#This Row],[AsOfDate]],G:H,2,0)+OneWeekMtgRatesDataTable8[[#This Row],[SeriesNumValue]]</f>
        <v>3.2638765704306598</v>
      </c>
      <c r="F479" s="2" t="s">
        <v>1277</v>
      </c>
      <c r="G479" s="2" t="s">
        <v>482</v>
      </c>
      <c r="H479" s="2">
        <v>1.106368019</v>
      </c>
      <c r="K479" s="4">
        <v>40862</v>
      </c>
      <c r="L479">
        <v>3.9249999999999998</v>
      </c>
    </row>
    <row r="480" spans="1:12" x14ac:dyDescent="0.25">
      <c r="A480" s="2" t="s">
        <v>5</v>
      </c>
      <c r="B480" s="2" t="s">
        <v>483</v>
      </c>
      <c r="C480" s="2">
        <v>2.12227766952706</v>
      </c>
      <c r="D480" s="2">
        <f>VLOOKUP(OneWeekMtgRatesDataTable8[[#This Row],[AsOfDate]],G:H,2,0)+OneWeekMtgRatesDataTable8[[#This Row],[SeriesNumValue]]</f>
        <v>3.22864568852706</v>
      </c>
      <c r="F480" s="2" t="s">
        <v>1277</v>
      </c>
      <c r="G480" s="2" t="s">
        <v>483</v>
      </c>
      <c r="H480" s="2">
        <v>1.106368019</v>
      </c>
      <c r="K480" s="4">
        <v>40863</v>
      </c>
      <c r="L480">
        <v>3.9249999999999998</v>
      </c>
    </row>
    <row r="481" spans="1:12" x14ac:dyDescent="0.25">
      <c r="A481" s="2" t="s">
        <v>5</v>
      </c>
      <c r="B481" s="2" t="s">
        <v>484</v>
      </c>
      <c r="C481" s="2">
        <v>2.1401763219910399</v>
      </c>
      <c r="D481" s="2">
        <f>VLOOKUP(OneWeekMtgRatesDataTable8[[#This Row],[AsOfDate]],G:H,2,0)+OneWeekMtgRatesDataTable8[[#This Row],[SeriesNumValue]]</f>
        <v>3.2465443409910399</v>
      </c>
      <c r="F481" s="2" t="s">
        <v>1277</v>
      </c>
      <c r="G481" s="2" t="s">
        <v>484</v>
      </c>
      <c r="H481" s="2">
        <v>1.106368019</v>
      </c>
      <c r="K481" s="4">
        <v>40864</v>
      </c>
      <c r="L481">
        <v>3.9049999999999998</v>
      </c>
    </row>
    <row r="482" spans="1:12" x14ac:dyDescent="0.25">
      <c r="A482" s="2" t="s">
        <v>5</v>
      </c>
      <c r="B482" s="2" t="s">
        <v>485</v>
      </c>
      <c r="C482" s="2">
        <v>2.1517307112587098</v>
      </c>
      <c r="D482" s="2">
        <f>VLOOKUP(OneWeekMtgRatesDataTable8[[#This Row],[AsOfDate]],G:H,2,0)+OneWeekMtgRatesDataTable8[[#This Row],[SeriesNumValue]]</f>
        <v>3.2580987302587099</v>
      </c>
      <c r="F482" s="2" t="s">
        <v>1277</v>
      </c>
      <c r="G482" s="2" t="s">
        <v>485</v>
      </c>
      <c r="H482" s="2">
        <v>1.106368019</v>
      </c>
      <c r="K482" s="4">
        <v>40865</v>
      </c>
      <c r="L482">
        <v>3.9049999999999998</v>
      </c>
    </row>
    <row r="483" spans="1:12" x14ac:dyDescent="0.25">
      <c r="A483" s="2" t="s">
        <v>5</v>
      </c>
      <c r="B483" s="2" t="s">
        <v>486</v>
      </c>
      <c r="C483" s="2">
        <v>2.2179772298988301</v>
      </c>
      <c r="D483" s="2">
        <f>VLOOKUP(OneWeekMtgRatesDataTable8[[#This Row],[AsOfDate]],G:H,2,0)+OneWeekMtgRatesDataTable8[[#This Row],[SeriesNumValue]]</f>
        <v>3.32493674689883</v>
      </c>
      <c r="F483" s="2" t="s">
        <v>1277</v>
      </c>
      <c r="G483" s="2" t="s">
        <v>486</v>
      </c>
      <c r="H483" s="2">
        <v>1.1069595169999999</v>
      </c>
      <c r="K483" s="4">
        <v>40868</v>
      </c>
      <c r="L483">
        <v>3.9049999999999998</v>
      </c>
    </row>
    <row r="484" spans="1:12" x14ac:dyDescent="0.25">
      <c r="A484" s="2" t="s">
        <v>5</v>
      </c>
      <c r="B484" s="2" t="s">
        <v>487</v>
      </c>
      <c r="C484" s="2">
        <v>2.33893527316877</v>
      </c>
      <c r="D484" s="2">
        <f>VLOOKUP(OneWeekMtgRatesDataTable8[[#This Row],[AsOfDate]],G:H,2,0)+OneWeekMtgRatesDataTable8[[#This Row],[SeriesNumValue]]</f>
        <v>3.44589479016877</v>
      </c>
      <c r="F484" s="2" t="s">
        <v>1277</v>
      </c>
      <c r="G484" s="2" t="s">
        <v>487</v>
      </c>
      <c r="H484" s="2">
        <v>1.1069595169999999</v>
      </c>
      <c r="K484" s="4">
        <v>40869</v>
      </c>
      <c r="L484">
        <v>3.9049999999999998</v>
      </c>
    </row>
    <row r="485" spans="1:12" x14ac:dyDescent="0.25">
      <c r="A485" s="2" t="s">
        <v>5</v>
      </c>
      <c r="B485" s="2" t="s">
        <v>488</v>
      </c>
      <c r="C485" s="2">
        <v>2.3583903097049501</v>
      </c>
      <c r="D485" s="2">
        <f>VLOOKUP(OneWeekMtgRatesDataTable8[[#This Row],[AsOfDate]],G:H,2,0)+OneWeekMtgRatesDataTable8[[#This Row],[SeriesNumValue]]</f>
        <v>3.4653498267049501</v>
      </c>
      <c r="F485" s="2" t="s">
        <v>1277</v>
      </c>
      <c r="G485" s="2" t="s">
        <v>488</v>
      </c>
      <c r="H485" s="2">
        <v>1.1069595169999999</v>
      </c>
      <c r="K485" s="4">
        <v>40870</v>
      </c>
      <c r="L485">
        <v>3.9049999999999998</v>
      </c>
    </row>
    <row r="486" spans="1:12" x14ac:dyDescent="0.25">
      <c r="A486" s="2" t="s">
        <v>5</v>
      </c>
      <c r="B486" s="2" t="s">
        <v>489</v>
      </c>
      <c r="C486" s="2">
        <v>2.3132421541265802</v>
      </c>
      <c r="D486" s="2">
        <f>VLOOKUP(OneWeekMtgRatesDataTable8[[#This Row],[AsOfDate]],G:H,2,0)+OneWeekMtgRatesDataTable8[[#This Row],[SeriesNumValue]]</f>
        <v>3.4202016711265801</v>
      </c>
      <c r="F486" s="2" t="s">
        <v>1277</v>
      </c>
      <c r="G486" s="2" t="s">
        <v>489</v>
      </c>
      <c r="H486" s="2">
        <v>1.1069595169999999</v>
      </c>
      <c r="K486" s="4">
        <v>40872</v>
      </c>
      <c r="L486">
        <v>3.9249999999999998</v>
      </c>
    </row>
    <row r="487" spans="1:12" x14ac:dyDescent="0.25">
      <c r="A487" s="2" t="s">
        <v>5</v>
      </c>
      <c r="B487" s="2" t="s">
        <v>490</v>
      </c>
      <c r="C487" s="2">
        <v>2.2872202205924901</v>
      </c>
      <c r="D487" s="2">
        <f>VLOOKUP(OneWeekMtgRatesDataTable8[[#This Row],[AsOfDate]],G:H,2,0)+OneWeekMtgRatesDataTable8[[#This Row],[SeriesNumValue]]</f>
        <v>3.39417973759249</v>
      </c>
      <c r="F487" s="2" t="s">
        <v>1277</v>
      </c>
      <c r="G487" s="2" t="s">
        <v>490</v>
      </c>
      <c r="H487" s="2">
        <v>1.1069595169999999</v>
      </c>
      <c r="K487" s="4">
        <v>40875</v>
      </c>
      <c r="L487">
        <v>3.9249999999999998</v>
      </c>
    </row>
    <row r="488" spans="1:12" x14ac:dyDescent="0.25">
      <c r="A488" s="2" t="s">
        <v>5</v>
      </c>
      <c r="B488" s="2" t="s">
        <v>491</v>
      </c>
      <c r="C488" s="2">
        <v>2.2542377381479901</v>
      </c>
      <c r="D488" s="2">
        <f>VLOOKUP(OneWeekMtgRatesDataTable8[[#This Row],[AsOfDate]],G:H,2,0)+OneWeekMtgRatesDataTable8[[#This Row],[SeriesNumValue]]</f>
        <v>3.2688325991479901</v>
      </c>
      <c r="F488" s="2" t="s">
        <v>1277</v>
      </c>
      <c r="G488" s="2" t="s">
        <v>491</v>
      </c>
      <c r="H488" s="2">
        <v>1.014594861</v>
      </c>
      <c r="K488" s="4">
        <v>40876</v>
      </c>
      <c r="L488">
        <v>3.9249999999999998</v>
      </c>
    </row>
    <row r="489" spans="1:12" x14ac:dyDescent="0.25">
      <c r="A489" s="2" t="s">
        <v>5</v>
      </c>
      <c r="B489" s="2" t="s">
        <v>492</v>
      </c>
      <c r="C489" s="2">
        <v>2.3058062237430601</v>
      </c>
      <c r="D489" s="2">
        <f>VLOOKUP(OneWeekMtgRatesDataTable8[[#This Row],[AsOfDate]],G:H,2,0)+OneWeekMtgRatesDataTable8[[#This Row],[SeriesNumValue]]</f>
        <v>3.3204010847430601</v>
      </c>
      <c r="F489" s="2" t="s">
        <v>1277</v>
      </c>
      <c r="G489" s="2" t="s">
        <v>492</v>
      </c>
      <c r="H489" s="2">
        <v>1.014594861</v>
      </c>
      <c r="K489" s="4">
        <v>40877</v>
      </c>
      <c r="L489">
        <v>3.9249999999999998</v>
      </c>
    </row>
    <row r="490" spans="1:12" x14ac:dyDescent="0.25">
      <c r="A490" s="2" t="s">
        <v>5</v>
      </c>
      <c r="B490" s="2" t="s">
        <v>493</v>
      </c>
      <c r="C490" s="2">
        <v>2.2816853967186499</v>
      </c>
      <c r="D490" s="2">
        <f>VLOOKUP(OneWeekMtgRatesDataTable8[[#This Row],[AsOfDate]],G:H,2,0)+OneWeekMtgRatesDataTable8[[#This Row],[SeriesNumValue]]</f>
        <v>3.2962802577186499</v>
      </c>
      <c r="F490" s="2" t="s">
        <v>1277</v>
      </c>
      <c r="G490" s="2" t="s">
        <v>493</v>
      </c>
      <c r="H490" s="2">
        <v>1.014594861</v>
      </c>
      <c r="K490" s="4">
        <v>40878</v>
      </c>
      <c r="L490">
        <v>3.915</v>
      </c>
    </row>
    <row r="491" spans="1:12" x14ac:dyDescent="0.25">
      <c r="A491" s="2" t="s">
        <v>5</v>
      </c>
      <c r="B491" s="2" t="s">
        <v>494</v>
      </c>
      <c r="C491" s="2">
        <v>2.2784009909774001</v>
      </c>
      <c r="D491" s="2">
        <f>VLOOKUP(OneWeekMtgRatesDataTable8[[#This Row],[AsOfDate]],G:H,2,0)+OneWeekMtgRatesDataTable8[[#This Row],[SeriesNumValue]]</f>
        <v>3.2929958519774001</v>
      </c>
      <c r="F491" s="2" t="s">
        <v>1277</v>
      </c>
      <c r="G491" s="2" t="s">
        <v>494</v>
      </c>
      <c r="H491" s="2">
        <v>1.014594861</v>
      </c>
      <c r="K491" s="4">
        <v>40879</v>
      </c>
      <c r="L491">
        <v>3.915</v>
      </c>
    </row>
    <row r="492" spans="1:12" x14ac:dyDescent="0.25">
      <c r="A492" s="2" t="s">
        <v>5</v>
      </c>
      <c r="B492" s="2" t="s">
        <v>495</v>
      </c>
      <c r="C492" s="2">
        <v>2.2938425272831502</v>
      </c>
      <c r="D492" s="2">
        <f>VLOOKUP(OneWeekMtgRatesDataTable8[[#This Row],[AsOfDate]],G:H,2,0)+OneWeekMtgRatesDataTable8[[#This Row],[SeriesNumValue]]</f>
        <v>3.3084373882831501</v>
      </c>
      <c r="F492" s="2" t="s">
        <v>1277</v>
      </c>
      <c r="G492" s="2" t="s">
        <v>495</v>
      </c>
      <c r="H492" s="2">
        <v>1.014594861</v>
      </c>
      <c r="K492" s="4">
        <v>40882</v>
      </c>
      <c r="L492">
        <v>3.915</v>
      </c>
    </row>
    <row r="493" spans="1:12" x14ac:dyDescent="0.25">
      <c r="A493" s="2" t="s">
        <v>5</v>
      </c>
      <c r="B493" s="2" t="s">
        <v>496</v>
      </c>
      <c r="C493" s="2">
        <v>2.2944098288443899</v>
      </c>
      <c r="D493" s="2">
        <f>VLOOKUP(OneWeekMtgRatesDataTable8[[#This Row],[AsOfDate]],G:H,2,0)+OneWeekMtgRatesDataTable8[[#This Row],[SeriesNumValue]]</f>
        <v>3.3085808348443901</v>
      </c>
      <c r="F493" s="2" t="s">
        <v>1277</v>
      </c>
      <c r="G493" s="2" t="s">
        <v>496</v>
      </c>
      <c r="H493" s="2">
        <v>1.014171006</v>
      </c>
      <c r="K493" s="4">
        <v>40883</v>
      </c>
      <c r="L493">
        <v>3.915</v>
      </c>
    </row>
    <row r="494" spans="1:12" x14ac:dyDescent="0.25">
      <c r="A494" s="2" t="s">
        <v>5</v>
      </c>
      <c r="B494" s="2" t="s">
        <v>497</v>
      </c>
      <c r="C494" s="2">
        <v>2.3689111618910199</v>
      </c>
      <c r="D494" s="2">
        <f>VLOOKUP(OneWeekMtgRatesDataTable8[[#This Row],[AsOfDate]],G:H,2,0)+OneWeekMtgRatesDataTable8[[#This Row],[SeriesNumValue]]</f>
        <v>3.3830821678910201</v>
      </c>
      <c r="F494" s="2" t="s">
        <v>1277</v>
      </c>
      <c r="G494" s="2" t="s">
        <v>497</v>
      </c>
      <c r="H494" s="2">
        <v>1.014171006</v>
      </c>
      <c r="K494" s="4">
        <v>40884</v>
      </c>
      <c r="L494">
        <v>3.915</v>
      </c>
    </row>
    <row r="495" spans="1:12" x14ac:dyDescent="0.25">
      <c r="A495" s="2" t="s">
        <v>5</v>
      </c>
      <c r="B495" s="2" t="s">
        <v>498</v>
      </c>
      <c r="C495" s="2">
        <v>2.3502791672529901</v>
      </c>
      <c r="D495" s="2">
        <f>VLOOKUP(OneWeekMtgRatesDataTable8[[#This Row],[AsOfDate]],G:H,2,0)+OneWeekMtgRatesDataTable8[[#This Row],[SeriesNumValue]]</f>
        <v>3.3644501732529903</v>
      </c>
      <c r="F495" s="2" t="s">
        <v>1277</v>
      </c>
      <c r="G495" s="2" t="s">
        <v>498</v>
      </c>
      <c r="H495" s="2">
        <v>1.014171006</v>
      </c>
      <c r="K495" s="4">
        <v>40885</v>
      </c>
      <c r="L495">
        <v>3.89</v>
      </c>
    </row>
    <row r="496" spans="1:12" x14ac:dyDescent="0.25">
      <c r="A496" s="2" t="s">
        <v>5</v>
      </c>
      <c r="B496" s="2" t="s">
        <v>499</v>
      </c>
      <c r="C496" s="2">
        <v>2.35220774246172</v>
      </c>
      <c r="D496" s="2">
        <f>VLOOKUP(OneWeekMtgRatesDataTable8[[#This Row],[AsOfDate]],G:H,2,0)+OneWeekMtgRatesDataTable8[[#This Row],[SeriesNumValue]]</f>
        <v>3.3663787484617202</v>
      </c>
      <c r="F496" s="2" t="s">
        <v>1277</v>
      </c>
      <c r="G496" s="2" t="s">
        <v>499</v>
      </c>
      <c r="H496" s="2">
        <v>1.014171006</v>
      </c>
      <c r="K496" s="4">
        <v>40886</v>
      </c>
      <c r="L496">
        <v>3.89</v>
      </c>
    </row>
    <row r="497" spans="1:12" x14ac:dyDescent="0.25">
      <c r="A497" s="2" t="s">
        <v>5</v>
      </c>
      <c r="B497" s="2" t="s">
        <v>500</v>
      </c>
      <c r="C497" s="2">
        <v>2.3433125325998301</v>
      </c>
      <c r="D497" s="2">
        <f>VLOOKUP(OneWeekMtgRatesDataTable8[[#This Row],[AsOfDate]],G:H,2,0)+OneWeekMtgRatesDataTable8[[#This Row],[SeriesNumValue]]</f>
        <v>3.3346348815998299</v>
      </c>
      <c r="F497" s="2" t="s">
        <v>1277</v>
      </c>
      <c r="G497" s="2" t="s">
        <v>500</v>
      </c>
      <c r="H497" s="2">
        <v>0.99132234900000005</v>
      </c>
      <c r="K497" s="4">
        <v>40889</v>
      </c>
      <c r="L497">
        <v>3.89</v>
      </c>
    </row>
    <row r="498" spans="1:12" x14ac:dyDescent="0.25">
      <c r="A498" s="2" t="s">
        <v>5</v>
      </c>
      <c r="B498" s="2" t="s">
        <v>501</v>
      </c>
      <c r="C498" s="2">
        <v>2.3674188938348699</v>
      </c>
      <c r="D498" s="2">
        <f>VLOOKUP(OneWeekMtgRatesDataTable8[[#This Row],[AsOfDate]],G:H,2,0)+OneWeekMtgRatesDataTable8[[#This Row],[SeriesNumValue]]</f>
        <v>3.3587412428348697</v>
      </c>
      <c r="F498" s="2" t="s">
        <v>1277</v>
      </c>
      <c r="G498" s="2" t="s">
        <v>501</v>
      </c>
      <c r="H498" s="2">
        <v>0.99132234900000005</v>
      </c>
      <c r="K498" s="4">
        <v>40890</v>
      </c>
      <c r="L498">
        <v>3.89</v>
      </c>
    </row>
    <row r="499" spans="1:12" x14ac:dyDescent="0.25">
      <c r="A499" s="2" t="s">
        <v>5</v>
      </c>
      <c r="B499" s="2" t="s">
        <v>502</v>
      </c>
      <c r="C499" s="2">
        <v>2.50531849536197</v>
      </c>
      <c r="D499" s="2">
        <f>VLOOKUP(OneWeekMtgRatesDataTable8[[#This Row],[AsOfDate]],G:H,2,0)+OneWeekMtgRatesDataTable8[[#This Row],[SeriesNumValue]]</f>
        <v>3.4966408443619699</v>
      </c>
      <c r="F499" s="2" t="s">
        <v>1277</v>
      </c>
      <c r="G499" s="2" t="s">
        <v>502</v>
      </c>
      <c r="H499" s="2">
        <v>0.99132234900000005</v>
      </c>
      <c r="K499" s="4">
        <v>40891</v>
      </c>
      <c r="L499">
        <v>3.89</v>
      </c>
    </row>
    <row r="500" spans="1:12" x14ac:dyDescent="0.25">
      <c r="A500" s="2" t="s">
        <v>5</v>
      </c>
      <c r="B500" s="2" t="s">
        <v>503</v>
      </c>
      <c r="C500" s="2">
        <v>2.5393282304868099</v>
      </c>
      <c r="D500" s="2">
        <f>VLOOKUP(OneWeekMtgRatesDataTable8[[#This Row],[AsOfDate]],G:H,2,0)+OneWeekMtgRatesDataTable8[[#This Row],[SeriesNumValue]]</f>
        <v>3.5306505794868102</v>
      </c>
      <c r="F500" s="2" t="s">
        <v>1277</v>
      </c>
      <c r="G500" s="2" t="s">
        <v>503</v>
      </c>
      <c r="H500" s="2">
        <v>0.99132234900000005</v>
      </c>
      <c r="K500" s="4">
        <v>40892</v>
      </c>
      <c r="L500">
        <v>3.835</v>
      </c>
    </row>
    <row r="501" spans="1:12" x14ac:dyDescent="0.25">
      <c r="A501" s="2" t="s">
        <v>5</v>
      </c>
      <c r="B501" s="2" t="s">
        <v>504</v>
      </c>
      <c r="C501" s="2">
        <v>2.5598092537420398</v>
      </c>
      <c r="D501" s="2">
        <f>VLOOKUP(OneWeekMtgRatesDataTable8[[#This Row],[AsOfDate]],G:H,2,0)+OneWeekMtgRatesDataTable8[[#This Row],[SeriesNumValue]]</f>
        <v>3.5511316027420401</v>
      </c>
      <c r="F501" s="2" t="s">
        <v>1277</v>
      </c>
      <c r="G501" s="2" t="s">
        <v>504</v>
      </c>
      <c r="H501" s="2">
        <v>0.99132234900000005</v>
      </c>
      <c r="K501" s="4">
        <v>40893</v>
      </c>
      <c r="L501">
        <v>3.835</v>
      </c>
    </row>
    <row r="502" spans="1:12" x14ac:dyDescent="0.25">
      <c r="A502" s="2" t="s">
        <v>5</v>
      </c>
      <c r="B502" s="2" t="s">
        <v>505</v>
      </c>
      <c r="C502" s="2">
        <v>2.5772925233697599</v>
      </c>
      <c r="D502" s="2">
        <f>VLOOKUP(OneWeekMtgRatesDataTable8[[#This Row],[AsOfDate]],G:H,2,0)+OneWeekMtgRatesDataTable8[[#This Row],[SeriesNumValue]]</f>
        <v>3.5224590443697599</v>
      </c>
      <c r="F502" s="2" t="s">
        <v>1277</v>
      </c>
      <c r="G502" s="2" t="s">
        <v>505</v>
      </c>
      <c r="H502" s="2">
        <v>0.94516652099999998</v>
      </c>
      <c r="K502" s="4">
        <v>40896</v>
      </c>
      <c r="L502">
        <v>3.835</v>
      </c>
    </row>
    <row r="503" spans="1:12" x14ac:dyDescent="0.25">
      <c r="A503" s="2" t="s">
        <v>5</v>
      </c>
      <c r="B503" s="2" t="s">
        <v>506</v>
      </c>
      <c r="C503" s="2">
        <v>2.57376759097352</v>
      </c>
      <c r="D503" s="2">
        <f>VLOOKUP(OneWeekMtgRatesDataTable8[[#This Row],[AsOfDate]],G:H,2,0)+OneWeekMtgRatesDataTable8[[#This Row],[SeriesNumValue]]</f>
        <v>3.51893411197352</v>
      </c>
      <c r="F503" s="2" t="s">
        <v>1277</v>
      </c>
      <c r="G503" s="2" t="s">
        <v>506</v>
      </c>
      <c r="H503" s="2">
        <v>0.94516652099999998</v>
      </c>
      <c r="K503" s="4">
        <v>40897</v>
      </c>
      <c r="L503">
        <v>3.835</v>
      </c>
    </row>
    <row r="504" spans="1:12" x14ac:dyDescent="0.25">
      <c r="A504" s="2" t="s">
        <v>5</v>
      </c>
      <c r="B504" s="2" t="s">
        <v>507</v>
      </c>
      <c r="C504" s="2">
        <v>2.5914055356862402</v>
      </c>
      <c r="D504" s="2">
        <f>VLOOKUP(OneWeekMtgRatesDataTable8[[#This Row],[AsOfDate]],G:H,2,0)+OneWeekMtgRatesDataTable8[[#This Row],[SeriesNumValue]]</f>
        <v>3.5365720566862402</v>
      </c>
      <c r="F504" s="2" t="s">
        <v>1277</v>
      </c>
      <c r="G504" s="2" t="s">
        <v>507</v>
      </c>
      <c r="H504" s="2">
        <v>0.94516652099999998</v>
      </c>
      <c r="K504" s="4">
        <v>40898</v>
      </c>
      <c r="L504">
        <v>3.835</v>
      </c>
    </row>
    <row r="505" spans="1:12" x14ac:dyDescent="0.25">
      <c r="A505" s="2" t="s">
        <v>5</v>
      </c>
      <c r="B505" s="2" t="s">
        <v>508</v>
      </c>
      <c r="C505" s="2">
        <v>2.5556270132589098</v>
      </c>
      <c r="D505" s="2">
        <f>VLOOKUP(OneWeekMtgRatesDataTable8[[#This Row],[AsOfDate]],G:H,2,0)+OneWeekMtgRatesDataTable8[[#This Row],[SeriesNumValue]]</f>
        <v>3.5007935342589098</v>
      </c>
      <c r="F505" s="2" t="s">
        <v>1277</v>
      </c>
      <c r="G505" s="2" t="s">
        <v>508</v>
      </c>
      <c r="H505" s="2">
        <v>0.94516652099999998</v>
      </c>
      <c r="K505" s="4">
        <v>40899</v>
      </c>
      <c r="L505">
        <v>3.875</v>
      </c>
    </row>
    <row r="506" spans="1:12" x14ac:dyDescent="0.25">
      <c r="A506" s="2" t="s">
        <v>5</v>
      </c>
      <c r="B506" s="2" t="s">
        <v>509</v>
      </c>
      <c r="C506" s="2">
        <v>2.6005196496782901</v>
      </c>
      <c r="D506" s="2">
        <f>VLOOKUP(OneWeekMtgRatesDataTable8[[#This Row],[AsOfDate]],G:H,2,0)+OneWeekMtgRatesDataTable8[[#This Row],[SeriesNumValue]]</f>
        <v>3.5456861706782901</v>
      </c>
      <c r="F506" s="2" t="s">
        <v>1277</v>
      </c>
      <c r="G506" s="2" t="s">
        <v>509</v>
      </c>
      <c r="H506" s="2">
        <v>0.94516652099999998</v>
      </c>
      <c r="K506" s="4">
        <v>40900</v>
      </c>
      <c r="L506">
        <v>3.875</v>
      </c>
    </row>
    <row r="507" spans="1:12" x14ac:dyDescent="0.25">
      <c r="A507" s="2" t="s">
        <v>5</v>
      </c>
      <c r="B507" s="2" t="s">
        <v>510</v>
      </c>
      <c r="C507" s="2">
        <v>2.55943207517402</v>
      </c>
      <c r="D507" s="2">
        <f>VLOOKUP(OneWeekMtgRatesDataTable8[[#This Row],[AsOfDate]],G:H,2,0)+OneWeekMtgRatesDataTable8[[#This Row],[SeriesNumValue]]</f>
        <v>3.4632817021740201</v>
      </c>
      <c r="F507" s="2" t="s">
        <v>1277</v>
      </c>
      <c r="G507" s="2" t="s">
        <v>510</v>
      </c>
      <c r="H507" s="2">
        <v>0.90384962700000004</v>
      </c>
      <c r="K507" s="4">
        <v>40904</v>
      </c>
      <c r="L507">
        <v>3.875</v>
      </c>
    </row>
    <row r="508" spans="1:12" x14ac:dyDescent="0.25">
      <c r="A508" s="2" t="s">
        <v>5</v>
      </c>
      <c r="B508" s="2" t="s">
        <v>511</v>
      </c>
      <c r="C508" s="2">
        <v>2.5513624904448799</v>
      </c>
      <c r="D508" s="2">
        <f>VLOOKUP(OneWeekMtgRatesDataTable8[[#This Row],[AsOfDate]],G:H,2,0)+OneWeekMtgRatesDataTable8[[#This Row],[SeriesNumValue]]</f>
        <v>3.45521211744488</v>
      </c>
      <c r="F508" s="2" t="s">
        <v>1277</v>
      </c>
      <c r="G508" s="2" t="s">
        <v>511</v>
      </c>
      <c r="H508" s="2">
        <v>0.90384962700000004</v>
      </c>
      <c r="K508" s="4">
        <v>40905</v>
      </c>
      <c r="L508">
        <v>3.875</v>
      </c>
    </row>
    <row r="509" spans="1:12" x14ac:dyDescent="0.25">
      <c r="A509" s="2" t="s">
        <v>5</v>
      </c>
      <c r="B509" s="2" t="s">
        <v>512</v>
      </c>
      <c r="C509" s="2">
        <v>2.5731755488249699</v>
      </c>
      <c r="D509" s="2">
        <f>VLOOKUP(OneWeekMtgRatesDataTable8[[#This Row],[AsOfDate]],G:H,2,0)+OneWeekMtgRatesDataTable8[[#This Row],[SeriesNumValue]]</f>
        <v>3.4770251758249699</v>
      </c>
      <c r="F509" s="2" t="s">
        <v>1277</v>
      </c>
      <c r="G509" s="2" t="s">
        <v>512</v>
      </c>
      <c r="H509" s="2">
        <v>0.90384962700000004</v>
      </c>
      <c r="K509" s="4">
        <v>40906</v>
      </c>
      <c r="L509">
        <v>3.86</v>
      </c>
    </row>
    <row r="510" spans="1:12" x14ac:dyDescent="0.25">
      <c r="A510" s="2" t="s">
        <v>5</v>
      </c>
      <c r="B510" s="2" t="s">
        <v>513</v>
      </c>
      <c r="C510" s="2">
        <v>2.56530846465939</v>
      </c>
      <c r="D510" s="2">
        <f>VLOOKUP(OneWeekMtgRatesDataTable8[[#This Row],[AsOfDate]],G:H,2,0)+OneWeekMtgRatesDataTable8[[#This Row],[SeriesNumValue]]</f>
        <v>3.46915809165939</v>
      </c>
      <c r="F510" s="2" t="s">
        <v>1277</v>
      </c>
      <c r="G510" s="2" t="s">
        <v>513</v>
      </c>
      <c r="H510" s="2">
        <v>0.90384962700000004</v>
      </c>
      <c r="K510" s="4">
        <v>40907</v>
      </c>
      <c r="L510">
        <v>3.86</v>
      </c>
    </row>
    <row r="511" spans="1:12" x14ac:dyDescent="0.25">
      <c r="A511" s="2" t="s">
        <v>5</v>
      </c>
      <c r="B511" s="2" t="s">
        <v>514</v>
      </c>
      <c r="C511" s="2">
        <v>2.6070118411689598</v>
      </c>
      <c r="D511" s="2">
        <f>VLOOKUP(OneWeekMtgRatesDataTable8[[#This Row],[AsOfDate]],G:H,2,0)+OneWeekMtgRatesDataTable8[[#This Row],[SeriesNumValue]]</f>
        <v>3.5108614681689598</v>
      </c>
      <c r="F511" s="2" t="s">
        <v>1277</v>
      </c>
      <c r="G511" s="2" t="s">
        <v>514</v>
      </c>
      <c r="H511" s="2">
        <v>0.90384962700000004</v>
      </c>
      <c r="K511" s="4">
        <v>40911</v>
      </c>
      <c r="L511">
        <v>3.86</v>
      </c>
    </row>
    <row r="512" spans="1:12" x14ac:dyDescent="0.25">
      <c r="A512" s="2" t="s">
        <v>5</v>
      </c>
      <c r="B512" s="2" t="s">
        <v>515</v>
      </c>
      <c r="C512" s="2">
        <v>2.6537197373142098</v>
      </c>
      <c r="D512" s="2">
        <f>VLOOKUP(OneWeekMtgRatesDataTable8[[#This Row],[AsOfDate]],G:H,2,0)+OneWeekMtgRatesDataTable8[[#This Row],[SeriesNumValue]]</f>
        <v>3.54360412131421</v>
      </c>
      <c r="F512" s="2" t="s">
        <v>1277</v>
      </c>
      <c r="G512" s="2" t="s">
        <v>515</v>
      </c>
      <c r="H512" s="2">
        <v>0.88988438400000003</v>
      </c>
      <c r="K512" s="4">
        <v>40912</v>
      </c>
      <c r="L512">
        <v>3.86</v>
      </c>
    </row>
    <row r="513" spans="1:12" x14ac:dyDescent="0.25">
      <c r="A513" s="2" t="s">
        <v>5</v>
      </c>
      <c r="B513" s="2" t="s">
        <v>516</v>
      </c>
      <c r="C513" s="2">
        <v>2.6085491789438602</v>
      </c>
      <c r="D513" s="2">
        <f>VLOOKUP(OneWeekMtgRatesDataTable8[[#This Row],[AsOfDate]],G:H,2,0)+OneWeekMtgRatesDataTable8[[#This Row],[SeriesNumValue]]</f>
        <v>3.4984335629438603</v>
      </c>
      <c r="F513" s="2" t="s">
        <v>1277</v>
      </c>
      <c r="G513" s="2" t="s">
        <v>516</v>
      </c>
      <c r="H513" s="2">
        <v>0.88988438400000003</v>
      </c>
      <c r="K513" s="4">
        <v>40913</v>
      </c>
      <c r="L513">
        <v>3.8149999999999999</v>
      </c>
    </row>
    <row r="514" spans="1:12" x14ac:dyDescent="0.25">
      <c r="A514" s="2" t="s">
        <v>5</v>
      </c>
      <c r="B514" s="2" t="s">
        <v>517</v>
      </c>
      <c r="C514" s="2">
        <v>2.6207856725732901</v>
      </c>
      <c r="D514" s="2">
        <f>VLOOKUP(OneWeekMtgRatesDataTable8[[#This Row],[AsOfDate]],G:H,2,0)+OneWeekMtgRatesDataTable8[[#This Row],[SeriesNumValue]]</f>
        <v>3.5106700565732902</v>
      </c>
      <c r="F514" s="2" t="s">
        <v>1277</v>
      </c>
      <c r="G514" s="2" t="s">
        <v>517</v>
      </c>
      <c r="H514" s="2">
        <v>0.88988438400000003</v>
      </c>
      <c r="K514" s="4">
        <v>40914</v>
      </c>
      <c r="L514">
        <v>3.8149999999999999</v>
      </c>
    </row>
    <row r="515" spans="1:12" x14ac:dyDescent="0.25">
      <c r="A515" s="2" t="s">
        <v>5</v>
      </c>
      <c r="B515" s="2" t="s">
        <v>518</v>
      </c>
      <c r="C515" s="2">
        <v>2.6380211947179002</v>
      </c>
      <c r="D515" s="2">
        <f>VLOOKUP(OneWeekMtgRatesDataTable8[[#This Row],[AsOfDate]],G:H,2,0)+OneWeekMtgRatesDataTable8[[#This Row],[SeriesNumValue]]</f>
        <v>3.5279055787179003</v>
      </c>
      <c r="F515" s="2" t="s">
        <v>1277</v>
      </c>
      <c r="G515" s="2" t="s">
        <v>518</v>
      </c>
      <c r="H515" s="2">
        <v>0.88988438400000003</v>
      </c>
      <c r="K515" s="4">
        <v>40917</v>
      </c>
      <c r="L515">
        <v>3.8149999999999999</v>
      </c>
    </row>
    <row r="516" spans="1:12" x14ac:dyDescent="0.25">
      <c r="A516" s="2" t="s">
        <v>5</v>
      </c>
      <c r="B516" s="2" t="s">
        <v>519</v>
      </c>
      <c r="C516" s="2">
        <v>2.63796949913782</v>
      </c>
      <c r="D516" s="2">
        <f>VLOOKUP(OneWeekMtgRatesDataTable8[[#This Row],[AsOfDate]],G:H,2,0)+OneWeekMtgRatesDataTable8[[#This Row],[SeriesNumValue]]</f>
        <v>3.5216381131378198</v>
      </c>
      <c r="F516" s="2" t="s">
        <v>1277</v>
      </c>
      <c r="G516" s="2" t="s">
        <v>519</v>
      </c>
      <c r="H516" s="2">
        <v>0.88366861399999996</v>
      </c>
      <c r="K516" s="4">
        <v>40918</v>
      </c>
      <c r="L516">
        <v>3.8149999999999999</v>
      </c>
    </row>
    <row r="517" spans="1:12" x14ac:dyDescent="0.25">
      <c r="A517" s="2" t="s">
        <v>5</v>
      </c>
      <c r="B517" s="2" t="s">
        <v>520</v>
      </c>
      <c r="C517" s="2">
        <v>2.6257405351132901</v>
      </c>
      <c r="D517" s="2">
        <f>VLOOKUP(OneWeekMtgRatesDataTable8[[#This Row],[AsOfDate]],G:H,2,0)+OneWeekMtgRatesDataTable8[[#This Row],[SeriesNumValue]]</f>
        <v>3.5094091491132899</v>
      </c>
      <c r="F517" s="2" t="s">
        <v>1277</v>
      </c>
      <c r="G517" s="2" t="s">
        <v>520</v>
      </c>
      <c r="H517" s="2">
        <v>0.88366861399999996</v>
      </c>
      <c r="K517" s="4">
        <v>40919</v>
      </c>
      <c r="L517">
        <v>3.8149999999999999</v>
      </c>
    </row>
    <row r="518" spans="1:12" x14ac:dyDescent="0.25">
      <c r="A518" s="2" t="s">
        <v>5</v>
      </c>
      <c r="B518" s="2" t="s">
        <v>521</v>
      </c>
      <c r="C518" s="2">
        <v>2.6251399034844098</v>
      </c>
      <c r="D518" s="2">
        <f>VLOOKUP(OneWeekMtgRatesDataTable8[[#This Row],[AsOfDate]],G:H,2,0)+OneWeekMtgRatesDataTable8[[#This Row],[SeriesNumValue]]</f>
        <v>3.5088085174844097</v>
      </c>
      <c r="F518" s="2" t="s">
        <v>1277</v>
      </c>
      <c r="G518" s="2" t="s">
        <v>521</v>
      </c>
      <c r="H518" s="2">
        <v>0.88366861399999996</v>
      </c>
      <c r="K518" s="4">
        <v>40920</v>
      </c>
      <c r="L518">
        <v>3.83</v>
      </c>
    </row>
    <row r="519" spans="1:12" x14ac:dyDescent="0.25">
      <c r="A519" s="2" t="s">
        <v>5</v>
      </c>
      <c r="B519" s="2" t="s">
        <v>522</v>
      </c>
      <c r="C519" s="2">
        <v>2.5578588429933502</v>
      </c>
      <c r="D519" s="2">
        <f>VLOOKUP(OneWeekMtgRatesDataTable8[[#This Row],[AsOfDate]],G:H,2,0)+OneWeekMtgRatesDataTable8[[#This Row],[SeriesNumValue]]</f>
        <v>3.4415274569933501</v>
      </c>
      <c r="F519" s="2" t="s">
        <v>1277</v>
      </c>
      <c r="G519" s="2" t="s">
        <v>522</v>
      </c>
      <c r="H519" s="2">
        <v>0.88366861399999996</v>
      </c>
      <c r="K519" s="4">
        <v>40921</v>
      </c>
      <c r="L519">
        <v>3.83</v>
      </c>
    </row>
    <row r="520" spans="1:12" x14ac:dyDescent="0.25">
      <c r="A520" s="2" t="s">
        <v>5</v>
      </c>
      <c r="B520" s="2" t="s">
        <v>523</v>
      </c>
      <c r="C520" s="2">
        <v>2.5389569445759999</v>
      </c>
      <c r="D520" s="2">
        <f>VLOOKUP(OneWeekMtgRatesDataTable8[[#This Row],[AsOfDate]],G:H,2,0)+OneWeekMtgRatesDataTable8[[#This Row],[SeriesNumValue]]</f>
        <v>3.4226255585759997</v>
      </c>
      <c r="F520" s="2" t="s">
        <v>1277</v>
      </c>
      <c r="G520" s="2" t="s">
        <v>523</v>
      </c>
      <c r="H520" s="2">
        <v>0.88366861399999996</v>
      </c>
      <c r="K520" s="4">
        <v>40925</v>
      </c>
      <c r="L520">
        <v>3.83</v>
      </c>
    </row>
    <row r="521" spans="1:12" x14ac:dyDescent="0.25">
      <c r="A521" s="2" t="s">
        <v>5</v>
      </c>
      <c r="B521" s="2" t="s">
        <v>524</v>
      </c>
      <c r="C521" s="2">
        <v>2.5732198821136101</v>
      </c>
      <c r="D521" s="2">
        <f>VLOOKUP(OneWeekMtgRatesDataTable8[[#This Row],[AsOfDate]],G:H,2,0)+OneWeekMtgRatesDataTable8[[#This Row],[SeriesNumValue]]</f>
        <v>3.44903666011361</v>
      </c>
      <c r="F521" s="2" t="s">
        <v>1277</v>
      </c>
      <c r="G521" s="2" t="s">
        <v>524</v>
      </c>
      <c r="H521" s="2">
        <v>0.87581677800000002</v>
      </c>
      <c r="K521" s="4">
        <v>40926</v>
      </c>
      <c r="L521">
        <v>3.83</v>
      </c>
    </row>
    <row r="522" spans="1:12" x14ac:dyDescent="0.25">
      <c r="A522" s="2" t="s">
        <v>5</v>
      </c>
      <c r="B522" s="2" t="s">
        <v>525</v>
      </c>
      <c r="C522" s="2">
        <v>2.5448374323223399</v>
      </c>
      <c r="D522" s="2">
        <f>VLOOKUP(OneWeekMtgRatesDataTable8[[#This Row],[AsOfDate]],G:H,2,0)+OneWeekMtgRatesDataTable8[[#This Row],[SeriesNumValue]]</f>
        <v>3.4206542103223398</v>
      </c>
      <c r="F522" s="2" t="s">
        <v>1277</v>
      </c>
      <c r="G522" s="2" t="s">
        <v>525</v>
      </c>
      <c r="H522" s="2">
        <v>0.87581677800000002</v>
      </c>
      <c r="K522" s="4">
        <v>40927</v>
      </c>
      <c r="L522">
        <v>3.9049999999999998</v>
      </c>
    </row>
    <row r="523" spans="1:12" x14ac:dyDescent="0.25">
      <c r="A523" s="2" t="s">
        <v>5</v>
      </c>
      <c r="B523" s="2" t="s">
        <v>526</v>
      </c>
      <c r="C523" s="2">
        <v>2.5299300395983999</v>
      </c>
      <c r="D523" s="2">
        <f>VLOOKUP(OneWeekMtgRatesDataTable8[[#This Row],[AsOfDate]],G:H,2,0)+OneWeekMtgRatesDataTable8[[#This Row],[SeriesNumValue]]</f>
        <v>3.4057468175983998</v>
      </c>
      <c r="F523" s="2" t="s">
        <v>1277</v>
      </c>
      <c r="G523" s="2" t="s">
        <v>526</v>
      </c>
      <c r="H523" s="2">
        <v>0.87581677800000002</v>
      </c>
      <c r="K523" s="4">
        <v>40928</v>
      </c>
      <c r="L523">
        <v>3.9049999999999998</v>
      </c>
    </row>
    <row r="524" spans="1:12" x14ac:dyDescent="0.25">
      <c r="A524" s="2" t="s">
        <v>5</v>
      </c>
      <c r="B524" s="2" t="s">
        <v>527</v>
      </c>
      <c r="C524" s="2">
        <v>2.5457760046441602</v>
      </c>
      <c r="D524" s="2">
        <f>VLOOKUP(OneWeekMtgRatesDataTable8[[#This Row],[AsOfDate]],G:H,2,0)+OneWeekMtgRatesDataTable8[[#This Row],[SeriesNumValue]]</f>
        <v>3.4215927826441601</v>
      </c>
      <c r="F524" s="2" t="s">
        <v>1277</v>
      </c>
      <c r="G524" s="2" t="s">
        <v>527</v>
      </c>
      <c r="H524" s="2">
        <v>0.87581677800000002</v>
      </c>
      <c r="K524" s="4">
        <v>40931</v>
      </c>
      <c r="L524">
        <v>3.9049999999999998</v>
      </c>
    </row>
    <row r="525" spans="1:12" x14ac:dyDescent="0.25">
      <c r="A525" s="2" t="s">
        <v>5</v>
      </c>
      <c r="B525" s="2" t="s">
        <v>528</v>
      </c>
      <c r="C525" s="2">
        <v>2.56075645776348</v>
      </c>
      <c r="D525" s="2">
        <f>VLOOKUP(OneWeekMtgRatesDataTable8[[#This Row],[AsOfDate]],G:H,2,0)+OneWeekMtgRatesDataTable8[[#This Row],[SeriesNumValue]]</f>
        <v>3.4365732357634799</v>
      </c>
      <c r="F525" s="2" t="s">
        <v>1277</v>
      </c>
      <c r="G525" s="2" t="s">
        <v>528</v>
      </c>
      <c r="H525" s="2">
        <v>0.87581677800000002</v>
      </c>
      <c r="K525" s="4">
        <v>40932</v>
      </c>
      <c r="L525">
        <v>3.9049999999999998</v>
      </c>
    </row>
    <row r="526" spans="1:12" x14ac:dyDescent="0.25">
      <c r="A526" s="2" t="s">
        <v>5</v>
      </c>
      <c r="B526" s="2" t="s">
        <v>529</v>
      </c>
      <c r="C526" s="2">
        <v>2.6125524232747801</v>
      </c>
      <c r="D526" s="2">
        <f>VLOOKUP(OneWeekMtgRatesDataTable8[[#This Row],[AsOfDate]],G:H,2,0)+OneWeekMtgRatesDataTable8[[#This Row],[SeriesNumValue]]</f>
        <v>3.49878195127478</v>
      </c>
      <c r="F526" s="2" t="s">
        <v>1277</v>
      </c>
      <c r="G526" s="2" t="s">
        <v>529</v>
      </c>
      <c r="H526" s="2">
        <v>0.88622952799999999</v>
      </c>
      <c r="K526" s="4">
        <v>40933</v>
      </c>
      <c r="L526">
        <v>3.9049999999999998</v>
      </c>
    </row>
    <row r="527" spans="1:12" x14ac:dyDescent="0.25">
      <c r="A527" s="2" t="s">
        <v>5</v>
      </c>
      <c r="B527" s="2" t="s">
        <v>530</v>
      </c>
      <c r="C527" s="2">
        <v>2.6733074908689098</v>
      </c>
      <c r="D527" s="2">
        <f>VLOOKUP(OneWeekMtgRatesDataTable8[[#This Row],[AsOfDate]],G:H,2,0)+OneWeekMtgRatesDataTable8[[#This Row],[SeriesNumValue]]</f>
        <v>3.5595370188689097</v>
      </c>
      <c r="F527" s="2" t="s">
        <v>1277</v>
      </c>
      <c r="G527" s="2" t="s">
        <v>530</v>
      </c>
      <c r="H527" s="2">
        <v>0.88622952799999999</v>
      </c>
      <c r="K527" s="4">
        <v>40934</v>
      </c>
      <c r="L527">
        <v>3.82</v>
      </c>
    </row>
    <row r="528" spans="1:12" x14ac:dyDescent="0.25">
      <c r="A528" s="2" t="s">
        <v>5</v>
      </c>
      <c r="B528" s="2" t="s">
        <v>531</v>
      </c>
      <c r="C528" s="2">
        <v>2.7519155244705402</v>
      </c>
      <c r="D528" s="2">
        <f>VLOOKUP(OneWeekMtgRatesDataTable8[[#This Row],[AsOfDate]],G:H,2,0)+OneWeekMtgRatesDataTable8[[#This Row],[SeriesNumValue]]</f>
        <v>3.6381450524705401</v>
      </c>
      <c r="F528" s="2" t="s">
        <v>1277</v>
      </c>
      <c r="G528" s="2" t="s">
        <v>531</v>
      </c>
      <c r="H528" s="2">
        <v>0.88622952799999999</v>
      </c>
      <c r="K528" s="4">
        <v>40935</v>
      </c>
      <c r="L528">
        <v>3.82</v>
      </c>
    </row>
    <row r="529" spans="1:12" x14ac:dyDescent="0.25">
      <c r="A529" s="2" t="s">
        <v>5</v>
      </c>
      <c r="B529" s="2" t="s">
        <v>532</v>
      </c>
      <c r="C529" s="2">
        <v>2.7399845789483299</v>
      </c>
      <c r="D529" s="2">
        <f>VLOOKUP(OneWeekMtgRatesDataTable8[[#This Row],[AsOfDate]],G:H,2,0)+OneWeekMtgRatesDataTable8[[#This Row],[SeriesNumValue]]</f>
        <v>3.6262141069483298</v>
      </c>
      <c r="F529" s="2" t="s">
        <v>1277</v>
      </c>
      <c r="G529" s="2" t="s">
        <v>532</v>
      </c>
      <c r="H529" s="2">
        <v>0.88622952799999999</v>
      </c>
      <c r="K529" s="4">
        <v>40938</v>
      </c>
      <c r="L529">
        <v>3.82</v>
      </c>
    </row>
    <row r="530" spans="1:12" x14ac:dyDescent="0.25">
      <c r="A530" s="2" t="s">
        <v>5</v>
      </c>
      <c r="B530" s="2" t="s">
        <v>533</v>
      </c>
      <c r="C530" s="2">
        <v>2.7064552884836801</v>
      </c>
      <c r="D530" s="2">
        <f>VLOOKUP(OneWeekMtgRatesDataTable8[[#This Row],[AsOfDate]],G:H,2,0)+OneWeekMtgRatesDataTable8[[#This Row],[SeriesNumValue]]</f>
        <v>3.59268481648368</v>
      </c>
      <c r="F530" s="2" t="s">
        <v>1277</v>
      </c>
      <c r="G530" s="2" t="s">
        <v>533</v>
      </c>
      <c r="H530" s="2">
        <v>0.88622952799999999</v>
      </c>
      <c r="K530" s="4">
        <v>40939</v>
      </c>
      <c r="L530">
        <v>3.82</v>
      </c>
    </row>
    <row r="531" spans="1:12" x14ac:dyDescent="0.25">
      <c r="A531" s="2" t="s">
        <v>5</v>
      </c>
      <c r="B531" s="2" t="s">
        <v>534</v>
      </c>
      <c r="C531" s="2">
        <v>2.70043867478531</v>
      </c>
      <c r="D531" s="2">
        <f>VLOOKUP(OneWeekMtgRatesDataTable8[[#This Row],[AsOfDate]],G:H,2,0)+OneWeekMtgRatesDataTable8[[#This Row],[SeriesNumValue]]</f>
        <v>3.5660183627853099</v>
      </c>
      <c r="F531" s="2" t="s">
        <v>1277</v>
      </c>
      <c r="G531" s="2" t="s">
        <v>534</v>
      </c>
      <c r="H531" s="2">
        <v>0.86557968799999996</v>
      </c>
      <c r="K531" s="4">
        <v>40940</v>
      </c>
      <c r="L531">
        <v>3.82</v>
      </c>
    </row>
    <row r="532" spans="1:12" x14ac:dyDescent="0.25">
      <c r="A532" s="2" t="s">
        <v>5</v>
      </c>
      <c r="B532" s="2" t="s">
        <v>535</v>
      </c>
      <c r="C532" s="2">
        <v>2.7054585787984</v>
      </c>
      <c r="D532" s="2">
        <f>VLOOKUP(OneWeekMtgRatesDataTable8[[#This Row],[AsOfDate]],G:H,2,0)+OneWeekMtgRatesDataTable8[[#This Row],[SeriesNumValue]]</f>
        <v>3.5710382667984</v>
      </c>
      <c r="F532" s="2" t="s">
        <v>1277</v>
      </c>
      <c r="G532" s="2" t="s">
        <v>535</v>
      </c>
      <c r="H532" s="2">
        <v>0.86557968799999996</v>
      </c>
      <c r="K532" s="4">
        <v>40941</v>
      </c>
      <c r="L532">
        <v>3.82</v>
      </c>
    </row>
    <row r="533" spans="1:12" x14ac:dyDescent="0.25">
      <c r="A533" s="2" t="s">
        <v>5</v>
      </c>
      <c r="B533" s="2" t="s">
        <v>536</v>
      </c>
      <c r="C533" s="2">
        <v>2.6643363272696798</v>
      </c>
      <c r="D533" s="2">
        <f>VLOOKUP(OneWeekMtgRatesDataTable8[[#This Row],[AsOfDate]],G:H,2,0)+OneWeekMtgRatesDataTable8[[#This Row],[SeriesNumValue]]</f>
        <v>3.5299160152696798</v>
      </c>
      <c r="F533" s="2" t="s">
        <v>1277</v>
      </c>
      <c r="G533" s="2" t="s">
        <v>536</v>
      </c>
      <c r="H533" s="2">
        <v>0.86557968799999996</v>
      </c>
      <c r="K533" s="4">
        <v>40942</v>
      </c>
      <c r="L533">
        <v>3.82</v>
      </c>
    </row>
    <row r="534" spans="1:12" x14ac:dyDescent="0.25">
      <c r="A534" s="2" t="s">
        <v>5</v>
      </c>
      <c r="B534" s="2" t="s">
        <v>537</v>
      </c>
      <c r="C534" s="2">
        <v>2.6296268135310301</v>
      </c>
      <c r="D534" s="2">
        <f>VLOOKUP(OneWeekMtgRatesDataTable8[[#This Row],[AsOfDate]],G:H,2,0)+OneWeekMtgRatesDataTable8[[#This Row],[SeriesNumValue]]</f>
        <v>3.4952065015310301</v>
      </c>
      <c r="F534" s="2" t="s">
        <v>1277</v>
      </c>
      <c r="G534" s="2" t="s">
        <v>537</v>
      </c>
      <c r="H534" s="2">
        <v>0.86557968799999996</v>
      </c>
      <c r="K534" s="4">
        <v>40945</v>
      </c>
      <c r="L534">
        <v>3.82</v>
      </c>
    </row>
    <row r="535" spans="1:12" x14ac:dyDescent="0.25">
      <c r="A535" s="2" t="s">
        <v>5</v>
      </c>
      <c r="B535" s="2" t="s">
        <v>538</v>
      </c>
      <c r="C535" s="2">
        <v>2.6068633017671599</v>
      </c>
      <c r="D535" s="2">
        <f>VLOOKUP(OneWeekMtgRatesDataTable8[[#This Row],[AsOfDate]],G:H,2,0)+OneWeekMtgRatesDataTable8[[#This Row],[SeriesNumValue]]</f>
        <v>3.4724429897671598</v>
      </c>
      <c r="F535" s="2" t="s">
        <v>1277</v>
      </c>
      <c r="G535" s="2" t="s">
        <v>538</v>
      </c>
      <c r="H535" s="2">
        <v>0.86557968799999996</v>
      </c>
      <c r="K535" s="4">
        <v>40946</v>
      </c>
      <c r="L535">
        <v>3.82</v>
      </c>
    </row>
    <row r="536" spans="1:12" x14ac:dyDescent="0.25">
      <c r="A536" s="2" t="s">
        <v>5</v>
      </c>
      <c r="B536" s="2" t="s">
        <v>539</v>
      </c>
      <c r="C536" s="2">
        <v>2.6469827013594598</v>
      </c>
      <c r="D536" s="2">
        <f>VLOOKUP(OneWeekMtgRatesDataTable8[[#This Row],[AsOfDate]],G:H,2,0)+OneWeekMtgRatesDataTable8[[#This Row],[SeriesNumValue]]</f>
        <v>3.4863291563594601</v>
      </c>
      <c r="F536" s="2" t="s">
        <v>1277</v>
      </c>
      <c r="G536" s="2" t="s">
        <v>539</v>
      </c>
      <c r="H536" s="2">
        <v>0.83934645500000005</v>
      </c>
      <c r="K536" s="4">
        <v>40947</v>
      </c>
      <c r="L536">
        <v>3.82</v>
      </c>
    </row>
    <row r="537" spans="1:12" x14ac:dyDescent="0.25">
      <c r="A537" s="2" t="s">
        <v>5</v>
      </c>
      <c r="B537" s="2" t="s">
        <v>540</v>
      </c>
      <c r="C537" s="2">
        <v>2.6762749111600002</v>
      </c>
      <c r="D537" s="2">
        <f>VLOOKUP(OneWeekMtgRatesDataTable8[[#This Row],[AsOfDate]],G:H,2,0)+OneWeekMtgRatesDataTable8[[#This Row],[SeriesNumValue]]</f>
        <v>3.5156213661600004</v>
      </c>
      <c r="F537" s="2" t="s">
        <v>1277</v>
      </c>
      <c r="G537" s="2" t="s">
        <v>540</v>
      </c>
      <c r="H537" s="2">
        <v>0.83934645500000005</v>
      </c>
      <c r="K537" s="4">
        <v>40948</v>
      </c>
      <c r="L537">
        <v>3.82</v>
      </c>
    </row>
    <row r="538" spans="1:12" x14ac:dyDescent="0.25">
      <c r="A538" s="2" t="s">
        <v>5</v>
      </c>
      <c r="B538" s="2" t="s">
        <v>541</v>
      </c>
      <c r="C538" s="2">
        <v>2.6414844586182298</v>
      </c>
      <c r="D538" s="2">
        <f>VLOOKUP(OneWeekMtgRatesDataTable8[[#This Row],[AsOfDate]],G:H,2,0)+OneWeekMtgRatesDataTable8[[#This Row],[SeriesNumValue]]</f>
        <v>3.48083091361823</v>
      </c>
      <c r="F538" s="2" t="s">
        <v>1277</v>
      </c>
      <c r="G538" s="2" t="s">
        <v>541</v>
      </c>
      <c r="H538" s="2">
        <v>0.83934645500000005</v>
      </c>
      <c r="K538" s="4">
        <v>40949</v>
      </c>
      <c r="L538">
        <v>3.82</v>
      </c>
    </row>
    <row r="539" spans="1:12" x14ac:dyDescent="0.25">
      <c r="A539" s="2" t="s">
        <v>5</v>
      </c>
      <c r="B539" s="2" t="s">
        <v>542</v>
      </c>
      <c r="C539" s="2">
        <v>2.6394759315969498</v>
      </c>
      <c r="D539" s="2">
        <f>VLOOKUP(OneWeekMtgRatesDataTable8[[#This Row],[AsOfDate]],G:H,2,0)+OneWeekMtgRatesDataTable8[[#This Row],[SeriesNumValue]]</f>
        <v>3.4788223865969501</v>
      </c>
      <c r="F539" s="2" t="s">
        <v>1277</v>
      </c>
      <c r="G539" s="2" t="s">
        <v>542</v>
      </c>
      <c r="H539" s="2">
        <v>0.83934645500000005</v>
      </c>
      <c r="K539" s="4">
        <v>40952</v>
      </c>
      <c r="L539">
        <v>3.82</v>
      </c>
    </row>
    <row r="540" spans="1:12" x14ac:dyDescent="0.25">
      <c r="A540" s="2" t="s">
        <v>5</v>
      </c>
      <c r="B540" s="2" t="s">
        <v>543</v>
      </c>
      <c r="C540" s="2">
        <v>2.6425583507311501</v>
      </c>
      <c r="D540" s="2">
        <f>VLOOKUP(OneWeekMtgRatesDataTable8[[#This Row],[AsOfDate]],G:H,2,0)+OneWeekMtgRatesDataTable8[[#This Row],[SeriesNumValue]]</f>
        <v>3.4819048057311504</v>
      </c>
      <c r="F540" s="2" t="s">
        <v>1277</v>
      </c>
      <c r="G540" s="2" t="s">
        <v>543</v>
      </c>
      <c r="H540" s="2">
        <v>0.83934645500000005</v>
      </c>
      <c r="K540" s="4">
        <v>40953</v>
      </c>
      <c r="L540">
        <v>3.82</v>
      </c>
    </row>
    <row r="541" spans="1:12" x14ac:dyDescent="0.25">
      <c r="A541" s="2" t="s">
        <v>5</v>
      </c>
      <c r="B541" s="2" t="s">
        <v>544</v>
      </c>
      <c r="C541" s="2">
        <v>2.6080685310037901</v>
      </c>
      <c r="D541" s="2">
        <f>VLOOKUP(OneWeekMtgRatesDataTable8[[#This Row],[AsOfDate]],G:H,2,0)+OneWeekMtgRatesDataTable8[[#This Row],[SeriesNumValue]]</f>
        <v>3.4864960940037903</v>
      </c>
      <c r="F541" s="2" t="s">
        <v>1277</v>
      </c>
      <c r="G541" s="2" t="s">
        <v>544</v>
      </c>
      <c r="H541" s="2">
        <v>0.87842756300000002</v>
      </c>
      <c r="K541" s="4">
        <v>40954</v>
      </c>
      <c r="L541">
        <v>3.82</v>
      </c>
    </row>
    <row r="542" spans="1:12" x14ac:dyDescent="0.25">
      <c r="A542" s="2" t="s">
        <v>5</v>
      </c>
      <c r="B542" s="2" t="s">
        <v>545</v>
      </c>
      <c r="C542" s="2">
        <v>2.6143335780898398</v>
      </c>
      <c r="D542" s="2">
        <f>VLOOKUP(OneWeekMtgRatesDataTable8[[#This Row],[AsOfDate]],G:H,2,0)+OneWeekMtgRatesDataTable8[[#This Row],[SeriesNumValue]]</f>
        <v>3.49276114108984</v>
      </c>
      <c r="F542" s="2" t="s">
        <v>1277</v>
      </c>
      <c r="G542" s="2" t="s">
        <v>545</v>
      </c>
      <c r="H542" s="2">
        <v>0.87842756300000002</v>
      </c>
      <c r="K542" s="4">
        <v>40955</v>
      </c>
      <c r="L542">
        <v>3.9</v>
      </c>
    </row>
    <row r="543" spans="1:12" x14ac:dyDescent="0.25">
      <c r="A543" s="2" t="s">
        <v>5</v>
      </c>
      <c r="B543" s="2" t="s">
        <v>546</v>
      </c>
      <c r="C543" s="2">
        <v>2.5951295555522802</v>
      </c>
      <c r="D543" s="2">
        <f>VLOOKUP(OneWeekMtgRatesDataTable8[[#This Row],[AsOfDate]],G:H,2,0)+OneWeekMtgRatesDataTable8[[#This Row],[SeriesNumValue]]</f>
        <v>3.4735571185522804</v>
      </c>
      <c r="F543" s="2" t="s">
        <v>1277</v>
      </c>
      <c r="G543" s="2" t="s">
        <v>546</v>
      </c>
      <c r="H543" s="2">
        <v>0.87842756300000002</v>
      </c>
      <c r="K543" s="4">
        <v>40956</v>
      </c>
      <c r="L543">
        <v>3.9</v>
      </c>
    </row>
    <row r="544" spans="1:12" x14ac:dyDescent="0.25">
      <c r="A544" s="2" t="s">
        <v>5</v>
      </c>
      <c r="B544" s="2" t="s">
        <v>547</v>
      </c>
      <c r="C544" s="2">
        <v>2.6101991222676499</v>
      </c>
      <c r="D544" s="2">
        <f>VLOOKUP(OneWeekMtgRatesDataTable8[[#This Row],[AsOfDate]],G:H,2,0)+OneWeekMtgRatesDataTable8[[#This Row],[SeriesNumValue]]</f>
        <v>3.4886266852676497</v>
      </c>
      <c r="F544" s="2" t="s">
        <v>1277</v>
      </c>
      <c r="G544" s="2" t="s">
        <v>547</v>
      </c>
      <c r="H544" s="2">
        <v>0.87842756300000002</v>
      </c>
      <c r="K544" s="4">
        <v>40960</v>
      </c>
      <c r="L544">
        <v>3.9</v>
      </c>
    </row>
    <row r="545" spans="1:12" x14ac:dyDescent="0.25">
      <c r="A545" s="2" t="s">
        <v>5</v>
      </c>
      <c r="B545" s="2" t="s">
        <v>548</v>
      </c>
      <c r="C545" s="2">
        <v>2.5647186741288901</v>
      </c>
      <c r="D545" s="2">
        <f>VLOOKUP(OneWeekMtgRatesDataTable8[[#This Row],[AsOfDate]],G:H,2,0)+OneWeekMtgRatesDataTable8[[#This Row],[SeriesNumValue]]</f>
        <v>3.4586234411288901</v>
      </c>
      <c r="F545" s="2" t="s">
        <v>1277</v>
      </c>
      <c r="G545" s="2" t="s">
        <v>548</v>
      </c>
      <c r="H545" s="2">
        <v>0.89390476699999999</v>
      </c>
      <c r="K545" s="4">
        <v>40961</v>
      </c>
      <c r="L545">
        <v>3.9</v>
      </c>
    </row>
    <row r="546" spans="1:12" x14ac:dyDescent="0.25">
      <c r="A546" s="2" t="s">
        <v>5</v>
      </c>
      <c r="B546" s="2" t="s">
        <v>549</v>
      </c>
      <c r="C546" s="2">
        <v>2.4858730996264899</v>
      </c>
      <c r="D546" s="2">
        <f>VLOOKUP(OneWeekMtgRatesDataTable8[[#This Row],[AsOfDate]],G:H,2,0)+OneWeekMtgRatesDataTable8[[#This Row],[SeriesNumValue]]</f>
        <v>3.3797778666264899</v>
      </c>
      <c r="F546" s="2" t="s">
        <v>1277</v>
      </c>
      <c r="G546" s="2" t="s">
        <v>549</v>
      </c>
      <c r="H546" s="2">
        <v>0.89390476699999999</v>
      </c>
      <c r="K546" s="4">
        <v>40962</v>
      </c>
      <c r="L546">
        <v>3.85</v>
      </c>
    </row>
    <row r="547" spans="1:12" x14ac:dyDescent="0.25">
      <c r="A547" s="2" t="s">
        <v>5</v>
      </c>
      <c r="B547" s="2" t="s">
        <v>550</v>
      </c>
      <c r="C547" s="2">
        <v>2.4173832768427301</v>
      </c>
      <c r="D547" s="2">
        <f>VLOOKUP(OneWeekMtgRatesDataTable8[[#This Row],[AsOfDate]],G:H,2,0)+OneWeekMtgRatesDataTable8[[#This Row],[SeriesNumValue]]</f>
        <v>3.3112880438427301</v>
      </c>
      <c r="F547" s="2" t="s">
        <v>1277</v>
      </c>
      <c r="G547" s="2" t="s">
        <v>550</v>
      </c>
      <c r="H547" s="2">
        <v>0.89390476699999999</v>
      </c>
      <c r="K547" s="4">
        <v>40963</v>
      </c>
      <c r="L547">
        <v>3.85</v>
      </c>
    </row>
    <row r="548" spans="1:12" x14ac:dyDescent="0.25">
      <c r="A548" s="2" t="s">
        <v>5</v>
      </c>
      <c r="B548" s="2" t="s">
        <v>551</v>
      </c>
      <c r="C548" s="2">
        <v>2.4769497822755899</v>
      </c>
      <c r="D548" s="2">
        <f>VLOOKUP(OneWeekMtgRatesDataTable8[[#This Row],[AsOfDate]],G:H,2,0)+OneWeekMtgRatesDataTable8[[#This Row],[SeriesNumValue]]</f>
        <v>3.3708545492755899</v>
      </c>
      <c r="F548" s="2" t="s">
        <v>1277</v>
      </c>
      <c r="G548" s="2" t="s">
        <v>551</v>
      </c>
      <c r="H548" s="2">
        <v>0.89390476699999999</v>
      </c>
      <c r="K548" s="4">
        <v>40966</v>
      </c>
      <c r="L548">
        <v>3.85</v>
      </c>
    </row>
    <row r="549" spans="1:12" x14ac:dyDescent="0.25">
      <c r="A549" s="2" t="s">
        <v>5</v>
      </c>
      <c r="B549" s="2" t="s">
        <v>552</v>
      </c>
      <c r="C549" s="2">
        <v>2.4893778182677</v>
      </c>
      <c r="D549" s="2">
        <f>VLOOKUP(OneWeekMtgRatesDataTable8[[#This Row],[AsOfDate]],G:H,2,0)+OneWeekMtgRatesDataTable8[[#This Row],[SeriesNumValue]]</f>
        <v>3.3832825852677</v>
      </c>
      <c r="F549" s="2" t="s">
        <v>1277</v>
      </c>
      <c r="G549" s="2" t="s">
        <v>552</v>
      </c>
      <c r="H549" s="2">
        <v>0.89390476699999999</v>
      </c>
      <c r="K549" s="4">
        <v>40967</v>
      </c>
      <c r="L549">
        <v>3.85</v>
      </c>
    </row>
    <row r="550" spans="1:12" x14ac:dyDescent="0.25">
      <c r="A550" s="2" t="s">
        <v>5</v>
      </c>
      <c r="B550" s="2" t="s">
        <v>553</v>
      </c>
      <c r="C550" s="2">
        <v>2.54479183649527</v>
      </c>
      <c r="D550" s="2">
        <f>VLOOKUP(OneWeekMtgRatesDataTable8[[#This Row],[AsOfDate]],G:H,2,0)+OneWeekMtgRatesDataTable8[[#This Row],[SeriesNumValue]]</f>
        <v>3.4419166734952702</v>
      </c>
      <c r="F550" s="2" t="s">
        <v>1277</v>
      </c>
      <c r="G550" s="2" t="s">
        <v>553</v>
      </c>
      <c r="H550" s="2">
        <v>0.89712483700000001</v>
      </c>
      <c r="K550" s="4">
        <v>40968</v>
      </c>
      <c r="L550">
        <v>3.85</v>
      </c>
    </row>
    <row r="551" spans="1:12" x14ac:dyDescent="0.25">
      <c r="A551" s="2" t="s">
        <v>5</v>
      </c>
      <c r="B551" s="2" t="s">
        <v>554</v>
      </c>
      <c r="C551" s="2">
        <v>2.5180760618821498</v>
      </c>
      <c r="D551" s="2">
        <f>VLOOKUP(OneWeekMtgRatesDataTable8[[#This Row],[AsOfDate]],G:H,2,0)+OneWeekMtgRatesDataTable8[[#This Row],[SeriesNumValue]]</f>
        <v>3.4152008988821496</v>
      </c>
      <c r="F551" s="2" t="s">
        <v>1277</v>
      </c>
      <c r="G551" s="2" t="s">
        <v>554</v>
      </c>
      <c r="H551" s="2">
        <v>0.89712483700000001</v>
      </c>
      <c r="K551" s="4">
        <v>40969</v>
      </c>
      <c r="L551">
        <v>3.83</v>
      </c>
    </row>
    <row r="552" spans="1:12" x14ac:dyDescent="0.25">
      <c r="A552" s="2" t="s">
        <v>5</v>
      </c>
      <c r="B552" s="2" t="s">
        <v>555</v>
      </c>
      <c r="C552" s="2">
        <v>2.4532379481842601</v>
      </c>
      <c r="D552" s="2">
        <f>VLOOKUP(OneWeekMtgRatesDataTable8[[#This Row],[AsOfDate]],G:H,2,0)+OneWeekMtgRatesDataTable8[[#This Row],[SeriesNumValue]]</f>
        <v>3.3503627851842603</v>
      </c>
      <c r="F552" s="2" t="s">
        <v>1277</v>
      </c>
      <c r="G552" s="2" t="s">
        <v>555</v>
      </c>
      <c r="H552" s="2">
        <v>0.89712483700000001</v>
      </c>
      <c r="K552" s="4">
        <v>40970</v>
      </c>
      <c r="L552">
        <v>3.83</v>
      </c>
    </row>
    <row r="553" spans="1:12" x14ac:dyDescent="0.25">
      <c r="A553" s="2" t="s">
        <v>5</v>
      </c>
      <c r="B553" s="2" t="s">
        <v>556</v>
      </c>
      <c r="C553" s="2">
        <v>2.4306597894947899</v>
      </c>
      <c r="D553" s="2">
        <f>VLOOKUP(OneWeekMtgRatesDataTable8[[#This Row],[AsOfDate]],G:H,2,0)+OneWeekMtgRatesDataTable8[[#This Row],[SeriesNumValue]]</f>
        <v>3.3277846264947897</v>
      </c>
      <c r="F553" s="2" t="s">
        <v>1277</v>
      </c>
      <c r="G553" s="2" t="s">
        <v>556</v>
      </c>
      <c r="H553" s="2">
        <v>0.89712483700000001</v>
      </c>
      <c r="K553" s="4">
        <v>40973</v>
      </c>
      <c r="L553">
        <v>3.83</v>
      </c>
    </row>
    <row r="554" spans="1:12" x14ac:dyDescent="0.25">
      <c r="A554" s="2" t="s">
        <v>5</v>
      </c>
      <c r="B554" s="2" t="s">
        <v>557</v>
      </c>
      <c r="C554" s="2">
        <v>2.45465029105896</v>
      </c>
      <c r="D554" s="2">
        <f>VLOOKUP(OneWeekMtgRatesDataTable8[[#This Row],[AsOfDate]],G:H,2,0)+OneWeekMtgRatesDataTable8[[#This Row],[SeriesNumValue]]</f>
        <v>3.3517751280589598</v>
      </c>
      <c r="F554" s="2" t="s">
        <v>1277</v>
      </c>
      <c r="G554" s="2" t="s">
        <v>557</v>
      </c>
      <c r="H554" s="2">
        <v>0.89712483700000001</v>
      </c>
      <c r="K554" s="4">
        <v>40974</v>
      </c>
      <c r="L554">
        <v>3.83</v>
      </c>
    </row>
    <row r="555" spans="1:12" x14ac:dyDescent="0.25">
      <c r="A555" s="2" t="s">
        <v>5</v>
      </c>
      <c r="B555" s="2" t="s">
        <v>558</v>
      </c>
      <c r="C555" s="2">
        <v>2.4500518771238999</v>
      </c>
      <c r="D555" s="2">
        <f>VLOOKUP(OneWeekMtgRatesDataTable8[[#This Row],[AsOfDate]],G:H,2,0)+OneWeekMtgRatesDataTable8[[#This Row],[SeriesNumValue]]</f>
        <v>3.3237166831238998</v>
      </c>
      <c r="F555" s="2" t="s">
        <v>1277</v>
      </c>
      <c r="G555" s="2" t="s">
        <v>558</v>
      </c>
      <c r="H555" s="2">
        <v>0.87366480599999996</v>
      </c>
      <c r="K555" s="4">
        <v>40975</v>
      </c>
      <c r="L555">
        <v>3.83</v>
      </c>
    </row>
    <row r="556" spans="1:12" x14ac:dyDescent="0.25">
      <c r="A556" s="2" t="s">
        <v>5</v>
      </c>
      <c r="B556" s="2" t="s">
        <v>559</v>
      </c>
      <c r="C556" s="2">
        <v>2.43192110209089</v>
      </c>
      <c r="D556" s="2">
        <f>VLOOKUP(OneWeekMtgRatesDataTable8[[#This Row],[AsOfDate]],G:H,2,0)+OneWeekMtgRatesDataTable8[[#This Row],[SeriesNumValue]]</f>
        <v>3.3055859080908898</v>
      </c>
      <c r="F556" s="2" t="s">
        <v>1277</v>
      </c>
      <c r="G556" s="2" t="s">
        <v>559</v>
      </c>
      <c r="H556" s="2">
        <v>0.87366480599999996</v>
      </c>
      <c r="K556" s="4">
        <v>40976</v>
      </c>
      <c r="L556">
        <v>3.87</v>
      </c>
    </row>
    <row r="557" spans="1:12" x14ac:dyDescent="0.25">
      <c r="A557" s="2" t="s">
        <v>5</v>
      </c>
      <c r="B557" s="2" t="s">
        <v>560</v>
      </c>
      <c r="C557" s="2">
        <v>2.4478292625910401</v>
      </c>
      <c r="D557" s="2">
        <f>VLOOKUP(OneWeekMtgRatesDataTable8[[#This Row],[AsOfDate]],G:H,2,0)+OneWeekMtgRatesDataTable8[[#This Row],[SeriesNumValue]]</f>
        <v>3.3214940685910399</v>
      </c>
      <c r="F557" s="2" t="s">
        <v>1277</v>
      </c>
      <c r="G557" s="2" t="s">
        <v>560</v>
      </c>
      <c r="H557" s="2">
        <v>0.87366480599999996</v>
      </c>
      <c r="K557" s="4">
        <v>40977</v>
      </c>
      <c r="L557">
        <v>3.87</v>
      </c>
    </row>
    <row r="558" spans="1:12" x14ac:dyDescent="0.25">
      <c r="A558" s="2" t="s">
        <v>5</v>
      </c>
      <c r="B558" s="2" t="s">
        <v>561</v>
      </c>
      <c r="C558" s="2">
        <v>2.4460987781161698</v>
      </c>
      <c r="D558" s="2">
        <f>VLOOKUP(OneWeekMtgRatesDataTable8[[#This Row],[AsOfDate]],G:H,2,0)+OneWeekMtgRatesDataTable8[[#This Row],[SeriesNumValue]]</f>
        <v>3.3197635841161697</v>
      </c>
      <c r="F558" s="2" t="s">
        <v>1277</v>
      </c>
      <c r="G558" s="2" t="s">
        <v>561</v>
      </c>
      <c r="H558" s="2">
        <v>0.87366480599999996</v>
      </c>
      <c r="K558" s="4">
        <v>40980</v>
      </c>
      <c r="L558">
        <v>3.87</v>
      </c>
    </row>
    <row r="559" spans="1:12" x14ac:dyDescent="0.25">
      <c r="A559" s="2" t="s">
        <v>5</v>
      </c>
      <c r="B559" s="2" t="s">
        <v>562</v>
      </c>
      <c r="C559" s="2">
        <v>2.4375323431689502</v>
      </c>
      <c r="D559" s="2">
        <f>VLOOKUP(OneWeekMtgRatesDataTable8[[#This Row],[AsOfDate]],G:H,2,0)+OneWeekMtgRatesDataTable8[[#This Row],[SeriesNumValue]]</f>
        <v>3.31119714916895</v>
      </c>
      <c r="F559" s="2" t="s">
        <v>1277</v>
      </c>
      <c r="G559" s="2" t="s">
        <v>562</v>
      </c>
      <c r="H559" s="2">
        <v>0.87366480599999996</v>
      </c>
      <c r="K559" s="4">
        <v>40981</v>
      </c>
      <c r="L559">
        <v>3.87</v>
      </c>
    </row>
    <row r="560" spans="1:12" x14ac:dyDescent="0.25">
      <c r="A560" s="2" t="s">
        <v>5</v>
      </c>
      <c r="B560" s="2" t="s">
        <v>563</v>
      </c>
      <c r="C560" s="2">
        <v>2.4323883653727401</v>
      </c>
      <c r="D560" s="2">
        <f>VLOOKUP(OneWeekMtgRatesDataTable8[[#This Row],[AsOfDate]],G:H,2,0)+OneWeekMtgRatesDataTable8[[#This Row],[SeriesNumValue]]</f>
        <v>3.3432343953727401</v>
      </c>
      <c r="F560" s="2" t="s">
        <v>1277</v>
      </c>
      <c r="G560" s="2" t="s">
        <v>563</v>
      </c>
      <c r="H560" s="2">
        <v>0.91084602999999997</v>
      </c>
      <c r="K560" s="4">
        <v>40982</v>
      </c>
      <c r="L560">
        <v>3.87</v>
      </c>
    </row>
    <row r="561" spans="1:12" x14ac:dyDescent="0.25">
      <c r="A561" s="2" t="s">
        <v>5</v>
      </c>
      <c r="B561" s="2" t="s">
        <v>564</v>
      </c>
      <c r="C561" s="2">
        <v>2.4323453281375</v>
      </c>
      <c r="D561" s="2">
        <f>VLOOKUP(OneWeekMtgRatesDataTable8[[#This Row],[AsOfDate]],G:H,2,0)+OneWeekMtgRatesDataTable8[[#This Row],[SeriesNumValue]]</f>
        <v>3.3431913581375001</v>
      </c>
      <c r="F561" s="2" t="s">
        <v>1277</v>
      </c>
      <c r="G561" s="2" t="s">
        <v>564</v>
      </c>
      <c r="H561" s="2">
        <v>0.91084602999999997</v>
      </c>
      <c r="K561" s="4">
        <v>40983</v>
      </c>
      <c r="L561">
        <v>4.03</v>
      </c>
    </row>
    <row r="562" spans="1:12" x14ac:dyDescent="0.25">
      <c r="A562" s="2" t="s">
        <v>5</v>
      </c>
      <c r="B562" s="2" t="s">
        <v>565</v>
      </c>
      <c r="C562" s="2">
        <v>2.3795080679074299</v>
      </c>
      <c r="D562" s="2">
        <f>VLOOKUP(OneWeekMtgRatesDataTable8[[#This Row],[AsOfDate]],G:H,2,0)+OneWeekMtgRatesDataTable8[[#This Row],[SeriesNumValue]]</f>
        <v>3.2903540979074299</v>
      </c>
      <c r="F562" s="2" t="s">
        <v>1277</v>
      </c>
      <c r="G562" s="2" t="s">
        <v>565</v>
      </c>
      <c r="H562" s="2">
        <v>0.91084602999999997</v>
      </c>
      <c r="K562" s="4">
        <v>40984</v>
      </c>
      <c r="L562">
        <v>4.03</v>
      </c>
    </row>
    <row r="563" spans="1:12" x14ac:dyDescent="0.25">
      <c r="A563" s="2" t="s">
        <v>5</v>
      </c>
      <c r="B563" s="2" t="s">
        <v>566</v>
      </c>
      <c r="C563" s="2">
        <v>2.37447920783596</v>
      </c>
      <c r="D563" s="2">
        <f>VLOOKUP(OneWeekMtgRatesDataTable8[[#This Row],[AsOfDate]],G:H,2,0)+OneWeekMtgRatesDataTable8[[#This Row],[SeriesNumValue]]</f>
        <v>3.2853252378359601</v>
      </c>
      <c r="F563" s="2" t="s">
        <v>1277</v>
      </c>
      <c r="G563" s="2" t="s">
        <v>566</v>
      </c>
      <c r="H563" s="2">
        <v>0.91084602999999997</v>
      </c>
      <c r="K563" s="4">
        <v>40987</v>
      </c>
      <c r="L563">
        <v>4.03</v>
      </c>
    </row>
    <row r="564" spans="1:12" x14ac:dyDescent="0.25">
      <c r="A564" s="2" t="s">
        <v>5</v>
      </c>
      <c r="B564" s="2" t="s">
        <v>567</v>
      </c>
      <c r="C564" s="2">
        <v>2.3535373905486399</v>
      </c>
      <c r="D564" s="2">
        <f>VLOOKUP(OneWeekMtgRatesDataTable8[[#This Row],[AsOfDate]],G:H,2,0)+OneWeekMtgRatesDataTable8[[#This Row],[SeriesNumValue]]</f>
        <v>3.2643834205486399</v>
      </c>
      <c r="F564" s="2" t="s">
        <v>1277</v>
      </c>
      <c r="G564" s="2" t="s">
        <v>567</v>
      </c>
      <c r="H564" s="2">
        <v>0.91084602999999997</v>
      </c>
      <c r="K564" s="4">
        <v>40988</v>
      </c>
      <c r="L564">
        <v>4.03</v>
      </c>
    </row>
    <row r="565" spans="1:12" x14ac:dyDescent="0.25">
      <c r="A565" s="2" t="s">
        <v>5</v>
      </c>
      <c r="B565" s="2" t="s">
        <v>568</v>
      </c>
      <c r="C565" s="2">
        <v>2.31035596660836</v>
      </c>
      <c r="D565" s="2">
        <f>VLOOKUP(OneWeekMtgRatesDataTable8[[#This Row],[AsOfDate]],G:H,2,0)+OneWeekMtgRatesDataTable8[[#This Row],[SeriesNumValue]]</f>
        <v>3.2153107746083602</v>
      </c>
      <c r="F565" s="2" t="s">
        <v>1277</v>
      </c>
      <c r="G565" s="2" t="s">
        <v>568</v>
      </c>
      <c r="H565" s="2">
        <v>0.90495480800000005</v>
      </c>
      <c r="K565" s="4">
        <v>40989</v>
      </c>
      <c r="L565">
        <v>4.03</v>
      </c>
    </row>
    <row r="566" spans="1:12" x14ac:dyDescent="0.25">
      <c r="A566" s="2" t="s">
        <v>5</v>
      </c>
      <c r="B566" s="2" t="s">
        <v>569</v>
      </c>
      <c r="C566" s="2">
        <v>2.3421036791460899</v>
      </c>
      <c r="D566" s="2">
        <f>VLOOKUP(OneWeekMtgRatesDataTable8[[#This Row],[AsOfDate]],G:H,2,0)+OneWeekMtgRatesDataTable8[[#This Row],[SeriesNumValue]]</f>
        <v>3.2470584871460897</v>
      </c>
      <c r="F566" s="2" t="s">
        <v>1277</v>
      </c>
      <c r="G566" s="2" t="s">
        <v>569</v>
      </c>
      <c r="H566" s="2">
        <v>0.90495480800000005</v>
      </c>
      <c r="K566" s="4">
        <v>40990</v>
      </c>
      <c r="L566">
        <v>3.915</v>
      </c>
    </row>
    <row r="567" spans="1:12" x14ac:dyDescent="0.25">
      <c r="A567" s="2" t="s">
        <v>5</v>
      </c>
      <c r="B567" s="2" t="s">
        <v>570</v>
      </c>
      <c r="C567" s="2">
        <v>2.4561501214153099</v>
      </c>
      <c r="D567" s="2">
        <f>VLOOKUP(OneWeekMtgRatesDataTable8[[#This Row],[AsOfDate]],G:H,2,0)+OneWeekMtgRatesDataTable8[[#This Row],[SeriesNumValue]]</f>
        <v>3.3611049294153101</v>
      </c>
      <c r="F567" s="2" t="s">
        <v>1277</v>
      </c>
      <c r="G567" s="2" t="s">
        <v>570</v>
      </c>
      <c r="H567" s="2">
        <v>0.90495480800000005</v>
      </c>
      <c r="K567" s="4">
        <v>40991</v>
      </c>
      <c r="L567">
        <v>3.915</v>
      </c>
    </row>
    <row r="568" spans="1:12" x14ac:dyDescent="0.25">
      <c r="A568" s="2" t="s">
        <v>5</v>
      </c>
      <c r="B568" s="2" t="s">
        <v>571</v>
      </c>
      <c r="C568" s="2">
        <v>2.4724031733010898</v>
      </c>
      <c r="D568" s="2">
        <f>VLOOKUP(OneWeekMtgRatesDataTable8[[#This Row],[AsOfDate]],G:H,2,0)+OneWeekMtgRatesDataTable8[[#This Row],[SeriesNumValue]]</f>
        <v>3.3773579813010901</v>
      </c>
      <c r="F568" s="2" t="s">
        <v>1277</v>
      </c>
      <c r="G568" s="2" t="s">
        <v>571</v>
      </c>
      <c r="H568" s="2">
        <v>0.90495480800000005</v>
      </c>
      <c r="K568" s="4">
        <v>40994</v>
      </c>
      <c r="L568">
        <v>3.915</v>
      </c>
    </row>
    <row r="569" spans="1:12" x14ac:dyDescent="0.25">
      <c r="A569" s="2" t="s">
        <v>5</v>
      </c>
      <c r="B569" s="2" t="s">
        <v>572</v>
      </c>
      <c r="C569" s="2">
        <v>2.48894298716524</v>
      </c>
      <c r="D569" s="2">
        <f>VLOOKUP(OneWeekMtgRatesDataTable8[[#This Row],[AsOfDate]],G:H,2,0)+OneWeekMtgRatesDataTable8[[#This Row],[SeriesNumValue]]</f>
        <v>3.3938977951652403</v>
      </c>
      <c r="F569" s="2" t="s">
        <v>1277</v>
      </c>
      <c r="G569" s="2" t="s">
        <v>572</v>
      </c>
      <c r="H569" s="2">
        <v>0.90495480800000005</v>
      </c>
      <c r="K569" s="4">
        <v>40995</v>
      </c>
      <c r="L569">
        <v>3.915</v>
      </c>
    </row>
    <row r="570" spans="1:12" x14ac:dyDescent="0.25">
      <c r="A570" s="2" t="s">
        <v>5</v>
      </c>
      <c r="B570" s="2" t="s">
        <v>573</v>
      </c>
      <c r="C570" s="2">
        <v>2.4724453435903899</v>
      </c>
      <c r="D570" s="2">
        <f>VLOOKUP(OneWeekMtgRatesDataTable8[[#This Row],[AsOfDate]],G:H,2,0)+OneWeekMtgRatesDataTable8[[#This Row],[SeriesNumValue]]</f>
        <v>3.3710362825903899</v>
      </c>
      <c r="F570" s="2" t="s">
        <v>1277</v>
      </c>
      <c r="G570" s="2" t="s">
        <v>573</v>
      </c>
      <c r="H570" s="2">
        <v>0.89859093899999998</v>
      </c>
      <c r="K570" s="4">
        <v>40996</v>
      </c>
      <c r="L570">
        <v>3.915</v>
      </c>
    </row>
    <row r="571" spans="1:12" x14ac:dyDescent="0.25">
      <c r="A571" s="2" t="s">
        <v>5</v>
      </c>
      <c r="B571" s="2" t="s">
        <v>574</v>
      </c>
      <c r="C571" s="2">
        <v>2.49665490312618</v>
      </c>
      <c r="D571" s="2">
        <f>VLOOKUP(OneWeekMtgRatesDataTable8[[#This Row],[AsOfDate]],G:H,2,0)+OneWeekMtgRatesDataTable8[[#This Row],[SeriesNumValue]]</f>
        <v>3.39524584212618</v>
      </c>
      <c r="F571" s="2" t="s">
        <v>1277</v>
      </c>
      <c r="G571" s="2" t="s">
        <v>574</v>
      </c>
      <c r="H571" s="2">
        <v>0.89859093899999998</v>
      </c>
      <c r="K571" s="4">
        <v>40997</v>
      </c>
      <c r="L571">
        <v>3.9049999999999998</v>
      </c>
    </row>
    <row r="572" spans="1:12" x14ac:dyDescent="0.25">
      <c r="A572" s="2" t="s">
        <v>5</v>
      </c>
      <c r="B572" s="2" t="s">
        <v>575</v>
      </c>
      <c r="C572" s="2">
        <v>2.5868571182044802</v>
      </c>
      <c r="D572" s="2">
        <f>VLOOKUP(OneWeekMtgRatesDataTable8[[#This Row],[AsOfDate]],G:H,2,0)+OneWeekMtgRatesDataTable8[[#This Row],[SeriesNumValue]]</f>
        <v>3.4854480572044801</v>
      </c>
      <c r="F572" s="2" t="s">
        <v>1277</v>
      </c>
      <c r="G572" s="2" t="s">
        <v>575</v>
      </c>
      <c r="H572" s="2">
        <v>0.89859093899999998</v>
      </c>
      <c r="K572" s="4">
        <v>40998</v>
      </c>
      <c r="L572">
        <v>3.9049999999999998</v>
      </c>
    </row>
    <row r="573" spans="1:12" x14ac:dyDescent="0.25">
      <c r="A573" s="2" t="s">
        <v>5</v>
      </c>
      <c r="B573" s="2" t="s">
        <v>576</v>
      </c>
      <c r="C573" s="2">
        <v>2.6209995675214</v>
      </c>
      <c r="D573" s="2">
        <f>VLOOKUP(OneWeekMtgRatesDataTable8[[#This Row],[AsOfDate]],G:H,2,0)+OneWeekMtgRatesDataTable8[[#This Row],[SeriesNumValue]]</f>
        <v>3.5195905065213999</v>
      </c>
      <c r="F573" s="2" t="s">
        <v>1277</v>
      </c>
      <c r="G573" s="2" t="s">
        <v>576</v>
      </c>
      <c r="H573" s="2">
        <v>0.89859093899999998</v>
      </c>
      <c r="K573" s="4">
        <v>41001</v>
      </c>
      <c r="L573">
        <v>3.9049999999999998</v>
      </c>
    </row>
    <row r="574" spans="1:12" x14ac:dyDescent="0.25">
      <c r="A574" s="2" t="s">
        <v>5</v>
      </c>
      <c r="B574" s="2" t="s">
        <v>577</v>
      </c>
      <c r="C574" s="2">
        <v>2.6627244928863401</v>
      </c>
      <c r="D574" s="2">
        <f>VLOOKUP(OneWeekMtgRatesDataTable8[[#This Row],[AsOfDate]],G:H,2,0)+OneWeekMtgRatesDataTable8[[#This Row],[SeriesNumValue]]</f>
        <v>3.56131543188634</v>
      </c>
      <c r="F574" s="2" t="s">
        <v>1277</v>
      </c>
      <c r="G574" s="2" t="s">
        <v>577</v>
      </c>
      <c r="H574" s="2">
        <v>0.89859093899999998</v>
      </c>
      <c r="K574" s="4">
        <v>41002</v>
      </c>
      <c r="L574">
        <v>3.9049999999999998</v>
      </c>
    </row>
    <row r="575" spans="1:12" x14ac:dyDescent="0.25">
      <c r="A575" s="2" t="s">
        <v>5</v>
      </c>
      <c r="B575" s="2" t="s">
        <v>578</v>
      </c>
      <c r="C575" s="2">
        <v>2.6618664133932302</v>
      </c>
      <c r="D575" s="2">
        <f>VLOOKUP(OneWeekMtgRatesDataTable8[[#This Row],[AsOfDate]],G:H,2,0)+OneWeekMtgRatesDataTable8[[#This Row],[SeriesNumValue]]</f>
        <v>3.4910459143932302</v>
      </c>
      <c r="F575" s="2" t="s">
        <v>1277</v>
      </c>
      <c r="G575" s="2" t="s">
        <v>578</v>
      </c>
      <c r="H575" s="2">
        <v>0.82917950100000004</v>
      </c>
      <c r="K575" s="4">
        <v>41003</v>
      </c>
      <c r="L575">
        <v>3.9049999999999998</v>
      </c>
    </row>
    <row r="576" spans="1:12" x14ac:dyDescent="0.25">
      <c r="A576" s="2" t="s">
        <v>5</v>
      </c>
      <c r="B576" s="2" t="s">
        <v>579</v>
      </c>
      <c r="C576" s="2">
        <v>2.5638774739999999</v>
      </c>
      <c r="D576" s="2">
        <f>VLOOKUP(OneWeekMtgRatesDataTable8[[#This Row],[AsOfDate]],G:H,2,0)+OneWeekMtgRatesDataTable8[[#This Row],[SeriesNumValue]]</f>
        <v>3.3930569749999999</v>
      </c>
      <c r="F576" s="2" t="s">
        <v>1277</v>
      </c>
      <c r="G576" s="2" t="s">
        <v>579</v>
      </c>
      <c r="H576" s="2">
        <v>0.82917950100000004</v>
      </c>
      <c r="K576" s="4">
        <v>41004</v>
      </c>
      <c r="L576">
        <v>3.8050000000000002</v>
      </c>
    </row>
    <row r="577" spans="1:12" x14ac:dyDescent="0.25">
      <c r="A577" s="2" t="s">
        <v>5</v>
      </c>
      <c r="B577" s="2" t="s">
        <v>580</v>
      </c>
      <c r="C577" s="2">
        <v>2.6858134280305799</v>
      </c>
      <c r="D577" s="2">
        <f>VLOOKUP(OneWeekMtgRatesDataTable8[[#This Row],[AsOfDate]],G:H,2,0)+OneWeekMtgRatesDataTable8[[#This Row],[SeriesNumValue]]</f>
        <v>3.5149929290305799</v>
      </c>
      <c r="F577" s="2" t="s">
        <v>1277</v>
      </c>
      <c r="G577" s="2" t="s">
        <v>580</v>
      </c>
      <c r="H577" s="2">
        <v>0.82917950100000004</v>
      </c>
      <c r="K577" s="4">
        <v>41005</v>
      </c>
      <c r="L577">
        <v>3.8050000000000002</v>
      </c>
    </row>
    <row r="578" spans="1:12" x14ac:dyDescent="0.25">
      <c r="A578" s="2" t="s">
        <v>5</v>
      </c>
      <c r="B578" s="2" t="s">
        <v>581</v>
      </c>
      <c r="C578" s="2">
        <v>2.7128835423314301</v>
      </c>
      <c r="D578" s="2">
        <f>VLOOKUP(OneWeekMtgRatesDataTable8[[#This Row],[AsOfDate]],G:H,2,0)+OneWeekMtgRatesDataTable8[[#This Row],[SeriesNumValue]]</f>
        <v>3.5420630433314302</v>
      </c>
      <c r="F578" s="2" t="s">
        <v>1277</v>
      </c>
      <c r="G578" s="2" t="s">
        <v>581</v>
      </c>
      <c r="H578" s="2">
        <v>0.82917950100000004</v>
      </c>
      <c r="K578" s="4">
        <v>41008</v>
      </c>
      <c r="L578">
        <v>3.8050000000000002</v>
      </c>
    </row>
    <row r="579" spans="1:12" x14ac:dyDescent="0.25">
      <c r="A579" s="2" t="s">
        <v>5</v>
      </c>
      <c r="B579" s="2" t="s">
        <v>582</v>
      </c>
      <c r="C579" s="2">
        <v>2.6645260639550199</v>
      </c>
      <c r="D579" s="2">
        <f>VLOOKUP(OneWeekMtgRatesDataTable8[[#This Row],[AsOfDate]],G:H,2,0)+OneWeekMtgRatesDataTable8[[#This Row],[SeriesNumValue]]</f>
        <v>3.4937055649550199</v>
      </c>
      <c r="F579" s="2" t="s">
        <v>1277</v>
      </c>
      <c r="G579" s="2" t="s">
        <v>582</v>
      </c>
      <c r="H579" s="2">
        <v>0.82917950100000004</v>
      </c>
      <c r="K579" s="4">
        <v>41009</v>
      </c>
      <c r="L579">
        <v>3.8050000000000002</v>
      </c>
    </row>
    <row r="580" spans="1:12" x14ac:dyDescent="0.25">
      <c r="A580" s="2" t="s">
        <v>5</v>
      </c>
      <c r="B580" s="2" t="s">
        <v>583</v>
      </c>
      <c r="C580" s="2">
        <v>2.78843998218461</v>
      </c>
      <c r="D580" s="2">
        <f>VLOOKUP(OneWeekMtgRatesDataTable8[[#This Row],[AsOfDate]],G:H,2,0)+OneWeekMtgRatesDataTable8[[#This Row],[SeriesNumValue]]</f>
        <v>3.6203318841846102</v>
      </c>
      <c r="F580" s="2" t="s">
        <v>1277</v>
      </c>
      <c r="G580" s="2" t="s">
        <v>583</v>
      </c>
      <c r="H580" s="2">
        <v>0.83189190199999996</v>
      </c>
      <c r="K580" s="4">
        <v>41010</v>
      </c>
      <c r="L580">
        <v>3.8050000000000002</v>
      </c>
    </row>
    <row r="581" spans="1:12" x14ac:dyDescent="0.25">
      <c r="A581" s="2" t="s">
        <v>5</v>
      </c>
      <c r="B581" s="2" t="s">
        <v>584</v>
      </c>
      <c r="C581" s="2">
        <v>2.8219074459123799</v>
      </c>
      <c r="D581" s="2">
        <f>VLOOKUP(OneWeekMtgRatesDataTable8[[#This Row],[AsOfDate]],G:H,2,0)+OneWeekMtgRatesDataTable8[[#This Row],[SeriesNumValue]]</f>
        <v>3.65379934791238</v>
      </c>
      <c r="F581" s="2" t="s">
        <v>1277</v>
      </c>
      <c r="G581" s="2" t="s">
        <v>584</v>
      </c>
      <c r="H581" s="2">
        <v>0.83189190199999996</v>
      </c>
      <c r="K581" s="4">
        <v>41011</v>
      </c>
      <c r="L581">
        <v>3.85</v>
      </c>
    </row>
    <row r="582" spans="1:12" x14ac:dyDescent="0.25">
      <c r="A582" s="2" t="s">
        <v>5</v>
      </c>
      <c r="B582" s="2" t="s">
        <v>585</v>
      </c>
      <c r="C582" s="2">
        <v>2.8149731764108399</v>
      </c>
      <c r="D582" s="2">
        <f>VLOOKUP(OneWeekMtgRatesDataTable8[[#This Row],[AsOfDate]],G:H,2,0)+OneWeekMtgRatesDataTable8[[#This Row],[SeriesNumValue]]</f>
        <v>3.6468650784108396</v>
      </c>
      <c r="F582" s="2" t="s">
        <v>1277</v>
      </c>
      <c r="G582" s="2" t="s">
        <v>585</v>
      </c>
      <c r="H582" s="2">
        <v>0.83189190199999996</v>
      </c>
      <c r="K582" s="4">
        <v>41012</v>
      </c>
      <c r="L582">
        <v>3.85</v>
      </c>
    </row>
    <row r="583" spans="1:12" x14ac:dyDescent="0.25">
      <c r="A583" s="2" t="s">
        <v>5</v>
      </c>
      <c r="B583" s="2" t="s">
        <v>586</v>
      </c>
      <c r="C583" s="2">
        <v>2.9439593784478002</v>
      </c>
      <c r="D583" s="2">
        <f>VLOOKUP(OneWeekMtgRatesDataTable8[[#This Row],[AsOfDate]],G:H,2,0)+OneWeekMtgRatesDataTable8[[#This Row],[SeriesNumValue]]</f>
        <v>3.7758512804478004</v>
      </c>
      <c r="F583" s="2" t="s">
        <v>1277</v>
      </c>
      <c r="G583" s="2" t="s">
        <v>586</v>
      </c>
      <c r="H583" s="2">
        <v>0.83189190199999996</v>
      </c>
      <c r="K583" s="4">
        <v>41015</v>
      </c>
      <c r="L583">
        <v>3.85</v>
      </c>
    </row>
    <row r="584" spans="1:12" x14ac:dyDescent="0.25">
      <c r="A584" s="2" t="s">
        <v>5</v>
      </c>
      <c r="B584" s="2" t="s">
        <v>587</v>
      </c>
      <c r="C584" s="2">
        <v>2.9196928046626902</v>
      </c>
      <c r="D584" s="2">
        <f>VLOOKUP(OneWeekMtgRatesDataTable8[[#This Row],[AsOfDate]],G:H,2,0)+OneWeekMtgRatesDataTable8[[#This Row],[SeriesNumValue]]</f>
        <v>3.8045596036626903</v>
      </c>
      <c r="F584" s="2" t="s">
        <v>1277</v>
      </c>
      <c r="G584" s="2" t="s">
        <v>587</v>
      </c>
      <c r="H584" s="2">
        <v>0.88486679899999998</v>
      </c>
      <c r="K584" s="4">
        <v>41016</v>
      </c>
      <c r="L584">
        <v>3.85</v>
      </c>
    </row>
    <row r="585" spans="1:12" x14ac:dyDescent="0.25">
      <c r="A585" s="2" t="s">
        <v>5</v>
      </c>
      <c r="B585" s="2" t="s">
        <v>588</v>
      </c>
      <c r="C585" s="2">
        <v>2.9046454407398898</v>
      </c>
      <c r="D585" s="2">
        <f>VLOOKUP(OneWeekMtgRatesDataTable8[[#This Row],[AsOfDate]],G:H,2,0)+OneWeekMtgRatesDataTable8[[#This Row],[SeriesNumValue]]</f>
        <v>3.7895122397398899</v>
      </c>
      <c r="F585" s="2" t="s">
        <v>1277</v>
      </c>
      <c r="G585" s="2" t="s">
        <v>588</v>
      </c>
      <c r="H585" s="2">
        <v>0.88486679899999998</v>
      </c>
      <c r="K585" s="4">
        <v>41017</v>
      </c>
      <c r="L585">
        <v>3.85</v>
      </c>
    </row>
    <row r="586" spans="1:12" x14ac:dyDescent="0.25">
      <c r="A586" s="2" t="s">
        <v>5</v>
      </c>
      <c r="B586" s="2" t="s">
        <v>589</v>
      </c>
      <c r="C586" s="2">
        <v>2.95731349620652</v>
      </c>
      <c r="D586" s="2">
        <f>VLOOKUP(OneWeekMtgRatesDataTable8[[#This Row],[AsOfDate]],G:H,2,0)+OneWeekMtgRatesDataTable8[[#This Row],[SeriesNumValue]]</f>
        <v>3.84218029520652</v>
      </c>
      <c r="F586" s="2" t="s">
        <v>1277</v>
      </c>
      <c r="G586" s="2" t="s">
        <v>589</v>
      </c>
      <c r="H586" s="2">
        <v>0.88486679899999998</v>
      </c>
      <c r="K586" s="4">
        <v>41018</v>
      </c>
      <c r="L586">
        <v>3.8050000000000002</v>
      </c>
    </row>
    <row r="587" spans="1:12" x14ac:dyDescent="0.25">
      <c r="A587" s="2" t="s">
        <v>5</v>
      </c>
      <c r="B587" s="2" t="s">
        <v>590</v>
      </c>
      <c r="C587" s="2">
        <v>2.9603245306419401</v>
      </c>
      <c r="D587" s="2">
        <f>VLOOKUP(OneWeekMtgRatesDataTable8[[#This Row],[AsOfDate]],G:H,2,0)+OneWeekMtgRatesDataTable8[[#This Row],[SeriesNumValue]]</f>
        <v>3.8451913296419402</v>
      </c>
      <c r="F587" s="2" t="s">
        <v>1277</v>
      </c>
      <c r="G587" s="2" t="s">
        <v>590</v>
      </c>
      <c r="H587" s="2">
        <v>0.88486679899999998</v>
      </c>
      <c r="K587" s="4">
        <v>41019</v>
      </c>
      <c r="L587">
        <v>3.8050000000000002</v>
      </c>
    </row>
    <row r="588" spans="1:12" x14ac:dyDescent="0.25">
      <c r="A588" s="2" t="s">
        <v>5</v>
      </c>
      <c r="B588" s="2" t="s">
        <v>591</v>
      </c>
      <c r="C588" s="2">
        <v>2.9897357672895799</v>
      </c>
      <c r="D588" s="2">
        <f>VLOOKUP(OneWeekMtgRatesDataTable8[[#This Row],[AsOfDate]],G:H,2,0)+OneWeekMtgRatesDataTable8[[#This Row],[SeriesNumValue]]</f>
        <v>3.87460256628958</v>
      </c>
      <c r="F588" s="2" t="s">
        <v>1277</v>
      </c>
      <c r="G588" s="2" t="s">
        <v>591</v>
      </c>
      <c r="H588" s="2">
        <v>0.88486679899999998</v>
      </c>
      <c r="K588" s="4">
        <v>41022</v>
      </c>
      <c r="L588">
        <v>3.8050000000000002</v>
      </c>
    </row>
    <row r="589" spans="1:12" x14ac:dyDescent="0.25">
      <c r="A589" s="2" t="s">
        <v>5</v>
      </c>
      <c r="B589" s="2" t="s">
        <v>592</v>
      </c>
      <c r="C589" s="2">
        <v>2.9737219853978498</v>
      </c>
      <c r="D589" s="2">
        <f>VLOOKUP(OneWeekMtgRatesDataTable8[[#This Row],[AsOfDate]],G:H,2,0)+OneWeekMtgRatesDataTable8[[#This Row],[SeriesNumValue]]</f>
        <v>3.8515737413978499</v>
      </c>
      <c r="F589" s="2" t="s">
        <v>1277</v>
      </c>
      <c r="G589" s="2" t="s">
        <v>592</v>
      </c>
      <c r="H589" s="2">
        <v>0.87785175599999998</v>
      </c>
      <c r="K589" s="4">
        <v>41023</v>
      </c>
      <c r="L589">
        <v>3.8050000000000002</v>
      </c>
    </row>
    <row r="590" spans="1:12" x14ac:dyDescent="0.25">
      <c r="A590" s="2" t="s">
        <v>5</v>
      </c>
      <c r="B590" s="2" t="s">
        <v>593</v>
      </c>
      <c r="C590" s="2">
        <v>2.9363931746100702</v>
      </c>
      <c r="D590" s="2">
        <f>VLOOKUP(OneWeekMtgRatesDataTable8[[#This Row],[AsOfDate]],G:H,2,0)+OneWeekMtgRatesDataTable8[[#This Row],[SeriesNumValue]]</f>
        <v>3.8142449306100703</v>
      </c>
      <c r="F590" s="2" t="s">
        <v>1277</v>
      </c>
      <c r="G590" s="2" t="s">
        <v>593</v>
      </c>
      <c r="H590" s="2">
        <v>0.87785175599999998</v>
      </c>
      <c r="K590" s="4">
        <v>41024</v>
      </c>
      <c r="L590">
        <v>3.8050000000000002</v>
      </c>
    </row>
    <row r="591" spans="1:12" x14ac:dyDescent="0.25">
      <c r="A591" s="2" t="s">
        <v>5</v>
      </c>
      <c r="B591" s="2" t="s">
        <v>594</v>
      </c>
      <c r="C591" s="2">
        <v>2.9931159990094902</v>
      </c>
      <c r="D591" s="2">
        <f>VLOOKUP(OneWeekMtgRatesDataTable8[[#This Row],[AsOfDate]],G:H,2,0)+OneWeekMtgRatesDataTable8[[#This Row],[SeriesNumValue]]</f>
        <v>3.8709677550094903</v>
      </c>
      <c r="F591" s="2" t="s">
        <v>1277</v>
      </c>
      <c r="G591" s="2" t="s">
        <v>594</v>
      </c>
      <c r="H591" s="2">
        <v>0.87785175599999998</v>
      </c>
      <c r="K591" s="4">
        <v>41025</v>
      </c>
      <c r="L591">
        <v>3.79</v>
      </c>
    </row>
    <row r="592" spans="1:12" x14ac:dyDescent="0.25">
      <c r="A592" s="2" t="s">
        <v>5</v>
      </c>
      <c r="B592" s="2" t="s">
        <v>595</v>
      </c>
      <c r="C592" s="2">
        <v>3.0187503286824402</v>
      </c>
      <c r="D592" s="2">
        <f>VLOOKUP(OneWeekMtgRatesDataTable8[[#This Row],[AsOfDate]],G:H,2,0)+OneWeekMtgRatesDataTable8[[#This Row],[SeriesNumValue]]</f>
        <v>3.8966020846824403</v>
      </c>
      <c r="F592" s="2" t="s">
        <v>1277</v>
      </c>
      <c r="G592" s="2" t="s">
        <v>595</v>
      </c>
      <c r="H592" s="2">
        <v>0.87785175599999998</v>
      </c>
      <c r="K592" s="4">
        <v>41026</v>
      </c>
      <c r="L592">
        <v>3.79</v>
      </c>
    </row>
    <row r="593" spans="1:12" x14ac:dyDescent="0.25">
      <c r="A593" s="2" t="s">
        <v>5</v>
      </c>
      <c r="B593" s="2" t="s">
        <v>596</v>
      </c>
      <c r="C593" s="2">
        <v>2.9886237940572</v>
      </c>
      <c r="D593" s="2">
        <f>VLOOKUP(OneWeekMtgRatesDataTable8[[#This Row],[AsOfDate]],G:H,2,0)+OneWeekMtgRatesDataTable8[[#This Row],[SeriesNumValue]]</f>
        <v>3.8664755500572001</v>
      </c>
      <c r="F593" s="2" t="s">
        <v>1277</v>
      </c>
      <c r="G593" s="2" t="s">
        <v>596</v>
      </c>
      <c r="H593" s="2">
        <v>0.87785175599999998</v>
      </c>
      <c r="K593" s="4">
        <v>41029</v>
      </c>
      <c r="L593">
        <v>3.79</v>
      </c>
    </row>
    <row r="594" spans="1:12" x14ac:dyDescent="0.25">
      <c r="A594" s="2" t="s">
        <v>5</v>
      </c>
      <c r="B594" s="2" t="s">
        <v>597</v>
      </c>
      <c r="C594" s="2">
        <v>3.0172986003180302</v>
      </c>
      <c r="D594" s="2">
        <f>VLOOKUP(OneWeekMtgRatesDataTable8[[#This Row],[AsOfDate]],G:H,2,0)+OneWeekMtgRatesDataTable8[[#This Row],[SeriesNumValue]]</f>
        <v>3.9314622213180304</v>
      </c>
      <c r="F594" s="2" t="s">
        <v>1277</v>
      </c>
      <c r="G594" s="2" t="s">
        <v>597</v>
      </c>
      <c r="H594" s="2">
        <v>0.91416362100000004</v>
      </c>
      <c r="K594" s="4">
        <v>41030</v>
      </c>
      <c r="L594">
        <v>3.79</v>
      </c>
    </row>
    <row r="595" spans="1:12" x14ac:dyDescent="0.25">
      <c r="A595" s="2" t="s">
        <v>5</v>
      </c>
      <c r="B595" s="2" t="s">
        <v>598</v>
      </c>
      <c r="C595" s="2">
        <v>2.97051771574304</v>
      </c>
      <c r="D595" s="2">
        <f>VLOOKUP(OneWeekMtgRatesDataTable8[[#This Row],[AsOfDate]],G:H,2,0)+OneWeekMtgRatesDataTable8[[#This Row],[SeriesNumValue]]</f>
        <v>3.8846813367430402</v>
      </c>
      <c r="F595" s="2" t="s">
        <v>1277</v>
      </c>
      <c r="G595" s="2" t="s">
        <v>598</v>
      </c>
      <c r="H595" s="2">
        <v>0.91416362100000004</v>
      </c>
      <c r="K595" s="4">
        <v>41031</v>
      </c>
      <c r="L595">
        <v>3.79</v>
      </c>
    </row>
    <row r="596" spans="1:12" x14ac:dyDescent="0.25">
      <c r="A596" s="2" t="s">
        <v>5</v>
      </c>
      <c r="B596" s="2" t="s">
        <v>599</v>
      </c>
      <c r="C596" s="2">
        <v>2.93282407442446</v>
      </c>
      <c r="D596" s="2">
        <f>VLOOKUP(OneWeekMtgRatesDataTable8[[#This Row],[AsOfDate]],G:H,2,0)+OneWeekMtgRatesDataTable8[[#This Row],[SeriesNumValue]]</f>
        <v>3.8469876954244602</v>
      </c>
      <c r="F596" s="2" t="s">
        <v>1277</v>
      </c>
      <c r="G596" s="2" t="s">
        <v>599</v>
      </c>
      <c r="H596" s="2">
        <v>0.91416362100000004</v>
      </c>
      <c r="K596" s="4">
        <v>41032</v>
      </c>
      <c r="L596">
        <v>3.7549999999999999</v>
      </c>
    </row>
    <row r="597" spans="1:12" x14ac:dyDescent="0.25">
      <c r="A597" s="2" t="s">
        <v>5</v>
      </c>
      <c r="B597" s="2" t="s">
        <v>600</v>
      </c>
      <c r="C597" s="2">
        <v>2.9838518305616502</v>
      </c>
      <c r="D597" s="2">
        <f>VLOOKUP(OneWeekMtgRatesDataTable8[[#This Row],[AsOfDate]],G:H,2,0)+OneWeekMtgRatesDataTable8[[#This Row],[SeriesNumValue]]</f>
        <v>3.8980154515616503</v>
      </c>
      <c r="F597" s="2" t="s">
        <v>1277</v>
      </c>
      <c r="G597" s="2" t="s">
        <v>600</v>
      </c>
      <c r="H597" s="2">
        <v>0.91416362100000004</v>
      </c>
      <c r="K597" s="4">
        <v>41033</v>
      </c>
      <c r="L597">
        <v>3.7549999999999999</v>
      </c>
    </row>
    <row r="598" spans="1:12" x14ac:dyDescent="0.25">
      <c r="A598" s="2" t="s">
        <v>5</v>
      </c>
      <c r="B598" s="2" t="s">
        <v>601</v>
      </c>
      <c r="C598" s="2">
        <v>2.9821306488123902</v>
      </c>
      <c r="D598" s="2">
        <f>VLOOKUP(OneWeekMtgRatesDataTable8[[#This Row],[AsOfDate]],G:H,2,0)+OneWeekMtgRatesDataTable8[[#This Row],[SeriesNumValue]]</f>
        <v>3.8962942698123904</v>
      </c>
      <c r="F598" s="2" t="s">
        <v>1277</v>
      </c>
      <c r="G598" s="2" t="s">
        <v>601</v>
      </c>
      <c r="H598" s="2">
        <v>0.91416362100000004</v>
      </c>
      <c r="K598" s="4">
        <v>41036</v>
      </c>
      <c r="L598">
        <v>3.7549999999999999</v>
      </c>
    </row>
    <row r="599" spans="1:12" x14ac:dyDescent="0.25">
      <c r="A599" s="2" t="s">
        <v>5</v>
      </c>
      <c r="B599" s="2" t="s">
        <v>602</v>
      </c>
      <c r="C599" s="2">
        <v>3.1273804098375502</v>
      </c>
      <c r="D599" s="2">
        <f>VLOOKUP(OneWeekMtgRatesDataTable8[[#This Row],[AsOfDate]],G:H,2,0)+OneWeekMtgRatesDataTable8[[#This Row],[SeriesNumValue]]</f>
        <v>4.0080394738375507</v>
      </c>
      <c r="F599" s="2" t="s">
        <v>1277</v>
      </c>
      <c r="G599" s="2" t="s">
        <v>602</v>
      </c>
      <c r="H599" s="2">
        <v>0.88065906400000005</v>
      </c>
      <c r="K599" s="4">
        <v>41037</v>
      </c>
      <c r="L599">
        <v>3.7549999999999999</v>
      </c>
    </row>
    <row r="600" spans="1:12" x14ac:dyDescent="0.25">
      <c r="A600" s="2" t="s">
        <v>5</v>
      </c>
      <c r="B600" s="2" t="s">
        <v>603</v>
      </c>
      <c r="C600" s="2">
        <v>3.2731873242540099</v>
      </c>
      <c r="D600" s="2">
        <f>VLOOKUP(OneWeekMtgRatesDataTable8[[#This Row],[AsOfDate]],G:H,2,0)+OneWeekMtgRatesDataTable8[[#This Row],[SeriesNumValue]]</f>
        <v>4.15384638825401</v>
      </c>
      <c r="F600" s="2" t="s">
        <v>1277</v>
      </c>
      <c r="G600" s="2" t="s">
        <v>603</v>
      </c>
      <c r="H600" s="2">
        <v>0.88065906400000005</v>
      </c>
      <c r="K600" s="4">
        <v>41038</v>
      </c>
      <c r="L600">
        <v>3.7549999999999999</v>
      </c>
    </row>
    <row r="601" spans="1:12" x14ac:dyDescent="0.25">
      <c r="A601" s="2" t="s">
        <v>5</v>
      </c>
      <c r="B601" s="2" t="s">
        <v>604</v>
      </c>
      <c r="C601" s="2">
        <v>3.4290560333253501</v>
      </c>
      <c r="D601" s="2">
        <f>VLOOKUP(OneWeekMtgRatesDataTable8[[#This Row],[AsOfDate]],G:H,2,0)+OneWeekMtgRatesDataTable8[[#This Row],[SeriesNumValue]]</f>
        <v>4.3097150973253502</v>
      </c>
      <c r="F601" s="2" t="s">
        <v>1277</v>
      </c>
      <c r="G601" s="2" t="s">
        <v>604</v>
      </c>
      <c r="H601" s="2">
        <v>0.88065906400000005</v>
      </c>
      <c r="K601" s="4">
        <v>41039</v>
      </c>
      <c r="L601">
        <v>3.7149999999999999</v>
      </c>
    </row>
    <row r="602" spans="1:12" x14ac:dyDescent="0.25">
      <c r="A602" s="2" t="s">
        <v>5</v>
      </c>
      <c r="B602" s="2" t="s">
        <v>605</v>
      </c>
      <c r="C602" s="2">
        <v>3.4842821250923999</v>
      </c>
      <c r="D602" s="2">
        <f>VLOOKUP(OneWeekMtgRatesDataTable8[[#This Row],[AsOfDate]],G:H,2,0)+OneWeekMtgRatesDataTable8[[#This Row],[SeriesNumValue]]</f>
        <v>4.3649411890924004</v>
      </c>
      <c r="F602" s="2" t="s">
        <v>1277</v>
      </c>
      <c r="G602" s="2" t="s">
        <v>605</v>
      </c>
      <c r="H602" s="2">
        <v>0.88065906400000005</v>
      </c>
      <c r="K602" s="4">
        <v>41040</v>
      </c>
      <c r="L602">
        <v>3.7149999999999999</v>
      </c>
    </row>
    <row r="603" spans="1:12" x14ac:dyDescent="0.25">
      <c r="A603" s="2" t="s">
        <v>5</v>
      </c>
      <c r="B603" s="2" t="s">
        <v>606</v>
      </c>
      <c r="C603" s="2">
        <v>3.4979073592115801</v>
      </c>
      <c r="D603" s="2">
        <f>VLOOKUP(OneWeekMtgRatesDataTable8[[#This Row],[AsOfDate]],G:H,2,0)+OneWeekMtgRatesDataTable8[[#This Row],[SeriesNumValue]]</f>
        <v>4.3785664232115806</v>
      </c>
      <c r="F603" s="2" t="s">
        <v>1277</v>
      </c>
      <c r="G603" s="2" t="s">
        <v>606</v>
      </c>
      <c r="H603" s="2">
        <v>0.88065906400000005</v>
      </c>
      <c r="K603" s="4">
        <v>41043</v>
      </c>
      <c r="L603">
        <v>3.7149999999999999</v>
      </c>
    </row>
    <row r="604" spans="1:12" x14ac:dyDescent="0.25">
      <c r="A604" s="2" t="s">
        <v>5</v>
      </c>
      <c r="B604" s="2" t="s">
        <v>607</v>
      </c>
      <c r="C604" s="2">
        <v>3.44274839511578</v>
      </c>
      <c r="D604" s="2">
        <f>VLOOKUP(OneWeekMtgRatesDataTable8[[#This Row],[AsOfDate]],G:H,2,0)+OneWeekMtgRatesDataTable8[[#This Row],[SeriesNumValue]]</f>
        <v>4.4273121481157798</v>
      </c>
      <c r="F604" s="2" t="s">
        <v>1277</v>
      </c>
      <c r="G604" s="2" t="s">
        <v>607</v>
      </c>
      <c r="H604" s="2">
        <v>0.98456375299999999</v>
      </c>
      <c r="K604" s="4">
        <v>41044</v>
      </c>
      <c r="L604">
        <v>3.7149999999999999</v>
      </c>
    </row>
    <row r="605" spans="1:12" x14ac:dyDescent="0.25">
      <c r="A605" s="2" t="s">
        <v>5</v>
      </c>
      <c r="B605" s="2" t="s">
        <v>608</v>
      </c>
      <c r="C605" s="2">
        <v>3.3206581307608101</v>
      </c>
      <c r="D605" s="2">
        <f>VLOOKUP(OneWeekMtgRatesDataTable8[[#This Row],[AsOfDate]],G:H,2,0)+OneWeekMtgRatesDataTable8[[#This Row],[SeriesNumValue]]</f>
        <v>4.3052218837608098</v>
      </c>
      <c r="F605" s="2" t="s">
        <v>1277</v>
      </c>
      <c r="G605" s="2" t="s">
        <v>608</v>
      </c>
      <c r="H605" s="2">
        <v>0.98456375299999999</v>
      </c>
      <c r="K605" s="4">
        <v>41045</v>
      </c>
      <c r="L605">
        <v>3.7149999999999999</v>
      </c>
    </row>
    <row r="606" spans="1:12" x14ac:dyDescent="0.25">
      <c r="A606" s="2" t="s">
        <v>5</v>
      </c>
      <c r="B606" s="2" t="s">
        <v>609</v>
      </c>
      <c r="C606" s="2">
        <v>3.3094496735702101</v>
      </c>
      <c r="D606" s="2">
        <f>VLOOKUP(OneWeekMtgRatesDataTable8[[#This Row],[AsOfDate]],G:H,2,0)+OneWeekMtgRatesDataTable8[[#This Row],[SeriesNumValue]]</f>
        <v>4.2940134265702099</v>
      </c>
      <c r="F606" s="2" t="s">
        <v>1277</v>
      </c>
      <c r="G606" s="2" t="s">
        <v>609</v>
      </c>
      <c r="H606" s="2">
        <v>0.98456375299999999</v>
      </c>
      <c r="K606" s="4">
        <v>41046</v>
      </c>
      <c r="L606">
        <v>3.73</v>
      </c>
    </row>
    <row r="607" spans="1:12" x14ac:dyDescent="0.25">
      <c r="A607" s="2" t="s">
        <v>5</v>
      </c>
      <c r="B607" s="2" t="s">
        <v>610</v>
      </c>
      <c r="C607" s="2">
        <v>3.2979461773808199</v>
      </c>
      <c r="D607" s="2">
        <f>VLOOKUP(OneWeekMtgRatesDataTable8[[#This Row],[AsOfDate]],G:H,2,0)+OneWeekMtgRatesDataTable8[[#This Row],[SeriesNumValue]]</f>
        <v>4.2825099303808196</v>
      </c>
      <c r="F607" s="2" t="s">
        <v>1277</v>
      </c>
      <c r="G607" s="2" t="s">
        <v>610</v>
      </c>
      <c r="H607" s="2">
        <v>0.98456375299999999</v>
      </c>
      <c r="K607" s="4">
        <v>41047</v>
      </c>
      <c r="L607">
        <v>3.73</v>
      </c>
    </row>
    <row r="608" spans="1:12" x14ac:dyDescent="0.25">
      <c r="A608" s="2" t="s">
        <v>5</v>
      </c>
      <c r="B608" s="2" t="s">
        <v>611</v>
      </c>
      <c r="C608" s="2">
        <v>3.3118182496923301</v>
      </c>
      <c r="D608" s="2">
        <f>VLOOKUP(OneWeekMtgRatesDataTable8[[#This Row],[AsOfDate]],G:H,2,0)+OneWeekMtgRatesDataTable8[[#This Row],[SeriesNumValue]]</f>
        <v>4.2963820026923303</v>
      </c>
      <c r="F608" s="2" t="s">
        <v>1277</v>
      </c>
      <c r="G608" s="2" t="s">
        <v>611</v>
      </c>
      <c r="H608" s="2">
        <v>0.98456375299999999</v>
      </c>
      <c r="K608" s="4">
        <v>41050</v>
      </c>
      <c r="L608">
        <v>3.73</v>
      </c>
    </row>
    <row r="609" spans="1:12" x14ac:dyDescent="0.25">
      <c r="A609" s="2" t="s">
        <v>5</v>
      </c>
      <c r="B609" s="2" t="s">
        <v>612</v>
      </c>
      <c r="C609" s="2">
        <v>3.3689245044101299</v>
      </c>
      <c r="D609" s="2">
        <f>VLOOKUP(OneWeekMtgRatesDataTable8[[#This Row],[AsOfDate]],G:H,2,0)+OneWeekMtgRatesDataTable8[[#This Row],[SeriesNumValue]]</f>
        <v>4.2621651574101298</v>
      </c>
      <c r="F609" s="2" t="s">
        <v>1277</v>
      </c>
      <c r="G609" s="2" t="s">
        <v>612</v>
      </c>
      <c r="H609" s="2">
        <v>0.893240653</v>
      </c>
      <c r="K609" s="4">
        <v>41051</v>
      </c>
      <c r="L609">
        <v>3.73</v>
      </c>
    </row>
    <row r="610" spans="1:12" x14ac:dyDescent="0.25">
      <c r="A610" s="2" t="s">
        <v>5</v>
      </c>
      <c r="B610" s="2" t="s">
        <v>613</v>
      </c>
      <c r="C610" s="2">
        <v>3.6732513531495798</v>
      </c>
      <c r="D610" s="2">
        <f>VLOOKUP(OneWeekMtgRatesDataTable8[[#This Row],[AsOfDate]],G:H,2,0)+OneWeekMtgRatesDataTable8[[#This Row],[SeriesNumValue]]</f>
        <v>4.5664920061495797</v>
      </c>
      <c r="F610" s="2" t="s">
        <v>1277</v>
      </c>
      <c r="G610" s="2" t="s">
        <v>613</v>
      </c>
      <c r="H610" s="2">
        <v>0.893240653</v>
      </c>
      <c r="K610" s="4">
        <v>41052</v>
      </c>
      <c r="L610">
        <v>3.73</v>
      </c>
    </row>
    <row r="611" spans="1:12" x14ac:dyDescent="0.25">
      <c r="A611" s="2" t="s">
        <v>5</v>
      </c>
      <c r="B611" s="2" t="s">
        <v>614</v>
      </c>
      <c r="C611" s="2">
        <v>3.5446391609564598</v>
      </c>
      <c r="D611" s="2">
        <f>VLOOKUP(OneWeekMtgRatesDataTable8[[#This Row],[AsOfDate]],G:H,2,0)+OneWeekMtgRatesDataTable8[[#This Row],[SeriesNumValue]]</f>
        <v>4.4378798139564601</v>
      </c>
      <c r="F611" s="2" t="s">
        <v>1277</v>
      </c>
      <c r="G611" s="2" t="s">
        <v>614</v>
      </c>
      <c r="H611" s="2">
        <v>0.893240653</v>
      </c>
      <c r="K611" s="4">
        <v>41053</v>
      </c>
      <c r="L611">
        <v>3.7</v>
      </c>
    </row>
    <row r="612" spans="1:12" x14ac:dyDescent="0.25">
      <c r="A612" s="2" t="s">
        <v>5</v>
      </c>
      <c r="B612" s="2" t="s">
        <v>615</v>
      </c>
      <c r="C612" s="2">
        <v>3.4880159980232399</v>
      </c>
      <c r="D612" s="2">
        <f>VLOOKUP(OneWeekMtgRatesDataTable8[[#This Row],[AsOfDate]],G:H,2,0)+OneWeekMtgRatesDataTable8[[#This Row],[SeriesNumValue]]</f>
        <v>4.3812566510232402</v>
      </c>
      <c r="F612" s="2" t="s">
        <v>1277</v>
      </c>
      <c r="G612" s="2" t="s">
        <v>615</v>
      </c>
      <c r="H612" s="2">
        <v>0.893240653</v>
      </c>
      <c r="K612" s="4">
        <v>41054</v>
      </c>
      <c r="L612">
        <v>3.7</v>
      </c>
    </row>
    <row r="613" spans="1:12" x14ac:dyDescent="0.25">
      <c r="A613" s="2" t="s">
        <v>5</v>
      </c>
      <c r="B613" s="2" t="s">
        <v>616</v>
      </c>
      <c r="C613" s="2">
        <v>3.58537205832996</v>
      </c>
      <c r="D613" s="2">
        <f>VLOOKUP(OneWeekMtgRatesDataTable8[[#This Row],[AsOfDate]],G:H,2,0)+OneWeekMtgRatesDataTable8[[#This Row],[SeriesNumValue]]</f>
        <v>4.4725524153299601</v>
      </c>
      <c r="F613" s="2" t="s">
        <v>1277</v>
      </c>
      <c r="G613" s="2" t="s">
        <v>616</v>
      </c>
      <c r="H613" s="2">
        <v>0.88718035699999998</v>
      </c>
      <c r="K613" s="4">
        <v>41058</v>
      </c>
      <c r="L613">
        <v>3.7</v>
      </c>
    </row>
    <row r="614" spans="1:12" x14ac:dyDescent="0.25">
      <c r="A614" s="2" t="s">
        <v>5</v>
      </c>
      <c r="B614" s="2" t="s">
        <v>617</v>
      </c>
      <c r="C614" s="2">
        <v>3.4679725505405199</v>
      </c>
      <c r="D614" s="2">
        <f>VLOOKUP(OneWeekMtgRatesDataTable8[[#This Row],[AsOfDate]],G:H,2,0)+OneWeekMtgRatesDataTable8[[#This Row],[SeriesNumValue]]</f>
        <v>4.3551529075405195</v>
      </c>
      <c r="F614" s="2" t="s">
        <v>1277</v>
      </c>
      <c r="G614" s="2" t="s">
        <v>617</v>
      </c>
      <c r="H614" s="2">
        <v>0.88718035699999998</v>
      </c>
      <c r="K614" s="4">
        <v>41059</v>
      </c>
      <c r="L614">
        <v>3.7</v>
      </c>
    </row>
    <row r="615" spans="1:12" x14ac:dyDescent="0.25">
      <c r="A615" s="2" t="s">
        <v>5</v>
      </c>
      <c r="B615" s="2" t="s">
        <v>618</v>
      </c>
      <c r="C615" s="2">
        <v>3.4748173662638</v>
      </c>
      <c r="D615" s="2">
        <f>VLOOKUP(OneWeekMtgRatesDataTable8[[#This Row],[AsOfDate]],G:H,2,0)+OneWeekMtgRatesDataTable8[[#This Row],[SeriesNumValue]]</f>
        <v>4.3619977232637996</v>
      </c>
      <c r="F615" s="2" t="s">
        <v>1277</v>
      </c>
      <c r="G615" s="2" t="s">
        <v>618</v>
      </c>
      <c r="H615" s="2">
        <v>0.88718035699999998</v>
      </c>
      <c r="K615" s="4">
        <v>41060</v>
      </c>
      <c r="L615">
        <v>3.5950000000000002</v>
      </c>
    </row>
    <row r="616" spans="1:12" x14ac:dyDescent="0.25">
      <c r="A616" s="2" t="s">
        <v>5</v>
      </c>
      <c r="B616" s="2" t="s">
        <v>619</v>
      </c>
      <c r="C616" s="2">
        <v>3.40503285889704</v>
      </c>
      <c r="D616" s="2">
        <f>VLOOKUP(OneWeekMtgRatesDataTable8[[#This Row],[AsOfDate]],G:H,2,0)+OneWeekMtgRatesDataTable8[[#This Row],[SeriesNumValue]]</f>
        <v>4.2922132158970401</v>
      </c>
      <c r="F616" s="2" t="s">
        <v>1277</v>
      </c>
      <c r="G616" s="2" t="s">
        <v>619</v>
      </c>
      <c r="H616" s="2">
        <v>0.88718035699999998</v>
      </c>
      <c r="K616" s="4">
        <v>41061</v>
      </c>
      <c r="L616">
        <v>3.5950000000000002</v>
      </c>
    </row>
    <row r="617" spans="1:12" x14ac:dyDescent="0.25">
      <c r="A617" s="2" t="s">
        <v>5</v>
      </c>
      <c r="B617" s="2" t="s">
        <v>620</v>
      </c>
      <c r="C617" s="2">
        <v>3.3914708524147601</v>
      </c>
      <c r="D617" s="2">
        <f>VLOOKUP(OneWeekMtgRatesDataTable8[[#This Row],[AsOfDate]],G:H,2,0)+OneWeekMtgRatesDataTable8[[#This Row],[SeriesNumValue]]</f>
        <v>4.2786512094147602</v>
      </c>
      <c r="F617" s="2" t="s">
        <v>1277</v>
      </c>
      <c r="G617" s="2" t="s">
        <v>620</v>
      </c>
      <c r="H617" s="2">
        <v>0.88718035699999998</v>
      </c>
      <c r="K617" s="4">
        <v>41064</v>
      </c>
      <c r="L617">
        <v>3.5950000000000002</v>
      </c>
    </row>
    <row r="618" spans="1:12" x14ac:dyDescent="0.25">
      <c r="A618" s="2" t="s">
        <v>5</v>
      </c>
      <c r="B618" s="2" t="s">
        <v>621</v>
      </c>
      <c r="C618" s="2">
        <v>3.34386583598301</v>
      </c>
      <c r="D618" s="2">
        <f>VLOOKUP(OneWeekMtgRatesDataTable8[[#This Row],[AsOfDate]],G:H,2,0)+OneWeekMtgRatesDataTable8[[#This Row],[SeriesNumValue]]</f>
        <v>4.22223394298301</v>
      </c>
      <c r="F618" s="2" t="s">
        <v>1277</v>
      </c>
      <c r="G618" s="2" t="s">
        <v>621</v>
      </c>
      <c r="H618" s="2">
        <v>0.87836810700000001</v>
      </c>
      <c r="K618" s="4">
        <v>41065</v>
      </c>
      <c r="L618">
        <v>3.5950000000000002</v>
      </c>
    </row>
    <row r="619" spans="1:12" x14ac:dyDescent="0.25">
      <c r="A619" s="2" t="s">
        <v>5</v>
      </c>
      <c r="B619" s="2" t="s">
        <v>622</v>
      </c>
      <c r="C619" s="2">
        <v>3.38884755763491</v>
      </c>
      <c r="D619" s="2">
        <f>VLOOKUP(OneWeekMtgRatesDataTable8[[#This Row],[AsOfDate]],G:H,2,0)+OneWeekMtgRatesDataTable8[[#This Row],[SeriesNumValue]]</f>
        <v>4.26721566463491</v>
      </c>
      <c r="F619" s="2" t="s">
        <v>1277</v>
      </c>
      <c r="G619" s="2" t="s">
        <v>622</v>
      </c>
      <c r="H619" s="2">
        <v>0.87836810700000001</v>
      </c>
      <c r="K619" s="4">
        <v>41066</v>
      </c>
      <c r="L619">
        <v>3.5950000000000002</v>
      </c>
    </row>
    <row r="620" spans="1:12" x14ac:dyDescent="0.25">
      <c r="A620" s="2" t="s">
        <v>5</v>
      </c>
      <c r="B620" s="2" t="s">
        <v>623</v>
      </c>
      <c r="C620" s="2">
        <v>3.3313912756576198</v>
      </c>
      <c r="D620" s="2">
        <f>VLOOKUP(OneWeekMtgRatesDataTable8[[#This Row],[AsOfDate]],G:H,2,0)+OneWeekMtgRatesDataTable8[[#This Row],[SeriesNumValue]]</f>
        <v>4.2097593826576194</v>
      </c>
      <c r="F620" s="2" t="s">
        <v>1277</v>
      </c>
      <c r="G620" s="2" t="s">
        <v>623</v>
      </c>
      <c r="H620" s="2">
        <v>0.87836810700000001</v>
      </c>
      <c r="K620" s="4">
        <v>41067</v>
      </c>
      <c r="L620">
        <v>3.6349999999999998</v>
      </c>
    </row>
    <row r="621" spans="1:12" x14ac:dyDescent="0.25">
      <c r="A621" s="2" t="s">
        <v>5</v>
      </c>
      <c r="B621" s="2" t="s">
        <v>624</v>
      </c>
      <c r="C621" s="2">
        <v>3.3220828709767098</v>
      </c>
      <c r="D621" s="2">
        <f>VLOOKUP(OneWeekMtgRatesDataTable8[[#This Row],[AsOfDate]],G:H,2,0)+OneWeekMtgRatesDataTable8[[#This Row],[SeriesNumValue]]</f>
        <v>4.2004509779767094</v>
      </c>
      <c r="F621" s="2" t="s">
        <v>1277</v>
      </c>
      <c r="G621" s="2" t="s">
        <v>624</v>
      </c>
      <c r="H621" s="2">
        <v>0.87836810700000001</v>
      </c>
      <c r="K621" s="4">
        <v>41068</v>
      </c>
      <c r="L621">
        <v>3.6349999999999998</v>
      </c>
    </row>
    <row r="622" spans="1:12" x14ac:dyDescent="0.25">
      <c r="A622" s="2" t="s">
        <v>5</v>
      </c>
      <c r="B622" s="2" t="s">
        <v>625</v>
      </c>
      <c r="C622" s="2">
        <v>3.3639050543487601</v>
      </c>
      <c r="D622" s="2">
        <f>VLOOKUP(OneWeekMtgRatesDataTable8[[#This Row],[AsOfDate]],G:H,2,0)+OneWeekMtgRatesDataTable8[[#This Row],[SeriesNumValue]]</f>
        <v>4.2422731613487601</v>
      </c>
      <c r="F622" s="2" t="s">
        <v>1277</v>
      </c>
      <c r="G622" s="2" t="s">
        <v>625</v>
      </c>
      <c r="H622" s="2">
        <v>0.87836810700000001</v>
      </c>
      <c r="K622" s="4">
        <v>41071</v>
      </c>
      <c r="L622">
        <v>3.6349999999999998</v>
      </c>
    </row>
    <row r="623" spans="1:12" x14ac:dyDescent="0.25">
      <c r="A623" s="2" t="s">
        <v>5</v>
      </c>
      <c r="B623" s="2" t="s">
        <v>626</v>
      </c>
      <c r="C623" s="2">
        <v>3.4296755954575699</v>
      </c>
      <c r="D623" s="2">
        <f>VLOOKUP(OneWeekMtgRatesDataTable8[[#This Row],[AsOfDate]],G:H,2,0)+OneWeekMtgRatesDataTable8[[#This Row],[SeriesNumValue]]</f>
        <v>4.3224951244575696</v>
      </c>
      <c r="F623" s="2" t="s">
        <v>1277</v>
      </c>
      <c r="G623" s="2" t="s">
        <v>626</v>
      </c>
      <c r="H623" s="2">
        <v>0.89281952899999995</v>
      </c>
      <c r="K623" s="4">
        <v>41072</v>
      </c>
      <c r="L623">
        <v>3.6349999999999998</v>
      </c>
    </row>
    <row r="624" spans="1:12" x14ac:dyDescent="0.25">
      <c r="A624" s="2" t="s">
        <v>5</v>
      </c>
      <c r="B624" s="2" t="s">
        <v>627</v>
      </c>
      <c r="C624" s="2">
        <v>3.4407863915877401</v>
      </c>
      <c r="D624" s="2">
        <f>VLOOKUP(OneWeekMtgRatesDataTable8[[#This Row],[AsOfDate]],G:H,2,0)+OneWeekMtgRatesDataTable8[[#This Row],[SeriesNumValue]]</f>
        <v>4.3336059205877397</v>
      </c>
      <c r="F624" s="2" t="s">
        <v>1277</v>
      </c>
      <c r="G624" s="2" t="s">
        <v>627</v>
      </c>
      <c r="H624" s="2">
        <v>0.89281952899999995</v>
      </c>
      <c r="K624" s="4">
        <v>41073</v>
      </c>
      <c r="L624">
        <v>3.6349999999999998</v>
      </c>
    </row>
    <row r="625" spans="1:12" x14ac:dyDescent="0.25">
      <c r="A625" s="2" t="s">
        <v>5</v>
      </c>
      <c r="B625" s="2" t="s">
        <v>628</v>
      </c>
      <c r="C625" s="2">
        <v>3.3953206082541598</v>
      </c>
      <c r="D625" s="2">
        <f>VLOOKUP(OneWeekMtgRatesDataTable8[[#This Row],[AsOfDate]],G:H,2,0)+OneWeekMtgRatesDataTable8[[#This Row],[SeriesNumValue]]</f>
        <v>4.2881401372541594</v>
      </c>
      <c r="F625" s="2" t="s">
        <v>1277</v>
      </c>
      <c r="G625" s="2" t="s">
        <v>628</v>
      </c>
      <c r="H625" s="2">
        <v>0.89281952899999995</v>
      </c>
      <c r="K625" s="4">
        <v>41074</v>
      </c>
      <c r="L625">
        <v>3.585</v>
      </c>
    </row>
    <row r="626" spans="1:12" x14ac:dyDescent="0.25">
      <c r="A626" s="2" t="s">
        <v>5</v>
      </c>
      <c r="B626" s="2" t="s">
        <v>629</v>
      </c>
      <c r="C626" s="2">
        <v>3.4061464314062202</v>
      </c>
      <c r="D626" s="2">
        <f>VLOOKUP(OneWeekMtgRatesDataTable8[[#This Row],[AsOfDate]],G:H,2,0)+OneWeekMtgRatesDataTable8[[#This Row],[SeriesNumValue]]</f>
        <v>4.2989659604062203</v>
      </c>
      <c r="F626" s="2" t="s">
        <v>1277</v>
      </c>
      <c r="G626" s="2" t="s">
        <v>629</v>
      </c>
      <c r="H626" s="2">
        <v>0.89281952899999995</v>
      </c>
      <c r="K626" s="4">
        <v>41075</v>
      </c>
      <c r="L626">
        <v>3.585</v>
      </c>
    </row>
    <row r="627" spans="1:12" x14ac:dyDescent="0.25">
      <c r="A627" s="2" t="s">
        <v>5</v>
      </c>
      <c r="B627" s="2" t="s">
        <v>630</v>
      </c>
      <c r="C627" s="2">
        <v>3.4285967572115399</v>
      </c>
      <c r="D627" s="2">
        <f>VLOOKUP(OneWeekMtgRatesDataTable8[[#This Row],[AsOfDate]],G:H,2,0)+OneWeekMtgRatesDataTable8[[#This Row],[SeriesNumValue]]</f>
        <v>4.3214162862115399</v>
      </c>
      <c r="F627" s="2" t="s">
        <v>1277</v>
      </c>
      <c r="G627" s="2" t="s">
        <v>630</v>
      </c>
      <c r="H627" s="2">
        <v>0.89281952899999995</v>
      </c>
      <c r="K627" s="4">
        <v>41078</v>
      </c>
      <c r="L627">
        <v>3.585</v>
      </c>
    </row>
    <row r="628" spans="1:12" x14ac:dyDescent="0.25">
      <c r="A628" s="2" t="s">
        <v>5</v>
      </c>
      <c r="B628" s="2" t="s">
        <v>631</v>
      </c>
      <c r="C628" s="2">
        <v>3.4095392657433901</v>
      </c>
      <c r="D628" s="2">
        <f>VLOOKUP(OneWeekMtgRatesDataTable8[[#This Row],[AsOfDate]],G:H,2,0)+OneWeekMtgRatesDataTable8[[#This Row],[SeriesNumValue]]</f>
        <v>4.3084613747433904</v>
      </c>
      <c r="F628" s="2" t="s">
        <v>1277</v>
      </c>
      <c r="G628" s="2" t="s">
        <v>631</v>
      </c>
      <c r="H628" s="2">
        <v>0.89892210900000002</v>
      </c>
      <c r="K628" s="4">
        <v>41079</v>
      </c>
      <c r="L628">
        <v>3.585</v>
      </c>
    </row>
    <row r="629" spans="1:12" x14ac:dyDescent="0.25">
      <c r="A629" s="2" t="s">
        <v>5</v>
      </c>
      <c r="B629" s="2" t="s">
        <v>632</v>
      </c>
      <c r="C629" s="2">
        <v>3.5328707550914098</v>
      </c>
      <c r="D629" s="2">
        <f>VLOOKUP(OneWeekMtgRatesDataTable8[[#This Row],[AsOfDate]],G:H,2,0)+OneWeekMtgRatesDataTable8[[#This Row],[SeriesNumValue]]</f>
        <v>4.4317928640914097</v>
      </c>
      <c r="F629" s="2" t="s">
        <v>1277</v>
      </c>
      <c r="G629" s="2" t="s">
        <v>632</v>
      </c>
      <c r="H629" s="2">
        <v>0.89892210900000002</v>
      </c>
      <c r="K629" s="4">
        <v>41080</v>
      </c>
      <c r="L629">
        <v>3.585</v>
      </c>
    </row>
    <row r="630" spans="1:12" x14ac:dyDescent="0.25">
      <c r="A630" s="2" t="s">
        <v>5</v>
      </c>
      <c r="B630" s="2" t="s">
        <v>633</v>
      </c>
      <c r="C630" s="2">
        <v>3.4035662511479701</v>
      </c>
      <c r="D630" s="2">
        <f>VLOOKUP(OneWeekMtgRatesDataTable8[[#This Row],[AsOfDate]],G:H,2,0)+OneWeekMtgRatesDataTable8[[#This Row],[SeriesNumValue]]</f>
        <v>4.3024883601479704</v>
      </c>
      <c r="F630" s="2" t="s">
        <v>1277</v>
      </c>
      <c r="G630" s="2" t="s">
        <v>633</v>
      </c>
      <c r="H630" s="2">
        <v>0.89892210900000002</v>
      </c>
      <c r="K630" s="4">
        <v>41081</v>
      </c>
      <c r="L630">
        <v>3.585</v>
      </c>
    </row>
    <row r="631" spans="1:12" x14ac:dyDescent="0.25">
      <c r="A631" s="2" t="s">
        <v>5</v>
      </c>
      <c r="B631" s="2" t="s">
        <v>634</v>
      </c>
      <c r="C631" s="2">
        <v>3.4178117990662802</v>
      </c>
      <c r="D631" s="2">
        <f>VLOOKUP(OneWeekMtgRatesDataTable8[[#This Row],[AsOfDate]],G:H,2,0)+OneWeekMtgRatesDataTable8[[#This Row],[SeriesNumValue]]</f>
        <v>4.3167339080662801</v>
      </c>
      <c r="F631" s="2" t="s">
        <v>1277</v>
      </c>
      <c r="G631" s="2" t="s">
        <v>634</v>
      </c>
      <c r="H631" s="2">
        <v>0.89892210900000002</v>
      </c>
      <c r="K631" s="4">
        <v>41082</v>
      </c>
      <c r="L631">
        <v>3.585</v>
      </c>
    </row>
    <row r="632" spans="1:12" x14ac:dyDescent="0.25">
      <c r="A632" s="2" t="s">
        <v>5</v>
      </c>
      <c r="B632" s="2" t="s">
        <v>635</v>
      </c>
      <c r="C632" s="2">
        <v>3.44308693748463</v>
      </c>
      <c r="D632" s="2">
        <f>VLOOKUP(OneWeekMtgRatesDataTable8[[#This Row],[AsOfDate]],G:H,2,0)+OneWeekMtgRatesDataTable8[[#This Row],[SeriesNumValue]]</f>
        <v>4.3420090464846304</v>
      </c>
      <c r="F632" s="2" t="s">
        <v>1277</v>
      </c>
      <c r="G632" s="2" t="s">
        <v>635</v>
      </c>
      <c r="H632" s="2">
        <v>0.89892210900000002</v>
      </c>
      <c r="K632" s="4">
        <v>41085</v>
      </c>
      <c r="L632">
        <v>3.585</v>
      </c>
    </row>
    <row r="633" spans="1:12" x14ac:dyDescent="0.25">
      <c r="A633" s="2" t="s">
        <v>5</v>
      </c>
      <c r="B633" s="2" t="s">
        <v>636</v>
      </c>
      <c r="C633" s="2">
        <v>3.40952934683791</v>
      </c>
      <c r="D633" s="2">
        <f>VLOOKUP(OneWeekMtgRatesDataTable8[[#This Row],[AsOfDate]],G:H,2,0)+OneWeekMtgRatesDataTable8[[#This Row],[SeriesNumValue]]</f>
        <v>4.2931563288379095</v>
      </c>
      <c r="F633" s="2" t="s">
        <v>1277</v>
      </c>
      <c r="G633" s="2" t="s">
        <v>636</v>
      </c>
      <c r="H633" s="2">
        <v>0.88362698200000001</v>
      </c>
      <c r="K633" s="4">
        <v>41086</v>
      </c>
      <c r="L633">
        <v>3.585</v>
      </c>
    </row>
    <row r="634" spans="1:12" x14ac:dyDescent="0.25">
      <c r="A634" s="2" t="s">
        <v>5</v>
      </c>
      <c r="B634" s="2" t="s">
        <v>637</v>
      </c>
      <c r="C634" s="2">
        <v>3.3814879030485301</v>
      </c>
      <c r="D634" s="2">
        <f>VLOOKUP(OneWeekMtgRatesDataTable8[[#This Row],[AsOfDate]],G:H,2,0)+OneWeekMtgRatesDataTable8[[#This Row],[SeriesNumValue]]</f>
        <v>4.2651148850485301</v>
      </c>
      <c r="F634" s="2" t="s">
        <v>1277</v>
      </c>
      <c r="G634" s="2" t="s">
        <v>637</v>
      </c>
      <c r="H634" s="2">
        <v>0.88362698200000001</v>
      </c>
      <c r="K634" s="4">
        <v>41087</v>
      </c>
      <c r="L634">
        <v>3.585</v>
      </c>
    </row>
    <row r="635" spans="1:12" x14ac:dyDescent="0.25">
      <c r="A635" s="2" t="s">
        <v>5</v>
      </c>
      <c r="B635" s="2" t="s">
        <v>638</v>
      </c>
      <c r="C635" s="2">
        <v>3.3639509131930398</v>
      </c>
      <c r="D635" s="2">
        <f>VLOOKUP(OneWeekMtgRatesDataTable8[[#This Row],[AsOfDate]],G:H,2,0)+OneWeekMtgRatesDataTable8[[#This Row],[SeriesNumValue]]</f>
        <v>4.2475778951930394</v>
      </c>
      <c r="F635" s="2" t="s">
        <v>1277</v>
      </c>
      <c r="G635" s="2" t="s">
        <v>638</v>
      </c>
      <c r="H635" s="2">
        <v>0.88362698200000001</v>
      </c>
      <c r="K635" s="4">
        <v>41088</v>
      </c>
      <c r="L635">
        <v>3.57</v>
      </c>
    </row>
    <row r="636" spans="1:12" x14ac:dyDescent="0.25">
      <c r="A636" s="2" t="s">
        <v>5</v>
      </c>
      <c r="B636" s="2" t="s">
        <v>639</v>
      </c>
      <c r="C636" s="2">
        <v>3.38388390000057</v>
      </c>
      <c r="D636" s="2">
        <f>VLOOKUP(OneWeekMtgRatesDataTable8[[#This Row],[AsOfDate]],G:H,2,0)+OneWeekMtgRatesDataTable8[[#This Row],[SeriesNumValue]]</f>
        <v>4.26751088200057</v>
      </c>
      <c r="F636" s="2" t="s">
        <v>1277</v>
      </c>
      <c r="G636" s="2" t="s">
        <v>639</v>
      </c>
      <c r="H636" s="2">
        <v>0.88362698200000001</v>
      </c>
      <c r="K636" s="4">
        <v>41089</v>
      </c>
      <c r="L636">
        <v>3.57</v>
      </c>
    </row>
    <row r="637" spans="1:12" x14ac:dyDescent="0.25">
      <c r="A637" s="2" t="s">
        <v>5</v>
      </c>
      <c r="B637" s="2" t="s">
        <v>640</v>
      </c>
      <c r="C637" s="2">
        <v>3.48659769885389</v>
      </c>
      <c r="D637" s="2">
        <f>VLOOKUP(OneWeekMtgRatesDataTable8[[#This Row],[AsOfDate]],G:H,2,0)+OneWeekMtgRatesDataTable8[[#This Row],[SeriesNumValue]]</f>
        <v>4.37022468085389</v>
      </c>
      <c r="F637" s="2" t="s">
        <v>1277</v>
      </c>
      <c r="G637" s="2" t="s">
        <v>640</v>
      </c>
      <c r="H637" s="2">
        <v>0.88362698200000001</v>
      </c>
      <c r="K637" s="4">
        <v>41092</v>
      </c>
      <c r="L637">
        <v>3.57</v>
      </c>
    </row>
    <row r="638" spans="1:12" x14ac:dyDescent="0.25">
      <c r="A638" s="2" t="s">
        <v>5</v>
      </c>
      <c r="B638" s="2" t="s">
        <v>641</v>
      </c>
      <c r="C638" s="2">
        <v>3.48408848788866</v>
      </c>
      <c r="D638" s="2">
        <f>VLOOKUP(OneWeekMtgRatesDataTable8[[#This Row],[AsOfDate]],G:H,2,0)+OneWeekMtgRatesDataTable8[[#This Row],[SeriesNumValue]]</f>
        <v>4.3890867068886603</v>
      </c>
      <c r="F638" s="2" t="s">
        <v>1277</v>
      </c>
      <c r="G638" s="2" t="s">
        <v>641</v>
      </c>
      <c r="H638" s="2">
        <v>0.90499821899999999</v>
      </c>
      <c r="K638" s="4">
        <v>41093</v>
      </c>
      <c r="L638">
        <v>3.57</v>
      </c>
    </row>
    <row r="639" spans="1:12" x14ac:dyDescent="0.25">
      <c r="A639" s="2" t="s">
        <v>5</v>
      </c>
      <c r="B639" s="2" t="s">
        <v>642</v>
      </c>
      <c r="C639" s="2">
        <v>3.5424603238556802</v>
      </c>
      <c r="D639" s="2">
        <f>VLOOKUP(OneWeekMtgRatesDataTable8[[#This Row],[AsOfDate]],G:H,2,0)+OneWeekMtgRatesDataTable8[[#This Row],[SeriesNumValue]]</f>
        <v>4.4474585428556805</v>
      </c>
      <c r="F639" s="2" t="s">
        <v>1277</v>
      </c>
      <c r="G639" s="2" t="s">
        <v>642</v>
      </c>
      <c r="H639" s="2">
        <v>0.90499821899999999</v>
      </c>
      <c r="K639" s="4">
        <v>41095</v>
      </c>
      <c r="L639">
        <v>3.4849999999999999</v>
      </c>
    </row>
    <row r="640" spans="1:12" x14ac:dyDescent="0.25">
      <c r="A640" s="2" t="s">
        <v>5</v>
      </c>
      <c r="B640" s="2" t="s">
        <v>643</v>
      </c>
      <c r="C640" s="2">
        <v>3.63422852757154</v>
      </c>
      <c r="D640" s="2">
        <f>VLOOKUP(OneWeekMtgRatesDataTable8[[#This Row],[AsOfDate]],G:H,2,0)+OneWeekMtgRatesDataTable8[[#This Row],[SeriesNumValue]]</f>
        <v>4.5392267465715399</v>
      </c>
      <c r="F640" s="2" t="s">
        <v>1277</v>
      </c>
      <c r="G640" s="2" t="s">
        <v>643</v>
      </c>
      <c r="H640" s="2">
        <v>0.90499821899999999</v>
      </c>
      <c r="K640" s="4">
        <v>41096</v>
      </c>
      <c r="L640">
        <v>3.4849999999999999</v>
      </c>
    </row>
    <row r="641" spans="1:12" x14ac:dyDescent="0.25">
      <c r="A641" s="2" t="s">
        <v>5</v>
      </c>
      <c r="B641" s="2" t="s">
        <v>644</v>
      </c>
      <c r="C641" s="2">
        <v>3.71104784086622</v>
      </c>
      <c r="D641" s="2">
        <f>VLOOKUP(OneWeekMtgRatesDataTable8[[#This Row],[AsOfDate]],G:H,2,0)+OneWeekMtgRatesDataTable8[[#This Row],[SeriesNumValue]]</f>
        <v>4.6160460598662203</v>
      </c>
      <c r="F641" s="2" t="s">
        <v>1277</v>
      </c>
      <c r="G641" s="2" t="s">
        <v>644</v>
      </c>
      <c r="H641" s="2">
        <v>0.90499821899999999</v>
      </c>
      <c r="K641" s="4">
        <v>41099</v>
      </c>
      <c r="L641">
        <v>3.4849999999999999</v>
      </c>
    </row>
    <row r="642" spans="1:12" x14ac:dyDescent="0.25">
      <c r="A642" s="2" t="s">
        <v>5</v>
      </c>
      <c r="B642" s="2" t="s">
        <v>645</v>
      </c>
      <c r="C642" s="2">
        <v>3.63068303363114</v>
      </c>
      <c r="D642" s="2">
        <f>VLOOKUP(OneWeekMtgRatesDataTable8[[#This Row],[AsOfDate]],G:H,2,0)+OneWeekMtgRatesDataTable8[[#This Row],[SeriesNumValue]]</f>
        <v>4.5356812526311403</v>
      </c>
      <c r="F642" s="2" t="s">
        <v>1277</v>
      </c>
      <c r="G642" s="2" t="s">
        <v>645</v>
      </c>
      <c r="H642" s="2">
        <v>0.90499821899999999</v>
      </c>
      <c r="K642" s="4">
        <v>41100</v>
      </c>
      <c r="L642">
        <v>3.4849999999999999</v>
      </c>
    </row>
    <row r="643" spans="1:12" x14ac:dyDescent="0.25">
      <c r="A643" s="2" t="s">
        <v>5</v>
      </c>
      <c r="B643" s="2" t="s">
        <v>646</v>
      </c>
      <c r="C643" s="2">
        <v>3.6746442970123199</v>
      </c>
      <c r="D643" s="2">
        <f>VLOOKUP(OneWeekMtgRatesDataTable8[[#This Row],[AsOfDate]],G:H,2,0)+OneWeekMtgRatesDataTable8[[#This Row],[SeriesNumValue]]</f>
        <v>4.5660314920123195</v>
      </c>
      <c r="F643" s="2" t="s">
        <v>1277</v>
      </c>
      <c r="G643" s="2" t="s">
        <v>646</v>
      </c>
      <c r="H643" s="2">
        <v>0.89138719499999997</v>
      </c>
      <c r="K643" s="4">
        <v>41101</v>
      </c>
      <c r="L643">
        <v>3.4849999999999999</v>
      </c>
    </row>
    <row r="644" spans="1:12" x14ac:dyDescent="0.25">
      <c r="A644" s="2" t="s">
        <v>5</v>
      </c>
      <c r="B644" s="2" t="s">
        <v>647</v>
      </c>
      <c r="C644" s="2">
        <v>3.7101937917241501</v>
      </c>
      <c r="D644" s="2">
        <f>VLOOKUP(OneWeekMtgRatesDataTable8[[#This Row],[AsOfDate]],G:H,2,0)+OneWeekMtgRatesDataTable8[[#This Row],[SeriesNumValue]]</f>
        <v>4.6015809867241497</v>
      </c>
      <c r="F644" s="2" t="s">
        <v>1277</v>
      </c>
      <c r="G644" s="2" t="s">
        <v>647</v>
      </c>
      <c r="H644" s="2">
        <v>0.89138719499999997</v>
      </c>
      <c r="K644" s="4">
        <v>41102</v>
      </c>
      <c r="L644">
        <v>3.4550000000000001</v>
      </c>
    </row>
    <row r="645" spans="1:12" x14ac:dyDescent="0.25">
      <c r="A645" s="2" t="s">
        <v>5</v>
      </c>
      <c r="B645" s="2" t="s">
        <v>648</v>
      </c>
      <c r="C645" s="2">
        <v>3.6014591745782401</v>
      </c>
      <c r="D645" s="2">
        <f>VLOOKUP(OneWeekMtgRatesDataTable8[[#This Row],[AsOfDate]],G:H,2,0)+OneWeekMtgRatesDataTable8[[#This Row],[SeriesNumValue]]</f>
        <v>4.4928463695782401</v>
      </c>
      <c r="F645" s="2" t="s">
        <v>1277</v>
      </c>
      <c r="G645" s="2" t="s">
        <v>648</v>
      </c>
      <c r="H645" s="2">
        <v>0.89138719499999997</v>
      </c>
      <c r="K645" s="4">
        <v>41103</v>
      </c>
      <c r="L645">
        <v>3.4550000000000001</v>
      </c>
    </row>
    <row r="646" spans="1:12" x14ac:dyDescent="0.25">
      <c r="A646" s="2" t="s">
        <v>5</v>
      </c>
      <c r="B646" s="2" t="s">
        <v>649</v>
      </c>
      <c r="C646" s="2">
        <v>3.5649427405180001</v>
      </c>
      <c r="D646" s="2">
        <f>VLOOKUP(OneWeekMtgRatesDataTable8[[#This Row],[AsOfDate]],G:H,2,0)+OneWeekMtgRatesDataTable8[[#This Row],[SeriesNumValue]]</f>
        <v>4.4563299355180002</v>
      </c>
      <c r="F646" s="2" t="s">
        <v>1277</v>
      </c>
      <c r="G646" s="2" t="s">
        <v>649</v>
      </c>
      <c r="H646" s="2">
        <v>0.89138719499999997</v>
      </c>
      <c r="K646" s="4">
        <v>41106</v>
      </c>
      <c r="L646">
        <v>3.4550000000000001</v>
      </c>
    </row>
    <row r="647" spans="1:12" x14ac:dyDescent="0.25">
      <c r="A647" s="2" t="s">
        <v>5</v>
      </c>
      <c r="B647" s="2" t="s">
        <v>650</v>
      </c>
      <c r="C647" s="2">
        <v>3.4950120682199999</v>
      </c>
      <c r="D647" s="2">
        <f>VLOOKUP(OneWeekMtgRatesDataTable8[[#This Row],[AsOfDate]],G:H,2,0)+OneWeekMtgRatesDataTable8[[#This Row],[SeriesNumValue]]</f>
        <v>4.3863992632199995</v>
      </c>
      <c r="F647" s="2" t="s">
        <v>1277</v>
      </c>
      <c r="G647" s="2" t="s">
        <v>650</v>
      </c>
      <c r="H647" s="2">
        <v>0.89138719499999997</v>
      </c>
      <c r="K647" s="4">
        <v>41107</v>
      </c>
      <c r="L647">
        <v>3.4550000000000001</v>
      </c>
    </row>
    <row r="648" spans="1:12" x14ac:dyDescent="0.25">
      <c r="A648" s="2" t="s">
        <v>5</v>
      </c>
      <c r="B648" s="2" t="s">
        <v>651</v>
      </c>
      <c r="C648" s="2">
        <v>3.5645215625566</v>
      </c>
      <c r="D648" s="2">
        <f>VLOOKUP(OneWeekMtgRatesDataTable8[[#This Row],[AsOfDate]],G:H,2,0)+OneWeekMtgRatesDataTable8[[#This Row],[SeriesNumValue]]</f>
        <v>4.4122956945566001</v>
      </c>
      <c r="F648" s="2" t="s">
        <v>1277</v>
      </c>
      <c r="G648" s="2" t="s">
        <v>651</v>
      </c>
      <c r="H648" s="2">
        <v>0.84777413199999996</v>
      </c>
      <c r="K648" s="4">
        <v>41108</v>
      </c>
      <c r="L648">
        <v>3.4550000000000001</v>
      </c>
    </row>
    <row r="649" spans="1:12" x14ac:dyDescent="0.25">
      <c r="A649" s="2" t="s">
        <v>5</v>
      </c>
      <c r="B649" s="2" t="s">
        <v>652</v>
      </c>
      <c r="C649" s="2">
        <v>3.5163998212649701</v>
      </c>
      <c r="D649" s="2">
        <f>VLOOKUP(OneWeekMtgRatesDataTable8[[#This Row],[AsOfDate]],G:H,2,0)+OneWeekMtgRatesDataTable8[[#This Row],[SeriesNumValue]]</f>
        <v>4.3641739532649702</v>
      </c>
      <c r="F649" s="2" t="s">
        <v>1277</v>
      </c>
      <c r="G649" s="2" t="s">
        <v>652</v>
      </c>
      <c r="H649" s="2">
        <v>0.84777413199999996</v>
      </c>
      <c r="K649" s="4">
        <v>41109</v>
      </c>
      <c r="L649">
        <v>3.415</v>
      </c>
    </row>
    <row r="650" spans="1:12" x14ac:dyDescent="0.25">
      <c r="A650" s="2" t="s">
        <v>5</v>
      </c>
      <c r="B650" s="2" t="s">
        <v>653</v>
      </c>
      <c r="C650" s="2">
        <v>3.5181082868119602</v>
      </c>
      <c r="D650" s="2">
        <f>VLOOKUP(OneWeekMtgRatesDataTable8[[#This Row],[AsOfDate]],G:H,2,0)+OneWeekMtgRatesDataTable8[[#This Row],[SeriesNumValue]]</f>
        <v>4.3658824188119603</v>
      </c>
      <c r="F650" s="2" t="s">
        <v>1277</v>
      </c>
      <c r="G650" s="2" t="s">
        <v>653</v>
      </c>
      <c r="H650" s="2">
        <v>0.84777413199999996</v>
      </c>
      <c r="K650" s="4">
        <v>41110</v>
      </c>
      <c r="L650">
        <v>3.415</v>
      </c>
    </row>
    <row r="651" spans="1:12" x14ac:dyDescent="0.25">
      <c r="A651" s="2" t="s">
        <v>5</v>
      </c>
      <c r="B651" s="2" t="s">
        <v>654</v>
      </c>
      <c r="C651" s="2">
        <v>3.6230343632850399</v>
      </c>
      <c r="D651" s="2">
        <f>VLOOKUP(OneWeekMtgRatesDataTable8[[#This Row],[AsOfDate]],G:H,2,0)+OneWeekMtgRatesDataTable8[[#This Row],[SeriesNumValue]]</f>
        <v>4.4708084952850395</v>
      </c>
      <c r="F651" s="2" t="s">
        <v>1277</v>
      </c>
      <c r="G651" s="2" t="s">
        <v>654</v>
      </c>
      <c r="H651" s="2">
        <v>0.84777413199999996</v>
      </c>
      <c r="K651" s="4">
        <v>41113</v>
      </c>
      <c r="L651">
        <v>3.415</v>
      </c>
    </row>
    <row r="652" spans="1:12" x14ac:dyDescent="0.25">
      <c r="A652" s="2" t="s">
        <v>5</v>
      </c>
      <c r="B652" s="2" t="s">
        <v>655</v>
      </c>
      <c r="C652" s="2">
        <v>3.6795741616596702</v>
      </c>
      <c r="D652" s="2">
        <f>VLOOKUP(OneWeekMtgRatesDataTable8[[#This Row],[AsOfDate]],G:H,2,0)+OneWeekMtgRatesDataTable8[[#This Row],[SeriesNumValue]]</f>
        <v>4.5902950036596701</v>
      </c>
      <c r="F652" s="2" t="s">
        <v>1277</v>
      </c>
      <c r="G652" s="2" t="s">
        <v>655</v>
      </c>
      <c r="H652" s="2">
        <v>0.91072084200000003</v>
      </c>
      <c r="K652" s="4">
        <v>41114</v>
      </c>
      <c r="L652">
        <v>3.415</v>
      </c>
    </row>
    <row r="653" spans="1:12" x14ac:dyDescent="0.25">
      <c r="A653" s="2" t="s">
        <v>5</v>
      </c>
      <c r="B653" s="2" t="s">
        <v>656</v>
      </c>
      <c r="C653" s="2">
        <v>3.7866951063074699</v>
      </c>
      <c r="D653" s="2">
        <f>VLOOKUP(OneWeekMtgRatesDataTable8[[#This Row],[AsOfDate]],G:H,2,0)+OneWeekMtgRatesDataTable8[[#This Row],[SeriesNumValue]]</f>
        <v>4.6974159483074702</v>
      </c>
      <c r="F653" s="2" t="s">
        <v>1277</v>
      </c>
      <c r="G653" s="2" t="s">
        <v>656</v>
      </c>
      <c r="H653" s="2">
        <v>0.91072084200000003</v>
      </c>
      <c r="K653" s="4">
        <v>41115</v>
      </c>
      <c r="L653">
        <v>3.415</v>
      </c>
    </row>
    <row r="654" spans="1:12" x14ac:dyDescent="0.25">
      <c r="A654" s="2" t="s">
        <v>5</v>
      </c>
      <c r="B654" s="2" t="s">
        <v>657</v>
      </c>
      <c r="C654" s="2">
        <v>3.7212376856688798</v>
      </c>
      <c r="D654" s="2">
        <f>VLOOKUP(OneWeekMtgRatesDataTable8[[#This Row],[AsOfDate]],G:H,2,0)+OneWeekMtgRatesDataTable8[[#This Row],[SeriesNumValue]]</f>
        <v>4.6319585276688802</v>
      </c>
      <c r="F654" s="2" t="s">
        <v>1277</v>
      </c>
      <c r="G654" s="2" t="s">
        <v>657</v>
      </c>
      <c r="H654" s="2">
        <v>0.91072084200000003</v>
      </c>
      <c r="K654" s="4">
        <v>41116</v>
      </c>
      <c r="L654">
        <v>3.4750000000000001</v>
      </c>
    </row>
    <row r="655" spans="1:12" x14ac:dyDescent="0.25">
      <c r="A655" s="2" t="s">
        <v>5</v>
      </c>
      <c r="B655" s="2" t="s">
        <v>658</v>
      </c>
      <c r="C655" s="2">
        <v>3.6494917316156599</v>
      </c>
      <c r="D655" s="2">
        <f>VLOOKUP(OneWeekMtgRatesDataTable8[[#This Row],[AsOfDate]],G:H,2,0)+OneWeekMtgRatesDataTable8[[#This Row],[SeriesNumValue]]</f>
        <v>4.5602125736156598</v>
      </c>
      <c r="F655" s="2" t="s">
        <v>1277</v>
      </c>
      <c r="G655" s="2" t="s">
        <v>658</v>
      </c>
      <c r="H655" s="2">
        <v>0.91072084200000003</v>
      </c>
      <c r="K655" s="4">
        <v>41117</v>
      </c>
      <c r="L655">
        <v>3.4750000000000001</v>
      </c>
    </row>
    <row r="656" spans="1:12" x14ac:dyDescent="0.25">
      <c r="A656" s="2" t="s">
        <v>5</v>
      </c>
      <c r="B656" s="2" t="s">
        <v>659</v>
      </c>
      <c r="C656" s="2">
        <v>3.70255706458429</v>
      </c>
      <c r="D656" s="2">
        <f>VLOOKUP(OneWeekMtgRatesDataTable8[[#This Row],[AsOfDate]],G:H,2,0)+OneWeekMtgRatesDataTable8[[#This Row],[SeriesNumValue]]</f>
        <v>4.6132779065842904</v>
      </c>
      <c r="F656" s="2" t="s">
        <v>1277</v>
      </c>
      <c r="G656" s="2" t="s">
        <v>659</v>
      </c>
      <c r="H656" s="2">
        <v>0.91072084200000003</v>
      </c>
      <c r="K656" s="4">
        <v>41120</v>
      </c>
      <c r="L656">
        <v>3.4750000000000001</v>
      </c>
    </row>
    <row r="657" spans="1:12" x14ac:dyDescent="0.25">
      <c r="A657" s="2" t="s">
        <v>5</v>
      </c>
      <c r="B657" s="2" t="s">
        <v>660</v>
      </c>
      <c r="C657" s="2">
        <v>3.66717920569566</v>
      </c>
      <c r="D657" s="2">
        <f>VLOOKUP(OneWeekMtgRatesDataTable8[[#This Row],[AsOfDate]],G:H,2,0)+OneWeekMtgRatesDataTable8[[#This Row],[SeriesNumValue]]</f>
        <v>4.4817470466956602</v>
      </c>
      <c r="F657" s="2" t="s">
        <v>1277</v>
      </c>
      <c r="G657" s="2" t="s">
        <v>660</v>
      </c>
      <c r="H657" s="2">
        <v>0.81456784100000001</v>
      </c>
      <c r="K657" s="4">
        <v>41121</v>
      </c>
      <c r="L657">
        <v>3.4750000000000001</v>
      </c>
    </row>
    <row r="658" spans="1:12" x14ac:dyDescent="0.25">
      <c r="A658" s="2" t="s">
        <v>5</v>
      </c>
      <c r="B658" s="2" t="s">
        <v>661</v>
      </c>
      <c r="C658" s="2">
        <v>3.6662950351399499</v>
      </c>
      <c r="D658" s="2">
        <f>VLOOKUP(OneWeekMtgRatesDataTable8[[#This Row],[AsOfDate]],G:H,2,0)+OneWeekMtgRatesDataTable8[[#This Row],[SeriesNumValue]]</f>
        <v>4.48086287613995</v>
      </c>
      <c r="F658" s="2" t="s">
        <v>1277</v>
      </c>
      <c r="G658" s="2" t="s">
        <v>661</v>
      </c>
      <c r="H658" s="2">
        <v>0.81456784100000001</v>
      </c>
      <c r="K658" s="4">
        <v>41122</v>
      </c>
      <c r="L658">
        <v>3.4750000000000001</v>
      </c>
    </row>
    <row r="659" spans="1:12" x14ac:dyDescent="0.25">
      <c r="A659" s="2" t="s">
        <v>5</v>
      </c>
      <c r="B659" s="2" t="s">
        <v>662</v>
      </c>
      <c r="C659" s="2">
        <v>3.65073359446493</v>
      </c>
      <c r="D659" s="2">
        <f>VLOOKUP(OneWeekMtgRatesDataTable8[[#This Row],[AsOfDate]],G:H,2,0)+OneWeekMtgRatesDataTable8[[#This Row],[SeriesNumValue]]</f>
        <v>4.4653014354649301</v>
      </c>
      <c r="F659" s="2" t="s">
        <v>1277</v>
      </c>
      <c r="G659" s="2" t="s">
        <v>662</v>
      </c>
      <c r="H659" s="2">
        <v>0.81456784100000001</v>
      </c>
      <c r="K659" s="4">
        <v>41123</v>
      </c>
      <c r="L659">
        <v>3.49</v>
      </c>
    </row>
    <row r="660" spans="1:12" x14ac:dyDescent="0.25">
      <c r="A660" s="2" t="s">
        <v>5</v>
      </c>
      <c r="B660" s="2" t="s">
        <v>663</v>
      </c>
      <c r="C660" s="2">
        <v>3.6050291044242799</v>
      </c>
      <c r="D660" s="2">
        <f>VLOOKUP(OneWeekMtgRatesDataTable8[[#This Row],[AsOfDate]],G:H,2,0)+OneWeekMtgRatesDataTable8[[#This Row],[SeriesNumValue]]</f>
        <v>4.4195969454242796</v>
      </c>
      <c r="F660" s="2" t="s">
        <v>1277</v>
      </c>
      <c r="G660" s="2" t="s">
        <v>663</v>
      </c>
      <c r="H660" s="2">
        <v>0.81456784100000001</v>
      </c>
      <c r="K660" s="4">
        <v>41124</v>
      </c>
      <c r="L660">
        <v>3.49</v>
      </c>
    </row>
    <row r="661" spans="1:12" x14ac:dyDescent="0.25">
      <c r="A661" s="2" t="s">
        <v>5</v>
      </c>
      <c r="B661" s="2" t="s">
        <v>664</v>
      </c>
      <c r="C661" s="2">
        <v>3.5862960100393702</v>
      </c>
      <c r="D661" s="2">
        <f>VLOOKUP(OneWeekMtgRatesDataTable8[[#This Row],[AsOfDate]],G:H,2,0)+OneWeekMtgRatesDataTable8[[#This Row],[SeriesNumValue]]</f>
        <v>4.4008638510393698</v>
      </c>
      <c r="F661" s="2" t="s">
        <v>1277</v>
      </c>
      <c r="G661" s="2" t="s">
        <v>664</v>
      </c>
      <c r="H661" s="2">
        <v>0.81456784100000001</v>
      </c>
      <c r="K661" s="4">
        <v>41127</v>
      </c>
      <c r="L661">
        <v>3.49</v>
      </c>
    </row>
    <row r="662" spans="1:12" x14ac:dyDescent="0.25">
      <c r="A662" s="2" t="s">
        <v>5</v>
      </c>
      <c r="B662" s="2" t="s">
        <v>665</v>
      </c>
      <c r="C662" s="2">
        <v>3.4041075181539902</v>
      </c>
      <c r="D662" s="2">
        <f>VLOOKUP(OneWeekMtgRatesDataTable8[[#This Row],[AsOfDate]],G:H,2,0)+OneWeekMtgRatesDataTable8[[#This Row],[SeriesNumValue]]</f>
        <v>4.2466152661539898</v>
      </c>
      <c r="F662" s="2" t="s">
        <v>1277</v>
      </c>
      <c r="G662" s="2" t="s">
        <v>665</v>
      </c>
      <c r="H662" s="2">
        <v>0.84250774799999995</v>
      </c>
      <c r="K662" s="4">
        <v>41128</v>
      </c>
      <c r="L662">
        <v>3.49</v>
      </c>
    </row>
    <row r="663" spans="1:12" x14ac:dyDescent="0.25">
      <c r="A663" s="2" t="s">
        <v>5</v>
      </c>
      <c r="B663" s="2" t="s">
        <v>666</v>
      </c>
      <c r="C663" s="2">
        <v>3.4234814698257399</v>
      </c>
      <c r="D663" s="2">
        <f>VLOOKUP(OneWeekMtgRatesDataTable8[[#This Row],[AsOfDate]],G:H,2,0)+OneWeekMtgRatesDataTable8[[#This Row],[SeriesNumValue]]</f>
        <v>4.2659892178257399</v>
      </c>
      <c r="F663" s="2" t="s">
        <v>1277</v>
      </c>
      <c r="G663" s="2" t="s">
        <v>666</v>
      </c>
      <c r="H663" s="2">
        <v>0.84250774799999995</v>
      </c>
      <c r="K663" s="4">
        <v>41129</v>
      </c>
      <c r="L663">
        <v>3.49</v>
      </c>
    </row>
    <row r="664" spans="1:12" x14ac:dyDescent="0.25">
      <c r="A664" s="2" t="s">
        <v>5</v>
      </c>
      <c r="B664" s="2" t="s">
        <v>667</v>
      </c>
      <c r="C664" s="2">
        <v>3.43160773905766</v>
      </c>
      <c r="D664" s="2">
        <f>VLOOKUP(OneWeekMtgRatesDataTable8[[#This Row],[AsOfDate]],G:H,2,0)+OneWeekMtgRatesDataTable8[[#This Row],[SeriesNumValue]]</f>
        <v>4.2741154870576601</v>
      </c>
      <c r="F664" s="2" t="s">
        <v>1277</v>
      </c>
      <c r="G664" s="2" t="s">
        <v>667</v>
      </c>
      <c r="H664" s="2">
        <v>0.84250774799999995</v>
      </c>
      <c r="K664" s="4">
        <v>41130</v>
      </c>
      <c r="L664">
        <v>3.52</v>
      </c>
    </row>
    <row r="665" spans="1:12" x14ac:dyDescent="0.25">
      <c r="A665" s="2" t="s">
        <v>5</v>
      </c>
      <c r="B665" s="2" t="s">
        <v>668</v>
      </c>
      <c r="C665" s="2">
        <v>3.4029034600998802</v>
      </c>
      <c r="D665" s="2">
        <f>VLOOKUP(OneWeekMtgRatesDataTable8[[#This Row],[AsOfDate]],G:H,2,0)+OneWeekMtgRatesDataTable8[[#This Row],[SeriesNumValue]]</f>
        <v>4.2454112080998803</v>
      </c>
      <c r="F665" s="2" t="s">
        <v>1277</v>
      </c>
      <c r="G665" s="2" t="s">
        <v>668</v>
      </c>
      <c r="H665" s="2">
        <v>0.84250774799999995</v>
      </c>
      <c r="K665" s="4">
        <v>41131</v>
      </c>
      <c r="L665">
        <v>3.52</v>
      </c>
    </row>
    <row r="666" spans="1:12" x14ac:dyDescent="0.25">
      <c r="A666" s="2" t="s">
        <v>5</v>
      </c>
      <c r="B666" s="2" t="s">
        <v>669</v>
      </c>
      <c r="C666" s="2">
        <v>3.34069195374131</v>
      </c>
      <c r="D666" s="2">
        <f>VLOOKUP(OneWeekMtgRatesDataTable8[[#This Row],[AsOfDate]],G:H,2,0)+OneWeekMtgRatesDataTable8[[#This Row],[SeriesNumValue]]</f>
        <v>4.1831997017413096</v>
      </c>
      <c r="F666" s="2" t="s">
        <v>1277</v>
      </c>
      <c r="G666" s="2" t="s">
        <v>669</v>
      </c>
      <c r="H666" s="2">
        <v>0.84250774799999995</v>
      </c>
      <c r="K666" s="4">
        <v>41134</v>
      </c>
      <c r="L666">
        <v>3.52</v>
      </c>
    </row>
    <row r="667" spans="1:12" x14ac:dyDescent="0.25">
      <c r="A667" s="2" t="s">
        <v>5</v>
      </c>
      <c r="B667" s="2" t="s">
        <v>670</v>
      </c>
      <c r="C667" s="2">
        <v>3.2961562018547901</v>
      </c>
      <c r="D667" s="2">
        <f>VLOOKUP(OneWeekMtgRatesDataTable8[[#This Row],[AsOfDate]],G:H,2,0)+OneWeekMtgRatesDataTable8[[#This Row],[SeriesNumValue]]</f>
        <v>4.1621880368547899</v>
      </c>
      <c r="F667" s="2" t="s">
        <v>1277</v>
      </c>
      <c r="G667" s="2" t="s">
        <v>670</v>
      </c>
      <c r="H667" s="2">
        <v>0.86603183500000003</v>
      </c>
      <c r="K667" s="4">
        <v>41135</v>
      </c>
      <c r="L667">
        <v>3.52</v>
      </c>
    </row>
    <row r="668" spans="1:12" x14ac:dyDescent="0.25">
      <c r="A668" s="2" t="s">
        <v>5</v>
      </c>
      <c r="B668" s="2" t="s">
        <v>671</v>
      </c>
      <c r="C668" s="2">
        <v>3.3233487722912298</v>
      </c>
      <c r="D668" s="2">
        <f>VLOOKUP(OneWeekMtgRatesDataTable8[[#This Row],[AsOfDate]],G:H,2,0)+OneWeekMtgRatesDataTable8[[#This Row],[SeriesNumValue]]</f>
        <v>4.1893806072912296</v>
      </c>
      <c r="F668" s="2" t="s">
        <v>1277</v>
      </c>
      <c r="G668" s="2" t="s">
        <v>671</v>
      </c>
      <c r="H668" s="2">
        <v>0.86603183500000003</v>
      </c>
      <c r="K668" s="4">
        <v>41136</v>
      </c>
      <c r="L668">
        <v>3.52</v>
      </c>
    </row>
    <row r="669" spans="1:12" x14ac:dyDescent="0.25">
      <c r="A669" s="2" t="s">
        <v>5</v>
      </c>
      <c r="B669" s="2" t="s">
        <v>672</v>
      </c>
      <c r="C669" s="2">
        <v>3.2948871217977098</v>
      </c>
      <c r="D669" s="2">
        <f>VLOOKUP(OneWeekMtgRatesDataTable8[[#This Row],[AsOfDate]],G:H,2,0)+OneWeekMtgRatesDataTable8[[#This Row],[SeriesNumValue]]</f>
        <v>4.1609189567977101</v>
      </c>
      <c r="F669" s="2" t="s">
        <v>1277</v>
      </c>
      <c r="G669" s="2" t="s">
        <v>672</v>
      </c>
      <c r="H669" s="2">
        <v>0.86603183500000003</v>
      </c>
      <c r="K669" s="4">
        <v>41137</v>
      </c>
      <c r="L669">
        <v>3.585</v>
      </c>
    </row>
    <row r="670" spans="1:12" x14ac:dyDescent="0.25">
      <c r="A670" s="2" t="s">
        <v>5</v>
      </c>
      <c r="B670" s="2" t="s">
        <v>673</v>
      </c>
      <c r="C670" s="2">
        <v>3.2952489842634298</v>
      </c>
      <c r="D670" s="2">
        <f>VLOOKUP(OneWeekMtgRatesDataTable8[[#This Row],[AsOfDate]],G:H,2,0)+OneWeekMtgRatesDataTable8[[#This Row],[SeriesNumValue]]</f>
        <v>4.1612808192634301</v>
      </c>
      <c r="F670" s="2" t="s">
        <v>1277</v>
      </c>
      <c r="G670" s="2" t="s">
        <v>673</v>
      </c>
      <c r="H670" s="2">
        <v>0.86603183500000003</v>
      </c>
      <c r="K670" s="4">
        <v>41138</v>
      </c>
      <c r="L670">
        <v>3.585</v>
      </c>
    </row>
    <row r="671" spans="1:12" x14ac:dyDescent="0.25">
      <c r="A671" s="2" t="s">
        <v>5</v>
      </c>
      <c r="B671" s="2" t="s">
        <v>674</v>
      </c>
      <c r="C671" s="2">
        <v>3.31544213268957</v>
      </c>
      <c r="D671" s="2">
        <f>VLOOKUP(OneWeekMtgRatesDataTable8[[#This Row],[AsOfDate]],G:H,2,0)+OneWeekMtgRatesDataTable8[[#This Row],[SeriesNumValue]]</f>
        <v>4.1814739676895698</v>
      </c>
      <c r="F671" s="2" t="s">
        <v>1277</v>
      </c>
      <c r="G671" s="2" t="s">
        <v>674</v>
      </c>
      <c r="H671" s="2">
        <v>0.86603183500000003</v>
      </c>
      <c r="K671" s="4">
        <v>41141</v>
      </c>
      <c r="L671">
        <v>3.585</v>
      </c>
    </row>
    <row r="672" spans="1:12" x14ac:dyDescent="0.25">
      <c r="A672" s="2" t="s">
        <v>5</v>
      </c>
      <c r="B672" s="2" t="s">
        <v>675</v>
      </c>
      <c r="C672" s="2">
        <v>3.3078730296866699</v>
      </c>
      <c r="D672" s="2">
        <f>VLOOKUP(OneWeekMtgRatesDataTable8[[#This Row],[AsOfDate]],G:H,2,0)+OneWeekMtgRatesDataTable8[[#This Row],[SeriesNumValue]]</f>
        <v>4.1455130216866696</v>
      </c>
      <c r="F672" s="2" t="s">
        <v>1277</v>
      </c>
      <c r="G672" s="2" t="s">
        <v>675</v>
      </c>
      <c r="H672" s="2">
        <v>0.83763999200000006</v>
      </c>
      <c r="K672" s="4">
        <v>41142</v>
      </c>
      <c r="L672">
        <v>3.585</v>
      </c>
    </row>
    <row r="673" spans="1:12" x14ac:dyDescent="0.25">
      <c r="A673" s="2" t="s">
        <v>5</v>
      </c>
      <c r="B673" s="2" t="s">
        <v>676</v>
      </c>
      <c r="C673" s="2">
        <v>3.2850779326666601</v>
      </c>
      <c r="D673" s="2">
        <f>VLOOKUP(OneWeekMtgRatesDataTable8[[#This Row],[AsOfDate]],G:H,2,0)+OneWeekMtgRatesDataTable8[[#This Row],[SeriesNumValue]]</f>
        <v>4.1227179246666603</v>
      </c>
      <c r="F673" s="2" t="s">
        <v>1277</v>
      </c>
      <c r="G673" s="2" t="s">
        <v>676</v>
      </c>
      <c r="H673" s="2">
        <v>0.83763999200000006</v>
      </c>
      <c r="K673" s="4">
        <v>41143</v>
      </c>
      <c r="L673">
        <v>3.585</v>
      </c>
    </row>
    <row r="674" spans="1:12" x14ac:dyDescent="0.25">
      <c r="A674" s="2" t="s">
        <v>5</v>
      </c>
      <c r="B674" s="2" t="s">
        <v>677</v>
      </c>
      <c r="C674" s="2">
        <v>3.3143904621736602</v>
      </c>
      <c r="D674" s="2">
        <f>VLOOKUP(OneWeekMtgRatesDataTable8[[#This Row],[AsOfDate]],G:H,2,0)+OneWeekMtgRatesDataTable8[[#This Row],[SeriesNumValue]]</f>
        <v>4.1520304541736603</v>
      </c>
      <c r="F674" s="2" t="s">
        <v>1277</v>
      </c>
      <c r="G674" s="2" t="s">
        <v>677</v>
      </c>
      <c r="H674" s="2">
        <v>0.83763999200000006</v>
      </c>
      <c r="K674" s="4">
        <v>41144</v>
      </c>
      <c r="L674">
        <v>3.49</v>
      </c>
    </row>
    <row r="675" spans="1:12" x14ac:dyDescent="0.25">
      <c r="A675" s="2" t="s">
        <v>5</v>
      </c>
      <c r="B675" s="2" t="s">
        <v>678</v>
      </c>
      <c r="C675" s="2">
        <v>3.3152163432269299</v>
      </c>
      <c r="D675" s="2">
        <f>VLOOKUP(OneWeekMtgRatesDataTable8[[#This Row],[AsOfDate]],G:H,2,0)+OneWeekMtgRatesDataTable8[[#This Row],[SeriesNumValue]]</f>
        <v>4.1528563352269297</v>
      </c>
      <c r="F675" s="2" t="s">
        <v>1277</v>
      </c>
      <c r="G675" s="2" t="s">
        <v>678</v>
      </c>
      <c r="H675" s="2">
        <v>0.83763999200000006</v>
      </c>
      <c r="K675" s="4">
        <v>41145</v>
      </c>
      <c r="L675">
        <v>3.49</v>
      </c>
    </row>
    <row r="676" spans="1:12" x14ac:dyDescent="0.25">
      <c r="A676" s="2" t="s">
        <v>5</v>
      </c>
      <c r="B676" s="2" t="s">
        <v>679</v>
      </c>
      <c r="C676" s="2">
        <v>3.32900541071837</v>
      </c>
      <c r="D676" s="2">
        <f>VLOOKUP(OneWeekMtgRatesDataTable8[[#This Row],[AsOfDate]],G:H,2,0)+OneWeekMtgRatesDataTable8[[#This Row],[SeriesNumValue]]</f>
        <v>4.1666454027183697</v>
      </c>
      <c r="F676" s="2" t="s">
        <v>1277</v>
      </c>
      <c r="G676" s="2" t="s">
        <v>679</v>
      </c>
      <c r="H676" s="2">
        <v>0.83763999200000006</v>
      </c>
      <c r="K676" s="4">
        <v>41148</v>
      </c>
      <c r="L676">
        <v>3.49</v>
      </c>
    </row>
    <row r="677" spans="1:12" x14ac:dyDescent="0.25">
      <c r="A677" s="2" t="s">
        <v>5</v>
      </c>
      <c r="B677" s="2" t="s">
        <v>680</v>
      </c>
      <c r="C677" s="2">
        <v>3.3312145702916398</v>
      </c>
      <c r="D677" s="2">
        <f>VLOOKUP(OneWeekMtgRatesDataTable8[[#This Row],[AsOfDate]],G:H,2,0)+OneWeekMtgRatesDataTable8[[#This Row],[SeriesNumValue]]</f>
        <v>4.1712336262916399</v>
      </c>
      <c r="F677" s="2" t="s">
        <v>1277</v>
      </c>
      <c r="G677" s="2" t="s">
        <v>680</v>
      </c>
      <c r="H677" s="2">
        <v>0.84001905600000004</v>
      </c>
      <c r="K677" s="4">
        <v>41149</v>
      </c>
      <c r="L677">
        <v>3.49</v>
      </c>
    </row>
    <row r="678" spans="1:12" x14ac:dyDescent="0.25">
      <c r="A678" s="2" t="s">
        <v>5</v>
      </c>
      <c r="B678" s="2" t="s">
        <v>681</v>
      </c>
      <c r="C678" s="2">
        <v>3.3459270723169801</v>
      </c>
      <c r="D678" s="2">
        <f>VLOOKUP(OneWeekMtgRatesDataTable8[[#This Row],[AsOfDate]],G:H,2,0)+OneWeekMtgRatesDataTable8[[#This Row],[SeriesNumValue]]</f>
        <v>4.1859461283169797</v>
      </c>
      <c r="F678" s="2" t="s">
        <v>1277</v>
      </c>
      <c r="G678" s="2" t="s">
        <v>681</v>
      </c>
      <c r="H678" s="2">
        <v>0.84001905600000004</v>
      </c>
      <c r="K678" s="4">
        <v>41150</v>
      </c>
      <c r="L678">
        <v>3.49</v>
      </c>
    </row>
    <row r="679" spans="1:12" x14ac:dyDescent="0.25">
      <c r="A679" s="2" t="s">
        <v>5</v>
      </c>
      <c r="B679" s="2" t="s">
        <v>682</v>
      </c>
      <c r="C679" s="2">
        <v>3.3488826952464001</v>
      </c>
      <c r="D679" s="2">
        <f>VLOOKUP(OneWeekMtgRatesDataTable8[[#This Row],[AsOfDate]],G:H,2,0)+OneWeekMtgRatesDataTable8[[#This Row],[SeriesNumValue]]</f>
        <v>4.1889017512463997</v>
      </c>
      <c r="F679" s="2" t="s">
        <v>1277</v>
      </c>
      <c r="G679" s="2" t="s">
        <v>682</v>
      </c>
      <c r="H679" s="2">
        <v>0.84001905600000004</v>
      </c>
      <c r="K679" s="4">
        <v>41151</v>
      </c>
      <c r="L679">
        <v>3.4750000000000001</v>
      </c>
    </row>
    <row r="680" spans="1:12" x14ac:dyDescent="0.25">
      <c r="A680" s="2" t="s">
        <v>5</v>
      </c>
      <c r="B680" s="2" t="s">
        <v>683</v>
      </c>
      <c r="C680" s="2">
        <v>3.3897329963191098</v>
      </c>
      <c r="D680" s="2">
        <f>VLOOKUP(OneWeekMtgRatesDataTable8[[#This Row],[AsOfDate]],G:H,2,0)+OneWeekMtgRatesDataTable8[[#This Row],[SeriesNumValue]]</f>
        <v>4.2297520523191103</v>
      </c>
      <c r="F680" s="2" t="s">
        <v>1277</v>
      </c>
      <c r="G680" s="2" t="s">
        <v>683</v>
      </c>
      <c r="H680" s="2">
        <v>0.84001905600000004</v>
      </c>
      <c r="K680" s="4">
        <v>41152</v>
      </c>
      <c r="L680">
        <v>3.4750000000000001</v>
      </c>
    </row>
    <row r="681" spans="1:12" x14ac:dyDescent="0.25">
      <c r="A681" s="2" t="s">
        <v>5</v>
      </c>
      <c r="B681" s="2" t="s">
        <v>684</v>
      </c>
      <c r="C681" s="2">
        <v>3.34533036324394</v>
      </c>
      <c r="D681" s="2">
        <f>VLOOKUP(OneWeekMtgRatesDataTable8[[#This Row],[AsOfDate]],G:H,2,0)+OneWeekMtgRatesDataTable8[[#This Row],[SeriesNumValue]]</f>
        <v>4.1928620812439403</v>
      </c>
      <c r="F681" s="2" t="s">
        <v>1277</v>
      </c>
      <c r="G681" s="2" t="s">
        <v>684</v>
      </c>
      <c r="H681" s="2">
        <v>0.84753171800000004</v>
      </c>
      <c r="K681" s="4">
        <v>41156</v>
      </c>
      <c r="L681">
        <v>3.4750000000000001</v>
      </c>
    </row>
    <row r="682" spans="1:12" x14ac:dyDescent="0.25">
      <c r="A682" s="2" t="s">
        <v>5</v>
      </c>
      <c r="B682" s="2" t="s">
        <v>685</v>
      </c>
      <c r="C682" s="2">
        <v>3.2546149111271299</v>
      </c>
      <c r="D682" s="2">
        <f>VLOOKUP(OneWeekMtgRatesDataTable8[[#This Row],[AsOfDate]],G:H,2,0)+OneWeekMtgRatesDataTable8[[#This Row],[SeriesNumValue]]</f>
        <v>4.1021466291271302</v>
      </c>
      <c r="F682" s="2" t="s">
        <v>1277</v>
      </c>
      <c r="G682" s="2" t="s">
        <v>685</v>
      </c>
      <c r="H682" s="2">
        <v>0.84753171800000004</v>
      </c>
      <c r="K682" s="4">
        <v>41157</v>
      </c>
      <c r="L682">
        <v>3.4750000000000001</v>
      </c>
    </row>
    <row r="683" spans="1:12" x14ac:dyDescent="0.25">
      <c r="A683" s="2" t="s">
        <v>5</v>
      </c>
      <c r="B683" s="2" t="s">
        <v>686</v>
      </c>
      <c r="C683" s="2">
        <v>3.2585675716606302</v>
      </c>
      <c r="D683" s="2">
        <f>VLOOKUP(OneWeekMtgRatesDataTable8[[#This Row],[AsOfDate]],G:H,2,0)+OneWeekMtgRatesDataTable8[[#This Row],[SeriesNumValue]]</f>
        <v>4.1060992896606301</v>
      </c>
      <c r="F683" s="2" t="s">
        <v>1277</v>
      </c>
      <c r="G683" s="2" t="s">
        <v>686</v>
      </c>
      <c r="H683" s="2">
        <v>0.84753171800000004</v>
      </c>
      <c r="K683" s="4">
        <v>41158</v>
      </c>
      <c r="L683">
        <v>3.45</v>
      </c>
    </row>
    <row r="684" spans="1:12" x14ac:dyDescent="0.25">
      <c r="A684" s="2" t="s">
        <v>5</v>
      </c>
      <c r="B684" s="2" t="s">
        <v>687</v>
      </c>
      <c r="C684" s="2">
        <v>3.2809533512237801</v>
      </c>
      <c r="D684" s="2">
        <f>VLOOKUP(OneWeekMtgRatesDataTable8[[#This Row],[AsOfDate]],G:H,2,0)+OneWeekMtgRatesDataTable8[[#This Row],[SeriesNumValue]]</f>
        <v>4.12848506922378</v>
      </c>
      <c r="F684" s="2" t="s">
        <v>1277</v>
      </c>
      <c r="G684" s="2" t="s">
        <v>687</v>
      </c>
      <c r="H684" s="2">
        <v>0.84753171800000004</v>
      </c>
      <c r="K684" s="4">
        <v>41159</v>
      </c>
      <c r="L684">
        <v>3.45</v>
      </c>
    </row>
    <row r="685" spans="1:12" x14ac:dyDescent="0.25">
      <c r="A685" s="2" t="s">
        <v>5</v>
      </c>
      <c r="B685" s="2" t="s">
        <v>688</v>
      </c>
      <c r="C685" s="2">
        <v>3.18365964576661</v>
      </c>
      <c r="D685" s="2">
        <f>VLOOKUP(OneWeekMtgRatesDataTable8[[#This Row],[AsOfDate]],G:H,2,0)+OneWeekMtgRatesDataTable8[[#This Row],[SeriesNumValue]]</f>
        <v>4.0311913637666104</v>
      </c>
      <c r="F685" s="2" t="s">
        <v>1277</v>
      </c>
      <c r="G685" s="2" t="s">
        <v>688</v>
      </c>
      <c r="H685" s="2">
        <v>0.84753171800000004</v>
      </c>
      <c r="K685" s="4">
        <v>41162</v>
      </c>
      <c r="L685">
        <v>3.45</v>
      </c>
    </row>
    <row r="686" spans="1:12" x14ac:dyDescent="0.25">
      <c r="A686" s="2" t="s">
        <v>5</v>
      </c>
      <c r="B686" s="2" t="s">
        <v>689</v>
      </c>
      <c r="C686" s="2">
        <v>3.1541714940092298</v>
      </c>
      <c r="D686" s="2">
        <f>VLOOKUP(OneWeekMtgRatesDataTable8[[#This Row],[AsOfDate]],G:H,2,0)+OneWeekMtgRatesDataTable8[[#This Row],[SeriesNumValue]]</f>
        <v>4.0077780990092293</v>
      </c>
      <c r="F686" s="2" t="s">
        <v>1277</v>
      </c>
      <c r="G686" s="2" t="s">
        <v>689</v>
      </c>
      <c r="H686" s="2">
        <v>0.85360660499999996</v>
      </c>
      <c r="K686" s="4">
        <v>41163</v>
      </c>
      <c r="L686">
        <v>3.45</v>
      </c>
    </row>
    <row r="687" spans="1:12" x14ac:dyDescent="0.25">
      <c r="A687" s="2" t="s">
        <v>5</v>
      </c>
      <c r="B687" s="2" t="s">
        <v>690</v>
      </c>
      <c r="C687" s="2">
        <v>3.1772287212477002</v>
      </c>
      <c r="D687" s="2">
        <f>VLOOKUP(OneWeekMtgRatesDataTable8[[#This Row],[AsOfDate]],G:H,2,0)+OneWeekMtgRatesDataTable8[[#This Row],[SeriesNumValue]]</f>
        <v>4.0308353262477006</v>
      </c>
      <c r="F687" s="2" t="s">
        <v>1277</v>
      </c>
      <c r="G687" s="2" t="s">
        <v>690</v>
      </c>
      <c r="H687" s="2">
        <v>0.85360660499999996</v>
      </c>
      <c r="K687" s="4">
        <v>41164</v>
      </c>
      <c r="L687">
        <v>3.45</v>
      </c>
    </row>
    <row r="688" spans="1:12" x14ac:dyDescent="0.25">
      <c r="A688" s="2" t="s">
        <v>5</v>
      </c>
      <c r="B688" s="2" t="s">
        <v>691</v>
      </c>
      <c r="C688" s="2">
        <v>3.1521212861919801</v>
      </c>
      <c r="D688" s="2">
        <f>VLOOKUP(OneWeekMtgRatesDataTable8[[#This Row],[AsOfDate]],G:H,2,0)+OneWeekMtgRatesDataTable8[[#This Row],[SeriesNumValue]]</f>
        <v>4.00572789119198</v>
      </c>
      <c r="F688" s="2" t="s">
        <v>1277</v>
      </c>
      <c r="G688" s="2" t="s">
        <v>691</v>
      </c>
      <c r="H688" s="2">
        <v>0.85360660499999996</v>
      </c>
      <c r="K688" s="4">
        <v>41165</v>
      </c>
      <c r="L688">
        <v>3.39</v>
      </c>
    </row>
    <row r="689" spans="1:12" x14ac:dyDescent="0.25">
      <c r="A689" s="2" t="s">
        <v>5</v>
      </c>
      <c r="B689" s="2" t="s">
        <v>692</v>
      </c>
      <c r="C689" s="2">
        <v>3.1593236616906499</v>
      </c>
      <c r="D689" s="2">
        <f>VLOOKUP(OneWeekMtgRatesDataTable8[[#This Row],[AsOfDate]],G:H,2,0)+OneWeekMtgRatesDataTable8[[#This Row],[SeriesNumValue]]</f>
        <v>4.0129302666906499</v>
      </c>
      <c r="F689" s="2" t="s">
        <v>1277</v>
      </c>
      <c r="G689" s="2" t="s">
        <v>692</v>
      </c>
      <c r="H689" s="2">
        <v>0.85360660499999996</v>
      </c>
      <c r="K689" s="4">
        <v>41166</v>
      </c>
      <c r="L689">
        <v>3.39</v>
      </c>
    </row>
    <row r="690" spans="1:12" x14ac:dyDescent="0.25">
      <c r="A690" s="2" t="s">
        <v>5</v>
      </c>
      <c r="B690" s="2" t="s">
        <v>693</v>
      </c>
      <c r="C690" s="2">
        <v>3.1543237441163701</v>
      </c>
      <c r="D690" s="2">
        <f>VLOOKUP(OneWeekMtgRatesDataTable8[[#This Row],[AsOfDate]],G:H,2,0)+OneWeekMtgRatesDataTable8[[#This Row],[SeriesNumValue]]</f>
        <v>4.0079303491163696</v>
      </c>
      <c r="F690" s="2" t="s">
        <v>1277</v>
      </c>
      <c r="G690" s="2" t="s">
        <v>693</v>
      </c>
      <c r="H690" s="2">
        <v>0.85360660499999996</v>
      </c>
      <c r="K690" s="4">
        <v>41169</v>
      </c>
      <c r="L690">
        <v>3.39</v>
      </c>
    </row>
    <row r="691" spans="1:12" x14ac:dyDescent="0.25">
      <c r="A691" s="2" t="s">
        <v>5</v>
      </c>
      <c r="B691" s="2" t="s">
        <v>694</v>
      </c>
      <c r="C691" s="2">
        <v>3.1611386444386498</v>
      </c>
      <c r="D691" s="2">
        <f>VLOOKUP(OneWeekMtgRatesDataTable8[[#This Row],[AsOfDate]],G:H,2,0)+OneWeekMtgRatesDataTable8[[#This Row],[SeriesNumValue]]</f>
        <v>4.0253114324386496</v>
      </c>
      <c r="F691" s="2" t="s">
        <v>1277</v>
      </c>
      <c r="G691" s="2" t="s">
        <v>694</v>
      </c>
      <c r="H691" s="2">
        <v>0.86417278799999997</v>
      </c>
      <c r="K691" s="4">
        <v>41170</v>
      </c>
      <c r="L691">
        <v>3.39</v>
      </c>
    </row>
    <row r="692" spans="1:12" x14ac:dyDescent="0.25">
      <c r="A692" s="2" t="s">
        <v>5</v>
      </c>
      <c r="B692" s="2" t="s">
        <v>695</v>
      </c>
      <c r="C692" s="2">
        <v>3.1803565883984102</v>
      </c>
      <c r="D692" s="2">
        <f>VLOOKUP(OneWeekMtgRatesDataTable8[[#This Row],[AsOfDate]],G:H,2,0)+OneWeekMtgRatesDataTable8[[#This Row],[SeriesNumValue]]</f>
        <v>4.04452937639841</v>
      </c>
      <c r="F692" s="2" t="s">
        <v>1277</v>
      </c>
      <c r="G692" s="2" t="s">
        <v>695</v>
      </c>
      <c r="H692" s="2">
        <v>0.86417278799999997</v>
      </c>
      <c r="K692" s="4">
        <v>41171</v>
      </c>
      <c r="L692">
        <v>3.39</v>
      </c>
    </row>
    <row r="693" spans="1:12" x14ac:dyDescent="0.25">
      <c r="A693" s="2" t="s">
        <v>5</v>
      </c>
      <c r="B693" s="2" t="s">
        <v>696</v>
      </c>
      <c r="C693" s="2">
        <v>3.25928309164834</v>
      </c>
      <c r="D693" s="2">
        <f>VLOOKUP(OneWeekMtgRatesDataTable8[[#This Row],[AsOfDate]],G:H,2,0)+OneWeekMtgRatesDataTable8[[#This Row],[SeriesNumValue]]</f>
        <v>4.1234558796483398</v>
      </c>
      <c r="F693" s="2" t="s">
        <v>1277</v>
      </c>
      <c r="G693" s="2" t="s">
        <v>696</v>
      </c>
      <c r="H693" s="2">
        <v>0.86417278799999997</v>
      </c>
      <c r="K693" s="4">
        <v>41172</v>
      </c>
      <c r="L693">
        <v>3.3</v>
      </c>
    </row>
    <row r="694" spans="1:12" x14ac:dyDescent="0.25">
      <c r="A694" s="2" t="s">
        <v>5</v>
      </c>
      <c r="B694" s="2" t="s">
        <v>697</v>
      </c>
      <c r="C694" s="2">
        <v>3.2387584524434998</v>
      </c>
      <c r="D694" s="2">
        <f>VLOOKUP(OneWeekMtgRatesDataTable8[[#This Row],[AsOfDate]],G:H,2,0)+OneWeekMtgRatesDataTable8[[#This Row],[SeriesNumValue]]</f>
        <v>4.1029312404434997</v>
      </c>
      <c r="F694" s="2" t="s">
        <v>1277</v>
      </c>
      <c r="G694" s="2" t="s">
        <v>697</v>
      </c>
      <c r="H694" s="2">
        <v>0.86417278799999997</v>
      </c>
      <c r="K694" s="4">
        <v>41173</v>
      </c>
      <c r="L694">
        <v>3.3</v>
      </c>
    </row>
    <row r="695" spans="1:12" x14ac:dyDescent="0.25">
      <c r="A695" s="2" t="s">
        <v>5</v>
      </c>
      <c r="B695" s="2" t="s">
        <v>698</v>
      </c>
      <c r="C695" s="2">
        <v>3.31200880777374</v>
      </c>
      <c r="D695" s="2">
        <f>VLOOKUP(OneWeekMtgRatesDataTable8[[#This Row],[AsOfDate]],G:H,2,0)+OneWeekMtgRatesDataTable8[[#This Row],[SeriesNumValue]]</f>
        <v>4.1761815957737403</v>
      </c>
      <c r="F695" s="2" t="s">
        <v>1277</v>
      </c>
      <c r="G695" s="2" t="s">
        <v>698</v>
      </c>
      <c r="H695" s="2">
        <v>0.86417278799999997</v>
      </c>
      <c r="K695" s="4">
        <v>41176</v>
      </c>
      <c r="L695">
        <v>3.3</v>
      </c>
    </row>
    <row r="696" spans="1:12" x14ac:dyDescent="0.25">
      <c r="A696" s="2" t="s">
        <v>5</v>
      </c>
      <c r="B696" s="2" t="s">
        <v>699</v>
      </c>
      <c r="C696" s="2">
        <v>3.2997347907142101</v>
      </c>
      <c r="D696" s="2">
        <f>VLOOKUP(OneWeekMtgRatesDataTable8[[#This Row],[AsOfDate]],G:H,2,0)+OneWeekMtgRatesDataTable8[[#This Row],[SeriesNumValue]]</f>
        <v>4.1517064447142102</v>
      </c>
      <c r="F696" s="2" t="s">
        <v>1277</v>
      </c>
      <c r="G696" s="2" t="s">
        <v>699</v>
      </c>
      <c r="H696" s="2">
        <v>0.85197165399999997</v>
      </c>
      <c r="K696" s="4">
        <v>41177</v>
      </c>
      <c r="L696">
        <v>3.3</v>
      </c>
    </row>
    <row r="697" spans="1:12" x14ac:dyDescent="0.25">
      <c r="A697" s="2" t="s">
        <v>5</v>
      </c>
      <c r="B697" s="2" t="s">
        <v>700</v>
      </c>
      <c r="C697" s="2">
        <v>3.2915305734964</v>
      </c>
      <c r="D697" s="2">
        <f>VLOOKUP(OneWeekMtgRatesDataTable8[[#This Row],[AsOfDate]],G:H,2,0)+OneWeekMtgRatesDataTable8[[#This Row],[SeriesNumValue]]</f>
        <v>4.1435022274964002</v>
      </c>
      <c r="F697" s="2" t="s">
        <v>1277</v>
      </c>
      <c r="G697" s="2" t="s">
        <v>700</v>
      </c>
      <c r="H697" s="2">
        <v>0.85197165399999997</v>
      </c>
      <c r="K697" s="4">
        <v>41178</v>
      </c>
      <c r="L697">
        <v>3.3</v>
      </c>
    </row>
    <row r="698" spans="1:12" x14ac:dyDescent="0.25">
      <c r="A698" s="2" t="s">
        <v>5</v>
      </c>
      <c r="B698" s="2" t="s">
        <v>701</v>
      </c>
      <c r="C698" s="2">
        <v>3.4185329478981301</v>
      </c>
      <c r="D698" s="2">
        <f>VLOOKUP(OneWeekMtgRatesDataTable8[[#This Row],[AsOfDate]],G:H,2,0)+OneWeekMtgRatesDataTable8[[#This Row],[SeriesNumValue]]</f>
        <v>4.2705046018981303</v>
      </c>
      <c r="F698" s="2" t="s">
        <v>1277</v>
      </c>
      <c r="G698" s="2" t="s">
        <v>701</v>
      </c>
      <c r="H698" s="2">
        <v>0.85197165399999997</v>
      </c>
      <c r="K698" s="4">
        <v>41179</v>
      </c>
      <c r="L698">
        <v>3.26</v>
      </c>
    </row>
    <row r="699" spans="1:12" x14ac:dyDescent="0.25">
      <c r="A699" s="2" t="s">
        <v>5</v>
      </c>
      <c r="B699" s="2" t="s">
        <v>702</v>
      </c>
      <c r="C699" s="2">
        <v>3.42394236396553</v>
      </c>
      <c r="D699" s="2">
        <f>VLOOKUP(OneWeekMtgRatesDataTable8[[#This Row],[AsOfDate]],G:H,2,0)+OneWeekMtgRatesDataTable8[[#This Row],[SeriesNumValue]]</f>
        <v>4.2759140179655297</v>
      </c>
      <c r="F699" s="2" t="s">
        <v>1277</v>
      </c>
      <c r="G699" s="2" t="s">
        <v>702</v>
      </c>
      <c r="H699" s="2">
        <v>0.85197165399999997</v>
      </c>
      <c r="K699" s="4">
        <v>41180</v>
      </c>
      <c r="L699">
        <v>3.26</v>
      </c>
    </row>
    <row r="700" spans="1:12" x14ac:dyDescent="0.25">
      <c r="A700" s="2" t="s">
        <v>5</v>
      </c>
      <c r="B700" s="2" t="s">
        <v>703</v>
      </c>
      <c r="C700" s="2">
        <v>3.3863287913399098</v>
      </c>
      <c r="D700" s="2">
        <f>VLOOKUP(OneWeekMtgRatesDataTable8[[#This Row],[AsOfDate]],G:H,2,0)+OneWeekMtgRatesDataTable8[[#This Row],[SeriesNumValue]]</f>
        <v>4.2812451223399099</v>
      </c>
      <c r="F700" s="2" t="s">
        <v>1277</v>
      </c>
      <c r="G700" s="2" t="s">
        <v>703</v>
      </c>
      <c r="H700" s="2">
        <v>0.89491633100000001</v>
      </c>
      <c r="K700" s="4">
        <v>41183</v>
      </c>
      <c r="L700">
        <v>3.26</v>
      </c>
    </row>
    <row r="701" spans="1:12" x14ac:dyDescent="0.25">
      <c r="A701" s="2" t="s">
        <v>5</v>
      </c>
      <c r="B701" s="2" t="s">
        <v>704</v>
      </c>
      <c r="C701" s="2">
        <v>3.33440232330382</v>
      </c>
      <c r="D701" s="2">
        <f>VLOOKUP(OneWeekMtgRatesDataTable8[[#This Row],[AsOfDate]],G:H,2,0)+OneWeekMtgRatesDataTable8[[#This Row],[SeriesNumValue]]</f>
        <v>4.2293186543038201</v>
      </c>
      <c r="F701" s="2" t="s">
        <v>1277</v>
      </c>
      <c r="G701" s="2" t="s">
        <v>704</v>
      </c>
      <c r="H701" s="2">
        <v>0.89491633100000001</v>
      </c>
      <c r="K701" s="4">
        <v>41184</v>
      </c>
      <c r="L701">
        <v>3.26</v>
      </c>
    </row>
    <row r="702" spans="1:12" x14ac:dyDescent="0.25">
      <c r="A702" s="2" t="s">
        <v>5</v>
      </c>
      <c r="B702" s="2" t="s">
        <v>705</v>
      </c>
      <c r="C702" s="2">
        <v>3.3274975263328299</v>
      </c>
      <c r="D702" s="2">
        <f>VLOOKUP(OneWeekMtgRatesDataTable8[[#This Row],[AsOfDate]],G:H,2,0)+OneWeekMtgRatesDataTable8[[#This Row],[SeriesNumValue]]</f>
        <v>4.22241385733283</v>
      </c>
      <c r="F702" s="2" t="s">
        <v>1277</v>
      </c>
      <c r="G702" s="2" t="s">
        <v>705</v>
      </c>
      <c r="H702" s="2">
        <v>0.89491633100000001</v>
      </c>
      <c r="K702" s="4">
        <v>41185</v>
      </c>
      <c r="L702">
        <v>3.26</v>
      </c>
    </row>
    <row r="703" spans="1:12" x14ac:dyDescent="0.25">
      <c r="A703" s="2" t="s">
        <v>5</v>
      </c>
      <c r="B703" s="2" t="s">
        <v>706</v>
      </c>
      <c r="C703" s="2">
        <v>3.2892170945558501</v>
      </c>
      <c r="D703" s="2">
        <f>VLOOKUP(OneWeekMtgRatesDataTable8[[#This Row],[AsOfDate]],G:H,2,0)+OneWeekMtgRatesDataTable8[[#This Row],[SeriesNumValue]]</f>
        <v>4.1841334255558502</v>
      </c>
      <c r="F703" s="2" t="s">
        <v>1277</v>
      </c>
      <c r="G703" s="2" t="s">
        <v>706</v>
      </c>
      <c r="H703" s="2">
        <v>0.89491633100000001</v>
      </c>
      <c r="K703" s="4">
        <v>41186</v>
      </c>
      <c r="L703">
        <v>3.3149999999999999</v>
      </c>
    </row>
    <row r="704" spans="1:12" x14ac:dyDescent="0.25">
      <c r="A704" s="2" t="s">
        <v>5</v>
      </c>
      <c r="B704" s="2" t="s">
        <v>707</v>
      </c>
      <c r="C704" s="2">
        <v>3.3249162804545902</v>
      </c>
      <c r="D704" s="2">
        <f>VLOOKUP(OneWeekMtgRatesDataTable8[[#This Row],[AsOfDate]],G:H,2,0)+OneWeekMtgRatesDataTable8[[#This Row],[SeriesNumValue]]</f>
        <v>4.2198326114545903</v>
      </c>
      <c r="F704" s="2" t="s">
        <v>1277</v>
      </c>
      <c r="G704" s="2" t="s">
        <v>707</v>
      </c>
      <c r="H704" s="2">
        <v>0.89491633100000001</v>
      </c>
      <c r="K704" s="4">
        <v>41187</v>
      </c>
      <c r="L704">
        <v>3.3149999999999999</v>
      </c>
    </row>
    <row r="705" spans="1:12" x14ac:dyDescent="0.25">
      <c r="A705" s="2" t="s">
        <v>5</v>
      </c>
      <c r="B705" s="2" t="s">
        <v>708</v>
      </c>
      <c r="C705" s="2">
        <v>3.3953888640544201</v>
      </c>
      <c r="D705" s="2">
        <f>VLOOKUP(OneWeekMtgRatesDataTable8[[#This Row],[AsOfDate]],G:H,2,0)+OneWeekMtgRatesDataTable8[[#This Row],[SeriesNumValue]]</f>
        <v>4.2061044460544199</v>
      </c>
      <c r="F705" s="2" t="s">
        <v>1277</v>
      </c>
      <c r="G705" s="2" t="s">
        <v>708</v>
      </c>
      <c r="H705" s="2">
        <v>0.81071558200000005</v>
      </c>
      <c r="K705" s="4">
        <v>41191</v>
      </c>
      <c r="L705">
        <v>3.3149999999999999</v>
      </c>
    </row>
    <row r="706" spans="1:12" x14ac:dyDescent="0.25">
      <c r="A706" s="2" t="s">
        <v>5</v>
      </c>
      <c r="B706" s="2" t="s">
        <v>709</v>
      </c>
      <c r="C706" s="2">
        <v>3.3902241574747198</v>
      </c>
      <c r="D706" s="2">
        <f>VLOOKUP(OneWeekMtgRatesDataTable8[[#This Row],[AsOfDate]],G:H,2,0)+OneWeekMtgRatesDataTable8[[#This Row],[SeriesNumValue]]</f>
        <v>4.2009397394747197</v>
      </c>
      <c r="F706" s="2" t="s">
        <v>1277</v>
      </c>
      <c r="G706" s="2" t="s">
        <v>709</v>
      </c>
      <c r="H706" s="2">
        <v>0.81071558200000005</v>
      </c>
      <c r="K706" s="4">
        <v>41192</v>
      </c>
      <c r="L706">
        <v>3.3149999999999999</v>
      </c>
    </row>
    <row r="707" spans="1:12" x14ac:dyDescent="0.25">
      <c r="A707" s="2" t="s">
        <v>5</v>
      </c>
      <c r="B707" s="2" t="s">
        <v>710</v>
      </c>
      <c r="C707" s="2">
        <v>3.3765717476056198</v>
      </c>
      <c r="D707" s="2">
        <f>VLOOKUP(OneWeekMtgRatesDataTable8[[#This Row],[AsOfDate]],G:H,2,0)+OneWeekMtgRatesDataTable8[[#This Row],[SeriesNumValue]]</f>
        <v>4.1872873296056197</v>
      </c>
      <c r="F707" s="2" t="s">
        <v>1277</v>
      </c>
      <c r="G707" s="2" t="s">
        <v>710</v>
      </c>
      <c r="H707" s="2">
        <v>0.81071558200000005</v>
      </c>
      <c r="K707" s="4">
        <v>41193</v>
      </c>
      <c r="L707">
        <v>3.2949999999999999</v>
      </c>
    </row>
    <row r="708" spans="1:12" x14ac:dyDescent="0.25">
      <c r="A708" s="2" t="s">
        <v>5</v>
      </c>
      <c r="B708" s="2" t="s">
        <v>711</v>
      </c>
      <c r="C708" s="2">
        <v>3.3786024673164099</v>
      </c>
      <c r="D708" s="2">
        <f>VLOOKUP(OneWeekMtgRatesDataTable8[[#This Row],[AsOfDate]],G:H,2,0)+OneWeekMtgRatesDataTable8[[#This Row],[SeriesNumValue]]</f>
        <v>4.1893180493164097</v>
      </c>
      <c r="F708" s="2" t="s">
        <v>1277</v>
      </c>
      <c r="G708" s="2" t="s">
        <v>711</v>
      </c>
      <c r="H708" s="2">
        <v>0.81071558200000005</v>
      </c>
      <c r="K708" s="4">
        <v>41194</v>
      </c>
      <c r="L708">
        <v>3.2949999999999999</v>
      </c>
    </row>
    <row r="709" spans="1:12" x14ac:dyDescent="0.25">
      <c r="A709" s="2" t="s">
        <v>5</v>
      </c>
      <c r="B709" s="2" t="s">
        <v>712</v>
      </c>
      <c r="C709" s="2">
        <v>3.36567559686896</v>
      </c>
      <c r="D709" s="2">
        <f>VLOOKUP(OneWeekMtgRatesDataTable8[[#This Row],[AsOfDate]],G:H,2,0)+OneWeekMtgRatesDataTable8[[#This Row],[SeriesNumValue]]</f>
        <v>4.1763911788689603</v>
      </c>
      <c r="F709" s="2" t="s">
        <v>1277</v>
      </c>
      <c r="G709" s="2" t="s">
        <v>712</v>
      </c>
      <c r="H709" s="2">
        <v>0.81071558200000005</v>
      </c>
      <c r="K709" s="4">
        <v>41197</v>
      </c>
      <c r="L709">
        <v>3.2949999999999999</v>
      </c>
    </row>
    <row r="710" spans="1:12" x14ac:dyDescent="0.25">
      <c r="A710" s="2" t="s">
        <v>5</v>
      </c>
      <c r="B710" s="2" t="s">
        <v>713</v>
      </c>
      <c r="C710" s="2">
        <v>3.41186502861204</v>
      </c>
      <c r="D710" s="2">
        <f>VLOOKUP(OneWeekMtgRatesDataTable8[[#This Row],[AsOfDate]],G:H,2,0)+OneWeekMtgRatesDataTable8[[#This Row],[SeriesNumValue]]</f>
        <v>4.24227722861204</v>
      </c>
      <c r="F710" s="2" t="s">
        <v>1277</v>
      </c>
      <c r="G710" s="2" t="s">
        <v>713</v>
      </c>
      <c r="H710" s="2">
        <v>0.83041220000000004</v>
      </c>
      <c r="K710" s="4">
        <v>41198</v>
      </c>
      <c r="L710">
        <v>3.2949999999999999</v>
      </c>
    </row>
    <row r="711" spans="1:12" x14ac:dyDescent="0.25">
      <c r="A711" s="2" t="s">
        <v>5</v>
      </c>
      <c r="B711" s="2" t="s">
        <v>714</v>
      </c>
      <c r="C711" s="2">
        <v>3.4152065149267101</v>
      </c>
      <c r="D711" s="2">
        <f>VLOOKUP(OneWeekMtgRatesDataTable8[[#This Row],[AsOfDate]],G:H,2,0)+OneWeekMtgRatesDataTable8[[#This Row],[SeriesNumValue]]</f>
        <v>4.2456187149267102</v>
      </c>
      <c r="F711" s="2" t="s">
        <v>1277</v>
      </c>
      <c r="G711" s="2" t="s">
        <v>714</v>
      </c>
      <c r="H711" s="2">
        <v>0.83041220000000004</v>
      </c>
      <c r="K711" s="4">
        <v>41199</v>
      </c>
      <c r="L711">
        <v>3.2949999999999999</v>
      </c>
    </row>
    <row r="712" spans="1:12" x14ac:dyDescent="0.25">
      <c r="A712" s="2" t="s">
        <v>5</v>
      </c>
      <c r="B712" s="2" t="s">
        <v>715</v>
      </c>
      <c r="C712" s="2">
        <v>3.48278493540972</v>
      </c>
      <c r="D712" s="2">
        <f>VLOOKUP(OneWeekMtgRatesDataTable8[[#This Row],[AsOfDate]],G:H,2,0)+OneWeekMtgRatesDataTable8[[#This Row],[SeriesNumValue]]</f>
        <v>4.3131971354097196</v>
      </c>
      <c r="F712" s="2" t="s">
        <v>1277</v>
      </c>
      <c r="G712" s="2" t="s">
        <v>715</v>
      </c>
      <c r="H712" s="2">
        <v>0.83041220000000004</v>
      </c>
      <c r="K712" s="4">
        <v>41200</v>
      </c>
      <c r="L712">
        <v>3.335</v>
      </c>
    </row>
    <row r="713" spans="1:12" x14ac:dyDescent="0.25">
      <c r="A713" s="2" t="s">
        <v>5</v>
      </c>
      <c r="B713" s="2" t="s">
        <v>716</v>
      </c>
      <c r="C713" s="2">
        <v>3.4820134464127701</v>
      </c>
      <c r="D713" s="2">
        <f>VLOOKUP(OneWeekMtgRatesDataTable8[[#This Row],[AsOfDate]],G:H,2,0)+OneWeekMtgRatesDataTable8[[#This Row],[SeriesNumValue]]</f>
        <v>4.3124256464127697</v>
      </c>
      <c r="F713" s="2" t="s">
        <v>1277</v>
      </c>
      <c r="G713" s="2" t="s">
        <v>716</v>
      </c>
      <c r="H713" s="2">
        <v>0.83041220000000004</v>
      </c>
      <c r="K713" s="4">
        <v>41201</v>
      </c>
      <c r="L713">
        <v>3.335</v>
      </c>
    </row>
    <row r="714" spans="1:12" x14ac:dyDescent="0.25">
      <c r="A714" s="2" t="s">
        <v>5</v>
      </c>
      <c r="B714" s="2" t="s">
        <v>717</v>
      </c>
      <c r="C714" s="2">
        <v>3.53796119815684</v>
      </c>
      <c r="D714" s="2">
        <f>VLOOKUP(OneWeekMtgRatesDataTable8[[#This Row],[AsOfDate]],G:H,2,0)+OneWeekMtgRatesDataTable8[[#This Row],[SeriesNumValue]]</f>
        <v>4.3934696741568402</v>
      </c>
      <c r="F714" s="2" t="s">
        <v>1277</v>
      </c>
      <c r="G714" s="2" t="s">
        <v>717</v>
      </c>
      <c r="H714" s="2">
        <v>0.85550847600000002</v>
      </c>
      <c r="K714" s="4">
        <v>41204</v>
      </c>
      <c r="L714">
        <v>3.335</v>
      </c>
    </row>
    <row r="715" spans="1:12" x14ac:dyDescent="0.25">
      <c r="A715" s="2" t="s">
        <v>5</v>
      </c>
      <c r="B715" s="2" t="s">
        <v>718</v>
      </c>
      <c r="C715" s="2">
        <v>3.5521293611692002</v>
      </c>
      <c r="D715" s="2">
        <f>VLOOKUP(OneWeekMtgRatesDataTable8[[#This Row],[AsOfDate]],G:H,2,0)+OneWeekMtgRatesDataTable8[[#This Row],[SeriesNumValue]]</f>
        <v>4.4076378371692</v>
      </c>
      <c r="F715" s="2" t="s">
        <v>1277</v>
      </c>
      <c r="G715" s="2" t="s">
        <v>718</v>
      </c>
      <c r="H715" s="2">
        <v>0.85550847600000002</v>
      </c>
      <c r="K715" s="4">
        <v>41205</v>
      </c>
      <c r="L715">
        <v>3.335</v>
      </c>
    </row>
    <row r="716" spans="1:12" x14ac:dyDescent="0.25">
      <c r="A716" s="2" t="s">
        <v>5</v>
      </c>
      <c r="B716" s="2" t="s">
        <v>719</v>
      </c>
      <c r="C716" s="2">
        <v>3.5357721713068302</v>
      </c>
      <c r="D716" s="2">
        <f>VLOOKUP(OneWeekMtgRatesDataTable8[[#This Row],[AsOfDate]],G:H,2,0)+OneWeekMtgRatesDataTable8[[#This Row],[SeriesNumValue]]</f>
        <v>4.3912806473068304</v>
      </c>
      <c r="F716" s="2" t="s">
        <v>1277</v>
      </c>
      <c r="G716" s="2" t="s">
        <v>719</v>
      </c>
      <c r="H716" s="2">
        <v>0.85550847600000002</v>
      </c>
      <c r="K716" s="4">
        <v>41206</v>
      </c>
      <c r="L716">
        <v>3.335</v>
      </c>
    </row>
    <row r="717" spans="1:12" x14ac:dyDescent="0.25">
      <c r="A717" s="2" t="s">
        <v>5</v>
      </c>
      <c r="B717" s="2" t="s">
        <v>720</v>
      </c>
      <c r="C717" s="2">
        <v>3.5044888951704301</v>
      </c>
      <c r="D717" s="2">
        <f>VLOOKUP(OneWeekMtgRatesDataTable8[[#This Row],[AsOfDate]],G:H,2,0)+OneWeekMtgRatesDataTable8[[#This Row],[SeriesNumValue]]</f>
        <v>4.3599973711704303</v>
      </c>
      <c r="F717" s="2" t="s">
        <v>1277</v>
      </c>
      <c r="G717" s="2" t="s">
        <v>720</v>
      </c>
      <c r="H717" s="2">
        <v>0.85550847600000002</v>
      </c>
      <c r="K717" s="4">
        <v>41207</v>
      </c>
      <c r="L717">
        <v>3.3149999999999999</v>
      </c>
    </row>
    <row r="718" spans="1:12" x14ac:dyDescent="0.25">
      <c r="A718" s="2" t="s">
        <v>5</v>
      </c>
      <c r="B718" s="2" t="s">
        <v>721</v>
      </c>
      <c r="C718" s="2">
        <v>3.46476327795386</v>
      </c>
      <c r="D718" s="2">
        <f>VLOOKUP(OneWeekMtgRatesDataTable8[[#This Row],[AsOfDate]],G:H,2,0)+OneWeekMtgRatesDataTable8[[#This Row],[SeriesNumValue]]</f>
        <v>4.3202717539538602</v>
      </c>
      <c r="F718" s="2" t="s">
        <v>1277</v>
      </c>
      <c r="G718" s="2" t="s">
        <v>721</v>
      </c>
      <c r="H718" s="2">
        <v>0.85550847600000002</v>
      </c>
      <c r="K718" s="4">
        <v>41208</v>
      </c>
      <c r="L718">
        <v>3.3149999999999999</v>
      </c>
    </row>
    <row r="719" spans="1:12" x14ac:dyDescent="0.25">
      <c r="A719" s="2" t="s">
        <v>5</v>
      </c>
      <c r="B719" s="2" t="s">
        <v>722</v>
      </c>
      <c r="C719" s="2">
        <v>3.5156873221910101</v>
      </c>
      <c r="D719" s="2">
        <f>VLOOKUP(OneWeekMtgRatesDataTable8[[#This Row],[AsOfDate]],G:H,2,0)+OneWeekMtgRatesDataTable8[[#This Row],[SeriesNumValue]]</f>
        <v>4.3461191161910104</v>
      </c>
      <c r="F719" s="2" t="s">
        <v>1277</v>
      </c>
      <c r="G719" s="2" t="s">
        <v>722</v>
      </c>
      <c r="H719" s="2">
        <v>0.830431794</v>
      </c>
      <c r="K719" s="4">
        <v>41211</v>
      </c>
      <c r="L719">
        <v>3.3149999999999999</v>
      </c>
    </row>
    <row r="720" spans="1:12" x14ac:dyDescent="0.25">
      <c r="A720" s="2" t="s">
        <v>5</v>
      </c>
      <c r="B720" s="2" t="s">
        <v>723</v>
      </c>
      <c r="C720" s="2">
        <v>3.5427546786903199</v>
      </c>
      <c r="D720" s="2">
        <f>VLOOKUP(OneWeekMtgRatesDataTable8[[#This Row],[AsOfDate]],G:H,2,0)+OneWeekMtgRatesDataTable8[[#This Row],[SeriesNumValue]]</f>
        <v>4.3731864726903202</v>
      </c>
      <c r="F720" s="2" t="s">
        <v>1277</v>
      </c>
      <c r="G720" s="2" t="s">
        <v>723</v>
      </c>
      <c r="H720" s="2">
        <v>0.830431794</v>
      </c>
      <c r="K720" s="4">
        <v>41213</v>
      </c>
      <c r="L720">
        <v>3.3149999999999999</v>
      </c>
    </row>
    <row r="721" spans="1:12" x14ac:dyDescent="0.25">
      <c r="A721" s="2" t="s">
        <v>5</v>
      </c>
      <c r="B721" s="2" t="s">
        <v>724</v>
      </c>
      <c r="C721" s="2">
        <v>3.5290996894050202</v>
      </c>
      <c r="D721" s="2">
        <f>VLOOKUP(OneWeekMtgRatesDataTable8[[#This Row],[AsOfDate]],G:H,2,0)+OneWeekMtgRatesDataTable8[[#This Row],[SeriesNumValue]]</f>
        <v>4.3595314834050205</v>
      </c>
      <c r="F721" s="2" t="s">
        <v>1277</v>
      </c>
      <c r="G721" s="2" t="s">
        <v>724</v>
      </c>
      <c r="H721" s="2">
        <v>0.830431794</v>
      </c>
      <c r="K721" s="4">
        <v>41214</v>
      </c>
      <c r="L721">
        <v>3.3250000000000002</v>
      </c>
    </row>
    <row r="722" spans="1:12" x14ac:dyDescent="0.25">
      <c r="A722" s="2" t="s">
        <v>5</v>
      </c>
      <c r="B722" s="2" t="s">
        <v>725</v>
      </c>
      <c r="C722" s="2">
        <v>3.5307245323139602</v>
      </c>
      <c r="D722" s="2">
        <f>VLOOKUP(OneWeekMtgRatesDataTable8[[#This Row],[AsOfDate]],G:H,2,0)+OneWeekMtgRatesDataTable8[[#This Row],[SeriesNumValue]]</f>
        <v>4.3611563263139601</v>
      </c>
      <c r="F722" s="2" t="s">
        <v>1277</v>
      </c>
      <c r="G722" s="2" t="s">
        <v>725</v>
      </c>
      <c r="H722" s="2">
        <v>0.830431794</v>
      </c>
      <c r="K722" s="4">
        <v>41215</v>
      </c>
      <c r="L722">
        <v>3.3250000000000002</v>
      </c>
    </row>
    <row r="723" spans="1:12" x14ac:dyDescent="0.25">
      <c r="A723" s="2" t="s">
        <v>5</v>
      </c>
      <c r="B723" s="2" t="s">
        <v>726</v>
      </c>
      <c r="C723" s="2">
        <v>3.4998898139893</v>
      </c>
      <c r="D723" s="2">
        <f>VLOOKUP(OneWeekMtgRatesDataTable8[[#This Row],[AsOfDate]],G:H,2,0)+OneWeekMtgRatesDataTable8[[#This Row],[SeriesNumValue]]</f>
        <v>4.3303216079893003</v>
      </c>
      <c r="F723" s="2" t="s">
        <v>1277</v>
      </c>
      <c r="G723" s="2" t="s">
        <v>726</v>
      </c>
      <c r="H723" s="2">
        <v>0.830431794</v>
      </c>
      <c r="K723" s="4">
        <v>41218</v>
      </c>
      <c r="L723">
        <v>3.3250000000000002</v>
      </c>
    </row>
    <row r="724" spans="1:12" x14ac:dyDescent="0.25">
      <c r="A724" s="2" t="s">
        <v>5</v>
      </c>
      <c r="B724" s="2" t="s">
        <v>727</v>
      </c>
      <c r="C724" s="2">
        <v>3.5422755368494498</v>
      </c>
      <c r="D724" s="2">
        <f>VLOOKUP(OneWeekMtgRatesDataTable8[[#This Row],[AsOfDate]],G:H,2,0)+OneWeekMtgRatesDataTable8[[#This Row],[SeriesNumValue]]</f>
        <v>4.4083266868494499</v>
      </c>
      <c r="F724" s="2" t="s">
        <v>1277</v>
      </c>
      <c r="G724" s="2" t="s">
        <v>727</v>
      </c>
      <c r="H724" s="2">
        <v>0.86605114999999999</v>
      </c>
      <c r="K724" s="4">
        <v>41219</v>
      </c>
      <c r="L724">
        <v>3.3250000000000002</v>
      </c>
    </row>
    <row r="725" spans="1:12" x14ac:dyDescent="0.25">
      <c r="A725" s="2" t="s">
        <v>5</v>
      </c>
      <c r="B725" s="2" t="s">
        <v>728</v>
      </c>
      <c r="C725" s="2">
        <v>3.5894558660793101</v>
      </c>
      <c r="D725" s="2">
        <f>VLOOKUP(OneWeekMtgRatesDataTable8[[#This Row],[AsOfDate]],G:H,2,0)+OneWeekMtgRatesDataTable8[[#This Row],[SeriesNumValue]]</f>
        <v>4.4555070160793102</v>
      </c>
      <c r="F725" s="2" t="s">
        <v>1277</v>
      </c>
      <c r="G725" s="2" t="s">
        <v>728</v>
      </c>
      <c r="H725" s="2">
        <v>0.86605114999999999</v>
      </c>
      <c r="K725" s="4">
        <v>41220</v>
      </c>
      <c r="L725">
        <v>3.3250000000000002</v>
      </c>
    </row>
    <row r="726" spans="1:12" x14ac:dyDescent="0.25">
      <c r="A726" s="2" t="s">
        <v>5</v>
      </c>
      <c r="B726" s="2" t="s">
        <v>729</v>
      </c>
      <c r="C726" s="2">
        <v>3.5207189291483099</v>
      </c>
      <c r="D726" s="2">
        <f>VLOOKUP(OneWeekMtgRatesDataTable8[[#This Row],[AsOfDate]],G:H,2,0)+OneWeekMtgRatesDataTable8[[#This Row],[SeriesNumValue]]</f>
        <v>4.3867700791483095</v>
      </c>
      <c r="F726" s="2" t="s">
        <v>1277</v>
      </c>
      <c r="G726" s="2" t="s">
        <v>729</v>
      </c>
      <c r="H726" s="2">
        <v>0.86605114999999999</v>
      </c>
      <c r="K726" s="4">
        <v>41221</v>
      </c>
      <c r="L726">
        <v>3.2650000000000001</v>
      </c>
    </row>
    <row r="727" spans="1:12" x14ac:dyDescent="0.25">
      <c r="A727" s="2" t="s">
        <v>5</v>
      </c>
      <c r="B727" s="2" t="s">
        <v>730</v>
      </c>
      <c r="C727" s="2">
        <v>3.5422520494722902</v>
      </c>
      <c r="D727" s="2">
        <f>VLOOKUP(OneWeekMtgRatesDataTable8[[#This Row],[AsOfDate]],G:H,2,0)+OneWeekMtgRatesDataTable8[[#This Row],[SeriesNumValue]]</f>
        <v>4.4083031994722903</v>
      </c>
      <c r="F727" s="2" t="s">
        <v>1277</v>
      </c>
      <c r="G727" s="2" t="s">
        <v>730</v>
      </c>
      <c r="H727" s="2">
        <v>0.86605114999999999</v>
      </c>
      <c r="K727" s="4">
        <v>41222</v>
      </c>
      <c r="L727">
        <v>3.2650000000000001</v>
      </c>
    </row>
    <row r="728" spans="1:12" x14ac:dyDescent="0.25">
      <c r="A728" s="2" t="s">
        <v>5</v>
      </c>
      <c r="B728" s="2" t="s">
        <v>731</v>
      </c>
      <c r="C728" s="2">
        <v>3.6100621369380201</v>
      </c>
      <c r="D728" s="2">
        <f>VLOOKUP(OneWeekMtgRatesDataTable8[[#This Row],[AsOfDate]],G:H,2,0)+OneWeekMtgRatesDataTable8[[#This Row],[SeriesNumValue]]</f>
        <v>4.4494398919380203</v>
      </c>
      <c r="F728" s="2" t="s">
        <v>1277</v>
      </c>
      <c r="G728" s="2" t="s">
        <v>731</v>
      </c>
      <c r="H728" s="2">
        <v>0.839377755</v>
      </c>
      <c r="K728" s="4">
        <v>41226</v>
      </c>
      <c r="L728">
        <v>3.2650000000000001</v>
      </c>
    </row>
    <row r="729" spans="1:12" x14ac:dyDescent="0.25">
      <c r="A729" s="2" t="s">
        <v>5</v>
      </c>
      <c r="B729" s="2" t="s">
        <v>732</v>
      </c>
      <c r="C729" s="2">
        <v>3.6110841836329799</v>
      </c>
      <c r="D729" s="2">
        <f>VLOOKUP(OneWeekMtgRatesDataTable8[[#This Row],[AsOfDate]],G:H,2,0)+OneWeekMtgRatesDataTable8[[#This Row],[SeriesNumValue]]</f>
        <v>4.45046193863298</v>
      </c>
      <c r="F729" s="2" t="s">
        <v>1277</v>
      </c>
      <c r="G729" s="2" t="s">
        <v>732</v>
      </c>
      <c r="H729" s="2">
        <v>0.839377755</v>
      </c>
      <c r="K729" s="4">
        <v>41227</v>
      </c>
      <c r="L729">
        <v>3.2650000000000001</v>
      </c>
    </row>
    <row r="730" spans="1:12" x14ac:dyDescent="0.25">
      <c r="A730" s="2" t="s">
        <v>5</v>
      </c>
      <c r="B730" s="2" t="s">
        <v>733</v>
      </c>
      <c r="C730" s="2">
        <v>3.60938046615082</v>
      </c>
      <c r="D730" s="2">
        <f>VLOOKUP(OneWeekMtgRatesDataTable8[[#This Row],[AsOfDate]],G:H,2,0)+OneWeekMtgRatesDataTable8[[#This Row],[SeriesNumValue]]</f>
        <v>4.4487582211508201</v>
      </c>
      <c r="F730" s="2" t="s">
        <v>1277</v>
      </c>
      <c r="G730" s="2" t="s">
        <v>733</v>
      </c>
      <c r="H730" s="2">
        <v>0.839377755</v>
      </c>
      <c r="K730" s="4">
        <v>41228</v>
      </c>
      <c r="L730">
        <v>3.2349999999999999</v>
      </c>
    </row>
    <row r="731" spans="1:12" x14ac:dyDescent="0.25">
      <c r="A731" s="2" t="s">
        <v>5</v>
      </c>
      <c r="B731" s="2" t="s">
        <v>734</v>
      </c>
      <c r="C731" s="2">
        <v>3.5746743392906399</v>
      </c>
      <c r="D731" s="2">
        <f>VLOOKUP(OneWeekMtgRatesDataTable8[[#This Row],[AsOfDate]],G:H,2,0)+OneWeekMtgRatesDataTable8[[#This Row],[SeriesNumValue]]</f>
        <v>4.41405209429064</v>
      </c>
      <c r="F731" s="2" t="s">
        <v>1277</v>
      </c>
      <c r="G731" s="2" t="s">
        <v>734</v>
      </c>
      <c r="H731" s="2">
        <v>0.839377755</v>
      </c>
      <c r="K731" s="4">
        <v>41229</v>
      </c>
      <c r="L731">
        <v>3.2349999999999999</v>
      </c>
    </row>
    <row r="732" spans="1:12" x14ac:dyDescent="0.25">
      <c r="A732" s="2" t="s">
        <v>5</v>
      </c>
      <c r="B732" s="2" t="s">
        <v>735</v>
      </c>
      <c r="C732" s="2">
        <v>3.5930254960618</v>
      </c>
      <c r="D732" s="2">
        <f>VLOOKUP(OneWeekMtgRatesDataTable8[[#This Row],[AsOfDate]],G:H,2,0)+OneWeekMtgRatesDataTable8[[#This Row],[SeriesNumValue]]</f>
        <v>4.4759843750617998</v>
      </c>
      <c r="F732" s="2" t="s">
        <v>1277</v>
      </c>
      <c r="G732" s="2" t="s">
        <v>735</v>
      </c>
      <c r="H732" s="2">
        <v>0.88295887900000003</v>
      </c>
      <c r="K732" s="4">
        <v>41232</v>
      </c>
      <c r="L732">
        <v>3.2349999999999999</v>
      </c>
    </row>
    <row r="733" spans="1:12" x14ac:dyDescent="0.25">
      <c r="A733" s="2" t="s">
        <v>5</v>
      </c>
      <c r="B733" s="2" t="s">
        <v>736</v>
      </c>
      <c r="C733" s="2">
        <v>3.5996964231875999</v>
      </c>
      <c r="D733" s="2">
        <f>VLOOKUP(OneWeekMtgRatesDataTable8[[#This Row],[AsOfDate]],G:H,2,0)+OneWeekMtgRatesDataTable8[[#This Row],[SeriesNumValue]]</f>
        <v>4.4826553021875997</v>
      </c>
      <c r="F733" s="2" t="s">
        <v>1277</v>
      </c>
      <c r="G733" s="2" t="s">
        <v>736</v>
      </c>
      <c r="H733" s="2">
        <v>0.88295887900000003</v>
      </c>
      <c r="K733" s="4">
        <v>41233</v>
      </c>
      <c r="L733">
        <v>3.2349999999999999</v>
      </c>
    </row>
    <row r="734" spans="1:12" x14ac:dyDescent="0.25">
      <c r="A734" s="2" t="s">
        <v>5</v>
      </c>
      <c r="B734" s="2" t="s">
        <v>737</v>
      </c>
      <c r="C734" s="2">
        <v>3.6032550852643102</v>
      </c>
      <c r="D734" s="2">
        <f>VLOOKUP(OneWeekMtgRatesDataTable8[[#This Row],[AsOfDate]],G:H,2,0)+OneWeekMtgRatesDataTable8[[#This Row],[SeriesNumValue]]</f>
        <v>4.4862139642643104</v>
      </c>
      <c r="F734" s="2" t="s">
        <v>1277</v>
      </c>
      <c r="G734" s="2" t="s">
        <v>737</v>
      </c>
      <c r="H734" s="2">
        <v>0.88295887900000003</v>
      </c>
      <c r="K734" s="4">
        <v>41234</v>
      </c>
      <c r="L734">
        <v>3.2349999999999999</v>
      </c>
    </row>
    <row r="735" spans="1:12" x14ac:dyDescent="0.25">
      <c r="A735" s="2" t="s">
        <v>5</v>
      </c>
      <c r="B735" s="2" t="s">
        <v>738</v>
      </c>
      <c r="C735" s="2">
        <v>3.5763485946615199</v>
      </c>
      <c r="D735" s="2">
        <f>VLOOKUP(OneWeekMtgRatesDataTable8[[#This Row],[AsOfDate]],G:H,2,0)+OneWeekMtgRatesDataTable8[[#This Row],[SeriesNumValue]]</f>
        <v>4.4593074736615197</v>
      </c>
      <c r="F735" s="2" t="s">
        <v>1277</v>
      </c>
      <c r="G735" s="2" t="s">
        <v>738</v>
      </c>
      <c r="H735" s="2">
        <v>0.88295887900000003</v>
      </c>
      <c r="K735" s="4">
        <v>41236</v>
      </c>
      <c r="L735">
        <v>3.27</v>
      </c>
    </row>
    <row r="736" spans="1:12" x14ac:dyDescent="0.25">
      <c r="A736" s="2" t="s">
        <v>5</v>
      </c>
      <c r="B736" s="2" t="s">
        <v>739</v>
      </c>
      <c r="C736" s="2">
        <v>3.5428500405358099</v>
      </c>
      <c r="D736" s="2">
        <f>VLOOKUP(OneWeekMtgRatesDataTable8[[#This Row],[AsOfDate]],G:H,2,0)+OneWeekMtgRatesDataTable8[[#This Row],[SeriesNumValue]]</f>
        <v>4.4258089195358101</v>
      </c>
      <c r="F736" s="2" t="s">
        <v>1277</v>
      </c>
      <c r="G736" s="2" t="s">
        <v>739</v>
      </c>
      <c r="H736" s="2">
        <v>0.88295887900000003</v>
      </c>
      <c r="K736" s="4">
        <v>41239</v>
      </c>
      <c r="L736">
        <v>3.27</v>
      </c>
    </row>
    <row r="737" spans="1:12" x14ac:dyDescent="0.25">
      <c r="A737" s="2" t="s">
        <v>5</v>
      </c>
      <c r="B737" s="2" t="s">
        <v>740</v>
      </c>
      <c r="C737" s="2">
        <v>3.5963712535882499</v>
      </c>
      <c r="D737" s="2">
        <f>VLOOKUP(OneWeekMtgRatesDataTable8[[#This Row],[AsOfDate]],G:H,2,0)+OneWeekMtgRatesDataTable8[[#This Row],[SeriesNumValue]]</f>
        <v>4.44766697458825</v>
      </c>
      <c r="F737" s="2" t="s">
        <v>1277</v>
      </c>
      <c r="G737" s="2" t="s">
        <v>740</v>
      </c>
      <c r="H737" s="2">
        <v>0.85129572099999995</v>
      </c>
      <c r="K737" s="4">
        <v>41240</v>
      </c>
      <c r="L737">
        <v>3.27</v>
      </c>
    </row>
    <row r="738" spans="1:12" x14ac:dyDescent="0.25">
      <c r="A738" s="2" t="s">
        <v>5</v>
      </c>
      <c r="B738" s="2" t="s">
        <v>741</v>
      </c>
      <c r="C738" s="2">
        <v>3.5749416796778899</v>
      </c>
      <c r="D738" s="2">
        <f>VLOOKUP(OneWeekMtgRatesDataTable8[[#This Row],[AsOfDate]],G:H,2,0)+OneWeekMtgRatesDataTable8[[#This Row],[SeriesNumValue]]</f>
        <v>4.4262374006778895</v>
      </c>
      <c r="F738" s="2" t="s">
        <v>1277</v>
      </c>
      <c r="G738" s="2" t="s">
        <v>741</v>
      </c>
      <c r="H738" s="2">
        <v>0.85129572099999995</v>
      </c>
      <c r="K738" s="4">
        <v>41241</v>
      </c>
      <c r="L738">
        <v>3.27</v>
      </c>
    </row>
    <row r="739" spans="1:12" x14ac:dyDescent="0.25">
      <c r="A739" s="2" t="s">
        <v>5</v>
      </c>
      <c r="B739" s="2" t="s">
        <v>742</v>
      </c>
      <c r="C739" s="2">
        <v>3.4718387266108799</v>
      </c>
      <c r="D739" s="2">
        <f>VLOOKUP(OneWeekMtgRatesDataTable8[[#This Row],[AsOfDate]],G:H,2,0)+OneWeekMtgRatesDataTable8[[#This Row],[SeriesNumValue]]</f>
        <v>4.3231344476108795</v>
      </c>
      <c r="F739" s="2" t="s">
        <v>1277</v>
      </c>
      <c r="G739" s="2" t="s">
        <v>742</v>
      </c>
      <c r="H739" s="2">
        <v>0.85129572099999995</v>
      </c>
      <c r="K739" s="4">
        <v>41242</v>
      </c>
      <c r="L739">
        <v>3.2650000000000001</v>
      </c>
    </row>
    <row r="740" spans="1:12" x14ac:dyDescent="0.25">
      <c r="A740" s="2" t="s">
        <v>5</v>
      </c>
      <c r="B740" s="2" t="s">
        <v>743</v>
      </c>
      <c r="C740" s="2">
        <v>3.4264575978101499</v>
      </c>
      <c r="D740" s="2">
        <f>VLOOKUP(OneWeekMtgRatesDataTable8[[#This Row],[AsOfDate]],G:H,2,0)+OneWeekMtgRatesDataTable8[[#This Row],[SeriesNumValue]]</f>
        <v>4.2777533188101495</v>
      </c>
      <c r="F740" s="2" t="s">
        <v>1277</v>
      </c>
      <c r="G740" s="2" t="s">
        <v>743</v>
      </c>
      <c r="H740" s="2">
        <v>0.85129572099999995</v>
      </c>
      <c r="K740" s="4">
        <v>41243</v>
      </c>
      <c r="L740">
        <v>3.2650000000000001</v>
      </c>
    </row>
    <row r="741" spans="1:12" x14ac:dyDescent="0.25">
      <c r="A741" s="2" t="s">
        <v>5</v>
      </c>
      <c r="B741" s="2" t="s">
        <v>744</v>
      </c>
      <c r="C741" s="2">
        <v>3.4834111891672799</v>
      </c>
      <c r="D741" s="2">
        <f>VLOOKUP(OneWeekMtgRatesDataTable8[[#This Row],[AsOfDate]],G:H,2,0)+OneWeekMtgRatesDataTable8[[#This Row],[SeriesNumValue]]</f>
        <v>4.3347069101672799</v>
      </c>
      <c r="F741" s="2" t="s">
        <v>1277</v>
      </c>
      <c r="G741" s="2" t="s">
        <v>744</v>
      </c>
      <c r="H741" s="2">
        <v>0.85129572099999995</v>
      </c>
      <c r="K741" s="4">
        <v>41246</v>
      </c>
      <c r="L741">
        <v>3.2650000000000001</v>
      </c>
    </row>
    <row r="742" spans="1:12" x14ac:dyDescent="0.25">
      <c r="A742" s="2" t="s">
        <v>5</v>
      </c>
      <c r="B742" s="2" t="s">
        <v>745</v>
      </c>
      <c r="C742" s="2">
        <v>3.4947799465752998</v>
      </c>
      <c r="D742" s="2">
        <f>VLOOKUP(OneWeekMtgRatesDataTable8[[#This Row],[AsOfDate]],G:H,2,0)+OneWeekMtgRatesDataTable8[[#This Row],[SeriesNumValue]]</f>
        <v>4.3394941185753</v>
      </c>
      <c r="F742" s="2" t="s">
        <v>1277</v>
      </c>
      <c r="G742" s="2" t="s">
        <v>745</v>
      </c>
      <c r="H742" s="2">
        <v>0.84471417199999999</v>
      </c>
      <c r="K742" s="4">
        <v>41247</v>
      </c>
      <c r="L742">
        <v>3.2650000000000001</v>
      </c>
    </row>
    <row r="743" spans="1:12" x14ac:dyDescent="0.25">
      <c r="A743" s="2" t="s">
        <v>5</v>
      </c>
      <c r="B743" s="2" t="s">
        <v>746</v>
      </c>
      <c r="C743" s="2">
        <v>3.4570560243786002</v>
      </c>
      <c r="D743" s="2">
        <f>VLOOKUP(OneWeekMtgRatesDataTable8[[#This Row],[AsOfDate]],G:H,2,0)+OneWeekMtgRatesDataTable8[[#This Row],[SeriesNumValue]]</f>
        <v>4.3017701963785999</v>
      </c>
      <c r="F743" s="2" t="s">
        <v>1277</v>
      </c>
      <c r="G743" s="2" t="s">
        <v>746</v>
      </c>
      <c r="H743" s="2">
        <v>0.84471417199999999</v>
      </c>
      <c r="K743" s="4">
        <v>41248</v>
      </c>
      <c r="L743">
        <v>3.2650000000000001</v>
      </c>
    </row>
    <row r="744" spans="1:12" x14ac:dyDescent="0.25">
      <c r="A744" s="2" t="s">
        <v>5</v>
      </c>
      <c r="B744" s="2" t="s">
        <v>747</v>
      </c>
      <c r="C744" s="2">
        <v>3.4370844050238198</v>
      </c>
      <c r="D744" s="2">
        <f>VLOOKUP(OneWeekMtgRatesDataTable8[[#This Row],[AsOfDate]],G:H,2,0)+OneWeekMtgRatesDataTable8[[#This Row],[SeriesNumValue]]</f>
        <v>4.2817985770238201</v>
      </c>
      <c r="F744" s="2" t="s">
        <v>1277</v>
      </c>
      <c r="G744" s="2" t="s">
        <v>747</v>
      </c>
      <c r="H744" s="2">
        <v>0.84471417199999999</v>
      </c>
      <c r="K744" s="4">
        <v>41249</v>
      </c>
      <c r="L744">
        <v>3.2450000000000001</v>
      </c>
    </row>
    <row r="745" spans="1:12" x14ac:dyDescent="0.25">
      <c r="A745" s="2" t="s">
        <v>5</v>
      </c>
      <c r="B745" s="2" t="s">
        <v>748</v>
      </c>
      <c r="C745" s="2">
        <v>3.4306167460721202</v>
      </c>
      <c r="D745" s="2">
        <f>VLOOKUP(OneWeekMtgRatesDataTable8[[#This Row],[AsOfDate]],G:H,2,0)+OneWeekMtgRatesDataTable8[[#This Row],[SeriesNumValue]]</f>
        <v>4.27533091807212</v>
      </c>
      <c r="F745" s="2" t="s">
        <v>1277</v>
      </c>
      <c r="G745" s="2" t="s">
        <v>748</v>
      </c>
      <c r="H745" s="2">
        <v>0.84471417199999999</v>
      </c>
      <c r="K745" s="4">
        <v>41250</v>
      </c>
      <c r="L745">
        <v>3.2450000000000001</v>
      </c>
    </row>
    <row r="746" spans="1:12" x14ac:dyDescent="0.25">
      <c r="A746" s="2" t="s">
        <v>5</v>
      </c>
      <c r="B746" s="2" t="s">
        <v>749</v>
      </c>
      <c r="C746" s="2">
        <v>3.4813003413665098</v>
      </c>
      <c r="D746" s="2">
        <f>VLOOKUP(OneWeekMtgRatesDataTable8[[#This Row],[AsOfDate]],G:H,2,0)+OneWeekMtgRatesDataTable8[[#This Row],[SeriesNumValue]]</f>
        <v>4.3447859623665099</v>
      </c>
      <c r="F746" s="2" t="s">
        <v>1277</v>
      </c>
      <c r="G746" s="2" t="s">
        <v>749</v>
      </c>
      <c r="H746" s="2">
        <v>0.86348562100000004</v>
      </c>
      <c r="K746" s="4">
        <v>41253</v>
      </c>
      <c r="L746">
        <v>3.2450000000000001</v>
      </c>
    </row>
    <row r="747" spans="1:12" x14ac:dyDescent="0.25">
      <c r="A747" s="2" t="s">
        <v>5</v>
      </c>
      <c r="B747" s="2" t="s">
        <v>750</v>
      </c>
      <c r="C747" s="2">
        <v>3.42598487814407</v>
      </c>
      <c r="D747" s="2">
        <f>VLOOKUP(OneWeekMtgRatesDataTable8[[#This Row],[AsOfDate]],G:H,2,0)+OneWeekMtgRatesDataTable8[[#This Row],[SeriesNumValue]]</f>
        <v>4.2894704991440697</v>
      </c>
      <c r="F747" s="2" t="s">
        <v>1277</v>
      </c>
      <c r="G747" s="2" t="s">
        <v>750</v>
      </c>
      <c r="H747" s="2">
        <v>0.86348562100000004</v>
      </c>
      <c r="K747" s="4">
        <v>41254</v>
      </c>
      <c r="L747">
        <v>3.2450000000000001</v>
      </c>
    </row>
    <row r="748" spans="1:12" x14ac:dyDescent="0.25">
      <c r="A748" s="2" t="s">
        <v>5</v>
      </c>
      <c r="B748" s="2" t="s">
        <v>751</v>
      </c>
      <c r="C748" s="2">
        <v>3.3821795348389898</v>
      </c>
      <c r="D748" s="2">
        <f>VLOOKUP(OneWeekMtgRatesDataTable8[[#This Row],[AsOfDate]],G:H,2,0)+OneWeekMtgRatesDataTable8[[#This Row],[SeriesNumValue]]</f>
        <v>4.2456651558389895</v>
      </c>
      <c r="F748" s="2" t="s">
        <v>1277</v>
      </c>
      <c r="G748" s="2" t="s">
        <v>751</v>
      </c>
      <c r="H748" s="2">
        <v>0.86348562100000004</v>
      </c>
      <c r="K748" s="4">
        <v>41255</v>
      </c>
      <c r="L748">
        <v>3.2450000000000001</v>
      </c>
    </row>
    <row r="749" spans="1:12" x14ac:dyDescent="0.25">
      <c r="A749" s="2" t="s">
        <v>5</v>
      </c>
      <c r="B749" s="2" t="s">
        <v>752</v>
      </c>
      <c r="C749" s="2">
        <v>3.4248929817112499</v>
      </c>
      <c r="D749" s="2">
        <f>VLOOKUP(OneWeekMtgRatesDataTable8[[#This Row],[AsOfDate]],G:H,2,0)+OneWeekMtgRatesDataTable8[[#This Row],[SeriesNumValue]]</f>
        <v>4.2883786027112496</v>
      </c>
      <c r="F749" s="2" t="s">
        <v>1277</v>
      </c>
      <c r="G749" s="2" t="s">
        <v>752</v>
      </c>
      <c r="H749" s="2">
        <v>0.86348562100000004</v>
      </c>
      <c r="K749" s="4">
        <v>41256</v>
      </c>
      <c r="L749">
        <v>3.2949999999999999</v>
      </c>
    </row>
    <row r="750" spans="1:12" x14ac:dyDescent="0.25">
      <c r="A750" s="2" t="s">
        <v>5</v>
      </c>
      <c r="B750" s="2" t="s">
        <v>753</v>
      </c>
      <c r="C750" s="2">
        <v>3.4146699129436402</v>
      </c>
      <c r="D750" s="2">
        <f>VLOOKUP(OneWeekMtgRatesDataTable8[[#This Row],[AsOfDate]],G:H,2,0)+OneWeekMtgRatesDataTable8[[#This Row],[SeriesNumValue]]</f>
        <v>4.2781555339436403</v>
      </c>
      <c r="F750" s="2" t="s">
        <v>1277</v>
      </c>
      <c r="G750" s="2" t="s">
        <v>753</v>
      </c>
      <c r="H750" s="2">
        <v>0.86348562100000004</v>
      </c>
      <c r="K750" s="4">
        <v>41257</v>
      </c>
      <c r="L750">
        <v>3.2949999999999999</v>
      </c>
    </row>
    <row r="751" spans="1:12" x14ac:dyDescent="0.25">
      <c r="A751" s="2" t="s">
        <v>5</v>
      </c>
      <c r="B751" s="2" t="s">
        <v>754</v>
      </c>
      <c r="C751" s="2">
        <v>3.3611475085431901</v>
      </c>
      <c r="D751" s="2">
        <f>VLOOKUP(OneWeekMtgRatesDataTable8[[#This Row],[AsOfDate]],G:H,2,0)+OneWeekMtgRatesDataTable8[[#This Row],[SeriesNumValue]]</f>
        <v>4.2043725455431904</v>
      </c>
      <c r="F751" s="2" t="s">
        <v>1277</v>
      </c>
      <c r="G751" s="2" t="s">
        <v>754</v>
      </c>
      <c r="H751" s="2">
        <v>0.84322503699999996</v>
      </c>
      <c r="K751" s="4">
        <v>41260</v>
      </c>
      <c r="L751">
        <v>3.2949999999999999</v>
      </c>
    </row>
    <row r="752" spans="1:12" x14ac:dyDescent="0.25">
      <c r="A752" s="2" t="s">
        <v>5</v>
      </c>
      <c r="B752" s="2" t="s">
        <v>755</v>
      </c>
      <c r="C752" s="2">
        <v>3.3710250871978902</v>
      </c>
      <c r="D752" s="2">
        <f>VLOOKUP(OneWeekMtgRatesDataTable8[[#This Row],[AsOfDate]],G:H,2,0)+OneWeekMtgRatesDataTable8[[#This Row],[SeriesNumValue]]</f>
        <v>4.21425012419789</v>
      </c>
      <c r="F752" s="2" t="s">
        <v>1277</v>
      </c>
      <c r="G752" s="2" t="s">
        <v>755</v>
      </c>
      <c r="H752" s="2">
        <v>0.84322503699999996</v>
      </c>
      <c r="K752" s="4">
        <v>41261</v>
      </c>
      <c r="L752">
        <v>3.2949999999999999</v>
      </c>
    </row>
    <row r="753" spans="1:12" x14ac:dyDescent="0.25">
      <c r="A753" s="2" t="s">
        <v>5</v>
      </c>
      <c r="B753" s="2" t="s">
        <v>756</v>
      </c>
      <c r="C753" s="2">
        <v>3.3406752567006799</v>
      </c>
      <c r="D753" s="2">
        <f>VLOOKUP(OneWeekMtgRatesDataTable8[[#This Row],[AsOfDate]],G:H,2,0)+OneWeekMtgRatesDataTable8[[#This Row],[SeriesNumValue]]</f>
        <v>4.1839002937006802</v>
      </c>
      <c r="F753" s="2" t="s">
        <v>1277</v>
      </c>
      <c r="G753" s="2" t="s">
        <v>756</v>
      </c>
      <c r="H753" s="2">
        <v>0.84322503699999996</v>
      </c>
      <c r="K753" s="4">
        <v>41262</v>
      </c>
      <c r="L753">
        <v>3.2949999999999999</v>
      </c>
    </row>
    <row r="754" spans="1:12" x14ac:dyDescent="0.25">
      <c r="A754" s="2" t="s">
        <v>5</v>
      </c>
      <c r="B754" s="2" t="s">
        <v>757</v>
      </c>
      <c r="C754" s="2">
        <v>3.2710992042590501</v>
      </c>
      <c r="D754" s="2">
        <f>VLOOKUP(OneWeekMtgRatesDataTable8[[#This Row],[AsOfDate]],G:H,2,0)+OneWeekMtgRatesDataTable8[[#This Row],[SeriesNumValue]]</f>
        <v>4.1143242412590499</v>
      </c>
      <c r="F754" s="2" t="s">
        <v>1277</v>
      </c>
      <c r="G754" s="2" t="s">
        <v>757</v>
      </c>
      <c r="H754" s="2">
        <v>0.84322503699999996</v>
      </c>
      <c r="K754" s="4">
        <v>41263</v>
      </c>
      <c r="L754">
        <v>3.2749999999999999</v>
      </c>
    </row>
    <row r="755" spans="1:12" x14ac:dyDescent="0.25">
      <c r="A755" s="2" t="s">
        <v>5</v>
      </c>
      <c r="B755" s="2" t="s">
        <v>758</v>
      </c>
      <c r="C755" s="2">
        <v>3.3111616483337998</v>
      </c>
      <c r="D755" s="2">
        <f>VLOOKUP(OneWeekMtgRatesDataTable8[[#This Row],[AsOfDate]],G:H,2,0)+OneWeekMtgRatesDataTable8[[#This Row],[SeriesNumValue]]</f>
        <v>4.1543866853338001</v>
      </c>
      <c r="F755" s="2" t="s">
        <v>1277</v>
      </c>
      <c r="G755" s="2" t="s">
        <v>758</v>
      </c>
      <c r="H755" s="2">
        <v>0.84322503699999996</v>
      </c>
      <c r="K755" s="4">
        <v>41264</v>
      </c>
      <c r="L755">
        <v>3.2749999999999999</v>
      </c>
    </row>
    <row r="756" spans="1:12" x14ac:dyDescent="0.25">
      <c r="A756" s="2" t="s">
        <v>5</v>
      </c>
      <c r="B756" s="2" t="s">
        <v>759</v>
      </c>
      <c r="C756" s="2">
        <v>3.3584090078904199</v>
      </c>
      <c r="D756" s="2">
        <f>VLOOKUP(OneWeekMtgRatesDataTable8[[#This Row],[AsOfDate]],G:H,2,0)+OneWeekMtgRatesDataTable8[[#This Row],[SeriesNumValue]]</f>
        <v>4.1829349668904197</v>
      </c>
      <c r="F756" s="2" t="s">
        <v>1277</v>
      </c>
      <c r="G756" s="2" t="s">
        <v>759</v>
      </c>
      <c r="H756" s="2">
        <v>0.82452595900000003</v>
      </c>
      <c r="K756" s="4">
        <v>41267</v>
      </c>
      <c r="L756">
        <v>3.2749999999999999</v>
      </c>
    </row>
    <row r="757" spans="1:12" x14ac:dyDescent="0.25">
      <c r="A757" s="2" t="s">
        <v>5</v>
      </c>
      <c r="B757" s="2" t="s">
        <v>760</v>
      </c>
      <c r="C757" s="2">
        <v>3.3799296471468399</v>
      </c>
      <c r="D757" s="2">
        <f>VLOOKUP(OneWeekMtgRatesDataTable8[[#This Row],[AsOfDate]],G:H,2,0)+OneWeekMtgRatesDataTable8[[#This Row],[SeriesNumValue]]</f>
        <v>4.2044556061468397</v>
      </c>
      <c r="F757" s="2" t="s">
        <v>1277</v>
      </c>
      <c r="G757" s="2" t="s">
        <v>760</v>
      </c>
      <c r="H757" s="2">
        <v>0.82452595900000003</v>
      </c>
      <c r="K757" s="4">
        <v>41269</v>
      </c>
      <c r="L757">
        <v>3.2749999999999999</v>
      </c>
    </row>
    <row r="758" spans="1:12" x14ac:dyDescent="0.25">
      <c r="A758" s="2" t="s">
        <v>5</v>
      </c>
      <c r="B758" s="2" t="s">
        <v>761</v>
      </c>
      <c r="C758" s="2">
        <v>3.34300170180666</v>
      </c>
      <c r="D758" s="2">
        <f>VLOOKUP(OneWeekMtgRatesDataTable8[[#This Row],[AsOfDate]],G:H,2,0)+OneWeekMtgRatesDataTable8[[#This Row],[SeriesNumValue]]</f>
        <v>4.1675276608066598</v>
      </c>
      <c r="F758" s="2" t="s">
        <v>1277</v>
      </c>
      <c r="G758" s="2" t="s">
        <v>761</v>
      </c>
      <c r="H758" s="2">
        <v>0.82452595900000003</v>
      </c>
      <c r="K758" s="4">
        <v>41270</v>
      </c>
      <c r="L758">
        <v>3.2650000000000001</v>
      </c>
    </row>
    <row r="759" spans="1:12" x14ac:dyDescent="0.25">
      <c r="A759" s="2" t="s">
        <v>5</v>
      </c>
      <c r="B759" s="2" t="s">
        <v>762</v>
      </c>
      <c r="C759" s="2">
        <v>3.34761054294983</v>
      </c>
      <c r="D759" s="2">
        <f>VLOOKUP(OneWeekMtgRatesDataTable8[[#This Row],[AsOfDate]],G:H,2,0)+OneWeekMtgRatesDataTable8[[#This Row],[SeriesNumValue]]</f>
        <v>4.1721365019498302</v>
      </c>
      <c r="F759" s="2" t="s">
        <v>1277</v>
      </c>
      <c r="G759" s="2" t="s">
        <v>762</v>
      </c>
      <c r="H759" s="2">
        <v>0.82452595900000003</v>
      </c>
      <c r="K759" s="4">
        <v>41271</v>
      </c>
      <c r="L759">
        <v>3.2650000000000001</v>
      </c>
    </row>
    <row r="760" spans="1:12" x14ac:dyDescent="0.25">
      <c r="A760" s="2" t="s">
        <v>5</v>
      </c>
      <c r="B760" s="2" t="s">
        <v>763</v>
      </c>
      <c r="C760" s="2">
        <v>3.3874003692749199</v>
      </c>
      <c r="D760" s="2">
        <f>VLOOKUP(OneWeekMtgRatesDataTable8[[#This Row],[AsOfDate]],G:H,2,0)+OneWeekMtgRatesDataTable8[[#This Row],[SeriesNumValue]]</f>
        <v>4.2119263282749202</v>
      </c>
      <c r="F760" s="2" t="s">
        <v>1277</v>
      </c>
      <c r="G760" s="2" t="s">
        <v>763</v>
      </c>
      <c r="H760" s="2">
        <v>0.82452595900000003</v>
      </c>
      <c r="K760" s="4">
        <v>41274</v>
      </c>
      <c r="L760">
        <v>3.2650000000000001</v>
      </c>
    </row>
    <row r="761" spans="1:12" x14ac:dyDescent="0.25">
      <c r="A761" s="2" t="s">
        <v>5</v>
      </c>
      <c r="B761" s="2" t="s">
        <v>764</v>
      </c>
      <c r="C761" s="2">
        <v>3.4367814236357002</v>
      </c>
      <c r="D761" s="2">
        <f>VLOOKUP(OneWeekMtgRatesDataTable8[[#This Row],[AsOfDate]],G:H,2,0)+OneWeekMtgRatesDataTable8[[#This Row],[SeriesNumValue]]</f>
        <v>4.2628366866357004</v>
      </c>
      <c r="F761" s="2" t="s">
        <v>1277</v>
      </c>
      <c r="G761" s="2" t="s">
        <v>764</v>
      </c>
      <c r="H761" s="2">
        <v>0.82605526299999998</v>
      </c>
      <c r="K761" s="4">
        <v>41276</v>
      </c>
      <c r="L761">
        <v>3.2650000000000001</v>
      </c>
    </row>
    <row r="762" spans="1:12" x14ac:dyDescent="0.25">
      <c r="A762" s="2" t="s">
        <v>5</v>
      </c>
      <c r="B762" s="2" t="s">
        <v>765</v>
      </c>
      <c r="C762" s="2">
        <v>3.3963820586764299</v>
      </c>
      <c r="D762" s="2">
        <f>VLOOKUP(OneWeekMtgRatesDataTable8[[#This Row],[AsOfDate]],G:H,2,0)+OneWeekMtgRatesDataTable8[[#This Row],[SeriesNumValue]]</f>
        <v>4.2224373216764297</v>
      </c>
      <c r="F762" s="2" t="s">
        <v>1277</v>
      </c>
      <c r="G762" s="2" t="s">
        <v>765</v>
      </c>
      <c r="H762" s="2">
        <v>0.82605526299999998</v>
      </c>
      <c r="K762" s="4">
        <v>41277</v>
      </c>
      <c r="L762">
        <v>3.3250000000000002</v>
      </c>
    </row>
    <row r="763" spans="1:12" x14ac:dyDescent="0.25">
      <c r="A763" s="2" t="s">
        <v>5</v>
      </c>
      <c r="B763" s="2" t="s">
        <v>766</v>
      </c>
      <c r="C763" s="2">
        <v>3.42404687499962</v>
      </c>
      <c r="D763" s="2">
        <f>VLOOKUP(OneWeekMtgRatesDataTable8[[#This Row],[AsOfDate]],G:H,2,0)+OneWeekMtgRatesDataTable8[[#This Row],[SeriesNumValue]]</f>
        <v>4.2501021379996198</v>
      </c>
      <c r="F763" s="2" t="s">
        <v>1277</v>
      </c>
      <c r="G763" s="2" t="s">
        <v>766</v>
      </c>
      <c r="H763" s="2">
        <v>0.82605526299999998</v>
      </c>
      <c r="K763" s="4">
        <v>41278</v>
      </c>
      <c r="L763">
        <v>3.3250000000000002</v>
      </c>
    </row>
    <row r="764" spans="1:12" x14ac:dyDescent="0.25">
      <c r="A764" s="2" t="s">
        <v>5</v>
      </c>
      <c r="B764" s="2" t="s">
        <v>767</v>
      </c>
      <c r="C764" s="2">
        <v>3.4022510541238402</v>
      </c>
      <c r="D764" s="2">
        <f>VLOOKUP(OneWeekMtgRatesDataTable8[[#This Row],[AsOfDate]],G:H,2,0)+OneWeekMtgRatesDataTable8[[#This Row],[SeriesNumValue]]</f>
        <v>4.22830631712384</v>
      </c>
      <c r="F764" s="2" t="s">
        <v>1277</v>
      </c>
      <c r="G764" s="2" t="s">
        <v>767</v>
      </c>
      <c r="H764" s="2">
        <v>0.82605526299999998</v>
      </c>
      <c r="K764" s="4">
        <v>41281</v>
      </c>
      <c r="L764">
        <v>3.3250000000000002</v>
      </c>
    </row>
    <row r="765" spans="1:12" x14ac:dyDescent="0.25">
      <c r="A765" s="2" t="s">
        <v>5</v>
      </c>
      <c r="B765" s="2" t="s">
        <v>768</v>
      </c>
      <c r="C765" s="2">
        <v>3.4208462339079002</v>
      </c>
      <c r="D765" s="2">
        <f>VLOOKUP(OneWeekMtgRatesDataTable8[[#This Row],[AsOfDate]],G:H,2,0)+OneWeekMtgRatesDataTable8[[#This Row],[SeriesNumValue]]</f>
        <v>4.2649646789079005</v>
      </c>
      <c r="F765" s="2" t="s">
        <v>1277</v>
      </c>
      <c r="G765" s="2" t="s">
        <v>768</v>
      </c>
      <c r="H765" s="2">
        <v>0.844118445</v>
      </c>
      <c r="K765" s="4">
        <v>41282</v>
      </c>
      <c r="L765">
        <v>3.3250000000000002</v>
      </c>
    </row>
    <row r="766" spans="1:12" x14ac:dyDescent="0.25">
      <c r="A766" s="2" t="s">
        <v>5</v>
      </c>
      <c r="B766" s="2" t="s">
        <v>769</v>
      </c>
      <c r="C766" s="2">
        <v>3.4409874974018302</v>
      </c>
      <c r="D766" s="2">
        <f>VLOOKUP(OneWeekMtgRatesDataTable8[[#This Row],[AsOfDate]],G:H,2,0)+OneWeekMtgRatesDataTable8[[#This Row],[SeriesNumValue]]</f>
        <v>4.2851059424018301</v>
      </c>
      <c r="F766" s="2" t="s">
        <v>1277</v>
      </c>
      <c r="G766" s="2" t="s">
        <v>769</v>
      </c>
      <c r="H766" s="2">
        <v>0.844118445</v>
      </c>
      <c r="K766" s="4">
        <v>41283</v>
      </c>
      <c r="L766">
        <v>3.3250000000000002</v>
      </c>
    </row>
    <row r="767" spans="1:12" x14ac:dyDescent="0.25">
      <c r="A767" s="2" t="s">
        <v>5</v>
      </c>
      <c r="B767" s="2" t="s">
        <v>770</v>
      </c>
      <c r="C767" s="2">
        <v>3.4238152467223899</v>
      </c>
      <c r="D767" s="2">
        <f>VLOOKUP(OneWeekMtgRatesDataTable8[[#This Row],[AsOfDate]],G:H,2,0)+OneWeekMtgRatesDataTable8[[#This Row],[SeriesNumValue]]</f>
        <v>4.2679336917223898</v>
      </c>
      <c r="F767" s="2" t="s">
        <v>1277</v>
      </c>
      <c r="G767" s="2" t="s">
        <v>770</v>
      </c>
      <c r="H767" s="2">
        <v>0.844118445</v>
      </c>
      <c r="K767" s="4">
        <v>41284</v>
      </c>
      <c r="L767">
        <v>3.3050000000000002</v>
      </c>
    </row>
    <row r="768" spans="1:12" x14ac:dyDescent="0.25">
      <c r="A768" s="2" t="s">
        <v>5</v>
      </c>
      <c r="B768" s="2" t="s">
        <v>771</v>
      </c>
      <c r="C768" s="2">
        <v>3.4298763218774999</v>
      </c>
      <c r="D768" s="2">
        <f>VLOOKUP(OneWeekMtgRatesDataTable8[[#This Row],[AsOfDate]],G:H,2,0)+OneWeekMtgRatesDataTable8[[#This Row],[SeriesNumValue]]</f>
        <v>4.2739947668775002</v>
      </c>
      <c r="F768" s="2" t="s">
        <v>1277</v>
      </c>
      <c r="G768" s="2" t="s">
        <v>771</v>
      </c>
      <c r="H768" s="2">
        <v>0.844118445</v>
      </c>
      <c r="K768" s="4">
        <v>41285</v>
      </c>
      <c r="L768">
        <v>3.3050000000000002</v>
      </c>
    </row>
    <row r="769" spans="1:12" x14ac:dyDescent="0.25">
      <c r="A769" s="2" t="s">
        <v>5</v>
      </c>
      <c r="B769" s="2" t="s">
        <v>772</v>
      </c>
      <c r="C769" s="2">
        <v>3.3762483730993802</v>
      </c>
      <c r="D769" s="2">
        <f>VLOOKUP(OneWeekMtgRatesDataTable8[[#This Row],[AsOfDate]],G:H,2,0)+OneWeekMtgRatesDataTable8[[#This Row],[SeriesNumValue]]</f>
        <v>4.2203668180993805</v>
      </c>
      <c r="F769" s="2" t="s">
        <v>1277</v>
      </c>
      <c r="G769" s="2" t="s">
        <v>772</v>
      </c>
      <c r="H769" s="2">
        <v>0.844118445</v>
      </c>
      <c r="K769" s="4">
        <v>41288</v>
      </c>
      <c r="L769">
        <v>3.3050000000000002</v>
      </c>
    </row>
    <row r="770" spans="1:12" x14ac:dyDescent="0.25">
      <c r="A770" s="2" t="s">
        <v>5</v>
      </c>
      <c r="B770" s="2" t="s">
        <v>773</v>
      </c>
      <c r="C770" s="2">
        <v>3.36185561650391</v>
      </c>
      <c r="D770" s="2">
        <f>VLOOKUP(OneWeekMtgRatesDataTable8[[#This Row],[AsOfDate]],G:H,2,0)+OneWeekMtgRatesDataTable8[[#This Row],[SeriesNumValue]]</f>
        <v>4.2502990055039103</v>
      </c>
      <c r="F770" s="2" t="s">
        <v>1277</v>
      </c>
      <c r="G770" s="2" t="s">
        <v>773</v>
      </c>
      <c r="H770" s="2">
        <v>0.88844338899999997</v>
      </c>
      <c r="K770" s="4">
        <v>41289</v>
      </c>
      <c r="L770">
        <v>3.3050000000000002</v>
      </c>
    </row>
    <row r="771" spans="1:12" x14ac:dyDescent="0.25">
      <c r="A771" s="2" t="s">
        <v>5</v>
      </c>
      <c r="B771" s="2" t="s">
        <v>774</v>
      </c>
      <c r="C771" s="2">
        <v>3.3370205659412702</v>
      </c>
      <c r="D771" s="2">
        <f>VLOOKUP(OneWeekMtgRatesDataTable8[[#This Row],[AsOfDate]],G:H,2,0)+OneWeekMtgRatesDataTable8[[#This Row],[SeriesNumValue]]</f>
        <v>4.2254639549412705</v>
      </c>
      <c r="F771" s="2" t="s">
        <v>1277</v>
      </c>
      <c r="G771" s="2" t="s">
        <v>774</v>
      </c>
      <c r="H771" s="2">
        <v>0.88844338899999997</v>
      </c>
      <c r="K771" s="4">
        <v>41290</v>
      </c>
      <c r="L771">
        <v>3.3050000000000002</v>
      </c>
    </row>
    <row r="772" spans="1:12" x14ac:dyDescent="0.25">
      <c r="A772" s="2" t="s">
        <v>5</v>
      </c>
      <c r="B772" s="2" t="s">
        <v>775</v>
      </c>
      <c r="C772" s="2">
        <v>3.3514861848067001</v>
      </c>
      <c r="D772" s="2">
        <f>VLOOKUP(OneWeekMtgRatesDataTable8[[#This Row],[AsOfDate]],G:H,2,0)+OneWeekMtgRatesDataTable8[[#This Row],[SeriesNumValue]]</f>
        <v>4.2399295738067</v>
      </c>
      <c r="F772" s="2" t="s">
        <v>1277</v>
      </c>
      <c r="G772" s="2" t="s">
        <v>775</v>
      </c>
      <c r="H772" s="2">
        <v>0.88844338899999997</v>
      </c>
      <c r="K772" s="4">
        <v>41291</v>
      </c>
      <c r="L772">
        <v>3.3450000000000002</v>
      </c>
    </row>
    <row r="773" spans="1:12" x14ac:dyDescent="0.25">
      <c r="A773" s="2" t="s">
        <v>5</v>
      </c>
      <c r="B773" s="2" t="s">
        <v>776</v>
      </c>
      <c r="C773" s="2">
        <v>3.32529881785555</v>
      </c>
      <c r="D773" s="2">
        <f>VLOOKUP(OneWeekMtgRatesDataTable8[[#This Row],[AsOfDate]],G:H,2,0)+OneWeekMtgRatesDataTable8[[#This Row],[SeriesNumValue]]</f>
        <v>4.2137422068555503</v>
      </c>
      <c r="F773" s="2" t="s">
        <v>1277</v>
      </c>
      <c r="G773" s="2" t="s">
        <v>776</v>
      </c>
      <c r="H773" s="2">
        <v>0.88844338899999997</v>
      </c>
      <c r="K773" s="4">
        <v>41292</v>
      </c>
      <c r="L773">
        <v>3.3450000000000002</v>
      </c>
    </row>
    <row r="774" spans="1:12" x14ac:dyDescent="0.25">
      <c r="A774" s="2" t="s">
        <v>5</v>
      </c>
      <c r="B774" s="2" t="s">
        <v>777</v>
      </c>
      <c r="C774" s="2">
        <v>3.3983132593490502</v>
      </c>
      <c r="D774" s="2">
        <f>VLOOKUP(OneWeekMtgRatesDataTable8[[#This Row],[AsOfDate]],G:H,2,0)+OneWeekMtgRatesDataTable8[[#This Row],[SeriesNumValue]]</f>
        <v>4.2867566483490505</v>
      </c>
      <c r="F774" s="2" t="s">
        <v>1277</v>
      </c>
      <c r="G774" s="2" t="s">
        <v>777</v>
      </c>
      <c r="H774" s="2">
        <v>0.88844338899999997</v>
      </c>
      <c r="K774" s="4">
        <v>41296</v>
      </c>
      <c r="L774">
        <v>3.3450000000000002</v>
      </c>
    </row>
    <row r="775" spans="1:12" x14ac:dyDescent="0.25">
      <c r="A775" s="2" t="s">
        <v>5</v>
      </c>
      <c r="B775" s="2" t="s">
        <v>778</v>
      </c>
      <c r="C775" s="2">
        <v>3.40151851180392</v>
      </c>
      <c r="D775" s="2">
        <f>VLOOKUP(OneWeekMtgRatesDataTable8[[#This Row],[AsOfDate]],G:H,2,0)+OneWeekMtgRatesDataTable8[[#This Row],[SeriesNumValue]]</f>
        <v>4.2437910438039204</v>
      </c>
      <c r="F775" s="2" t="s">
        <v>1277</v>
      </c>
      <c r="G775" s="2" t="s">
        <v>778</v>
      </c>
      <c r="H775" s="2">
        <v>0.84227253199999996</v>
      </c>
      <c r="K775" s="4">
        <v>41297</v>
      </c>
      <c r="L775">
        <v>3.3450000000000002</v>
      </c>
    </row>
    <row r="776" spans="1:12" x14ac:dyDescent="0.25">
      <c r="A776" s="2" t="s">
        <v>5</v>
      </c>
      <c r="B776" s="2" t="s">
        <v>779</v>
      </c>
      <c r="C776" s="2">
        <v>3.4237035729301399</v>
      </c>
      <c r="D776" s="2">
        <f>VLOOKUP(OneWeekMtgRatesDataTable8[[#This Row],[AsOfDate]],G:H,2,0)+OneWeekMtgRatesDataTable8[[#This Row],[SeriesNumValue]]</f>
        <v>4.2659761049301395</v>
      </c>
      <c r="F776" s="2" t="s">
        <v>1277</v>
      </c>
      <c r="G776" s="2" t="s">
        <v>779</v>
      </c>
      <c r="H776" s="2">
        <v>0.84227253199999996</v>
      </c>
      <c r="K776" s="4">
        <v>41298</v>
      </c>
      <c r="L776">
        <v>3.4550000000000001</v>
      </c>
    </row>
    <row r="777" spans="1:12" x14ac:dyDescent="0.25">
      <c r="A777" s="2" t="s">
        <v>5</v>
      </c>
      <c r="B777" s="2" t="s">
        <v>780</v>
      </c>
      <c r="C777" s="2">
        <v>3.4613667705973898</v>
      </c>
      <c r="D777" s="2">
        <f>VLOOKUP(OneWeekMtgRatesDataTable8[[#This Row],[AsOfDate]],G:H,2,0)+OneWeekMtgRatesDataTable8[[#This Row],[SeriesNumValue]]</f>
        <v>4.3036393025973894</v>
      </c>
      <c r="F777" s="2" t="s">
        <v>1277</v>
      </c>
      <c r="G777" s="2" t="s">
        <v>780</v>
      </c>
      <c r="H777" s="2">
        <v>0.84227253199999996</v>
      </c>
      <c r="K777" s="4">
        <v>41299</v>
      </c>
      <c r="L777">
        <v>3.4550000000000001</v>
      </c>
    </row>
    <row r="778" spans="1:12" x14ac:dyDescent="0.25">
      <c r="A778" s="2" t="s">
        <v>5</v>
      </c>
      <c r="B778" s="2" t="s">
        <v>781</v>
      </c>
      <c r="C778" s="2">
        <v>3.4465671397565498</v>
      </c>
      <c r="D778" s="2">
        <f>VLOOKUP(OneWeekMtgRatesDataTable8[[#This Row],[AsOfDate]],G:H,2,0)+OneWeekMtgRatesDataTable8[[#This Row],[SeriesNumValue]]</f>
        <v>4.2888396717565502</v>
      </c>
      <c r="F778" s="2" t="s">
        <v>1277</v>
      </c>
      <c r="G778" s="2" t="s">
        <v>781</v>
      </c>
      <c r="H778" s="2">
        <v>0.84227253199999996</v>
      </c>
      <c r="K778" s="4">
        <v>41302</v>
      </c>
      <c r="L778">
        <v>3.4550000000000001</v>
      </c>
    </row>
    <row r="779" spans="1:12" x14ac:dyDescent="0.25">
      <c r="A779" s="2" t="s">
        <v>5</v>
      </c>
      <c r="B779" s="2" t="s">
        <v>782</v>
      </c>
      <c r="C779" s="2">
        <v>3.4438493655509599</v>
      </c>
      <c r="D779" s="2">
        <f>VLOOKUP(OneWeekMtgRatesDataTable8[[#This Row],[AsOfDate]],G:H,2,0)+OneWeekMtgRatesDataTable8[[#This Row],[SeriesNumValue]]</f>
        <v>4.2861218975509594</v>
      </c>
      <c r="F779" s="2" t="s">
        <v>1277</v>
      </c>
      <c r="G779" s="2" t="s">
        <v>782</v>
      </c>
      <c r="H779" s="2">
        <v>0.84227253199999996</v>
      </c>
      <c r="K779" s="4">
        <v>41303</v>
      </c>
      <c r="L779">
        <v>3.4550000000000001</v>
      </c>
    </row>
    <row r="780" spans="1:12" x14ac:dyDescent="0.25">
      <c r="A780" s="2" t="s">
        <v>5</v>
      </c>
      <c r="B780" s="2" t="s">
        <v>783</v>
      </c>
      <c r="C780" s="2">
        <v>3.4085893370598099</v>
      </c>
      <c r="D780" s="2">
        <f>VLOOKUP(OneWeekMtgRatesDataTable8[[#This Row],[AsOfDate]],G:H,2,0)+OneWeekMtgRatesDataTable8[[#This Row],[SeriesNumValue]]</f>
        <v>4.2417741000598097</v>
      </c>
      <c r="F780" s="2" t="s">
        <v>1277</v>
      </c>
      <c r="G780" s="2" t="s">
        <v>783</v>
      </c>
      <c r="H780" s="2">
        <v>0.83318476299999999</v>
      </c>
      <c r="K780" s="4">
        <v>41304</v>
      </c>
      <c r="L780">
        <v>3.4550000000000001</v>
      </c>
    </row>
    <row r="781" spans="1:12" x14ac:dyDescent="0.25">
      <c r="A781" s="2" t="s">
        <v>5</v>
      </c>
      <c r="B781" s="2" t="s">
        <v>784</v>
      </c>
      <c r="C781" s="2">
        <v>3.34843875975199</v>
      </c>
      <c r="D781" s="2">
        <f>VLOOKUP(OneWeekMtgRatesDataTable8[[#This Row],[AsOfDate]],G:H,2,0)+OneWeekMtgRatesDataTable8[[#This Row],[SeriesNumValue]]</f>
        <v>4.1816235227519902</v>
      </c>
      <c r="F781" s="2" t="s">
        <v>1277</v>
      </c>
      <c r="G781" s="2" t="s">
        <v>784</v>
      </c>
      <c r="H781" s="2">
        <v>0.83318476299999999</v>
      </c>
      <c r="K781" s="4">
        <v>41305</v>
      </c>
      <c r="L781">
        <v>3.48</v>
      </c>
    </row>
    <row r="782" spans="1:12" x14ac:dyDescent="0.25">
      <c r="A782" s="2" t="s">
        <v>5</v>
      </c>
      <c r="B782" s="2" t="s">
        <v>785</v>
      </c>
      <c r="C782" s="2">
        <v>3.3634875299273701</v>
      </c>
      <c r="D782" s="2">
        <f>VLOOKUP(OneWeekMtgRatesDataTable8[[#This Row],[AsOfDate]],G:H,2,0)+OneWeekMtgRatesDataTable8[[#This Row],[SeriesNumValue]]</f>
        <v>4.1966722929273699</v>
      </c>
      <c r="F782" s="2" t="s">
        <v>1277</v>
      </c>
      <c r="G782" s="2" t="s">
        <v>785</v>
      </c>
      <c r="H782" s="2">
        <v>0.83318476299999999</v>
      </c>
      <c r="K782" s="4">
        <v>41306</v>
      </c>
      <c r="L782">
        <v>3.48</v>
      </c>
    </row>
    <row r="783" spans="1:12" x14ac:dyDescent="0.25">
      <c r="A783" s="2" t="s">
        <v>5</v>
      </c>
      <c r="B783" s="2" t="s">
        <v>786</v>
      </c>
      <c r="C783" s="2">
        <v>3.4174617229589801</v>
      </c>
      <c r="D783" s="2">
        <f>VLOOKUP(OneWeekMtgRatesDataTable8[[#This Row],[AsOfDate]],G:H,2,0)+OneWeekMtgRatesDataTable8[[#This Row],[SeriesNumValue]]</f>
        <v>4.2506464859589803</v>
      </c>
      <c r="F783" s="2" t="s">
        <v>1277</v>
      </c>
      <c r="G783" s="2" t="s">
        <v>786</v>
      </c>
      <c r="H783" s="2">
        <v>0.83318476299999999</v>
      </c>
      <c r="K783" s="4">
        <v>41309</v>
      </c>
      <c r="L783">
        <v>3.48</v>
      </c>
    </row>
    <row r="784" spans="1:12" x14ac:dyDescent="0.25">
      <c r="A784" s="2" t="s">
        <v>5</v>
      </c>
      <c r="B784" s="2" t="s">
        <v>787</v>
      </c>
      <c r="C784" s="2">
        <v>3.3942283451593398</v>
      </c>
      <c r="D784" s="2">
        <f>VLOOKUP(OneWeekMtgRatesDataTable8[[#This Row],[AsOfDate]],G:H,2,0)+OneWeekMtgRatesDataTable8[[#This Row],[SeriesNumValue]]</f>
        <v>4.2274131081593396</v>
      </c>
      <c r="F784" s="2" t="s">
        <v>1277</v>
      </c>
      <c r="G784" s="2" t="s">
        <v>787</v>
      </c>
      <c r="H784" s="2">
        <v>0.83318476299999999</v>
      </c>
      <c r="K784" s="4">
        <v>41310</v>
      </c>
      <c r="L784">
        <v>3.48</v>
      </c>
    </row>
    <row r="785" spans="1:12" x14ac:dyDescent="0.25">
      <c r="A785" s="2" t="s">
        <v>5</v>
      </c>
      <c r="B785" s="2" t="s">
        <v>788</v>
      </c>
      <c r="C785" s="2">
        <v>3.4724096295378999</v>
      </c>
      <c r="D785" s="2">
        <f>VLOOKUP(OneWeekMtgRatesDataTable8[[#This Row],[AsOfDate]],G:H,2,0)+OneWeekMtgRatesDataTable8[[#This Row],[SeriesNumValue]]</f>
        <v>4.2932044325379</v>
      </c>
      <c r="F785" s="2" t="s">
        <v>1277</v>
      </c>
      <c r="G785" s="2" t="s">
        <v>788</v>
      </c>
      <c r="H785" s="2">
        <v>0.82079480299999996</v>
      </c>
      <c r="K785" s="4">
        <v>41311</v>
      </c>
      <c r="L785">
        <v>3.48</v>
      </c>
    </row>
    <row r="786" spans="1:12" x14ac:dyDescent="0.25">
      <c r="A786" s="2" t="s">
        <v>5</v>
      </c>
      <c r="B786" s="2" t="s">
        <v>789</v>
      </c>
      <c r="C786" s="2">
        <v>3.4858096996422701</v>
      </c>
      <c r="D786" s="2">
        <f>VLOOKUP(OneWeekMtgRatesDataTable8[[#This Row],[AsOfDate]],G:H,2,0)+OneWeekMtgRatesDataTable8[[#This Row],[SeriesNumValue]]</f>
        <v>4.3066045026422701</v>
      </c>
      <c r="F786" s="2" t="s">
        <v>1277</v>
      </c>
      <c r="G786" s="2" t="s">
        <v>789</v>
      </c>
      <c r="H786" s="2">
        <v>0.82079480299999996</v>
      </c>
      <c r="K786" s="4">
        <v>41312</v>
      </c>
      <c r="L786">
        <v>3.48</v>
      </c>
    </row>
    <row r="787" spans="1:12" x14ac:dyDescent="0.25">
      <c r="A787" s="2" t="s">
        <v>5</v>
      </c>
      <c r="B787" s="2" t="s">
        <v>790</v>
      </c>
      <c r="C787" s="2">
        <v>3.4523536219729101</v>
      </c>
      <c r="D787" s="2">
        <f>VLOOKUP(OneWeekMtgRatesDataTable8[[#This Row],[AsOfDate]],G:H,2,0)+OneWeekMtgRatesDataTable8[[#This Row],[SeriesNumValue]]</f>
        <v>4.2731484249729101</v>
      </c>
      <c r="F787" s="2" t="s">
        <v>1277</v>
      </c>
      <c r="G787" s="2" t="s">
        <v>790</v>
      </c>
      <c r="H787" s="2">
        <v>0.82079480299999996</v>
      </c>
      <c r="K787" s="4">
        <v>41313</v>
      </c>
      <c r="L787">
        <v>3.48</v>
      </c>
    </row>
    <row r="788" spans="1:12" x14ac:dyDescent="0.25">
      <c r="A788" s="2" t="s">
        <v>5</v>
      </c>
      <c r="B788" s="2" t="s">
        <v>791</v>
      </c>
      <c r="C788" s="2">
        <v>3.45266754883475</v>
      </c>
      <c r="D788" s="2">
        <f>VLOOKUP(OneWeekMtgRatesDataTable8[[#This Row],[AsOfDate]],G:H,2,0)+OneWeekMtgRatesDataTable8[[#This Row],[SeriesNumValue]]</f>
        <v>4.2734623518347501</v>
      </c>
      <c r="F788" s="2" t="s">
        <v>1277</v>
      </c>
      <c r="G788" s="2" t="s">
        <v>791</v>
      </c>
      <c r="H788" s="2">
        <v>0.82079480299999996</v>
      </c>
      <c r="K788" s="4">
        <v>41316</v>
      </c>
      <c r="L788">
        <v>3.48</v>
      </c>
    </row>
    <row r="789" spans="1:12" x14ac:dyDescent="0.25">
      <c r="A789" s="2" t="s">
        <v>5</v>
      </c>
      <c r="B789" s="2" t="s">
        <v>792</v>
      </c>
      <c r="C789" s="2">
        <v>3.4519694257459901</v>
      </c>
      <c r="D789" s="2">
        <f>VLOOKUP(OneWeekMtgRatesDataTable8[[#This Row],[AsOfDate]],G:H,2,0)+OneWeekMtgRatesDataTable8[[#This Row],[SeriesNumValue]]</f>
        <v>4.2727642287459897</v>
      </c>
      <c r="F789" s="2" t="s">
        <v>1277</v>
      </c>
      <c r="G789" s="2" t="s">
        <v>792</v>
      </c>
      <c r="H789" s="2">
        <v>0.82079480299999996</v>
      </c>
      <c r="K789" s="4">
        <v>41317</v>
      </c>
      <c r="L789">
        <v>3.48</v>
      </c>
    </row>
    <row r="790" spans="1:12" x14ac:dyDescent="0.25">
      <c r="A790" s="2" t="s">
        <v>5</v>
      </c>
      <c r="B790" s="2" t="s">
        <v>793</v>
      </c>
      <c r="C790" s="2">
        <v>3.4217405544715098</v>
      </c>
      <c r="D790" s="2">
        <f>VLOOKUP(OneWeekMtgRatesDataTable8[[#This Row],[AsOfDate]],G:H,2,0)+OneWeekMtgRatesDataTable8[[#This Row],[SeriesNumValue]]</f>
        <v>4.2688323844715095</v>
      </c>
      <c r="F790" s="2" t="s">
        <v>1277</v>
      </c>
      <c r="G790" s="2" t="s">
        <v>793</v>
      </c>
      <c r="H790" s="2">
        <v>0.84709182999999999</v>
      </c>
      <c r="K790" s="4">
        <v>41318</v>
      </c>
      <c r="L790">
        <v>3.48</v>
      </c>
    </row>
    <row r="791" spans="1:12" x14ac:dyDescent="0.25">
      <c r="A791" s="2" t="s">
        <v>5</v>
      </c>
      <c r="B791" s="2" t="s">
        <v>794</v>
      </c>
      <c r="C791" s="2">
        <v>3.4052671978447102</v>
      </c>
      <c r="D791" s="2">
        <f>VLOOKUP(OneWeekMtgRatesDataTable8[[#This Row],[AsOfDate]],G:H,2,0)+OneWeekMtgRatesDataTable8[[#This Row],[SeriesNumValue]]</f>
        <v>4.2523590278447099</v>
      </c>
      <c r="F791" s="2" t="s">
        <v>1277</v>
      </c>
      <c r="G791" s="2" t="s">
        <v>794</v>
      </c>
      <c r="H791" s="2">
        <v>0.84709182999999999</v>
      </c>
      <c r="K791" s="4">
        <v>41319</v>
      </c>
      <c r="L791">
        <v>3.51</v>
      </c>
    </row>
    <row r="792" spans="1:12" x14ac:dyDescent="0.25">
      <c r="A792" s="2" t="s">
        <v>5</v>
      </c>
      <c r="B792" s="2" t="s">
        <v>795</v>
      </c>
      <c r="C792" s="2">
        <v>3.4306094277170498</v>
      </c>
      <c r="D792" s="2">
        <f>VLOOKUP(OneWeekMtgRatesDataTable8[[#This Row],[AsOfDate]],G:H,2,0)+OneWeekMtgRatesDataTable8[[#This Row],[SeriesNumValue]]</f>
        <v>4.2777012577170499</v>
      </c>
      <c r="F792" s="2" t="s">
        <v>1277</v>
      </c>
      <c r="G792" s="2" t="s">
        <v>795</v>
      </c>
      <c r="H792" s="2">
        <v>0.84709182999999999</v>
      </c>
      <c r="K792" s="4">
        <v>41320</v>
      </c>
      <c r="L792">
        <v>3.51</v>
      </c>
    </row>
    <row r="793" spans="1:12" x14ac:dyDescent="0.25">
      <c r="A793" s="2" t="s">
        <v>5</v>
      </c>
      <c r="B793" s="2" t="s">
        <v>796</v>
      </c>
      <c r="C793" s="2">
        <v>3.44685935064701</v>
      </c>
      <c r="D793" s="2">
        <f>VLOOKUP(OneWeekMtgRatesDataTable8[[#This Row],[AsOfDate]],G:H,2,0)+OneWeekMtgRatesDataTable8[[#This Row],[SeriesNumValue]]</f>
        <v>4.2939511806470101</v>
      </c>
      <c r="F793" s="2" t="s">
        <v>1277</v>
      </c>
      <c r="G793" s="2" t="s">
        <v>796</v>
      </c>
      <c r="H793" s="2">
        <v>0.84709182999999999</v>
      </c>
      <c r="K793" s="4">
        <v>41324</v>
      </c>
      <c r="L793">
        <v>3.51</v>
      </c>
    </row>
    <row r="794" spans="1:12" x14ac:dyDescent="0.25">
      <c r="A794" s="2" t="s">
        <v>5</v>
      </c>
      <c r="B794" s="2" t="s">
        <v>797</v>
      </c>
      <c r="C794" s="2">
        <v>3.4727016332033198</v>
      </c>
      <c r="D794" s="2">
        <f>VLOOKUP(OneWeekMtgRatesDataTable8[[#This Row],[AsOfDate]],G:H,2,0)+OneWeekMtgRatesDataTable8[[#This Row],[SeriesNumValue]]</f>
        <v>4.3197934632033199</v>
      </c>
      <c r="F794" s="2" t="s">
        <v>1277</v>
      </c>
      <c r="G794" s="2" t="s">
        <v>797</v>
      </c>
      <c r="H794" s="2">
        <v>0.84709182999999999</v>
      </c>
      <c r="K794" s="4">
        <v>41325</v>
      </c>
      <c r="L794">
        <v>3.51</v>
      </c>
    </row>
    <row r="795" spans="1:12" x14ac:dyDescent="0.25">
      <c r="A795" s="2" t="s">
        <v>5</v>
      </c>
      <c r="B795" s="2" t="s">
        <v>798</v>
      </c>
      <c r="C795" s="2">
        <v>3.5066269417846301</v>
      </c>
      <c r="D795" s="2">
        <f>VLOOKUP(OneWeekMtgRatesDataTable8[[#This Row],[AsOfDate]],G:H,2,0)+OneWeekMtgRatesDataTable8[[#This Row],[SeriesNumValue]]</f>
        <v>4.38921403178463</v>
      </c>
      <c r="F795" s="2" t="s">
        <v>1277</v>
      </c>
      <c r="G795" s="2" t="s">
        <v>798</v>
      </c>
      <c r="H795" s="2">
        <v>0.88258709000000002</v>
      </c>
      <c r="K795" s="4">
        <v>41326</v>
      </c>
      <c r="L795">
        <v>3.46</v>
      </c>
    </row>
    <row r="796" spans="1:12" x14ac:dyDescent="0.25">
      <c r="A796" s="2" t="s">
        <v>5</v>
      </c>
      <c r="B796" s="2" t="s">
        <v>799</v>
      </c>
      <c r="C796" s="2">
        <v>3.4840318134841599</v>
      </c>
      <c r="D796" s="2">
        <f>VLOOKUP(OneWeekMtgRatesDataTable8[[#This Row],[AsOfDate]],G:H,2,0)+OneWeekMtgRatesDataTable8[[#This Row],[SeriesNumValue]]</f>
        <v>4.3666189034841603</v>
      </c>
      <c r="F796" s="2" t="s">
        <v>1277</v>
      </c>
      <c r="G796" s="2" t="s">
        <v>799</v>
      </c>
      <c r="H796" s="2">
        <v>0.88258709000000002</v>
      </c>
      <c r="K796" s="4">
        <v>41327</v>
      </c>
      <c r="L796">
        <v>3.46</v>
      </c>
    </row>
    <row r="797" spans="1:12" x14ac:dyDescent="0.25">
      <c r="A797" s="2" t="s">
        <v>5</v>
      </c>
      <c r="B797" s="2" t="s">
        <v>800</v>
      </c>
      <c r="C797" s="2">
        <v>3.4295560527023699</v>
      </c>
      <c r="D797" s="2">
        <f>VLOOKUP(OneWeekMtgRatesDataTable8[[#This Row],[AsOfDate]],G:H,2,0)+OneWeekMtgRatesDataTable8[[#This Row],[SeriesNumValue]]</f>
        <v>4.3121431427023698</v>
      </c>
      <c r="F797" s="2" t="s">
        <v>1277</v>
      </c>
      <c r="G797" s="2" t="s">
        <v>800</v>
      </c>
      <c r="H797" s="2">
        <v>0.88258709000000002</v>
      </c>
      <c r="K797" s="4">
        <v>41330</v>
      </c>
      <c r="L797">
        <v>3.46</v>
      </c>
    </row>
    <row r="798" spans="1:12" x14ac:dyDescent="0.25">
      <c r="A798" s="2" t="s">
        <v>5</v>
      </c>
      <c r="B798" s="2" t="s">
        <v>801</v>
      </c>
      <c r="C798" s="2">
        <v>3.39509627944707</v>
      </c>
      <c r="D798" s="2">
        <f>VLOOKUP(OneWeekMtgRatesDataTable8[[#This Row],[AsOfDate]],G:H,2,0)+OneWeekMtgRatesDataTable8[[#This Row],[SeriesNumValue]]</f>
        <v>4.2776833694470699</v>
      </c>
      <c r="F798" s="2" t="s">
        <v>1277</v>
      </c>
      <c r="G798" s="2" t="s">
        <v>801</v>
      </c>
      <c r="H798" s="2">
        <v>0.88258709000000002</v>
      </c>
      <c r="K798" s="4">
        <v>41331</v>
      </c>
      <c r="L798">
        <v>3.46</v>
      </c>
    </row>
    <row r="799" spans="1:12" x14ac:dyDescent="0.25">
      <c r="A799" s="2" t="s">
        <v>5</v>
      </c>
      <c r="B799" s="2" t="s">
        <v>802</v>
      </c>
      <c r="C799" s="2">
        <v>3.3731827621311399</v>
      </c>
      <c r="D799" s="2">
        <f>VLOOKUP(OneWeekMtgRatesDataTable8[[#This Row],[AsOfDate]],G:H,2,0)+OneWeekMtgRatesDataTable8[[#This Row],[SeriesNumValue]]</f>
        <v>4.2557698521311398</v>
      </c>
      <c r="F799" s="2" t="s">
        <v>1277</v>
      </c>
      <c r="G799" s="2" t="s">
        <v>802</v>
      </c>
      <c r="H799" s="2">
        <v>0.88258709000000002</v>
      </c>
      <c r="K799" s="4">
        <v>41332</v>
      </c>
      <c r="L799">
        <v>3.46</v>
      </c>
    </row>
    <row r="800" spans="1:12" x14ac:dyDescent="0.25">
      <c r="A800" s="2" t="s">
        <v>5</v>
      </c>
      <c r="B800" s="2" t="s">
        <v>803</v>
      </c>
      <c r="C800" s="2">
        <v>3.3750941774744798</v>
      </c>
      <c r="D800" s="2">
        <f>VLOOKUP(OneWeekMtgRatesDataTable8[[#This Row],[AsOfDate]],G:H,2,0)+OneWeekMtgRatesDataTable8[[#This Row],[SeriesNumValue]]</f>
        <v>4.2287019604744795</v>
      </c>
      <c r="F800" s="2" t="s">
        <v>1277</v>
      </c>
      <c r="G800" s="2" t="s">
        <v>803</v>
      </c>
      <c r="H800" s="2">
        <v>0.85360778299999995</v>
      </c>
      <c r="K800" s="4">
        <v>41333</v>
      </c>
      <c r="L800">
        <v>3.4449999999999998</v>
      </c>
    </row>
    <row r="801" spans="1:12" x14ac:dyDescent="0.25">
      <c r="A801" s="2" t="s">
        <v>5</v>
      </c>
      <c r="B801" s="2" t="s">
        <v>804</v>
      </c>
      <c r="C801" s="2">
        <v>3.3155243251593798</v>
      </c>
      <c r="D801" s="2">
        <f>VLOOKUP(OneWeekMtgRatesDataTable8[[#This Row],[AsOfDate]],G:H,2,0)+OneWeekMtgRatesDataTable8[[#This Row],[SeriesNumValue]]</f>
        <v>4.1691321081593795</v>
      </c>
      <c r="F801" s="2" t="s">
        <v>1277</v>
      </c>
      <c r="G801" s="2" t="s">
        <v>804</v>
      </c>
      <c r="H801" s="2">
        <v>0.85360778299999995</v>
      </c>
      <c r="K801" s="4">
        <v>41334</v>
      </c>
      <c r="L801">
        <v>3.4449999999999998</v>
      </c>
    </row>
    <row r="802" spans="1:12" x14ac:dyDescent="0.25">
      <c r="A802" s="2" t="s">
        <v>5</v>
      </c>
      <c r="B802" s="2" t="s">
        <v>805</v>
      </c>
      <c r="C802" s="2">
        <v>3.31617276522991</v>
      </c>
      <c r="D802" s="2">
        <f>VLOOKUP(OneWeekMtgRatesDataTable8[[#This Row],[AsOfDate]],G:H,2,0)+OneWeekMtgRatesDataTable8[[#This Row],[SeriesNumValue]]</f>
        <v>4.1697805482299097</v>
      </c>
      <c r="F802" s="2" t="s">
        <v>1277</v>
      </c>
      <c r="G802" s="2" t="s">
        <v>805</v>
      </c>
      <c r="H802" s="2">
        <v>0.85360778299999995</v>
      </c>
      <c r="K802" s="4">
        <v>41337</v>
      </c>
      <c r="L802">
        <v>3.4449999999999998</v>
      </c>
    </row>
    <row r="803" spans="1:12" x14ac:dyDescent="0.25">
      <c r="A803" s="2" t="s">
        <v>5</v>
      </c>
      <c r="B803" s="2" t="s">
        <v>806</v>
      </c>
      <c r="C803" s="2">
        <v>3.3408272423510099</v>
      </c>
      <c r="D803" s="2">
        <f>VLOOKUP(OneWeekMtgRatesDataTable8[[#This Row],[AsOfDate]],G:H,2,0)+OneWeekMtgRatesDataTable8[[#This Row],[SeriesNumValue]]</f>
        <v>4.1944350253510096</v>
      </c>
      <c r="F803" s="2" t="s">
        <v>1277</v>
      </c>
      <c r="G803" s="2" t="s">
        <v>806</v>
      </c>
      <c r="H803" s="2">
        <v>0.85360778299999995</v>
      </c>
      <c r="K803" s="4">
        <v>41338</v>
      </c>
      <c r="L803">
        <v>3.4449999999999998</v>
      </c>
    </row>
    <row r="804" spans="1:12" x14ac:dyDescent="0.25">
      <c r="A804" s="2" t="s">
        <v>5</v>
      </c>
      <c r="B804" s="2" t="s">
        <v>807</v>
      </c>
      <c r="C804" s="2">
        <v>3.33793129587505</v>
      </c>
      <c r="D804" s="2">
        <f>VLOOKUP(OneWeekMtgRatesDataTable8[[#This Row],[AsOfDate]],G:H,2,0)+OneWeekMtgRatesDataTable8[[#This Row],[SeriesNumValue]]</f>
        <v>4.1915390788750502</v>
      </c>
      <c r="F804" s="2" t="s">
        <v>1277</v>
      </c>
      <c r="G804" s="2" t="s">
        <v>807</v>
      </c>
      <c r="H804" s="2">
        <v>0.85360778299999995</v>
      </c>
      <c r="K804" s="4">
        <v>41339</v>
      </c>
      <c r="L804">
        <v>3.4449999999999998</v>
      </c>
    </row>
    <row r="805" spans="1:12" x14ac:dyDescent="0.25">
      <c r="A805" s="2" t="s">
        <v>5</v>
      </c>
      <c r="B805" s="2" t="s">
        <v>808</v>
      </c>
      <c r="C805" s="2">
        <v>3.35080102179215</v>
      </c>
      <c r="D805" s="2">
        <f>VLOOKUP(OneWeekMtgRatesDataTable8[[#This Row],[AsOfDate]],G:H,2,0)+OneWeekMtgRatesDataTable8[[#This Row],[SeriesNumValue]]</f>
        <v>4.2135496917921502</v>
      </c>
      <c r="F805" s="2" t="s">
        <v>1277</v>
      </c>
      <c r="G805" s="2" t="s">
        <v>808</v>
      </c>
      <c r="H805" s="2">
        <v>0.86274867</v>
      </c>
      <c r="K805" s="4">
        <v>41340</v>
      </c>
      <c r="L805">
        <v>3.58</v>
      </c>
    </row>
    <row r="806" spans="1:12" x14ac:dyDescent="0.25">
      <c r="A806" s="2" t="s">
        <v>5</v>
      </c>
      <c r="B806" s="2" t="s">
        <v>809</v>
      </c>
      <c r="C806" s="2">
        <v>3.40802093158428</v>
      </c>
      <c r="D806" s="2">
        <f>VLOOKUP(OneWeekMtgRatesDataTable8[[#This Row],[AsOfDate]],G:H,2,0)+OneWeekMtgRatesDataTable8[[#This Row],[SeriesNumValue]]</f>
        <v>4.2707696015842798</v>
      </c>
      <c r="F806" s="2" t="s">
        <v>1277</v>
      </c>
      <c r="G806" s="2" t="s">
        <v>809</v>
      </c>
      <c r="H806" s="2">
        <v>0.86274867</v>
      </c>
      <c r="K806" s="4">
        <v>41341</v>
      </c>
      <c r="L806">
        <v>3.58</v>
      </c>
    </row>
    <row r="807" spans="1:12" x14ac:dyDescent="0.25">
      <c r="A807" s="2" t="s">
        <v>5</v>
      </c>
      <c r="B807" s="2" t="s">
        <v>810</v>
      </c>
      <c r="C807" s="2">
        <v>3.4214944697037502</v>
      </c>
      <c r="D807" s="2">
        <f>VLOOKUP(OneWeekMtgRatesDataTable8[[#This Row],[AsOfDate]],G:H,2,0)+OneWeekMtgRatesDataTable8[[#This Row],[SeriesNumValue]]</f>
        <v>4.2842431397037499</v>
      </c>
      <c r="F807" s="2" t="s">
        <v>1277</v>
      </c>
      <c r="G807" s="2" t="s">
        <v>810</v>
      </c>
      <c r="H807" s="2">
        <v>0.86274867</v>
      </c>
      <c r="K807" s="4">
        <v>41344</v>
      </c>
      <c r="L807">
        <v>3.58</v>
      </c>
    </row>
    <row r="808" spans="1:12" x14ac:dyDescent="0.25">
      <c r="A808" s="2" t="s">
        <v>5</v>
      </c>
      <c r="B808" s="2" t="s">
        <v>811</v>
      </c>
      <c r="C808" s="2">
        <v>3.41581155049382</v>
      </c>
      <c r="D808" s="2">
        <f>VLOOKUP(OneWeekMtgRatesDataTable8[[#This Row],[AsOfDate]],G:H,2,0)+OneWeekMtgRatesDataTable8[[#This Row],[SeriesNumValue]]</f>
        <v>4.2785602204938202</v>
      </c>
      <c r="F808" s="2" t="s">
        <v>1277</v>
      </c>
      <c r="G808" s="2" t="s">
        <v>811</v>
      </c>
      <c r="H808" s="2">
        <v>0.86274867</v>
      </c>
      <c r="K808" s="4">
        <v>41345</v>
      </c>
      <c r="L808">
        <v>3.58</v>
      </c>
    </row>
    <row r="809" spans="1:12" x14ac:dyDescent="0.25">
      <c r="A809" s="2" t="s">
        <v>5</v>
      </c>
      <c r="B809" s="2" t="s">
        <v>812</v>
      </c>
      <c r="C809" s="2">
        <v>3.3712594555921802</v>
      </c>
      <c r="D809" s="2">
        <f>VLOOKUP(OneWeekMtgRatesDataTable8[[#This Row],[AsOfDate]],G:H,2,0)+OneWeekMtgRatesDataTable8[[#This Row],[SeriesNumValue]]</f>
        <v>4.1971128535921807</v>
      </c>
      <c r="F809" s="2" t="s">
        <v>1277</v>
      </c>
      <c r="G809" s="2" t="s">
        <v>812</v>
      </c>
      <c r="H809" s="2">
        <v>0.82585339800000002</v>
      </c>
      <c r="K809" s="4">
        <v>41346</v>
      </c>
      <c r="L809">
        <v>3.58</v>
      </c>
    </row>
    <row r="810" spans="1:12" x14ac:dyDescent="0.25">
      <c r="A810" s="2" t="s">
        <v>5</v>
      </c>
      <c r="B810" s="2" t="s">
        <v>813</v>
      </c>
      <c r="C810" s="2">
        <v>3.3653149178353798</v>
      </c>
      <c r="D810" s="2">
        <f>VLOOKUP(OneWeekMtgRatesDataTable8[[#This Row],[AsOfDate]],G:H,2,0)+OneWeekMtgRatesDataTable8[[#This Row],[SeriesNumValue]]</f>
        <v>4.1911683158353803</v>
      </c>
      <c r="F810" s="2" t="s">
        <v>1277</v>
      </c>
      <c r="G810" s="2" t="s">
        <v>813</v>
      </c>
      <c r="H810" s="2">
        <v>0.82585339800000002</v>
      </c>
      <c r="K810" s="4">
        <v>41347</v>
      </c>
      <c r="L810">
        <v>3.49</v>
      </c>
    </row>
    <row r="811" spans="1:12" x14ac:dyDescent="0.25">
      <c r="A811" s="2" t="s">
        <v>5</v>
      </c>
      <c r="B811" s="2" t="s">
        <v>814</v>
      </c>
      <c r="C811" s="2">
        <v>3.34407232938596</v>
      </c>
      <c r="D811" s="2">
        <f>VLOOKUP(OneWeekMtgRatesDataTable8[[#This Row],[AsOfDate]],G:H,2,0)+OneWeekMtgRatesDataTable8[[#This Row],[SeriesNumValue]]</f>
        <v>4.1699257273859605</v>
      </c>
      <c r="F811" s="2" t="s">
        <v>1277</v>
      </c>
      <c r="G811" s="2" t="s">
        <v>814</v>
      </c>
      <c r="H811" s="2">
        <v>0.82585339800000002</v>
      </c>
      <c r="K811" s="4">
        <v>41348</v>
      </c>
      <c r="L811">
        <v>3.49</v>
      </c>
    </row>
    <row r="812" spans="1:12" x14ac:dyDescent="0.25">
      <c r="A812" s="2" t="s">
        <v>5</v>
      </c>
      <c r="B812" s="2" t="s">
        <v>815</v>
      </c>
      <c r="C812" s="2">
        <v>3.3514611406408399</v>
      </c>
      <c r="D812" s="2">
        <f>VLOOKUP(OneWeekMtgRatesDataTable8[[#This Row],[AsOfDate]],G:H,2,0)+OneWeekMtgRatesDataTable8[[#This Row],[SeriesNumValue]]</f>
        <v>4.1773145386408395</v>
      </c>
      <c r="F812" s="2" t="s">
        <v>1277</v>
      </c>
      <c r="G812" s="2" t="s">
        <v>815</v>
      </c>
      <c r="H812" s="2">
        <v>0.82585339800000002</v>
      </c>
      <c r="K812" s="4">
        <v>41351</v>
      </c>
      <c r="L812">
        <v>3.49</v>
      </c>
    </row>
    <row r="813" spans="1:12" x14ac:dyDescent="0.25">
      <c r="A813" s="2" t="s">
        <v>5</v>
      </c>
      <c r="B813" s="2" t="s">
        <v>816</v>
      </c>
      <c r="C813" s="2">
        <v>3.3733743387763999</v>
      </c>
      <c r="D813" s="2">
        <f>VLOOKUP(OneWeekMtgRatesDataTable8[[#This Row],[AsOfDate]],G:H,2,0)+OneWeekMtgRatesDataTable8[[#This Row],[SeriesNumValue]]</f>
        <v>4.1992277367764004</v>
      </c>
      <c r="F813" s="2" t="s">
        <v>1277</v>
      </c>
      <c r="G813" s="2" t="s">
        <v>816</v>
      </c>
      <c r="H813" s="2">
        <v>0.82585339800000002</v>
      </c>
      <c r="K813" s="4">
        <v>41352</v>
      </c>
      <c r="L813">
        <v>3.49</v>
      </c>
    </row>
    <row r="814" spans="1:12" x14ac:dyDescent="0.25">
      <c r="A814" s="2" t="s">
        <v>5</v>
      </c>
      <c r="B814" s="2" t="s">
        <v>817</v>
      </c>
      <c r="C814" s="2">
        <v>3.3274269650204</v>
      </c>
      <c r="D814" s="2">
        <f>VLOOKUP(OneWeekMtgRatesDataTable8[[#This Row],[AsOfDate]],G:H,2,0)+OneWeekMtgRatesDataTable8[[#This Row],[SeriesNumValue]]</f>
        <v>4.1900970270203999</v>
      </c>
      <c r="F814" s="2" t="s">
        <v>1277</v>
      </c>
      <c r="G814" s="2" t="s">
        <v>817</v>
      </c>
      <c r="H814" s="2">
        <v>0.86267006199999996</v>
      </c>
      <c r="K814" s="4">
        <v>41353</v>
      </c>
      <c r="L814">
        <v>3.49</v>
      </c>
    </row>
    <row r="815" spans="1:12" x14ac:dyDescent="0.25">
      <c r="A815" s="2" t="s">
        <v>5</v>
      </c>
      <c r="B815" s="2" t="s">
        <v>818</v>
      </c>
      <c r="C815" s="2">
        <v>3.2875255326595201</v>
      </c>
      <c r="D815" s="2">
        <f>VLOOKUP(OneWeekMtgRatesDataTable8[[#This Row],[AsOfDate]],G:H,2,0)+OneWeekMtgRatesDataTable8[[#This Row],[SeriesNumValue]]</f>
        <v>4.1501955946595199</v>
      </c>
      <c r="F815" s="2" t="s">
        <v>1277</v>
      </c>
      <c r="G815" s="2" t="s">
        <v>818</v>
      </c>
      <c r="H815" s="2">
        <v>0.86267006199999996</v>
      </c>
      <c r="K815" s="4">
        <v>41354</v>
      </c>
      <c r="L815">
        <v>3.52</v>
      </c>
    </row>
    <row r="816" spans="1:12" x14ac:dyDescent="0.25">
      <c r="A816" s="2" t="s">
        <v>5</v>
      </c>
      <c r="B816" s="2" t="s">
        <v>819</v>
      </c>
      <c r="C816" s="2">
        <v>3.27582122809376</v>
      </c>
      <c r="D816" s="2">
        <f>VLOOKUP(OneWeekMtgRatesDataTable8[[#This Row],[AsOfDate]],G:H,2,0)+OneWeekMtgRatesDataTable8[[#This Row],[SeriesNumValue]]</f>
        <v>4.1384912900937598</v>
      </c>
      <c r="F816" s="2" t="s">
        <v>1277</v>
      </c>
      <c r="G816" s="2" t="s">
        <v>819</v>
      </c>
      <c r="H816" s="2">
        <v>0.86267006199999996</v>
      </c>
      <c r="K816" s="4">
        <v>41355</v>
      </c>
      <c r="L816">
        <v>3.52</v>
      </c>
    </row>
    <row r="817" spans="1:12" x14ac:dyDescent="0.25">
      <c r="A817" s="2" t="s">
        <v>5</v>
      </c>
      <c r="B817" s="2" t="s">
        <v>820</v>
      </c>
      <c r="C817" s="2">
        <v>3.28849941945206</v>
      </c>
      <c r="D817" s="2">
        <f>VLOOKUP(OneWeekMtgRatesDataTable8[[#This Row],[AsOfDate]],G:H,2,0)+OneWeekMtgRatesDataTable8[[#This Row],[SeriesNumValue]]</f>
        <v>4.1511694814520599</v>
      </c>
      <c r="F817" s="2" t="s">
        <v>1277</v>
      </c>
      <c r="G817" s="2" t="s">
        <v>820</v>
      </c>
      <c r="H817" s="2">
        <v>0.86267006199999996</v>
      </c>
      <c r="K817" s="4">
        <v>41358</v>
      </c>
      <c r="L817">
        <v>3.52</v>
      </c>
    </row>
    <row r="818" spans="1:12" x14ac:dyDescent="0.25">
      <c r="A818" s="2" t="s">
        <v>5</v>
      </c>
      <c r="B818" s="2" t="s">
        <v>821</v>
      </c>
      <c r="C818" s="2">
        <v>3.2676928756403698</v>
      </c>
      <c r="D818" s="2">
        <f>VLOOKUP(OneWeekMtgRatesDataTable8[[#This Row],[AsOfDate]],G:H,2,0)+OneWeekMtgRatesDataTable8[[#This Row],[SeriesNumValue]]</f>
        <v>4.1303629376403697</v>
      </c>
      <c r="F818" s="2" t="s">
        <v>1277</v>
      </c>
      <c r="G818" s="2" t="s">
        <v>821</v>
      </c>
      <c r="H818" s="2">
        <v>0.86267006199999996</v>
      </c>
      <c r="K818" s="4">
        <v>41359</v>
      </c>
      <c r="L818">
        <v>3.52</v>
      </c>
    </row>
    <row r="819" spans="1:12" x14ac:dyDescent="0.25">
      <c r="A819" s="2" t="s">
        <v>5</v>
      </c>
      <c r="B819" s="2" t="s">
        <v>822</v>
      </c>
      <c r="C819" s="2">
        <v>3.2365593112173601</v>
      </c>
      <c r="D819" s="2">
        <f>VLOOKUP(OneWeekMtgRatesDataTable8[[#This Row],[AsOfDate]],G:H,2,0)+OneWeekMtgRatesDataTable8[[#This Row],[SeriesNumValue]]</f>
        <v>4.0753396382173603</v>
      </c>
      <c r="F819" s="2" t="s">
        <v>1277</v>
      </c>
      <c r="G819" s="2" t="s">
        <v>822</v>
      </c>
      <c r="H819" s="2">
        <v>0.83878032700000005</v>
      </c>
      <c r="K819" s="4">
        <v>41360</v>
      </c>
      <c r="L819">
        <v>3.52</v>
      </c>
    </row>
    <row r="820" spans="1:12" x14ac:dyDescent="0.25">
      <c r="A820" s="2" t="s">
        <v>5</v>
      </c>
      <c r="B820" s="2" t="s">
        <v>823</v>
      </c>
      <c r="C820" s="2">
        <v>3.2302009300383201</v>
      </c>
      <c r="D820" s="2">
        <f>VLOOKUP(OneWeekMtgRatesDataTable8[[#This Row],[AsOfDate]],G:H,2,0)+OneWeekMtgRatesDataTable8[[#This Row],[SeriesNumValue]]</f>
        <v>4.0689812570383204</v>
      </c>
      <c r="F820" s="2" t="s">
        <v>1277</v>
      </c>
      <c r="G820" s="2" t="s">
        <v>823</v>
      </c>
      <c r="H820" s="2">
        <v>0.83878032700000005</v>
      </c>
      <c r="K820" s="4">
        <v>41361</v>
      </c>
      <c r="L820">
        <v>3.49</v>
      </c>
    </row>
    <row r="821" spans="1:12" x14ac:dyDescent="0.25">
      <c r="A821" s="2" t="s">
        <v>5</v>
      </c>
      <c r="B821" s="2" t="s">
        <v>824</v>
      </c>
      <c r="C821" s="2">
        <v>3.26793441628852</v>
      </c>
      <c r="D821" s="2">
        <f>VLOOKUP(OneWeekMtgRatesDataTable8[[#This Row],[AsOfDate]],G:H,2,0)+OneWeekMtgRatesDataTable8[[#This Row],[SeriesNumValue]]</f>
        <v>4.1067147432885198</v>
      </c>
      <c r="F821" s="2" t="s">
        <v>1277</v>
      </c>
      <c r="G821" s="2" t="s">
        <v>824</v>
      </c>
      <c r="H821" s="2">
        <v>0.83878032700000005</v>
      </c>
      <c r="K821" s="4">
        <v>41365</v>
      </c>
      <c r="L821">
        <v>3.49</v>
      </c>
    </row>
    <row r="822" spans="1:12" x14ac:dyDescent="0.25">
      <c r="A822" s="2" t="s">
        <v>5</v>
      </c>
      <c r="B822" s="2" t="s">
        <v>825</v>
      </c>
      <c r="C822" s="2">
        <v>3.2957313796738501</v>
      </c>
      <c r="D822" s="2">
        <f>VLOOKUP(OneWeekMtgRatesDataTable8[[#This Row],[AsOfDate]],G:H,2,0)+OneWeekMtgRatesDataTable8[[#This Row],[SeriesNumValue]]</f>
        <v>4.1345117066738499</v>
      </c>
      <c r="F822" s="2" t="s">
        <v>1277</v>
      </c>
      <c r="G822" s="2" t="s">
        <v>825</v>
      </c>
      <c r="H822" s="2">
        <v>0.83878032700000005</v>
      </c>
      <c r="K822" s="4">
        <v>41366</v>
      </c>
      <c r="L822">
        <v>3.49</v>
      </c>
    </row>
    <row r="823" spans="1:12" x14ac:dyDescent="0.25">
      <c r="A823" s="2" t="s">
        <v>5</v>
      </c>
      <c r="B823" s="2" t="s">
        <v>826</v>
      </c>
      <c r="C823" s="2">
        <v>3.2728026621506001</v>
      </c>
      <c r="D823" s="2">
        <f>VLOOKUP(OneWeekMtgRatesDataTable8[[#This Row],[AsOfDate]],G:H,2,0)+OneWeekMtgRatesDataTable8[[#This Row],[SeriesNumValue]]</f>
        <v>4.1115829891505999</v>
      </c>
      <c r="F823" s="2" t="s">
        <v>1277</v>
      </c>
      <c r="G823" s="2" t="s">
        <v>826</v>
      </c>
      <c r="H823" s="2">
        <v>0.83878032700000005</v>
      </c>
      <c r="K823" s="4">
        <v>41367</v>
      </c>
      <c r="L823">
        <v>3.49</v>
      </c>
    </row>
    <row r="824" spans="1:12" x14ac:dyDescent="0.25">
      <c r="A824" s="2" t="s">
        <v>5</v>
      </c>
      <c r="B824" s="2" t="s">
        <v>827</v>
      </c>
      <c r="C824" s="2">
        <v>3.1970892272743101</v>
      </c>
      <c r="D824" s="2">
        <f>VLOOKUP(OneWeekMtgRatesDataTable8[[#This Row],[AsOfDate]],G:H,2,0)+OneWeekMtgRatesDataTable8[[#This Row],[SeriesNumValue]]</f>
        <v>4.0443375042743099</v>
      </c>
      <c r="F824" s="2" t="s">
        <v>1277</v>
      </c>
      <c r="G824" s="2" t="s">
        <v>827</v>
      </c>
      <c r="H824" s="2">
        <v>0.84724827700000005</v>
      </c>
      <c r="K824" s="4">
        <v>41368</v>
      </c>
      <c r="L824">
        <v>3.38</v>
      </c>
    </row>
    <row r="825" spans="1:12" x14ac:dyDescent="0.25">
      <c r="A825" s="2" t="s">
        <v>5</v>
      </c>
      <c r="B825" s="2" t="s">
        <v>828</v>
      </c>
      <c r="C825" s="2">
        <v>3.1795097734540301</v>
      </c>
      <c r="D825" s="2">
        <f>VLOOKUP(OneWeekMtgRatesDataTable8[[#This Row],[AsOfDate]],G:H,2,0)+OneWeekMtgRatesDataTable8[[#This Row],[SeriesNumValue]]</f>
        <v>4.0267580504540303</v>
      </c>
      <c r="F825" s="2" t="s">
        <v>1277</v>
      </c>
      <c r="G825" s="2" t="s">
        <v>828</v>
      </c>
      <c r="H825" s="2">
        <v>0.84724827700000005</v>
      </c>
      <c r="K825" s="4">
        <v>41369</v>
      </c>
      <c r="L825">
        <v>3.38</v>
      </c>
    </row>
    <row r="826" spans="1:12" x14ac:dyDescent="0.25">
      <c r="A826" s="2" t="s">
        <v>5</v>
      </c>
      <c r="B826" s="2" t="s">
        <v>829</v>
      </c>
      <c r="C826" s="2">
        <v>3.2071722937792901</v>
      </c>
      <c r="D826" s="2">
        <f>VLOOKUP(OneWeekMtgRatesDataTable8[[#This Row],[AsOfDate]],G:H,2,0)+OneWeekMtgRatesDataTable8[[#This Row],[SeriesNumValue]]</f>
        <v>4.05442057077929</v>
      </c>
      <c r="F826" s="2" t="s">
        <v>1277</v>
      </c>
      <c r="G826" s="2" t="s">
        <v>829</v>
      </c>
      <c r="H826" s="2">
        <v>0.84724827700000005</v>
      </c>
      <c r="K826" s="4">
        <v>41372</v>
      </c>
      <c r="L826">
        <v>3.38</v>
      </c>
    </row>
    <row r="827" spans="1:12" x14ac:dyDescent="0.25">
      <c r="A827" s="2" t="s">
        <v>5</v>
      </c>
      <c r="B827" s="2" t="s">
        <v>830</v>
      </c>
      <c r="C827" s="2">
        <v>3.2249711814966302</v>
      </c>
      <c r="D827" s="2">
        <f>VLOOKUP(OneWeekMtgRatesDataTable8[[#This Row],[AsOfDate]],G:H,2,0)+OneWeekMtgRatesDataTable8[[#This Row],[SeriesNumValue]]</f>
        <v>4.0722194584966305</v>
      </c>
      <c r="F827" s="2" t="s">
        <v>1277</v>
      </c>
      <c r="G827" s="2" t="s">
        <v>830</v>
      </c>
      <c r="H827" s="2">
        <v>0.84724827700000005</v>
      </c>
      <c r="K827" s="4">
        <v>41373</v>
      </c>
      <c r="L827">
        <v>3.38</v>
      </c>
    </row>
    <row r="828" spans="1:12" x14ac:dyDescent="0.25">
      <c r="A828" s="2" t="s">
        <v>5</v>
      </c>
      <c r="B828" s="2" t="s">
        <v>831</v>
      </c>
      <c r="C828" s="2">
        <v>3.1906249352690699</v>
      </c>
      <c r="D828" s="2">
        <f>VLOOKUP(OneWeekMtgRatesDataTable8[[#This Row],[AsOfDate]],G:H,2,0)+OneWeekMtgRatesDataTable8[[#This Row],[SeriesNumValue]]</f>
        <v>4.0378732122690701</v>
      </c>
      <c r="F828" s="2" t="s">
        <v>1277</v>
      </c>
      <c r="G828" s="2" t="s">
        <v>831</v>
      </c>
      <c r="H828" s="2">
        <v>0.84724827700000005</v>
      </c>
      <c r="K828" s="4">
        <v>41374</v>
      </c>
      <c r="L828">
        <v>3.38</v>
      </c>
    </row>
    <row r="829" spans="1:12" x14ac:dyDescent="0.25">
      <c r="A829" s="2" t="s">
        <v>5</v>
      </c>
      <c r="B829" s="2" t="s">
        <v>832</v>
      </c>
      <c r="C829" s="2">
        <v>3.2003729321605299</v>
      </c>
      <c r="D829" s="2">
        <f>VLOOKUP(OneWeekMtgRatesDataTable8[[#This Row],[AsOfDate]],G:H,2,0)+OneWeekMtgRatesDataTable8[[#This Row],[SeriesNumValue]]</f>
        <v>4.0398427091605296</v>
      </c>
      <c r="F829" s="2" t="s">
        <v>1277</v>
      </c>
      <c r="G829" s="2" t="s">
        <v>832</v>
      </c>
      <c r="H829" s="2">
        <v>0.83946977700000003</v>
      </c>
      <c r="K829" s="4">
        <v>41375</v>
      </c>
      <c r="L829">
        <v>3.335</v>
      </c>
    </row>
    <row r="830" spans="1:12" x14ac:dyDescent="0.25">
      <c r="A830" s="2" t="s">
        <v>5</v>
      </c>
      <c r="B830" s="2" t="s">
        <v>833</v>
      </c>
      <c r="C830" s="2">
        <v>3.2144312113226099</v>
      </c>
      <c r="D830" s="2">
        <f>VLOOKUP(OneWeekMtgRatesDataTable8[[#This Row],[AsOfDate]],G:H,2,0)+OneWeekMtgRatesDataTable8[[#This Row],[SeriesNumValue]]</f>
        <v>4.05390098832261</v>
      </c>
      <c r="F830" s="2" t="s">
        <v>1277</v>
      </c>
      <c r="G830" s="2" t="s">
        <v>833</v>
      </c>
      <c r="H830" s="2">
        <v>0.83946977700000003</v>
      </c>
      <c r="K830" s="4">
        <v>41376</v>
      </c>
      <c r="L830">
        <v>3.335</v>
      </c>
    </row>
    <row r="831" spans="1:12" x14ac:dyDescent="0.25">
      <c r="A831" s="2" t="s">
        <v>5</v>
      </c>
      <c r="B831" s="2" t="s">
        <v>834</v>
      </c>
      <c r="C831" s="2">
        <v>3.2062850314999101</v>
      </c>
      <c r="D831" s="2">
        <f>VLOOKUP(OneWeekMtgRatesDataTable8[[#This Row],[AsOfDate]],G:H,2,0)+OneWeekMtgRatesDataTable8[[#This Row],[SeriesNumValue]]</f>
        <v>4.0457548084999102</v>
      </c>
      <c r="F831" s="2" t="s">
        <v>1277</v>
      </c>
      <c r="G831" s="2" t="s">
        <v>834</v>
      </c>
      <c r="H831" s="2">
        <v>0.83946977700000003</v>
      </c>
      <c r="K831" s="4">
        <v>41379</v>
      </c>
      <c r="L831">
        <v>3.335</v>
      </c>
    </row>
    <row r="832" spans="1:12" x14ac:dyDescent="0.25">
      <c r="A832" s="2" t="s">
        <v>5</v>
      </c>
      <c r="B832" s="2" t="s">
        <v>835</v>
      </c>
      <c r="C832" s="2">
        <v>3.1863361498629699</v>
      </c>
      <c r="D832" s="2">
        <f>VLOOKUP(OneWeekMtgRatesDataTable8[[#This Row],[AsOfDate]],G:H,2,0)+OneWeekMtgRatesDataTable8[[#This Row],[SeriesNumValue]]</f>
        <v>4.0258059268629696</v>
      </c>
      <c r="F832" s="2" t="s">
        <v>1277</v>
      </c>
      <c r="G832" s="2" t="s">
        <v>835</v>
      </c>
      <c r="H832" s="2">
        <v>0.83946977700000003</v>
      </c>
      <c r="K832" s="4">
        <v>41380</v>
      </c>
      <c r="L832">
        <v>3.335</v>
      </c>
    </row>
    <row r="833" spans="1:12" x14ac:dyDescent="0.25">
      <c r="A833" s="2" t="s">
        <v>5</v>
      </c>
      <c r="B833" s="2" t="s">
        <v>836</v>
      </c>
      <c r="C833" s="2">
        <v>3.0965824543668101</v>
      </c>
      <c r="D833" s="2">
        <f>VLOOKUP(OneWeekMtgRatesDataTable8[[#This Row],[AsOfDate]],G:H,2,0)+OneWeekMtgRatesDataTable8[[#This Row],[SeriesNumValue]]</f>
        <v>3.9406737423668101</v>
      </c>
      <c r="F833" s="2" t="s">
        <v>1277</v>
      </c>
      <c r="G833" s="2" t="s">
        <v>836</v>
      </c>
      <c r="H833" s="2">
        <v>0.844091288</v>
      </c>
      <c r="K833" s="4">
        <v>41381</v>
      </c>
      <c r="L833">
        <v>3.335</v>
      </c>
    </row>
    <row r="834" spans="1:12" x14ac:dyDescent="0.25">
      <c r="A834" s="2" t="s">
        <v>5</v>
      </c>
      <c r="B834" s="2" t="s">
        <v>837</v>
      </c>
      <c r="C834" s="2">
        <v>3.12360003836893</v>
      </c>
      <c r="D834" s="2">
        <f>VLOOKUP(OneWeekMtgRatesDataTable8[[#This Row],[AsOfDate]],G:H,2,0)+OneWeekMtgRatesDataTable8[[#This Row],[SeriesNumValue]]</f>
        <v>3.96769132636893</v>
      </c>
      <c r="F834" s="2" t="s">
        <v>1277</v>
      </c>
      <c r="G834" s="2" t="s">
        <v>837</v>
      </c>
      <c r="H834" s="2">
        <v>0.844091288</v>
      </c>
      <c r="K834" s="4">
        <v>41382</v>
      </c>
      <c r="L834">
        <v>3.35</v>
      </c>
    </row>
    <row r="835" spans="1:12" x14ac:dyDescent="0.25">
      <c r="A835" s="2" t="s">
        <v>5</v>
      </c>
      <c r="B835" s="2" t="s">
        <v>838</v>
      </c>
      <c r="C835" s="2">
        <v>3.1327170492887499</v>
      </c>
      <c r="D835" s="2">
        <f>VLOOKUP(OneWeekMtgRatesDataTable8[[#This Row],[AsOfDate]],G:H,2,0)+OneWeekMtgRatesDataTable8[[#This Row],[SeriesNumValue]]</f>
        <v>3.9768083372887499</v>
      </c>
      <c r="F835" s="2" t="s">
        <v>1277</v>
      </c>
      <c r="G835" s="2" t="s">
        <v>838</v>
      </c>
      <c r="H835" s="2">
        <v>0.844091288</v>
      </c>
      <c r="K835" s="4">
        <v>41383</v>
      </c>
      <c r="L835">
        <v>3.35</v>
      </c>
    </row>
    <row r="836" spans="1:12" x14ac:dyDescent="0.25">
      <c r="A836" s="2" t="s">
        <v>5</v>
      </c>
      <c r="B836" s="2" t="s">
        <v>839</v>
      </c>
      <c r="C836" s="2">
        <v>3.2077358231055602</v>
      </c>
      <c r="D836" s="2">
        <f>VLOOKUP(OneWeekMtgRatesDataTable8[[#This Row],[AsOfDate]],G:H,2,0)+OneWeekMtgRatesDataTable8[[#This Row],[SeriesNumValue]]</f>
        <v>4.0518271111055597</v>
      </c>
      <c r="F836" s="2" t="s">
        <v>1277</v>
      </c>
      <c r="G836" s="2" t="s">
        <v>839</v>
      </c>
      <c r="H836" s="2">
        <v>0.844091288</v>
      </c>
      <c r="K836" s="4">
        <v>41386</v>
      </c>
      <c r="L836">
        <v>3.35</v>
      </c>
    </row>
    <row r="837" spans="1:12" x14ac:dyDescent="0.25">
      <c r="A837" s="2" t="s">
        <v>5</v>
      </c>
      <c r="B837" s="2" t="s">
        <v>840</v>
      </c>
      <c r="C837" s="2">
        <v>3.2594551208520199</v>
      </c>
      <c r="D837" s="2">
        <f>VLOOKUP(OneWeekMtgRatesDataTable8[[#This Row],[AsOfDate]],G:H,2,0)+OneWeekMtgRatesDataTable8[[#This Row],[SeriesNumValue]]</f>
        <v>4.1035464088520204</v>
      </c>
      <c r="F837" s="2" t="s">
        <v>1277</v>
      </c>
      <c r="G837" s="2" t="s">
        <v>840</v>
      </c>
      <c r="H837" s="2">
        <v>0.844091288</v>
      </c>
      <c r="K837" s="4">
        <v>41387</v>
      </c>
      <c r="L837">
        <v>3.35</v>
      </c>
    </row>
    <row r="838" spans="1:12" x14ac:dyDescent="0.25">
      <c r="A838" s="2" t="s">
        <v>5</v>
      </c>
      <c r="B838" s="2" t="s">
        <v>841</v>
      </c>
      <c r="C838" s="2">
        <v>3.2635254657079802</v>
      </c>
      <c r="D838" s="2">
        <f>VLOOKUP(OneWeekMtgRatesDataTable8[[#This Row],[AsOfDate]],G:H,2,0)+OneWeekMtgRatesDataTable8[[#This Row],[SeriesNumValue]]</f>
        <v>4.0811187667079807</v>
      </c>
      <c r="F838" s="2" t="s">
        <v>1277</v>
      </c>
      <c r="G838" s="2" t="s">
        <v>841</v>
      </c>
      <c r="H838" s="2">
        <v>0.81759330100000005</v>
      </c>
      <c r="K838" s="4">
        <v>41388</v>
      </c>
      <c r="L838">
        <v>3.35</v>
      </c>
    </row>
    <row r="839" spans="1:12" x14ac:dyDescent="0.25">
      <c r="A839" s="2" t="s">
        <v>5</v>
      </c>
      <c r="B839" s="2" t="s">
        <v>842</v>
      </c>
      <c r="C839" s="2">
        <v>3.2377628105001701</v>
      </c>
      <c r="D839" s="2">
        <f>VLOOKUP(OneWeekMtgRatesDataTable8[[#This Row],[AsOfDate]],G:H,2,0)+OneWeekMtgRatesDataTable8[[#This Row],[SeriesNumValue]]</f>
        <v>4.0553561115001706</v>
      </c>
      <c r="F839" s="2" t="s">
        <v>1277</v>
      </c>
      <c r="G839" s="2" t="s">
        <v>842</v>
      </c>
      <c r="H839" s="2">
        <v>0.81759330100000005</v>
      </c>
      <c r="K839" s="4">
        <v>41389</v>
      </c>
      <c r="L839">
        <v>3.2749999999999999</v>
      </c>
    </row>
    <row r="840" spans="1:12" x14ac:dyDescent="0.25">
      <c r="A840" s="2" t="s">
        <v>5</v>
      </c>
      <c r="B840" s="2" t="s">
        <v>843</v>
      </c>
      <c r="C840" s="2">
        <v>3.24953377621733</v>
      </c>
      <c r="D840" s="2">
        <f>VLOOKUP(OneWeekMtgRatesDataTable8[[#This Row],[AsOfDate]],G:H,2,0)+OneWeekMtgRatesDataTable8[[#This Row],[SeriesNumValue]]</f>
        <v>4.0671270772173305</v>
      </c>
      <c r="F840" s="2" t="s">
        <v>1277</v>
      </c>
      <c r="G840" s="2" t="s">
        <v>843</v>
      </c>
      <c r="H840" s="2">
        <v>0.81759330100000005</v>
      </c>
      <c r="K840" s="4">
        <v>41390</v>
      </c>
      <c r="L840">
        <v>3.2749999999999999</v>
      </c>
    </row>
    <row r="841" spans="1:12" x14ac:dyDescent="0.25">
      <c r="A841" s="2" t="s">
        <v>5</v>
      </c>
      <c r="B841" s="2" t="s">
        <v>844</v>
      </c>
      <c r="C841" s="2">
        <v>3.2647835350343399</v>
      </c>
      <c r="D841" s="2">
        <f>VLOOKUP(OneWeekMtgRatesDataTable8[[#This Row],[AsOfDate]],G:H,2,0)+OneWeekMtgRatesDataTable8[[#This Row],[SeriesNumValue]]</f>
        <v>4.0823768360343404</v>
      </c>
      <c r="F841" s="2" t="s">
        <v>1277</v>
      </c>
      <c r="G841" s="2" t="s">
        <v>844</v>
      </c>
      <c r="H841" s="2">
        <v>0.81759330100000005</v>
      </c>
      <c r="K841" s="4">
        <v>41393</v>
      </c>
      <c r="L841">
        <v>3.2749999999999999</v>
      </c>
    </row>
    <row r="842" spans="1:12" x14ac:dyDescent="0.25">
      <c r="A842" s="2" t="s">
        <v>5</v>
      </c>
      <c r="B842" s="2" t="s">
        <v>845</v>
      </c>
      <c r="C842" s="2">
        <v>3.2863723435874199</v>
      </c>
      <c r="D842" s="2">
        <f>VLOOKUP(OneWeekMtgRatesDataTable8[[#This Row],[AsOfDate]],G:H,2,0)+OneWeekMtgRatesDataTable8[[#This Row],[SeriesNumValue]]</f>
        <v>4.1039656445874204</v>
      </c>
      <c r="F842" s="2" t="s">
        <v>1277</v>
      </c>
      <c r="G842" s="2" t="s">
        <v>845</v>
      </c>
      <c r="H842" s="2">
        <v>0.81759330100000005</v>
      </c>
      <c r="K842" s="4">
        <v>41394</v>
      </c>
      <c r="L842">
        <v>3.2749999999999999</v>
      </c>
    </row>
    <row r="843" spans="1:12" x14ac:dyDescent="0.25">
      <c r="A843" s="2" t="s">
        <v>5</v>
      </c>
      <c r="B843" s="2" t="s">
        <v>846</v>
      </c>
      <c r="C843" s="2">
        <v>3.2835967922496798</v>
      </c>
      <c r="D843" s="2">
        <f>VLOOKUP(OneWeekMtgRatesDataTable8[[#This Row],[AsOfDate]],G:H,2,0)+OneWeekMtgRatesDataTable8[[#This Row],[SeriesNumValue]]</f>
        <v>4.1191869402496799</v>
      </c>
      <c r="F843" s="2" t="s">
        <v>1277</v>
      </c>
      <c r="G843" s="2" t="s">
        <v>846</v>
      </c>
      <c r="H843" s="2">
        <v>0.83559014799999998</v>
      </c>
      <c r="K843" s="4">
        <v>41395</v>
      </c>
      <c r="L843">
        <v>3.2749999999999999</v>
      </c>
    </row>
    <row r="844" spans="1:12" x14ac:dyDescent="0.25">
      <c r="A844" s="2" t="s">
        <v>5</v>
      </c>
      <c r="B844" s="2" t="s">
        <v>847</v>
      </c>
      <c r="C844" s="2">
        <v>3.2368252535266899</v>
      </c>
      <c r="D844" s="2">
        <f>VLOOKUP(OneWeekMtgRatesDataTable8[[#This Row],[AsOfDate]],G:H,2,0)+OneWeekMtgRatesDataTable8[[#This Row],[SeriesNumValue]]</f>
        <v>4.0724154015266896</v>
      </c>
      <c r="F844" s="2" t="s">
        <v>1277</v>
      </c>
      <c r="G844" s="2" t="s">
        <v>847</v>
      </c>
      <c r="H844" s="2">
        <v>0.83559014799999998</v>
      </c>
      <c r="K844" s="4">
        <v>41396</v>
      </c>
      <c r="L844">
        <v>3.3450000000000002</v>
      </c>
    </row>
    <row r="845" spans="1:12" x14ac:dyDescent="0.25">
      <c r="A845" s="2" t="s">
        <v>5</v>
      </c>
      <c r="B845" s="2" t="s">
        <v>848</v>
      </c>
      <c r="C845" s="2">
        <v>3.2532056158969298</v>
      </c>
      <c r="D845" s="2">
        <f>VLOOKUP(OneWeekMtgRatesDataTable8[[#This Row],[AsOfDate]],G:H,2,0)+OneWeekMtgRatesDataTable8[[#This Row],[SeriesNumValue]]</f>
        <v>4.0887957638969299</v>
      </c>
      <c r="F845" s="2" t="s">
        <v>1277</v>
      </c>
      <c r="G845" s="2" t="s">
        <v>848</v>
      </c>
      <c r="H845" s="2">
        <v>0.83559014799999998</v>
      </c>
      <c r="K845" s="4">
        <v>41397</v>
      </c>
      <c r="L845">
        <v>3.3450000000000002</v>
      </c>
    </row>
    <row r="846" spans="1:12" x14ac:dyDescent="0.25">
      <c r="A846" s="2" t="s">
        <v>5</v>
      </c>
      <c r="B846" s="2" t="s">
        <v>849</v>
      </c>
      <c r="C846" s="2">
        <v>3.2401980086341502</v>
      </c>
      <c r="D846" s="2">
        <f>VLOOKUP(OneWeekMtgRatesDataTable8[[#This Row],[AsOfDate]],G:H,2,0)+OneWeekMtgRatesDataTable8[[#This Row],[SeriesNumValue]]</f>
        <v>4.0757881566341503</v>
      </c>
      <c r="F846" s="2" t="s">
        <v>1277</v>
      </c>
      <c r="G846" s="2" t="s">
        <v>849</v>
      </c>
      <c r="H846" s="2">
        <v>0.83559014799999998</v>
      </c>
      <c r="K846" s="4">
        <v>41400</v>
      </c>
      <c r="L846">
        <v>3.3450000000000002</v>
      </c>
    </row>
    <row r="847" spans="1:12" x14ac:dyDescent="0.25">
      <c r="A847" s="2" t="s">
        <v>5</v>
      </c>
      <c r="B847" s="2" t="s">
        <v>850</v>
      </c>
      <c r="C847" s="2">
        <v>3.2955237008358602</v>
      </c>
      <c r="D847" s="2">
        <f>VLOOKUP(OneWeekMtgRatesDataTable8[[#This Row],[AsOfDate]],G:H,2,0)+OneWeekMtgRatesDataTable8[[#This Row],[SeriesNumValue]]</f>
        <v>4.1311138488358603</v>
      </c>
      <c r="F847" s="2" t="s">
        <v>1277</v>
      </c>
      <c r="G847" s="2" t="s">
        <v>850</v>
      </c>
      <c r="H847" s="2">
        <v>0.83559014799999998</v>
      </c>
      <c r="K847" s="4">
        <v>41401</v>
      </c>
      <c r="L847">
        <v>3.3450000000000002</v>
      </c>
    </row>
    <row r="848" spans="1:12" x14ac:dyDescent="0.25">
      <c r="A848" s="2" t="s">
        <v>5</v>
      </c>
      <c r="B848" s="2" t="s">
        <v>851</v>
      </c>
      <c r="C848" s="2">
        <v>3.2554507349207298</v>
      </c>
      <c r="D848" s="2">
        <f>VLOOKUP(OneWeekMtgRatesDataTable8[[#This Row],[AsOfDate]],G:H,2,0)+OneWeekMtgRatesDataTable8[[#This Row],[SeriesNumValue]]</f>
        <v>4.0692100719207298</v>
      </c>
      <c r="F848" s="2" t="s">
        <v>1277</v>
      </c>
      <c r="G848" s="2" t="s">
        <v>851</v>
      </c>
      <c r="H848" s="2">
        <v>0.81375933700000003</v>
      </c>
      <c r="K848" s="4">
        <v>41402</v>
      </c>
      <c r="L848">
        <v>3.3450000000000002</v>
      </c>
    </row>
    <row r="849" spans="1:12" x14ac:dyDescent="0.25">
      <c r="A849" s="2" t="s">
        <v>5</v>
      </c>
      <c r="B849" s="2" t="s">
        <v>852</v>
      </c>
      <c r="C849" s="2">
        <v>3.2406996477189098</v>
      </c>
      <c r="D849" s="2">
        <f>VLOOKUP(OneWeekMtgRatesDataTable8[[#This Row],[AsOfDate]],G:H,2,0)+OneWeekMtgRatesDataTable8[[#This Row],[SeriesNumValue]]</f>
        <v>4.0544589847189094</v>
      </c>
      <c r="F849" s="2" t="s">
        <v>1277</v>
      </c>
      <c r="G849" s="2" t="s">
        <v>852</v>
      </c>
      <c r="H849" s="2">
        <v>0.81375933700000003</v>
      </c>
      <c r="K849" s="4">
        <v>41403</v>
      </c>
      <c r="L849">
        <v>3.4350000000000001</v>
      </c>
    </row>
    <row r="850" spans="1:12" x14ac:dyDescent="0.25">
      <c r="A850" s="2" t="s">
        <v>5</v>
      </c>
      <c r="B850" s="2" t="s">
        <v>853</v>
      </c>
      <c r="C850" s="2">
        <v>3.2387092672418598</v>
      </c>
      <c r="D850" s="2">
        <f>VLOOKUP(OneWeekMtgRatesDataTable8[[#This Row],[AsOfDate]],G:H,2,0)+OneWeekMtgRatesDataTable8[[#This Row],[SeriesNumValue]]</f>
        <v>4.0524686042418594</v>
      </c>
      <c r="F850" s="2" t="s">
        <v>1277</v>
      </c>
      <c r="G850" s="2" t="s">
        <v>853</v>
      </c>
      <c r="H850" s="2">
        <v>0.81375933700000003</v>
      </c>
      <c r="K850" s="4">
        <v>41404</v>
      </c>
      <c r="L850">
        <v>3.4350000000000001</v>
      </c>
    </row>
    <row r="851" spans="1:12" x14ac:dyDescent="0.25">
      <c r="A851" s="2" t="s">
        <v>5</v>
      </c>
      <c r="B851" s="2" t="s">
        <v>854</v>
      </c>
      <c r="C851" s="2">
        <v>3.2420059350164898</v>
      </c>
      <c r="D851" s="2">
        <f>VLOOKUP(OneWeekMtgRatesDataTable8[[#This Row],[AsOfDate]],G:H,2,0)+OneWeekMtgRatesDataTable8[[#This Row],[SeriesNumValue]]</f>
        <v>4.0557652720164903</v>
      </c>
      <c r="F851" s="2" t="s">
        <v>1277</v>
      </c>
      <c r="G851" s="2" t="s">
        <v>854</v>
      </c>
      <c r="H851" s="2">
        <v>0.81375933700000003</v>
      </c>
      <c r="K851" s="4">
        <v>41407</v>
      </c>
      <c r="L851">
        <v>3.4350000000000001</v>
      </c>
    </row>
    <row r="852" spans="1:12" x14ac:dyDescent="0.25">
      <c r="A852" s="2" t="s">
        <v>5</v>
      </c>
      <c r="B852" s="2" t="s">
        <v>855</v>
      </c>
      <c r="C852" s="2">
        <v>3.2180523990892298</v>
      </c>
      <c r="D852" s="2">
        <f>VLOOKUP(OneWeekMtgRatesDataTable8[[#This Row],[AsOfDate]],G:H,2,0)+OneWeekMtgRatesDataTable8[[#This Row],[SeriesNumValue]]</f>
        <v>4.0318117360892298</v>
      </c>
      <c r="F852" s="2" t="s">
        <v>1277</v>
      </c>
      <c r="G852" s="2" t="s">
        <v>855</v>
      </c>
      <c r="H852" s="2">
        <v>0.81375933700000003</v>
      </c>
      <c r="K852" s="4">
        <v>41408</v>
      </c>
      <c r="L852">
        <v>3.4350000000000001</v>
      </c>
    </row>
    <row r="853" spans="1:12" x14ac:dyDescent="0.25">
      <c r="A853" s="2" t="s">
        <v>5</v>
      </c>
      <c r="B853" s="2" t="s">
        <v>856</v>
      </c>
      <c r="C853" s="2">
        <v>3.1948973800231402</v>
      </c>
      <c r="D853" s="2">
        <f>VLOOKUP(OneWeekMtgRatesDataTable8[[#This Row],[AsOfDate]],G:H,2,0)+OneWeekMtgRatesDataTable8[[#This Row],[SeriesNumValue]]</f>
        <v>3.9830244540231403</v>
      </c>
      <c r="F853" s="2" t="s">
        <v>1277</v>
      </c>
      <c r="G853" s="2" t="s">
        <v>856</v>
      </c>
      <c r="H853" s="2">
        <v>0.78812707400000004</v>
      </c>
      <c r="K853" s="4">
        <v>41409</v>
      </c>
      <c r="L853">
        <v>3.4350000000000001</v>
      </c>
    </row>
    <row r="854" spans="1:12" x14ac:dyDescent="0.25">
      <c r="A854" s="2" t="s">
        <v>5</v>
      </c>
      <c r="B854" s="2" t="s">
        <v>857</v>
      </c>
      <c r="C854" s="2">
        <v>3.1705026484021301</v>
      </c>
      <c r="D854" s="2">
        <f>VLOOKUP(OneWeekMtgRatesDataTable8[[#This Row],[AsOfDate]],G:H,2,0)+OneWeekMtgRatesDataTable8[[#This Row],[SeriesNumValue]]</f>
        <v>3.9586297224021303</v>
      </c>
      <c r="F854" s="2" t="s">
        <v>1277</v>
      </c>
      <c r="G854" s="2" t="s">
        <v>857</v>
      </c>
      <c r="H854" s="2">
        <v>0.78812707400000004</v>
      </c>
      <c r="K854" s="4">
        <v>41410</v>
      </c>
      <c r="L854">
        <v>3.5150000000000001</v>
      </c>
    </row>
    <row r="855" spans="1:12" x14ac:dyDescent="0.25">
      <c r="A855" s="2" t="s">
        <v>5</v>
      </c>
      <c r="B855" s="2" t="s">
        <v>858</v>
      </c>
      <c r="C855" s="2">
        <v>3.1723768258530498</v>
      </c>
      <c r="D855" s="2">
        <f>VLOOKUP(OneWeekMtgRatesDataTable8[[#This Row],[AsOfDate]],G:H,2,0)+OneWeekMtgRatesDataTable8[[#This Row],[SeriesNumValue]]</f>
        <v>3.96050389985305</v>
      </c>
      <c r="F855" s="2" t="s">
        <v>1277</v>
      </c>
      <c r="G855" s="2" t="s">
        <v>858</v>
      </c>
      <c r="H855" s="2">
        <v>0.78812707400000004</v>
      </c>
      <c r="K855" s="4">
        <v>41411</v>
      </c>
      <c r="L855">
        <v>3.5150000000000001</v>
      </c>
    </row>
    <row r="856" spans="1:12" x14ac:dyDescent="0.25">
      <c r="A856" s="2" t="s">
        <v>5</v>
      </c>
      <c r="B856" s="2" t="s">
        <v>859</v>
      </c>
      <c r="C856" s="2">
        <v>3.16005861973392</v>
      </c>
      <c r="D856" s="2">
        <f>VLOOKUP(OneWeekMtgRatesDataTable8[[#This Row],[AsOfDate]],G:H,2,0)+OneWeekMtgRatesDataTable8[[#This Row],[SeriesNumValue]]</f>
        <v>3.9481856937339201</v>
      </c>
      <c r="F856" s="2" t="s">
        <v>1277</v>
      </c>
      <c r="G856" s="2" t="s">
        <v>859</v>
      </c>
      <c r="H856" s="2">
        <v>0.78812707400000004</v>
      </c>
      <c r="K856" s="4">
        <v>41414</v>
      </c>
      <c r="L856">
        <v>3.5150000000000001</v>
      </c>
    </row>
    <row r="857" spans="1:12" x14ac:dyDescent="0.25">
      <c r="A857" s="2" t="s">
        <v>5</v>
      </c>
      <c r="B857" s="2" t="s">
        <v>860</v>
      </c>
      <c r="C857" s="2">
        <v>3.2107808202984001</v>
      </c>
      <c r="D857" s="2">
        <f>VLOOKUP(OneWeekMtgRatesDataTable8[[#This Row],[AsOfDate]],G:H,2,0)+OneWeekMtgRatesDataTable8[[#This Row],[SeriesNumValue]]</f>
        <v>3.9989078942984002</v>
      </c>
      <c r="F857" s="2" t="s">
        <v>1277</v>
      </c>
      <c r="G857" s="2" t="s">
        <v>860</v>
      </c>
      <c r="H857" s="2">
        <v>0.78812707400000004</v>
      </c>
      <c r="K857" s="4">
        <v>41415</v>
      </c>
      <c r="L857">
        <v>3.5150000000000001</v>
      </c>
    </row>
    <row r="858" spans="1:12" x14ac:dyDescent="0.25">
      <c r="A858" s="2" t="s">
        <v>5</v>
      </c>
      <c r="B858" s="2" t="s">
        <v>861</v>
      </c>
      <c r="C858" s="2">
        <v>3.25804857470149</v>
      </c>
      <c r="D858" s="2">
        <f>VLOOKUP(OneWeekMtgRatesDataTable8[[#This Row],[AsOfDate]],G:H,2,0)+OneWeekMtgRatesDataTable8[[#This Row],[SeriesNumValue]]</f>
        <v>4.0586950767014898</v>
      </c>
      <c r="F858" s="2" t="s">
        <v>1277</v>
      </c>
      <c r="G858" s="2" t="s">
        <v>861</v>
      </c>
      <c r="H858" s="2">
        <v>0.80064650199999998</v>
      </c>
      <c r="K858" s="4">
        <v>41416</v>
      </c>
      <c r="L858">
        <v>3.5150000000000001</v>
      </c>
    </row>
    <row r="859" spans="1:12" x14ac:dyDescent="0.25">
      <c r="A859" s="2" t="s">
        <v>5</v>
      </c>
      <c r="B859" s="2" t="s">
        <v>862</v>
      </c>
      <c r="C859" s="2">
        <v>3.2816971853818702</v>
      </c>
      <c r="D859" s="2">
        <f>VLOOKUP(OneWeekMtgRatesDataTable8[[#This Row],[AsOfDate]],G:H,2,0)+OneWeekMtgRatesDataTable8[[#This Row],[SeriesNumValue]]</f>
        <v>4.0823436873818704</v>
      </c>
      <c r="F859" s="2" t="s">
        <v>1277</v>
      </c>
      <c r="G859" s="2" t="s">
        <v>862</v>
      </c>
      <c r="H859" s="2">
        <v>0.80064650199999998</v>
      </c>
      <c r="K859" s="4">
        <v>41417</v>
      </c>
      <c r="L859">
        <v>3.76</v>
      </c>
    </row>
    <row r="860" spans="1:12" x14ac:dyDescent="0.25">
      <c r="A860" s="2" t="s">
        <v>5</v>
      </c>
      <c r="B860" s="2" t="s">
        <v>863</v>
      </c>
      <c r="C860" s="2">
        <v>3.2664759262762</v>
      </c>
      <c r="D860" s="2">
        <f>VLOOKUP(OneWeekMtgRatesDataTable8[[#This Row],[AsOfDate]],G:H,2,0)+OneWeekMtgRatesDataTable8[[#This Row],[SeriesNumValue]]</f>
        <v>4.0671224282761997</v>
      </c>
      <c r="F860" s="2" t="s">
        <v>1277</v>
      </c>
      <c r="G860" s="2" t="s">
        <v>863</v>
      </c>
      <c r="H860" s="2">
        <v>0.80064650199999998</v>
      </c>
      <c r="K860" s="4">
        <v>41418</v>
      </c>
      <c r="L860">
        <v>3.76</v>
      </c>
    </row>
    <row r="861" spans="1:12" x14ac:dyDescent="0.25">
      <c r="A861" s="2" t="s">
        <v>5</v>
      </c>
      <c r="B861" s="2" t="s">
        <v>864</v>
      </c>
      <c r="C861" s="2">
        <v>3.2329417252497299</v>
      </c>
      <c r="D861" s="2">
        <f>VLOOKUP(OneWeekMtgRatesDataTable8[[#This Row],[AsOfDate]],G:H,2,0)+OneWeekMtgRatesDataTable8[[#This Row],[SeriesNumValue]]</f>
        <v>4.0335882272497301</v>
      </c>
      <c r="F861" s="2" t="s">
        <v>1277</v>
      </c>
      <c r="G861" s="2" t="s">
        <v>864</v>
      </c>
      <c r="H861" s="2">
        <v>0.80064650199999998</v>
      </c>
      <c r="K861" s="4">
        <v>41422</v>
      </c>
      <c r="L861">
        <v>3.76</v>
      </c>
    </row>
    <row r="862" spans="1:12" x14ac:dyDescent="0.25">
      <c r="A862" s="2" t="s">
        <v>5</v>
      </c>
      <c r="B862" s="2" t="s">
        <v>865</v>
      </c>
      <c r="C862" s="2">
        <v>3.2185084565507598</v>
      </c>
      <c r="D862" s="2">
        <f>VLOOKUP(OneWeekMtgRatesDataTable8[[#This Row],[AsOfDate]],G:H,2,0)+OneWeekMtgRatesDataTable8[[#This Row],[SeriesNumValue]]</f>
        <v>4.0436026335507602</v>
      </c>
      <c r="F862" s="2" t="s">
        <v>1277</v>
      </c>
      <c r="G862" s="2" t="s">
        <v>865</v>
      </c>
      <c r="H862" s="2">
        <v>0.82509417699999998</v>
      </c>
      <c r="K862" s="4">
        <v>41423</v>
      </c>
      <c r="L862">
        <v>3.76</v>
      </c>
    </row>
    <row r="863" spans="1:12" x14ac:dyDescent="0.25">
      <c r="A863" s="2" t="s">
        <v>5</v>
      </c>
      <c r="B863" s="2" t="s">
        <v>866</v>
      </c>
      <c r="C863" s="2">
        <v>3.20098644724558</v>
      </c>
      <c r="D863" s="2">
        <f>VLOOKUP(OneWeekMtgRatesDataTable8[[#This Row],[AsOfDate]],G:H,2,0)+OneWeekMtgRatesDataTable8[[#This Row],[SeriesNumValue]]</f>
        <v>4.02608062424558</v>
      </c>
      <c r="F863" s="2" t="s">
        <v>1277</v>
      </c>
      <c r="G863" s="2" t="s">
        <v>866</v>
      </c>
      <c r="H863" s="2">
        <v>0.82509417699999998</v>
      </c>
      <c r="K863" s="4">
        <v>41424</v>
      </c>
      <c r="L863">
        <v>3.835</v>
      </c>
    </row>
    <row r="864" spans="1:12" x14ac:dyDescent="0.25">
      <c r="A864" s="2" t="s">
        <v>5</v>
      </c>
      <c r="B864" s="2" t="s">
        <v>867</v>
      </c>
      <c r="C864" s="2">
        <v>3.1874045932907902</v>
      </c>
      <c r="D864" s="2">
        <f>VLOOKUP(OneWeekMtgRatesDataTable8[[#This Row],[AsOfDate]],G:H,2,0)+OneWeekMtgRatesDataTable8[[#This Row],[SeriesNumValue]]</f>
        <v>4.0124987702907902</v>
      </c>
      <c r="F864" s="2" t="s">
        <v>1277</v>
      </c>
      <c r="G864" s="2" t="s">
        <v>867</v>
      </c>
      <c r="H864" s="2">
        <v>0.82509417699999998</v>
      </c>
      <c r="K864" s="4">
        <v>41425</v>
      </c>
      <c r="L864">
        <v>3.835</v>
      </c>
    </row>
    <row r="865" spans="1:12" x14ac:dyDescent="0.25">
      <c r="A865" s="2" t="s">
        <v>5</v>
      </c>
      <c r="B865" s="2" t="s">
        <v>868</v>
      </c>
      <c r="C865" s="2">
        <v>3.22381281335216</v>
      </c>
      <c r="D865" s="2">
        <f>VLOOKUP(OneWeekMtgRatesDataTable8[[#This Row],[AsOfDate]],G:H,2,0)+OneWeekMtgRatesDataTable8[[#This Row],[SeriesNumValue]]</f>
        <v>4.04890699035216</v>
      </c>
      <c r="F865" s="2" t="s">
        <v>1277</v>
      </c>
      <c r="G865" s="2" t="s">
        <v>868</v>
      </c>
      <c r="H865" s="2">
        <v>0.82509417699999998</v>
      </c>
      <c r="K865" s="4">
        <v>41428</v>
      </c>
      <c r="L865">
        <v>3.835</v>
      </c>
    </row>
    <row r="866" spans="1:12" x14ac:dyDescent="0.25">
      <c r="A866" s="2" t="s">
        <v>5</v>
      </c>
      <c r="B866" s="2" t="s">
        <v>869</v>
      </c>
      <c r="C866" s="2">
        <v>3.2327612765480098</v>
      </c>
      <c r="D866" s="2">
        <f>VLOOKUP(OneWeekMtgRatesDataTable8[[#This Row],[AsOfDate]],G:H,2,0)+OneWeekMtgRatesDataTable8[[#This Row],[SeriesNumValue]]</f>
        <v>4.0578554535480098</v>
      </c>
      <c r="F866" s="2" t="s">
        <v>1277</v>
      </c>
      <c r="G866" s="2" t="s">
        <v>869</v>
      </c>
      <c r="H866" s="2">
        <v>0.82509417699999998</v>
      </c>
      <c r="K866" s="4">
        <v>41429</v>
      </c>
      <c r="L866">
        <v>3.835</v>
      </c>
    </row>
    <row r="867" spans="1:12" x14ac:dyDescent="0.25">
      <c r="A867" s="2" t="s">
        <v>5</v>
      </c>
      <c r="B867" s="2" t="s">
        <v>870</v>
      </c>
      <c r="C867" s="2">
        <v>3.23587971649664</v>
      </c>
      <c r="D867" s="2">
        <f>VLOOKUP(OneWeekMtgRatesDataTable8[[#This Row],[AsOfDate]],G:H,2,0)+OneWeekMtgRatesDataTable8[[#This Row],[SeriesNumValue]]</f>
        <v>4.0497107474966398</v>
      </c>
      <c r="F867" s="2" t="s">
        <v>1277</v>
      </c>
      <c r="G867" s="2" t="s">
        <v>870</v>
      </c>
      <c r="H867" s="2">
        <v>0.81383103099999998</v>
      </c>
      <c r="K867" s="4">
        <v>41430</v>
      </c>
      <c r="L867">
        <v>3.835</v>
      </c>
    </row>
    <row r="868" spans="1:12" x14ac:dyDescent="0.25">
      <c r="A868" s="2" t="s">
        <v>5</v>
      </c>
      <c r="B868" s="2" t="s">
        <v>871</v>
      </c>
      <c r="C868" s="2">
        <v>3.1839990162061</v>
      </c>
      <c r="D868" s="2">
        <f>VLOOKUP(OneWeekMtgRatesDataTable8[[#This Row],[AsOfDate]],G:H,2,0)+OneWeekMtgRatesDataTable8[[#This Row],[SeriesNumValue]]</f>
        <v>3.9978300472060999</v>
      </c>
      <c r="F868" s="2" t="s">
        <v>1277</v>
      </c>
      <c r="G868" s="2" t="s">
        <v>871</v>
      </c>
      <c r="H868" s="2">
        <v>0.81383103099999998</v>
      </c>
      <c r="K868" s="4">
        <v>41431</v>
      </c>
      <c r="L868">
        <v>3.9049999999999998</v>
      </c>
    </row>
    <row r="869" spans="1:12" x14ac:dyDescent="0.25">
      <c r="A869" s="2" t="s">
        <v>5</v>
      </c>
      <c r="B869" s="2" t="s">
        <v>872</v>
      </c>
      <c r="C869" s="2">
        <v>3.1834552504580702</v>
      </c>
      <c r="D869" s="2">
        <f>VLOOKUP(OneWeekMtgRatesDataTable8[[#This Row],[AsOfDate]],G:H,2,0)+OneWeekMtgRatesDataTable8[[#This Row],[SeriesNumValue]]</f>
        <v>3.9972862814580701</v>
      </c>
      <c r="F869" s="2" t="s">
        <v>1277</v>
      </c>
      <c r="G869" s="2" t="s">
        <v>872</v>
      </c>
      <c r="H869" s="2">
        <v>0.81383103099999998</v>
      </c>
      <c r="K869" s="4">
        <v>41432</v>
      </c>
      <c r="L869">
        <v>3.9049999999999998</v>
      </c>
    </row>
    <row r="870" spans="1:12" x14ac:dyDescent="0.25">
      <c r="A870" s="2" t="s">
        <v>5</v>
      </c>
      <c r="B870" s="2" t="s">
        <v>873</v>
      </c>
      <c r="C870" s="2">
        <v>3.1797287048205698</v>
      </c>
      <c r="D870" s="2">
        <f>VLOOKUP(OneWeekMtgRatesDataTable8[[#This Row],[AsOfDate]],G:H,2,0)+OneWeekMtgRatesDataTable8[[#This Row],[SeriesNumValue]]</f>
        <v>3.9935597358205697</v>
      </c>
      <c r="F870" s="2" t="s">
        <v>1277</v>
      </c>
      <c r="G870" s="2" t="s">
        <v>873</v>
      </c>
      <c r="H870" s="2">
        <v>0.81383103099999998</v>
      </c>
      <c r="K870" s="4">
        <v>41435</v>
      </c>
      <c r="L870">
        <v>3.9049999999999998</v>
      </c>
    </row>
    <row r="871" spans="1:12" x14ac:dyDescent="0.25">
      <c r="A871" s="2" t="s">
        <v>5</v>
      </c>
      <c r="B871" s="2" t="s">
        <v>874</v>
      </c>
      <c r="C871" s="2">
        <v>3.1713427686584299</v>
      </c>
      <c r="D871" s="2">
        <f>VLOOKUP(OneWeekMtgRatesDataTable8[[#This Row],[AsOfDate]],G:H,2,0)+OneWeekMtgRatesDataTable8[[#This Row],[SeriesNumValue]]</f>
        <v>3.9851737996584298</v>
      </c>
      <c r="F871" s="2" t="s">
        <v>1277</v>
      </c>
      <c r="G871" s="2" t="s">
        <v>874</v>
      </c>
      <c r="H871" s="2">
        <v>0.81383103099999998</v>
      </c>
      <c r="K871" s="4">
        <v>41436</v>
      </c>
      <c r="L871">
        <v>3.9049999999999998</v>
      </c>
    </row>
    <row r="872" spans="1:12" x14ac:dyDescent="0.25">
      <c r="A872" s="2" t="s">
        <v>5</v>
      </c>
      <c r="B872" s="2" t="s">
        <v>875</v>
      </c>
      <c r="C872" s="2">
        <v>3.18443166753908</v>
      </c>
      <c r="D872" s="2">
        <f>VLOOKUP(OneWeekMtgRatesDataTable8[[#This Row],[AsOfDate]],G:H,2,0)+OneWeekMtgRatesDataTable8[[#This Row],[SeriesNumValue]]</f>
        <v>4.0338401855390797</v>
      </c>
      <c r="F872" s="2" t="s">
        <v>1277</v>
      </c>
      <c r="G872" s="2" t="s">
        <v>875</v>
      </c>
      <c r="H872" s="2">
        <v>0.84940851799999995</v>
      </c>
      <c r="K872" s="4">
        <v>41437</v>
      </c>
      <c r="L872">
        <v>3.9049999999999998</v>
      </c>
    </row>
    <row r="873" spans="1:12" x14ac:dyDescent="0.25">
      <c r="A873" s="2" t="s">
        <v>5</v>
      </c>
      <c r="B873" s="2" t="s">
        <v>876</v>
      </c>
      <c r="C873" s="2">
        <v>3.2359256063250199</v>
      </c>
      <c r="D873" s="2">
        <f>VLOOKUP(OneWeekMtgRatesDataTable8[[#This Row],[AsOfDate]],G:H,2,0)+OneWeekMtgRatesDataTable8[[#This Row],[SeriesNumValue]]</f>
        <v>4.0853341243250201</v>
      </c>
      <c r="F873" s="2" t="s">
        <v>1277</v>
      </c>
      <c r="G873" s="2" t="s">
        <v>876</v>
      </c>
      <c r="H873" s="2">
        <v>0.84940851799999995</v>
      </c>
      <c r="K873" s="4">
        <v>41438</v>
      </c>
      <c r="L873">
        <v>3.88</v>
      </c>
    </row>
    <row r="874" spans="1:12" x14ac:dyDescent="0.25">
      <c r="A874" s="2" t="s">
        <v>5</v>
      </c>
      <c r="B874" s="2" t="s">
        <v>877</v>
      </c>
      <c r="C874" s="2">
        <v>3.1915306555493599</v>
      </c>
      <c r="D874" s="2">
        <f>VLOOKUP(OneWeekMtgRatesDataTable8[[#This Row],[AsOfDate]],G:H,2,0)+OneWeekMtgRatesDataTable8[[#This Row],[SeriesNumValue]]</f>
        <v>4.0409391735493596</v>
      </c>
      <c r="F874" s="2" t="s">
        <v>1277</v>
      </c>
      <c r="G874" s="2" t="s">
        <v>877</v>
      </c>
      <c r="H874" s="2">
        <v>0.84940851799999995</v>
      </c>
      <c r="K874" s="4">
        <v>41439</v>
      </c>
      <c r="L874">
        <v>3.88</v>
      </c>
    </row>
    <row r="875" spans="1:12" x14ac:dyDescent="0.25">
      <c r="A875" s="2" t="s">
        <v>5</v>
      </c>
      <c r="B875" s="2" t="s">
        <v>878</v>
      </c>
      <c r="C875" s="2">
        <v>3.2049602013827001</v>
      </c>
      <c r="D875" s="2">
        <f>VLOOKUP(OneWeekMtgRatesDataTable8[[#This Row],[AsOfDate]],G:H,2,0)+OneWeekMtgRatesDataTable8[[#This Row],[SeriesNumValue]]</f>
        <v>4.0543687193827003</v>
      </c>
      <c r="F875" s="2" t="s">
        <v>1277</v>
      </c>
      <c r="G875" s="2" t="s">
        <v>878</v>
      </c>
      <c r="H875" s="2">
        <v>0.84940851799999995</v>
      </c>
      <c r="K875" s="4">
        <v>41442</v>
      </c>
      <c r="L875">
        <v>3.88</v>
      </c>
    </row>
    <row r="876" spans="1:12" x14ac:dyDescent="0.25">
      <c r="A876" s="2" t="s">
        <v>5</v>
      </c>
      <c r="B876" s="2" t="s">
        <v>879</v>
      </c>
      <c r="C876" s="2">
        <v>3.1823757597493798</v>
      </c>
      <c r="D876" s="2">
        <f>VLOOKUP(OneWeekMtgRatesDataTable8[[#This Row],[AsOfDate]],G:H,2,0)+OneWeekMtgRatesDataTable8[[#This Row],[SeriesNumValue]]</f>
        <v>4.03178427774938</v>
      </c>
      <c r="F876" s="2" t="s">
        <v>1277</v>
      </c>
      <c r="G876" s="2" t="s">
        <v>879</v>
      </c>
      <c r="H876" s="2">
        <v>0.84940851799999995</v>
      </c>
      <c r="K876" s="4">
        <v>41443</v>
      </c>
      <c r="L876">
        <v>3.88</v>
      </c>
    </row>
    <row r="877" spans="1:12" x14ac:dyDescent="0.25">
      <c r="A877" s="2" t="s">
        <v>5</v>
      </c>
      <c r="B877" s="2" t="s">
        <v>880</v>
      </c>
      <c r="C877" s="2">
        <v>3.2657922043638301</v>
      </c>
      <c r="D877" s="2">
        <f>VLOOKUP(OneWeekMtgRatesDataTable8[[#This Row],[AsOfDate]],G:H,2,0)+OneWeekMtgRatesDataTable8[[#This Row],[SeriesNumValue]]</f>
        <v>4.0696753193638298</v>
      </c>
      <c r="F877" s="2" t="s">
        <v>1277</v>
      </c>
      <c r="G877" s="2" t="s">
        <v>880</v>
      </c>
      <c r="H877" s="2">
        <v>0.80388311499999998</v>
      </c>
      <c r="K877" s="4">
        <v>41444</v>
      </c>
      <c r="L877">
        <v>3.88</v>
      </c>
    </row>
    <row r="878" spans="1:12" x14ac:dyDescent="0.25">
      <c r="A878" s="2" t="s">
        <v>5</v>
      </c>
      <c r="B878" s="2" t="s">
        <v>881</v>
      </c>
      <c r="C878" s="2">
        <v>3.2761065930147799</v>
      </c>
      <c r="D878" s="2">
        <f>VLOOKUP(OneWeekMtgRatesDataTable8[[#This Row],[AsOfDate]],G:H,2,0)+OneWeekMtgRatesDataTable8[[#This Row],[SeriesNumValue]]</f>
        <v>4.0799897080147796</v>
      </c>
      <c r="F878" s="2" t="s">
        <v>1277</v>
      </c>
      <c r="G878" s="2" t="s">
        <v>881</v>
      </c>
      <c r="H878" s="2">
        <v>0.80388311499999998</v>
      </c>
      <c r="K878" s="4">
        <v>41445</v>
      </c>
      <c r="L878">
        <v>4.41</v>
      </c>
    </row>
    <row r="879" spans="1:12" x14ac:dyDescent="0.25">
      <c r="A879" s="2" t="s">
        <v>5</v>
      </c>
      <c r="B879" s="2" t="s">
        <v>882</v>
      </c>
      <c r="C879" s="2">
        <v>3.2284236378811801</v>
      </c>
      <c r="D879" s="2">
        <f>VLOOKUP(OneWeekMtgRatesDataTable8[[#This Row],[AsOfDate]],G:H,2,0)+OneWeekMtgRatesDataTable8[[#This Row],[SeriesNumValue]]</f>
        <v>4.0323067528811798</v>
      </c>
      <c r="F879" s="2" t="s">
        <v>1277</v>
      </c>
      <c r="G879" s="2" t="s">
        <v>882</v>
      </c>
      <c r="H879" s="2">
        <v>0.80388311499999998</v>
      </c>
      <c r="K879" s="4">
        <v>41446</v>
      </c>
      <c r="L879">
        <v>4.41</v>
      </c>
    </row>
    <row r="880" spans="1:12" x14ac:dyDescent="0.25">
      <c r="A880" s="2" t="s">
        <v>5</v>
      </c>
      <c r="B880" s="2" t="s">
        <v>883</v>
      </c>
      <c r="C880" s="2">
        <v>3.2178217897536898</v>
      </c>
      <c r="D880" s="2">
        <f>VLOOKUP(OneWeekMtgRatesDataTable8[[#This Row],[AsOfDate]],G:H,2,0)+OneWeekMtgRatesDataTable8[[#This Row],[SeriesNumValue]]</f>
        <v>4.0217049047536895</v>
      </c>
      <c r="F880" s="2" t="s">
        <v>1277</v>
      </c>
      <c r="G880" s="2" t="s">
        <v>883</v>
      </c>
      <c r="H880" s="2">
        <v>0.80388311499999998</v>
      </c>
      <c r="K880" s="4">
        <v>41449</v>
      </c>
      <c r="L880">
        <v>4.41</v>
      </c>
    </row>
    <row r="881" spans="1:12" x14ac:dyDescent="0.25">
      <c r="A881" s="2" t="s">
        <v>5</v>
      </c>
      <c r="B881" s="2" t="s">
        <v>884</v>
      </c>
      <c r="C881" s="2">
        <v>3.21632428795722</v>
      </c>
      <c r="D881" s="2">
        <f>VLOOKUP(OneWeekMtgRatesDataTable8[[#This Row],[AsOfDate]],G:H,2,0)+OneWeekMtgRatesDataTable8[[#This Row],[SeriesNumValue]]</f>
        <v>4.0202074029572197</v>
      </c>
      <c r="F881" s="2" t="s">
        <v>1277</v>
      </c>
      <c r="G881" s="2" t="s">
        <v>884</v>
      </c>
      <c r="H881" s="2">
        <v>0.80388311499999998</v>
      </c>
      <c r="K881" s="4">
        <v>41450</v>
      </c>
      <c r="L881">
        <v>4.41</v>
      </c>
    </row>
    <row r="882" spans="1:12" x14ac:dyDescent="0.25">
      <c r="A882" s="2" t="s">
        <v>5</v>
      </c>
      <c r="B882" s="2" t="s">
        <v>885</v>
      </c>
      <c r="C882" s="2">
        <v>3.2168042301856699</v>
      </c>
      <c r="D882" s="2">
        <f>VLOOKUP(OneWeekMtgRatesDataTable8[[#This Row],[AsOfDate]],G:H,2,0)+OneWeekMtgRatesDataTable8[[#This Row],[SeriesNumValue]]</f>
        <v>4.0507081221856698</v>
      </c>
      <c r="F882" s="2" t="s">
        <v>1277</v>
      </c>
      <c r="G882" s="2" t="s">
        <v>885</v>
      </c>
      <c r="H882" s="2">
        <v>0.83390389200000004</v>
      </c>
      <c r="K882" s="4">
        <v>41451</v>
      </c>
      <c r="L882">
        <v>4.41</v>
      </c>
    </row>
    <row r="883" spans="1:12" x14ac:dyDescent="0.25">
      <c r="A883" s="2" t="s">
        <v>5</v>
      </c>
      <c r="B883" s="2" t="s">
        <v>886</v>
      </c>
      <c r="C883" s="2">
        <v>3.1812952620623198</v>
      </c>
      <c r="D883" s="2">
        <f>VLOOKUP(OneWeekMtgRatesDataTable8[[#This Row],[AsOfDate]],G:H,2,0)+OneWeekMtgRatesDataTable8[[#This Row],[SeriesNumValue]]</f>
        <v>4.0151991540623202</v>
      </c>
      <c r="F883" s="2" t="s">
        <v>1277</v>
      </c>
      <c r="G883" s="2" t="s">
        <v>886</v>
      </c>
      <c r="H883" s="2">
        <v>0.83390389200000004</v>
      </c>
      <c r="K883" s="4">
        <v>41452</v>
      </c>
      <c r="L883">
        <v>4.2149999999999999</v>
      </c>
    </row>
    <row r="884" spans="1:12" x14ac:dyDescent="0.25">
      <c r="A884" s="2" t="s">
        <v>5</v>
      </c>
      <c r="B884" s="2" t="s">
        <v>887</v>
      </c>
      <c r="C884" s="2">
        <v>3.1721768972748698</v>
      </c>
      <c r="D884" s="2">
        <f>VLOOKUP(OneWeekMtgRatesDataTable8[[#This Row],[AsOfDate]],G:H,2,0)+OneWeekMtgRatesDataTable8[[#This Row],[SeriesNumValue]]</f>
        <v>4.0060807892748702</v>
      </c>
      <c r="F884" s="2" t="s">
        <v>1277</v>
      </c>
      <c r="G884" s="2" t="s">
        <v>887</v>
      </c>
      <c r="H884" s="2">
        <v>0.83390389200000004</v>
      </c>
      <c r="K884" s="4">
        <v>41453</v>
      </c>
      <c r="L884">
        <v>4.2149999999999999</v>
      </c>
    </row>
    <row r="885" spans="1:12" x14ac:dyDescent="0.25">
      <c r="A885" s="2" t="s">
        <v>5</v>
      </c>
      <c r="B885" s="2" t="s">
        <v>888</v>
      </c>
      <c r="C885" s="2">
        <v>3.1826449451887</v>
      </c>
      <c r="D885" s="2">
        <f>VLOOKUP(OneWeekMtgRatesDataTable8[[#This Row],[AsOfDate]],G:H,2,0)+OneWeekMtgRatesDataTable8[[#This Row],[SeriesNumValue]]</f>
        <v>4.0165488371886999</v>
      </c>
      <c r="F885" s="2" t="s">
        <v>1277</v>
      </c>
      <c r="G885" s="2" t="s">
        <v>888</v>
      </c>
      <c r="H885" s="2">
        <v>0.83390389200000004</v>
      </c>
      <c r="K885" s="4">
        <v>41456</v>
      </c>
      <c r="L885">
        <v>4.2149999999999999</v>
      </c>
    </row>
    <row r="886" spans="1:12" x14ac:dyDescent="0.25">
      <c r="A886" s="2" t="s">
        <v>5</v>
      </c>
      <c r="B886" s="2" t="s">
        <v>889</v>
      </c>
      <c r="C886" s="2">
        <v>3.1921232293895798</v>
      </c>
      <c r="D886" s="2">
        <f>VLOOKUP(OneWeekMtgRatesDataTable8[[#This Row],[AsOfDate]],G:H,2,0)+OneWeekMtgRatesDataTable8[[#This Row],[SeriesNumValue]]</f>
        <v>4.0260271213895802</v>
      </c>
      <c r="F886" s="2" t="s">
        <v>1277</v>
      </c>
      <c r="G886" s="2" t="s">
        <v>889</v>
      </c>
      <c r="H886" s="2">
        <v>0.83390389200000004</v>
      </c>
      <c r="K886" s="4">
        <v>41457</v>
      </c>
      <c r="L886">
        <v>4.2149999999999999</v>
      </c>
    </row>
    <row r="887" spans="1:12" x14ac:dyDescent="0.25">
      <c r="A887" s="2" t="s">
        <v>5</v>
      </c>
      <c r="B887" s="2" t="s">
        <v>890</v>
      </c>
      <c r="C887" s="2">
        <v>3.1611594965890202</v>
      </c>
      <c r="D887" s="2">
        <f>VLOOKUP(OneWeekMtgRatesDataTable8[[#This Row],[AsOfDate]],G:H,2,0)+OneWeekMtgRatesDataTable8[[#This Row],[SeriesNumValue]]</f>
        <v>4.0032795305890199</v>
      </c>
      <c r="F887" s="2" t="s">
        <v>1277</v>
      </c>
      <c r="G887" s="2" t="s">
        <v>890</v>
      </c>
      <c r="H887" s="2">
        <v>0.84212003400000002</v>
      </c>
      <c r="K887" s="4">
        <v>41458</v>
      </c>
      <c r="L887">
        <v>4.2149999999999999</v>
      </c>
    </row>
    <row r="888" spans="1:12" x14ac:dyDescent="0.25">
      <c r="A888" s="2" t="s">
        <v>5</v>
      </c>
      <c r="B888" s="2" t="s">
        <v>891</v>
      </c>
      <c r="C888" s="2">
        <v>3.1399551635126901</v>
      </c>
      <c r="D888" s="2">
        <f>VLOOKUP(OneWeekMtgRatesDataTable8[[#This Row],[AsOfDate]],G:H,2,0)+OneWeekMtgRatesDataTable8[[#This Row],[SeriesNumValue]]</f>
        <v>3.9820751975126902</v>
      </c>
      <c r="F888" s="2" t="s">
        <v>1277</v>
      </c>
      <c r="G888" s="2" t="s">
        <v>891</v>
      </c>
      <c r="H888" s="2">
        <v>0.84212003400000002</v>
      </c>
      <c r="K888" s="4">
        <v>41460</v>
      </c>
      <c r="L888">
        <v>4.46</v>
      </c>
    </row>
    <row r="889" spans="1:12" x14ac:dyDescent="0.25">
      <c r="A889" s="2" t="s">
        <v>5</v>
      </c>
      <c r="B889" s="2" t="s">
        <v>892</v>
      </c>
      <c r="C889" s="2">
        <v>3.0935764216510502</v>
      </c>
      <c r="D889" s="2">
        <f>VLOOKUP(OneWeekMtgRatesDataTable8[[#This Row],[AsOfDate]],G:H,2,0)+OneWeekMtgRatesDataTable8[[#This Row],[SeriesNumValue]]</f>
        <v>3.9356964556510503</v>
      </c>
      <c r="F889" s="2" t="s">
        <v>1277</v>
      </c>
      <c r="G889" s="2" t="s">
        <v>892</v>
      </c>
      <c r="H889" s="2">
        <v>0.84212003400000002</v>
      </c>
      <c r="K889" s="4">
        <v>41463</v>
      </c>
      <c r="L889">
        <v>4.46</v>
      </c>
    </row>
    <row r="890" spans="1:12" x14ac:dyDescent="0.25">
      <c r="A890" s="2" t="s">
        <v>5</v>
      </c>
      <c r="B890" s="2" t="s">
        <v>893</v>
      </c>
      <c r="C890" s="2">
        <v>3.1399786597886301</v>
      </c>
      <c r="D890" s="2">
        <f>VLOOKUP(OneWeekMtgRatesDataTable8[[#This Row],[AsOfDate]],G:H,2,0)+OneWeekMtgRatesDataTable8[[#This Row],[SeriesNumValue]]</f>
        <v>3.9820986937886302</v>
      </c>
      <c r="F890" s="2" t="s">
        <v>1277</v>
      </c>
      <c r="G890" s="2" t="s">
        <v>893</v>
      </c>
      <c r="H890" s="2">
        <v>0.84212003400000002</v>
      </c>
      <c r="K890" s="4">
        <v>41464</v>
      </c>
      <c r="L890">
        <v>4.46</v>
      </c>
    </row>
    <row r="891" spans="1:12" x14ac:dyDescent="0.25">
      <c r="A891" s="2" t="s">
        <v>5</v>
      </c>
      <c r="B891" s="2" t="s">
        <v>894</v>
      </c>
      <c r="C891" s="2">
        <v>3.1648384217316798</v>
      </c>
      <c r="D891" s="2">
        <f>VLOOKUP(OneWeekMtgRatesDataTable8[[#This Row],[AsOfDate]],G:H,2,0)+OneWeekMtgRatesDataTable8[[#This Row],[SeriesNumValue]]</f>
        <v>4.00695845573168</v>
      </c>
      <c r="F891" s="2" t="s">
        <v>1277</v>
      </c>
      <c r="G891" s="2" t="s">
        <v>894</v>
      </c>
      <c r="H891" s="2">
        <v>0.84212003400000002</v>
      </c>
      <c r="K891" s="4">
        <v>41465</v>
      </c>
      <c r="L891">
        <v>4.46</v>
      </c>
    </row>
    <row r="892" spans="1:12" x14ac:dyDescent="0.25">
      <c r="A892" s="2" t="s">
        <v>5</v>
      </c>
      <c r="B892" s="2" t="s">
        <v>895</v>
      </c>
      <c r="C892" s="2">
        <v>3.1828839679523702</v>
      </c>
      <c r="D892" s="2">
        <f>VLOOKUP(OneWeekMtgRatesDataTable8[[#This Row],[AsOfDate]],G:H,2,0)+OneWeekMtgRatesDataTable8[[#This Row],[SeriesNumValue]]</f>
        <v>4.0136374409523699</v>
      </c>
      <c r="F892" s="2" t="s">
        <v>1277</v>
      </c>
      <c r="G892" s="2" t="s">
        <v>895</v>
      </c>
      <c r="H892" s="2">
        <v>0.83075347300000002</v>
      </c>
      <c r="K892" s="4">
        <v>41466</v>
      </c>
      <c r="L892">
        <v>4.2949999999999999</v>
      </c>
    </row>
    <row r="893" spans="1:12" x14ac:dyDescent="0.25">
      <c r="A893" s="2" t="s">
        <v>5</v>
      </c>
      <c r="B893" s="2" t="s">
        <v>896</v>
      </c>
      <c r="C893" s="2">
        <v>3.1567795766011701</v>
      </c>
      <c r="D893" s="2">
        <f>VLOOKUP(OneWeekMtgRatesDataTable8[[#This Row],[AsOfDate]],G:H,2,0)+OneWeekMtgRatesDataTable8[[#This Row],[SeriesNumValue]]</f>
        <v>3.9875330496011703</v>
      </c>
      <c r="F893" s="2" t="s">
        <v>1277</v>
      </c>
      <c r="G893" s="2" t="s">
        <v>896</v>
      </c>
      <c r="H893" s="2">
        <v>0.83075347300000002</v>
      </c>
      <c r="K893" s="4">
        <v>41467</v>
      </c>
      <c r="L893">
        <v>4.2949999999999999</v>
      </c>
    </row>
    <row r="894" spans="1:12" x14ac:dyDescent="0.25">
      <c r="A894" s="2" t="s">
        <v>5</v>
      </c>
      <c r="B894" s="2" t="s">
        <v>897</v>
      </c>
      <c r="C894" s="2">
        <v>3.1508216358267802</v>
      </c>
      <c r="D894" s="2">
        <f>VLOOKUP(OneWeekMtgRatesDataTable8[[#This Row],[AsOfDate]],G:H,2,0)+OneWeekMtgRatesDataTable8[[#This Row],[SeriesNumValue]]</f>
        <v>3.9815751088267803</v>
      </c>
      <c r="F894" s="2" t="s">
        <v>1277</v>
      </c>
      <c r="G894" s="2" t="s">
        <v>897</v>
      </c>
      <c r="H894" s="2">
        <v>0.83075347300000002</v>
      </c>
      <c r="K894" s="4">
        <v>41470</v>
      </c>
      <c r="L894">
        <v>4.2949999999999999</v>
      </c>
    </row>
    <row r="895" spans="1:12" x14ac:dyDescent="0.25">
      <c r="A895" s="2" t="s">
        <v>5</v>
      </c>
      <c r="B895" s="2" t="s">
        <v>898</v>
      </c>
      <c r="C895" s="2">
        <v>3.1385592562937199</v>
      </c>
      <c r="D895" s="2">
        <f>VLOOKUP(OneWeekMtgRatesDataTable8[[#This Row],[AsOfDate]],G:H,2,0)+OneWeekMtgRatesDataTable8[[#This Row],[SeriesNumValue]]</f>
        <v>3.96931272929372</v>
      </c>
      <c r="F895" s="2" t="s">
        <v>1277</v>
      </c>
      <c r="G895" s="2" t="s">
        <v>898</v>
      </c>
      <c r="H895" s="2">
        <v>0.83075347300000002</v>
      </c>
      <c r="K895" s="4">
        <v>41471</v>
      </c>
      <c r="L895">
        <v>4.2949999999999999</v>
      </c>
    </row>
    <row r="896" spans="1:12" x14ac:dyDescent="0.25">
      <c r="A896" s="2" t="s">
        <v>5</v>
      </c>
      <c r="B896" s="2" t="s">
        <v>899</v>
      </c>
      <c r="C896" s="2">
        <v>3.12943696082093</v>
      </c>
      <c r="D896" s="2">
        <f>VLOOKUP(OneWeekMtgRatesDataTable8[[#This Row],[AsOfDate]],G:H,2,0)+OneWeekMtgRatesDataTable8[[#This Row],[SeriesNumValue]]</f>
        <v>3.9601904338209302</v>
      </c>
      <c r="F896" s="2" t="s">
        <v>1277</v>
      </c>
      <c r="G896" s="2" t="s">
        <v>899</v>
      </c>
      <c r="H896" s="2">
        <v>0.83075347300000002</v>
      </c>
      <c r="K896" s="4">
        <v>41472</v>
      </c>
      <c r="L896">
        <v>4.2949999999999999</v>
      </c>
    </row>
    <row r="897" spans="1:12" x14ac:dyDescent="0.25">
      <c r="A897" s="2" t="s">
        <v>5</v>
      </c>
      <c r="B897" s="2" t="s">
        <v>900</v>
      </c>
      <c r="C897" s="2">
        <v>3.09887022841253</v>
      </c>
      <c r="D897" s="2">
        <f>VLOOKUP(OneWeekMtgRatesDataTable8[[#This Row],[AsOfDate]],G:H,2,0)+OneWeekMtgRatesDataTable8[[#This Row],[SeriesNumValue]]</f>
        <v>3.9389766964125301</v>
      </c>
      <c r="F897" s="2" t="s">
        <v>1277</v>
      </c>
      <c r="G897" s="2" t="s">
        <v>900</v>
      </c>
      <c r="H897" s="2">
        <v>0.840106468</v>
      </c>
      <c r="K897" s="4">
        <v>41473</v>
      </c>
      <c r="L897">
        <v>4.26</v>
      </c>
    </row>
    <row r="898" spans="1:12" x14ac:dyDescent="0.25">
      <c r="A898" s="2" t="s">
        <v>5</v>
      </c>
      <c r="B898" s="2" t="s">
        <v>901</v>
      </c>
      <c r="C898" s="2">
        <v>3.0781225342059799</v>
      </c>
      <c r="D898" s="2">
        <f>VLOOKUP(OneWeekMtgRatesDataTable8[[#This Row],[AsOfDate]],G:H,2,0)+OneWeekMtgRatesDataTable8[[#This Row],[SeriesNumValue]]</f>
        <v>3.91822900220598</v>
      </c>
      <c r="F898" s="2" t="s">
        <v>1277</v>
      </c>
      <c r="G898" s="2" t="s">
        <v>901</v>
      </c>
      <c r="H898" s="2">
        <v>0.840106468</v>
      </c>
      <c r="K898" s="4">
        <v>41474</v>
      </c>
      <c r="L898">
        <v>4.26</v>
      </c>
    </row>
    <row r="899" spans="1:12" x14ac:dyDescent="0.25">
      <c r="A899" s="2" t="s">
        <v>5</v>
      </c>
      <c r="B899" s="2" t="s">
        <v>902</v>
      </c>
      <c r="C899" s="2">
        <v>3.0803371977218901</v>
      </c>
      <c r="D899" s="2">
        <f>VLOOKUP(OneWeekMtgRatesDataTable8[[#This Row],[AsOfDate]],G:H,2,0)+OneWeekMtgRatesDataTable8[[#This Row],[SeriesNumValue]]</f>
        <v>3.9204436657218902</v>
      </c>
      <c r="F899" s="2" t="s">
        <v>1277</v>
      </c>
      <c r="G899" s="2" t="s">
        <v>902</v>
      </c>
      <c r="H899" s="2">
        <v>0.840106468</v>
      </c>
      <c r="K899" s="4">
        <v>41477</v>
      </c>
      <c r="L899">
        <v>4.26</v>
      </c>
    </row>
    <row r="900" spans="1:12" x14ac:dyDescent="0.25">
      <c r="A900" s="2" t="s">
        <v>5</v>
      </c>
      <c r="B900" s="2" t="s">
        <v>903</v>
      </c>
      <c r="C900" s="2">
        <v>3.1334692922129599</v>
      </c>
      <c r="D900" s="2">
        <f>VLOOKUP(OneWeekMtgRatesDataTable8[[#This Row],[AsOfDate]],G:H,2,0)+OneWeekMtgRatesDataTable8[[#This Row],[SeriesNumValue]]</f>
        <v>3.97357576021296</v>
      </c>
      <c r="F900" s="2" t="s">
        <v>1277</v>
      </c>
      <c r="G900" s="2" t="s">
        <v>903</v>
      </c>
      <c r="H900" s="2">
        <v>0.840106468</v>
      </c>
      <c r="K900" s="4">
        <v>41478</v>
      </c>
      <c r="L900">
        <v>4.26</v>
      </c>
    </row>
    <row r="901" spans="1:12" x14ac:dyDescent="0.25">
      <c r="A901" s="2" t="s">
        <v>5</v>
      </c>
      <c r="B901" s="2" t="s">
        <v>904</v>
      </c>
      <c r="C901" s="2">
        <v>3.1253552915520499</v>
      </c>
      <c r="D901" s="2">
        <f>VLOOKUP(OneWeekMtgRatesDataTable8[[#This Row],[AsOfDate]],G:H,2,0)+OneWeekMtgRatesDataTable8[[#This Row],[SeriesNumValue]]</f>
        <v>3.99603421255205</v>
      </c>
      <c r="F901" s="2" t="s">
        <v>1277</v>
      </c>
      <c r="G901" s="2" t="s">
        <v>904</v>
      </c>
      <c r="H901" s="2">
        <v>0.87067892099999999</v>
      </c>
      <c r="K901" s="4">
        <v>41479</v>
      </c>
      <c r="L901">
        <v>4.26</v>
      </c>
    </row>
    <row r="902" spans="1:12" x14ac:dyDescent="0.25">
      <c r="A902" s="2" t="s">
        <v>5</v>
      </c>
      <c r="B902" s="2" t="s">
        <v>905</v>
      </c>
      <c r="C902" s="2">
        <v>3.1528316914569898</v>
      </c>
      <c r="D902" s="2">
        <f>VLOOKUP(OneWeekMtgRatesDataTable8[[#This Row],[AsOfDate]],G:H,2,0)+OneWeekMtgRatesDataTable8[[#This Row],[SeriesNumValue]]</f>
        <v>4.0235106124569899</v>
      </c>
      <c r="F902" s="2" t="s">
        <v>1277</v>
      </c>
      <c r="G902" s="2" t="s">
        <v>905</v>
      </c>
      <c r="H902" s="2">
        <v>0.87067892099999999</v>
      </c>
      <c r="K902" s="4">
        <v>41480</v>
      </c>
      <c r="L902">
        <v>4.3150000000000004</v>
      </c>
    </row>
    <row r="903" spans="1:12" x14ac:dyDescent="0.25">
      <c r="A903" s="2" t="s">
        <v>5</v>
      </c>
      <c r="B903" s="2" t="s">
        <v>906</v>
      </c>
      <c r="C903" s="2">
        <v>3.1681849384338299</v>
      </c>
      <c r="D903" s="2">
        <f>VLOOKUP(OneWeekMtgRatesDataTable8[[#This Row],[AsOfDate]],G:H,2,0)+OneWeekMtgRatesDataTable8[[#This Row],[SeriesNumValue]]</f>
        <v>4.03886385943383</v>
      </c>
      <c r="F903" s="2" t="s">
        <v>1277</v>
      </c>
      <c r="G903" s="2" t="s">
        <v>906</v>
      </c>
      <c r="H903" s="2">
        <v>0.87067892099999999</v>
      </c>
      <c r="K903" s="4">
        <v>41481</v>
      </c>
      <c r="L903">
        <v>4.3150000000000004</v>
      </c>
    </row>
    <row r="904" spans="1:12" x14ac:dyDescent="0.25">
      <c r="A904" s="2" t="s">
        <v>5</v>
      </c>
      <c r="B904" s="2" t="s">
        <v>907</v>
      </c>
      <c r="C904" s="2">
        <v>3.1760802516618698</v>
      </c>
      <c r="D904" s="2">
        <f>VLOOKUP(OneWeekMtgRatesDataTable8[[#This Row],[AsOfDate]],G:H,2,0)+OneWeekMtgRatesDataTable8[[#This Row],[SeriesNumValue]]</f>
        <v>4.0467591726618695</v>
      </c>
      <c r="F904" s="2" t="s">
        <v>1277</v>
      </c>
      <c r="G904" s="2" t="s">
        <v>907</v>
      </c>
      <c r="H904" s="2">
        <v>0.87067892099999999</v>
      </c>
      <c r="K904" s="4">
        <v>41484</v>
      </c>
      <c r="L904">
        <v>4.3150000000000004</v>
      </c>
    </row>
    <row r="905" spans="1:12" x14ac:dyDescent="0.25">
      <c r="A905" s="2" t="s">
        <v>5</v>
      </c>
      <c r="B905" s="2" t="s">
        <v>908</v>
      </c>
      <c r="C905" s="2">
        <v>3.20426354311416</v>
      </c>
      <c r="D905" s="2">
        <f>VLOOKUP(OneWeekMtgRatesDataTable8[[#This Row],[AsOfDate]],G:H,2,0)+OneWeekMtgRatesDataTable8[[#This Row],[SeriesNumValue]]</f>
        <v>4.0749424641141596</v>
      </c>
      <c r="F905" s="2" t="s">
        <v>1277</v>
      </c>
      <c r="G905" s="2" t="s">
        <v>908</v>
      </c>
      <c r="H905" s="2">
        <v>0.87067892099999999</v>
      </c>
      <c r="K905" s="4">
        <v>41485</v>
      </c>
      <c r="L905">
        <v>4.3150000000000004</v>
      </c>
    </row>
    <row r="906" spans="1:12" x14ac:dyDescent="0.25">
      <c r="A906" s="2" t="s">
        <v>5</v>
      </c>
      <c r="B906" s="2" t="s">
        <v>909</v>
      </c>
      <c r="C906" s="2">
        <v>3.23966504008277</v>
      </c>
      <c r="D906" s="2">
        <f>VLOOKUP(OneWeekMtgRatesDataTable8[[#This Row],[AsOfDate]],G:H,2,0)+OneWeekMtgRatesDataTable8[[#This Row],[SeriesNumValue]]</f>
        <v>4.04645994708277</v>
      </c>
      <c r="F906" s="2" t="s">
        <v>1277</v>
      </c>
      <c r="G906" s="2" t="s">
        <v>909</v>
      </c>
      <c r="H906" s="2">
        <v>0.80679490700000001</v>
      </c>
      <c r="K906" s="4">
        <v>41486</v>
      </c>
      <c r="L906">
        <v>4.3150000000000004</v>
      </c>
    </row>
    <row r="907" spans="1:12" x14ac:dyDescent="0.25">
      <c r="A907" s="2" t="s">
        <v>5</v>
      </c>
      <c r="B907" s="2" t="s">
        <v>910</v>
      </c>
      <c r="C907" s="2">
        <v>3.2385398598967701</v>
      </c>
      <c r="D907" s="2">
        <f>VLOOKUP(OneWeekMtgRatesDataTable8[[#This Row],[AsOfDate]],G:H,2,0)+OneWeekMtgRatesDataTable8[[#This Row],[SeriesNumValue]]</f>
        <v>4.0453347668967705</v>
      </c>
      <c r="F907" s="2" t="s">
        <v>1277</v>
      </c>
      <c r="G907" s="2" t="s">
        <v>910</v>
      </c>
      <c r="H907" s="2">
        <v>0.80679490700000001</v>
      </c>
      <c r="K907" s="4">
        <v>41487</v>
      </c>
      <c r="L907">
        <v>4.3250000000000002</v>
      </c>
    </row>
    <row r="908" spans="1:12" x14ac:dyDescent="0.25">
      <c r="A908" s="2" t="s">
        <v>5</v>
      </c>
      <c r="B908" s="2" t="s">
        <v>911</v>
      </c>
      <c r="C908" s="2">
        <v>3.3013053863626398</v>
      </c>
      <c r="D908" s="2">
        <f>VLOOKUP(OneWeekMtgRatesDataTable8[[#This Row],[AsOfDate]],G:H,2,0)+OneWeekMtgRatesDataTable8[[#This Row],[SeriesNumValue]]</f>
        <v>4.1081002933626394</v>
      </c>
      <c r="F908" s="2" t="s">
        <v>1277</v>
      </c>
      <c r="G908" s="2" t="s">
        <v>911</v>
      </c>
      <c r="H908" s="2">
        <v>0.80679490700000001</v>
      </c>
      <c r="K908" s="4">
        <v>41488</v>
      </c>
      <c r="L908">
        <v>4.3250000000000002</v>
      </c>
    </row>
    <row r="909" spans="1:12" x14ac:dyDescent="0.25">
      <c r="A909" s="2" t="s">
        <v>5</v>
      </c>
      <c r="B909" s="2" t="s">
        <v>912</v>
      </c>
      <c r="C909" s="2">
        <v>3.2813411057709199</v>
      </c>
      <c r="D909" s="2">
        <f>VLOOKUP(OneWeekMtgRatesDataTable8[[#This Row],[AsOfDate]],G:H,2,0)+OneWeekMtgRatesDataTable8[[#This Row],[SeriesNumValue]]</f>
        <v>4.0881360127709199</v>
      </c>
      <c r="F909" s="2" t="s">
        <v>1277</v>
      </c>
      <c r="G909" s="2" t="s">
        <v>912</v>
      </c>
      <c r="H909" s="2">
        <v>0.80679490700000001</v>
      </c>
      <c r="K909" s="4">
        <v>41491</v>
      </c>
      <c r="L909">
        <v>4.3250000000000002</v>
      </c>
    </row>
    <row r="910" spans="1:12" x14ac:dyDescent="0.25">
      <c r="A910" s="2" t="s">
        <v>5</v>
      </c>
      <c r="B910" s="2" t="s">
        <v>913</v>
      </c>
      <c r="C910" s="2">
        <v>3.28408302284724</v>
      </c>
      <c r="D910" s="2">
        <f>VLOOKUP(OneWeekMtgRatesDataTable8[[#This Row],[AsOfDate]],G:H,2,0)+OneWeekMtgRatesDataTable8[[#This Row],[SeriesNumValue]]</f>
        <v>4.09087792984724</v>
      </c>
      <c r="F910" s="2" t="s">
        <v>1277</v>
      </c>
      <c r="G910" s="2" t="s">
        <v>913</v>
      </c>
      <c r="H910" s="2">
        <v>0.80679490700000001</v>
      </c>
      <c r="K910" s="4">
        <v>41492</v>
      </c>
      <c r="L910">
        <v>4.3250000000000002</v>
      </c>
    </row>
    <row r="911" spans="1:12" x14ac:dyDescent="0.25">
      <c r="A911" s="2" t="s">
        <v>5</v>
      </c>
      <c r="B911" s="2" t="s">
        <v>914</v>
      </c>
      <c r="C911" s="2">
        <v>3.2889456294412902</v>
      </c>
      <c r="D911" s="2">
        <f>VLOOKUP(OneWeekMtgRatesDataTable8[[#This Row],[AsOfDate]],G:H,2,0)+OneWeekMtgRatesDataTable8[[#This Row],[SeriesNumValue]]</f>
        <v>4.1151026284412904</v>
      </c>
      <c r="F911" s="2" t="s">
        <v>1277</v>
      </c>
      <c r="G911" s="2" t="s">
        <v>914</v>
      </c>
      <c r="H911" s="2">
        <v>0.82615699899999995</v>
      </c>
      <c r="K911" s="4">
        <v>41493</v>
      </c>
      <c r="L911">
        <v>4.3250000000000002</v>
      </c>
    </row>
    <row r="912" spans="1:12" x14ac:dyDescent="0.25">
      <c r="A912" s="2" t="s">
        <v>5</v>
      </c>
      <c r="B912" s="2" t="s">
        <v>915</v>
      </c>
      <c r="C912" s="2">
        <v>3.3001731665241301</v>
      </c>
      <c r="D912" s="2">
        <f>VLOOKUP(OneWeekMtgRatesDataTable8[[#This Row],[AsOfDate]],G:H,2,0)+OneWeekMtgRatesDataTable8[[#This Row],[SeriesNumValue]]</f>
        <v>4.1263301655241298</v>
      </c>
      <c r="F912" s="2" t="s">
        <v>1277</v>
      </c>
      <c r="G912" s="2" t="s">
        <v>915</v>
      </c>
      <c r="H912" s="2">
        <v>0.82615699899999995</v>
      </c>
      <c r="K912" s="4">
        <v>41494</v>
      </c>
      <c r="L912">
        <v>4.3250000000000002</v>
      </c>
    </row>
    <row r="913" spans="1:12" x14ac:dyDescent="0.25">
      <c r="A913" s="2" t="s">
        <v>5</v>
      </c>
      <c r="B913" s="2" t="s">
        <v>916</v>
      </c>
      <c r="C913" s="2">
        <v>3.2564979130093699</v>
      </c>
      <c r="D913" s="2">
        <f>VLOOKUP(OneWeekMtgRatesDataTable8[[#This Row],[AsOfDate]],G:H,2,0)+OneWeekMtgRatesDataTable8[[#This Row],[SeriesNumValue]]</f>
        <v>4.08265491200937</v>
      </c>
      <c r="F913" s="2" t="s">
        <v>1277</v>
      </c>
      <c r="G913" s="2" t="s">
        <v>916</v>
      </c>
      <c r="H913" s="2">
        <v>0.82615699899999995</v>
      </c>
      <c r="K913" s="4">
        <v>41495</v>
      </c>
      <c r="L913">
        <v>4.3250000000000002</v>
      </c>
    </row>
    <row r="914" spans="1:12" x14ac:dyDescent="0.25">
      <c r="A914" s="2" t="s">
        <v>5</v>
      </c>
      <c r="B914" s="2" t="s">
        <v>917</v>
      </c>
      <c r="C914" s="2">
        <v>3.2397623305872298</v>
      </c>
      <c r="D914" s="2">
        <f>VLOOKUP(OneWeekMtgRatesDataTable8[[#This Row],[AsOfDate]],G:H,2,0)+OneWeekMtgRatesDataTable8[[#This Row],[SeriesNumValue]]</f>
        <v>4.0659193295872296</v>
      </c>
      <c r="F914" s="2" t="s">
        <v>1277</v>
      </c>
      <c r="G914" s="2" t="s">
        <v>917</v>
      </c>
      <c r="H914" s="2">
        <v>0.82615699899999995</v>
      </c>
      <c r="K914" s="4">
        <v>41498</v>
      </c>
      <c r="L914">
        <v>4.3250000000000002</v>
      </c>
    </row>
    <row r="915" spans="1:12" x14ac:dyDescent="0.25">
      <c r="A915" s="2" t="s">
        <v>5</v>
      </c>
      <c r="B915" s="2" t="s">
        <v>918</v>
      </c>
      <c r="C915" s="2">
        <v>3.2147148443632201</v>
      </c>
      <c r="D915" s="2">
        <f>VLOOKUP(OneWeekMtgRatesDataTable8[[#This Row],[AsOfDate]],G:H,2,0)+OneWeekMtgRatesDataTable8[[#This Row],[SeriesNumValue]]</f>
        <v>4.0408718433632203</v>
      </c>
      <c r="F915" s="2" t="s">
        <v>1277</v>
      </c>
      <c r="G915" s="2" t="s">
        <v>918</v>
      </c>
      <c r="H915" s="2">
        <v>0.82615699899999995</v>
      </c>
      <c r="K915" s="4">
        <v>41499</v>
      </c>
      <c r="L915">
        <v>4.3250000000000002</v>
      </c>
    </row>
    <row r="916" spans="1:12" x14ac:dyDescent="0.25">
      <c r="A916" s="2" t="s">
        <v>5</v>
      </c>
      <c r="B916" s="2" t="s">
        <v>919</v>
      </c>
      <c r="C916" s="2">
        <v>3.24020380359058</v>
      </c>
      <c r="D916" s="2">
        <f>VLOOKUP(OneWeekMtgRatesDataTable8[[#This Row],[AsOfDate]],G:H,2,0)+OneWeekMtgRatesDataTable8[[#This Row],[SeriesNumValue]]</f>
        <v>4.0649333915905803</v>
      </c>
      <c r="F916" s="2" t="s">
        <v>1277</v>
      </c>
      <c r="G916" s="2" t="s">
        <v>919</v>
      </c>
      <c r="H916" s="2">
        <v>0.82472958799999996</v>
      </c>
      <c r="K916" s="4">
        <v>41500</v>
      </c>
      <c r="L916">
        <v>4.3250000000000002</v>
      </c>
    </row>
    <row r="917" spans="1:12" x14ac:dyDescent="0.25">
      <c r="A917" s="2" t="s">
        <v>5</v>
      </c>
      <c r="B917" s="2" t="s">
        <v>920</v>
      </c>
      <c r="C917" s="2">
        <v>3.19667473354923</v>
      </c>
      <c r="D917" s="2">
        <f>VLOOKUP(OneWeekMtgRatesDataTable8[[#This Row],[AsOfDate]],G:H,2,0)+OneWeekMtgRatesDataTable8[[#This Row],[SeriesNumValue]]</f>
        <v>4.0214043215492303</v>
      </c>
      <c r="F917" s="2" t="s">
        <v>1277</v>
      </c>
      <c r="G917" s="2" t="s">
        <v>920</v>
      </c>
      <c r="H917" s="2">
        <v>0.82472958799999996</v>
      </c>
      <c r="K917" s="4">
        <v>41501</v>
      </c>
      <c r="L917">
        <v>4.53</v>
      </c>
    </row>
    <row r="918" spans="1:12" x14ac:dyDescent="0.25">
      <c r="A918" s="2" t="s">
        <v>5</v>
      </c>
      <c r="B918" s="2" t="s">
        <v>921</v>
      </c>
      <c r="C918" s="2">
        <v>3.21516848659176</v>
      </c>
      <c r="D918" s="2">
        <f>VLOOKUP(OneWeekMtgRatesDataTable8[[#This Row],[AsOfDate]],G:H,2,0)+OneWeekMtgRatesDataTable8[[#This Row],[SeriesNumValue]]</f>
        <v>4.0398980745917603</v>
      </c>
      <c r="F918" s="2" t="s">
        <v>1277</v>
      </c>
      <c r="G918" s="2" t="s">
        <v>921</v>
      </c>
      <c r="H918" s="2">
        <v>0.82472958799999996</v>
      </c>
      <c r="K918" s="4">
        <v>41502</v>
      </c>
      <c r="L918">
        <v>4.53</v>
      </c>
    </row>
    <row r="919" spans="1:12" x14ac:dyDescent="0.25">
      <c r="A919" s="2" t="s">
        <v>5</v>
      </c>
      <c r="B919" s="2" t="s">
        <v>922</v>
      </c>
      <c r="C919" s="2">
        <v>3.1926835363021802</v>
      </c>
      <c r="D919" s="2">
        <f>VLOOKUP(OneWeekMtgRatesDataTable8[[#This Row],[AsOfDate]],G:H,2,0)+OneWeekMtgRatesDataTable8[[#This Row],[SeriesNumValue]]</f>
        <v>4.0174131243021804</v>
      </c>
      <c r="F919" s="2" t="s">
        <v>1277</v>
      </c>
      <c r="G919" s="2" t="s">
        <v>922</v>
      </c>
      <c r="H919" s="2">
        <v>0.82472958799999996</v>
      </c>
      <c r="K919" s="4">
        <v>41505</v>
      </c>
      <c r="L919">
        <v>4.53</v>
      </c>
    </row>
    <row r="920" spans="1:12" x14ac:dyDescent="0.25">
      <c r="A920" s="2" t="s">
        <v>5</v>
      </c>
      <c r="B920" s="2" t="s">
        <v>923</v>
      </c>
      <c r="C920" s="2">
        <v>3.2078957125058598</v>
      </c>
      <c r="D920" s="2">
        <f>VLOOKUP(OneWeekMtgRatesDataTable8[[#This Row],[AsOfDate]],G:H,2,0)+OneWeekMtgRatesDataTable8[[#This Row],[SeriesNumValue]]</f>
        <v>4.0326253005058597</v>
      </c>
      <c r="F920" s="2" t="s">
        <v>1277</v>
      </c>
      <c r="G920" s="2" t="s">
        <v>923</v>
      </c>
      <c r="H920" s="2">
        <v>0.82472958799999996</v>
      </c>
      <c r="K920" s="4">
        <v>41506</v>
      </c>
      <c r="L920">
        <v>4.53</v>
      </c>
    </row>
    <row r="921" spans="1:12" x14ac:dyDescent="0.25">
      <c r="A921" s="2" t="s">
        <v>5</v>
      </c>
      <c r="B921" s="2" t="s">
        <v>924</v>
      </c>
      <c r="C921" s="2">
        <v>3.1187867017573798</v>
      </c>
      <c r="D921" s="2">
        <f>VLOOKUP(OneWeekMtgRatesDataTable8[[#This Row],[AsOfDate]],G:H,2,0)+OneWeekMtgRatesDataTable8[[#This Row],[SeriesNumValue]]</f>
        <v>3.9725448677573798</v>
      </c>
      <c r="F921" s="2" t="s">
        <v>1277</v>
      </c>
      <c r="G921" s="2" t="s">
        <v>924</v>
      </c>
      <c r="H921" s="2">
        <v>0.85375816599999999</v>
      </c>
      <c r="K921" s="4">
        <v>41507</v>
      </c>
      <c r="L921">
        <v>4.53</v>
      </c>
    </row>
    <row r="922" spans="1:12" x14ac:dyDescent="0.25">
      <c r="A922" s="2" t="s">
        <v>5</v>
      </c>
      <c r="B922" s="2" t="s">
        <v>925</v>
      </c>
      <c r="C922" s="2">
        <v>3.13610168579967</v>
      </c>
      <c r="D922" s="2">
        <f>VLOOKUP(OneWeekMtgRatesDataTable8[[#This Row],[AsOfDate]],G:H,2,0)+OneWeekMtgRatesDataTable8[[#This Row],[SeriesNumValue]]</f>
        <v>3.98985985179967</v>
      </c>
      <c r="F922" s="2" t="s">
        <v>1277</v>
      </c>
      <c r="G922" s="2" t="s">
        <v>925</v>
      </c>
      <c r="H922" s="2">
        <v>0.85375816599999999</v>
      </c>
      <c r="K922" s="4">
        <v>41508</v>
      </c>
      <c r="L922">
        <v>4.4349999999999996</v>
      </c>
    </row>
    <row r="923" spans="1:12" x14ac:dyDescent="0.25">
      <c r="A923" s="2" t="s">
        <v>5</v>
      </c>
      <c r="B923" s="2" t="s">
        <v>926</v>
      </c>
      <c r="C923" s="2">
        <v>3.14080245533752</v>
      </c>
      <c r="D923" s="2">
        <f>VLOOKUP(OneWeekMtgRatesDataTable8[[#This Row],[AsOfDate]],G:H,2,0)+OneWeekMtgRatesDataTable8[[#This Row],[SeriesNumValue]]</f>
        <v>3.99456062133752</v>
      </c>
      <c r="F923" s="2" t="s">
        <v>1277</v>
      </c>
      <c r="G923" s="2" t="s">
        <v>926</v>
      </c>
      <c r="H923" s="2">
        <v>0.85375816599999999</v>
      </c>
      <c r="K923" s="4">
        <v>41509</v>
      </c>
      <c r="L923">
        <v>4.4349999999999996</v>
      </c>
    </row>
    <row r="924" spans="1:12" x14ac:dyDescent="0.25">
      <c r="A924" s="2" t="s">
        <v>5</v>
      </c>
      <c r="B924" s="2" t="s">
        <v>927</v>
      </c>
      <c r="C924" s="2">
        <v>3.12297819640008</v>
      </c>
      <c r="D924" s="2">
        <f>VLOOKUP(OneWeekMtgRatesDataTable8[[#This Row],[AsOfDate]],G:H,2,0)+OneWeekMtgRatesDataTable8[[#This Row],[SeriesNumValue]]</f>
        <v>3.97673636240008</v>
      </c>
      <c r="F924" s="2" t="s">
        <v>1277</v>
      </c>
      <c r="G924" s="2" t="s">
        <v>927</v>
      </c>
      <c r="H924" s="2">
        <v>0.85375816599999999</v>
      </c>
      <c r="K924" s="4">
        <v>41512</v>
      </c>
      <c r="L924">
        <v>4.4349999999999996</v>
      </c>
    </row>
    <row r="925" spans="1:12" x14ac:dyDescent="0.25">
      <c r="A925" s="2" t="s">
        <v>5</v>
      </c>
      <c r="B925" s="2" t="s">
        <v>928</v>
      </c>
      <c r="C925" s="2">
        <v>3.05716566753143</v>
      </c>
      <c r="D925" s="2">
        <f>VLOOKUP(OneWeekMtgRatesDataTable8[[#This Row],[AsOfDate]],G:H,2,0)+OneWeekMtgRatesDataTable8[[#This Row],[SeriesNumValue]]</f>
        <v>3.91092383353143</v>
      </c>
      <c r="F925" s="2" t="s">
        <v>1277</v>
      </c>
      <c r="G925" s="2" t="s">
        <v>928</v>
      </c>
      <c r="H925" s="2">
        <v>0.85375816599999999</v>
      </c>
      <c r="K925" s="4">
        <v>41513</v>
      </c>
      <c r="L925">
        <v>4.4349999999999996</v>
      </c>
    </row>
    <row r="926" spans="1:12" x14ac:dyDescent="0.25">
      <c r="A926" s="2" t="s">
        <v>5</v>
      </c>
      <c r="B926" s="2" t="s">
        <v>929</v>
      </c>
      <c r="C926" s="2">
        <v>3.00695688776984</v>
      </c>
      <c r="D926" s="2">
        <f>VLOOKUP(OneWeekMtgRatesDataTable8[[#This Row],[AsOfDate]],G:H,2,0)+OneWeekMtgRatesDataTable8[[#This Row],[SeriesNumValue]]</f>
        <v>3.90915590876984</v>
      </c>
      <c r="F926" s="2" t="s">
        <v>1277</v>
      </c>
      <c r="G926" s="2" t="s">
        <v>929</v>
      </c>
      <c r="H926" s="2">
        <v>0.90219902100000005</v>
      </c>
      <c r="K926" s="4">
        <v>41514</v>
      </c>
      <c r="L926">
        <v>4.4349999999999996</v>
      </c>
    </row>
    <row r="927" spans="1:12" x14ac:dyDescent="0.25">
      <c r="A927" s="2" t="s">
        <v>5</v>
      </c>
      <c r="B927" s="2" t="s">
        <v>930</v>
      </c>
      <c r="C927" s="2">
        <v>3.0093512074845101</v>
      </c>
      <c r="D927" s="2">
        <f>VLOOKUP(OneWeekMtgRatesDataTable8[[#This Row],[AsOfDate]],G:H,2,0)+OneWeekMtgRatesDataTable8[[#This Row],[SeriesNumValue]]</f>
        <v>3.9115502284845101</v>
      </c>
      <c r="F927" s="2" t="s">
        <v>1277</v>
      </c>
      <c r="G927" s="2" t="s">
        <v>930</v>
      </c>
      <c r="H927" s="2">
        <v>0.90219902100000005</v>
      </c>
      <c r="K927" s="4">
        <v>41515</v>
      </c>
      <c r="L927">
        <v>4.4950000000000001</v>
      </c>
    </row>
    <row r="928" spans="1:12" x14ac:dyDescent="0.25">
      <c r="A928" s="2" t="s">
        <v>5</v>
      </c>
      <c r="B928" s="2" t="s">
        <v>931</v>
      </c>
      <c r="C928" s="2">
        <v>3.0064713691768699</v>
      </c>
      <c r="D928" s="2">
        <f>VLOOKUP(OneWeekMtgRatesDataTable8[[#This Row],[AsOfDate]],G:H,2,0)+OneWeekMtgRatesDataTable8[[#This Row],[SeriesNumValue]]</f>
        <v>3.9086703901768698</v>
      </c>
      <c r="F928" s="2" t="s">
        <v>1277</v>
      </c>
      <c r="G928" s="2" t="s">
        <v>931</v>
      </c>
      <c r="H928" s="2">
        <v>0.90219902100000005</v>
      </c>
      <c r="K928" s="4">
        <v>41516</v>
      </c>
      <c r="L928">
        <v>4.4950000000000001</v>
      </c>
    </row>
    <row r="929" spans="1:12" x14ac:dyDescent="0.25">
      <c r="A929" s="2" t="s">
        <v>5</v>
      </c>
      <c r="B929" s="2" t="s">
        <v>932</v>
      </c>
      <c r="C929" s="2">
        <v>2.9156735260487601</v>
      </c>
      <c r="D929" s="2">
        <f>VLOOKUP(OneWeekMtgRatesDataTable8[[#This Row],[AsOfDate]],G:H,2,0)+OneWeekMtgRatesDataTable8[[#This Row],[SeriesNumValue]]</f>
        <v>3.81787254704876</v>
      </c>
      <c r="F929" s="2" t="s">
        <v>1277</v>
      </c>
      <c r="G929" s="2" t="s">
        <v>932</v>
      </c>
      <c r="H929" s="2">
        <v>0.90219902100000005</v>
      </c>
      <c r="K929" s="4">
        <v>41520</v>
      </c>
      <c r="L929">
        <v>4.4950000000000001</v>
      </c>
    </row>
    <row r="930" spans="1:12" x14ac:dyDescent="0.25">
      <c r="A930" s="2" t="s">
        <v>5</v>
      </c>
      <c r="B930" s="2" t="s">
        <v>933</v>
      </c>
      <c r="C930" s="2">
        <v>2.8012763487796</v>
      </c>
      <c r="D930" s="2">
        <f>VLOOKUP(OneWeekMtgRatesDataTable8[[#This Row],[AsOfDate]],G:H,2,0)+OneWeekMtgRatesDataTable8[[#This Row],[SeriesNumValue]]</f>
        <v>3.7130832357796</v>
      </c>
      <c r="F930" s="2" t="s">
        <v>1277</v>
      </c>
      <c r="G930" s="2" t="s">
        <v>933</v>
      </c>
      <c r="H930" s="2">
        <v>0.91180688700000001</v>
      </c>
      <c r="K930" s="4">
        <v>41521</v>
      </c>
      <c r="L930">
        <v>4.4950000000000001</v>
      </c>
    </row>
    <row r="931" spans="1:12" x14ac:dyDescent="0.25">
      <c r="A931" s="2" t="s">
        <v>5</v>
      </c>
      <c r="B931" s="2" t="s">
        <v>934</v>
      </c>
      <c r="C931" s="2">
        <v>2.88997696662019</v>
      </c>
      <c r="D931" s="2">
        <f>VLOOKUP(OneWeekMtgRatesDataTable8[[#This Row],[AsOfDate]],G:H,2,0)+OneWeekMtgRatesDataTable8[[#This Row],[SeriesNumValue]]</f>
        <v>3.80178385362019</v>
      </c>
      <c r="F931" s="2" t="s">
        <v>1277</v>
      </c>
      <c r="G931" s="2" t="s">
        <v>934</v>
      </c>
      <c r="H931" s="2">
        <v>0.91180688700000001</v>
      </c>
      <c r="K931" s="4">
        <v>41522</v>
      </c>
      <c r="L931">
        <v>4.5199999999999996</v>
      </c>
    </row>
    <row r="932" spans="1:12" x14ac:dyDescent="0.25">
      <c r="A932" s="2" t="s">
        <v>5</v>
      </c>
      <c r="B932" s="2" t="s">
        <v>935</v>
      </c>
      <c r="C932" s="2">
        <v>2.9089681552965998</v>
      </c>
      <c r="D932" s="2">
        <f>VLOOKUP(OneWeekMtgRatesDataTable8[[#This Row],[AsOfDate]],G:H,2,0)+OneWeekMtgRatesDataTable8[[#This Row],[SeriesNumValue]]</f>
        <v>3.8207750422965998</v>
      </c>
      <c r="F932" s="2" t="s">
        <v>1277</v>
      </c>
      <c r="G932" s="2" t="s">
        <v>935</v>
      </c>
      <c r="H932" s="2">
        <v>0.91180688700000001</v>
      </c>
      <c r="K932" s="4">
        <v>41523</v>
      </c>
      <c r="L932">
        <v>4.5199999999999996</v>
      </c>
    </row>
    <row r="933" spans="1:12" x14ac:dyDescent="0.25">
      <c r="A933" s="2" t="s">
        <v>5</v>
      </c>
      <c r="B933" s="2" t="s">
        <v>936</v>
      </c>
      <c r="C933" s="2">
        <v>2.88228276625992</v>
      </c>
      <c r="D933" s="2">
        <f>VLOOKUP(OneWeekMtgRatesDataTable8[[#This Row],[AsOfDate]],G:H,2,0)+OneWeekMtgRatesDataTable8[[#This Row],[SeriesNumValue]]</f>
        <v>3.79408965325992</v>
      </c>
      <c r="F933" s="2" t="s">
        <v>1277</v>
      </c>
      <c r="G933" s="2" t="s">
        <v>936</v>
      </c>
      <c r="H933" s="2">
        <v>0.91180688700000001</v>
      </c>
      <c r="K933" s="4">
        <v>41526</v>
      </c>
      <c r="L933">
        <v>4.5199999999999996</v>
      </c>
    </row>
    <row r="934" spans="1:12" x14ac:dyDescent="0.25">
      <c r="A934" s="2" t="s">
        <v>5</v>
      </c>
      <c r="B934" s="2" t="s">
        <v>937</v>
      </c>
      <c r="C934" s="2">
        <v>2.90260596221672</v>
      </c>
      <c r="D934" s="2">
        <f>VLOOKUP(OneWeekMtgRatesDataTable8[[#This Row],[AsOfDate]],G:H,2,0)+OneWeekMtgRatesDataTable8[[#This Row],[SeriesNumValue]]</f>
        <v>3.81441284921672</v>
      </c>
      <c r="F934" s="2" t="s">
        <v>1277</v>
      </c>
      <c r="G934" s="2" t="s">
        <v>937</v>
      </c>
      <c r="H934" s="2">
        <v>0.91180688700000001</v>
      </c>
      <c r="K934" s="4">
        <v>41527</v>
      </c>
      <c r="L934">
        <v>4.5199999999999996</v>
      </c>
    </row>
    <row r="935" spans="1:12" x14ac:dyDescent="0.25">
      <c r="A935" s="2" t="s">
        <v>5</v>
      </c>
      <c r="B935" s="2" t="s">
        <v>938</v>
      </c>
      <c r="C935" s="2">
        <v>2.91560839979166</v>
      </c>
      <c r="D935" s="2">
        <f>VLOOKUP(OneWeekMtgRatesDataTable8[[#This Row],[AsOfDate]],G:H,2,0)+OneWeekMtgRatesDataTable8[[#This Row],[SeriesNumValue]]</f>
        <v>3.8107199497916602</v>
      </c>
      <c r="F935" s="2" t="s">
        <v>1277</v>
      </c>
      <c r="G935" s="2" t="s">
        <v>938</v>
      </c>
      <c r="H935" s="2">
        <v>0.89511154999999998</v>
      </c>
      <c r="K935" s="4">
        <v>41528</v>
      </c>
      <c r="L935">
        <v>4.5199999999999996</v>
      </c>
    </row>
    <row r="936" spans="1:12" x14ac:dyDescent="0.25">
      <c r="A936" s="2" t="s">
        <v>5</v>
      </c>
      <c r="B936" s="2" t="s">
        <v>939</v>
      </c>
      <c r="C936" s="2">
        <v>2.9569729972046299</v>
      </c>
      <c r="D936" s="2">
        <f>VLOOKUP(OneWeekMtgRatesDataTable8[[#This Row],[AsOfDate]],G:H,2,0)+OneWeekMtgRatesDataTable8[[#This Row],[SeriesNumValue]]</f>
        <v>3.8520845472046297</v>
      </c>
      <c r="F936" s="2" t="s">
        <v>1277</v>
      </c>
      <c r="G936" s="2" t="s">
        <v>939</v>
      </c>
      <c r="H936" s="2">
        <v>0.89511154999999998</v>
      </c>
      <c r="K936" s="4">
        <v>41529</v>
      </c>
      <c r="L936">
        <v>4.4249999999999998</v>
      </c>
    </row>
    <row r="937" spans="1:12" x14ac:dyDescent="0.25">
      <c r="A937" s="2" t="s">
        <v>5</v>
      </c>
      <c r="B937" s="2" t="s">
        <v>940</v>
      </c>
      <c r="C937" s="2">
        <v>2.9670641789919698</v>
      </c>
      <c r="D937" s="2">
        <f>VLOOKUP(OneWeekMtgRatesDataTable8[[#This Row],[AsOfDate]],G:H,2,0)+OneWeekMtgRatesDataTable8[[#This Row],[SeriesNumValue]]</f>
        <v>3.8621757289919696</v>
      </c>
      <c r="F937" s="2" t="s">
        <v>1277</v>
      </c>
      <c r="G937" s="2" t="s">
        <v>940</v>
      </c>
      <c r="H937" s="2">
        <v>0.89511154999999998</v>
      </c>
      <c r="K937" s="4">
        <v>41530</v>
      </c>
      <c r="L937">
        <v>4.4249999999999998</v>
      </c>
    </row>
    <row r="938" spans="1:12" x14ac:dyDescent="0.25">
      <c r="A938" s="2" t="s">
        <v>5</v>
      </c>
      <c r="B938" s="2" t="s">
        <v>941</v>
      </c>
      <c r="C938" s="2">
        <v>2.95063055740501</v>
      </c>
      <c r="D938" s="2">
        <f>VLOOKUP(OneWeekMtgRatesDataTable8[[#This Row],[AsOfDate]],G:H,2,0)+OneWeekMtgRatesDataTable8[[#This Row],[SeriesNumValue]]</f>
        <v>3.8457421074050098</v>
      </c>
      <c r="F938" s="2" t="s">
        <v>1277</v>
      </c>
      <c r="G938" s="2" t="s">
        <v>941</v>
      </c>
      <c r="H938" s="2">
        <v>0.89511154999999998</v>
      </c>
      <c r="K938" s="4">
        <v>41533</v>
      </c>
      <c r="L938">
        <v>4.4249999999999998</v>
      </c>
    </row>
    <row r="939" spans="1:12" x14ac:dyDescent="0.25">
      <c r="A939" s="2" t="s">
        <v>5</v>
      </c>
      <c r="B939" s="2" t="s">
        <v>942</v>
      </c>
      <c r="C939" s="2">
        <v>2.9732615646767</v>
      </c>
      <c r="D939" s="2">
        <f>VLOOKUP(OneWeekMtgRatesDataTable8[[#This Row],[AsOfDate]],G:H,2,0)+OneWeekMtgRatesDataTable8[[#This Row],[SeriesNumValue]]</f>
        <v>3.8683731146767002</v>
      </c>
      <c r="F939" s="2" t="s">
        <v>1277</v>
      </c>
      <c r="G939" s="2" t="s">
        <v>942</v>
      </c>
      <c r="H939" s="2">
        <v>0.89511154999999998</v>
      </c>
      <c r="K939" s="4">
        <v>41534</v>
      </c>
      <c r="L939">
        <v>4.4249999999999998</v>
      </c>
    </row>
    <row r="940" spans="1:12" x14ac:dyDescent="0.25">
      <c r="A940" s="2" t="s">
        <v>5</v>
      </c>
      <c r="B940" s="2" t="s">
        <v>943</v>
      </c>
      <c r="C940" s="2">
        <v>3.0090985385111702</v>
      </c>
      <c r="D940" s="2">
        <f>VLOOKUP(OneWeekMtgRatesDataTable8[[#This Row],[AsOfDate]],G:H,2,0)+OneWeekMtgRatesDataTable8[[#This Row],[SeriesNumValue]]</f>
        <v>3.89269297151117</v>
      </c>
      <c r="F940" s="2" t="s">
        <v>1277</v>
      </c>
      <c r="G940" s="2" t="s">
        <v>943</v>
      </c>
      <c r="H940" s="2">
        <v>0.88359443299999996</v>
      </c>
      <c r="K940" s="4">
        <v>41535</v>
      </c>
      <c r="L940">
        <v>4.4249999999999998</v>
      </c>
    </row>
    <row r="941" spans="1:12" x14ac:dyDescent="0.25">
      <c r="A941" s="2" t="s">
        <v>5</v>
      </c>
      <c r="B941" s="2" t="s">
        <v>944</v>
      </c>
      <c r="C941" s="2">
        <v>2.9884141965756501</v>
      </c>
      <c r="D941" s="2">
        <f>VLOOKUP(OneWeekMtgRatesDataTable8[[#This Row],[AsOfDate]],G:H,2,0)+OneWeekMtgRatesDataTable8[[#This Row],[SeriesNumValue]]</f>
        <v>3.87200862957565</v>
      </c>
      <c r="F941" s="2" t="s">
        <v>1277</v>
      </c>
      <c r="G941" s="2" t="s">
        <v>944</v>
      </c>
      <c r="H941" s="2">
        <v>0.88359443299999996</v>
      </c>
      <c r="K941" s="4">
        <v>41536</v>
      </c>
      <c r="L941">
        <v>4.2450000000000001</v>
      </c>
    </row>
    <row r="942" spans="1:12" x14ac:dyDescent="0.25">
      <c r="A942" s="2" t="s">
        <v>5</v>
      </c>
      <c r="B942" s="2" t="s">
        <v>945</v>
      </c>
      <c r="C942" s="2">
        <v>3.0097405474457601</v>
      </c>
      <c r="D942" s="2">
        <f>VLOOKUP(OneWeekMtgRatesDataTable8[[#This Row],[AsOfDate]],G:H,2,0)+OneWeekMtgRatesDataTable8[[#This Row],[SeriesNumValue]]</f>
        <v>3.89333498044576</v>
      </c>
      <c r="F942" s="2" t="s">
        <v>1277</v>
      </c>
      <c r="G942" s="2" t="s">
        <v>945</v>
      </c>
      <c r="H942" s="2">
        <v>0.88359443299999996</v>
      </c>
      <c r="K942" s="4">
        <v>41537</v>
      </c>
      <c r="L942">
        <v>4.2450000000000001</v>
      </c>
    </row>
    <row r="943" spans="1:12" x14ac:dyDescent="0.25">
      <c r="A943" s="2" t="s">
        <v>5</v>
      </c>
      <c r="B943" s="2" t="s">
        <v>946</v>
      </c>
      <c r="C943" s="2">
        <v>3.04727792085342</v>
      </c>
      <c r="D943" s="2">
        <f>VLOOKUP(OneWeekMtgRatesDataTable8[[#This Row],[AsOfDate]],G:H,2,0)+OneWeekMtgRatesDataTable8[[#This Row],[SeriesNumValue]]</f>
        <v>3.9308723538534198</v>
      </c>
      <c r="F943" s="2" t="s">
        <v>1277</v>
      </c>
      <c r="G943" s="2" t="s">
        <v>946</v>
      </c>
      <c r="H943" s="2">
        <v>0.88359443299999996</v>
      </c>
      <c r="K943" s="4">
        <v>41540</v>
      </c>
      <c r="L943">
        <v>4.2450000000000001</v>
      </c>
    </row>
    <row r="944" spans="1:12" x14ac:dyDescent="0.25">
      <c r="A944" s="2" t="s">
        <v>5</v>
      </c>
      <c r="B944" s="2" t="s">
        <v>947</v>
      </c>
      <c r="C944" s="2">
        <v>3.0442418004482401</v>
      </c>
      <c r="D944" s="2">
        <f>VLOOKUP(OneWeekMtgRatesDataTable8[[#This Row],[AsOfDate]],G:H,2,0)+OneWeekMtgRatesDataTable8[[#This Row],[SeriesNumValue]]</f>
        <v>3.92783623344824</v>
      </c>
      <c r="F944" s="2" t="s">
        <v>1277</v>
      </c>
      <c r="G944" s="2" t="s">
        <v>947</v>
      </c>
      <c r="H944" s="2">
        <v>0.88359443299999996</v>
      </c>
      <c r="K944" s="4">
        <v>41541</v>
      </c>
      <c r="L944">
        <v>4.2450000000000001</v>
      </c>
    </row>
    <row r="945" spans="1:12" x14ac:dyDescent="0.25">
      <c r="A945" s="2" t="s">
        <v>5</v>
      </c>
      <c r="B945" s="2" t="s">
        <v>948</v>
      </c>
      <c r="C945" s="2">
        <v>3.04444949772784</v>
      </c>
      <c r="D945" s="2">
        <f>VLOOKUP(OneWeekMtgRatesDataTable8[[#This Row],[AsOfDate]],G:H,2,0)+OneWeekMtgRatesDataTable8[[#This Row],[SeriesNumValue]]</f>
        <v>3.9126247047278397</v>
      </c>
      <c r="F945" s="2" t="s">
        <v>1277</v>
      </c>
      <c r="G945" s="2" t="s">
        <v>948</v>
      </c>
      <c r="H945" s="2">
        <v>0.86817520699999995</v>
      </c>
      <c r="K945" s="4">
        <v>41542</v>
      </c>
      <c r="L945">
        <v>4.2450000000000001</v>
      </c>
    </row>
    <row r="946" spans="1:12" x14ac:dyDescent="0.25">
      <c r="A946" s="2" t="s">
        <v>5</v>
      </c>
      <c r="B946" s="2" t="s">
        <v>949</v>
      </c>
      <c r="C946" s="2">
        <v>3.05201083744713</v>
      </c>
      <c r="D946" s="2">
        <f>VLOOKUP(OneWeekMtgRatesDataTable8[[#This Row],[AsOfDate]],G:H,2,0)+OneWeekMtgRatesDataTable8[[#This Row],[SeriesNumValue]]</f>
        <v>3.9201860444471297</v>
      </c>
      <c r="F946" s="2" t="s">
        <v>1277</v>
      </c>
      <c r="G946" s="2" t="s">
        <v>949</v>
      </c>
      <c r="H946" s="2">
        <v>0.86817520699999995</v>
      </c>
      <c r="K946" s="4">
        <v>41543</v>
      </c>
      <c r="L946">
        <v>4.1449999999999996</v>
      </c>
    </row>
    <row r="947" spans="1:12" x14ac:dyDescent="0.25">
      <c r="A947" s="2" t="s">
        <v>5</v>
      </c>
      <c r="B947" s="2" t="s">
        <v>950</v>
      </c>
      <c r="C947" s="2">
        <v>3.00136099640791</v>
      </c>
      <c r="D947" s="2">
        <f>VLOOKUP(OneWeekMtgRatesDataTable8[[#This Row],[AsOfDate]],G:H,2,0)+OneWeekMtgRatesDataTable8[[#This Row],[SeriesNumValue]]</f>
        <v>3.8695362034079102</v>
      </c>
      <c r="F947" s="2" t="s">
        <v>1277</v>
      </c>
      <c r="G947" s="2" t="s">
        <v>950</v>
      </c>
      <c r="H947" s="2">
        <v>0.86817520699999995</v>
      </c>
      <c r="K947" s="4">
        <v>41544</v>
      </c>
      <c r="L947">
        <v>4.1449999999999996</v>
      </c>
    </row>
    <row r="948" spans="1:12" x14ac:dyDescent="0.25">
      <c r="A948" s="2" t="s">
        <v>5</v>
      </c>
      <c r="B948" s="2" t="s">
        <v>951</v>
      </c>
      <c r="C948" s="2">
        <v>3.0363365323845302</v>
      </c>
      <c r="D948" s="2">
        <f>VLOOKUP(OneWeekMtgRatesDataTable8[[#This Row],[AsOfDate]],G:H,2,0)+OneWeekMtgRatesDataTable8[[#This Row],[SeriesNumValue]]</f>
        <v>3.9045117393845299</v>
      </c>
      <c r="F948" s="2" t="s">
        <v>1277</v>
      </c>
      <c r="G948" s="2" t="s">
        <v>951</v>
      </c>
      <c r="H948" s="2">
        <v>0.86817520699999995</v>
      </c>
      <c r="K948" s="4">
        <v>41547</v>
      </c>
      <c r="L948">
        <v>4.1449999999999996</v>
      </c>
    </row>
    <row r="949" spans="1:12" x14ac:dyDescent="0.25">
      <c r="A949" s="2" t="s">
        <v>5</v>
      </c>
      <c r="B949" s="2" t="s">
        <v>952</v>
      </c>
      <c r="C949" s="2">
        <v>3.03648433223462</v>
      </c>
      <c r="D949" s="2">
        <f>VLOOKUP(OneWeekMtgRatesDataTable8[[#This Row],[AsOfDate]],G:H,2,0)+OneWeekMtgRatesDataTable8[[#This Row],[SeriesNumValue]]</f>
        <v>3.8899361572346201</v>
      </c>
      <c r="F949" s="2" t="s">
        <v>1277</v>
      </c>
      <c r="G949" s="2" t="s">
        <v>952</v>
      </c>
      <c r="H949" s="2">
        <v>0.85345182500000005</v>
      </c>
      <c r="K949" s="4">
        <v>41548</v>
      </c>
      <c r="L949">
        <v>4.1449999999999996</v>
      </c>
    </row>
    <row r="950" spans="1:12" x14ac:dyDescent="0.25">
      <c r="A950" s="2" t="s">
        <v>5</v>
      </c>
      <c r="B950" s="2" t="s">
        <v>953</v>
      </c>
      <c r="C950" s="2">
        <v>3.0240880311784402</v>
      </c>
      <c r="D950" s="2">
        <f>VLOOKUP(OneWeekMtgRatesDataTable8[[#This Row],[AsOfDate]],G:H,2,0)+OneWeekMtgRatesDataTable8[[#This Row],[SeriesNumValue]]</f>
        <v>3.8775398561784402</v>
      </c>
      <c r="F950" s="2" t="s">
        <v>1277</v>
      </c>
      <c r="G950" s="2" t="s">
        <v>953</v>
      </c>
      <c r="H950" s="2">
        <v>0.85345182500000005</v>
      </c>
      <c r="K950" s="4">
        <v>41549</v>
      </c>
      <c r="L950">
        <v>4.1449999999999996</v>
      </c>
    </row>
    <row r="951" spans="1:12" x14ac:dyDescent="0.25">
      <c r="A951" s="2" t="s">
        <v>5</v>
      </c>
      <c r="B951" s="2" t="s">
        <v>954</v>
      </c>
      <c r="C951" s="2">
        <v>2.9883080633805301</v>
      </c>
      <c r="D951" s="2">
        <f>VLOOKUP(OneWeekMtgRatesDataTable8[[#This Row],[AsOfDate]],G:H,2,0)+OneWeekMtgRatesDataTable8[[#This Row],[SeriesNumValue]]</f>
        <v>3.8417598883805302</v>
      </c>
      <c r="F951" s="2" t="s">
        <v>1277</v>
      </c>
      <c r="G951" s="2" t="s">
        <v>954</v>
      </c>
      <c r="H951" s="2">
        <v>0.85345182500000005</v>
      </c>
      <c r="K951" s="4">
        <v>41550</v>
      </c>
      <c r="L951">
        <v>4.1550000000000002</v>
      </c>
    </row>
    <row r="952" spans="1:12" x14ac:dyDescent="0.25">
      <c r="A952" s="2" t="s">
        <v>5</v>
      </c>
      <c r="B952" s="2" t="s">
        <v>955</v>
      </c>
      <c r="C952" s="2">
        <v>2.9940977333827501</v>
      </c>
      <c r="D952" s="2">
        <f>VLOOKUP(OneWeekMtgRatesDataTable8[[#This Row],[AsOfDate]],G:H,2,0)+OneWeekMtgRatesDataTable8[[#This Row],[SeriesNumValue]]</f>
        <v>3.8475495583827501</v>
      </c>
      <c r="F952" s="2" t="s">
        <v>1277</v>
      </c>
      <c r="G952" s="2" t="s">
        <v>955</v>
      </c>
      <c r="H952" s="2">
        <v>0.85345182500000005</v>
      </c>
      <c r="K952" s="4">
        <v>41551</v>
      </c>
      <c r="L952">
        <v>4.1550000000000002</v>
      </c>
    </row>
    <row r="953" spans="1:12" x14ac:dyDescent="0.25">
      <c r="A953" s="2" t="s">
        <v>5</v>
      </c>
      <c r="B953" s="2" t="s">
        <v>956</v>
      </c>
      <c r="C953" s="2">
        <v>2.98225794262494</v>
      </c>
      <c r="D953" s="2">
        <f>VLOOKUP(OneWeekMtgRatesDataTable8[[#This Row],[AsOfDate]],G:H,2,0)+OneWeekMtgRatesDataTable8[[#This Row],[SeriesNumValue]]</f>
        <v>3.8357097676249401</v>
      </c>
      <c r="F953" s="2" t="s">
        <v>1277</v>
      </c>
      <c r="G953" s="2" t="s">
        <v>956</v>
      </c>
      <c r="H953" s="2">
        <v>0.85345182500000005</v>
      </c>
      <c r="K953" s="4">
        <v>41554</v>
      </c>
      <c r="L953">
        <v>4.1550000000000002</v>
      </c>
    </row>
    <row r="954" spans="1:12" x14ac:dyDescent="0.25">
      <c r="A954" s="2" t="s">
        <v>5</v>
      </c>
      <c r="B954" s="2" t="s">
        <v>957</v>
      </c>
      <c r="C954" s="2">
        <v>3.0039537946355401</v>
      </c>
      <c r="D954" s="2">
        <f>VLOOKUP(OneWeekMtgRatesDataTable8[[#This Row],[AsOfDate]],G:H,2,0)+OneWeekMtgRatesDataTable8[[#This Row],[SeriesNumValue]]</f>
        <v>3.87041268163554</v>
      </c>
      <c r="F954" s="2" t="s">
        <v>1277</v>
      </c>
      <c r="G954" s="2" t="s">
        <v>957</v>
      </c>
      <c r="H954" s="2">
        <v>0.86645888699999996</v>
      </c>
      <c r="K954" s="4">
        <v>41555</v>
      </c>
      <c r="L954">
        <v>4.1550000000000002</v>
      </c>
    </row>
    <row r="955" spans="1:12" x14ac:dyDescent="0.25">
      <c r="A955" s="2" t="s">
        <v>5</v>
      </c>
      <c r="B955" s="2" t="s">
        <v>958</v>
      </c>
      <c r="C955" s="2">
        <v>2.9824542230370898</v>
      </c>
      <c r="D955" s="2">
        <f>VLOOKUP(OneWeekMtgRatesDataTable8[[#This Row],[AsOfDate]],G:H,2,0)+OneWeekMtgRatesDataTable8[[#This Row],[SeriesNumValue]]</f>
        <v>3.8489131100370897</v>
      </c>
      <c r="F955" s="2" t="s">
        <v>1277</v>
      </c>
      <c r="G955" s="2" t="s">
        <v>958</v>
      </c>
      <c r="H955" s="2">
        <v>0.86645888699999996</v>
      </c>
      <c r="K955" s="4">
        <v>41556</v>
      </c>
      <c r="L955">
        <v>4.1550000000000002</v>
      </c>
    </row>
    <row r="956" spans="1:12" x14ac:dyDescent="0.25">
      <c r="A956" s="2" t="s">
        <v>5</v>
      </c>
      <c r="B956" s="2" t="s">
        <v>959</v>
      </c>
      <c r="C956" s="2">
        <v>2.96503071609644</v>
      </c>
      <c r="D956" s="2">
        <f>VLOOKUP(OneWeekMtgRatesDataTable8[[#This Row],[AsOfDate]],G:H,2,0)+OneWeekMtgRatesDataTable8[[#This Row],[SeriesNumValue]]</f>
        <v>3.8314896030964398</v>
      </c>
      <c r="F956" s="2" t="s">
        <v>1277</v>
      </c>
      <c r="G956" s="2" t="s">
        <v>959</v>
      </c>
      <c r="H956" s="2">
        <v>0.86645888699999996</v>
      </c>
      <c r="K956" s="4">
        <v>41557</v>
      </c>
      <c r="L956">
        <v>4.2050000000000001</v>
      </c>
    </row>
    <row r="957" spans="1:12" x14ac:dyDescent="0.25">
      <c r="A957" s="2" t="s">
        <v>5</v>
      </c>
      <c r="B957" s="2" t="s">
        <v>960</v>
      </c>
      <c r="C957" s="2">
        <v>2.9533754292471799</v>
      </c>
      <c r="D957" s="2">
        <f>VLOOKUP(OneWeekMtgRatesDataTable8[[#This Row],[AsOfDate]],G:H,2,0)+OneWeekMtgRatesDataTable8[[#This Row],[SeriesNumValue]]</f>
        <v>3.8198343162471797</v>
      </c>
      <c r="F957" s="2" t="s">
        <v>1277</v>
      </c>
      <c r="G957" s="2" t="s">
        <v>960</v>
      </c>
      <c r="H957" s="2">
        <v>0.86645888699999996</v>
      </c>
      <c r="K957" s="4">
        <v>41558</v>
      </c>
      <c r="L957">
        <v>4.2050000000000001</v>
      </c>
    </row>
    <row r="958" spans="1:12" x14ac:dyDescent="0.25">
      <c r="A958" s="2" t="s">
        <v>5</v>
      </c>
      <c r="B958" s="2" t="s">
        <v>961</v>
      </c>
      <c r="C958" s="2">
        <v>2.8987235748393099</v>
      </c>
      <c r="D958" s="2">
        <f>VLOOKUP(OneWeekMtgRatesDataTable8[[#This Row],[AsOfDate]],G:H,2,0)+OneWeekMtgRatesDataTable8[[#This Row],[SeriesNumValue]]</f>
        <v>3.7651824618393097</v>
      </c>
      <c r="F958" s="2" t="s">
        <v>1277</v>
      </c>
      <c r="G958" s="2" t="s">
        <v>961</v>
      </c>
      <c r="H958" s="2">
        <v>0.86645888699999996</v>
      </c>
      <c r="K958" s="4">
        <v>41562</v>
      </c>
      <c r="L958">
        <v>4.2050000000000001</v>
      </c>
    </row>
    <row r="959" spans="1:12" x14ac:dyDescent="0.25">
      <c r="A959" s="2" t="s">
        <v>5</v>
      </c>
      <c r="B959" s="2" t="s">
        <v>962</v>
      </c>
      <c r="C959" s="2">
        <v>2.8840952878375998</v>
      </c>
      <c r="D959" s="2">
        <f>VLOOKUP(OneWeekMtgRatesDataTable8[[#This Row],[AsOfDate]],G:H,2,0)+OneWeekMtgRatesDataTable8[[#This Row],[SeriesNumValue]]</f>
        <v>3.7923594418375997</v>
      </c>
      <c r="F959" s="2" t="s">
        <v>1277</v>
      </c>
      <c r="G959" s="2" t="s">
        <v>962</v>
      </c>
      <c r="H959" s="2">
        <v>0.90826415400000005</v>
      </c>
      <c r="K959" s="4">
        <v>41563</v>
      </c>
      <c r="L959">
        <v>4.2050000000000001</v>
      </c>
    </row>
    <row r="960" spans="1:12" x14ac:dyDescent="0.25">
      <c r="A960" s="2" t="s">
        <v>5</v>
      </c>
      <c r="B960" s="2" t="s">
        <v>963</v>
      </c>
      <c r="C960" s="2">
        <v>2.84568526355815</v>
      </c>
      <c r="D960" s="2">
        <f>VLOOKUP(OneWeekMtgRatesDataTable8[[#This Row],[AsOfDate]],G:H,2,0)+OneWeekMtgRatesDataTable8[[#This Row],[SeriesNumValue]]</f>
        <v>3.7539494175581503</v>
      </c>
      <c r="F960" s="2" t="s">
        <v>1277</v>
      </c>
      <c r="G960" s="2" t="s">
        <v>963</v>
      </c>
      <c r="H960" s="2">
        <v>0.90826415400000005</v>
      </c>
      <c r="K960" s="4">
        <v>41564</v>
      </c>
      <c r="L960">
        <v>4.08</v>
      </c>
    </row>
    <row r="961" spans="1:12" x14ac:dyDescent="0.25">
      <c r="A961" s="2" t="s">
        <v>5</v>
      </c>
      <c r="B961" s="2" t="s">
        <v>964</v>
      </c>
      <c r="C961" s="2">
        <v>2.8622800897906999</v>
      </c>
      <c r="D961" s="2">
        <f>VLOOKUP(OneWeekMtgRatesDataTable8[[#This Row],[AsOfDate]],G:H,2,0)+OneWeekMtgRatesDataTable8[[#This Row],[SeriesNumValue]]</f>
        <v>3.7705442437906997</v>
      </c>
      <c r="F961" s="2" t="s">
        <v>1277</v>
      </c>
      <c r="G961" s="2" t="s">
        <v>964</v>
      </c>
      <c r="H961" s="2">
        <v>0.90826415400000005</v>
      </c>
      <c r="K961" s="4">
        <v>41565</v>
      </c>
      <c r="L961">
        <v>4.08</v>
      </c>
    </row>
    <row r="962" spans="1:12" x14ac:dyDescent="0.25">
      <c r="A962" s="2" t="s">
        <v>5</v>
      </c>
      <c r="B962" s="2" t="s">
        <v>965</v>
      </c>
      <c r="C962" s="2">
        <v>2.92504129119764</v>
      </c>
      <c r="D962" s="2">
        <f>VLOOKUP(OneWeekMtgRatesDataTable8[[#This Row],[AsOfDate]],G:H,2,0)+OneWeekMtgRatesDataTable8[[#This Row],[SeriesNumValue]]</f>
        <v>3.8333054451976398</v>
      </c>
      <c r="F962" s="2" t="s">
        <v>1277</v>
      </c>
      <c r="G962" s="2" t="s">
        <v>965</v>
      </c>
      <c r="H962" s="2">
        <v>0.90826415400000005</v>
      </c>
      <c r="K962" s="4">
        <v>41568</v>
      </c>
      <c r="L962">
        <v>4.08</v>
      </c>
    </row>
    <row r="963" spans="1:12" x14ac:dyDescent="0.25">
      <c r="A963" s="2" t="s">
        <v>5</v>
      </c>
      <c r="B963" s="2" t="s">
        <v>966</v>
      </c>
      <c r="C963" s="2">
        <v>2.9323159668402701</v>
      </c>
      <c r="D963" s="2">
        <f>VLOOKUP(OneWeekMtgRatesDataTable8[[#This Row],[AsOfDate]],G:H,2,0)+OneWeekMtgRatesDataTable8[[#This Row],[SeriesNumValue]]</f>
        <v>3.8059853138402699</v>
      </c>
      <c r="F963" s="2" t="s">
        <v>1277</v>
      </c>
      <c r="G963" s="2" t="s">
        <v>966</v>
      </c>
      <c r="H963" s="2">
        <v>0.87366934699999999</v>
      </c>
      <c r="K963" s="4">
        <v>41569</v>
      </c>
      <c r="L963">
        <v>4.08</v>
      </c>
    </row>
    <row r="964" spans="1:12" x14ac:dyDescent="0.25">
      <c r="A964" s="2" t="s">
        <v>5</v>
      </c>
      <c r="B964" s="2" t="s">
        <v>967</v>
      </c>
      <c r="C964" s="2">
        <v>2.90250988237801</v>
      </c>
      <c r="D964" s="2">
        <f>VLOOKUP(OneWeekMtgRatesDataTable8[[#This Row],[AsOfDate]],G:H,2,0)+OneWeekMtgRatesDataTable8[[#This Row],[SeriesNumValue]]</f>
        <v>3.7761792293780099</v>
      </c>
      <c r="F964" s="2" t="s">
        <v>1277</v>
      </c>
      <c r="G964" s="2" t="s">
        <v>967</v>
      </c>
      <c r="H964" s="2">
        <v>0.87366934699999999</v>
      </c>
      <c r="K964" s="4">
        <v>41570</v>
      </c>
      <c r="L964">
        <v>4.08</v>
      </c>
    </row>
    <row r="965" spans="1:12" x14ac:dyDescent="0.25">
      <c r="A965" s="2" t="s">
        <v>5</v>
      </c>
      <c r="B965" s="2" t="s">
        <v>968</v>
      </c>
      <c r="C965" s="2">
        <v>2.9546349103912699</v>
      </c>
      <c r="D965" s="2">
        <f>VLOOKUP(OneWeekMtgRatesDataTable8[[#This Row],[AsOfDate]],G:H,2,0)+OneWeekMtgRatesDataTable8[[#This Row],[SeriesNumValue]]</f>
        <v>3.8283042573912698</v>
      </c>
      <c r="F965" s="2" t="s">
        <v>1277</v>
      </c>
      <c r="G965" s="2" t="s">
        <v>968</v>
      </c>
      <c r="H965" s="2">
        <v>0.87366934699999999</v>
      </c>
      <c r="K965" s="4">
        <v>41571</v>
      </c>
      <c r="L965">
        <v>4.0250000000000004</v>
      </c>
    </row>
    <row r="966" spans="1:12" x14ac:dyDescent="0.25">
      <c r="A966" s="2" t="s">
        <v>5</v>
      </c>
      <c r="B966" s="2" t="s">
        <v>969</v>
      </c>
      <c r="C966" s="2">
        <v>2.9087586637234901</v>
      </c>
      <c r="D966" s="2">
        <f>VLOOKUP(OneWeekMtgRatesDataTable8[[#This Row],[AsOfDate]],G:H,2,0)+OneWeekMtgRatesDataTable8[[#This Row],[SeriesNumValue]]</f>
        <v>3.78242801072349</v>
      </c>
      <c r="F966" s="2" t="s">
        <v>1277</v>
      </c>
      <c r="G966" s="2" t="s">
        <v>969</v>
      </c>
      <c r="H966" s="2">
        <v>0.87366934699999999</v>
      </c>
      <c r="K966" s="4">
        <v>41572</v>
      </c>
      <c r="L966">
        <v>4.0250000000000004</v>
      </c>
    </row>
    <row r="967" spans="1:12" x14ac:dyDescent="0.25">
      <c r="A967" s="2" t="s">
        <v>5</v>
      </c>
      <c r="B967" s="2" t="s">
        <v>970</v>
      </c>
      <c r="C967" s="2">
        <v>2.8860238028398202</v>
      </c>
      <c r="D967" s="2">
        <f>VLOOKUP(OneWeekMtgRatesDataTable8[[#This Row],[AsOfDate]],G:H,2,0)+OneWeekMtgRatesDataTable8[[#This Row],[SeriesNumValue]]</f>
        <v>3.7596931498398201</v>
      </c>
      <c r="F967" s="2" t="s">
        <v>1277</v>
      </c>
      <c r="G967" s="2" t="s">
        <v>970</v>
      </c>
      <c r="H967" s="2">
        <v>0.87366934699999999</v>
      </c>
      <c r="K967" s="4">
        <v>41575</v>
      </c>
      <c r="L967">
        <v>4.0250000000000004</v>
      </c>
    </row>
    <row r="968" spans="1:12" x14ac:dyDescent="0.25">
      <c r="A968" s="2" t="s">
        <v>5</v>
      </c>
      <c r="B968" s="2" t="s">
        <v>971</v>
      </c>
      <c r="C968" s="2">
        <v>2.8515070487427501</v>
      </c>
      <c r="D968" s="2">
        <f>VLOOKUP(OneWeekMtgRatesDataTable8[[#This Row],[AsOfDate]],G:H,2,0)+OneWeekMtgRatesDataTable8[[#This Row],[SeriesNumValue]]</f>
        <v>3.7558201867427501</v>
      </c>
      <c r="F968" s="2" t="s">
        <v>1277</v>
      </c>
      <c r="G968" s="2" t="s">
        <v>971</v>
      </c>
      <c r="H968" s="2">
        <v>0.90431313800000002</v>
      </c>
      <c r="K968" s="4">
        <v>41576</v>
      </c>
      <c r="L968">
        <v>4.0250000000000004</v>
      </c>
    </row>
    <row r="969" spans="1:12" x14ac:dyDescent="0.25">
      <c r="A969" s="2" t="s">
        <v>5</v>
      </c>
      <c r="B969" s="2" t="s">
        <v>972</v>
      </c>
      <c r="C969" s="2">
        <v>2.8634343397483599</v>
      </c>
      <c r="D969" s="2">
        <f>VLOOKUP(OneWeekMtgRatesDataTable8[[#This Row],[AsOfDate]],G:H,2,0)+OneWeekMtgRatesDataTable8[[#This Row],[SeriesNumValue]]</f>
        <v>3.7677474777483599</v>
      </c>
      <c r="F969" s="2" t="s">
        <v>1277</v>
      </c>
      <c r="G969" s="2" t="s">
        <v>972</v>
      </c>
      <c r="H969" s="2">
        <v>0.90431313800000002</v>
      </c>
      <c r="K969" s="4">
        <v>41577</v>
      </c>
      <c r="L969">
        <v>4.0250000000000004</v>
      </c>
    </row>
    <row r="970" spans="1:12" x14ac:dyDescent="0.25">
      <c r="A970" s="2" t="s">
        <v>5</v>
      </c>
      <c r="B970" s="2" t="s">
        <v>973</v>
      </c>
      <c r="C970" s="2">
        <v>2.80057780204395</v>
      </c>
      <c r="D970" s="2">
        <f>VLOOKUP(OneWeekMtgRatesDataTable8[[#This Row],[AsOfDate]],G:H,2,0)+OneWeekMtgRatesDataTable8[[#This Row],[SeriesNumValue]]</f>
        <v>3.70489094004395</v>
      </c>
      <c r="F970" s="2" t="s">
        <v>1277</v>
      </c>
      <c r="G970" s="2" t="s">
        <v>973</v>
      </c>
      <c r="H970" s="2">
        <v>0.90431313800000002</v>
      </c>
      <c r="K970" s="4">
        <v>41578</v>
      </c>
      <c r="L970">
        <v>4.1100000000000003</v>
      </c>
    </row>
    <row r="971" spans="1:12" x14ac:dyDescent="0.25">
      <c r="A971" s="2" t="s">
        <v>5</v>
      </c>
      <c r="B971" s="2" t="s">
        <v>974</v>
      </c>
      <c r="C971" s="2">
        <v>2.8291749929655099</v>
      </c>
      <c r="D971" s="2">
        <f>VLOOKUP(OneWeekMtgRatesDataTable8[[#This Row],[AsOfDate]],G:H,2,0)+OneWeekMtgRatesDataTable8[[#This Row],[SeriesNumValue]]</f>
        <v>3.7334881309655099</v>
      </c>
      <c r="F971" s="2" t="s">
        <v>1277</v>
      </c>
      <c r="G971" s="2" t="s">
        <v>974</v>
      </c>
      <c r="H971" s="2">
        <v>0.90431313800000002</v>
      </c>
      <c r="K971" s="4">
        <v>41579</v>
      </c>
      <c r="L971">
        <v>4.1100000000000003</v>
      </c>
    </row>
    <row r="972" spans="1:12" x14ac:dyDescent="0.25">
      <c r="A972" s="2" t="s">
        <v>5</v>
      </c>
      <c r="B972" s="2" t="s">
        <v>975</v>
      </c>
      <c r="C972" s="2">
        <v>2.7872489970640002</v>
      </c>
      <c r="D972" s="2">
        <f>VLOOKUP(OneWeekMtgRatesDataTable8[[#This Row],[AsOfDate]],G:H,2,0)+OneWeekMtgRatesDataTable8[[#This Row],[SeriesNumValue]]</f>
        <v>3.6915621350640002</v>
      </c>
      <c r="F972" s="2" t="s">
        <v>1277</v>
      </c>
      <c r="G972" s="2" t="s">
        <v>975</v>
      </c>
      <c r="H972" s="2">
        <v>0.90431313800000002</v>
      </c>
      <c r="K972" s="4">
        <v>41582</v>
      </c>
      <c r="L972">
        <v>4.1100000000000003</v>
      </c>
    </row>
    <row r="973" spans="1:12" x14ac:dyDescent="0.25">
      <c r="A973" s="2" t="s">
        <v>5</v>
      </c>
      <c r="B973" s="2" t="s">
        <v>976</v>
      </c>
      <c r="C973" s="2">
        <v>2.8371501312702399</v>
      </c>
      <c r="D973" s="2">
        <f>VLOOKUP(OneWeekMtgRatesDataTable8[[#This Row],[AsOfDate]],G:H,2,0)+OneWeekMtgRatesDataTable8[[#This Row],[SeriesNumValue]]</f>
        <v>3.7136328782702397</v>
      </c>
      <c r="F973" s="2" t="s">
        <v>1277</v>
      </c>
      <c r="G973" s="2" t="s">
        <v>976</v>
      </c>
      <c r="H973" s="2">
        <v>0.87648274699999995</v>
      </c>
      <c r="K973" s="4">
        <v>41583</v>
      </c>
      <c r="L973">
        <v>4.1100000000000003</v>
      </c>
    </row>
    <row r="974" spans="1:12" x14ac:dyDescent="0.25">
      <c r="A974" s="2" t="s">
        <v>5</v>
      </c>
      <c r="B974" s="2" t="s">
        <v>977</v>
      </c>
      <c r="C974" s="2">
        <v>2.8582300067965201</v>
      </c>
      <c r="D974" s="2">
        <f>VLOOKUP(OneWeekMtgRatesDataTable8[[#This Row],[AsOfDate]],G:H,2,0)+OneWeekMtgRatesDataTable8[[#This Row],[SeriesNumValue]]</f>
        <v>3.7347127537965199</v>
      </c>
      <c r="F974" s="2" t="s">
        <v>1277</v>
      </c>
      <c r="G974" s="2" t="s">
        <v>977</v>
      </c>
      <c r="H974" s="2">
        <v>0.87648274699999995</v>
      </c>
      <c r="K974" s="4">
        <v>41584</v>
      </c>
      <c r="L974">
        <v>4.1100000000000003</v>
      </c>
    </row>
    <row r="975" spans="1:12" x14ac:dyDescent="0.25">
      <c r="A975" s="2" t="s">
        <v>5</v>
      </c>
      <c r="B975" s="2" t="s">
        <v>978</v>
      </c>
      <c r="C975" s="2">
        <v>2.8337398573021799</v>
      </c>
      <c r="D975" s="2">
        <f>VLOOKUP(OneWeekMtgRatesDataTable8[[#This Row],[AsOfDate]],G:H,2,0)+OneWeekMtgRatesDataTable8[[#This Row],[SeriesNumValue]]</f>
        <v>3.7102226043021798</v>
      </c>
      <c r="F975" s="2" t="s">
        <v>1277</v>
      </c>
      <c r="G975" s="2" t="s">
        <v>978</v>
      </c>
      <c r="H975" s="2">
        <v>0.87648274699999995</v>
      </c>
      <c r="K975" s="4">
        <v>41585</v>
      </c>
      <c r="L975">
        <v>4.2750000000000004</v>
      </c>
    </row>
    <row r="976" spans="1:12" x14ac:dyDescent="0.25">
      <c r="A976" s="2" t="s">
        <v>5</v>
      </c>
      <c r="B976" s="2" t="s">
        <v>979</v>
      </c>
      <c r="C976" s="2">
        <v>2.8256441971088901</v>
      </c>
      <c r="D976" s="2">
        <f>VLOOKUP(OneWeekMtgRatesDataTable8[[#This Row],[AsOfDate]],G:H,2,0)+OneWeekMtgRatesDataTable8[[#This Row],[SeriesNumValue]]</f>
        <v>3.70212694410889</v>
      </c>
      <c r="F976" s="2" t="s">
        <v>1277</v>
      </c>
      <c r="G976" s="2" t="s">
        <v>979</v>
      </c>
      <c r="H976" s="2">
        <v>0.87648274699999995</v>
      </c>
      <c r="K976" s="4">
        <v>41586</v>
      </c>
      <c r="L976">
        <v>4.2750000000000004</v>
      </c>
    </row>
    <row r="977" spans="1:12" x14ac:dyDescent="0.25">
      <c r="A977" s="2" t="s">
        <v>5</v>
      </c>
      <c r="B977" s="2" t="s">
        <v>980</v>
      </c>
      <c r="C977" s="2">
        <v>2.91032440435752</v>
      </c>
      <c r="D977" s="2">
        <f>VLOOKUP(OneWeekMtgRatesDataTable8[[#This Row],[AsOfDate]],G:H,2,0)+OneWeekMtgRatesDataTable8[[#This Row],[SeriesNumValue]]</f>
        <v>3.7868071513575199</v>
      </c>
      <c r="F977" s="2" t="s">
        <v>1277</v>
      </c>
      <c r="G977" s="2" t="s">
        <v>980</v>
      </c>
      <c r="H977" s="2">
        <v>0.87648274699999995</v>
      </c>
      <c r="K977" s="4">
        <v>41590</v>
      </c>
      <c r="L977">
        <v>4.2750000000000004</v>
      </c>
    </row>
    <row r="978" spans="1:12" x14ac:dyDescent="0.25">
      <c r="A978" s="2" t="s">
        <v>5</v>
      </c>
      <c r="B978" s="2" t="s">
        <v>981</v>
      </c>
      <c r="C978" s="2">
        <v>2.90975275027838</v>
      </c>
      <c r="D978" s="2">
        <f>VLOOKUP(OneWeekMtgRatesDataTable8[[#This Row],[AsOfDate]],G:H,2,0)+OneWeekMtgRatesDataTable8[[#This Row],[SeriesNumValue]]</f>
        <v>3.7722145072783801</v>
      </c>
      <c r="F978" s="2" t="s">
        <v>1277</v>
      </c>
      <c r="G978" s="2" t="s">
        <v>981</v>
      </c>
      <c r="H978" s="2">
        <v>0.86246175700000005</v>
      </c>
      <c r="K978" s="4">
        <v>41591</v>
      </c>
      <c r="L978">
        <v>4.2750000000000004</v>
      </c>
    </row>
    <row r="979" spans="1:12" x14ac:dyDescent="0.25">
      <c r="A979" s="2" t="s">
        <v>5</v>
      </c>
      <c r="B979" s="2" t="s">
        <v>982</v>
      </c>
      <c r="C979" s="2">
        <v>2.8912427168811901</v>
      </c>
      <c r="D979" s="2">
        <f>VLOOKUP(OneWeekMtgRatesDataTable8[[#This Row],[AsOfDate]],G:H,2,0)+OneWeekMtgRatesDataTable8[[#This Row],[SeriesNumValue]]</f>
        <v>3.7537044738811902</v>
      </c>
      <c r="F979" s="2" t="s">
        <v>1277</v>
      </c>
      <c r="G979" s="2" t="s">
        <v>982</v>
      </c>
      <c r="H979" s="2">
        <v>0.86246175700000005</v>
      </c>
      <c r="K979" s="4">
        <v>41592</v>
      </c>
      <c r="L979">
        <v>4.1449999999999996</v>
      </c>
    </row>
    <row r="980" spans="1:12" x14ac:dyDescent="0.25">
      <c r="A980" s="2" t="s">
        <v>5</v>
      </c>
      <c r="B980" s="2" t="s">
        <v>983</v>
      </c>
      <c r="C980" s="2">
        <v>2.8609798255384802</v>
      </c>
      <c r="D980" s="2">
        <f>VLOOKUP(OneWeekMtgRatesDataTable8[[#This Row],[AsOfDate]],G:H,2,0)+OneWeekMtgRatesDataTable8[[#This Row],[SeriesNumValue]]</f>
        <v>3.7234415825384803</v>
      </c>
      <c r="F980" s="2" t="s">
        <v>1277</v>
      </c>
      <c r="G980" s="2" t="s">
        <v>983</v>
      </c>
      <c r="H980" s="2">
        <v>0.86246175700000005</v>
      </c>
      <c r="K980" s="4">
        <v>41593</v>
      </c>
      <c r="L980">
        <v>4.1449999999999996</v>
      </c>
    </row>
    <row r="981" spans="1:12" x14ac:dyDescent="0.25">
      <c r="A981" s="2" t="s">
        <v>5</v>
      </c>
      <c r="B981" s="2" t="s">
        <v>984</v>
      </c>
      <c r="C981" s="2">
        <v>2.8519980737177399</v>
      </c>
      <c r="D981" s="2">
        <f>VLOOKUP(OneWeekMtgRatesDataTable8[[#This Row],[AsOfDate]],G:H,2,0)+OneWeekMtgRatesDataTable8[[#This Row],[SeriesNumValue]]</f>
        <v>3.7144598307177401</v>
      </c>
      <c r="F981" s="2" t="s">
        <v>1277</v>
      </c>
      <c r="G981" s="2" t="s">
        <v>984</v>
      </c>
      <c r="H981" s="2">
        <v>0.86246175700000005</v>
      </c>
      <c r="K981" s="4">
        <v>41596</v>
      </c>
      <c r="L981">
        <v>4.1449999999999996</v>
      </c>
    </row>
    <row r="982" spans="1:12" x14ac:dyDescent="0.25">
      <c r="A982" s="2" t="s">
        <v>5</v>
      </c>
      <c r="B982" s="2" t="s">
        <v>985</v>
      </c>
      <c r="C982" s="2">
        <v>2.8338661414623698</v>
      </c>
      <c r="D982" s="2">
        <f>VLOOKUP(OneWeekMtgRatesDataTable8[[#This Row],[AsOfDate]],G:H,2,0)+OneWeekMtgRatesDataTable8[[#This Row],[SeriesNumValue]]</f>
        <v>3.7443444524623697</v>
      </c>
      <c r="F982" s="2" t="s">
        <v>1277</v>
      </c>
      <c r="G982" s="2" t="s">
        <v>985</v>
      </c>
      <c r="H982" s="2">
        <v>0.91047831099999998</v>
      </c>
      <c r="K982" s="4">
        <v>41597</v>
      </c>
      <c r="L982">
        <v>4.1449999999999996</v>
      </c>
    </row>
    <row r="983" spans="1:12" x14ac:dyDescent="0.25">
      <c r="A983" s="2" t="s">
        <v>5</v>
      </c>
      <c r="B983" s="2" t="s">
        <v>986</v>
      </c>
      <c r="C983" s="2">
        <v>2.7854452423976599</v>
      </c>
      <c r="D983" s="2">
        <f>VLOOKUP(OneWeekMtgRatesDataTable8[[#This Row],[AsOfDate]],G:H,2,0)+OneWeekMtgRatesDataTable8[[#This Row],[SeriesNumValue]]</f>
        <v>3.6959235533976598</v>
      </c>
      <c r="F983" s="2" t="s">
        <v>1277</v>
      </c>
      <c r="G983" s="2" t="s">
        <v>986</v>
      </c>
      <c r="H983" s="2">
        <v>0.91047831099999998</v>
      </c>
      <c r="K983" s="4">
        <v>41598</v>
      </c>
      <c r="L983">
        <v>4.1449999999999996</v>
      </c>
    </row>
    <row r="984" spans="1:12" x14ac:dyDescent="0.25">
      <c r="A984" s="2" t="s">
        <v>5</v>
      </c>
      <c r="B984" s="2" t="s">
        <v>987</v>
      </c>
      <c r="C984" s="2">
        <v>2.6962701266687499</v>
      </c>
      <c r="D984" s="2">
        <f>VLOOKUP(OneWeekMtgRatesDataTable8[[#This Row],[AsOfDate]],G:H,2,0)+OneWeekMtgRatesDataTable8[[#This Row],[SeriesNumValue]]</f>
        <v>3.6067484376687498</v>
      </c>
      <c r="F984" s="2" t="s">
        <v>1277</v>
      </c>
      <c r="G984" s="2" t="s">
        <v>987</v>
      </c>
      <c r="H984" s="2">
        <v>0.91047831099999998</v>
      </c>
      <c r="K984" s="4">
        <v>41599</v>
      </c>
      <c r="L984">
        <v>4.2149999999999999</v>
      </c>
    </row>
    <row r="985" spans="1:12" x14ac:dyDescent="0.25">
      <c r="A985" s="2" t="s">
        <v>5</v>
      </c>
      <c r="B985" s="2" t="s">
        <v>988</v>
      </c>
      <c r="C985" s="2">
        <v>2.61636453709349</v>
      </c>
      <c r="D985" s="2">
        <f>VLOOKUP(OneWeekMtgRatesDataTable8[[#This Row],[AsOfDate]],G:H,2,0)+OneWeekMtgRatesDataTable8[[#This Row],[SeriesNumValue]]</f>
        <v>3.5268428480934899</v>
      </c>
      <c r="F985" s="2" t="s">
        <v>1277</v>
      </c>
      <c r="G985" s="2" t="s">
        <v>988</v>
      </c>
      <c r="H985" s="2">
        <v>0.91047831099999998</v>
      </c>
      <c r="K985" s="4">
        <v>41600</v>
      </c>
      <c r="L985">
        <v>4.2149999999999999</v>
      </c>
    </row>
    <row r="986" spans="1:12" x14ac:dyDescent="0.25">
      <c r="A986" s="2" t="s">
        <v>5</v>
      </c>
      <c r="B986" s="2" t="s">
        <v>989</v>
      </c>
      <c r="C986" s="2">
        <v>2.6248431051869581</v>
      </c>
      <c r="D986" s="2">
        <f>VLOOKUP(OneWeekMtgRatesDataTable8[[#This Row],[AsOfDate]],G:H,2,0)+OneWeekMtgRatesDataTable8[[#This Row],[SeriesNumValue]]</f>
        <v>3.5741123521869582</v>
      </c>
      <c r="F986" s="2" t="s">
        <v>1277</v>
      </c>
      <c r="G986" s="2" t="s">
        <v>989</v>
      </c>
      <c r="H986" s="2">
        <v>0.94926924700000004</v>
      </c>
      <c r="K986" s="4">
        <v>41603</v>
      </c>
      <c r="L986">
        <v>4.2149999999999999</v>
      </c>
    </row>
    <row r="987" spans="1:12" x14ac:dyDescent="0.25">
      <c r="A987" s="2" t="s">
        <v>5</v>
      </c>
      <c r="B987" s="2" t="s">
        <v>990</v>
      </c>
      <c r="C987" s="2">
        <v>2.6774292062275329</v>
      </c>
      <c r="D987" s="2">
        <f>VLOOKUP(OneWeekMtgRatesDataTable8[[#This Row],[AsOfDate]],G:H,2,0)+OneWeekMtgRatesDataTable8[[#This Row],[SeriesNumValue]]</f>
        <v>3.626698453227533</v>
      </c>
      <c r="F987" s="2" t="s">
        <v>1277</v>
      </c>
      <c r="G987" s="2" t="s">
        <v>990</v>
      </c>
      <c r="H987" s="2">
        <v>0.94926924700000004</v>
      </c>
      <c r="K987" s="4">
        <v>41604</v>
      </c>
      <c r="L987">
        <v>4.2149999999999999</v>
      </c>
    </row>
    <row r="988" spans="1:12" x14ac:dyDescent="0.25">
      <c r="A988" s="2" t="s">
        <v>5</v>
      </c>
      <c r="B988" s="2" t="s">
        <v>991</v>
      </c>
      <c r="C988" s="2">
        <v>2.6462920309129299</v>
      </c>
      <c r="D988" s="2">
        <f>VLOOKUP(OneWeekMtgRatesDataTable8[[#This Row],[AsOfDate]],G:H,2,0)+OneWeekMtgRatesDataTable8[[#This Row],[SeriesNumValue]]</f>
        <v>3.59556127791293</v>
      </c>
      <c r="F988" s="2" t="s">
        <v>1277</v>
      </c>
      <c r="G988" s="2" t="s">
        <v>991</v>
      </c>
      <c r="H988" s="2">
        <v>0.94926924700000004</v>
      </c>
      <c r="K988" s="4">
        <v>41605</v>
      </c>
      <c r="L988">
        <v>4.2149999999999999</v>
      </c>
    </row>
    <row r="989" spans="1:12" x14ac:dyDescent="0.25">
      <c r="A989" s="2" t="s">
        <v>5</v>
      </c>
      <c r="B989" s="2" t="s">
        <v>992</v>
      </c>
      <c r="C989" s="2">
        <v>2.5936190223084101</v>
      </c>
      <c r="D989" s="2">
        <f>VLOOKUP(OneWeekMtgRatesDataTable8[[#This Row],[AsOfDate]],G:H,2,0)+OneWeekMtgRatesDataTable8[[#This Row],[SeriesNumValue]]</f>
        <v>3.5428882693084103</v>
      </c>
      <c r="F989" s="2" t="s">
        <v>1277</v>
      </c>
      <c r="G989" s="2" t="s">
        <v>992</v>
      </c>
      <c r="H989" s="2">
        <v>0.94926924700000004</v>
      </c>
      <c r="K989" s="4">
        <v>41607</v>
      </c>
      <c r="L989">
        <v>4.335</v>
      </c>
    </row>
    <row r="990" spans="1:12" x14ac:dyDescent="0.25">
      <c r="A990" s="2" t="s">
        <v>5</v>
      </c>
      <c r="B990" s="2" t="s">
        <v>993</v>
      </c>
      <c r="C990" s="2">
        <v>2.57954379421794</v>
      </c>
      <c r="D990" s="2">
        <f>VLOOKUP(OneWeekMtgRatesDataTable8[[#This Row],[AsOfDate]],G:H,2,0)+OneWeekMtgRatesDataTable8[[#This Row],[SeriesNumValue]]</f>
        <v>3.5288130412179401</v>
      </c>
      <c r="F990" s="2" t="s">
        <v>1277</v>
      </c>
      <c r="G990" s="2" t="s">
        <v>993</v>
      </c>
      <c r="H990" s="2">
        <v>0.94926924700000004</v>
      </c>
      <c r="K990" s="4">
        <v>41610</v>
      </c>
      <c r="L990">
        <v>4.335</v>
      </c>
    </row>
    <row r="991" spans="1:12" x14ac:dyDescent="0.25">
      <c r="A991" s="2" t="s">
        <v>5</v>
      </c>
      <c r="B991" s="2" t="s">
        <v>994</v>
      </c>
      <c r="C991" s="2">
        <v>2.49106608048328</v>
      </c>
      <c r="D991" s="2">
        <f>VLOOKUP(OneWeekMtgRatesDataTable8[[#This Row],[AsOfDate]],G:H,2,0)+OneWeekMtgRatesDataTable8[[#This Row],[SeriesNumValue]]</f>
        <v>3.4534760534832802</v>
      </c>
      <c r="F991" s="2" t="s">
        <v>1277</v>
      </c>
      <c r="G991" s="2" t="s">
        <v>994</v>
      </c>
      <c r="H991" s="2">
        <v>0.96240997299999997</v>
      </c>
      <c r="K991" s="4">
        <v>41611</v>
      </c>
      <c r="L991">
        <v>4.335</v>
      </c>
    </row>
    <row r="992" spans="1:12" x14ac:dyDescent="0.25">
      <c r="A992" s="2" t="s">
        <v>5</v>
      </c>
      <c r="B992" s="2" t="s">
        <v>995</v>
      </c>
      <c r="C992" s="2">
        <v>2.4553295319883701</v>
      </c>
      <c r="D992" s="2">
        <f>VLOOKUP(OneWeekMtgRatesDataTable8[[#This Row],[AsOfDate]],G:H,2,0)+OneWeekMtgRatesDataTable8[[#This Row],[SeriesNumValue]]</f>
        <v>3.4177395049883703</v>
      </c>
      <c r="F992" s="2" t="s">
        <v>1277</v>
      </c>
      <c r="G992" s="2" t="s">
        <v>995</v>
      </c>
      <c r="H992" s="2">
        <v>0.96240997299999997</v>
      </c>
      <c r="K992" s="4">
        <v>41612</v>
      </c>
      <c r="L992">
        <v>4.335</v>
      </c>
    </row>
    <row r="993" spans="1:12" x14ac:dyDescent="0.25">
      <c r="A993" s="2" t="s">
        <v>5</v>
      </c>
      <c r="B993" s="2" t="s">
        <v>996</v>
      </c>
      <c r="C993" s="2">
        <v>2.5454794820645601</v>
      </c>
      <c r="D993" s="2">
        <f>VLOOKUP(OneWeekMtgRatesDataTable8[[#This Row],[AsOfDate]],G:H,2,0)+OneWeekMtgRatesDataTable8[[#This Row],[SeriesNumValue]]</f>
        <v>3.5078894550645598</v>
      </c>
      <c r="F993" s="2" t="s">
        <v>1277</v>
      </c>
      <c r="G993" s="2" t="s">
        <v>996</v>
      </c>
      <c r="H993" s="2">
        <v>0.96240997299999997</v>
      </c>
      <c r="K993" s="4">
        <v>41613</v>
      </c>
      <c r="L993">
        <v>4.3449999999999998</v>
      </c>
    </row>
    <row r="994" spans="1:12" x14ac:dyDescent="0.25">
      <c r="A994" s="2" t="s">
        <v>5</v>
      </c>
      <c r="B994" s="2" t="s">
        <v>997</v>
      </c>
      <c r="C994" s="2">
        <v>2.55737179181423</v>
      </c>
      <c r="D994" s="2">
        <f>VLOOKUP(OneWeekMtgRatesDataTable8[[#This Row],[AsOfDate]],G:H,2,0)+OneWeekMtgRatesDataTable8[[#This Row],[SeriesNumValue]]</f>
        <v>3.5197817648142298</v>
      </c>
      <c r="F994" s="2" t="s">
        <v>1277</v>
      </c>
      <c r="G994" s="2" t="s">
        <v>997</v>
      </c>
      <c r="H994" s="2">
        <v>0.96240997299999997</v>
      </c>
      <c r="K994" s="4">
        <v>41614</v>
      </c>
      <c r="L994">
        <v>4.3449999999999998</v>
      </c>
    </row>
    <row r="995" spans="1:12" x14ac:dyDescent="0.25">
      <c r="A995" s="2" t="s">
        <v>5</v>
      </c>
      <c r="B995" s="2" t="s">
        <v>998</v>
      </c>
      <c r="C995" s="2">
        <v>2.6084944348331098</v>
      </c>
      <c r="D995" s="2">
        <f>VLOOKUP(OneWeekMtgRatesDataTable8[[#This Row],[AsOfDate]],G:H,2,0)+OneWeekMtgRatesDataTable8[[#This Row],[SeriesNumValue]]</f>
        <v>3.62182562483311</v>
      </c>
      <c r="F995" s="2" t="s">
        <v>1277</v>
      </c>
      <c r="G995" s="2" t="s">
        <v>998</v>
      </c>
      <c r="H995" s="2">
        <v>1.0133311899999999</v>
      </c>
      <c r="K995" s="4">
        <v>41617</v>
      </c>
      <c r="L995">
        <v>4.3449999999999998</v>
      </c>
    </row>
    <row r="996" spans="1:12" x14ac:dyDescent="0.25">
      <c r="A996" s="2" t="s">
        <v>5</v>
      </c>
      <c r="B996" s="2" t="s">
        <v>999</v>
      </c>
      <c r="C996" s="2">
        <v>2.6170205733531602</v>
      </c>
      <c r="D996" s="2">
        <f>VLOOKUP(OneWeekMtgRatesDataTable8[[#This Row],[AsOfDate]],G:H,2,0)+OneWeekMtgRatesDataTable8[[#This Row],[SeriesNumValue]]</f>
        <v>3.6303517633531603</v>
      </c>
      <c r="F996" s="2" t="s">
        <v>1277</v>
      </c>
      <c r="G996" s="2" t="s">
        <v>999</v>
      </c>
      <c r="H996" s="2">
        <v>1.0133311899999999</v>
      </c>
      <c r="K996" s="4">
        <v>41618</v>
      </c>
      <c r="L996">
        <v>4.3449999999999998</v>
      </c>
    </row>
    <row r="997" spans="1:12" x14ac:dyDescent="0.25">
      <c r="A997" s="2" t="s">
        <v>5</v>
      </c>
      <c r="B997" s="2" t="s">
        <v>1000</v>
      </c>
      <c r="C997" s="2">
        <v>2.5688065849413189</v>
      </c>
      <c r="D997" s="2">
        <f>VLOOKUP(OneWeekMtgRatesDataTable8[[#This Row],[AsOfDate]],G:H,2,0)+OneWeekMtgRatesDataTable8[[#This Row],[SeriesNumValue]]</f>
        <v>3.5821377749413186</v>
      </c>
      <c r="F997" s="2" t="s">
        <v>1277</v>
      </c>
      <c r="G997" s="2" t="s">
        <v>1000</v>
      </c>
      <c r="H997" s="2">
        <v>1.0133311899999999</v>
      </c>
      <c r="K997" s="4">
        <v>41619</v>
      </c>
      <c r="L997">
        <v>4.3449999999999998</v>
      </c>
    </row>
    <row r="998" spans="1:12" x14ac:dyDescent="0.25">
      <c r="A998" s="2" t="s">
        <v>5</v>
      </c>
      <c r="B998" s="2" t="s">
        <v>1001</v>
      </c>
      <c r="C998" s="2">
        <v>2.5964187919228277</v>
      </c>
      <c r="D998" s="2">
        <f>VLOOKUP(OneWeekMtgRatesDataTable8[[#This Row],[AsOfDate]],G:H,2,0)+OneWeekMtgRatesDataTable8[[#This Row],[SeriesNumValue]]</f>
        <v>3.6097499819228274</v>
      </c>
      <c r="F998" s="2" t="s">
        <v>1277</v>
      </c>
      <c r="G998" s="2" t="s">
        <v>1001</v>
      </c>
      <c r="H998" s="2">
        <v>1.0133311899999999</v>
      </c>
      <c r="K998" s="4">
        <v>41620</v>
      </c>
      <c r="L998">
        <v>4.3949999999999996</v>
      </c>
    </row>
    <row r="999" spans="1:12" x14ac:dyDescent="0.25">
      <c r="A999" s="2" t="s">
        <v>5</v>
      </c>
      <c r="B999" s="2" t="s">
        <v>1002</v>
      </c>
      <c r="C999" s="2">
        <v>2.58566791572217</v>
      </c>
      <c r="D999" s="2">
        <f>VLOOKUP(OneWeekMtgRatesDataTable8[[#This Row],[AsOfDate]],G:H,2,0)+OneWeekMtgRatesDataTable8[[#This Row],[SeriesNumValue]]</f>
        <v>3.5989991057221697</v>
      </c>
      <c r="F999" s="2" t="s">
        <v>1277</v>
      </c>
      <c r="G999" s="2" t="s">
        <v>1002</v>
      </c>
      <c r="H999" s="2">
        <v>1.0133311899999999</v>
      </c>
      <c r="K999" s="4">
        <v>41621</v>
      </c>
      <c r="L999">
        <v>4.3949999999999996</v>
      </c>
    </row>
    <row r="1000" spans="1:12" x14ac:dyDescent="0.25">
      <c r="A1000" s="2" t="s">
        <v>5</v>
      </c>
      <c r="B1000" s="2" t="s">
        <v>1003</v>
      </c>
      <c r="C1000" s="2">
        <v>2.5075854882079498</v>
      </c>
      <c r="D1000" s="2">
        <f>VLOOKUP(OneWeekMtgRatesDataTable8[[#This Row],[AsOfDate]],G:H,2,0)+OneWeekMtgRatesDataTable8[[#This Row],[SeriesNumValue]]</f>
        <v>3.4924856172079499</v>
      </c>
      <c r="F1000" s="2" t="s">
        <v>1277</v>
      </c>
      <c r="G1000" s="2" t="s">
        <v>1003</v>
      </c>
      <c r="H1000" s="2">
        <v>0.98490012900000001</v>
      </c>
      <c r="K1000" s="4">
        <v>41624</v>
      </c>
      <c r="L1000">
        <v>4.3949999999999996</v>
      </c>
    </row>
    <row r="1001" spans="1:12" x14ac:dyDescent="0.25">
      <c r="A1001" s="2" t="s">
        <v>5</v>
      </c>
      <c r="B1001" s="2" t="s">
        <v>1004</v>
      </c>
      <c r="C1001" s="2">
        <v>2.5133603709402799</v>
      </c>
      <c r="D1001" s="2">
        <f>VLOOKUP(OneWeekMtgRatesDataTable8[[#This Row],[AsOfDate]],G:H,2,0)+OneWeekMtgRatesDataTable8[[#This Row],[SeriesNumValue]]</f>
        <v>3.49826049994028</v>
      </c>
      <c r="F1001" s="2" t="s">
        <v>1277</v>
      </c>
      <c r="G1001" s="2" t="s">
        <v>1004</v>
      </c>
      <c r="H1001" s="2">
        <v>0.98490012900000001</v>
      </c>
      <c r="K1001" s="4">
        <v>41625</v>
      </c>
      <c r="L1001">
        <v>4.3949999999999996</v>
      </c>
    </row>
    <row r="1002" spans="1:12" x14ac:dyDescent="0.25">
      <c r="A1002" s="2" t="s">
        <v>5</v>
      </c>
      <c r="B1002" s="2" t="s">
        <v>1005</v>
      </c>
      <c r="C1002" s="2">
        <v>2.4526687901347302</v>
      </c>
      <c r="D1002" s="2">
        <f>VLOOKUP(OneWeekMtgRatesDataTable8[[#This Row],[AsOfDate]],G:H,2,0)+OneWeekMtgRatesDataTable8[[#This Row],[SeriesNumValue]]</f>
        <v>3.4375689191347303</v>
      </c>
      <c r="F1002" s="2" t="s">
        <v>1277</v>
      </c>
      <c r="G1002" s="2" t="s">
        <v>1005</v>
      </c>
      <c r="H1002" s="2">
        <v>0.98490012900000001</v>
      </c>
      <c r="K1002" s="4">
        <v>41626</v>
      </c>
      <c r="L1002">
        <v>4.3949999999999996</v>
      </c>
    </row>
    <row r="1003" spans="1:12" x14ac:dyDescent="0.25">
      <c r="A1003" s="2" t="s">
        <v>5</v>
      </c>
      <c r="B1003" s="2" t="s">
        <v>1006</v>
      </c>
      <c r="C1003" s="2">
        <v>2.4482414321452199</v>
      </c>
      <c r="D1003" s="2">
        <f>VLOOKUP(OneWeekMtgRatesDataTable8[[#This Row],[AsOfDate]],G:H,2,0)+OneWeekMtgRatesDataTable8[[#This Row],[SeriesNumValue]]</f>
        <v>3.4331415611452201</v>
      </c>
      <c r="F1003" s="2" t="s">
        <v>1277</v>
      </c>
      <c r="G1003" s="2" t="s">
        <v>1006</v>
      </c>
      <c r="H1003" s="2">
        <v>0.98490012900000001</v>
      </c>
      <c r="K1003" s="4">
        <v>41627</v>
      </c>
      <c r="L1003">
        <v>4.4050000000000002</v>
      </c>
    </row>
    <row r="1004" spans="1:12" x14ac:dyDescent="0.25">
      <c r="A1004" s="2" t="s">
        <v>5</v>
      </c>
      <c r="B1004" s="2" t="s">
        <v>1007</v>
      </c>
      <c r="C1004" s="2">
        <v>2.5386092043872699</v>
      </c>
      <c r="D1004" s="2">
        <f>VLOOKUP(OneWeekMtgRatesDataTable8[[#This Row],[AsOfDate]],G:H,2,0)+OneWeekMtgRatesDataTable8[[#This Row],[SeriesNumValue]]</f>
        <v>3.52350933338727</v>
      </c>
      <c r="F1004" s="2" t="s">
        <v>1277</v>
      </c>
      <c r="G1004" s="2" t="s">
        <v>1007</v>
      </c>
      <c r="H1004" s="2">
        <v>0.98490012900000001</v>
      </c>
      <c r="K1004" s="4">
        <v>41628</v>
      </c>
      <c r="L1004">
        <v>4.4050000000000002</v>
      </c>
    </row>
    <row r="1005" spans="1:12" x14ac:dyDescent="0.25">
      <c r="A1005" s="2" t="s">
        <v>5</v>
      </c>
      <c r="B1005" s="2" t="s">
        <v>1008</v>
      </c>
      <c r="C1005" s="2">
        <v>2.56620444102245</v>
      </c>
      <c r="D1005" s="2">
        <f>VLOOKUP(OneWeekMtgRatesDataTable8[[#This Row],[AsOfDate]],G:H,2,0)+OneWeekMtgRatesDataTable8[[#This Row],[SeriesNumValue]]</f>
        <v>3.5773875930224501</v>
      </c>
      <c r="F1005" s="2" t="s">
        <v>1277</v>
      </c>
      <c r="G1005" s="2" t="s">
        <v>1008</v>
      </c>
      <c r="H1005" s="2">
        <v>1.0111831520000001</v>
      </c>
      <c r="K1005" s="4">
        <v>41631</v>
      </c>
      <c r="L1005">
        <v>4.4050000000000002</v>
      </c>
    </row>
    <row r="1006" spans="1:12" x14ac:dyDescent="0.25">
      <c r="A1006" s="2" t="s">
        <v>5</v>
      </c>
      <c r="B1006" s="2" t="s">
        <v>1009</v>
      </c>
      <c r="C1006" s="2">
        <v>2.5588939804772202</v>
      </c>
      <c r="D1006" s="2">
        <f>VLOOKUP(OneWeekMtgRatesDataTable8[[#This Row],[AsOfDate]],G:H,2,0)+OneWeekMtgRatesDataTable8[[#This Row],[SeriesNumValue]]</f>
        <v>3.5700771324772202</v>
      </c>
      <c r="F1006" s="2" t="s">
        <v>1277</v>
      </c>
      <c r="G1006" s="2" t="s">
        <v>1009</v>
      </c>
      <c r="H1006" s="2">
        <v>1.0111831520000001</v>
      </c>
      <c r="K1006" s="4">
        <v>41632</v>
      </c>
      <c r="L1006">
        <v>4.4050000000000002</v>
      </c>
    </row>
    <row r="1007" spans="1:12" x14ac:dyDescent="0.25">
      <c r="A1007" s="2" t="s">
        <v>5</v>
      </c>
      <c r="B1007" s="2" t="s">
        <v>1010</v>
      </c>
      <c r="C1007" s="2">
        <v>2.6748566998957601</v>
      </c>
      <c r="D1007" s="2">
        <f>VLOOKUP(OneWeekMtgRatesDataTable8[[#This Row],[AsOfDate]],G:H,2,0)+OneWeekMtgRatesDataTable8[[#This Row],[SeriesNumValue]]</f>
        <v>3.6860398518957602</v>
      </c>
      <c r="F1007" s="2" t="s">
        <v>1277</v>
      </c>
      <c r="G1007" s="2" t="s">
        <v>1010</v>
      </c>
      <c r="H1007" s="2">
        <v>1.0111831520000001</v>
      </c>
      <c r="K1007" s="4">
        <v>41634</v>
      </c>
      <c r="L1007">
        <v>4.4800000000000004</v>
      </c>
    </row>
    <row r="1008" spans="1:12" x14ac:dyDescent="0.25">
      <c r="A1008" s="2" t="s">
        <v>5</v>
      </c>
      <c r="B1008" s="2" t="s">
        <v>1011</v>
      </c>
      <c r="C1008" s="2">
        <v>2.6856648240007002</v>
      </c>
      <c r="D1008" s="2">
        <f>VLOOKUP(OneWeekMtgRatesDataTable8[[#This Row],[AsOfDate]],G:H,2,0)+OneWeekMtgRatesDataTable8[[#This Row],[SeriesNumValue]]</f>
        <v>3.6968479760007003</v>
      </c>
      <c r="F1008" s="2" t="s">
        <v>1277</v>
      </c>
      <c r="G1008" s="2" t="s">
        <v>1011</v>
      </c>
      <c r="H1008" s="2">
        <v>1.0111831520000001</v>
      </c>
      <c r="K1008" s="4">
        <v>41635</v>
      </c>
      <c r="L1008">
        <v>4.4800000000000004</v>
      </c>
    </row>
    <row r="1009" spans="1:12" x14ac:dyDescent="0.25">
      <c r="A1009" s="2" t="s">
        <v>5</v>
      </c>
      <c r="B1009" s="2" t="s">
        <v>1012</v>
      </c>
      <c r="C1009" s="2">
        <v>2.7450619013759301</v>
      </c>
      <c r="D1009" s="2">
        <f>VLOOKUP(OneWeekMtgRatesDataTable8[[#This Row],[AsOfDate]],G:H,2,0)+OneWeekMtgRatesDataTable8[[#This Row],[SeriesNumValue]]</f>
        <v>3.7562450533759302</v>
      </c>
      <c r="F1009" s="2" t="s">
        <v>1277</v>
      </c>
      <c r="G1009" s="2" t="s">
        <v>1012</v>
      </c>
      <c r="H1009" s="2">
        <v>1.0111831520000001</v>
      </c>
      <c r="K1009" s="4">
        <v>41638</v>
      </c>
      <c r="L1009">
        <v>4.4800000000000004</v>
      </c>
    </row>
    <row r="1010" spans="1:12" x14ac:dyDescent="0.25">
      <c r="A1010" s="2" t="s">
        <v>5</v>
      </c>
      <c r="B1010" s="2" t="s">
        <v>1013</v>
      </c>
      <c r="C1010" s="2">
        <v>2.7390944645368598</v>
      </c>
      <c r="D1010" s="2">
        <f>VLOOKUP(OneWeekMtgRatesDataTable8[[#This Row],[AsOfDate]],G:H,2,0)+OneWeekMtgRatesDataTable8[[#This Row],[SeriesNumValue]]</f>
        <v>3.6483800905368597</v>
      </c>
      <c r="F1010" s="2" t="s">
        <v>1277</v>
      </c>
      <c r="G1010" s="2" t="s">
        <v>1013</v>
      </c>
      <c r="H1010" s="2">
        <v>0.90928562599999996</v>
      </c>
      <c r="K1010" s="4">
        <v>41639</v>
      </c>
      <c r="L1010">
        <v>4.4800000000000004</v>
      </c>
    </row>
    <row r="1011" spans="1:12" x14ac:dyDescent="0.25">
      <c r="A1011" s="2" t="s">
        <v>5</v>
      </c>
      <c r="B1011" s="2" t="s">
        <v>1014</v>
      </c>
      <c r="C1011" s="2">
        <v>2.7217472845669599</v>
      </c>
      <c r="D1011" s="2">
        <f>VLOOKUP(OneWeekMtgRatesDataTable8[[#This Row],[AsOfDate]],G:H,2,0)+OneWeekMtgRatesDataTable8[[#This Row],[SeriesNumValue]]</f>
        <v>3.6310329105669599</v>
      </c>
      <c r="F1011" s="2" t="s">
        <v>1277</v>
      </c>
      <c r="G1011" s="2" t="s">
        <v>1014</v>
      </c>
      <c r="H1011" s="2">
        <v>0.90928562599999996</v>
      </c>
      <c r="K1011" s="4">
        <v>41641</v>
      </c>
      <c r="L1011">
        <v>4.4349999999999996</v>
      </c>
    </row>
    <row r="1012" spans="1:12" x14ac:dyDescent="0.25">
      <c r="A1012" s="2" t="s">
        <v>5</v>
      </c>
      <c r="B1012" s="2" t="s">
        <v>1015</v>
      </c>
      <c r="C1012" s="2">
        <v>2.7439532601441399</v>
      </c>
      <c r="D1012" s="2">
        <f>VLOOKUP(OneWeekMtgRatesDataTable8[[#This Row],[AsOfDate]],G:H,2,0)+OneWeekMtgRatesDataTable8[[#This Row],[SeriesNumValue]]</f>
        <v>3.6532388861441398</v>
      </c>
      <c r="F1012" s="2" t="s">
        <v>1277</v>
      </c>
      <c r="G1012" s="2" t="s">
        <v>1015</v>
      </c>
      <c r="H1012" s="2">
        <v>0.90928562599999996</v>
      </c>
      <c r="K1012" s="4">
        <v>41642</v>
      </c>
      <c r="L1012">
        <v>4.4349999999999996</v>
      </c>
    </row>
    <row r="1013" spans="1:12" x14ac:dyDescent="0.25">
      <c r="A1013" s="2" t="s">
        <v>5</v>
      </c>
      <c r="B1013" s="2" t="s">
        <v>1016</v>
      </c>
      <c r="C1013" s="2">
        <v>2.8647464299960101</v>
      </c>
      <c r="D1013" s="2">
        <f>VLOOKUP(OneWeekMtgRatesDataTable8[[#This Row],[AsOfDate]],G:H,2,0)+OneWeekMtgRatesDataTable8[[#This Row],[SeriesNumValue]]</f>
        <v>3.7740320559960101</v>
      </c>
      <c r="F1013" s="2" t="s">
        <v>1277</v>
      </c>
      <c r="G1013" s="2" t="s">
        <v>1016</v>
      </c>
      <c r="H1013" s="2">
        <v>0.90928562599999996</v>
      </c>
      <c r="K1013" s="4">
        <v>41645</v>
      </c>
      <c r="L1013">
        <v>4.4349999999999996</v>
      </c>
    </row>
    <row r="1014" spans="1:12" x14ac:dyDescent="0.25">
      <c r="A1014" s="2" t="s">
        <v>5</v>
      </c>
      <c r="B1014" s="2" t="s">
        <v>1017</v>
      </c>
      <c r="C1014" s="2">
        <v>2.80663775198708</v>
      </c>
      <c r="D1014" s="2">
        <f>VLOOKUP(OneWeekMtgRatesDataTable8[[#This Row],[AsOfDate]],G:H,2,0)+OneWeekMtgRatesDataTable8[[#This Row],[SeriesNumValue]]</f>
        <v>3.6823665699870798</v>
      </c>
      <c r="F1014" s="2" t="s">
        <v>1277</v>
      </c>
      <c r="G1014" s="2" t="s">
        <v>1017</v>
      </c>
      <c r="H1014" s="2">
        <v>0.87572881800000002</v>
      </c>
      <c r="K1014" s="4">
        <v>41646</v>
      </c>
      <c r="L1014">
        <v>4.4349999999999996</v>
      </c>
    </row>
    <row r="1015" spans="1:12" x14ac:dyDescent="0.25">
      <c r="A1015" s="2" t="s">
        <v>5</v>
      </c>
      <c r="B1015" s="2" t="s">
        <v>1018</v>
      </c>
      <c r="C1015" s="2">
        <v>2.8310816393070799</v>
      </c>
      <c r="D1015" s="2">
        <f>VLOOKUP(OneWeekMtgRatesDataTable8[[#This Row],[AsOfDate]],G:H,2,0)+OneWeekMtgRatesDataTable8[[#This Row],[SeriesNumValue]]</f>
        <v>3.7068104573070801</v>
      </c>
      <c r="F1015" s="2" t="s">
        <v>1277</v>
      </c>
      <c r="G1015" s="2" t="s">
        <v>1018</v>
      </c>
      <c r="H1015" s="2">
        <v>0.87572881800000002</v>
      </c>
      <c r="K1015" s="4">
        <v>41647</v>
      </c>
      <c r="L1015">
        <v>4.4349999999999996</v>
      </c>
    </row>
    <row r="1016" spans="1:12" x14ac:dyDescent="0.25">
      <c r="A1016" s="2" t="s">
        <v>5</v>
      </c>
      <c r="B1016" s="2" t="s">
        <v>1019</v>
      </c>
      <c r="C1016" s="2">
        <v>2.8495343936509898</v>
      </c>
      <c r="D1016" s="2">
        <f>VLOOKUP(OneWeekMtgRatesDataTable8[[#This Row],[AsOfDate]],G:H,2,0)+OneWeekMtgRatesDataTable8[[#This Row],[SeriesNumValue]]</f>
        <v>3.7252632116509901</v>
      </c>
      <c r="F1016" s="2" t="s">
        <v>1277</v>
      </c>
      <c r="G1016" s="2" t="s">
        <v>1019</v>
      </c>
      <c r="H1016" s="2">
        <v>0.87572881800000002</v>
      </c>
      <c r="K1016" s="4">
        <v>41648</v>
      </c>
      <c r="L1016">
        <v>4.335</v>
      </c>
    </row>
    <row r="1017" spans="1:12" x14ac:dyDescent="0.25">
      <c r="A1017" s="2" t="s">
        <v>5</v>
      </c>
      <c r="B1017" s="2" t="s">
        <v>1020</v>
      </c>
      <c r="C1017" s="2">
        <v>2.8051692512697501</v>
      </c>
      <c r="D1017" s="2">
        <f>VLOOKUP(OneWeekMtgRatesDataTable8[[#This Row],[AsOfDate]],G:H,2,0)+OneWeekMtgRatesDataTable8[[#This Row],[SeriesNumValue]]</f>
        <v>3.6808980692697499</v>
      </c>
      <c r="F1017" s="2" t="s">
        <v>1277</v>
      </c>
      <c r="G1017" s="2" t="s">
        <v>1020</v>
      </c>
      <c r="H1017" s="2">
        <v>0.87572881800000002</v>
      </c>
      <c r="K1017" s="4">
        <v>41649</v>
      </c>
      <c r="L1017">
        <v>4.335</v>
      </c>
    </row>
    <row r="1018" spans="1:12" x14ac:dyDescent="0.25">
      <c r="A1018" s="2" t="s">
        <v>5</v>
      </c>
      <c r="B1018" s="2" t="s">
        <v>1021</v>
      </c>
      <c r="C1018" s="2">
        <v>2.7456841844873301</v>
      </c>
      <c r="D1018" s="2">
        <f>VLOOKUP(OneWeekMtgRatesDataTable8[[#This Row],[AsOfDate]],G:H,2,0)+OneWeekMtgRatesDataTable8[[#This Row],[SeriesNumValue]]</f>
        <v>3.6214130024873299</v>
      </c>
      <c r="F1018" s="2" t="s">
        <v>1277</v>
      </c>
      <c r="G1018" s="2" t="s">
        <v>1021</v>
      </c>
      <c r="H1018" s="2">
        <v>0.87572881800000002</v>
      </c>
      <c r="K1018" s="4">
        <v>41652</v>
      </c>
      <c r="L1018">
        <v>4.335</v>
      </c>
    </row>
    <row r="1019" spans="1:12" x14ac:dyDescent="0.25">
      <c r="A1019" s="2" t="s">
        <v>5</v>
      </c>
      <c r="B1019" s="2" t="s">
        <v>1022</v>
      </c>
      <c r="C1019" s="2">
        <v>2.7262373083687401</v>
      </c>
      <c r="D1019" s="2">
        <f>VLOOKUP(OneWeekMtgRatesDataTable8[[#This Row],[AsOfDate]],G:H,2,0)+OneWeekMtgRatesDataTable8[[#This Row],[SeriesNumValue]]</f>
        <v>3.6346959533687402</v>
      </c>
      <c r="F1019" s="2" t="s">
        <v>1277</v>
      </c>
      <c r="G1019" s="2" t="s">
        <v>1022</v>
      </c>
      <c r="H1019" s="2">
        <v>0.90845864499999995</v>
      </c>
      <c r="K1019" s="4">
        <v>41653</v>
      </c>
      <c r="L1019">
        <v>4.335</v>
      </c>
    </row>
    <row r="1020" spans="1:12" x14ac:dyDescent="0.25">
      <c r="A1020" s="2" t="s">
        <v>5</v>
      </c>
      <c r="B1020" s="2" t="s">
        <v>1023</v>
      </c>
      <c r="C1020" s="2">
        <v>2.7641939622688101</v>
      </c>
      <c r="D1020" s="2">
        <f>VLOOKUP(OneWeekMtgRatesDataTable8[[#This Row],[AsOfDate]],G:H,2,0)+OneWeekMtgRatesDataTable8[[#This Row],[SeriesNumValue]]</f>
        <v>3.6726526072688102</v>
      </c>
      <c r="F1020" s="2" t="s">
        <v>1277</v>
      </c>
      <c r="G1020" s="2" t="s">
        <v>1023</v>
      </c>
      <c r="H1020" s="2">
        <v>0.90845864499999995</v>
      </c>
      <c r="K1020" s="4">
        <v>41654</v>
      </c>
      <c r="L1020">
        <v>4.335</v>
      </c>
    </row>
    <row r="1021" spans="1:12" x14ac:dyDescent="0.25">
      <c r="A1021" s="2" t="s">
        <v>5</v>
      </c>
      <c r="B1021" s="2" t="s">
        <v>1024</v>
      </c>
      <c r="C1021" s="2">
        <v>2.7365985708724101</v>
      </c>
      <c r="D1021" s="2">
        <f>VLOOKUP(OneWeekMtgRatesDataTable8[[#This Row],[AsOfDate]],G:H,2,0)+OneWeekMtgRatesDataTable8[[#This Row],[SeriesNumValue]]</f>
        <v>3.6450572158724102</v>
      </c>
      <c r="F1021" s="2" t="s">
        <v>1277</v>
      </c>
      <c r="G1021" s="2" t="s">
        <v>1024</v>
      </c>
      <c r="H1021" s="2">
        <v>0.90845864499999995</v>
      </c>
      <c r="K1021" s="4">
        <v>41655</v>
      </c>
      <c r="L1021">
        <v>4.3150000000000004</v>
      </c>
    </row>
    <row r="1022" spans="1:12" x14ac:dyDescent="0.25">
      <c r="A1022" s="2" t="s">
        <v>5</v>
      </c>
      <c r="B1022" s="2" t="s">
        <v>1025</v>
      </c>
      <c r="C1022" s="2">
        <v>2.7916349569467398</v>
      </c>
      <c r="D1022" s="2">
        <f>VLOOKUP(OneWeekMtgRatesDataTable8[[#This Row],[AsOfDate]],G:H,2,0)+OneWeekMtgRatesDataTable8[[#This Row],[SeriesNumValue]]</f>
        <v>3.7000936019467399</v>
      </c>
      <c r="F1022" s="2" t="s">
        <v>1277</v>
      </c>
      <c r="G1022" s="2" t="s">
        <v>1025</v>
      </c>
      <c r="H1022" s="2">
        <v>0.90845864499999995</v>
      </c>
      <c r="K1022" s="4">
        <v>41656</v>
      </c>
      <c r="L1022">
        <v>4.3150000000000004</v>
      </c>
    </row>
    <row r="1023" spans="1:12" x14ac:dyDescent="0.25">
      <c r="A1023" s="2" t="s">
        <v>5</v>
      </c>
      <c r="B1023" s="2" t="s">
        <v>1026</v>
      </c>
      <c r="C1023" s="2">
        <v>2.8341999400292899</v>
      </c>
      <c r="D1023" s="2">
        <f>VLOOKUP(OneWeekMtgRatesDataTable8[[#This Row],[AsOfDate]],G:H,2,0)+OneWeekMtgRatesDataTable8[[#This Row],[SeriesNumValue]]</f>
        <v>3.7426585850292899</v>
      </c>
      <c r="F1023" s="2" t="s">
        <v>1277</v>
      </c>
      <c r="G1023" s="2" t="s">
        <v>1026</v>
      </c>
      <c r="H1023" s="2">
        <v>0.90845864499999995</v>
      </c>
      <c r="K1023" s="4">
        <v>41660</v>
      </c>
      <c r="L1023">
        <v>4.3150000000000004</v>
      </c>
    </row>
    <row r="1024" spans="1:12" x14ac:dyDescent="0.25">
      <c r="A1024" s="2" t="s">
        <v>5</v>
      </c>
      <c r="B1024" s="2" t="s">
        <v>1027</v>
      </c>
      <c r="C1024" s="2">
        <v>2.8241837227534399</v>
      </c>
      <c r="D1024" s="2">
        <f>VLOOKUP(OneWeekMtgRatesDataTable8[[#This Row],[AsOfDate]],G:H,2,0)+OneWeekMtgRatesDataTable8[[#This Row],[SeriesNumValue]]</f>
        <v>3.6840214917534397</v>
      </c>
      <c r="F1024" s="2" t="s">
        <v>1277</v>
      </c>
      <c r="G1024" s="2" t="s">
        <v>1027</v>
      </c>
      <c r="H1024" s="2">
        <v>0.85983776899999997</v>
      </c>
      <c r="K1024" s="4">
        <v>41661</v>
      </c>
      <c r="L1024">
        <v>4.3150000000000004</v>
      </c>
    </row>
    <row r="1025" spans="1:12" x14ac:dyDescent="0.25">
      <c r="A1025" s="2" t="s">
        <v>5</v>
      </c>
      <c r="B1025" s="2" t="s">
        <v>1028</v>
      </c>
      <c r="C1025" s="2">
        <v>2.81556157497667</v>
      </c>
      <c r="D1025" s="2">
        <f>VLOOKUP(OneWeekMtgRatesDataTable8[[#This Row],[AsOfDate]],G:H,2,0)+OneWeekMtgRatesDataTable8[[#This Row],[SeriesNumValue]]</f>
        <v>3.6753993439766699</v>
      </c>
      <c r="F1025" s="2" t="s">
        <v>1277</v>
      </c>
      <c r="G1025" s="2" t="s">
        <v>1028</v>
      </c>
      <c r="H1025" s="2">
        <v>0.85983776899999997</v>
      </c>
      <c r="K1025" s="4">
        <v>41662</v>
      </c>
      <c r="L1025">
        <v>4.2450000000000001</v>
      </c>
    </row>
    <row r="1026" spans="1:12" x14ac:dyDescent="0.25">
      <c r="A1026" s="2" t="s">
        <v>5</v>
      </c>
      <c r="B1026" s="2" t="s">
        <v>1029</v>
      </c>
      <c r="C1026" s="2">
        <v>2.9303170109018999</v>
      </c>
      <c r="D1026" s="2">
        <f>VLOOKUP(OneWeekMtgRatesDataTable8[[#This Row],[AsOfDate]],G:H,2,0)+OneWeekMtgRatesDataTable8[[#This Row],[SeriesNumValue]]</f>
        <v>3.7901547799018998</v>
      </c>
      <c r="F1026" s="2" t="s">
        <v>1277</v>
      </c>
      <c r="G1026" s="2" t="s">
        <v>1029</v>
      </c>
      <c r="H1026" s="2">
        <v>0.85983776899999997</v>
      </c>
      <c r="K1026" s="4">
        <v>41663</v>
      </c>
      <c r="L1026">
        <v>4.2450000000000001</v>
      </c>
    </row>
    <row r="1027" spans="1:12" x14ac:dyDescent="0.25">
      <c r="A1027" s="2" t="s">
        <v>5</v>
      </c>
      <c r="B1027" s="2" t="s">
        <v>1030</v>
      </c>
      <c r="C1027" s="2">
        <v>2.90222752352993</v>
      </c>
      <c r="D1027" s="2">
        <f>VLOOKUP(OneWeekMtgRatesDataTable8[[#This Row],[AsOfDate]],G:H,2,0)+OneWeekMtgRatesDataTable8[[#This Row],[SeriesNumValue]]</f>
        <v>3.7620652925299298</v>
      </c>
      <c r="F1027" s="2" t="s">
        <v>1277</v>
      </c>
      <c r="G1027" s="2" t="s">
        <v>1030</v>
      </c>
      <c r="H1027" s="2">
        <v>0.85983776899999997</v>
      </c>
      <c r="K1027" s="4">
        <v>41666</v>
      </c>
      <c r="L1027">
        <v>4.2450000000000001</v>
      </c>
    </row>
    <row r="1028" spans="1:12" x14ac:dyDescent="0.25">
      <c r="A1028" s="2" t="s">
        <v>5</v>
      </c>
      <c r="B1028" s="2" t="s">
        <v>1031</v>
      </c>
      <c r="C1028" s="2">
        <v>2.84635033680676</v>
      </c>
      <c r="D1028" s="2">
        <f>VLOOKUP(OneWeekMtgRatesDataTable8[[#This Row],[AsOfDate]],G:H,2,0)+OneWeekMtgRatesDataTable8[[#This Row],[SeriesNumValue]]</f>
        <v>3.7061881058067598</v>
      </c>
      <c r="F1028" s="2" t="s">
        <v>1277</v>
      </c>
      <c r="G1028" s="2" t="s">
        <v>1031</v>
      </c>
      <c r="H1028" s="2">
        <v>0.85983776899999997</v>
      </c>
      <c r="K1028" s="4">
        <v>41667</v>
      </c>
      <c r="L1028">
        <v>4.2450000000000001</v>
      </c>
    </row>
    <row r="1029" spans="1:12" x14ac:dyDescent="0.25">
      <c r="A1029" s="2" t="s">
        <v>5</v>
      </c>
      <c r="B1029" s="2" t="s">
        <v>1032</v>
      </c>
      <c r="C1029" s="2">
        <v>2.8278353033181198</v>
      </c>
      <c r="D1029" s="2">
        <f>VLOOKUP(OneWeekMtgRatesDataTable8[[#This Row],[AsOfDate]],G:H,2,0)+OneWeekMtgRatesDataTable8[[#This Row],[SeriesNumValue]]</f>
        <v>3.7233769533181196</v>
      </c>
      <c r="F1029" s="2" t="s">
        <v>1277</v>
      </c>
      <c r="G1029" s="2" t="s">
        <v>1032</v>
      </c>
      <c r="H1029" s="2">
        <v>0.89554164999999997</v>
      </c>
      <c r="K1029" s="4">
        <v>41668</v>
      </c>
      <c r="L1029">
        <v>4.2450000000000001</v>
      </c>
    </row>
    <row r="1030" spans="1:12" x14ac:dyDescent="0.25">
      <c r="A1030" s="2" t="s">
        <v>5</v>
      </c>
      <c r="B1030" s="2" t="s">
        <v>1033</v>
      </c>
      <c r="C1030" s="2">
        <v>2.8138191102539798</v>
      </c>
      <c r="D1030" s="2">
        <f>VLOOKUP(OneWeekMtgRatesDataTable8[[#This Row],[AsOfDate]],G:H,2,0)+OneWeekMtgRatesDataTable8[[#This Row],[SeriesNumValue]]</f>
        <v>3.70936076025398</v>
      </c>
      <c r="F1030" s="2" t="s">
        <v>1277</v>
      </c>
      <c r="G1030" s="2" t="s">
        <v>1033</v>
      </c>
      <c r="H1030" s="2">
        <v>0.89554164999999997</v>
      </c>
      <c r="K1030" s="4">
        <v>41669</v>
      </c>
      <c r="L1030">
        <v>4.1550000000000002</v>
      </c>
    </row>
    <row r="1031" spans="1:12" x14ac:dyDescent="0.25">
      <c r="A1031" s="2" t="s">
        <v>5</v>
      </c>
      <c r="B1031" s="2" t="s">
        <v>1034</v>
      </c>
      <c r="C1031" s="2">
        <v>2.8315057491425</v>
      </c>
      <c r="D1031" s="2">
        <f>VLOOKUP(OneWeekMtgRatesDataTable8[[#This Row],[AsOfDate]],G:H,2,0)+OneWeekMtgRatesDataTable8[[#This Row],[SeriesNumValue]]</f>
        <v>3.7270473991425002</v>
      </c>
      <c r="F1031" s="2" t="s">
        <v>1277</v>
      </c>
      <c r="G1031" s="2" t="s">
        <v>1034</v>
      </c>
      <c r="H1031" s="2">
        <v>0.89554164999999997</v>
      </c>
      <c r="K1031" s="4">
        <v>41670</v>
      </c>
      <c r="L1031">
        <v>4.1550000000000002</v>
      </c>
    </row>
    <row r="1032" spans="1:12" x14ac:dyDescent="0.25">
      <c r="A1032" s="2" t="s">
        <v>5</v>
      </c>
      <c r="B1032" s="2" t="s">
        <v>1035</v>
      </c>
      <c r="C1032" s="2">
        <v>2.8241768518279202</v>
      </c>
      <c r="D1032" s="2">
        <f>VLOOKUP(OneWeekMtgRatesDataTable8[[#This Row],[AsOfDate]],G:H,2,0)+OneWeekMtgRatesDataTable8[[#This Row],[SeriesNumValue]]</f>
        <v>3.71971850182792</v>
      </c>
      <c r="F1032" s="2" t="s">
        <v>1277</v>
      </c>
      <c r="G1032" s="2" t="s">
        <v>1035</v>
      </c>
      <c r="H1032" s="2">
        <v>0.89554164999999997</v>
      </c>
      <c r="K1032" s="4">
        <v>41673</v>
      </c>
      <c r="L1032">
        <v>4.1550000000000002</v>
      </c>
    </row>
    <row r="1033" spans="1:12" x14ac:dyDescent="0.25">
      <c r="A1033" s="2" t="s">
        <v>5</v>
      </c>
      <c r="B1033" s="2" t="s">
        <v>1036</v>
      </c>
      <c r="C1033" s="2">
        <v>2.79584100930466</v>
      </c>
      <c r="D1033" s="2">
        <f>VLOOKUP(OneWeekMtgRatesDataTable8[[#This Row],[AsOfDate]],G:H,2,0)+OneWeekMtgRatesDataTable8[[#This Row],[SeriesNumValue]]</f>
        <v>3.6913826593046597</v>
      </c>
      <c r="F1033" s="2" t="s">
        <v>1277</v>
      </c>
      <c r="G1033" s="2" t="s">
        <v>1036</v>
      </c>
      <c r="H1033" s="2">
        <v>0.89554164999999997</v>
      </c>
      <c r="K1033" s="4">
        <v>41674</v>
      </c>
      <c r="L1033">
        <v>4.1550000000000002</v>
      </c>
    </row>
    <row r="1034" spans="1:12" x14ac:dyDescent="0.25">
      <c r="A1034" s="2" t="s">
        <v>5</v>
      </c>
      <c r="B1034" s="2" t="s">
        <v>1037</v>
      </c>
      <c r="C1034" s="2">
        <v>2.6928489030954199</v>
      </c>
      <c r="D1034" s="2">
        <f>VLOOKUP(OneWeekMtgRatesDataTable8[[#This Row],[AsOfDate]],G:H,2,0)+OneWeekMtgRatesDataTable8[[#This Row],[SeriesNumValue]]</f>
        <v>3.58121057809542</v>
      </c>
      <c r="F1034" s="2" t="s">
        <v>1277</v>
      </c>
      <c r="G1034" s="2" t="s">
        <v>1037</v>
      </c>
      <c r="H1034" s="2">
        <v>0.88836167499999996</v>
      </c>
      <c r="K1034" s="4">
        <v>41675</v>
      </c>
      <c r="L1034">
        <v>4.1550000000000002</v>
      </c>
    </row>
    <row r="1035" spans="1:12" x14ac:dyDescent="0.25">
      <c r="A1035" s="2" t="s">
        <v>5</v>
      </c>
      <c r="B1035" s="2" t="s">
        <v>1038</v>
      </c>
      <c r="C1035" s="2">
        <v>2.70955656376128</v>
      </c>
      <c r="D1035" s="2">
        <f>VLOOKUP(OneWeekMtgRatesDataTable8[[#This Row],[AsOfDate]],G:H,2,0)+OneWeekMtgRatesDataTable8[[#This Row],[SeriesNumValue]]</f>
        <v>3.59791823876128</v>
      </c>
      <c r="F1035" s="2" t="s">
        <v>1277</v>
      </c>
      <c r="G1035" s="2" t="s">
        <v>1038</v>
      </c>
      <c r="H1035" s="2">
        <v>0.88836167499999996</v>
      </c>
      <c r="K1035" s="4">
        <v>41676</v>
      </c>
      <c r="L1035">
        <v>4.2050000000000001</v>
      </c>
    </row>
    <row r="1036" spans="1:12" x14ac:dyDescent="0.25">
      <c r="A1036" s="2" t="s">
        <v>5</v>
      </c>
      <c r="B1036" s="2" t="s">
        <v>1039</v>
      </c>
      <c r="C1036" s="2">
        <v>2.6717729385436999</v>
      </c>
      <c r="D1036" s="2">
        <f>VLOOKUP(OneWeekMtgRatesDataTable8[[#This Row],[AsOfDate]],G:H,2,0)+OneWeekMtgRatesDataTable8[[#This Row],[SeriesNumValue]]</f>
        <v>3.5601346135437</v>
      </c>
      <c r="F1036" s="2" t="s">
        <v>1277</v>
      </c>
      <c r="G1036" s="2" t="s">
        <v>1039</v>
      </c>
      <c r="H1036" s="2">
        <v>0.88836167499999996</v>
      </c>
      <c r="K1036" s="4">
        <v>41677</v>
      </c>
      <c r="L1036">
        <v>4.2050000000000001</v>
      </c>
    </row>
    <row r="1037" spans="1:12" x14ac:dyDescent="0.25">
      <c r="A1037" s="2" t="s">
        <v>5</v>
      </c>
      <c r="B1037" s="2" t="s">
        <v>1040</v>
      </c>
      <c r="C1037" s="2">
        <v>2.6575094779916602</v>
      </c>
      <c r="D1037" s="2">
        <f>VLOOKUP(OneWeekMtgRatesDataTable8[[#This Row],[AsOfDate]],G:H,2,0)+OneWeekMtgRatesDataTable8[[#This Row],[SeriesNumValue]]</f>
        <v>3.5458711529916602</v>
      </c>
      <c r="F1037" s="2" t="s">
        <v>1277</v>
      </c>
      <c r="G1037" s="2" t="s">
        <v>1040</v>
      </c>
      <c r="H1037" s="2">
        <v>0.88836167499999996</v>
      </c>
      <c r="K1037" s="4">
        <v>41680</v>
      </c>
      <c r="L1037">
        <v>4.2050000000000001</v>
      </c>
    </row>
    <row r="1038" spans="1:12" x14ac:dyDescent="0.25">
      <c r="A1038" s="2" t="s">
        <v>5</v>
      </c>
      <c r="B1038" s="2" t="s">
        <v>1041</v>
      </c>
      <c r="C1038" s="2">
        <v>2.60984671554638</v>
      </c>
      <c r="D1038" s="2">
        <f>VLOOKUP(OneWeekMtgRatesDataTable8[[#This Row],[AsOfDate]],G:H,2,0)+OneWeekMtgRatesDataTable8[[#This Row],[SeriesNumValue]]</f>
        <v>3.4982083905463801</v>
      </c>
      <c r="F1038" s="2" t="s">
        <v>1277</v>
      </c>
      <c r="G1038" s="2" t="s">
        <v>1041</v>
      </c>
      <c r="H1038" s="2">
        <v>0.88836167499999996</v>
      </c>
      <c r="K1038" s="4">
        <v>41681</v>
      </c>
      <c r="L1038">
        <v>4.2050000000000001</v>
      </c>
    </row>
    <row r="1039" spans="1:12" x14ac:dyDescent="0.25">
      <c r="A1039" s="2" t="s">
        <v>5</v>
      </c>
      <c r="B1039" s="2" t="s">
        <v>1042</v>
      </c>
      <c r="C1039" s="2">
        <v>2.6641693960453199</v>
      </c>
      <c r="D1039" s="2">
        <f>VLOOKUP(OneWeekMtgRatesDataTable8[[#This Row],[AsOfDate]],G:H,2,0)+OneWeekMtgRatesDataTable8[[#This Row],[SeriesNumValue]]</f>
        <v>3.5915983780453198</v>
      </c>
      <c r="F1039" s="2" t="s">
        <v>1277</v>
      </c>
      <c r="G1039" s="2" t="s">
        <v>1042</v>
      </c>
      <c r="H1039" s="2">
        <v>0.92742898200000001</v>
      </c>
      <c r="K1039" s="4">
        <v>41682</v>
      </c>
      <c r="L1039">
        <v>4.2050000000000001</v>
      </c>
    </row>
    <row r="1040" spans="1:12" x14ac:dyDescent="0.25">
      <c r="A1040" s="2" t="s">
        <v>5</v>
      </c>
      <c r="B1040" s="2" t="s">
        <v>1043</v>
      </c>
      <c r="C1040" s="2">
        <v>2.7519990602785001</v>
      </c>
      <c r="D1040" s="2">
        <f>VLOOKUP(OneWeekMtgRatesDataTable8[[#This Row],[AsOfDate]],G:H,2,0)+OneWeekMtgRatesDataTable8[[#This Row],[SeriesNumValue]]</f>
        <v>3.6794280422785</v>
      </c>
      <c r="F1040" s="2" t="s">
        <v>1277</v>
      </c>
      <c r="G1040" s="2" t="s">
        <v>1043</v>
      </c>
      <c r="H1040" s="2">
        <v>0.92742898200000001</v>
      </c>
      <c r="K1040" s="4">
        <v>41683</v>
      </c>
      <c r="L1040">
        <v>4.2549999999999999</v>
      </c>
    </row>
    <row r="1041" spans="1:12" x14ac:dyDescent="0.25">
      <c r="A1041" s="2" t="s">
        <v>5</v>
      </c>
      <c r="B1041" s="2" t="s">
        <v>1044</v>
      </c>
      <c r="C1041" s="2">
        <v>2.6934832462996599</v>
      </c>
      <c r="D1041" s="2">
        <f>VLOOKUP(OneWeekMtgRatesDataTable8[[#This Row],[AsOfDate]],G:H,2,0)+OneWeekMtgRatesDataTable8[[#This Row],[SeriesNumValue]]</f>
        <v>3.6209122282996598</v>
      </c>
      <c r="F1041" s="2" t="s">
        <v>1277</v>
      </c>
      <c r="G1041" s="2" t="s">
        <v>1044</v>
      </c>
      <c r="H1041" s="2">
        <v>0.92742898200000001</v>
      </c>
      <c r="K1041" s="4">
        <v>41684</v>
      </c>
      <c r="L1041">
        <v>4.2549999999999999</v>
      </c>
    </row>
    <row r="1042" spans="1:12" x14ac:dyDescent="0.25">
      <c r="A1042" s="2" t="s">
        <v>5</v>
      </c>
      <c r="B1042" s="2" t="s">
        <v>1045</v>
      </c>
      <c r="C1042" s="2">
        <v>2.6906214304432701</v>
      </c>
      <c r="D1042" s="2">
        <f>VLOOKUP(OneWeekMtgRatesDataTable8[[#This Row],[AsOfDate]],G:H,2,0)+OneWeekMtgRatesDataTable8[[#This Row],[SeriesNumValue]]</f>
        <v>3.61805041244327</v>
      </c>
      <c r="F1042" s="2" t="s">
        <v>1277</v>
      </c>
      <c r="G1042" s="2" t="s">
        <v>1045</v>
      </c>
      <c r="H1042" s="2">
        <v>0.92742898200000001</v>
      </c>
      <c r="K1042" s="4">
        <v>41688</v>
      </c>
      <c r="L1042">
        <v>4.2549999999999999</v>
      </c>
    </row>
    <row r="1043" spans="1:12" x14ac:dyDescent="0.25">
      <c r="A1043" s="2" t="s">
        <v>5</v>
      </c>
      <c r="B1043" s="2" t="s">
        <v>1046</v>
      </c>
      <c r="C1043" s="2">
        <v>2.66103516127894</v>
      </c>
      <c r="D1043" s="2">
        <f>VLOOKUP(OneWeekMtgRatesDataTable8[[#This Row],[AsOfDate]],G:H,2,0)+OneWeekMtgRatesDataTable8[[#This Row],[SeriesNumValue]]</f>
        <v>3.5884641432789399</v>
      </c>
      <c r="F1043" s="2" t="s">
        <v>1277</v>
      </c>
      <c r="G1043" s="2" t="s">
        <v>1046</v>
      </c>
      <c r="H1043" s="2">
        <v>0.92742898200000001</v>
      </c>
      <c r="K1043" s="4">
        <v>41689</v>
      </c>
      <c r="L1043">
        <v>4.2549999999999999</v>
      </c>
    </row>
    <row r="1044" spans="1:12" x14ac:dyDescent="0.25">
      <c r="A1044" s="2" t="s">
        <v>5</v>
      </c>
      <c r="B1044" s="2" t="s">
        <v>1047</v>
      </c>
      <c r="C1044" s="2">
        <v>2.5992657753902901</v>
      </c>
      <c r="D1044" s="2">
        <f>VLOOKUP(OneWeekMtgRatesDataTable8[[#This Row],[AsOfDate]],G:H,2,0)+OneWeekMtgRatesDataTable8[[#This Row],[SeriesNumValue]]</f>
        <v>3.5199848403902902</v>
      </c>
      <c r="F1044" s="2" t="s">
        <v>1277</v>
      </c>
      <c r="G1044" s="2" t="s">
        <v>1047</v>
      </c>
      <c r="H1044" s="2">
        <v>0.920719065</v>
      </c>
      <c r="K1044" s="4">
        <v>41690</v>
      </c>
      <c r="L1044">
        <v>4.2949999999999999</v>
      </c>
    </row>
    <row r="1045" spans="1:12" x14ac:dyDescent="0.25">
      <c r="A1045" s="2" t="s">
        <v>5</v>
      </c>
      <c r="B1045" s="2" t="s">
        <v>1048</v>
      </c>
      <c r="C1045" s="2">
        <v>2.6512826680006101</v>
      </c>
      <c r="D1045" s="2">
        <f>VLOOKUP(OneWeekMtgRatesDataTable8[[#This Row],[AsOfDate]],G:H,2,0)+OneWeekMtgRatesDataTable8[[#This Row],[SeriesNumValue]]</f>
        <v>3.5720017330006102</v>
      </c>
      <c r="F1045" s="2" t="s">
        <v>1277</v>
      </c>
      <c r="G1045" s="2" t="s">
        <v>1048</v>
      </c>
      <c r="H1045" s="2">
        <v>0.920719065</v>
      </c>
      <c r="K1045" s="4">
        <v>41691</v>
      </c>
      <c r="L1045">
        <v>4.2949999999999999</v>
      </c>
    </row>
    <row r="1046" spans="1:12" x14ac:dyDescent="0.25">
      <c r="A1046" s="2" t="s">
        <v>5</v>
      </c>
      <c r="B1046" s="2" t="s">
        <v>1049</v>
      </c>
      <c r="C1046" s="2">
        <v>2.5908884215358099</v>
      </c>
      <c r="D1046" s="2">
        <f>VLOOKUP(OneWeekMtgRatesDataTable8[[#This Row],[AsOfDate]],G:H,2,0)+OneWeekMtgRatesDataTable8[[#This Row],[SeriesNumValue]]</f>
        <v>3.51160748653581</v>
      </c>
      <c r="F1046" s="2" t="s">
        <v>1277</v>
      </c>
      <c r="G1046" s="2" t="s">
        <v>1049</v>
      </c>
      <c r="H1046" s="2">
        <v>0.920719065</v>
      </c>
      <c r="K1046" s="4">
        <v>41694</v>
      </c>
      <c r="L1046">
        <v>4.2949999999999999</v>
      </c>
    </row>
    <row r="1047" spans="1:12" x14ac:dyDescent="0.25">
      <c r="A1047" s="2" t="s">
        <v>5</v>
      </c>
      <c r="B1047" s="2" t="s">
        <v>1050</v>
      </c>
      <c r="C1047" s="2">
        <v>2.63391710374052</v>
      </c>
      <c r="D1047" s="2">
        <f>VLOOKUP(OneWeekMtgRatesDataTable8[[#This Row],[AsOfDate]],G:H,2,0)+OneWeekMtgRatesDataTable8[[#This Row],[SeriesNumValue]]</f>
        <v>3.5546361687405201</v>
      </c>
      <c r="F1047" s="2" t="s">
        <v>1277</v>
      </c>
      <c r="G1047" s="2" t="s">
        <v>1050</v>
      </c>
      <c r="H1047" s="2">
        <v>0.920719065</v>
      </c>
      <c r="K1047" s="4">
        <v>41695</v>
      </c>
      <c r="L1047">
        <v>4.2949999999999999</v>
      </c>
    </row>
    <row r="1048" spans="1:12" x14ac:dyDescent="0.25">
      <c r="A1048" s="2" t="s">
        <v>5</v>
      </c>
      <c r="B1048" s="2" t="s">
        <v>1051</v>
      </c>
      <c r="C1048" s="2">
        <v>2.6287824588785198</v>
      </c>
      <c r="D1048" s="2">
        <f>VLOOKUP(OneWeekMtgRatesDataTable8[[#This Row],[AsOfDate]],G:H,2,0)+OneWeekMtgRatesDataTable8[[#This Row],[SeriesNumValue]]</f>
        <v>3.5495015238785199</v>
      </c>
      <c r="F1048" s="2" t="s">
        <v>1277</v>
      </c>
      <c r="G1048" s="2" t="s">
        <v>1051</v>
      </c>
      <c r="H1048" s="2">
        <v>0.920719065</v>
      </c>
      <c r="K1048" s="4">
        <v>41696</v>
      </c>
      <c r="L1048">
        <v>4.2949999999999999</v>
      </c>
    </row>
    <row r="1049" spans="1:12" x14ac:dyDescent="0.25">
      <c r="A1049" s="2" t="s">
        <v>5</v>
      </c>
      <c r="B1049" s="2" t="s">
        <v>1052</v>
      </c>
      <c r="C1049" s="2">
        <v>2.62032151165119</v>
      </c>
      <c r="D1049" s="2">
        <f>VLOOKUP(OneWeekMtgRatesDataTable8[[#This Row],[AsOfDate]],G:H,2,0)+OneWeekMtgRatesDataTable8[[#This Row],[SeriesNumValue]]</f>
        <v>3.5552830786511898</v>
      </c>
      <c r="F1049" s="2" t="s">
        <v>1277</v>
      </c>
      <c r="G1049" s="2" t="s">
        <v>1052</v>
      </c>
      <c r="H1049" s="2">
        <v>0.93496156699999999</v>
      </c>
      <c r="K1049" s="4">
        <v>41697</v>
      </c>
      <c r="L1049">
        <v>4.2050000000000001</v>
      </c>
    </row>
    <row r="1050" spans="1:12" x14ac:dyDescent="0.25">
      <c r="A1050" s="2" t="s">
        <v>5</v>
      </c>
      <c r="B1050" s="2" t="s">
        <v>1053</v>
      </c>
      <c r="C1050" s="2">
        <v>2.6476582784281</v>
      </c>
      <c r="D1050" s="2">
        <f>VLOOKUP(OneWeekMtgRatesDataTable8[[#This Row],[AsOfDate]],G:H,2,0)+OneWeekMtgRatesDataTable8[[#This Row],[SeriesNumValue]]</f>
        <v>3.5826198454281002</v>
      </c>
      <c r="F1050" s="2" t="s">
        <v>1277</v>
      </c>
      <c r="G1050" s="2" t="s">
        <v>1053</v>
      </c>
      <c r="H1050" s="2">
        <v>0.93496156699999999</v>
      </c>
      <c r="K1050" s="4">
        <v>41698</v>
      </c>
      <c r="L1050">
        <v>4.2050000000000001</v>
      </c>
    </row>
    <row r="1051" spans="1:12" x14ac:dyDescent="0.25">
      <c r="A1051" s="2" t="s">
        <v>5</v>
      </c>
      <c r="B1051" s="2" t="s">
        <v>1054</v>
      </c>
      <c r="C1051" s="2">
        <v>2.6673945625319102</v>
      </c>
      <c r="D1051" s="2">
        <f>VLOOKUP(OneWeekMtgRatesDataTable8[[#This Row],[AsOfDate]],G:H,2,0)+OneWeekMtgRatesDataTable8[[#This Row],[SeriesNumValue]]</f>
        <v>3.60235612953191</v>
      </c>
      <c r="F1051" s="2" t="s">
        <v>1277</v>
      </c>
      <c r="G1051" s="2" t="s">
        <v>1054</v>
      </c>
      <c r="H1051" s="2">
        <v>0.93496156699999999</v>
      </c>
      <c r="K1051" s="4">
        <v>41701</v>
      </c>
      <c r="L1051">
        <v>4.2050000000000001</v>
      </c>
    </row>
    <row r="1052" spans="1:12" x14ac:dyDescent="0.25">
      <c r="A1052" s="2" t="s">
        <v>5</v>
      </c>
      <c r="B1052" s="2" t="s">
        <v>1055</v>
      </c>
      <c r="C1052" s="2">
        <v>2.64134045041691</v>
      </c>
      <c r="D1052" s="2">
        <f>VLOOKUP(OneWeekMtgRatesDataTable8[[#This Row],[AsOfDate]],G:H,2,0)+OneWeekMtgRatesDataTable8[[#This Row],[SeriesNumValue]]</f>
        <v>3.5763020174169098</v>
      </c>
      <c r="F1052" s="2" t="s">
        <v>1277</v>
      </c>
      <c r="G1052" s="2" t="s">
        <v>1055</v>
      </c>
      <c r="H1052" s="2">
        <v>0.93496156699999999</v>
      </c>
      <c r="K1052" s="4">
        <v>41702</v>
      </c>
      <c r="L1052">
        <v>4.2050000000000001</v>
      </c>
    </row>
    <row r="1053" spans="1:12" x14ac:dyDescent="0.25">
      <c r="A1053" s="2" t="s">
        <v>5</v>
      </c>
      <c r="B1053" s="2" t="s">
        <v>1056</v>
      </c>
      <c r="C1053" s="2">
        <v>2.5968587672613901</v>
      </c>
      <c r="D1053" s="2">
        <f>VLOOKUP(OneWeekMtgRatesDataTable8[[#This Row],[AsOfDate]],G:H,2,0)+OneWeekMtgRatesDataTable8[[#This Row],[SeriesNumValue]]</f>
        <v>3.5318203342613899</v>
      </c>
      <c r="F1053" s="2" t="s">
        <v>1277</v>
      </c>
      <c r="G1053" s="2" t="s">
        <v>1056</v>
      </c>
      <c r="H1053" s="2">
        <v>0.93496156699999999</v>
      </c>
      <c r="K1053" s="4">
        <v>41703</v>
      </c>
      <c r="L1053">
        <v>4.2050000000000001</v>
      </c>
    </row>
    <row r="1054" spans="1:12" x14ac:dyDescent="0.25">
      <c r="A1054" s="2" t="s">
        <v>5</v>
      </c>
      <c r="B1054" s="2" t="s">
        <v>1057</v>
      </c>
      <c r="C1054" s="2">
        <v>2.58469358456979</v>
      </c>
      <c r="D1054" s="2">
        <f>VLOOKUP(OneWeekMtgRatesDataTable8[[#This Row],[AsOfDate]],G:H,2,0)+OneWeekMtgRatesDataTable8[[#This Row],[SeriesNumValue]]</f>
        <v>3.5521044555697898</v>
      </c>
      <c r="F1054" s="2" t="s">
        <v>1277</v>
      </c>
      <c r="G1054" s="2" t="s">
        <v>1057</v>
      </c>
      <c r="H1054" s="2">
        <v>0.96741087100000001</v>
      </c>
      <c r="K1054" s="4">
        <v>41704</v>
      </c>
      <c r="L1054">
        <v>4.2699999999999996</v>
      </c>
    </row>
    <row r="1055" spans="1:12" x14ac:dyDescent="0.25">
      <c r="A1055" s="2" t="s">
        <v>5</v>
      </c>
      <c r="B1055" s="2" t="s">
        <v>1058</v>
      </c>
      <c r="C1055" s="2">
        <v>2.5759029417987498</v>
      </c>
      <c r="D1055" s="2">
        <f>VLOOKUP(OneWeekMtgRatesDataTable8[[#This Row],[AsOfDate]],G:H,2,0)+OneWeekMtgRatesDataTable8[[#This Row],[SeriesNumValue]]</f>
        <v>3.5433138127987496</v>
      </c>
      <c r="F1055" s="2" t="s">
        <v>1277</v>
      </c>
      <c r="G1055" s="2" t="s">
        <v>1058</v>
      </c>
      <c r="H1055" s="2">
        <v>0.96741087100000001</v>
      </c>
      <c r="K1055" s="4">
        <v>41705</v>
      </c>
      <c r="L1055">
        <v>4.2699999999999996</v>
      </c>
    </row>
    <row r="1056" spans="1:12" x14ac:dyDescent="0.25">
      <c r="A1056" s="2" t="s">
        <v>5</v>
      </c>
      <c r="B1056" s="2" t="s">
        <v>1059</v>
      </c>
      <c r="C1056" s="2">
        <v>2.56712042045777</v>
      </c>
      <c r="D1056" s="2">
        <f>VLOOKUP(OneWeekMtgRatesDataTable8[[#This Row],[AsOfDate]],G:H,2,0)+OneWeekMtgRatesDataTable8[[#This Row],[SeriesNumValue]]</f>
        <v>3.5345312914577702</v>
      </c>
      <c r="F1056" s="2" t="s">
        <v>1277</v>
      </c>
      <c r="G1056" s="2" t="s">
        <v>1059</v>
      </c>
      <c r="H1056" s="2">
        <v>0.96741087100000001</v>
      </c>
      <c r="K1056" s="4">
        <v>41708</v>
      </c>
      <c r="L1056">
        <v>4.2699999999999996</v>
      </c>
    </row>
    <row r="1057" spans="1:12" x14ac:dyDescent="0.25">
      <c r="A1057" s="2" t="s">
        <v>5</v>
      </c>
      <c r="B1057" s="2" t="s">
        <v>1060</v>
      </c>
      <c r="C1057" s="2">
        <v>2.59858921707026</v>
      </c>
      <c r="D1057" s="2">
        <f>VLOOKUP(OneWeekMtgRatesDataTable8[[#This Row],[AsOfDate]],G:H,2,0)+OneWeekMtgRatesDataTable8[[#This Row],[SeriesNumValue]]</f>
        <v>3.5660000880702603</v>
      </c>
      <c r="F1057" s="2" t="s">
        <v>1277</v>
      </c>
      <c r="G1057" s="2" t="s">
        <v>1060</v>
      </c>
      <c r="H1057" s="2">
        <v>0.96741087100000001</v>
      </c>
      <c r="K1057" s="4">
        <v>41709</v>
      </c>
      <c r="L1057">
        <v>4.2699999999999996</v>
      </c>
    </row>
    <row r="1058" spans="1:12" x14ac:dyDescent="0.25">
      <c r="A1058" s="2" t="s">
        <v>5</v>
      </c>
      <c r="B1058" s="2" t="s">
        <v>1061</v>
      </c>
      <c r="C1058" s="2">
        <v>2.62252108008507</v>
      </c>
      <c r="D1058" s="2">
        <f>VLOOKUP(OneWeekMtgRatesDataTable8[[#This Row],[AsOfDate]],G:H,2,0)+OneWeekMtgRatesDataTable8[[#This Row],[SeriesNumValue]]</f>
        <v>3.5899319510850702</v>
      </c>
      <c r="F1058" s="2" t="s">
        <v>1277</v>
      </c>
      <c r="G1058" s="2" t="s">
        <v>1061</v>
      </c>
      <c r="H1058" s="2">
        <v>0.96741087100000001</v>
      </c>
      <c r="K1058" s="4">
        <v>41710</v>
      </c>
      <c r="L1058">
        <v>4.2699999999999996</v>
      </c>
    </row>
    <row r="1059" spans="1:12" x14ac:dyDescent="0.25">
      <c r="A1059" s="2" t="s">
        <v>5</v>
      </c>
      <c r="B1059" s="2" t="s">
        <v>1062</v>
      </c>
      <c r="C1059" s="2">
        <v>2.6753264137467299</v>
      </c>
      <c r="D1059" s="2">
        <f>VLOOKUP(OneWeekMtgRatesDataTable8[[#This Row],[AsOfDate]],G:H,2,0)+OneWeekMtgRatesDataTable8[[#This Row],[SeriesNumValue]]</f>
        <v>3.6174343987467301</v>
      </c>
      <c r="F1059" s="2" t="s">
        <v>1277</v>
      </c>
      <c r="G1059" s="2" t="s">
        <v>1062</v>
      </c>
      <c r="H1059" s="2">
        <v>0.94210798500000004</v>
      </c>
      <c r="K1059" s="4">
        <v>41711</v>
      </c>
      <c r="L1059">
        <v>4.22</v>
      </c>
    </row>
    <row r="1060" spans="1:12" x14ac:dyDescent="0.25">
      <c r="A1060" s="2" t="s">
        <v>5</v>
      </c>
      <c r="B1060" s="2" t="s">
        <v>1063</v>
      </c>
      <c r="C1060" s="2">
        <v>2.6562875815293401</v>
      </c>
      <c r="D1060" s="2">
        <f>VLOOKUP(OneWeekMtgRatesDataTable8[[#This Row],[AsOfDate]],G:H,2,0)+OneWeekMtgRatesDataTable8[[#This Row],[SeriesNumValue]]</f>
        <v>3.5983955665293399</v>
      </c>
      <c r="F1060" s="2" t="s">
        <v>1277</v>
      </c>
      <c r="G1060" s="2" t="s">
        <v>1063</v>
      </c>
      <c r="H1060" s="2">
        <v>0.94210798500000004</v>
      </c>
      <c r="K1060" s="4">
        <v>41712</v>
      </c>
      <c r="L1060">
        <v>4.22</v>
      </c>
    </row>
    <row r="1061" spans="1:12" x14ac:dyDescent="0.25">
      <c r="A1061" s="2" t="s">
        <v>5</v>
      </c>
      <c r="B1061" s="2" t="s">
        <v>1064</v>
      </c>
      <c r="C1061" s="2">
        <v>2.62955921776924</v>
      </c>
      <c r="D1061" s="2">
        <f>VLOOKUP(OneWeekMtgRatesDataTable8[[#This Row],[AsOfDate]],G:H,2,0)+OneWeekMtgRatesDataTable8[[#This Row],[SeriesNumValue]]</f>
        <v>3.5716672027692402</v>
      </c>
      <c r="F1061" s="2" t="s">
        <v>1277</v>
      </c>
      <c r="G1061" s="2" t="s">
        <v>1064</v>
      </c>
      <c r="H1061" s="2">
        <v>0.94210798500000004</v>
      </c>
      <c r="K1061" s="4">
        <v>41715</v>
      </c>
      <c r="L1061">
        <v>4.22</v>
      </c>
    </row>
    <row r="1062" spans="1:12" x14ac:dyDescent="0.25">
      <c r="A1062" s="2" t="s">
        <v>5</v>
      </c>
      <c r="B1062" s="2" t="s">
        <v>1065</v>
      </c>
      <c r="C1062" s="2">
        <v>2.6437338504186898</v>
      </c>
      <c r="D1062" s="2">
        <f>VLOOKUP(OneWeekMtgRatesDataTable8[[#This Row],[AsOfDate]],G:H,2,0)+OneWeekMtgRatesDataTable8[[#This Row],[SeriesNumValue]]</f>
        <v>3.5858418354186901</v>
      </c>
      <c r="F1062" s="2" t="s">
        <v>1277</v>
      </c>
      <c r="G1062" s="2" t="s">
        <v>1065</v>
      </c>
      <c r="H1062" s="2">
        <v>0.94210798500000004</v>
      </c>
      <c r="K1062" s="4">
        <v>41716</v>
      </c>
      <c r="L1062">
        <v>4.22</v>
      </c>
    </row>
    <row r="1063" spans="1:12" x14ac:dyDescent="0.25">
      <c r="A1063" s="2" t="s">
        <v>5</v>
      </c>
      <c r="B1063" s="2" t="s">
        <v>1066</v>
      </c>
      <c r="C1063" s="2">
        <v>2.6991414546305501</v>
      </c>
      <c r="D1063" s="2">
        <f>VLOOKUP(OneWeekMtgRatesDataTable8[[#This Row],[AsOfDate]],G:H,2,0)+OneWeekMtgRatesDataTable8[[#This Row],[SeriesNumValue]]</f>
        <v>3.6412494396305499</v>
      </c>
      <c r="F1063" s="2" t="s">
        <v>1277</v>
      </c>
      <c r="G1063" s="2" t="s">
        <v>1066</v>
      </c>
      <c r="H1063" s="2">
        <v>0.94210798500000004</v>
      </c>
      <c r="K1063" s="4">
        <v>41717</v>
      </c>
      <c r="L1063">
        <v>4.22</v>
      </c>
    </row>
    <row r="1064" spans="1:12" x14ac:dyDescent="0.25">
      <c r="A1064" s="2" t="s">
        <v>5</v>
      </c>
      <c r="B1064" s="2" t="s">
        <v>1067</v>
      </c>
      <c r="C1064" s="2">
        <v>2.7467458715573199</v>
      </c>
      <c r="D1064" s="2">
        <f>VLOOKUP(OneWeekMtgRatesDataTable8[[#This Row],[AsOfDate]],G:H,2,0)+OneWeekMtgRatesDataTable8[[#This Row],[SeriesNumValue]]</f>
        <v>3.6516522765573196</v>
      </c>
      <c r="F1064" s="2" t="s">
        <v>1277</v>
      </c>
      <c r="G1064" s="2" t="s">
        <v>1067</v>
      </c>
      <c r="H1064" s="2">
        <v>0.90490640499999997</v>
      </c>
      <c r="K1064" s="4">
        <v>41718</v>
      </c>
      <c r="L1064">
        <v>4.3</v>
      </c>
    </row>
    <row r="1065" spans="1:12" x14ac:dyDescent="0.25">
      <c r="A1065" s="2" t="s">
        <v>5</v>
      </c>
      <c r="B1065" s="2" t="s">
        <v>1068</v>
      </c>
      <c r="C1065" s="2">
        <v>2.7480147229669498</v>
      </c>
      <c r="D1065" s="2">
        <f>VLOOKUP(OneWeekMtgRatesDataTable8[[#This Row],[AsOfDate]],G:H,2,0)+OneWeekMtgRatesDataTable8[[#This Row],[SeriesNumValue]]</f>
        <v>3.65292112796695</v>
      </c>
      <c r="F1065" s="2" t="s">
        <v>1277</v>
      </c>
      <c r="G1065" s="2" t="s">
        <v>1068</v>
      </c>
      <c r="H1065" s="2">
        <v>0.90490640499999997</v>
      </c>
      <c r="K1065" s="4">
        <v>41719</v>
      </c>
      <c r="L1065">
        <v>4.3</v>
      </c>
    </row>
    <row r="1066" spans="1:12" x14ac:dyDescent="0.25">
      <c r="A1066" s="2" t="s">
        <v>5</v>
      </c>
      <c r="B1066" s="2" t="s">
        <v>1069</v>
      </c>
      <c r="C1066" s="2">
        <v>2.8064099070641602</v>
      </c>
      <c r="D1066" s="2">
        <f>VLOOKUP(OneWeekMtgRatesDataTable8[[#This Row],[AsOfDate]],G:H,2,0)+OneWeekMtgRatesDataTable8[[#This Row],[SeriesNumValue]]</f>
        <v>3.7113163120641603</v>
      </c>
      <c r="F1066" s="2" t="s">
        <v>1277</v>
      </c>
      <c r="G1066" s="2" t="s">
        <v>1069</v>
      </c>
      <c r="H1066" s="2">
        <v>0.90490640499999997</v>
      </c>
      <c r="K1066" s="4">
        <v>41722</v>
      </c>
      <c r="L1066">
        <v>4.3</v>
      </c>
    </row>
    <row r="1067" spans="1:12" x14ac:dyDescent="0.25">
      <c r="A1067" s="2" t="s">
        <v>5</v>
      </c>
      <c r="B1067" s="2" t="s">
        <v>1070</v>
      </c>
      <c r="C1067" s="2">
        <v>2.8416760056146502</v>
      </c>
      <c r="D1067" s="2">
        <f>VLOOKUP(OneWeekMtgRatesDataTable8[[#This Row],[AsOfDate]],G:H,2,0)+OneWeekMtgRatesDataTable8[[#This Row],[SeriesNumValue]]</f>
        <v>3.7465824106146499</v>
      </c>
      <c r="F1067" s="2" t="s">
        <v>1277</v>
      </c>
      <c r="G1067" s="2" t="s">
        <v>1070</v>
      </c>
      <c r="H1067" s="2">
        <v>0.90490640499999997</v>
      </c>
      <c r="K1067" s="4">
        <v>41723</v>
      </c>
      <c r="L1067">
        <v>4.3</v>
      </c>
    </row>
    <row r="1068" spans="1:12" x14ac:dyDescent="0.25">
      <c r="A1068" s="2" t="s">
        <v>5</v>
      </c>
      <c r="B1068" s="2" t="s">
        <v>1071</v>
      </c>
      <c r="C1068" s="2">
        <v>2.8756484754346898</v>
      </c>
      <c r="D1068" s="2">
        <f>VLOOKUP(OneWeekMtgRatesDataTable8[[#This Row],[AsOfDate]],G:H,2,0)+OneWeekMtgRatesDataTable8[[#This Row],[SeriesNumValue]]</f>
        <v>3.78055488043469</v>
      </c>
      <c r="F1068" s="2" t="s">
        <v>1277</v>
      </c>
      <c r="G1068" s="2" t="s">
        <v>1071</v>
      </c>
      <c r="H1068" s="2">
        <v>0.90490640499999997</v>
      </c>
      <c r="K1068" s="4">
        <v>41724</v>
      </c>
      <c r="L1068">
        <v>4.3</v>
      </c>
    </row>
    <row r="1069" spans="1:12" x14ac:dyDescent="0.25">
      <c r="A1069" s="2" t="s">
        <v>5</v>
      </c>
      <c r="B1069" s="2" t="s">
        <v>1072</v>
      </c>
      <c r="C1069" s="2">
        <v>2.91930519695658</v>
      </c>
      <c r="D1069" s="2">
        <f>VLOOKUP(OneWeekMtgRatesDataTable8[[#This Row],[AsOfDate]],G:H,2,0)+OneWeekMtgRatesDataTable8[[#This Row],[SeriesNumValue]]</f>
        <v>3.7810943349565802</v>
      </c>
      <c r="F1069" s="2" t="s">
        <v>1277</v>
      </c>
      <c r="G1069" s="2" t="s">
        <v>1072</v>
      </c>
      <c r="H1069" s="2">
        <v>0.86178913800000001</v>
      </c>
      <c r="K1069" s="4">
        <v>41725</v>
      </c>
      <c r="L1069">
        <v>4.335</v>
      </c>
    </row>
    <row r="1070" spans="1:12" x14ac:dyDescent="0.25">
      <c r="A1070" s="2" t="s">
        <v>5</v>
      </c>
      <c r="B1070" s="2" t="s">
        <v>1073</v>
      </c>
      <c r="C1070" s="2">
        <v>2.86177796804412</v>
      </c>
      <c r="D1070" s="2">
        <f>VLOOKUP(OneWeekMtgRatesDataTable8[[#This Row],[AsOfDate]],G:H,2,0)+OneWeekMtgRatesDataTable8[[#This Row],[SeriesNumValue]]</f>
        <v>3.7235671060441202</v>
      </c>
      <c r="F1070" s="2" t="s">
        <v>1277</v>
      </c>
      <c r="G1070" s="2" t="s">
        <v>1073</v>
      </c>
      <c r="H1070" s="2">
        <v>0.86178913800000001</v>
      </c>
      <c r="K1070" s="4">
        <v>41726</v>
      </c>
      <c r="L1070">
        <v>4.335</v>
      </c>
    </row>
    <row r="1071" spans="1:12" x14ac:dyDescent="0.25">
      <c r="A1071" s="2" t="s">
        <v>5</v>
      </c>
      <c r="B1071" s="2" t="s">
        <v>1074</v>
      </c>
      <c r="C1071" s="2">
        <v>2.8101076932532698</v>
      </c>
      <c r="D1071" s="2">
        <f>VLOOKUP(OneWeekMtgRatesDataTable8[[#This Row],[AsOfDate]],G:H,2,0)+OneWeekMtgRatesDataTable8[[#This Row],[SeriesNumValue]]</f>
        <v>3.67189683125327</v>
      </c>
      <c r="F1071" s="2" t="s">
        <v>1277</v>
      </c>
      <c r="G1071" s="2" t="s">
        <v>1074</v>
      </c>
      <c r="H1071" s="2">
        <v>0.86178913800000001</v>
      </c>
      <c r="K1071" s="4">
        <v>41729</v>
      </c>
      <c r="L1071">
        <v>4.335</v>
      </c>
    </row>
    <row r="1072" spans="1:12" x14ac:dyDescent="0.25">
      <c r="A1072" s="2" t="s">
        <v>5</v>
      </c>
      <c r="B1072" s="2" t="s">
        <v>1075</v>
      </c>
      <c r="C1072" s="2">
        <v>2.9199815904284798</v>
      </c>
      <c r="D1072" s="2">
        <f>VLOOKUP(OneWeekMtgRatesDataTable8[[#This Row],[AsOfDate]],G:H,2,0)+OneWeekMtgRatesDataTable8[[#This Row],[SeriesNumValue]]</f>
        <v>3.7817707284284801</v>
      </c>
      <c r="F1072" s="2" t="s">
        <v>1277</v>
      </c>
      <c r="G1072" s="2" t="s">
        <v>1075</v>
      </c>
      <c r="H1072" s="2">
        <v>0.86178913800000001</v>
      </c>
      <c r="K1072" s="4">
        <v>41730</v>
      </c>
      <c r="L1072">
        <v>4.335</v>
      </c>
    </row>
    <row r="1073" spans="1:12" x14ac:dyDescent="0.25">
      <c r="A1073" s="2" t="s">
        <v>5</v>
      </c>
      <c r="B1073" s="2" t="s">
        <v>1076</v>
      </c>
      <c r="C1073" s="2">
        <v>2.9362897451124002</v>
      </c>
      <c r="D1073" s="2">
        <f>VLOOKUP(OneWeekMtgRatesDataTable8[[#This Row],[AsOfDate]],G:H,2,0)+OneWeekMtgRatesDataTable8[[#This Row],[SeriesNumValue]]</f>
        <v>3.7980788831124004</v>
      </c>
      <c r="F1073" s="2" t="s">
        <v>1277</v>
      </c>
      <c r="G1073" s="2" t="s">
        <v>1076</v>
      </c>
      <c r="H1073" s="2">
        <v>0.86178913800000001</v>
      </c>
      <c r="K1073" s="4">
        <v>41731</v>
      </c>
      <c r="L1073">
        <v>4.335</v>
      </c>
    </row>
    <row r="1074" spans="1:12" x14ac:dyDescent="0.25">
      <c r="A1074" s="2" t="s">
        <v>5</v>
      </c>
      <c r="B1074" s="2" t="s">
        <v>1077</v>
      </c>
      <c r="C1074" s="2">
        <v>2.9586092652733198</v>
      </c>
      <c r="D1074" s="2">
        <f>VLOOKUP(OneWeekMtgRatesDataTable8[[#This Row],[AsOfDate]],G:H,2,0)+OneWeekMtgRatesDataTable8[[#This Row],[SeriesNumValue]]</f>
        <v>3.8112560132733195</v>
      </c>
      <c r="F1074" s="2" t="s">
        <v>1277</v>
      </c>
      <c r="G1074" s="2" t="s">
        <v>1077</v>
      </c>
      <c r="H1074" s="2">
        <v>0.85264674799999995</v>
      </c>
      <c r="K1074" s="4">
        <v>41732</v>
      </c>
      <c r="L1074">
        <v>4.2649999999999997</v>
      </c>
    </row>
    <row r="1075" spans="1:12" x14ac:dyDescent="0.25">
      <c r="A1075" s="2" t="s">
        <v>5</v>
      </c>
      <c r="B1075" s="2" t="s">
        <v>1078</v>
      </c>
      <c r="C1075" s="2">
        <v>2.9068905487933598</v>
      </c>
      <c r="D1075" s="2">
        <f>VLOOKUP(OneWeekMtgRatesDataTable8[[#This Row],[AsOfDate]],G:H,2,0)+OneWeekMtgRatesDataTable8[[#This Row],[SeriesNumValue]]</f>
        <v>3.7595372967933596</v>
      </c>
      <c r="F1075" s="2" t="s">
        <v>1277</v>
      </c>
      <c r="G1075" s="2" t="s">
        <v>1078</v>
      </c>
      <c r="H1075" s="2">
        <v>0.85264674799999995</v>
      </c>
      <c r="K1075" s="4">
        <v>41733</v>
      </c>
      <c r="L1075">
        <v>4.2649999999999997</v>
      </c>
    </row>
    <row r="1076" spans="1:12" x14ac:dyDescent="0.25">
      <c r="A1076" s="2" t="s">
        <v>5</v>
      </c>
      <c r="B1076" s="2" t="s">
        <v>1079</v>
      </c>
      <c r="C1076" s="2">
        <v>2.82631669904023</v>
      </c>
      <c r="D1076" s="2">
        <f>VLOOKUP(OneWeekMtgRatesDataTable8[[#This Row],[AsOfDate]],G:H,2,0)+OneWeekMtgRatesDataTable8[[#This Row],[SeriesNumValue]]</f>
        <v>3.6789634470402302</v>
      </c>
      <c r="F1076" s="2" t="s">
        <v>1277</v>
      </c>
      <c r="G1076" s="2" t="s">
        <v>1079</v>
      </c>
      <c r="H1076" s="2">
        <v>0.85264674799999995</v>
      </c>
      <c r="K1076" s="4">
        <v>41736</v>
      </c>
      <c r="L1076">
        <v>4.2649999999999997</v>
      </c>
    </row>
    <row r="1077" spans="1:12" x14ac:dyDescent="0.25">
      <c r="A1077" s="2" t="s">
        <v>5</v>
      </c>
      <c r="B1077" s="2" t="s">
        <v>1080</v>
      </c>
      <c r="C1077" s="2">
        <v>2.8896799307946499</v>
      </c>
      <c r="D1077" s="2">
        <f>VLOOKUP(OneWeekMtgRatesDataTable8[[#This Row],[AsOfDate]],G:H,2,0)+OneWeekMtgRatesDataTable8[[#This Row],[SeriesNumValue]]</f>
        <v>3.7423266787946501</v>
      </c>
      <c r="F1077" s="2" t="s">
        <v>1277</v>
      </c>
      <c r="G1077" s="2" t="s">
        <v>1080</v>
      </c>
      <c r="H1077" s="2">
        <v>0.85264674799999995</v>
      </c>
      <c r="K1077" s="4">
        <v>41737</v>
      </c>
      <c r="L1077">
        <v>4.2649999999999997</v>
      </c>
    </row>
    <row r="1078" spans="1:12" x14ac:dyDescent="0.25">
      <c r="A1078" s="2" t="s">
        <v>5</v>
      </c>
      <c r="B1078" s="2" t="s">
        <v>1081</v>
      </c>
      <c r="C1078" s="2">
        <v>2.9214483553786899</v>
      </c>
      <c r="D1078" s="2">
        <f>VLOOKUP(OneWeekMtgRatesDataTable8[[#This Row],[AsOfDate]],G:H,2,0)+OneWeekMtgRatesDataTable8[[#This Row],[SeriesNumValue]]</f>
        <v>3.7740951033786896</v>
      </c>
      <c r="F1078" s="2" t="s">
        <v>1277</v>
      </c>
      <c r="G1078" s="2" t="s">
        <v>1081</v>
      </c>
      <c r="H1078" s="2">
        <v>0.85264674799999995</v>
      </c>
      <c r="K1078" s="4">
        <v>41738</v>
      </c>
      <c r="L1078">
        <v>4.2649999999999997</v>
      </c>
    </row>
    <row r="1079" spans="1:12" x14ac:dyDescent="0.25">
      <c r="A1079" s="2" t="s">
        <v>5</v>
      </c>
      <c r="B1079" s="2" t="s">
        <v>1082</v>
      </c>
      <c r="C1079" s="2">
        <v>2.9102623265110599</v>
      </c>
      <c r="D1079" s="2">
        <f>VLOOKUP(OneWeekMtgRatesDataTable8[[#This Row],[AsOfDate]],G:H,2,0)+OneWeekMtgRatesDataTable8[[#This Row],[SeriesNumValue]]</f>
        <v>3.7843427545110599</v>
      </c>
      <c r="F1079" s="2" t="s">
        <v>1277</v>
      </c>
      <c r="G1079" s="2" t="s">
        <v>1082</v>
      </c>
      <c r="H1079" s="2">
        <v>0.87408042799999996</v>
      </c>
      <c r="K1079" s="4">
        <v>41739</v>
      </c>
      <c r="L1079">
        <v>4.1950000000000003</v>
      </c>
    </row>
    <row r="1080" spans="1:12" x14ac:dyDescent="0.25">
      <c r="A1080" s="2" t="s">
        <v>5</v>
      </c>
      <c r="B1080" s="2" t="s">
        <v>1083</v>
      </c>
      <c r="C1080" s="2">
        <v>2.8599760435846102</v>
      </c>
      <c r="D1080" s="2">
        <f>VLOOKUP(OneWeekMtgRatesDataTable8[[#This Row],[AsOfDate]],G:H,2,0)+OneWeekMtgRatesDataTable8[[#This Row],[SeriesNumValue]]</f>
        <v>3.7340564715846103</v>
      </c>
      <c r="F1080" s="2" t="s">
        <v>1277</v>
      </c>
      <c r="G1080" s="2" t="s">
        <v>1083</v>
      </c>
      <c r="H1080" s="2">
        <v>0.87408042799999996</v>
      </c>
      <c r="K1080" s="4">
        <v>41740</v>
      </c>
      <c r="L1080">
        <v>4.1950000000000003</v>
      </c>
    </row>
    <row r="1081" spans="1:12" x14ac:dyDescent="0.25">
      <c r="A1081" s="2" t="s">
        <v>5</v>
      </c>
      <c r="B1081" s="2" t="s">
        <v>1084</v>
      </c>
      <c r="C1081" s="2">
        <v>2.8915210158303699</v>
      </c>
      <c r="D1081" s="2">
        <f>VLOOKUP(OneWeekMtgRatesDataTable8[[#This Row],[AsOfDate]],G:H,2,0)+OneWeekMtgRatesDataTable8[[#This Row],[SeriesNumValue]]</f>
        <v>3.76560144383037</v>
      </c>
      <c r="F1081" s="2" t="s">
        <v>1277</v>
      </c>
      <c r="G1081" s="2" t="s">
        <v>1084</v>
      </c>
      <c r="H1081" s="2">
        <v>0.87408042799999996</v>
      </c>
      <c r="K1081" s="4">
        <v>41743</v>
      </c>
      <c r="L1081">
        <v>4.1950000000000003</v>
      </c>
    </row>
    <row r="1082" spans="1:12" x14ac:dyDescent="0.25">
      <c r="A1082" s="2" t="s">
        <v>5</v>
      </c>
      <c r="B1082" s="2" t="s">
        <v>1085</v>
      </c>
      <c r="C1082" s="2">
        <v>2.8500704386135798</v>
      </c>
      <c r="D1082" s="2">
        <f>VLOOKUP(OneWeekMtgRatesDataTable8[[#This Row],[AsOfDate]],G:H,2,0)+OneWeekMtgRatesDataTable8[[#This Row],[SeriesNumValue]]</f>
        <v>3.7241508666135799</v>
      </c>
      <c r="F1082" s="2" t="s">
        <v>1277</v>
      </c>
      <c r="G1082" s="2" t="s">
        <v>1085</v>
      </c>
      <c r="H1082" s="2">
        <v>0.87408042799999996</v>
      </c>
      <c r="K1082" s="4">
        <v>41744</v>
      </c>
      <c r="L1082">
        <v>4.1950000000000003</v>
      </c>
    </row>
    <row r="1083" spans="1:12" x14ac:dyDescent="0.25">
      <c r="A1083" s="2" t="s">
        <v>5</v>
      </c>
      <c r="B1083" s="2" t="s">
        <v>1086</v>
      </c>
      <c r="C1083" s="2">
        <v>2.8460665334928898</v>
      </c>
      <c r="D1083" s="2">
        <f>VLOOKUP(OneWeekMtgRatesDataTable8[[#This Row],[AsOfDate]],G:H,2,0)+OneWeekMtgRatesDataTable8[[#This Row],[SeriesNumValue]]</f>
        <v>3.7541580254928899</v>
      </c>
      <c r="F1083" s="2" t="s">
        <v>1277</v>
      </c>
      <c r="G1083" s="2" t="s">
        <v>1086</v>
      </c>
      <c r="H1083" s="2">
        <v>0.90809149199999994</v>
      </c>
      <c r="K1083" s="4">
        <v>41745</v>
      </c>
      <c r="L1083">
        <v>4.1950000000000003</v>
      </c>
    </row>
    <row r="1084" spans="1:12" x14ac:dyDescent="0.25">
      <c r="A1084" s="2" t="s">
        <v>5</v>
      </c>
      <c r="B1084" s="2" t="s">
        <v>1087</v>
      </c>
      <c r="C1084" s="2">
        <v>2.8413672152174398</v>
      </c>
      <c r="D1084" s="2">
        <f>VLOOKUP(OneWeekMtgRatesDataTable8[[#This Row],[AsOfDate]],G:H,2,0)+OneWeekMtgRatesDataTable8[[#This Row],[SeriesNumValue]]</f>
        <v>3.7494587072174399</v>
      </c>
      <c r="F1084" s="2" t="s">
        <v>1277</v>
      </c>
      <c r="G1084" s="2" t="s">
        <v>1087</v>
      </c>
      <c r="H1084" s="2">
        <v>0.90809149199999994</v>
      </c>
      <c r="K1084" s="4">
        <v>41746</v>
      </c>
      <c r="L1084">
        <v>4.2300000000000004</v>
      </c>
    </row>
    <row r="1085" spans="1:12" x14ac:dyDescent="0.25">
      <c r="A1085" s="2" t="s">
        <v>5</v>
      </c>
      <c r="B1085" s="2" t="s">
        <v>1088</v>
      </c>
      <c r="C1085" s="2">
        <v>2.8125589424365498</v>
      </c>
      <c r="D1085" s="2">
        <f>VLOOKUP(OneWeekMtgRatesDataTable8[[#This Row],[AsOfDate]],G:H,2,0)+OneWeekMtgRatesDataTable8[[#This Row],[SeriesNumValue]]</f>
        <v>3.7206504344365499</v>
      </c>
      <c r="F1085" s="2" t="s">
        <v>1277</v>
      </c>
      <c r="G1085" s="2" t="s">
        <v>1088</v>
      </c>
      <c r="H1085" s="2">
        <v>0.90809149199999994</v>
      </c>
      <c r="K1085" s="4">
        <v>41750</v>
      </c>
      <c r="L1085">
        <v>4.2300000000000004</v>
      </c>
    </row>
    <row r="1086" spans="1:12" x14ac:dyDescent="0.25">
      <c r="A1086" s="2" t="s">
        <v>5</v>
      </c>
      <c r="B1086" s="2" t="s">
        <v>1089</v>
      </c>
      <c r="C1086" s="2">
        <v>2.8873082715202201</v>
      </c>
      <c r="D1086" s="2">
        <f>VLOOKUP(OneWeekMtgRatesDataTable8[[#This Row],[AsOfDate]],G:H,2,0)+OneWeekMtgRatesDataTable8[[#This Row],[SeriesNumValue]]</f>
        <v>3.7953997635202201</v>
      </c>
      <c r="F1086" s="2" t="s">
        <v>1277</v>
      </c>
      <c r="G1086" s="2" t="s">
        <v>1089</v>
      </c>
      <c r="H1086" s="2">
        <v>0.90809149199999994</v>
      </c>
      <c r="K1086" s="4">
        <v>41751</v>
      </c>
      <c r="L1086">
        <v>4.2300000000000004</v>
      </c>
    </row>
    <row r="1087" spans="1:12" x14ac:dyDescent="0.25">
      <c r="A1087" s="2" t="s">
        <v>5</v>
      </c>
      <c r="B1087" s="2" t="s">
        <v>1090</v>
      </c>
      <c r="C1087" s="2">
        <v>2.96123512742628</v>
      </c>
      <c r="D1087" s="2">
        <f>VLOOKUP(OneWeekMtgRatesDataTable8[[#This Row],[AsOfDate]],G:H,2,0)+OneWeekMtgRatesDataTable8[[#This Row],[SeriesNumValue]]</f>
        <v>3.8693266194262801</v>
      </c>
      <c r="F1087" s="2" t="s">
        <v>1277</v>
      </c>
      <c r="G1087" s="2" t="s">
        <v>1090</v>
      </c>
      <c r="H1087" s="2">
        <v>0.90809149199999994</v>
      </c>
      <c r="K1087" s="4">
        <v>41752</v>
      </c>
      <c r="L1087">
        <v>4.2300000000000004</v>
      </c>
    </row>
    <row r="1088" spans="1:12" x14ac:dyDescent="0.25">
      <c r="A1088" s="2" t="s">
        <v>5</v>
      </c>
      <c r="B1088" s="2" t="s">
        <v>1091</v>
      </c>
      <c r="C1088" s="2">
        <v>3.0744144315737501</v>
      </c>
      <c r="D1088" s="2">
        <f>VLOOKUP(OneWeekMtgRatesDataTable8[[#This Row],[AsOfDate]],G:H,2,0)+OneWeekMtgRatesDataTable8[[#This Row],[SeriesNumValue]]</f>
        <v>3.92903763357375</v>
      </c>
      <c r="F1088" s="2" t="s">
        <v>1277</v>
      </c>
      <c r="G1088" s="2" t="s">
        <v>1091</v>
      </c>
      <c r="H1088" s="2">
        <v>0.85462320199999997</v>
      </c>
      <c r="K1088" s="4">
        <v>41753</v>
      </c>
      <c r="L1088">
        <v>4.2149999999999999</v>
      </c>
    </row>
    <row r="1089" spans="1:12" x14ac:dyDescent="0.25">
      <c r="A1089" s="2" t="s">
        <v>5</v>
      </c>
      <c r="B1089" s="2" t="s">
        <v>1092</v>
      </c>
      <c r="C1089" s="2">
        <v>3.0256748636149999</v>
      </c>
      <c r="D1089" s="2">
        <f>VLOOKUP(OneWeekMtgRatesDataTable8[[#This Row],[AsOfDate]],G:H,2,0)+OneWeekMtgRatesDataTable8[[#This Row],[SeriesNumValue]]</f>
        <v>3.8802980656149999</v>
      </c>
      <c r="F1089" s="2" t="s">
        <v>1277</v>
      </c>
      <c r="G1089" s="2" t="s">
        <v>1092</v>
      </c>
      <c r="H1089" s="2">
        <v>0.85462320199999997</v>
      </c>
      <c r="K1089" s="4">
        <v>41754</v>
      </c>
      <c r="L1089">
        <v>4.2149999999999999</v>
      </c>
    </row>
    <row r="1090" spans="1:12" x14ac:dyDescent="0.25">
      <c r="A1090" s="2" t="s">
        <v>5</v>
      </c>
      <c r="B1090" s="2" t="s">
        <v>1093</v>
      </c>
      <c r="C1090" s="2">
        <v>3.1185389251118698</v>
      </c>
      <c r="D1090" s="2">
        <f>VLOOKUP(OneWeekMtgRatesDataTable8[[#This Row],[AsOfDate]],G:H,2,0)+OneWeekMtgRatesDataTable8[[#This Row],[SeriesNumValue]]</f>
        <v>3.9731621271118698</v>
      </c>
      <c r="F1090" s="2" t="s">
        <v>1277</v>
      </c>
      <c r="G1090" s="2" t="s">
        <v>1093</v>
      </c>
      <c r="H1090" s="2">
        <v>0.85462320199999997</v>
      </c>
      <c r="K1090" s="4">
        <v>41757</v>
      </c>
      <c r="L1090">
        <v>4.2149999999999999</v>
      </c>
    </row>
    <row r="1091" spans="1:12" x14ac:dyDescent="0.25">
      <c r="A1091" s="2" t="s">
        <v>5</v>
      </c>
      <c r="B1091" s="2" t="s">
        <v>1094</v>
      </c>
      <c r="C1091" s="2">
        <v>3.0852280715370801</v>
      </c>
      <c r="D1091" s="2">
        <f>VLOOKUP(OneWeekMtgRatesDataTable8[[#This Row],[AsOfDate]],G:H,2,0)+OneWeekMtgRatesDataTable8[[#This Row],[SeriesNumValue]]</f>
        <v>3.9398512735370801</v>
      </c>
      <c r="F1091" s="2" t="s">
        <v>1277</v>
      </c>
      <c r="G1091" s="2" t="s">
        <v>1094</v>
      </c>
      <c r="H1091" s="2">
        <v>0.85462320199999997</v>
      </c>
      <c r="K1091" s="4">
        <v>41758</v>
      </c>
      <c r="L1091">
        <v>4.2149999999999999</v>
      </c>
    </row>
    <row r="1092" spans="1:12" x14ac:dyDescent="0.25">
      <c r="A1092" s="2" t="s">
        <v>5</v>
      </c>
      <c r="B1092" s="2" t="s">
        <v>1095</v>
      </c>
      <c r="C1092" s="2">
        <v>3.1292995796246399</v>
      </c>
      <c r="D1092" s="2">
        <f>VLOOKUP(OneWeekMtgRatesDataTable8[[#This Row],[AsOfDate]],G:H,2,0)+OneWeekMtgRatesDataTable8[[#This Row],[SeriesNumValue]]</f>
        <v>3.9839227816246399</v>
      </c>
      <c r="F1092" s="2" t="s">
        <v>1277</v>
      </c>
      <c r="G1092" s="2" t="s">
        <v>1095</v>
      </c>
      <c r="H1092" s="2">
        <v>0.85462320199999997</v>
      </c>
      <c r="K1092" s="4">
        <v>41759</v>
      </c>
      <c r="L1092">
        <v>4.2149999999999999</v>
      </c>
    </row>
    <row r="1093" spans="1:12" x14ac:dyDescent="0.25">
      <c r="A1093" s="2" t="s">
        <v>5</v>
      </c>
      <c r="B1093" s="2" t="s">
        <v>1096</v>
      </c>
      <c r="C1093" s="2">
        <v>3.1773446759928401</v>
      </c>
      <c r="D1093" s="2">
        <f>VLOOKUP(OneWeekMtgRatesDataTable8[[#This Row],[AsOfDate]],G:H,2,0)+OneWeekMtgRatesDataTable8[[#This Row],[SeriesNumValue]]</f>
        <v>4.0101274529928403</v>
      </c>
      <c r="F1093" s="2" t="s">
        <v>1277</v>
      </c>
      <c r="G1093" s="2" t="s">
        <v>1096</v>
      </c>
      <c r="H1093" s="2">
        <v>0.83278277700000003</v>
      </c>
      <c r="K1093" s="4">
        <v>41760</v>
      </c>
      <c r="L1093">
        <v>4.1100000000000003</v>
      </c>
    </row>
    <row r="1094" spans="1:12" x14ac:dyDescent="0.25">
      <c r="A1094" s="2" t="s">
        <v>5</v>
      </c>
      <c r="B1094" s="2" t="s">
        <v>1097</v>
      </c>
      <c r="C1094" s="2">
        <v>3.0761153132050598</v>
      </c>
      <c r="D1094" s="2">
        <f>VLOOKUP(OneWeekMtgRatesDataTable8[[#This Row],[AsOfDate]],G:H,2,0)+OneWeekMtgRatesDataTable8[[#This Row],[SeriesNumValue]]</f>
        <v>3.9088980902050601</v>
      </c>
      <c r="F1094" s="2" t="s">
        <v>1277</v>
      </c>
      <c r="G1094" s="2" t="s">
        <v>1097</v>
      </c>
      <c r="H1094" s="2">
        <v>0.83278277700000003</v>
      </c>
      <c r="K1094" s="4">
        <v>41761</v>
      </c>
      <c r="L1094">
        <v>4.1100000000000003</v>
      </c>
    </row>
    <row r="1095" spans="1:12" x14ac:dyDescent="0.25">
      <c r="A1095" s="2" t="s">
        <v>5</v>
      </c>
      <c r="B1095" s="2" t="s">
        <v>1098</v>
      </c>
      <c r="C1095" s="2">
        <v>3.0919401279735599</v>
      </c>
      <c r="D1095" s="2">
        <f>VLOOKUP(OneWeekMtgRatesDataTable8[[#This Row],[AsOfDate]],G:H,2,0)+OneWeekMtgRatesDataTable8[[#This Row],[SeriesNumValue]]</f>
        <v>3.9247229049735601</v>
      </c>
      <c r="F1095" s="2" t="s">
        <v>1277</v>
      </c>
      <c r="G1095" s="2" t="s">
        <v>1098</v>
      </c>
      <c r="H1095" s="2">
        <v>0.83278277700000003</v>
      </c>
      <c r="K1095" s="4">
        <v>41764</v>
      </c>
      <c r="L1095">
        <v>4.1100000000000003</v>
      </c>
    </row>
    <row r="1096" spans="1:12" x14ac:dyDescent="0.25">
      <c r="A1096" s="2" t="s">
        <v>5</v>
      </c>
      <c r="B1096" s="2" t="s">
        <v>1099</v>
      </c>
      <c r="C1096" s="2">
        <v>3.0848485059502999</v>
      </c>
      <c r="D1096" s="2">
        <f>VLOOKUP(OneWeekMtgRatesDataTable8[[#This Row],[AsOfDate]],G:H,2,0)+OneWeekMtgRatesDataTable8[[#This Row],[SeriesNumValue]]</f>
        <v>3.9176312829502997</v>
      </c>
      <c r="F1096" s="2" t="s">
        <v>1277</v>
      </c>
      <c r="G1096" s="2" t="s">
        <v>1099</v>
      </c>
      <c r="H1096" s="2">
        <v>0.83278277700000003</v>
      </c>
      <c r="K1096" s="4">
        <v>41765</v>
      </c>
      <c r="L1096">
        <v>4.1100000000000003</v>
      </c>
    </row>
    <row r="1097" spans="1:12" x14ac:dyDescent="0.25">
      <c r="A1097" s="2" t="s">
        <v>5</v>
      </c>
      <c r="B1097" s="2" t="s">
        <v>1100</v>
      </c>
      <c r="C1097" s="2">
        <v>3.0537402902567599</v>
      </c>
      <c r="D1097" s="2">
        <f>VLOOKUP(OneWeekMtgRatesDataTable8[[#This Row],[AsOfDate]],G:H,2,0)+OneWeekMtgRatesDataTable8[[#This Row],[SeriesNumValue]]</f>
        <v>3.8865230672567597</v>
      </c>
      <c r="F1097" s="2" t="s">
        <v>1277</v>
      </c>
      <c r="G1097" s="2" t="s">
        <v>1100</v>
      </c>
      <c r="H1097" s="2">
        <v>0.83278277700000003</v>
      </c>
      <c r="K1097" s="4">
        <v>41766</v>
      </c>
      <c r="L1097">
        <v>4.1100000000000003</v>
      </c>
    </row>
    <row r="1098" spans="1:12" x14ac:dyDescent="0.25">
      <c r="A1098" s="2" t="s">
        <v>5</v>
      </c>
      <c r="B1098" s="2" t="s">
        <v>1101</v>
      </c>
      <c r="C1098" s="2">
        <v>3.03216152423493</v>
      </c>
      <c r="D1098" s="2">
        <f>VLOOKUP(OneWeekMtgRatesDataTable8[[#This Row],[AsOfDate]],G:H,2,0)+OneWeekMtgRatesDataTable8[[#This Row],[SeriesNumValue]]</f>
        <v>3.8894003722349302</v>
      </c>
      <c r="F1098" s="2" t="s">
        <v>1277</v>
      </c>
      <c r="G1098" s="2" t="s">
        <v>1101</v>
      </c>
      <c r="H1098" s="2">
        <v>0.85723884800000005</v>
      </c>
      <c r="K1098" s="4">
        <v>41767</v>
      </c>
      <c r="L1098">
        <v>4.0999999999999996</v>
      </c>
    </row>
    <row r="1099" spans="1:12" x14ac:dyDescent="0.25">
      <c r="A1099" s="2" t="s">
        <v>5</v>
      </c>
      <c r="B1099" s="2" t="s">
        <v>1102</v>
      </c>
      <c r="C1099" s="2">
        <v>3.0468019127231698</v>
      </c>
      <c r="D1099" s="2">
        <f>VLOOKUP(OneWeekMtgRatesDataTable8[[#This Row],[AsOfDate]],G:H,2,0)+OneWeekMtgRatesDataTable8[[#This Row],[SeriesNumValue]]</f>
        <v>3.90404076072317</v>
      </c>
      <c r="F1099" s="2" t="s">
        <v>1277</v>
      </c>
      <c r="G1099" s="2" t="s">
        <v>1102</v>
      </c>
      <c r="H1099" s="2">
        <v>0.85723884800000005</v>
      </c>
      <c r="K1099" s="4">
        <v>41768</v>
      </c>
      <c r="L1099">
        <v>4.0999999999999996</v>
      </c>
    </row>
    <row r="1100" spans="1:12" x14ac:dyDescent="0.25">
      <c r="A1100" s="2" t="s">
        <v>5</v>
      </c>
      <c r="B1100" s="2" t="s">
        <v>1103</v>
      </c>
      <c r="C1100" s="2">
        <v>2.9822174038917302</v>
      </c>
      <c r="D1100" s="2">
        <f>VLOOKUP(OneWeekMtgRatesDataTable8[[#This Row],[AsOfDate]],G:H,2,0)+OneWeekMtgRatesDataTable8[[#This Row],[SeriesNumValue]]</f>
        <v>3.8394562518917303</v>
      </c>
      <c r="F1100" s="2" t="s">
        <v>1277</v>
      </c>
      <c r="G1100" s="2" t="s">
        <v>1103</v>
      </c>
      <c r="H1100" s="2">
        <v>0.85723884800000005</v>
      </c>
      <c r="K1100" s="4">
        <v>41771</v>
      </c>
      <c r="L1100">
        <v>4.0999999999999996</v>
      </c>
    </row>
    <row r="1101" spans="1:12" x14ac:dyDescent="0.25">
      <c r="A1101" s="2" t="s">
        <v>5</v>
      </c>
      <c r="B1101" s="2" t="s">
        <v>1104</v>
      </c>
      <c r="C1101" s="2">
        <v>3.0761568887156101</v>
      </c>
      <c r="D1101" s="2">
        <f>VLOOKUP(OneWeekMtgRatesDataTable8[[#This Row],[AsOfDate]],G:H,2,0)+OneWeekMtgRatesDataTable8[[#This Row],[SeriesNumValue]]</f>
        <v>3.9333957367156103</v>
      </c>
      <c r="F1101" s="2" t="s">
        <v>1277</v>
      </c>
      <c r="G1101" s="2" t="s">
        <v>1104</v>
      </c>
      <c r="H1101" s="2">
        <v>0.85723884800000005</v>
      </c>
      <c r="K1101" s="4">
        <v>41772</v>
      </c>
      <c r="L1101">
        <v>4.0999999999999996</v>
      </c>
    </row>
    <row r="1102" spans="1:12" x14ac:dyDescent="0.25">
      <c r="A1102" s="2" t="s">
        <v>5</v>
      </c>
      <c r="B1102" s="2" t="s">
        <v>1105</v>
      </c>
      <c r="C1102" s="2">
        <v>3.1219045210798799</v>
      </c>
      <c r="D1102" s="2">
        <f>VLOOKUP(OneWeekMtgRatesDataTable8[[#This Row],[AsOfDate]],G:H,2,0)+OneWeekMtgRatesDataTable8[[#This Row],[SeriesNumValue]]</f>
        <v>3.9791433690798801</v>
      </c>
      <c r="F1102" s="2" t="s">
        <v>1277</v>
      </c>
      <c r="G1102" s="2" t="s">
        <v>1105</v>
      </c>
      <c r="H1102" s="2">
        <v>0.85723884800000005</v>
      </c>
      <c r="K1102" s="4">
        <v>41773</v>
      </c>
      <c r="L1102">
        <v>4.0999999999999996</v>
      </c>
    </row>
    <row r="1103" spans="1:12" x14ac:dyDescent="0.25">
      <c r="A1103" s="2" t="s">
        <v>5</v>
      </c>
      <c r="B1103" s="2" t="s">
        <v>1106</v>
      </c>
      <c r="C1103" s="2">
        <v>3.0912606104251101</v>
      </c>
      <c r="D1103" s="2">
        <f>VLOOKUP(OneWeekMtgRatesDataTable8[[#This Row],[AsOfDate]],G:H,2,0)+OneWeekMtgRatesDataTable8[[#This Row],[SeriesNumValue]]</f>
        <v>3.9725923434251103</v>
      </c>
      <c r="F1103" s="2" t="s">
        <v>1277</v>
      </c>
      <c r="G1103" s="2" t="s">
        <v>1106</v>
      </c>
      <c r="H1103" s="2">
        <v>0.88133173300000001</v>
      </c>
      <c r="K1103" s="4">
        <v>41774</v>
      </c>
      <c r="L1103">
        <v>4.04</v>
      </c>
    </row>
    <row r="1104" spans="1:12" x14ac:dyDescent="0.25">
      <c r="A1104" s="2" t="s">
        <v>5</v>
      </c>
      <c r="B1104" s="2" t="s">
        <v>1107</v>
      </c>
      <c r="C1104" s="2">
        <v>3.1158923075545402</v>
      </c>
      <c r="D1104" s="2">
        <f>VLOOKUP(OneWeekMtgRatesDataTable8[[#This Row],[AsOfDate]],G:H,2,0)+OneWeekMtgRatesDataTable8[[#This Row],[SeriesNumValue]]</f>
        <v>3.9972240405545403</v>
      </c>
      <c r="F1104" s="2" t="s">
        <v>1277</v>
      </c>
      <c r="G1104" s="2" t="s">
        <v>1107</v>
      </c>
      <c r="H1104" s="2">
        <v>0.88133173300000001</v>
      </c>
      <c r="K1104" s="4">
        <v>41775</v>
      </c>
      <c r="L1104">
        <v>4.04</v>
      </c>
    </row>
    <row r="1105" spans="1:12" x14ac:dyDescent="0.25">
      <c r="A1105" s="2" t="s">
        <v>5</v>
      </c>
      <c r="B1105" s="2" t="s">
        <v>1108</v>
      </c>
      <c r="C1105" s="2">
        <v>3.2022687944333499</v>
      </c>
      <c r="D1105" s="2">
        <f>VLOOKUP(OneWeekMtgRatesDataTable8[[#This Row],[AsOfDate]],G:H,2,0)+OneWeekMtgRatesDataTable8[[#This Row],[SeriesNumValue]]</f>
        <v>4.08360052743335</v>
      </c>
      <c r="F1105" s="2" t="s">
        <v>1277</v>
      </c>
      <c r="G1105" s="2" t="s">
        <v>1108</v>
      </c>
      <c r="H1105" s="2">
        <v>0.88133173300000001</v>
      </c>
      <c r="K1105" s="4">
        <v>41778</v>
      </c>
      <c r="L1105">
        <v>4.04</v>
      </c>
    </row>
    <row r="1106" spans="1:12" x14ac:dyDescent="0.25">
      <c r="A1106" s="2" t="s">
        <v>5</v>
      </c>
      <c r="B1106" s="2" t="s">
        <v>1109</v>
      </c>
      <c r="C1106" s="2">
        <v>3.0851869199683102</v>
      </c>
      <c r="D1106" s="2">
        <f>VLOOKUP(OneWeekMtgRatesDataTable8[[#This Row],[AsOfDate]],G:H,2,0)+OneWeekMtgRatesDataTable8[[#This Row],[SeriesNumValue]]</f>
        <v>3.9665186529683103</v>
      </c>
      <c r="F1106" s="2" t="s">
        <v>1277</v>
      </c>
      <c r="G1106" s="2" t="s">
        <v>1109</v>
      </c>
      <c r="H1106" s="2">
        <v>0.88133173300000001</v>
      </c>
      <c r="K1106" s="4">
        <v>41779</v>
      </c>
      <c r="L1106">
        <v>4.04</v>
      </c>
    </row>
    <row r="1107" spans="1:12" x14ac:dyDescent="0.25">
      <c r="A1107" s="2" t="s">
        <v>5</v>
      </c>
      <c r="B1107" s="2" t="s">
        <v>1110</v>
      </c>
      <c r="C1107" s="2">
        <v>3.0732804432921599</v>
      </c>
      <c r="D1107" s="2">
        <f>VLOOKUP(OneWeekMtgRatesDataTable8[[#This Row],[AsOfDate]],G:H,2,0)+OneWeekMtgRatesDataTable8[[#This Row],[SeriesNumValue]]</f>
        <v>3.95461217629216</v>
      </c>
      <c r="F1107" s="2" t="s">
        <v>1277</v>
      </c>
      <c r="G1107" s="2" t="s">
        <v>1110</v>
      </c>
      <c r="H1107" s="2">
        <v>0.88133173300000001</v>
      </c>
      <c r="K1107" s="4">
        <v>41780</v>
      </c>
      <c r="L1107">
        <v>4.04</v>
      </c>
    </row>
    <row r="1108" spans="1:12" x14ac:dyDescent="0.25">
      <c r="A1108" s="2" t="s">
        <v>5</v>
      </c>
      <c r="B1108" s="2" t="s">
        <v>1111</v>
      </c>
      <c r="C1108" s="2">
        <v>3.16276525236256</v>
      </c>
      <c r="D1108" s="2">
        <f>VLOOKUP(OneWeekMtgRatesDataTable8[[#This Row],[AsOfDate]],G:H,2,0)+OneWeekMtgRatesDataTable8[[#This Row],[SeriesNumValue]]</f>
        <v>4.0148865083625598</v>
      </c>
      <c r="F1108" s="2" t="s">
        <v>1277</v>
      </c>
      <c r="G1108" s="2" t="s">
        <v>1111</v>
      </c>
      <c r="H1108" s="2">
        <v>0.85212125599999999</v>
      </c>
      <c r="K1108" s="4">
        <v>41781</v>
      </c>
      <c r="L1108">
        <v>4.0199999999999996</v>
      </c>
    </row>
    <row r="1109" spans="1:12" x14ac:dyDescent="0.25">
      <c r="A1109" s="2" t="s">
        <v>5</v>
      </c>
      <c r="B1109" s="2" t="s">
        <v>1112</v>
      </c>
      <c r="C1109" s="2">
        <v>3.1329453977786899</v>
      </c>
      <c r="D1109" s="2">
        <f>VLOOKUP(OneWeekMtgRatesDataTable8[[#This Row],[AsOfDate]],G:H,2,0)+OneWeekMtgRatesDataTable8[[#This Row],[SeriesNumValue]]</f>
        <v>3.9850666537786896</v>
      </c>
      <c r="F1109" s="2" t="s">
        <v>1277</v>
      </c>
      <c r="G1109" s="2" t="s">
        <v>1112</v>
      </c>
      <c r="H1109" s="2">
        <v>0.85212125599999999</v>
      </c>
      <c r="K1109" s="4">
        <v>41782</v>
      </c>
      <c r="L1109">
        <v>4.0199999999999996</v>
      </c>
    </row>
    <row r="1110" spans="1:12" x14ac:dyDescent="0.25">
      <c r="A1110" s="2" t="s">
        <v>5</v>
      </c>
      <c r="B1110" s="2" t="s">
        <v>1113</v>
      </c>
      <c r="C1110" s="2">
        <v>3.0409627195865201</v>
      </c>
      <c r="D1110" s="2">
        <f>VLOOKUP(OneWeekMtgRatesDataTable8[[#This Row],[AsOfDate]],G:H,2,0)+OneWeekMtgRatesDataTable8[[#This Row],[SeriesNumValue]]</f>
        <v>3.8930839755865199</v>
      </c>
      <c r="F1110" s="2" t="s">
        <v>1277</v>
      </c>
      <c r="G1110" s="2" t="s">
        <v>1113</v>
      </c>
      <c r="H1110" s="2">
        <v>0.85212125599999999</v>
      </c>
      <c r="K1110" s="4">
        <v>41786</v>
      </c>
      <c r="L1110">
        <v>4.0199999999999996</v>
      </c>
    </row>
    <row r="1111" spans="1:12" x14ac:dyDescent="0.25">
      <c r="A1111" s="2" t="s">
        <v>5</v>
      </c>
      <c r="B1111" s="2" t="s">
        <v>1114</v>
      </c>
      <c r="C1111" s="2">
        <v>3.00985191194196</v>
      </c>
      <c r="D1111" s="2">
        <f>VLOOKUP(OneWeekMtgRatesDataTable8[[#This Row],[AsOfDate]],G:H,2,0)+OneWeekMtgRatesDataTable8[[#This Row],[SeriesNumValue]]</f>
        <v>3.8619731679419598</v>
      </c>
      <c r="F1111" s="2" t="s">
        <v>1277</v>
      </c>
      <c r="G1111" s="2" t="s">
        <v>1114</v>
      </c>
      <c r="H1111" s="2">
        <v>0.85212125599999999</v>
      </c>
      <c r="K1111" s="4">
        <v>41787</v>
      </c>
      <c r="L1111">
        <v>4.0199999999999996</v>
      </c>
    </row>
    <row r="1112" spans="1:12" x14ac:dyDescent="0.25">
      <c r="A1112" s="2" t="s">
        <v>5</v>
      </c>
      <c r="B1112" s="2" t="s">
        <v>1115</v>
      </c>
      <c r="C1112" s="2">
        <v>2.9791453962399599</v>
      </c>
      <c r="D1112" s="2">
        <f>VLOOKUP(OneWeekMtgRatesDataTable8[[#This Row],[AsOfDate]],G:H,2,0)+OneWeekMtgRatesDataTable8[[#This Row],[SeriesNumValue]]</f>
        <v>3.8784190402399599</v>
      </c>
      <c r="F1112" s="2" t="s">
        <v>1277</v>
      </c>
      <c r="G1112" s="2" t="s">
        <v>1115</v>
      </c>
      <c r="H1112" s="2">
        <v>0.89927364399999998</v>
      </c>
      <c r="K1112" s="4">
        <v>41788</v>
      </c>
      <c r="L1112">
        <v>4.0149999999999997</v>
      </c>
    </row>
    <row r="1113" spans="1:12" x14ac:dyDescent="0.25">
      <c r="A1113" s="2" t="s">
        <v>5</v>
      </c>
      <c r="B1113" s="2" t="s">
        <v>1116</v>
      </c>
      <c r="C1113" s="2">
        <v>3.0519928057207899</v>
      </c>
      <c r="D1113" s="2">
        <f>VLOOKUP(OneWeekMtgRatesDataTable8[[#This Row],[AsOfDate]],G:H,2,0)+OneWeekMtgRatesDataTable8[[#This Row],[SeriesNumValue]]</f>
        <v>3.9512664497207899</v>
      </c>
      <c r="F1113" s="2" t="s">
        <v>1277</v>
      </c>
      <c r="G1113" s="2" t="s">
        <v>1116</v>
      </c>
      <c r="H1113" s="2">
        <v>0.89927364399999998</v>
      </c>
      <c r="K1113" s="4">
        <v>41789</v>
      </c>
      <c r="L1113">
        <v>4.0149999999999997</v>
      </c>
    </row>
    <row r="1114" spans="1:12" x14ac:dyDescent="0.25">
      <c r="A1114" s="2" t="s">
        <v>5</v>
      </c>
      <c r="B1114" s="2" t="s">
        <v>1117</v>
      </c>
      <c r="C1114" s="2">
        <v>3.1469144966257199</v>
      </c>
      <c r="D1114" s="2">
        <f>VLOOKUP(OneWeekMtgRatesDataTable8[[#This Row],[AsOfDate]],G:H,2,0)+OneWeekMtgRatesDataTable8[[#This Row],[SeriesNumValue]]</f>
        <v>4.0461881406257199</v>
      </c>
      <c r="F1114" s="2" t="s">
        <v>1277</v>
      </c>
      <c r="G1114" s="2" t="s">
        <v>1117</v>
      </c>
      <c r="H1114" s="2">
        <v>0.89927364399999998</v>
      </c>
      <c r="K1114" s="4">
        <v>41792</v>
      </c>
      <c r="L1114">
        <v>4.0149999999999997</v>
      </c>
    </row>
    <row r="1115" spans="1:12" x14ac:dyDescent="0.25">
      <c r="A1115" s="2" t="s">
        <v>5</v>
      </c>
      <c r="B1115" s="2" t="s">
        <v>1118</v>
      </c>
      <c r="C1115" s="2">
        <v>3.1440801611331</v>
      </c>
      <c r="D1115" s="2">
        <f>VLOOKUP(OneWeekMtgRatesDataTable8[[#This Row],[AsOfDate]],G:H,2,0)+OneWeekMtgRatesDataTable8[[#This Row],[SeriesNumValue]]</f>
        <v>4.0433538051330995</v>
      </c>
      <c r="F1115" s="2" t="s">
        <v>1277</v>
      </c>
      <c r="G1115" s="2" t="s">
        <v>1118</v>
      </c>
      <c r="H1115" s="2">
        <v>0.89927364399999998</v>
      </c>
      <c r="K1115" s="4">
        <v>41793</v>
      </c>
      <c r="L1115">
        <v>4.0149999999999997</v>
      </c>
    </row>
    <row r="1116" spans="1:12" x14ac:dyDescent="0.25">
      <c r="A1116" s="2" t="s">
        <v>5</v>
      </c>
      <c r="B1116" s="2" t="s">
        <v>1119</v>
      </c>
      <c r="C1116" s="2">
        <v>3.1081065530197201</v>
      </c>
      <c r="D1116" s="2">
        <f>VLOOKUP(OneWeekMtgRatesDataTable8[[#This Row],[AsOfDate]],G:H,2,0)+OneWeekMtgRatesDataTable8[[#This Row],[SeriesNumValue]]</f>
        <v>4.00738019701972</v>
      </c>
      <c r="F1116" s="2" t="s">
        <v>1277</v>
      </c>
      <c r="G1116" s="2" t="s">
        <v>1119</v>
      </c>
      <c r="H1116" s="2">
        <v>0.89927364399999998</v>
      </c>
      <c r="K1116" s="4">
        <v>41794</v>
      </c>
      <c r="L1116">
        <v>4.0149999999999997</v>
      </c>
    </row>
    <row r="1117" spans="1:12" x14ac:dyDescent="0.25">
      <c r="A1117" s="2" t="s">
        <v>5</v>
      </c>
      <c r="B1117" s="2" t="s">
        <v>1120</v>
      </c>
      <c r="C1117" s="2">
        <v>3.0651881254767099</v>
      </c>
      <c r="D1117" s="2">
        <f>VLOOKUP(OneWeekMtgRatesDataTable8[[#This Row],[AsOfDate]],G:H,2,0)+OneWeekMtgRatesDataTable8[[#This Row],[SeriesNumValue]]</f>
        <v>3.9519316974767098</v>
      </c>
      <c r="F1117" s="2" t="s">
        <v>1277</v>
      </c>
      <c r="G1117" s="2" t="s">
        <v>1120</v>
      </c>
      <c r="H1117" s="2">
        <v>0.88674357199999998</v>
      </c>
      <c r="K1117" s="4">
        <v>41795</v>
      </c>
      <c r="L1117">
        <v>4.0999999999999996</v>
      </c>
    </row>
    <row r="1118" spans="1:12" x14ac:dyDescent="0.25">
      <c r="A1118" s="2" t="s">
        <v>5</v>
      </c>
      <c r="B1118" s="2" t="s">
        <v>1121</v>
      </c>
      <c r="C1118" s="2">
        <v>3.0642370952529001</v>
      </c>
      <c r="D1118" s="2">
        <f>VLOOKUP(OneWeekMtgRatesDataTable8[[#This Row],[AsOfDate]],G:H,2,0)+OneWeekMtgRatesDataTable8[[#This Row],[SeriesNumValue]]</f>
        <v>3.9509806672529</v>
      </c>
      <c r="F1118" s="2" t="s">
        <v>1277</v>
      </c>
      <c r="G1118" s="2" t="s">
        <v>1121</v>
      </c>
      <c r="H1118" s="2">
        <v>0.88674357199999998</v>
      </c>
      <c r="K1118" s="4">
        <v>41796</v>
      </c>
      <c r="L1118">
        <v>4.0999999999999996</v>
      </c>
    </row>
    <row r="1119" spans="1:12" x14ac:dyDescent="0.25">
      <c r="A1119" s="2" t="s">
        <v>5</v>
      </c>
      <c r="B1119" s="2" t="s">
        <v>1122</v>
      </c>
      <c r="C1119" s="2">
        <v>3.0508649511892498</v>
      </c>
      <c r="D1119" s="2">
        <f>VLOOKUP(OneWeekMtgRatesDataTable8[[#This Row],[AsOfDate]],G:H,2,0)+OneWeekMtgRatesDataTable8[[#This Row],[SeriesNumValue]]</f>
        <v>3.9376085231892497</v>
      </c>
      <c r="F1119" s="2" t="s">
        <v>1277</v>
      </c>
      <c r="G1119" s="2" t="s">
        <v>1122</v>
      </c>
      <c r="H1119" s="2">
        <v>0.88674357199999998</v>
      </c>
      <c r="K1119" s="4">
        <v>41799</v>
      </c>
      <c r="L1119">
        <v>4.0999999999999996</v>
      </c>
    </row>
    <row r="1120" spans="1:12" x14ac:dyDescent="0.25">
      <c r="A1120" s="2" t="s">
        <v>5</v>
      </c>
      <c r="B1120" s="2" t="s">
        <v>1123</v>
      </c>
      <c r="C1120" s="2">
        <v>3.07026860246684</v>
      </c>
      <c r="D1120" s="2">
        <f>VLOOKUP(OneWeekMtgRatesDataTable8[[#This Row],[AsOfDate]],G:H,2,0)+OneWeekMtgRatesDataTable8[[#This Row],[SeriesNumValue]]</f>
        <v>3.9570121744668398</v>
      </c>
      <c r="F1120" s="2" t="s">
        <v>1277</v>
      </c>
      <c r="G1120" s="2" t="s">
        <v>1123</v>
      </c>
      <c r="H1120" s="2">
        <v>0.88674357199999998</v>
      </c>
      <c r="K1120" s="4">
        <v>41800</v>
      </c>
      <c r="L1120">
        <v>4.0999999999999996</v>
      </c>
    </row>
    <row r="1121" spans="1:12" x14ac:dyDescent="0.25">
      <c r="A1121" s="2" t="s">
        <v>5</v>
      </c>
      <c r="B1121" s="2" t="s">
        <v>1124</v>
      </c>
      <c r="C1121" s="2">
        <v>3.04099858929172</v>
      </c>
      <c r="D1121" s="2">
        <f>VLOOKUP(OneWeekMtgRatesDataTable8[[#This Row],[AsOfDate]],G:H,2,0)+OneWeekMtgRatesDataTable8[[#This Row],[SeriesNumValue]]</f>
        <v>3.9277421612917198</v>
      </c>
      <c r="F1121" s="2" t="s">
        <v>1277</v>
      </c>
      <c r="G1121" s="2" t="s">
        <v>1124</v>
      </c>
      <c r="H1121" s="2">
        <v>0.88674357199999998</v>
      </c>
      <c r="K1121" s="4">
        <v>41801</v>
      </c>
      <c r="L1121">
        <v>4.0999999999999996</v>
      </c>
    </row>
    <row r="1122" spans="1:12" x14ac:dyDescent="0.25">
      <c r="A1122" s="2" t="s">
        <v>5</v>
      </c>
      <c r="B1122" s="2" t="s">
        <v>1125</v>
      </c>
      <c r="C1122" s="2">
        <v>3.0272722743659699</v>
      </c>
      <c r="D1122" s="2">
        <f>VLOOKUP(OneWeekMtgRatesDataTable8[[#This Row],[AsOfDate]],G:H,2,0)+OneWeekMtgRatesDataTable8[[#This Row],[SeriesNumValue]]</f>
        <v>3.9165439713659698</v>
      </c>
      <c r="F1122" s="2" t="s">
        <v>1277</v>
      </c>
      <c r="G1122" s="2" t="s">
        <v>1125</v>
      </c>
      <c r="H1122" s="2">
        <v>0.88927169699999997</v>
      </c>
      <c r="K1122" s="4">
        <v>41802</v>
      </c>
      <c r="L1122">
        <v>4.07</v>
      </c>
    </row>
    <row r="1123" spans="1:12" x14ac:dyDescent="0.25">
      <c r="A1123" s="2" t="s">
        <v>5</v>
      </c>
      <c r="B1123" s="2" t="s">
        <v>1126</v>
      </c>
      <c r="C1123" s="2">
        <v>3.00152435884748</v>
      </c>
      <c r="D1123" s="2">
        <f>VLOOKUP(OneWeekMtgRatesDataTable8[[#This Row],[AsOfDate]],G:H,2,0)+OneWeekMtgRatesDataTable8[[#This Row],[SeriesNumValue]]</f>
        <v>3.8907960558474799</v>
      </c>
      <c r="F1123" s="2" t="s">
        <v>1277</v>
      </c>
      <c r="G1123" s="2" t="s">
        <v>1126</v>
      </c>
      <c r="H1123" s="2">
        <v>0.88927169699999997</v>
      </c>
      <c r="K1123" s="4">
        <v>41803</v>
      </c>
      <c r="L1123">
        <v>4.07</v>
      </c>
    </row>
    <row r="1124" spans="1:12" x14ac:dyDescent="0.25">
      <c r="A1124" s="2" t="s">
        <v>5</v>
      </c>
      <c r="B1124" s="2" t="s">
        <v>1127</v>
      </c>
      <c r="C1124" s="2">
        <v>3.00880742941581</v>
      </c>
      <c r="D1124" s="2">
        <f>VLOOKUP(OneWeekMtgRatesDataTable8[[#This Row],[AsOfDate]],G:H,2,0)+OneWeekMtgRatesDataTable8[[#This Row],[SeriesNumValue]]</f>
        <v>3.8980791264158099</v>
      </c>
      <c r="F1124" s="2" t="s">
        <v>1277</v>
      </c>
      <c r="G1124" s="2" t="s">
        <v>1127</v>
      </c>
      <c r="H1124" s="2">
        <v>0.88927169699999997</v>
      </c>
      <c r="K1124" s="4">
        <v>41806</v>
      </c>
      <c r="L1124">
        <v>4.07</v>
      </c>
    </row>
    <row r="1125" spans="1:12" x14ac:dyDescent="0.25">
      <c r="A1125" s="2" t="s">
        <v>5</v>
      </c>
      <c r="B1125" s="2" t="s">
        <v>1128</v>
      </c>
      <c r="C1125" s="2">
        <v>2.9768819813504899</v>
      </c>
      <c r="D1125" s="2">
        <f>VLOOKUP(OneWeekMtgRatesDataTable8[[#This Row],[AsOfDate]],G:H,2,0)+OneWeekMtgRatesDataTable8[[#This Row],[SeriesNumValue]]</f>
        <v>3.8661536783504897</v>
      </c>
      <c r="F1125" s="2" t="s">
        <v>1277</v>
      </c>
      <c r="G1125" s="2" t="s">
        <v>1128</v>
      </c>
      <c r="H1125" s="2">
        <v>0.88927169699999997</v>
      </c>
      <c r="K1125" s="4">
        <v>41807</v>
      </c>
      <c r="L1125">
        <v>4.07</v>
      </c>
    </row>
    <row r="1126" spans="1:12" x14ac:dyDescent="0.25">
      <c r="A1126" s="2" t="s">
        <v>5</v>
      </c>
      <c r="B1126" s="2" t="s">
        <v>1129</v>
      </c>
      <c r="C1126" s="2">
        <v>2.9700273705701301</v>
      </c>
      <c r="D1126" s="2">
        <f>VLOOKUP(OneWeekMtgRatesDataTable8[[#This Row],[AsOfDate]],G:H,2,0)+OneWeekMtgRatesDataTable8[[#This Row],[SeriesNumValue]]</f>
        <v>3.85929906757013</v>
      </c>
      <c r="F1126" s="2" t="s">
        <v>1277</v>
      </c>
      <c r="G1126" s="2" t="s">
        <v>1129</v>
      </c>
      <c r="H1126" s="2">
        <v>0.88927169699999997</v>
      </c>
      <c r="K1126" s="4">
        <v>41808</v>
      </c>
      <c r="L1126">
        <v>4.07</v>
      </c>
    </row>
    <row r="1127" spans="1:12" x14ac:dyDescent="0.25">
      <c r="A1127" s="2" t="s">
        <v>5</v>
      </c>
      <c r="B1127" s="2" t="s">
        <v>1130</v>
      </c>
      <c r="C1127" s="2">
        <v>2.9952166878972601</v>
      </c>
      <c r="D1127" s="2">
        <f>VLOOKUP(OneWeekMtgRatesDataTable8[[#This Row],[AsOfDate]],G:H,2,0)+OneWeekMtgRatesDataTable8[[#This Row],[SeriesNumValue]]</f>
        <v>3.8847251218972603</v>
      </c>
      <c r="F1127" s="2" t="s">
        <v>1277</v>
      </c>
      <c r="G1127" s="2" t="s">
        <v>1130</v>
      </c>
      <c r="H1127" s="2">
        <v>0.88950843400000001</v>
      </c>
      <c r="K1127" s="4">
        <v>41809</v>
      </c>
      <c r="L1127">
        <v>4.0149999999999997</v>
      </c>
    </row>
    <row r="1128" spans="1:12" x14ac:dyDescent="0.25">
      <c r="A1128" s="2" t="s">
        <v>5</v>
      </c>
      <c r="B1128" s="2" t="s">
        <v>1131</v>
      </c>
      <c r="C1128" s="2">
        <v>2.9944455468035298</v>
      </c>
      <c r="D1128" s="2">
        <f>VLOOKUP(OneWeekMtgRatesDataTable8[[#This Row],[AsOfDate]],G:H,2,0)+OneWeekMtgRatesDataTable8[[#This Row],[SeriesNumValue]]</f>
        <v>3.8839539808035299</v>
      </c>
      <c r="F1128" s="2" t="s">
        <v>1277</v>
      </c>
      <c r="G1128" s="2" t="s">
        <v>1131</v>
      </c>
      <c r="H1128" s="2">
        <v>0.88950843400000001</v>
      </c>
      <c r="K1128" s="4">
        <v>41810</v>
      </c>
      <c r="L1128">
        <v>4.0149999999999997</v>
      </c>
    </row>
    <row r="1129" spans="1:12" x14ac:dyDescent="0.25">
      <c r="A1129" s="2" t="s">
        <v>5</v>
      </c>
      <c r="B1129" s="2" t="s">
        <v>1132</v>
      </c>
      <c r="C1129" s="2">
        <v>2.9155081259623699</v>
      </c>
      <c r="D1129" s="2">
        <f>VLOOKUP(OneWeekMtgRatesDataTable8[[#This Row],[AsOfDate]],G:H,2,0)+OneWeekMtgRatesDataTable8[[#This Row],[SeriesNumValue]]</f>
        <v>3.80501655996237</v>
      </c>
      <c r="F1129" s="2" t="s">
        <v>1277</v>
      </c>
      <c r="G1129" s="2" t="s">
        <v>1132</v>
      </c>
      <c r="H1129" s="2">
        <v>0.88950843400000001</v>
      </c>
      <c r="K1129" s="4">
        <v>41813</v>
      </c>
      <c r="L1129">
        <v>4.0149999999999997</v>
      </c>
    </row>
    <row r="1130" spans="1:12" x14ac:dyDescent="0.25">
      <c r="A1130" s="2" t="s">
        <v>5</v>
      </c>
      <c r="B1130" s="2" t="s">
        <v>1133</v>
      </c>
      <c r="C1130" s="2">
        <v>2.8859588833612699</v>
      </c>
      <c r="D1130" s="2">
        <f>VLOOKUP(OneWeekMtgRatesDataTable8[[#This Row],[AsOfDate]],G:H,2,0)+OneWeekMtgRatesDataTable8[[#This Row],[SeriesNumValue]]</f>
        <v>3.7754673173612701</v>
      </c>
      <c r="F1130" s="2" t="s">
        <v>1277</v>
      </c>
      <c r="G1130" s="2" t="s">
        <v>1133</v>
      </c>
      <c r="H1130" s="2">
        <v>0.88950843400000001</v>
      </c>
      <c r="K1130" s="4">
        <v>41814</v>
      </c>
      <c r="L1130">
        <v>4.0149999999999997</v>
      </c>
    </row>
    <row r="1131" spans="1:12" x14ac:dyDescent="0.25">
      <c r="A1131" s="2" t="s">
        <v>5</v>
      </c>
      <c r="B1131" s="2" t="s">
        <v>1134</v>
      </c>
      <c r="C1131" s="2">
        <v>2.9592567116727899</v>
      </c>
      <c r="D1131" s="2">
        <f>VLOOKUP(OneWeekMtgRatesDataTable8[[#This Row],[AsOfDate]],G:H,2,0)+OneWeekMtgRatesDataTable8[[#This Row],[SeriesNumValue]]</f>
        <v>3.84876514567279</v>
      </c>
      <c r="F1131" s="2" t="s">
        <v>1277</v>
      </c>
      <c r="G1131" s="2" t="s">
        <v>1134</v>
      </c>
      <c r="H1131" s="2">
        <v>0.88950843400000001</v>
      </c>
      <c r="K1131" s="4">
        <v>41815</v>
      </c>
      <c r="L1131">
        <v>4.0149999999999997</v>
      </c>
    </row>
    <row r="1132" spans="1:12" x14ac:dyDescent="0.25">
      <c r="A1132" s="2" t="s">
        <v>5</v>
      </c>
      <c r="B1132" s="2" t="s">
        <v>1135</v>
      </c>
      <c r="C1132" s="2">
        <v>3.0089114844805001</v>
      </c>
      <c r="D1132" s="2">
        <f>VLOOKUP(OneWeekMtgRatesDataTable8[[#This Row],[AsOfDate]],G:H,2,0)+OneWeekMtgRatesDataTable8[[#This Row],[SeriesNumValue]]</f>
        <v>3.8660953344804998</v>
      </c>
      <c r="F1132" s="2" t="s">
        <v>1277</v>
      </c>
      <c r="G1132" s="2" t="s">
        <v>1135</v>
      </c>
      <c r="H1132" s="2">
        <v>0.85718384999999997</v>
      </c>
      <c r="K1132" s="4">
        <v>41816</v>
      </c>
      <c r="L1132">
        <v>3.9950000000000001</v>
      </c>
    </row>
    <row r="1133" spans="1:12" x14ac:dyDescent="0.25">
      <c r="A1133" s="2" t="s">
        <v>5</v>
      </c>
      <c r="B1133" s="2" t="s">
        <v>1136</v>
      </c>
      <c r="C1133" s="2">
        <v>2.9719648499802398</v>
      </c>
      <c r="D1133" s="2">
        <f>VLOOKUP(OneWeekMtgRatesDataTable8[[#This Row],[AsOfDate]],G:H,2,0)+OneWeekMtgRatesDataTable8[[#This Row],[SeriesNumValue]]</f>
        <v>3.82914869998024</v>
      </c>
      <c r="F1133" s="2" t="s">
        <v>1277</v>
      </c>
      <c r="G1133" s="2" t="s">
        <v>1136</v>
      </c>
      <c r="H1133" s="2">
        <v>0.85718384999999997</v>
      </c>
      <c r="K1133" s="4">
        <v>41817</v>
      </c>
      <c r="L1133">
        <v>3.9950000000000001</v>
      </c>
    </row>
    <row r="1134" spans="1:12" x14ac:dyDescent="0.25">
      <c r="A1134" s="2" t="s">
        <v>5</v>
      </c>
      <c r="B1134" s="2" t="s">
        <v>1137</v>
      </c>
      <c r="C1134" s="2">
        <v>2.92350190324946</v>
      </c>
      <c r="D1134" s="2">
        <f>VLOOKUP(OneWeekMtgRatesDataTable8[[#This Row],[AsOfDate]],G:H,2,0)+OneWeekMtgRatesDataTable8[[#This Row],[SeriesNumValue]]</f>
        <v>3.7806857532494602</v>
      </c>
      <c r="F1134" s="2" t="s">
        <v>1277</v>
      </c>
      <c r="G1134" s="2" t="s">
        <v>1137</v>
      </c>
      <c r="H1134" s="2">
        <v>0.85718384999999997</v>
      </c>
      <c r="K1134" s="4">
        <v>41820</v>
      </c>
      <c r="L1134">
        <v>3.9950000000000001</v>
      </c>
    </row>
    <row r="1135" spans="1:12" x14ac:dyDescent="0.25">
      <c r="A1135" s="2" t="s">
        <v>5</v>
      </c>
      <c r="B1135" s="2" t="s">
        <v>1138</v>
      </c>
      <c r="C1135" s="2">
        <v>2.9753003706109098</v>
      </c>
      <c r="D1135" s="2">
        <f>VLOOKUP(OneWeekMtgRatesDataTable8[[#This Row],[AsOfDate]],G:H,2,0)+OneWeekMtgRatesDataTable8[[#This Row],[SeriesNumValue]]</f>
        <v>3.83248422061091</v>
      </c>
      <c r="F1135" s="2" t="s">
        <v>1277</v>
      </c>
      <c r="G1135" s="2" t="s">
        <v>1138</v>
      </c>
      <c r="H1135" s="2">
        <v>0.85718384999999997</v>
      </c>
      <c r="K1135" s="4">
        <v>41821</v>
      </c>
      <c r="L1135">
        <v>3.9950000000000001</v>
      </c>
    </row>
    <row r="1136" spans="1:12" x14ac:dyDescent="0.25">
      <c r="A1136" s="2" t="s">
        <v>5</v>
      </c>
      <c r="B1136" s="2" t="s">
        <v>1139</v>
      </c>
      <c r="C1136" s="2">
        <v>2.8894517792115599</v>
      </c>
      <c r="D1136" s="2">
        <f>VLOOKUP(OneWeekMtgRatesDataTable8[[#This Row],[AsOfDate]],G:H,2,0)+OneWeekMtgRatesDataTable8[[#This Row],[SeriesNumValue]]</f>
        <v>3.7466356292115597</v>
      </c>
      <c r="F1136" s="2" t="s">
        <v>1277</v>
      </c>
      <c r="G1136" s="2" t="s">
        <v>1139</v>
      </c>
      <c r="H1136" s="2">
        <v>0.85718384999999997</v>
      </c>
      <c r="K1136" s="4">
        <v>41822</v>
      </c>
      <c r="L1136">
        <v>3.9950000000000001</v>
      </c>
    </row>
    <row r="1137" spans="1:12" x14ac:dyDescent="0.25">
      <c r="A1137" s="2" t="s">
        <v>5</v>
      </c>
      <c r="B1137" s="2" t="s">
        <v>1140</v>
      </c>
      <c r="C1137" s="2">
        <v>2.8863432484098199</v>
      </c>
      <c r="D1137" s="2">
        <f>VLOOKUP(OneWeekMtgRatesDataTable8[[#This Row],[AsOfDate]],G:H,2,0)+OneWeekMtgRatesDataTable8[[#This Row],[SeriesNumValue]]</f>
        <v>3.7970308184098198</v>
      </c>
      <c r="F1137" s="2" t="s">
        <v>1277</v>
      </c>
      <c r="G1137" s="2" t="s">
        <v>1140</v>
      </c>
      <c r="H1137" s="2">
        <v>0.91068757</v>
      </c>
      <c r="K1137" s="4">
        <v>41823</v>
      </c>
      <c r="L1137">
        <v>4.0750000000000002</v>
      </c>
    </row>
    <row r="1138" spans="1:12" x14ac:dyDescent="0.25">
      <c r="A1138" s="2" t="s">
        <v>5</v>
      </c>
      <c r="B1138" s="2" t="s">
        <v>1141</v>
      </c>
      <c r="C1138" s="2">
        <v>2.94154866689746</v>
      </c>
      <c r="D1138" s="2">
        <f>VLOOKUP(OneWeekMtgRatesDataTable8[[#This Row],[AsOfDate]],G:H,2,0)+OneWeekMtgRatesDataTable8[[#This Row],[SeriesNumValue]]</f>
        <v>3.8522362368974599</v>
      </c>
      <c r="F1138" s="2" t="s">
        <v>1277</v>
      </c>
      <c r="G1138" s="2" t="s">
        <v>1141</v>
      </c>
      <c r="H1138" s="2">
        <v>0.91068757</v>
      </c>
      <c r="K1138" s="4">
        <v>41827</v>
      </c>
      <c r="L1138">
        <v>4.0750000000000002</v>
      </c>
    </row>
    <row r="1139" spans="1:12" x14ac:dyDescent="0.25">
      <c r="A1139" s="2" t="s">
        <v>5</v>
      </c>
      <c r="B1139" s="2" t="s">
        <v>1142</v>
      </c>
      <c r="C1139" s="2">
        <v>2.9622833477952701</v>
      </c>
      <c r="D1139" s="2">
        <f>VLOOKUP(OneWeekMtgRatesDataTable8[[#This Row],[AsOfDate]],G:H,2,0)+OneWeekMtgRatesDataTable8[[#This Row],[SeriesNumValue]]</f>
        <v>3.87297091779527</v>
      </c>
      <c r="F1139" s="2" t="s">
        <v>1277</v>
      </c>
      <c r="G1139" s="2" t="s">
        <v>1142</v>
      </c>
      <c r="H1139" s="2">
        <v>0.91068757</v>
      </c>
      <c r="K1139" s="4">
        <v>41828</v>
      </c>
      <c r="L1139">
        <v>4.0750000000000002</v>
      </c>
    </row>
    <row r="1140" spans="1:12" x14ac:dyDescent="0.25">
      <c r="A1140" s="2" t="s">
        <v>5</v>
      </c>
      <c r="B1140" s="2" t="s">
        <v>1143</v>
      </c>
      <c r="C1140" s="2">
        <v>2.9357435322539001</v>
      </c>
      <c r="D1140" s="2">
        <f>VLOOKUP(OneWeekMtgRatesDataTable8[[#This Row],[AsOfDate]],G:H,2,0)+OneWeekMtgRatesDataTable8[[#This Row],[SeriesNumValue]]</f>
        <v>3.8464311022538999</v>
      </c>
      <c r="F1140" s="2" t="s">
        <v>1277</v>
      </c>
      <c r="G1140" s="2" t="s">
        <v>1143</v>
      </c>
      <c r="H1140" s="2">
        <v>0.91068757</v>
      </c>
      <c r="K1140" s="4">
        <v>41829</v>
      </c>
      <c r="L1140">
        <v>4.0750000000000002</v>
      </c>
    </row>
    <row r="1141" spans="1:12" x14ac:dyDescent="0.25">
      <c r="A1141" s="2" t="s">
        <v>5</v>
      </c>
      <c r="B1141" s="2" t="s">
        <v>1144</v>
      </c>
      <c r="C1141" s="2">
        <v>2.9596582925735899</v>
      </c>
      <c r="D1141" s="2">
        <f>VLOOKUP(OneWeekMtgRatesDataTable8[[#This Row],[AsOfDate]],G:H,2,0)+OneWeekMtgRatesDataTable8[[#This Row],[SeriesNumValue]]</f>
        <v>3.8703458625735898</v>
      </c>
      <c r="F1141" s="2" t="s">
        <v>1277</v>
      </c>
      <c r="G1141" s="2" t="s">
        <v>1144</v>
      </c>
      <c r="H1141" s="2">
        <v>0.91068757</v>
      </c>
      <c r="K1141" s="4">
        <v>41830</v>
      </c>
      <c r="L1141">
        <v>4.03</v>
      </c>
    </row>
    <row r="1142" spans="1:12" x14ac:dyDescent="0.25">
      <c r="A1142" s="2" t="s">
        <v>5</v>
      </c>
      <c r="B1142" s="2" t="s">
        <v>1145</v>
      </c>
      <c r="C1142" s="2">
        <v>2.8898853758214198</v>
      </c>
      <c r="D1142" s="2">
        <f>VLOOKUP(OneWeekMtgRatesDataTable8[[#This Row],[AsOfDate]],G:H,2,0)+OneWeekMtgRatesDataTable8[[#This Row],[SeriesNumValue]]</f>
        <v>3.7820615328214195</v>
      </c>
      <c r="F1142" s="2" t="s">
        <v>1277</v>
      </c>
      <c r="G1142" s="2" t="s">
        <v>1145</v>
      </c>
      <c r="H1142" s="2">
        <v>0.89217615699999997</v>
      </c>
      <c r="K1142" s="4">
        <v>41831</v>
      </c>
      <c r="L1142">
        <v>4.03</v>
      </c>
    </row>
    <row r="1143" spans="1:12" x14ac:dyDescent="0.25">
      <c r="A1143" s="2" t="s">
        <v>5</v>
      </c>
      <c r="B1143" s="2" t="s">
        <v>1146</v>
      </c>
      <c r="C1143" s="2">
        <v>2.85986737962509</v>
      </c>
      <c r="D1143" s="2">
        <f>VLOOKUP(OneWeekMtgRatesDataTable8[[#This Row],[AsOfDate]],G:H,2,0)+OneWeekMtgRatesDataTable8[[#This Row],[SeriesNumValue]]</f>
        <v>3.7520435366250897</v>
      </c>
      <c r="F1143" s="2" t="s">
        <v>1277</v>
      </c>
      <c r="G1143" s="2" t="s">
        <v>1146</v>
      </c>
      <c r="H1143" s="2">
        <v>0.89217615699999997</v>
      </c>
      <c r="K1143" s="4">
        <v>41834</v>
      </c>
      <c r="L1143">
        <v>4.03</v>
      </c>
    </row>
    <row r="1144" spans="1:12" x14ac:dyDescent="0.25">
      <c r="A1144" s="2" t="s">
        <v>5</v>
      </c>
      <c r="B1144" s="2" t="s">
        <v>1147</v>
      </c>
      <c r="C1144" s="2">
        <v>2.8344803887664098</v>
      </c>
      <c r="D1144" s="2">
        <f>VLOOKUP(OneWeekMtgRatesDataTable8[[#This Row],[AsOfDate]],G:H,2,0)+OneWeekMtgRatesDataTable8[[#This Row],[SeriesNumValue]]</f>
        <v>3.72665654576641</v>
      </c>
      <c r="F1144" s="2" t="s">
        <v>1277</v>
      </c>
      <c r="G1144" s="2" t="s">
        <v>1147</v>
      </c>
      <c r="H1144" s="2">
        <v>0.89217615699999997</v>
      </c>
      <c r="K1144" s="4">
        <v>41835</v>
      </c>
      <c r="L1144">
        <v>4.03</v>
      </c>
    </row>
    <row r="1145" spans="1:12" x14ac:dyDescent="0.25">
      <c r="A1145" s="2" t="s">
        <v>5</v>
      </c>
      <c r="B1145" s="2" t="s">
        <v>1148</v>
      </c>
      <c r="C1145" s="2">
        <v>2.79004351105465</v>
      </c>
      <c r="D1145" s="2">
        <f>VLOOKUP(OneWeekMtgRatesDataTable8[[#This Row],[AsOfDate]],G:H,2,0)+OneWeekMtgRatesDataTable8[[#This Row],[SeriesNumValue]]</f>
        <v>3.6822196680546497</v>
      </c>
      <c r="F1145" s="2" t="s">
        <v>1277</v>
      </c>
      <c r="G1145" s="2" t="s">
        <v>1148</v>
      </c>
      <c r="H1145" s="2">
        <v>0.89217615699999997</v>
      </c>
      <c r="K1145" s="4">
        <v>41836</v>
      </c>
      <c r="L1145">
        <v>4.03</v>
      </c>
    </row>
    <row r="1146" spans="1:12" x14ac:dyDescent="0.25">
      <c r="A1146" s="2" t="s">
        <v>5</v>
      </c>
      <c r="B1146" s="2" t="s">
        <v>1149</v>
      </c>
      <c r="C1146" s="2">
        <v>2.9080768711615201</v>
      </c>
      <c r="D1146" s="2">
        <f>VLOOKUP(OneWeekMtgRatesDataTable8[[#This Row],[AsOfDate]],G:H,2,0)+OneWeekMtgRatesDataTable8[[#This Row],[SeriesNumValue]]</f>
        <v>3.8002530281615199</v>
      </c>
      <c r="F1146" s="2" t="s">
        <v>1277</v>
      </c>
      <c r="G1146" s="2" t="s">
        <v>1149</v>
      </c>
      <c r="H1146" s="2">
        <v>0.89217615699999997</v>
      </c>
      <c r="K1146" s="4">
        <v>41837</v>
      </c>
      <c r="L1146">
        <v>4.03</v>
      </c>
    </row>
    <row r="1147" spans="1:12" x14ac:dyDescent="0.25">
      <c r="A1147" s="2" t="s">
        <v>5</v>
      </c>
      <c r="B1147" s="2" t="s">
        <v>1150</v>
      </c>
      <c r="C1147" s="2">
        <v>2.9117942461472701</v>
      </c>
      <c r="D1147" s="2">
        <f>VLOOKUP(OneWeekMtgRatesDataTable8[[#This Row],[AsOfDate]],G:H,2,0)+OneWeekMtgRatesDataTable8[[#This Row],[SeriesNumValue]]</f>
        <v>3.7909417671472703</v>
      </c>
      <c r="F1147" s="2" t="s">
        <v>1277</v>
      </c>
      <c r="G1147" s="2" t="s">
        <v>1150</v>
      </c>
      <c r="H1147" s="2">
        <v>0.87914752100000004</v>
      </c>
      <c r="K1147" s="4">
        <v>41838</v>
      </c>
      <c r="L1147">
        <v>4.03</v>
      </c>
    </row>
    <row r="1148" spans="1:12" x14ac:dyDescent="0.25">
      <c r="A1148" s="2" t="s">
        <v>5</v>
      </c>
      <c r="B1148" s="2" t="s">
        <v>1151</v>
      </c>
      <c r="C1148" s="2">
        <v>2.9085457311755398</v>
      </c>
      <c r="D1148" s="2">
        <f>VLOOKUP(OneWeekMtgRatesDataTable8[[#This Row],[AsOfDate]],G:H,2,0)+OneWeekMtgRatesDataTable8[[#This Row],[SeriesNumValue]]</f>
        <v>3.78769325217554</v>
      </c>
      <c r="F1148" s="2" t="s">
        <v>1277</v>
      </c>
      <c r="G1148" s="2" t="s">
        <v>1151</v>
      </c>
      <c r="H1148" s="2">
        <v>0.87914752100000004</v>
      </c>
      <c r="K1148" s="4">
        <v>41841</v>
      </c>
      <c r="L1148">
        <v>4.03</v>
      </c>
    </row>
    <row r="1149" spans="1:12" x14ac:dyDescent="0.25">
      <c r="A1149" s="2" t="s">
        <v>5</v>
      </c>
      <c r="B1149" s="2" t="s">
        <v>1152</v>
      </c>
      <c r="C1149" s="2">
        <v>2.9130814289562301</v>
      </c>
      <c r="D1149" s="2">
        <f>VLOOKUP(OneWeekMtgRatesDataTable8[[#This Row],[AsOfDate]],G:H,2,0)+OneWeekMtgRatesDataTable8[[#This Row],[SeriesNumValue]]</f>
        <v>3.7922289499562303</v>
      </c>
      <c r="F1149" s="2" t="s">
        <v>1277</v>
      </c>
      <c r="G1149" s="2" t="s">
        <v>1152</v>
      </c>
      <c r="H1149" s="2">
        <v>0.87914752100000004</v>
      </c>
      <c r="K1149" s="4">
        <v>41842</v>
      </c>
      <c r="L1149">
        <v>4.03</v>
      </c>
    </row>
    <row r="1150" spans="1:12" x14ac:dyDescent="0.25">
      <c r="A1150" s="2" t="s">
        <v>5</v>
      </c>
      <c r="B1150" s="2" t="s">
        <v>1153</v>
      </c>
      <c r="C1150" s="2">
        <v>2.9344470402340699</v>
      </c>
      <c r="D1150" s="2">
        <f>VLOOKUP(OneWeekMtgRatesDataTable8[[#This Row],[AsOfDate]],G:H,2,0)+OneWeekMtgRatesDataTable8[[#This Row],[SeriesNumValue]]</f>
        <v>3.81359456123407</v>
      </c>
      <c r="F1150" s="2" t="s">
        <v>1277</v>
      </c>
      <c r="G1150" s="2" t="s">
        <v>1153</v>
      </c>
      <c r="H1150" s="2">
        <v>0.87914752100000004</v>
      </c>
      <c r="K1150" s="4">
        <v>41843</v>
      </c>
      <c r="L1150">
        <v>4.03</v>
      </c>
    </row>
    <row r="1151" spans="1:12" x14ac:dyDescent="0.25">
      <c r="A1151" s="2" t="s">
        <v>5</v>
      </c>
      <c r="B1151" s="2" t="s">
        <v>1154</v>
      </c>
      <c r="C1151" s="2">
        <v>2.9096799662845698</v>
      </c>
      <c r="D1151" s="2">
        <f>VLOOKUP(OneWeekMtgRatesDataTable8[[#This Row],[AsOfDate]],G:H,2,0)+OneWeekMtgRatesDataTable8[[#This Row],[SeriesNumValue]]</f>
        <v>3.78882748728457</v>
      </c>
      <c r="F1151" s="2" t="s">
        <v>1277</v>
      </c>
      <c r="G1151" s="2" t="s">
        <v>1154</v>
      </c>
      <c r="H1151" s="2">
        <v>0.87914752100000004</v>
      </c>
      <c r="K1151" s="4">
        <v>41844</v>
      </c>
      <c r="L1151">
        <v>4.0199999999999996</v>
      </c>
    </row>
    <row r="1152" spans="1:12" x14ac:dyDescent="0.25">
      <c r="A1152" s="2" t="s">
        <v>5</v>
      </c>
      <c r="B1152" s="2" t="s">
        <v>1155</v>
      </c>
      <c r="C1152" s="2">
        <v>2.9358931445910401</v>
      </c>
      <c r="D1152" s="2">
        <f>VLOOKUP(OneWeekMtgRatesDataTable8[[#This Row],[AsOfDate]],G:H,2,0)+OneWeekMtgRatesDataTable8[[#This Row],[SeriesNumValue]]</f>
        <v>3.8055636825910399</v>
      </c>
      <c r="F1152" s="2" t="s">
        <v>1277</v>
      </c>
      <c r="G1152" s="2" t="s">
        <v>1155</v>
      </c>
      <c r="H1152" s="2">
        <v>0.86967053800000005</v>
      </c>
      <c r="K1152" s="4">
        <v>41845</v>
      </c>
      <c r="L1152">
        <v>4.0199999999999996</v>
      </c>
    </row>
    <row r="1153" spans="1:12" x14ac:dyDescent="0.25">
      <c r="A1153" s="2" t="s">
        <v>5</v>
      </c>
      <c r="B1153" s="2" t="s">
        <v>1156</v>
      </c>
      <c r="C1153" s="2">
        <v>2.90498942377981</v>
      </c>
      <c r="D1153" s="2">
        <f>VLOOKUP(OneWeekMtgRatesDataTable8[[#This Row],[AsOfDate]],G:H,2,0)+OneWeekMtgRatesDataTable8[[#This Row],[SeriesNumValue]]</f>
        <v>3.7746599617798102</v>
      </c>
      <c r="F1153" s="2" t="s">
        <v>1277</v>
      </c>
      <c r="G1153" s="2" t="s">
        <v>1156</v>
      </c>
      <c r="H1153" s="2">
        <v>0.86967053800000005</v>
      </c>
      <c r="K1153" s="4">
        <v>41848</v>
      </c>
      <c r="L1153">
        <v>4.0199999999999996</v>
      </c>
    </row>
    <row r="1154" spans="1:12" x14ac:dyDescent="0.25">
      <c r="A1154" s="2" t="s">
        <v>5</v>
      </c>
      <c r="B1154" s="2" t="s">
        <v>1157</v>
      </c>
      <c r="C1154" s="2">
        <v>2.8787744272910301</v>
      </c>
      <c r="D1154" s="2">
        <f>VLOOKUP(OneWeekMtgRatesDataTable8[[#This Row],[AsOfDate]],G:H,2,0)+OneWeekMtgRatesDataTable8[[#This Row],[SeriesNumValue]]</f>
        <v>3.7484449652910303</v>
      </c>
      <c r="F1154" s="2" t="s">
        <v>1277</v>
      </c>
      <c r="G1154" s="2" t="s">
        <v>1157</v>
      </c>
      <c r="H1154" s="2">
        <v>0.86967053800000005</v>
      </c>
      <c r="K1154" s="4">
        <v>41849</v>
      </c>
      <c r="L1154">
        <v>4.0199999999999996</v>
      </c>
    </row>
    <row r="1155" spans="1:12" x14ac:dyDescent="0.25">
      <c r="A1155" s="2" t="s">
        <v>5</v>
      </c>
      <c r="B1155" s="2" t="s">
        <v>1158</v>
      </c>
      <c r="C1155" s="2">
        <v>2.9185627226684798</v>
      </c>
      <c r="D1155" s="2">
        <f>VLOOKUP(OneWeekMtgRatesDataTable8[[#This Row],[AsOfDate]],G:H,2,0)+OneWeekMtgRatesDataTable8[[#This Row],[SeriesNumValue]]</f>
        <v>3.7882332606684797</v>
      </c>
      <c r="F1155" s="2" t="s">
        <v>1277</v>
      </c>
      <c r="G1155" s="2" t="s">
        <v>1158</v>
      </c>
      <c r="H1155" s="2">
        <v>0.86967053800000005</v>
      </c>
      <c r="K1155" s="4">
        <v>41850</v>
      </c>
      <c r="L1155">
        <v>4.0199999999999996</v>
      </c>
    </row>
    <row r="1156" spans="1:12" x14ac:dyDescent="0.25">
      <c r="A1156" s="2" t="s">
        <v>5</v>
      </c>
      <c r="B1156" s="2" t="s">
        <v>1159</v>
      </c>
      <c r="C1156" s="2">
        <v>2.9027513521030701</v>
      </c>
      <c r="D1156" s="2">
        <f>VLOOKUP(OneWeekMtgRatesDataTable8[[#This Row],[AsOfDate]],G:H,2,0)+OneWeekMtgRatesDataTable8[[#This Row],[SeriesNumValue]]</f>
        <v>3.80148187110307</v>
      </c>
      <c r="F1156" s="2" t="s">
        <v>1277</v>
      </c>
      <c r="G1156" s="2" t="s">
        <v>1159</v>
      </c>
      <c r="H1156" s="2">
        <v>0.89873051900000001</v>
      </c>
      <c r="K1156" s="4">
        <v>41851</v>
      </c>
      <c r="L1156">
        <v>4.0650000000000004</v>
      </c>
    </row>
    <row r="1157" spans="1:12" x14ac:dyDescent="0.25">
      <c r="A1157" s="2" t="s">
        <v>5</v>
      </c>
      <c r="B1157" s="2" t="s">
        <v>1160</v>
      </c>
      <c r="C1157" s="2">
        <v>2.9327229891480799</v>
      </c>
      <c r="D1157" s="2">
        <f>VLOOKUP(OneWeekMtgRatesDataTable8[[#This Row],[AsOfDate]],G:H,2,0)+OneWeekMtgRatesDataTable8[[#This Row],[SeriesNumValue]]</f>
        <v>3.8314535081480798</v>
      </c>
      <c r="F1157" s="2" t="s">
        <v>1277</v>
      </c>
      <c r="G1157" s="2" t="s">
        <v>1160</v>
      </c>
      <c r="H1157" s="2">
        <v>0.89873051900000001</v>
      </c>
      <c r="K1157" s="4">
        <v>41852</v>
      </c>
      <c r="L1157">
        <v>4.0650000000000004</v>
      </c>
    </row>
    <row r="1158" spans="1:12" x14ac:dyDescent="0.25">
      <c r="A1158" s="2" t="s">
        <v>5</v>
      </c>
      <c r="B1158" s="2" t="s">
        <v>1161</v>
      </c>
      <c r="C1158" s="2">
        <v>2.9154645829543302</v>
      </c>
      <c r="D1158" s="2">
        <f>VLOOKUP(OneWeekMtgRatesDataTable8[[#This Row],[AsOfDate]],G:H,2,0)+OneWeekMtgRatesDataTable8[[#This Row],[SeriesNumValue]]</f>
        <v>3.8141951019543301</v>
      </c>
      <c r="F1158" s="2" t="s">
        <v>1277</v>
      </c>
      <c r="G1158" s="2" t="s">
        <v>1161</v>
      </c>
      <c r="H1158" s="2">
        <v>0.89873051900000001</v>
      </c>
      <c r="K1158" s="4">
        <v>41855</v>
      </c>
      <c r="L1158">
        <v>4.0650000000000004</v>
      </c>
    </row>
    <row r="1159" spans="1:12" x14ac:dyDescent="0.25">
      <c r="A1159" s="2" t="s">
        <v>5</v>
      </c>
      <c r="B1159" s="2" t="s">
        <v>1162</v>
      </c>
      <c r="C1159" s="2">
        <v>2.90800506731745</v>
      </c>
      <c r="D1159" s="2">
        <f>VLOOKUP(OneWeekMtgRatesDataTable8[[#This Row],[AsOfDate]],G:H,2,0)+OneWeekMtgRatesDataTable8[[#This Row],[SeriesNumValue]]</f>
        <v>3.8067355863174499</v>
      </c>
      <c r="F1159" s="2" t="s">
        <v>1277</v>
      </c>
      <c r="G1159" s="2" t="s">
        <v>1162</v>
      </c>
      <c r="H1159" s="2">
        <v>0.89873051900000001</v>
      </c>
      <c r="K1159" s="4">
        <v>41856</v>
      </c>
      <c r="L1159">
        <v>4.0650000000000004</v>
      </c>
    </row>
    <row r="1160" spans="1:12" x14ac:dyDescent="0.25">
      <c r="A1160" s="2" t="s">
        <v>5</v>
      </c>
      <c r="B1160" s="2" t="s">
        <v>1163</v>
      </c>
      <c r="C1160" s="2">
        <v>2.9912109118513701</v>
      </c>
      <c r="D1160" s="2">
        <f>VLOOKUP(OneWeekMtgRatesDataTable8[[#This Row],[AsOfDate]],G:H,2,0)+OneWeekMtgRatesDataTable8[[#This Row],[SeriesNumValue]]</f>
        <v>3.88994143085137</v>
      </c>
      <c r="F1160" s="2" t="s">
        <v>1277</v>
      </c>
      <c r="G1160" s="2" t="s">
        <v>1163</v>
      </c>
      <c r="H1160" s="2">
        <v>0.89873051900000001</v>
      </c>
      <c r="K1160" s="4">
        <v>41857</v>
      </c>
      <c r="L1160">
        <v>4.0650000000000004</v>
      </c>
    </row>
    <row r="1161" spans="1:12" x14ac:dyDescent="0.25">
      <c r="A1161" s="2" t="s">
        <v>5</v>
      </c>
      <c r="B1161" s="2" t="s">
        <v>1164</v>
      </c>
      <c r="C1161" s="2">
        <v>2.9926621611582802</v>
      </c>
      <c r="D1161" s="2">
        <f>VLOOKUP(OneWeekMtgRatesDataTable8[[#This Row],[AsOfDate]],G:H,2,0)+OneWeekMtgRatesDataTable8[[#This Row],[SeriesNumValue]]</f>
        <v>3.8546490191582801</v>
      </c>
      <c r="F1161" s="2" t="s">
        <v>1277</v>
      </c>
      <c r="G1161" s="2" t="s">
        <v>1164</v>
      </c>
      <c r="H1161" s="2">
        <v>0.86198685799999997</v>
      </c>
      <c r="K1161" s="4">
        <v>41858</v>
      </c>
      <c r="L1161">
        <v>4.0199999999999996</v>
      </c>
    </row>
    <row r="1162" spans="1:12" x14ac:dyDescent="0.25">
      <c r="A1162" s="2" t="s">
        <v>5</v>
      </c>
      <c r="B1162" s="2" t="s">
        <v>1165</v>
      </c>
      <c r="C1162" s="2">
        <v>2.8946199392202701</v>
      </c>
      <c r="D1162" s="2">
        <f>VLOOKUP(OneWeekMtgRatesDataTable8[[#This Row],[AsOfDate]],G:H,2,0)+OneWeekMtgRatesDataTable8[[#This Row],[SeriesNumValue]]</f>
        <v>3.7566067972202699</v>
      </c>
      <c r="F1162" s="2" t="s">
        <v>1277</v>
      </c>
      <c r="G1162" s="2" t="s">
        <v>1165</v>
      </c>
      <c r="H1162" s="2">
        <v>0.86198685799999997</v>
      </c>
      <c r="K1162" s="4">
        <v>41859</v>
      </c>
      <c r="L1162">
        <v>4.0199999999999996</v>
      </c>
    </row>
    <row r="1163" spans="1:12" x14ac:dyDescent="0.25">
      <c r="A1163" s="2" t="s">
        <v>5</v>
      </c>
      <c r="B1163" s="2" t="s">
        <v>1166</v>
      </c>
      <c r="C1163" s="2">
        <v>2.8362882018725202</v>
      </c>
      <c r="D1163" s="2">
        <f>VLOOKUP(OneWeekMtgRatesDataTable8[[#This Row],[AsOfDate]],G:H,2,0)+OneWeekMtgRatesDataTable8[[#This Row],[SeriesNumValue]]</f>
        <v>3.69827505987252</v>
      </c>
      <c r="F1163" s="2" t="s">
        <v>1277</v>
      </c>
      <c r="G1163" s="2" t="s">
        <v>1166</v>
      </c>
      <c r="H1163" s="2">
        <v>0.86198685799999997</v>
      </c>
      <c r="K1163" s="4">
        <v>41862</v>
      </c>
      <c r="L1163">
        <v>4.0199999999999996</v>
      </c>
    </row>
    <row r="1164" spans="1:12" x14ac:dyDescent="0.25">
      <c r="A1164" s="2" t="s">
        <v>5</v>
      </c>
      <c r="B1164" s="2" t="s">
        <v>1167</v>
      </c>
      <c r="C1164" s="2">
        <v>2.91486476009828</v>
      </c>
      <c r="D1164" s="2">
        <f>VLOOKUP(OneWeekMtgRatesDataTable8[[#This Row],[AsOfDate]],G:H,2,0)+OneWeekMtgRatesDataTable8[[#This Row],[SeriesNumValue]]</f>
        <v>3.7768516180982799</v>
      </c>
      <c r="F1164" s="2" t="s">
        <v>1277</v>
      </c>
      <c r="G1164" s="2" t="s">
        <v>1167</v>
      </c>
      <c r="H1164" s="2">
        <v>0.86198685799999997</v>
      </c>
      <c r="K1164" s="4">
        <v>41863</v>
      </c>
      <c r="L1164">
        <v>4.0199999999999996</v>
      </c>
    </row>
    <row r="1165" spans="1:12" x14ac:dyDescent="0.25">
      <c r="A1165" s="2" t="s">
        <v>5</v>
      </c>
      <c r="B1165" s="2" t="s">
        <v>1168</v>
      </c>
      <c r="C1165" s="2">
        <v>2.8594352216235301</v>
      </c>
      <c r="D1165" s="2">
        <f>VLOOKUP(OneWeekMtgRatesDataTable8[[#This Row],[AsOfDate]],G:H,2,0)+OneWeekMtgRatesDataTable8[[#This Row],[SeriesNumValue]]</f>
        <v>3.72142207962353</v>
      </c>
      <c r="F1165" s="2" t="s">
        <v>1277</v>
      </c>
      <c r="G1165" s="2" t="s">
        <v>1168</v>
      </c>
      <c r="H1165" s="2">
        <v>0.86198685799999997</v>
      </c>
      <c r="K1165" s="4">
        <v>41864</v>
      </c>
      <c r="L1165">
        <v>4.0199999999999996</v>
      </c>
    </row>
    <row r="1166" spans="1:12" x14ac:dyDescent="0.25">
      <c r="A1166" s="2" t="s">
        <v>5</v>
      </c>
      <c r="B1166" s="2" t="s">
        <v>1169</v>
      </c>
      <c r="C1166" s="2">
        <v>2.8734950564364601</v>
      </c>
      <c r="D1166" s="2">
        <f>VLOOKUP(OneWeekMtgRatesDataTable8[[#This Row],[AsOfDate]],G:H,2,0)+OneWeekMtgRatesDataTable8[[#This Row],[SeriesNumValue]]</f>
        <v>3.78275442043646</v>
      </c>
      <c r="F1166" s="2" t="s">
        <v>1277</v>
      </c>
      <c r="G1166" s="2" t="s">
        <v>1169</v>
      </c>
      <c r="H1166" s="2">
        <v>0.90925936399999996</v>
      </c>
      <c r="K1166" s="4">
        <v>41865</v>
      </c>
      <c r="L1166">
        <v>3.9750000000000001</v>
      </c>
    </row>
    <row r="1167" spans="1:12" x14ac:dyDescent="0.25">
      <c r="A1167" s="2" t="s">
        <v>5</v>
      </c>
      <c r="B1167" s="2" t="s">
        <v>1170</v>
      </c>
      <c r="C1167" s="2">
        <v>2.8712695086990299</v>
      </c>
      <c r="D1167" s="2">
        <f>VLOOKUP(OneWeekMtgRatesDataTable8[[#This Row],[AsOfDate]],G:H,2,0)+OneWeekMtgRatesDataTable8[[#This Row],[SeriesNumValue]]</f>
        <v>3.7805288726990298</v>
      </c>
      <c r="F1167" s="2" t="s">
        <v>1277</v>
      </c>
      <c r="G1167" s="2" t="s">
        <v>1170</v>
      </c>
      <c r="H1167" s="2">
        <v>0.90925936399999996</v>
      </c>
      <c r="K1167" s="4">
        <v>41866</v>
      </c>
      <c r="L1167">
        <v>3.9750000000000001</v>
      </c>
    </row>
    <row r="1168" spans="1:12" x14ac:dyDescent="0.25">
      <c r="A1168" s="2" t="s">
        <v>5</v>
      </c>
      <c r="B1168" s="2" t="s">
        <v>1171</v>
      </c>
      <c r="C1168" s="2">
        <v>2.8987506443333801</v>
      </c>
      <c r="D1168" s="2">
        <f>VLOOKUP(OneWeekMtgRatesDataTable8[[#This Row],[AsOfDate]],G:H,2,0)+OneWeekMtgRatesDataTable8[[#This Row],[SeriesNumValue]]</f>
        <v>3.8080100083333801</v>
      </c>
      <c r="F1168" s="2" t="s">
        <v>1277</v>
      </c>
      <c r="G1168" s="2" t="s">
        <v>1171</v>
      </c>
      <c r="H1168" s="2">
        <v>0.90925936399999996</v>
      </c>
      <c r="K1168" s="4">
        <v>41869</v>
      </c>
      <c r="L1168">
        <v>3.9750000000000001</v>
      </c>
    </row>
    <row r="1169" spans="1:12" x14ac:dyDescent="0.25">
      <c r="A1169" s="2" t="s">
        <v>5</v>
      </c>
      <c r="B1169" s="2" t="s">
        <v>1172</v>
      </c>
      <c r="C1169" s="2">
        <v>2.8546348135519901</v>
      </c>
      <c r="D1169" s="2">
        <f>VLOOKUP(OneWeekMtgRatesDataTable8[[#This Row],[AsOfDate]],G:H,2,0)+OneWeekMtgRatesDataTable8[[#This Row],[SeriesNumValue]]</f>
        <v>3.7638941775519901</v>
      </c>
      <c r="F1169" s="2" t="s">
        <v>1277</v>
      </c>
      <c r="G1169" s="2" t="s">
        <v>1172</v>
      </c>
      <c r="H1169" s="2">
        <v>0.90925936399999996</v>
      </c>
      <c r="K1169" s="4">
        <v>41870</v>
      </c>
      <c r="L1169">
        <v>3.9750000000000001</v>
      </c>
    </row>
    <row r="1170" spans="1:12" x14ac:dyDescent="0.25">
      <c r="A1170" s="2" t="s">
        <v>5</v>
      </c>
      <c r="B1170" s="2" t="s">
        <v>1173</v>
      </c>
      <c r="C1170" s="2">
        <v>2.8124515814242899</v>
      </c>
      <c r="D1170" s="2">
        <f>VLOOKUP(OneWeekMtgRatesDataTable8[[#This Row],[AsOfDate]],G:H,2,0)+OneWeekMtgRatesDataTable8[[#This Row],[SeriesNumValue]]</f>
        <v>3.7217109454242898</v>
      </c>
      <c r="F1170" s="2" t="s">
        <v>1277</v>
      </c>
      <c r="G1170" s="2" t="s">
        <v>1173</v>
      </c>
      <c r="H1170" s="2">
        <v>0.90925936399999996</v>
      </c>
      <c r="K1170" s="4">
        <v>41871</v>
      </c>
      <c r="L1170">
        <v>3.9750000000000001</v>
      </c>
    </row>
    <row r="1171" spans="1:12" x14ac:dyDescent="0.25">
      <c r="A1171" s="2" t="s">
        <v>5</v>
      </c>
      <c r="B1171" s="2" t="s">
        <v>1174</v>
      </c>
      <c r="C1171" s="2">
        <v>2.8018988061488499</v>
      </c>
      <c r="D1171" s="2">
        <f>VLOOKUP(OneWeekMtgRatesDataTable8[[#This Row],[AsOfDate]],G:H,2,0)+OneWeekMtgRatesDataTable8[[#This Row],[SeriesNumValue]]</f>
        <v>3.7040977351488498</v>
      </c>
      <c r="F1171" s="2" t="s">
        <v>1277</v>
      </c>
      <c r="G1171" s="2" t="s">
        <v>1174</v>
      </c>
      <c r="H1171" s="2">
        <v>0.90219892899999998</v>
      </c>
      <c r="K1171" s="4">
        <v>41872</v>
      </c>
      <c r="L1171">
        <v>3.9750000000000001</v>
      </c>
    </row>
    <row r="1172" spans="1:12" x14ac:dyDescent="0.25">
      <c r="A1172" s="2" t="s">
        <v>5</v>
      </c>
      <c r="B1172" s="2" t="s">
        <v>1175</v>
      </c>
      <c r="C1172" s="2">
        <v>2.7784102270308701</v>
      </c>
      <c r="D1172" s="2">
        <f>VLOOKUP(OneWeekMtgRatesDataTable8[[#This Row],[AsOfDate]],G:H,2,0)+OneWeekMtgRatesDataTable8[[#This Row],[SeriesNumValue]]</f>
        <v>3.68060915603087</v>
      </c>
      <c r="F1172" s="2" t="s">
        <v>1277</v>
      </c>
      <c r="G1172" s="2" t="s">
        <v>1175</v>
      </c>
      <c r="H1172" s="2">
        <v>0.90219892899999998</v>
      </c>
      <c r="K1172" s="4">
        <v>41873</v>
      </c>
      <c r="L1172">
        <v>3.9750000000000001</v>
      </c>
    </row>
    <row r="1173" spans="1:12" x14ac:dyDescent="0.25">
      <c r="A1173" s="2" t="s">
        <v>5</v>
      </c>
      <c r="B1173" s="2" t="s">
        <v>1176</v>
      </c>
      <c r="C1173" s="2">
        <v>2.7296334551710499</v>
      </c>
      <c r="D1173" s="2">
        <f>VLOOKUP(OneWeekMtgRatesDataTable8[[#This Row],[AsOfDate]],G:H,2,0)+OneWeekMtgRatesDataTable8[[#This Row],[SeriesNumValue]]</f>
        <v>3.6318323841710498</v>
      </c>
      <c r="F1173" s="2" t="s">
        <v>1277</v>
      </c>
      <c r="G1173" s="2" t="s">
        <v>1176</v>
      </c>
      <c r="H1173" s="2">
        <v>0.90219892899999998</v>
      </c>
      <c r="K1173" s="4">
        <v>41876</v>
      </c>
      <c r="L1173">
        <v>3.9750000000000001</v>
      </c>
    </row>
    <row r="1174" spans="1:12" x14ac:dyDescent="0.25">
      <c r="A1174" s="2" t="s">
        <v>5</v>
      </c>
      <c r="B1174" s="2" t="s">
        <v>1177</v>
      </c>
      <c r="C1174" s="2">
        <v>2.7734212235563001</v>
      </c>
      <c r="D1174" s="2">
        <f>VLOOKUP(OneWeekMtgRatesDataTable8[[#This Row],[AsOfDate]],G:H,2,0)+OneWeekMtgRatesDataTable8[[#This Row],[SeriesNumValue]]</f>
        <v>3.6756201525562999</v>
      </c>
      <c r="F1174" s="2" t="s">
        <v>1277</v>
      </c>
      <c r="G1174" s="2" t="s">
        <v>1177</v>
      </c>
      <c r="H1174" s="2">
        <v>0.90219892899999998</v>
      </c>
      <c r="K1174" s="4">
        <v>41877</v>
      </c>
      <c r="L1174">
        <v>3.9750000000000001</v>
      </c>
    </row>
    <row r="1175" spans="1:12" x14ac:dyDescent="0.25">
      <c r="A1175" s="2" t="s">
        <v>5</v>
      </c>
      <c r="B1175" s="2" t="s">
        <v>1178</v>
      </c>
      <c r="C1175" s="2">
        <v>2.7570320859498798</v>
      </c>
      <c r="D1175" s="2">
        <f>VLOOKUP(OneWeekMtgRatesDataTable8[[#This Row],[AsOfDate]],G:H,2,0)+OneWeekMtgRatesDataTable8[[#This Row],[SeriesNumValue]]</f>
        <v>3.6592310149498797</v>
      </c>
      <c r="F1175" s="2" t="s">
        <v>1277</v>
      </c>
      <c r="G1175" s="2" t="s">
        <v>1178</v>
      </c>
      <c r="H1175" s="2">
        <v>0.90219892899999998</v>
      </c>
      <c r="K1175" s="4">
        <v>41878</v>
      </c>
      <c r="L1175">
        <v>3.9750000000000001</v>
      </c>
    </row>
    <row r="1176" spans="1:12" x14ac:dyDescent="0.25">
      <c r="A1176" s="2" t="s">
        <v>5</v>
      </c>
      <c r="B1176" s="2" t="s">
        <v>1179</v>
      </c>
      <c r="C1176" s="2">
        <v>2.77010275743095</v>
      </c>
      <c r="D1176" s="2">
        <f>VLOOKUP(OneWeekMtgRatesDataTable8[[#This Row],[AsOfDate]],G:H,2,0)+OneWeekMtgRatesDataTable8[[#This Row],[SeriesNumValue]]</f>
        <v>3.6683828074309499</v>
      </c>
      <c r="F1176" s="2" t="s">
        <v>1277</v>
      </c>
      <c r="G1176" s="2" t="s">
        <v>1179</v>
      </c>
      <c r="H1176" s="2">
        <v>0.89828005</v>
      </c>
      <c r="K1176" s="4">
        <v>41879</v>
      </c>
      <c r="L1176">
        <v>3.9750000000000001</v>
      </c>
    </row>
    <row r="1177" spans="1:12" x14ac:dyDescent="0.25">
      <c r="A1177" s="2" t="s">
        <v>5</v>
      </c>
      <c r="B1177" s="2" t="s">
        <v>1180</v>
      </c>
      <c r="C1177" s="2">
        <v>2.81486937200697</v>
      </c>
      <c r="D1177" s="2">
        <f>VLOOKUP(OneWeekMtgRatesDataTable8[[#This Row],[AsOfDate]],G:H,2,0)+OneWeekMtgRatesDataTable8[[#This Row],[SeriesNumValue]]</f>
        <v>3.7131494220069698</v>
      </c>
      <c r="F1177" s="2" t="s">
        <v>1277</v>
      </c>
      <c r="G1177" s="2" t="s">
        <v>1180</v>
      </c>
      <c r="H1177" s="2">
        <v>0.89828005</v>
      </c>
      <c r="K1177" s="4">
        <v>41880</v>
      </c>
      <c r="L1177">
        <v>3.9750000000000001</v>
      </c>
    </row>
    <row r="1178" spans="1:12" x14ac:dyDescent="0.25">
      <c r="A1178" s="2" t="s">
        <v>5</v>
      </c>
      <c r="B1178" s="2" t="s">
        <v>1181</v>
      </c>
      <c r="C1178" s="2">
        <v>2.8165675160693602</v>
      </c>
      <c r="D1178" s="2">
        <f>VLOOKUP(OneWeekMtgRatesDataTable8[[#This Row],[AsOfDate]],G:H,2,0)+OneWeekMtgRatesDataTable8[[#This Row],[SeriesNumValue]]</f>
        <v>3.7148475660693601</v>
      </c>
      <c r="F1178" s="2" t="s">
        <v>1277</v>
      </c>
      <c r="G1178" s="2" t="s">
        <v>1181</v>
      </c>
      <c r="H1178" s="2">
        <v>0.89828005</v>
      </c>
      <c r="K1178" s="4">
        <v>41884</v>
      </c>
      <c r="L1178">
        <v>3.9750000000000001</v>
      </c>
    </row>
    <row r="1179" spans="1:12" x14ac:dyDescent="0.25">
      <c r="A1179" s="2" t="s">
        <v>5</v>
      </c>
      <c r="B1179" s="2" t="s">
        <v>1182</v>
      </c>
      <c r="C1179" s="2">
        <v>2.7891999400544001</v>
      </c>
      <c r="D1179" s="2">
        <f>VLOOKUP(OneWeekMtgRatesDataTable8[[#This Row],[AsOfDate]],G:H,2,0)+OneWeekMtgRatesDataTable8[[#This Row],[SeriesNumValue]]</f>
        <v>3.6874799900544</v>
      </c>
      <c r="F1179" s="2" t="s">
        <v>1277</v>
      </c>
      <c r="G1179" s="2" t="s">
        <v>1182</v>
      </c>
      <c r="H1179" s="2">
        <v>0.89828005</v>
      </c>
      <c r="K1179" s="4">
        <v>41885</v>
      </c>
      <c r="L1179">
        <v>3.9750000000000001</v>
      </c>
    </row>
    <row r="1180" spans="1:12" x14ac:dyDescent="0.25">
      <c r="A1180" s="2" t="s">
        <v>5</v>
      </c>
      <c r="B1180" s="2" t="s">
        <v>1183</v>
      </c>
      <c r="C1180" s="2">
        <v>2.7081035827114999</v>
      </c>
      <c r="D1180" s="2">
        <f>VLOOKUP(OneWeekMtgRatesDataTable8[[#This Row],[AsOfDate]],G:H,2,0)+OneWeekMtgRatesDataTable8[[#This Row],[SeriesNumValue]]</f>
        <v>3.6459184797114998</v>
      </c>
      <c r="F1180" s="2" t="s">
        <v>1277</v>
      </c>
      <c r="G1180" s="2" t="s">
        <v>1183</v>
      </c>
      <c r="H1180" s="2">
        <v>0.93781489699999998</v>
      </c>
      <c r="K1180" s="4">
        <v>41886</v>
      </c>
      <c r="L1180">
        <v>3.9950000000000001</v>
      </c>
    </row>
    <row r="1181" spans="1:12" x14ac:dyDescent="0.25">
      <c r="A1181" s="2" t="s">
        <v>5</v>
      </c>
      <c r="B1181" s="2" t="s">
        <v>1184</v>
      </c>
      <c r="C1181" s="2">
        <v>2.73044392273518</v>
      </c>
      <c r="D1181" s="2">
        <f>VLOOKUP(OneWeekMtgRatesDataTable8[[#This Row],[AsOfDate]],G:H,2,0)+OneWeekMtgRatesDataTable8[[#This Row],[SeriesNumValue]]</f>
        <v>3.66825881973518</v>
      </c>
      <c r="F1181" s="2" t="s">
        <v>1277</v>
      </c>
      <c r="G1181" s="2" t="s">
        <v>1184</v>
      </c>
      <c r="H1181" s="2">
        <v>0.93781489699999998</v>
      </c>
      <c r="K1181" s="4">
        <v>41887</v>
      </c>
      <c r="L1181">
        <v>3.9950000000000001</v>
      </c>
    </row>
    <row r="1182" spans="1:12" x14ac:dyDescent="0.25">
      <c r="A1182" s="2" t="s">
        <v>5</v>
      </c>
      <c r="B1182" s="2" t="s">
        <v>1185</v>
      </c>
      <c r="C1182" s="2">
        <v>2.7334728347211201</v>
      </c>
      <c r="D1182" s="2">
        <f>VLOOKUP(OneWeekMtgRatesDataTable8[[#This Row],[AsOfDate]],G:H,2,0)+OneWeekMtgRatesDataTable8[[#This Row],[SeriesNumValue]]</f>
        <v>3.6712877317211201</v>
      </c>
      <c r="F1182" s="2" t="s">
        <v>1277</v>
      </c>
      <c r="G1182" s="2" t="s">
        <v>1185</v>
      </c>
      <c r="H1182" s="2">
        <v>0.93781489699999998</v>
      </c>
      <c r="K1182" s="4">
        <v>41890</v>
      </c>
      <c r="L1182">
        <v>3.9950000000000001</v>
      </c>
    </row>
    <row r="1183" spans="1:12" x14ac:dyDescent="0.25">
      <c r="A1183" s="2" t="s">
        <v>5</v>
      </c>
      <c r="B1183" s="2" t="s">
        <v>1186</v>
      </c>
      <c r="C1183" s="2">
        <v>2.7352021596982001</v>
      </c>
      <c r="D1183" s="2">
        <f>VLOOKUP(OneWeekMtgRatesDataTable8[[#This Row],[AsOfDate]],G:H,2,0)+OneWeekMtgRatesDataTable8[[#This Row],[SeriesNumValue]]</f>
        <v>3.6730170566982001</v>
      </c>
      <c r="F1183" s="2" t="s">
        <v>1277</v>
      </c>
      <c r="G1183" s="2" t="s">
        <v>1186</v>
      </c>
      <c r="H1183" s="2">
        <v>0.93781489699999998</v>
      </c>
      <c r="K1183" s="4">
        <v>41891</v>
      </c>
      <c r="L1183">
        <v>3.9950000000000001</v>
      </c>
    </row>
    <row r="1184" spans="1:12" x14ac:dyDescent="0.25">
      <c r="A1184" s="2" t="s">
        <v>5</v>
      </c>
      <c r="B1184" s="2" t="s">
        <v>1187</v>
      </c>
      <c r="C1184" s="2">
        <v>2.7729349961757701</v>
      </c>
      <c r="D1184" s="2">
        <f>VLOOKUP(OneWeekMtgRatesDataTable8[[#This Row],[AsOfDate]],G:H,2,0)+OneWeekMtgRatesDataTable8[[#This Row],[SeriesNumValue]]</f>
        <v>3.7107498931757701</v>
      </c>
      <c r="F1184" s="2" t="s">
        <v>1277</v>
      </c>
      <c r="G1184" s="2" t="s">
        <v>1187</v>
      </c>
      <c r="H1184" s="2">
        <v>0.93781489699999998</v>
      </c>
      <c r="K1184" s="4">
        <v>41892</v>
      </c>
      <c r="L1184">
        <v>3.9950000000000001</v>
      </c>
    </row>
    <row r="1185" spans="1:12" x14ac:dyDescent="0.25">
      <c r="A1185" s="2" t="s">
        <v>5</v>
      </c>
      <c r="B1185" s="2" t="s">
        <v>1188</v>
      </c>
      <c r="C1185" s="2">
        <v>2.7446763066937101</v>
      </c>
      <c r="D1185" s="2">
        <f>VLOOKUP(OneWeekMtgRatesDataTable8[[#This Row],[AsOfDate]],G:H,2,0)+OneWeekMtgRatesDataTable8[[#This Row],[SeriesNumValue]]</f>
        <v>3.6913302626937101</v>
      </c>
      <c r="F1185" s="2" t="s">
        <v>1277</v>
      </c>
      <c r="G1185" s="2" t="s">
        <v>1188</v>
      </c>
      <c r="H1185" s="2">
        <v>0.94665395600000002</v>
      </c>
      <c r="K1185" s="4">
        <v>41893</v>
      </c>
      <c r="L1185">
        <v>4.1050000000000004</v>
      </c>
    </row>
    <row r="1186" spans="1:12" x14ac:dyDescent="0.25">
      <c r="A1186" s="2" t="s">
        <v>5</v>
      </c>
      <c r="B1186" s="2" t="s">
        <v>1189</v>
      </c>
      <c r="C1186" s="2">
        <v>2.7173642653119501</v>
      </c>
      <c r="D1186" s="2">
        <f>VLOOKUP(OneWeekMtgRatesDataTable8[[#This Row],[AsOfDate]],G:H,2,0)+OneWeekMtgRatesDataTable8[[#This Row],[SeriesNumValue]]</f>
        <v>3.6640182213119501</v>
      </c>
      <c r="F1186" s="2" t="s">
        <v>1277</v>
      </c>
      <c r="G1186" s="2" t="s">
        <v>1189</v>
      </c>
      <c r="H1186" s="2">
        <v>0.94665395600000002</v>
      </c>
      <c r="K1186" s="4">
        <v>41894</v>
      </c>
      <c r="L1186">
        <v>4.1050000000000004</v>
      </c>
    </row>
    <row r="1187" spans="1:12" x14ac:dyDescent="0.25">
      <c r="A1187" s="2" t="s">
        <v>5</v>
      </c>
      <c r="B1187" s="2" t="s">
        <v>1190</v>
      </c>
      <c r="C1187" s="2">
        <v>2.77127537293183</v>
      </c>
      <c r="D1187" s="2">
        <f>VLOOKUP(OneWeekMtgRatesDataTable8[[#This Row],[AsOfDate]],G:H,2,0)+OneWeekMtgRatesDataTable8[[#This Row],[SeriesNumValue]]</f>
        <v>3.71792932893183</v>
      </c>
      <c r="F1187" s="2" t="s">
        <v>1277</v>
      </c>
      <c r="G1187" s="2" t="s">
        <v>1190</v>
      </c>
      <c r="H1187" s="2">
        <v>0.94665395600000002</v>
      </c>
      <c r="K1187" s="4">
        <v>41897</v>
      </c>
      <c r="L1187">
        <v>4.1050000000000004</v>
      </c>
    </row>
    <row r="1188" spans="1:12" x14ac:dyDescent="0.25">
      <c r="A1188" s="2" t="s">
        <v>5</v>
      </c>
      <c r="B1188" s="2" t="s">
        <v>1191</v>
      </c>
      <c r="C1188" s="2">
        <v>2.7558575864349502</v>
      </c>
      <c r="D1188" s="2">
        <f>VLOOKUP(OneWeekMtgRatesDataTable8[[#This Row],[AsOfDate]],G:H,2,0)+OneWeekMtgRatesDataTable8[[#This Row],[SeriesNumValue]]</f>
        <v>3.7025115424349502</v>
      </c>
      <c r="F1188" s="2" t="s">
        <v>1277</v>
      </c>
      <c r="G1188" s="2" t="s">
        <v>1191</v>
      </c>
      <c r="H1188" s="2">
        <v>0.94665395600000002</v>
      </c>
      <c r="K1188" s="4">
        <v>41898</v>
      </c>
      <c r="L1188">
        <v>4.1050000000000004</v>
      </c>
    </row>
    <row r="1189" spans="1:12" x14ac:dyDescent="0.25">
      <c r="A1189" s="2" t="s">
        <v>5</v>
      </c>
      <c r="B1189" s="2" t="s">
        <v>1192</v>
      </c>
      <c r="C1189" s="2">
        <v>2.7239833090670502</v>
      </c>
      <c r="D1189" s="2">
        <f>VLOOKUP(OneWeekMtgRatesDataTable8[[#This Row],[AsOfDate]],G:H,2,0)+OneWeekMtgRatesDataTable8[[#This Row],[SeriesNumValue]]</f>
        <v>3.6706372650670502</v>
      </c>
      <c r="F1189" s="2" t="s">
        <v>1277</v>
      </c>
      <c r="G1189" s="2" t="s">
        <v>1192</v>
      </c>
      <c r="H1189" s="2">
        <v>0.94665395600000002</v>
      </c>
      <c r="K1189" s="4">
        <v>41899</v>
      </c>
      <c r="L1189">
        <v>4.1050000000000004</v>
      </c>
    </row>
    <row r="1190" spans="1:12" x14ac:dyDescent="0.25">
      <c r="A1190" s="2" t="s">
        <v>5</v>
      </c>
      <c r="B1190" s="2" t="s">
        <v>1193</v>
      </c>
      <c r="C1190" s="2">
        <v>2.7958120452124602</v>
      </c>
      <c r="D1190" s="2">
        <f>VLOOKUP(OneWeekMtgRatesDataTable8[[#This Row],[AsOfDate]],G:H,2,0)+OneWeekMtgRatesDataTable8[[#This Row],[SeriesNumValue]]</f>
        <v>3.7029535292124605</v>
      </c>
      <c r="F1190" s="2" t="s">
        <v>1277</v>
      </c>
      <c r="G1190" s="2" t="s">
        <v>1193</v>
      </c>
      <c r="H1190" s="2">
        <v>0.90714148400000005</v>
      </c>
      <c r="K1190" s="4">
        <v>41900</v>
      </c>
      <c r="L1190">
        <v>4.0750000000000002</v>
      </c>
    </row>
    <row r="1191" spans="1:12" x14ac:dyDescent="0.25">
      <c r="A1191" s="2" t="s">
        <v>5</v>
      </c>
      <c r="B1191" s="2" t="s">
        <v>1194</v>
      </c>
      <c r="C1191" s="2">
        <v>2.8760429870518398</v>
      </c>
      <c r="D1191" s="2">
        <f>VLOOKUP(OneWeekMtgRatesDataTable8[[#This Row],[AsOfDate]],G:H,2,0)+OneWeekMtgRatesDataTable8[[#This Row],[SeriesNumValue]]</f>
        <v>3.7831844710518396</v>
      </c>
      <c r="F1191" s="2" t="s">
        <v>1277</v>
      </c>
      <c r="G1191" s="2" t="s">
        <v>1194</v>
      </c>
      <c r="H1191" s="2">
        <v>0.90714148400000005</v>
      </c>
      <c r="K1191" s="4">
        <v>41901</v>
      </c>
      <c r="L1191">
        <v>4.0750000000000002</v>
      </c>
    </row>
    <row r="1192" spans="1:12" x14ac:dyDescent="0.25">
      <c r="A1192" s="2" t="s">
        <v>5</v>
      </c>
      <c r="B1192" s="2" t="s">
        <v>1195</v>
      </c>
      <c r="C1192" s="2">
        <v>2.8444181025455899</v>
      </c>
      <c r="D1192" s="2">
        <f>VLOOKUP(OneWeekMtgRatesDataTable8[[#This Row],[AsOfDate]],G:H,2,0)+OneWeekMtgRatesDataTable8[[#This Row],[SeriesNumValue]]</f>
        <v>3.7515595865455902</v>
      </c>
      <c r="F1192" s="2" t="s">
        <v>1277</v>
      </c>
      <c r="G1192" s="2" t="s">
        <v>1195</v>
      </c>
      <c r="H1192" s="2">
        <v>0.90714148400000005</v>
      </c>
      <c r="K1192" s="4">
        <v>41904</v>
      </c>
      <c r="L1192">
        <v>4.0750000000000002</v>
      </c>
    </row>
    <row r="1193" spans="1:12" x14ac:dyDescent="0.25">
      <c r="A1193" s="2" t="s">
        <v>5</v>
      </c>
      <c r="B1193" s="2" t="s">
        <v>1196</v>
      </c>
      <c r="C1193" s="2">
        <v>2.8650468207927799</v>
      </c>
      <c r="D1193" s="2">
        <f>VLOOKUP(OneWeekMtgRatesDataTable8[[#This Row],[AsOfDate]],G:H,2,0)+OneWeekMtgRatesDataTable8[[#This Row],[SeriesNumValue]]</f>
        <v>3.7721883047927802</v>
      </c>
      <c r="F1193" s="2" t="s">
        <v>1277</v>
      </c>
      <c r="G1193" s="2" t="s">
        <v>1196</v>
      </c>
      <c r="H1193" s="2">
        <v>0.90714148400000005</v>
      </c>
      <c r="K1193" s="4">
        <v>41905</v>
      </c>
      <c r="L1193">
        <v>4.0750000000000002</v>
      </c>
    </row>
    <row r="1194" spans="1:12" x14ac:dyDescent="0.25">
      <c r="A1194" s="2" t="s">
        <v>5</v>
      </c>
      <c r="B1194" s="2" t="s">
        <v>1197</v>
      </c>
      <c r="C1194" s="2">
        <v>2.8982983852453801</v>
      </c>
      <c r="D1194" s="2">
        <f>VLOOKUP(OneWeekMtgRatesDataTable8[[#This Row],[AsOfDate]],G:H,2,0)+OneWeekMtgRatesDataTable8[[#This Row],[SeriesNumValue]]</f>
        <v>3.8054398692453804</v>
      </c>
      <c r="F1194" s="2" t="s">
        <v>1277</v>
      </c>
      <c r="G1194" s="2" t="s">
        <v>1197</v>
      </c>
      <c r="H1194" s="2">
        <v>0.90714148400000005</v>
      </c>
      <c r="K1194" s="4">
        <v>41906</v>
      </c>
      <c r="L1194">
        <v>4.0750000000000002</v>
      </c>
    </row>
    <row r="1195" spans="1:12" x14ac:dyDescent="0.25">
      <c r="A1195" s="2" t="s">
        <v>5</v>
      </c>
      <c r="B1195" s="2" t="s">
        <v>1198</v>
      </c>
      <c r="C1195" s="2">
        <v>2.9340630334667899</v>
      </c>
      <c r="D1195" s="2">
        <f>VLOOKUP(OneWeekMtgRatesDataTable8[[#This Row],[AsOfDate]],G:H,2,0)+OneWeekMtgRatesDataTable8[[#This Row],[SeriesNumValue]]</f>
        <v>3.82048916746679</v>
      </c>
      <c r="F1195" s="2" t="s">
        <v>1277</v>
      </c>
      <c r="G1195" s="2" t="s">
        <v>1198</v>
      </c>
      <c r="H1195" s="2">
        <v>0.88642613400000003</v>
      </c>
      <c r="K1195" s="4">
        <v>41907</v>
      </c>
      <c r="L1195">
        <v>4.04</v>
      </c>
    </row>
    <row r="1196" spans="1:12" x14ac:dyDescent="0.25">
      <c r="A1196" s="2" t="s">
        <v>5</v>
      </c>
      <c r="B1196" s="2" t="s">
        <v>1199</v>
      </c>
      <c r="C1196" s="2">
        <v>2.9388026853832501</v>
      </c>
      <c r="D1196" s="2">
        <f>VLOOKUP(OneWeekMtgRatesDataTable8[[#This Row],[AsOfDate]],G:H,2,0)+OneWeekMtgRatesDataTable8[[#This Row],[SeriesNumValue]]</f>
        <v>3.8252288193832502</v>
      </c>
      <c r="F1196" s="2" t="s">
        <v>1277</v>
      </c>
      <c r="G1196" s="2" t="s">
        <v>1199</v>
      </c>
      <c r="H1196" s="2">
        <v>0.88642613400000003</v>
      </c>
      <c r="K1196" s="4">
        <v>41908</v>
      </c>
      <c r="L1196">
        <v>4.04</v>
      </c>
    </row>
    <row r="1197" spans="1:12" x14ac:dyDescent="0.25">
      <c r="A1197" s="2" t="s">
        <v>5</v>
      </c>
      <c r="B1197" s="2" t="s">
        <v>1200</v>
      </c>
      <c r="C1197" s="2">
        <v>3.0126979954339599</v>
      </c>
      <c r="D1197" s="2">
        <f>VLOOKUP(OneWeekMtgRatesDataTable8[[#This Row],[AsOfDate]],G:H,2,0)+OneWeekMtgRatesDataTable8[[#This Row],[SeriesNumValue]]</f>
        <v>3.89912412943396</v>
      </c>
      <c r="F1197" s="2" t="s">
        <v>1277</v>
      </c>
      <c r="G1197" s="2" t="s">
        <v>1200</v>
      </c>
      <c r="H1197" s="2">
        <v>0.88642613400000003</v>
      </c>
      <c r="K1197" s="4">
        <v>41911</v>
      </c>
      <c r="L1197">
        <v>4.04</v>
      </c>
    </row>
    <row r="1198" spans="1:12" x14ac:dyDescent="0.25">
      <c r="A1198" s="2" t="s">
        <v>5</v>
      </c>
      <c r="B1198" s="2" t="s">
        <v>1201</v>
      </c>
      <c r="C1198" s="2">
        <v>3.0394713990433302</v>
      </c>
      <c r="D1198" s="2">
        <f>VLOOKUP(OneWeekMtgRatesDataTable8[[#This Row],[AsOfDate]],G:H,2,0)+OneWeekMtgRatesDataTable8[[#This Row],[SeriesNumValue]]</f>
        <v>3.9258975330433303</v>
      </c>
      <c r="F1198" s="2" t="s">
        <v>1277</v>
      </c>
      <c r="G1198" s="2" t="s">
        <v>1201</v>
      </c>
      <c r="H1198" s="2">
        <v>0.88642613400000003</v>
      </c>
      <c r="K1198" s="4">
        <v>41912</v>
      </c>
      <c r="L1198">
        <v>4.04</v>
      </c>
    </row>
    <row r="1199" spans="1:12" x14ac:dyDescent="0.25">
      <c r="A1199" s="2" t="s">
        <v>5</v>
      </c>
      <c r="B1199" s="2" t="s">
        <v>1202</v>
      </c>
      <c r="C1199" s="2">
        <v>3.0240881034818901</v>
      </c>
      <c r="D1199" s="2">
        <f>VLOOKUP(OneWeekMtgRatesDataTable8[[#This Row],[AsOfDate]],G:H,2,0)+OneWeekMtgRatesDataTable8[[#This Row],[SeriesNumValue]]</f>
        <v>3.9003230574818901</v>
      </c>
      <c r="F1199" s="2" t="s">
        <v>1277</v>
      </c>
      <c r="G1199" s="2" t="s">
        <v>1202</v>
      </c>
      <c r="H1199" s="2">
        <v>0.87623495399999995</v>
      </c>
      <c r="K1199" s="4">
        <v>41913</v>
      </c>
      <c r="L1199">
        <v>4.04</v>
      </c>
    </row>
    <row r="1200" spans="1:12" x14ac:dyDescent="0.25">
      <c r="A1200" s="2" t="s">
        <v>5</v>
      </c>
      <c r="B1200" s="2" t="s">
        <v>1203</v>
      </c>
      <c r="C1200" s="2">
        <v>3.0415503408748101</v>
      </c>
      <c r="D1200" s="2">
        <f>VLOOKUP(OneWeekMtgRatesDataTable8[[#This Row],[AsOfDate]],G:H,2,0)+OneWeekMtgRatesDataTable8[[#This Row],[SeriesNumValue]]</f>
        <v>3.9177852948748102</v>
      </c>
      <c r="F1200" s="2" t="s">
        <v>1277</v>
      </c>
      <c r="G1200" s="2" t="s">
        <v>1203</v>
      </c>
      <c r="H1200" s="2">
        <v>0.87623495399999995</v>
      </c>
      <c r="K1200" s="4">
        <v>41914</v>
      </c>
      <c r="L1200">
        <v>3.9950000000000001</v>
      </c>
    </row>
    <row r="1201" spans="1:12" x14ac:dyDescent="0.25">
      <c r="A1201" s="2" t="s">
        <v>5</v>
      </c>
      <c r="B1201" s="2" t="s">
        <v>1204</v>
      </c>
      <c r="C1201" s="2">
        <v>3.0032203766891601</v>
      </c>
      <c r="D1201" s="2">
        <f>VLOOKUP(OneWeekMtgRatesDataTable8[[#This Row],[AsOfDate]],G:H,2,0)+OneWeekMtgRatesDataTable8[[#This Row],[SeriesNumValue]]</f>
        <v>3.8794553306891602</v>
      </c>
      <c r="F1201" s="2" t="s">
        <v>1277</v>
      </c>
      <c r="G1201" s="2" t="s">
        <v>1204</v>
      </c>
      <c r="H1201" s="2">
        <v>0.87623495399999995</v>
      </c>
      <c r="K1201" s="4">
        <v>41915</v>
      </c>
      <c r="L1201">
        <v>3.9950000000000001</v>
      </c>
    </row>
    <row r="1202" spans="1:12" x14ac:dyDescent="0.25">
      <c r="A1202" s="2" t="s">
        <v>5</v>
      </c>
      <c r="B1202" s="2" t="s">
        <v>1205</v>
      </c>
      <c r="C1202" s="2">
        <v>2.9962349476624799</v>
      </c>
      <c r="D1202" s="2">
        <f>VLOOKUP(OneWeekMtgRatesDataTable8[[#This Row],[AsOfDate]],G:H,2,0)+OneWeekMtgRatesDataTable8[[#This Row],[SeriesNumValue]]</f>
        <v>3.87246990166248</v>
      </c>
      <c r="F1202" s="2" t="s">
        <v>1277</v>
      </c>
      <c r="G1202" s="2" t="s">
        <v>1205</v>
      </c>
      <c r="H1202" s="2">
        <v>0.87623495399999995</v>
      </c>
      <c r="K1202" s="4">
        <v>41918</v>
      </c>
      <c r="L1202">
        <v>3.9950000000000001</v>
      </c>
    </row>
    <row r="1203" spans="1:12" x14ac:dyDescent="0.25">
      <c r="A1203" s="2" t="s">
        <v>5</v>
      </c>
      <c r="B1203" s="2" t="s">
        <v>1206</v>
      </c>
      <c r="C1203" s="2">
        <v>2.9829487992520902</v>
      </c>
      <c r="D1203" s="2">
        <f>VLOOKUP(OneWeekMtgRatesDataTable8[[#This Row],[AsOfDate]],G:H,2,0)+OneWeekMtgRatesDataTable8[[#This Row],[SeriesNumValue]]</f>
        <v>3.8591837532520903</v>
      </c>
      <c r="F1203" s="2" t="s">
        <v>1277</v>
      </c>
      <c r="G1203" s="2" t="s">
        <v>1206</v>
      </c>
      <c r="H1203" s="2">
        <v>0.87623495399999995</v>
      </c>
      <c r="K1203" s="4">
        <v>41919</v>
      </c>
      <c r="L1203">
        <v>3.9950000000000001</v>
      </c>
    </row>
    <row r="1204" spans="1:12" x14ac:dyDescent="0.25">
      <c r="A1204" s="2" t="s">
        <v>5</v>
      </c>
      <c r="B1204" s="2" t="s">
        <v>1207</v>
      </c>
      <c r="C1204" s="2">
        <v>2.97922271147955</v>
      </c>
      <c r="D1204" s="2">
        <f>VLOOKUP(OneWeekMtgRatesDataTable8[[#This Row],[AsOfDate]],G:H,2,0)+OneWeekMtgRatesDataTable8[[#This Row],[SeriesNumValue]]</f>
        <v>3.8485872764795501</v>
      </c>
      <c r="F1204" s="2" t="s">
        <v>1277</v>
      </c>
      <c r="G1204" s="2" t="s">
        <v>1207</v>
      </c>
      <c r="H1204" s="2">
        <v>0.86936456500000003</v>
      </c>
      <c r="K1204" s="4">
        <v>41920</v>
      </c>
      <c r="L1204">
        <v>3.9950000000000001</v>
      </c>
    </row>
    <row r="1205" spans="1:12" x14ac:dyDescent="0.25">
      <c r="A1205" s="2" t="s">
        <v>5</v>
      </c>
      <c r="B1205" s="2" t="s">
        <v>1208</v>
      </c>
      <c r="C1205" s="2">
        <v>2.9567440380932299</v>
      </c>
      <c r="D1205" s="2">
        <f>VLOOKUP(OneWeekMtgRatesDataTable8[[#This Row],[AsOfDate]],G:H,2,0)+OneWeekMtgRatesDataTable8[[#This Row],[SeriesNumValue]]</f>
        <v>3.8261086030932301</v>
      </c>
      <c r="F1205" s="2" t="s">
        <v>1277</v>
      </c>
      <c r="G1205" s="2" t="s">
        <v>1208</v>
      </c>
      <c r="H1205" s="2">
        <v>0.86936456500000003</v>
      </c>
      <c r="K1205" s="4">
        <v>41921</v>
      </c>
      <c r="L1205">
        <v>3.8450000000000002</v>
      </c>
    </row>
    <row r="1206" spans="1:12" x14ac:dyDescent="0.25">
      <c r="A1206" s="2" t="s">
        <v>5</v>
      </c>
      <c r="B1206" s="2" t="s">
        <v>1209</v>
      </c>
      <c r="C1206" s="2">
        <v>2.9778815410804498</v>
      </c>
      <c r="D1206" s="2">
        <f>VLOOKUP(OneWeekMtgRatesDataTable8[[#This Row],[AsOfDate]],G:H,2,0)+OneWeekMtgRatesDataTable8[[#This Row],[SeriesNumValue]]</f>
        <v>3.8472461060804499</v>
      </c>
      <c r="F1206" s="2" t="s">
        <v>1277</v>
      </c>
      <c r="G1206" s="2" t="s">
        <v>1209</v>
      </c>
      <c r="H1206" s="2">
        <v>0.86936456500000003</v>
      </c>
      <c r="K1206" s="4">
        <v>41922</v>
      </c>
      <c r="L1206">
        <v>3.8450000000000002</v>
      </c>
    </row>
    <row r="1207" spans="1:12" x14ac:dyDescent="0.25">
      <c r="A1207" s="2" t="s">
        <v>5</v>
      </c>
      <c r="B1207" s="2" t="s">
        <v>1210</v>
      </c>
      <c r="C1207" s="2">
        <v>2.9783756626827098</v>
      </c>
      <c r="D1207" s="2">
        <f>VLOOKUP(OneWeekMtgRatesDataTable8[[#This Row],[AsOfDate]],G:H,2,0)+OneWeekMtgRatesDataTable8[[#This Row],[SeriesNumValue]]</f>
        <v>3.84774022768271</v>
      </c>
      <c r="F1207" s="2" t="s">
        <v>1277</v>
      </c>
      <c r="G1207" s="2" t="s">
        <v>1210</v>
      </c>
      <c r="H1207" s="2">
        <v>0.86936456500000003</v>
      </c>
      <c r="K1207" s="4">
        <v>41926</v>
      </c>
      <c r="L1207">
        <v>3.8450000000000002</v>
      </c>
    </row>
    <row r="1208" spans="1:12" x14ac:dyDescent="0.25">
      <c r="A1208" s="2" t="s">
        <v>5</v>
      </c>
      <c r="B1208" s="2" t="s">
        <v>1211</v>
      </c>
      <c r="C1208" s="2">
        <v>2.9726150604600501</v>
      </c>
      <c r="D1208" s="2">
        <f>VLOOKUP(OneWeekMtgRatesDataTable8[[#This Row],[AsOfDate]],G:H,2,0)+OneWeekMtgRatesDataTable8[[#This Row],[SeriesNumValue]]</f>
        <v>3.8419796254600502</v>
      </c>
      <c r="F1208" s="2" t="s">
        <v>1277</v>
      </c>
      <c r="G1208" s="2" t="s">
        <v>1211</v>
      </c>
      <c r="H1208" s="2">
        <v>0.86936456500000003</v>
      </c>
      <c r="K1208" s="4">
        <v>41927</v>
      </c>
      <c r="L1208">
        <v>3.8450000000000002</v>
      </c>
    </row>
    <row r="1209" spans="1:12" x14ac:dyDescent="0.25">
      <c r="A1209" s="2" t="s">
        <v>5</v>
      </c>
      <c r="B1209" s="2" t="s">
        <v>1212</v>
      </c>
      <c r="C1209" s="2">
        <v>2.9699990408330801</v>
      </c>
      <c r="D1209" s="2">
        <f>VLOOKUP(OneWeekMtgRatesDataTable8[[#This Row],[AsOfDate]],G:H,2,0)+OneWeekMtgRatesDataTable8[[#This Row],[SeriesNumValue]]</f>
        <v>3.8738759718330802</v>
      </c>
      <c r="F1209" s="2" t="s">
        <v>1277</v>
      </c>
      <c r="G1209" s="2" t="s">
        <v>1212</v>
      </c>
      <c r="H1209" s="2">
        <v>0.90387693099999999</v>
      </c>
      <c r="K1209" s="4">
        <v>41928</v>
      </c>
      <c r="L1209">
        <v>3.7949999999999999</v>
      </c>
    </row>
    <row r="1210" spans="1:12" x14ac:dyDescent="0.25">
      <c r="A1210" s="2" t="s">
        <v>5</v>
      </c>
      <c r="B1210" s="2" t="s">
        <v>1213</v>
      </c>
      <c r="C1210" s="2">
        <v>2.9627998266716902</v>
      </c>
      <c r="D1210" s="2">
        <f>VLOOKUP(OneWeekMtgRatesDataTable8[[#This Row],[AsOfDate]],G:H,2,0)+OneWeekMtgRatesDataTable8[[#This Row],[SeriesNumValue]]</f>
        <v>3.8666767576716903</v>
      </c>
      <c r="F1210" s="2" t="s">
        <v>1277</v>
      </c>
      <c r="G1210" s="2" t="s">
        <v>1213</v>
      </c>
      <c r="H1210" s="2">
        <v>0.90387693099999999</v>
      </c>
      <c r="K1210" s="4">
        <v>41929</v>
      </c>
      <c r="L1210">
        <v>3.7949999999999999</v>
      </c>
    </row>
    <row r="1211" spans="1:12" x14ac:dyDescent="0.25">
      <c r="A1211" s="2" t="s">
        <v>5</v>
      </c>
      <c r="B1211" s="2" t="s">
        <v>1214</v>
      </c>
      <c r="C1211" s="2">
        <v>2.9474672658602201</v>
      </c>
      <c r="D1211" s="2">
        <f>VLOOKUP(OneWeekMtgRatesDataTable8[[#This Row],[AsOfDate]],G:H,2,0)+OneWeekMtgRatesDataTable8[[#This Row],[SeriesNumValue]]</f>
        <v>3.8513441968602202</v>
      </c>
      <c r="F1211" s="2" t="s">
        <v>1277</v>
      </c>
      <c r="G1211" s="2" t="s">
        <v>1214</v>
      </c>
      <c r="H1211" s="2">
        <v>0.90387693099999999</v>
      </c>
      <c r="K1211" s="4">
        <v>41932</v>
      </c>
      <c r="L1211">
        <v>3.7949999999999999</v>
      </c>
    </row>
    <row r="1212" spans="1:12" x14ac:dyDescent="0.25">
      <c r="A1212" s="2" t="s">
        <v>5</v>
      </c>
      <c r="B1212" s="2" t="s">
        <v>1215</v>
      </c>
      <c r="C1212" s="2">
        <v>2.8947298491443201</v>
      </c>
      <c r="D1212" s="2">
        <f>VLOOKUP(OneWeekMtgRatesDataTable8[[#This Row],[AsOfDate]],G:H,2,0)+OneWeekMtgRatesDataTable8[[#This Row],[SeriesNumValue]]</f>
        <v>3.7986067801443202</v>
      </c>
      <c r="F1212" s="2" t="s">
        <v>1277</v>
      </c>
      <c r="G1212" s="2" t="s">
        <v>1215</v>
      </c>
      <c r="H1212" s="2">
        <v>0.90387693099999999</v>
      </c>
      <c r="K1212" s="4">
        <v>41933</v>
      </c>
      <c r="L1212">
        <v>3.7949999999999999</v>
      </c>
    </row>
    <row r="1213" spans="1:12" x14ac:dyDescent="0.25">
      <c r="A1213" s="2" t="s">
        <v>5</v>
      </c>
      <c r="B1213" s="2" t="s">
        <v>1216</v>
      </c>
      <c r="C1213" s="2">
        <v>2.9165593470462001</v>
      </c>
      <c r="D1213" s="2">
        <f>VLOOKUP(OneWeekMtgRatesDataTable8[[#This Row],[AsOfDate]],G:H,2,0)+OneWeekMtgRatesDataTable8[[#This Row],[SeriesNumValue]]</f>
        <v>3.8161702750462001</v>
      </c>
      <c r="F1213" s="2" t="s">
        <v>1277</v>
      </c>
      <c r="G1213" s="2" t="s">
        <v>1216</v>
      </c>
      <c r="H1213" s="2">
        <v>0.89961092799999998</v>
      </c>
      <c r="K1213" s="4">
        <v>41934</v>
      </c>
      <c r="L1213">
        <v>3.7949999999999999</v>
      </c>
    </row>
    <row r="1214" spans="1:12" x14ac:dyDescent="0.25">
      <c r="A1214" s="2" t="s">
        <v>5</v>
      </c>
      <c r="B1214" s="2" t="s">
        <v>1217</v>
      </c>
      <c r="C1214" s="2">
        <v>3.0544306669029599</v>
      </c>
      <c r="D1214" s="2">
        <f>VLOOKUP(OneWeekMtgRatesDataTable8[[#This Row],[AsOfDate]],G:H,2,0)+OneWeekMtgRatesDataTable8[[#This Row],[SeriesNumValue]]</f>
        <v>3.9540415949029599</v>
      </c>
      <c r="F1214" s="2" t="s">
        <v>1277</v>
      </c>
      <c r="G1214" s="2" t="s">
        <v>1217</v>
      </c>
      <c r="H1214" s="2">
        <v>0.89961092799999998</v>
      </c>
      <c r="K1214" s="4">
        <v>41935</v>
      </c>
      <c r="L1214">
        <v>3.855</v>
      </c>
    </row>
    <row r="1215" spans="1:12" x14ac:dyDescent="0.25">
      <c r="A1215" s="2" t="s">
        <v>5</v>
      </c>
      <c r="B1215" s="2" t="s">
        <v>1218</v>
      </c>
      <c r="C1215" s="2">
        <v>2.9966381834712199</v>
      </c>
      <c r="D1215" s="2">
        <f>VLOOKUP(OneWeekMtgRatesDataTable8[[#This Row],[AsOfDate]],G:H,2,0)+OneWeekMtgRatesDataTable8[[#This Row],[SeriesNumValue]]</f>
        <v>3.8962491114712199</v>
      </c>
      <c r="F1215" s="2" t="s">
        <v>1277</v>
      </c>
      <c r="G1215" s="2" t="s">
        <v>1218</v>
      </c>
      <c r="H1215" s="2">
        <v>0.89961092799999998</v>
      </c>
      <c r="K1215" s="4">
        <v>41936</v>
      </c>
      <c r="L1215">
        <v>3.855</v>
      </c>
    </row>
    <row r="1216" spans="1:12" x14ac:dyDescent="0.25">
      <c r="A1216" s="2" t="s">
        <v>5</v>
      </c>
      <c r="B1216" s="2" t="s">
        <v>1219</v>
      </c>
      <c r="C1216" s="2">
        <v>2.9498986890501602</v>
      </c>
      <c r="D1216" s="2">
        <f>VLOOKUP(OneWeekMtgRatesDataTable8[[#This Row],[AsOfDate]],G:H,2,0)+OneWeekMtgRatesDataTable8[[#This Row],[SeriesNumValue]]</f>
        <v>3.8495096170501601</v>
      </c>
      <c r="F1216" s="2" t="s">
        <v>1277</v>
      </c>
      <c r="G1216" s="2" t="s">
        <v>1219</v>
      </c>
      <c r="H1216" s="2">
        <v>0.89961092799999998</v>
      </c>
      <c r="K1216" s="4">
        <v>41939</v>
      </c>
      <c r="L1216">
        <v>3.855</v>
      </c>
    </row>
    <row r="1217" spans="1:12" x14ac:dyDescent="0.25">
      <c r="A1217" s="2" t="s">
        <v>5</v>
      </c>
      <c r="B1217" s="2" t="s">
        <v>1220</v>
      </c>
      <c r="C1217" s="2">
        <v>2.97492729888162</v>
      </c>
      <c r="D1217" s="2">
        <f>VLOOKUP(OneWeekMtgRatesDataTable8[[#This Row],[AsOfDate]],G:H,2,0)+OneWeekMtgRatesDataTable8[[#This Row],[SeriesNumValue]]</f>
        <v>3.87453822688162</v>
      </c>
      <c r="F1217" s="2" t="s">
        <v>1277</v>
      </c>
      <c r="G1217" s="2" t="s">
        <v>1220</v>
      </c>
      <c r="H1217" s="2">
        <v>0.89961092799999998</v>
      </c>
      <c r="K1217" s="4">
        <v>41940</v>
      </c>
      <c r="L1217">
        <v>3.855</v>
      </c>
    </row>
    <row r="1218" spans="1:12" x14ac:dyDescent="0.25">
      <c r="A1218" s="2" t="s">
        <v>5</v>
      </c>
      <c r="B1218" s="2" t="s">
        <v>1221</v>
      </c>
      <c r="C1218" s="2">
        <v>2.9584562580557998</v>
      </c>
      <c r="D1218" s="2">
        <f>VLOOKUP(OneWeekMtgRatesDataTable8[[#This Row],[AsOfDate]],G:H,2,0)+OneWeekMtgRatesDataTable8[[#This Row],[SeriesNumValue]]</f>
        <v>3.8215860390557999</v>
      </c>
      <c r="F1218" s="2" t="s">
        <v>1277</v>
      </c>
      <c r="G1218" s="2" t="s">
        <v>1221</v>
      </c>
      <c r="H1218" s="2">
        <v>0.86312978100000004</v>
      </c>
      <c r="K1218" s="4">
        <v>41941</v>
      </c>
      <c r="L1218">
        <v>3.855</v>
      </c>
    </row>
    <row r="1219" spans="1:12" x14ac:dyDescent="0.25">
      <c r="A1219" s="2" t="s">
        <v>5</v>
      </c>
      <c r="B1219" s="2" t="s">
        <v>1222</v>
      </c>
      <c r="C1219" s="2">
        <v>2.9975278287112799</v>
      </c>
      <c r="D1219" s="2">
        <f>VLOOKUP(OneWeekMtgRatesDataTable8[[#This Row],[AsOfDate]],G:H,2,0)+OneWeekMtgRatesDataTable8[[#This Row],[SeriesNumValue]]</f>
        <v>3.8606576097112799</v>
      </c>
      <c r="F1219" s="2" t="s">
        <v>1277</v>
      </c>
      <c r="G1219" s="2" t="s">
        <v>1222</v>
      </c>
      <c r="H1219" s="2">
        <v>0.86312978100000004</v>
      </c>
      <c r="K1219" s="4">
        <v>41942</v>
      </c>
      <c r="L1219">
        <v>3.895</v>
      </c>
    </row>
    <row r="1220" spans="1:12" x14ac:dyDescent="0.25">
      <c r="A1220" s="2" t="s">
        <v>5</v>
      </c>
      <c r="B1220" s="2" t="s">
        <v>1223</v>
      </c>
      <c r="C1220" s="2">
        <v>2.93038775773327</v>
      </c>
      <c r="D1220" s="2">
        <f>VLOOKUP(OneWeekMtgRatesDataTable8[[#This Row],[AsOfDate]],G:H,2,0)+OneWeekMtgRatesDataTable8[[#This Row],[SeriesNumValue]]</f>
        <v>3.79351753873327</v>
      </c>
      <c r="F1220" s="2" t="s">
        <v>1277</v>
      </c>
      <c r="G1220" s="2" t="s">
        <v>1223</v>
      </c>
      <c r="H1220" s="2">
        <v>0.86312978100000004</v>
      </c>
      <c r="K1220" s="4">
        <v>41943</v>
      </c>
      <c r="L1220">
        <v>3.895</v>
      </c>
    </row>
    <row r="1221" spans="1:12" x14ac:dyDescent="0.25">
      <c r="A1221" s="2" t="s">
        <v>5</v>
      </c>
      <c r="B1221" s="2" t="s">
        <v>1224</v>
      </c>
      <c r="C1221" s="2">
        <v>2.9956917661864102</v>
      </c>
      <c r="D1221" s="2">
        <f>VLOOKUP(OneWeekMtgRatesDataTable8[[#This Row],[AsOfDate]],G:H,2,0)+OneWeekMtgRatesDataTable8[[#This Row],[SeriesNumValue]]</f>
        <v>3.8588215471864102</v>
      </c>
      <c r="F1221" s="2" t="s">
        <v>1277</v>
      </c>
      <c r="G1221" s="2" t="s">
        <v>1224</v>
      </c>
      <c r="H1221" s="2">
        <v>0.86312978100000004</v>
      </c>
      <c r="K1221" s="4">
        <v>41946</v>
      </c>
      <c r="L1221">
        <v>3.895</v>
      </c>
    </row>
    <row r="1222" spans="1:12" x14ac:dyDescent="0.25">
      <c r="A1222" s="2" t="s">
        <v>5</v>
      </c>
      <c r="B1222" s="2" t="s">
        <v>1225</v>
      </c>
      <c r="C1222" s="2">
        <v>3.0277544715368299</v>
      </c>
      <c r="D1222" s="2">
        <f>VLOOKUP(OneWeekMtgRatesDataTable8[[#This Row],[AsOfDate]],G:H,2,0)+OneWeekMtgRatesDataTable8[[#This Row],[SeriesNumValue]]</f>
        <v>3.8908842525368299</v>
      </c>
      <c r="F1222" s="2" t="s">
        <v>1277</v>
      </c>
      <c r="G1222" s="2" t="s">
        <v>1225</v>
      </c>
      <c r="H1222" s="2">
        <v>0.86312978100000004</v>
      </c>
      <c r="K1222" s="4">
        <v>41947</v>
      </c>
      <c r="L1222">
        <v>3.895</v>
      </c>
    </row>
    <row r="1223" spans="1:12" x14ac:dyDescent="0.25">
      <c r="A1223" s="2" t="s">
        <v>5</v>
      </c>
      <c r="B1223" s="2" t="s">
        <v>1226</v>
      </c>
      <c r="C1223" s="2">
        <v>3.0337070171743399</v>
      </c>
      <c r="D1223" s="2">
        <f>VLOOKUP(OneWeekMtgRatesDataTable8[[#This Row],[AsOfDate]],G:H,2,0)+OneWeekMtgRatesDataTable8[[#This Row],[SeriesNumValue]]</f>
        <v>3.90669324917434</v>
      </c>
      <c r="F1223" s="2" t="s">
        <v>1277</v>
      </c>
      <c r="G1223" s="2" t="s">
        <v>1226</v>
      </c>
      <c r="H1223" s="2">
        <v>0.87298623200000003</v>
      </c>
      <c r="K1223" s="4">
        <v>41948</v>
      </c>
      <c r="L1223">
        <v>3.895</v>
      </c>
    </row>
    <row r="1224" spans="1:12" x14ac:dyDescent="0.25">
      <c r="A1224" s="2" t="s">
        <v>5</v>
      </c>
      <c r="B1224" s="2" t="s">
        <v>1227</v>
      </c>
      <c r="C1224" s="2">
        <v>2.9938542795846499</v>
      </c>
      <c r="D1224" s="2">
        <f>VLOOKUP(OneWeekMtgRatesDataTable8[[#This Row],[AsOfDate]],G:H,2,0)+OneWeekMtgRatesDataTable8[[#This Row],[SeriesNumValue]]</f>
        <v>3.86684051158465</v>
      </c>
      <c r="F1224" s="2" t="s">
        <v>1277</v>
      </c>
      <c r="G1224" s="2" t="s">
        <v>1227</v>
      </c>
      <c r="H1224" s="2">
        <v>0.87298623200000003</v>
      </c>
      <c r="K1224" s="4">
        <v>41949</v>
      </c>
      <c r="L1224">
        <v>3.8849999999999998</v>
      </c>
    </row>
    <row r="1225" spans="1:12" x14ac:dyDescent="0.25">
      <c r="A1225" s="2" t="s">
        <v>5</v>
      </c>
      <c r="B1225" s="2" t="s">
        <v>1228</v>
      </c>
      <c r="C1225" s="2">
        <v>2.9654454819851401</v>
      </c>
      <c r="D1225" s="2">
        <f>VLOOKUP(OneWeekMtgRatesDataTable8[[#This Row],[AsOfDate]],G:H,2,0)+OneWeekMtgRatesDataTable8[[#This Row],[SeriesNumValue]]</f>
        <v>3.8384317139851403</v>
      </c>
      <c r="F1225" s="2" t="s">
        <v>1277</v>
      </c>
      <c r="G1225" s="2" t="s">
        <v>1228</v>
      </c>
      <c r="H1225" s="2">
        <v>0.87298623200000003</v>
      </c>
      <c r="K1225" s="4">
        <v>41950</v>
      </c>
      <c r="L1225">
        <v>3.8849999999999998</v>
      </c>
    </row>
    <row r="1226" spans="1:12" x14ac:dyDescent="0.25">
      <c r="A1226" s="2" t="s">
        <v>5</v>
      </c>
      <c r="B1226" s="2" t="s">
        <v>1229</v>
      </c>
      <c r="C1226" s="2">
        <v>2.9731174036640602</v>
      </c>
      <c r="D1226" s="2">
        <f>VLOOKUP(OneWeekMtgRatesDataTable8[[#This Row],[AsOfDate]],G:H,2,0)+OneWeekMtgRatesDataTable8[[#This Row],[SeriesNumValue]]</f>
        <v>3.8461036356640603</v>
      </c>
      <c r="F1226" s="2" t="s">
        <v>1277</v>
      </c>
      <c r="G1226" s="2" t="s">
        <v>1229</v>
      </c>
      <c r="H1226" s="2">
        <v>0.87298623200000003</v>
      </c>
      <c r="K1226" s="4">
        <v>41953</v>
      </c>
      <c r="L1226">
        <v>3.8849999999999998</v>
      </c>
    </row>
    <row r="1227" spans="1:12" x14ac:dyDescent="0.25">
      <c r="A1227" s="2" t="s">
        <v>5</v>
      </c>
      <c r="B1227" s="2" t="s">
        <v>1230</v>
      </c>
      <c r="C1227" s="2">
        <v>3.0177597197552002</v>
      </c>
      <c r="D1227" s="2">
        <f>VLOOKUP(OneWeekMtgRatesDataTable8[[#This Row],[AsOfDate]],G:H,2,0)+OneWeekMtgRatesDataTable8[[#This Row],[SeriesNumValue]]</f>
        <v>3.8907459517552003</v>
      </c>
      <c r="F1227" s="2" t="s">
        <v>1277</v>
      </c>
      <c r="G1227" s="2" t="s">
        <v>1230</v>
      </c>
      <c r="H1227" s="2">
        <v>0.87298623200000003</v>
      </c>
      <c r="K1227" s="4">
        <v>41955</v>
      </c>
      <c r="L1227">
        <v>3.8849999999999998</v>
      </c>
    </row>
    <row r="1228" spans="1:12" x14ac:dyDescent="0.25">
      <c r="A1228" s="2" t="s">
        <v>5</v>
      </c>
      <c r="B1228" s="2" t="s">
        <v>1231</v>
      </c>
      <c r="C1228" s="2">
        <v>3.0426080275796101</v>
      </c>
      <c r="D1228" s="2">
        <f>VLOOKUP(OneWeekMtgRatesDataTable8[[#This Row],[AsOfDate]],G:H,2,0)+OneWeekMtgRatesDataTable8[[#This Row],[SeriesNumValue]]</f>
        <v>3.9040510445796102</v>
      </c>
      <c r="F1228" s="2" t="s">
        <v>1277</v>
      </c>
      <c r="G1228" s="2" t="s">
        <v>1231</v>
      </c>
      <c r="H1228" s="2">
        <v>0.86144301700000003</v>
      </c>
      <c r="K1228" s="4">
        <v>41956</v>
      </c>
      <c r="L1228">
        <v>3.8650000000000002</v>
      </c>
    </row>
    <row r="1229" spans="1:12" x14ac:dyDescent="0.25">
      <c r="A1229" s="2" t="s">
        <v>5</v>
      </c>
      <c r="B1229" s="2" t="s">
        <v>1232</v>
      </c>
      <c r="C1229" s="2">
        <v>3.0275766664066102</v>
      </c>
      <c r="D1229" s="2">
        <f>VLOOKUP(OneWeekMtgRatesDataTable8[[#This Row],[AsOfDate]],G:H,2,0)+OneWeekMtgRatesDataTable8[[#This Row],[SeriesNumValue]]</f>
        <v>3.8890196834066102</v>
      </c>
      <c r="F1229" s="2" t="s">
        <v>1277</v>
      </c>
      <c r="G1229" s="2" t="s">
        <v>1232</v>
      </c>
      <c r="H1229" s="2">
        <v>0.86144301700000003</v>
      </c>
      <c r="K1229" s="4">
        <v>41957</v>
      </c>
      <c r="L1229">
        <v>3.8650000000000002</v>
      </c>
    </row>
    <row r="1230" spans="1:12" x14ac:dyDescent="0.25">
      <c r="A1230" s="2" t="s">
        <v>5</v>
      </c>
      <c r="B1230" s="2" t="s">
        <v>1233</v>
      </c>
      <c r="C1230" s="2">
        <v>3.0029644484734299</v>
      </c>
      <c r="D1230" s="2">
        <f>VLOOKUP(OneWeekMtgRatesDataTable8[[#This Row],[AsOfDate]],G:H,2,0)+OneWeekMtgRatesDataTable8[[#This Row],[SeriesNumValue]]</f>
        <v>3.8644074654734299</v>
      </c>
      <c r="F1230" s="2" t="s">
        <v>1277</v>
      </c>
      <c r="G1230" s="2" t="s">
        <v>1233</v>
      </c>
      <c r="H1230" s="2">
        <v>0.86144301700000003</v>
      </c>
      <c r="K1230" s="4">
        <v>41960</v>
      </c>
      <c r="L1230">
        <v>3.8650000000000002</v>
      </c>
    </row>
    <row r="1231" spans="1:12" x14ac:dyDescent="0.25">
      <c r="A1231" s="2" t="s">
        <v>5</v>
      </c>
      <c r="B1231" s="2" t="s">
        <v>1234</v>
      </c>
      <c r="C1231" s="2">
        <v>3.05738829293283</v>
      </c>
      <c r="D1231" s="2">
        <f>VLOOKUP(OneWeekMtgRatesDataTable8[[#This Row],[AsOfDate]],G:H,2,0)+OneWeekMtgRatesDataTable8[[#This Row],[SeriesNumValue]]</f>
        <v>3.91883130993283</v>
      </c>
      <c r="F1231" s="2" t="s">
        <v>1277</v>
      </c>
      <c r="G1231" s="2" t="s">
        <v>1234</v>
      </c>
      <c r="H1231" s="2">
        <v>0.86144301700000003</v>
      </c>
      <c r="K1231" s="4">
        <v>41961</v>
      </c>
      <c r="L1231">
        <v>3.8650000000000002</v>
      </c>
    </row>
    <row r="1232" spans="1:12" x14ac:dyDescent="0.25">
      <c r="A1232" s="2" t="s">
        <v>5</v>
      </c>
      <c r="B1232" s="2" t="s">
        <v>1235</v>
      </c>
      <c r="C1232" s="2">
        <v>3.0484600868524701</v>
      </c>
      <c r="D1232" s="2">
        <f>VLOOKUP(OneWeekMtgRatesDataTable8[[#This Row],[AsOfDate]],G:H,2,0)+OneWeekMtgRatesDataTable8[[#This Row],[SeriesNumValue]]</f>
        <v>3.9243627128524698</v>
      </c>
      <c r="F1232" s="2" t="s">
        <v>1277</v>
      </c>
      <c r="G1232" s="2" t="s">
        <v>1235</v>
      </c>
      <c r="H1232" s="2">
        <v>0.87590262600000002</v>
      </c>
      <c r="K1232" s="4">
        <v>41962</v>
      </c>
      <c r="L1232">
        <v>3.8650000000000002</v>
      </c>
    </row>
    <row r="1233" spans="1:12" x14ac:dyDescent="0.25">
      <c r="A1233" s="2" t="s">
        <v>5</v>
      </c>
      <c r="B1233" s="2" t="s">
        <v>1236</v>
      </c>
      <c r="C1233" s="2">
        <v>3.0053894082817201</v>
      </c>
      <c r="D1233" s="2">
        <f>VLOOKUP(OneWeekMtgRatesDataTable8[[#This Row],[AsOfDate]],G:H,2,0)+OneWeekMtgRatesDataTable8[[#This Row],[SeriesNumValue]]</f>
        <v>3.8812920342817199</v>
      </c>
      <c r="F1233" s="2" t="s">
        <v>1277</v>
      </c>
      <c r="G1233" s="2" t="s">
        <v>1236</v>
      </c>
      <c r="H1233" s="2">
        <v>0.87590262600000002</v>
      </c>
      <c r="K1233" s="4">
        <v>41963</v>
      </c>
      <c r="L1233">
        <v>3.8450000000000002</v>
      </c>
    </row>
    <row r="1234" spans="1:12" x14ac:dyDescent="0.25">
      <c r="A1234" s="2" t="s">
        <v>5</v>
      </c>
      <c r="B1234" s="2" t="s">
        <v>1237</v>
      </c>
      <c r="C1234" s="2">
        <v>2.993452685197</v>
      </c>
      <c r="D1234" s="2">
        <f>VLOOKUP(OneWeekMtgRatesDataTable8[[#This Row],[AsOfDate]],G:H,2,0)+OneWeekMtgRatesDataTable8[[#This Row],[SeriesNumValue]]</f>
        <v>3.8693553111970003</v>
      </c>
      <c r="F1234" s="2" t="s">
        <v>1277</v>
      </c>
      <c r="G1234" s="2" t="s">
        <v>1237</v>
      </c>
      <c r="H1234" s="2">
        <v>0.87590262600000002</v>
      </c>
      <c r="K1234" s="4">
        <v>41964</v>
      </c>
      <c r="L1234">
        <v>3.8450000000000002</v>
      </c>
    </row>
    <row r="1235" spans="1:12" x14ac:dyDescent="0.25">
      <c r="A1235" s="2" t="s">
        <v>5</v>
      </c>
      <c r="B1235" s="2" t="s">
        <v>1238</v>
      </c>
      <c r="C1235" s="2">
        <v>2.99513727920968</v>
      </c>
      <c r="D1235" s="2">
        <f>VLOOKUP(OneWeekMtgRatesDataTable8[[#This Row],[AsOfDate]],G:H,2,0)+OneWeekMtgRatesDataTable8[[#This Row],[SeriesNumValue]]</f>
        <v>3.8710399052096802</v>
      </c>
      <c r="F1235" s="2" t="s">
        <v>1277</v>
      </c>
      <c r="G1235" s="2" t="s">
        <v>1238</v>
      </c>
      <c r="H1235" s="2">
        <v>0.87590262600000002</v>
      </c>
      <c r="K1235" s="4">
        <v>41967</v>
      </c>
      <c r="L1235">
        <v>3.8450000000000002</v>
      </c>
    </row>
    <row r="1236" spans="1:12" x14ac:dyDescent="0.25">
      <c r="A1236" s="2" t="s">
        <v>5</v>
      </c>
      <c r="B1236" s="2" t="s">
        <v>1239</v>
      </c>
      <c r="C1236" s="2">
        <v>2.9334005201837599</v>
      </c>
      <c r="D1236" s="2">
        <f>VLOOKUP(OneWeekMtgRatesDataTable8[[#This Row],[AsOfDate]],G:H,2,0)+OneWeekMtgRatesDataTable8[[#This Row],[SeriesNumValue]]</f>
        <v>3.8215555471837597</v>
      </c>
      <c r="F1236" s="2" t="s">
        <v>1277</v>
      </c>
      <c r="G1236" s="2" t="s">
        <v>1239</v>
      </c>
      <c r="H1236" s="2">
        <v>0.88815502700000004</v>
      </c>
      <c r="K1236" s="4">
        <v>41968</v>
      </c>
      <c r="L1236">
        <v>3.8450000000000002</v>
      </c>
    </row>
    <row r="1237" spans="1:12" x14ac:dyDescent="0.25">
      <c r="A1237" s="2" t="s">
        <v>5</v>
      </c>
      <c r="B1237" s="2" t="s">
        <v>1240</v>
      </c>
      <c r="C1237" s="2">
        <v>2.9119506998989602</v>
      </c>
      <c r="D1237" s="2">
        <f>VLOOKUP(OneWeekMtgRatesDataTable8[[#This Row],[AsOfDate]],G:H,2,0)+OneWeekMtgRatesDataTable8[[#This Row],[SeriesNumValue]]</f>
        <v>3.80010572689896</v>
      </c>
      <c r="F1237" s="2" t="s">
        <v>1277</v>
      </c>
      <c r="G1237" s="2" t="s">
        <v>1240</v>
      </c>
      <c r="H1237" s="2">
        <v>0.88815502700000004</v>
      </c>
      <c r="K1237" s="4">
        <v>41969</v>
      </c>
      <c r="L1237">
        <v>3.8450000000000002</v>
      </c>
    </row>
    <row r="1238" spans="1:12" x14ac:dyDescent="0.25">
      <c r="A1238" s="2" t="s">
        <v>5</v>
      </c>
      <c r="B1238" s="2" t="s">
        <v>3</v>
      </c>
      <c r="C1238" s="2">
        <v>2.88545680781831</v>
      </c>
      <c r="D1238" s="2">
        <f>VLOOKUP(OneWeekMtgRatesDataTable8[[#This Row],[AsOfDate]],G:H,2,0)+OneWeekMtgRatesDataTable8[[#This Row],[SeriesNumValue]]</f>
        <v>3.7736118348183103</v>
      </c>
      <c r="F1238" s="2" t="s">
        <v>1277</v>
      </c>
      <c r="G1238" s="2" t="s">
        <v>3</v>
      </c>
      <c r="H1238" s="2">
        <v>0.88815502700000004</v>
      </c>
      <c r="K1238" s="4">
        <v>41971</v>
      </c>
      <c r="L1238">
        <v>3.7650000000000001</v>
      </c>
    </row>
    <row r="1239" spans="1:12" x14ac:dyDescent="0.25">
      <c r="A1239" s="2" t="s">
        <v>5</v>
      </c>
      <c r="B1239" s="2" t="s">
        <v>1241</v>
      </c>
      <c r="C1239" s="2">
        <v>2.8978342309890999</v>
      </c>
      <c r="D1239" s="2">
        <f>VLOOKUP(OneWeekMtgRatesDataTable8[[#This Row],[AsOfDate]],G:H,2,0)+OneWeekMtgRatesDataTable8[[#This Row],[SeriesNumValue]]</f>
        <v>3.7859892579891001</v>
      </c>
      <c r="F1239" s="2" t="s">
        <v>1277</v>
      </c>
      <c r="G1239" s="2" t="s">
        <v>1241</v>
      </c>
      <c r="H1239" s="2">
        <v>0.88815502700000004</v>
      </c>
      <c r="K1239" s="4">
        <v>41974</v>
      </c>
      <c r="L1239">
        <v>3.7650000000000001</v>
      </c>
    </row>
    <row r="1240" spans="1:12" x14ac:dyDescent="0.25">
      <c r="A1240" s="2" t="s">
        <v>5</v>
      </c>
      <c r="B1240" s="2" t="s">
        <v>1242</v>
      </c>
      <c r="C1240" s="2">
        <v>2.8424738889513801</v>
      </c>
      <c r="D1240" s="2">
        <f>VLOOKUP(OneWeekMtgRatesDataTable8[[#This Row],[AsOfDate]],G:H,2,0)+OneWeekMtgRatesDataTable8[[#This Row],[SeriesNumValue]]</f>
        <v>3.7306289159513799</v>
      </c>
      <c r="F1240" s="2" t="s">
        <v>1277</v>
      </c>
      <c r="G1240" s="2" t="s">
        <v>1242</v>
      </c>
      <c r="H1240" s="2">
        <v>0.88815502700000004</v>
      </c>
      <c r="K1240" s="4">
        <v>41975</v>
      </c>
      <c r="L1240">
        <v>3.7650000000000001</v>
      </c>
    </row>
    <row r="1241" spans="1:12" x14ac:dyDescent="0.25">
      <c r="A1241" s="2" t="s">
        <v>5</v>
      </c>
      <c r="B1241" s="2" t="s">
        <v>1243</v>
      </c>
      <c r="C1241" s="2">
        <v>2.8127941632470699</v>
      </c>
      <c r="D1241" s="2">
        <f>VLOOKUP(OneWeekMtgRatesDataTable8[[#This Row],[AsOfDate]],G:H,2,0)+OneWeekMtgRatesDataTable8[[#This Row],[SeriesNumValue]]</f>
        <v>3.7626922052470699</v>
      </c>
      <c r="F1241" s="2" t="s">
        <v>1277</v>
      </c>
      <c r="G1241" s="2" t="s">
        <v>1243</v>
      </c>
      <c r="H1241" s="2">
        <v>0.94989804200000005</v>
      </c>
      <c r="K1241" s="4">
        <v>41976</v>
      </c>
      <c r="L1241">
        <v>3.7650000000000001</v>
      </c>
    </row>
    <row r="1242" spans="1:12" x14ac:dyDescent="0.25">
      <c r="A1242" s="2" t="s">
        <v>5</v>
      </c>
      <c r="B1242" s="2" t="s">
        <v>1244</v>
      </c>
      <c r="C1242" s="2">
        <v>2.82567876803239</v>
      </c>
      <c r="D1242" s="2">
        <f>VLOOKUP(OneWeekMtgRatesDataTable8[[#This Row],[AsOfDate]],G:H,2,0)+OneWeekMtgRatesDataTable8[[#This Row],[SeriesNumValue]]</f>
        <v>3.7755768100323901</v>
      </c>
      <c r="F1242" s="2" t="s">
        <v>1277</v>
      </c>
      <c r="G1242" s="2" t="s">
        <v>1244</v>
      </c>
      <c r="H1242" s="2">
        <v>0.94989804200000005</v>
      </c>
      <c r="K1242" s="4">
        <v>41977</v>
      </c>
      <c r="L1242">
        <v>3.8050000000000002</v>
      </c>
    </row>
    <row r="1243" spans="1:12" x14ac:dyDescent="0.25">
      <c r="A1243" s="2" t="s">
        <v>5</v>
      </c>
      <c r="B1243" s="2" t="s">
        <v>1245</v>
      </c>
      <c r="C1243" s="2">
        <v>2.78255799649583</v>
      </c>
      <c r="D1243" s="2">
        <f>VLOOKUP(OneWeekMtgRatesDataTable8[[#This Row],[AsOfDate]],G:H,2,0)+OneWeekMtgRatesDataTable8[[#This Row],[SeriesNumValue]]</f>
        <v>3.7324560384958301</v>
      </c>
      <c r="F1243" s="2" t="s">
        <v>1277</v>
      </c>
      <c r="G1243" s="2" t="s">
        <v>1245</v>
      </c>
      <c r="H1243" s="2">
        <v>0.94989804200000005</v>
      </c>
      <c r="K1243" s="4">
        <v>41978</v>
      </c>
      <c r="L1243">
        <v>3.8050000000000002</v>
      </c>
    </row>
    <row r="1244" spans="1:12" x14ac:dyDescent="0.25">
      <c r="A1244" s="2" t="s">
        <v>5</v>
      </c>
      <c r="B1244" s="2" t="s">
        <v>1246</v>
      </c>
      <c r="C1244" s="2">
        <v>2.78837847860318</v>
      </c>
      <c r="D1244" s="2">
        <f>VLOOKUP(OneWeekMtgRatesDataTable8[[#This Row],[AsOfDate]],G:H,2,0)+OneWeekMtgRatesDataTable8[[#This Row],[SeriesNumValue]]</f>
        <v>3.7382765206031801</v>
      </c>
      <c r="F1244" s="2" t="s">
        <v>1277</v>
      </c>
      <c r="G1244" s="2" t="s">
        <v>1246</v>
      </c>
      <c r="H1244" s="2">
        <v>0.94989804200000005</v>
      </c>
      <c r="K1244" s="4">
        <v>41981</v>
      </c>
      <c r="L1244">
        <v>3.8050000000000002</v>
      </c>
    </row>
    <row r="1245" spans="1:12" x14ac:dyDescent="0.25">
      <c r="A1245" s="2" t="s">
        <v>5</v>
      </c>
      <c r="B1245" s="2" t="s">
        <v>1247</v>
      </c>
      <c r="C1245" s="2">
        <v>2.7399955828051801</v>
      </c>
      <c r="D1245" s="2">
        <f>VLOOKUP(OneWeekMtgRatesDataTable8[[#This Row],[AsOfDate]],G:H,2,0)+OneWeekMtgRatesDataTable8[[#This Row],[SeriesNumValue]]</f>
        <v>3.6658428763210349</v>
      </c>
      <c r="F1245" s="2" t="s">
        <v>1277</v>
      </c>
      <c r="G1245" s="2" t="s">
        <v>1247</v>
      </c>
      <c r="H1245" s="2">
        <v>0.92584729351585504</v>
      </c>
      <c r="K1245" s="4">
        <v>41982</v>
      </c>
      <c r="L1245">
        <v>3.8050000000000002</v>
      </c>
    </row>
    <row r="1246" spans="1:12" x14ac:dyDescent="0.25">
      <c r="A1246" s="2" t="s">
        <v>5</v>
      </c>
      <c r="B1246" s="2" t="s">
        <v>1248</v>
      </c>
      <c r="C1246" s="2">
        <v>2.7634717888750999</v>
      </c>
      <c r="D1246" s="2" t="e">
        <f>VLOOKUP(OneWeekMtgRatesDataTable8[[#This Row],[AsOfDate]],G:H,2,0)+OneWeekMtgRatesDataTable8[[#This Row],[SeriesNumValue]]</f>
        <v>#N/A</v>
      </c>
      <c r="F1246" s="2" t="s">
        <v>1277</v>
      </c>
      <c r="G1246" s="2" t="s">
        <v>1249</v>
      </c>
      <c r="H1246" s="2">
        <v>0.92584729351585504</v>
      </c>
      <c r="K1246" s="4">
        <v>41983</v>
      </c>
      <c r="L1246">
        <v>3.8050000000000002</v>
      </c>
    </row>
    <row r="1247" spans="1:12" x14ac:dyDescent="0.25">
      <c r="A1247" s="2" t="s">
        <v>5</v>
      </c>
      <c r="B1247" s="2" t="s">
        <v>1249</v>
      </c>
      <c r="C1247" s="2">
        <v>2.7884908118762199</v>
      </c>
      <c r="D1247" s="2">
        <f>VLOOKUP(OneWeekMtgRatesDataTable8[[#This Row],[AsOfDate]],G:H,2,0)+OneWeekMtgRatesDataTable8[[#This Row],[SeriesNumValue]]</f>
        <v>3.7143381053920752</v>
      </c>
      <c r="F1247" s="2" t="s">
        <v>1277</v>
      </c>
      <c r="G1247" s="2" t="s">
        <v>1250</v>
      </c>
      <c r="H1247" s="2">
        <v>0.92584729351585504</v>
      </c>
      <c r="K1247" s="4">
        <v>41984</v>
      </c>
      <c r="L1247">
        <v>3.7</v>
      </c>
    </row>
    <row r="1248" spans="1:12" x14ac:dyDescent="0.25">
      <c r="A1248" s="2" t="s">
        <v>5</v>
      </c>
      <c r="B1248" s="2" t="s">
        <v>1250</v>
      </c>
      <c r="C1248" s="2">
        <v>2.7702129413051901</v>
      </c>
      <c r="D1248" s="2">
        <f>VLOOKUP(OneWeekMtgRatesDataTable8[[#This Row],[AsOfDate]],G:H,2,0)+OneWeekMtgRatesDataTable8[[#This Row],[SeriesNumValue]]</f>
        <v>3.6960602348210454</v>
      </c>
      <c r="F1248" s="2" t="s">
        <v>1277</v>
      </c>
      <c r="G1248" s="2" t="s">
        <v>1251</v>
      </c>
      <c r="H1248" s="2">
        <v>0.92584729351585504</v>
      </c>
      <c r="K1248" s="4">
        <v>41985</v>
      </c>
      <c r="L1248">
        <v>3.7</v>
      </c>
    </row>
    <row r="1249" spans="1:12" x14ac:dyDescent="0.25">
      <c r="A1249" s="2" t="s">
        <v>5</v>
      </c>
      <c r="B1249" s="2" t="s">
        <v>1251</v>
      </c>
      <c r="C1249" s="2">
        <v>2.7316832790579499</v>
      </c>
      <c r="D1249" s="2">
        <f>VLOOKUP(OneWeekMtgRatesDataTable8[[#This Row],[AsOfDate]],G:H,2,0)+OneWeekMtgRatesDataTable8[[#This Row],[SeriesNumValue]]</f>
        <v>3.6575305725738048</v>
      </c>
      <c r="F1249" s="2" t="s">
        <v>1277</v>
      </c>
      <c r="G1249" s="2" t="s">
        <v>1252</v>
      </c>
      <c r="H1249" s="2">
        <v>0.92584729351585504</v>
      </c>
      <c r="K1249" s="4">
        <v>41988</v>
      </c>
      <c r="L1249">
        <v>3.7</v>
      </c>
    </row>
    <row r="1250" spans="1:12" x14ac:dyDescent="0.25">
      <c r="A1250" s="2" t="s">
        <v>5</v>
      </c>
      <c r="B1250" s="2" t="s">
        <v>1252</v>
      </c>
      <c r="C1250" s="2">
        <v>2.73574020589367</v>
      </c>
      <c r="D1250" s="2">
        <f>VLOOKUP(OneWeekMtgRatesDataTable8[[#This Row],[AsOfDate]],G:H,2,0)+OneWeekMtgRatesDataTable8[[#This Row],[SeriesNumValue]]</f>
        <v>3.6615874994095252</v>
      </c>
      <c r="F1250" s="2" t="s">
        <v>1277</v>
      </c>
      <c r="G1250" s="2" t="s">
        <v>1253</v>
      </c>
      <c r="H1250" s="2">
        <v>0.93208019459837399</v>
      </c>
      <c r="K1250" s="4">
        <v>41989</v>
      </c>
      <c r="L1250">
        <v>3.7</v>
      </c>
    </row>
    <row r="1251" spans="1:12" x14ac:dyDescent="0.25">
      <c r="A1251" s="2" t="s">
        <v>5</v>
      </c>
      <c r="B1251" s="2" t="s">
        <v>1253</v>
      </c>
      <c r="C1251" s="2">
        <v>2.70685241961761</v>
      </c>
      <c r="D1251" s="2">
        <f>VLOOKUP(OneWeekMtgRatesDataTable8[[#This Row],[AsOfDate]],G:H,2,0)+OneWeekMtgRatesDataTable8[[#This Row],[SeriesNumValue]]</f>
        <v>3.6389326142159839</v>
      </c>
      <c r="F1251" s="2" t="s">
        <v>1277</v>
      </c>
      <c r="G1251" s="2" t="s">
        <v>1254</v>
      </c>
      <c r="H1251" s="2">
        <v>0.93208019459837399</v>
      </c>
      <c r="K1251" s="4">
        <v>41990</v>
      </c>
      <c r="L1251">
        <v>3.7</v>
      </c>
    </row>
    <row r="1252" spans="1:12" x14ac:dyDescent="0.25">
      <c r="A1252" s="2" t="s">
        <v>5</v>
      </c>
      <c r="B1252" s="2" t="s">
        <v>1254</v>
      </c>
      <c r="C1252" s="2">
        <v>2.6475345232254401</v>
      </c>
      <c r="D1252" s="2">
        <f>VLOOKUP(OneWeekMtgRatesDataTable8[[#This Row],[AsOfDate]],G:H,2,0)+OneWeekMtgRatesDataTable8[[#This Row],[SeriesNumValue]]</f>
        <v>3.579614717823814</v>
      </c>
      <c r="F1252" s="2" t="s">
        <v>1277</v>
      </c>
      <c r="G1252" s="2" t="s">
        <v>1255</v>
      </c>
      <c r="H1252" s="2">
        <v>0.93208019459837399</v>
      </c>
      <c r="K1252" s="4">
        <v>41991</v>
      </c>
      <c r="L1252">
        <v>3.73</v>
      </c>
    </row>
    <row r="1253" spans="1:12" x14ac:dyDescent="0.25">
      <c r="A1253" s="2" t="s">
        <v>5</v>
      </c>
      <c r="B1253" s="2" t="s">
        <v>1255</v>
      </c>
      <c r="C1253" s="2">
        <v>2.7082747576934199</v>
      </c>
      <c r="D1253" s="2">
        <f>VLOOKUP(OneWeekMtgRatesDataTable8[[#This Row],[AsOfDate]],G:H,2,0)+OneWeekMtgRatesDataTable8[[#This Row],[SeriesNumValue]]</f>
        <v>3.6403549522917937</v>
      </c>
      <c r="F1253" s="2" t="s">
        <v>1277</v>
      </c>
      <c r="G1253" s="2" t="s">
        <v>1256</v>
      </c>
      <c r="H1253" s="2">
        <v>0.93208019459837399</v>
      </c>
      <c r="K1253" s="4">
        <v>41992</v>
      </c>
      <c r="L1253">
        <v>3.73</v>
      </c>
    </row>
    <row r="1254" spans="1:12" x14ac:dyDescent="0.25">
      <c r="A1254" s="2" t="s">
        <v>5</v>
      </c>
      <c r="B1254" s="2" t="s">
        <v>1256</v>
      </c>
      <c r="C1254" s="2">
        <v>2.6172888132357301</v>
      </c>
      <c r="D1254" s="2">
        <f>VLOOKUP(OneWeekMtgRatesDataTable8[[#This Row],[AsOfDate]],G:H,2,0)+OneWeekMtgRatesDataTable8[[#This Row],[SeriesNumValue]]</f>
        <v>3.549369007834104</v>
      </c>
      <c r="F1254" s="2" t="s">
        <v>1277</v>
      </c>
      <c r="G1254" s="2" t="s">
        <v>1257</v>
      </c>
      <c r="H1254" s="2">
        <v>0.93208019459837399</v>
      </c>
      <c r="K1254" s="4">
        <v>41995</v>
      </c>
      <c r="L1254">
        <v>3.73</v>
      </c>
    </row>
    <row r="1255" spans="1:12" x14ac:dyDescent="0.25">
      <c r="A1255" s="2" t="s">
        <v>5</v>
      </c>
      <c r="B1255" s="2" t="s">
        <v>1257</v>
      </c>
      <c r="C1255" s="2">
        <v>2.6150928157028002</v>
      </c>
      <c r="D1255" s="2">
        <f>VLOOKUP(OneWeekMtgRatesDataTable8[[#This Row],[AsOfDate]],G:H,2,0)+OneWeekMtgRatesDataTable8[[#This Row],[SeriesNumValue]]</f>
        <v>3.547173010301174</v>
      </c>
      <c r="F1255" s="2" t="s">
        <v>1277</v>
      </c>
      <c r="G1255" s="2" t="s">
        <v>1258</v>
      </c>
      <c r="H1255" s="2">
        <v>0.96099133410500004</v>
      </c>
      <c r="K1255" s="4">
        <v>41996</v>
      </c>
      <c r="L1255">
        <v>3.73</v>
      </c>
    </row>
    <row r="1256" spans="1:12" x14ac:dyDescent="0.25">
      <c r="A1256" s="2" t="s">
        <v>5</v>
      </c>
      <c r="B1256" s="2" t="s">
        <v>1258</v>
      </c>
      <c r="C1256" s="2">
        <v>2.6195226711190198</v>
      </c>
      <c r="D1256" s="2">
        <f>VLOOKUP(OneWeekMtgRatesDataTable8[[#This Row],[AsOfDate]],G:H,2,0)+OneWeekMtgRatesDataTable8[[#This Row],[SeriesNumValue]]</f>
        <v>3.5805140052240199</v>
      </c>
      <c r="F1256" s="2" t="s">
        <v>1277</v>
      </c>
      <c r="G1256" s="2" t="s">
        <v>1259</v>
      </c>
      <c r="H1256" s="2">
        <v>0.96099133410500004</v>
      </c>
      <c r="K1256" s="4">
        <v>41997</v>
      </c>
      <c r="L1256">
        <v>3.73</v>
      </c>
    </row>
    <row r="1257" spans="1:12" x14ac:dyDescent="0.25">
      <c r="A1257" s="2" t="s">
        <v>5</v>
      </c>
      <c r="B1257" s="2" t="s">
        <v>1259</v>
      </c>
      <c r="C1257" s="2">
        <v>2.6103236546711099</v>
      </c>
      <c r="D1257" s="2">
        <f>VLOOKUP(OneWeekMtgRatesDataTable8[[#This Row],[AsOfDate]],G:H,2,0)+OneWeekMtgRatesDataTable8[[#This Row],[SeriesNumValue]]</f>
        <v>3.57131498877611</v>
      </c>
      <c r="F1257" s="2" t="s">
        <v>1277</v>
      </c>
      <c r="G1257" s="2" t="s">
        <v>1260</v>
      </c>
      <c r="H1257" s="2">
        <v>0.96099133410500004</v>
      </c>
      <c r="K1257" s="4">
        <v>41999</v>
      </c>
      <c r="L1257">
        <v>3.77</v>
      </c>
    </row>
    <row r="1258" spans="1:12" x14ac:dyDescent="0.25">
      <c r="A1258" s="2" t="s">
        <v>5</v>
      </c>
      <c r="B1258" s="2" t="s">
        <v>1260</v>
      </c>
      <c r="C1258" s="2">
        <v>2.5303433230650998</v>
      </c>
      <c r="D1258" s="2">
        <f>VLOOKUP(OneWeekMtgRatesDataTable8[[#This Row],[AsOfDate]],G:H,2,0)+OneWeekMtgRatesDataTable8[[#This Row],[SeriesNumValue]]</f>
        <v>3.4913346571700998</v>
      </c>
      <c r="F1258" s="2" t="s">
        <v>1277</v>
      </c>
      <c r="G1258" s="2" t="s">
        <v>1261</v>
      </c>
      <c r="H1258" s="2">
        <v>0.96099133410500004</v>
      </c>
      <c r="K1258" s="4">
        <v>42002</v>
      </c>
      <c r="L1258">
        <v>3.77</v>
      </c>
    </row>
    <row r="1259" spans="1:12" x14ac:dyDescent="0.25">
      <c r="A1259" s="2" t="s">
        <v>5</v>
      </c>
      <c r="B1259" s="2" t="s">
        <v>1261</v>
      </c>
      <c r="C1259" s="2">
        <v>2.5047286028973201</v>
      </c>
      <c r="D1259" s="2">
        <f>VLOOKUP(OneWeekMtgRatesDataTable8[[#This Row],[AsOfDate]],G:H,2,0)+OneWeekMtgRatesDataTable8[[#This Row],[SeriesNumValue]]</f>
        <v>3.4657199370023202</v>
      </c>
      <c r="F1259" s="2" t="s">
        <v>1277</v>
      </c>
      <c r="G1259" s="2" t="s">
        <v>1262</v>
      </c>
      <c r="H1259" s="2">
        <v>0.96099133410500004</v>
      </c>
      <c r="K1259" s="4">
        <v>42003</v>
      </c>
      <c r="L1259">
        <v>3.77</v>
      </c>
    </row>
    <row r="1260" spans="1:12" x14ac:dyDescent="0.25">
      <c r="A1260" s="2" t="s">
        <v>5</v>
      </c>
      <c r="B1260" s="2" t="s">
        <v>1262</v>
      </c>
      <c r="C1260" s="2">
        <v>2.4821302759437298</v>
      </c>
      <c r="D1260" s="2">
        <f>VLOOKUP(OneWeekMtgRatesDataTable8[[#This Row],[AsOfDate]],G:H,2,0)+OneWeekMtgRatesDataTable8[[#This Row],[SeriesNumValue]]</f>
        <v>3.4431216100487299</v>
      </c>
      <c r="F1260" s="2" t="s">
        <v>1277</v>
      </c>
      <c r="G1260" s="2" t="s">
        <v>1263</v>
      </c>
      <c r="H1260" s="2">
        <v>0.97559029446074297</v>
      </c>
      <c r="K1260" s="4">
        <v>42004</v>
      </c>
      <c r="L1260">
        <v>3.77</v>
      </c>
    </row>
    <row r="1261" spans="1:12" x14ac:dyDescent="0.25">
      <c r="A1261" s="2" t="s">
        <v>5</v>
      </c>
      <c r="B1261" s="2" t="s">
        <v>1263</v>
      </c>
      <c r="C1261" s="2">
        <v>2.42881647726065</v>
      </c>
      <c r="D1261" s="2">
        <f>VLOOKUP(OneWeekMtgRatesDataTable8[[#This Row],[AsOfDate]],G:H,2,0)+OneWeekMtgRatesDataTable8[[#This Row],[SeriesNumValue]]</f>
        <v>3.4044067717213928</v>
      </c>
      <c r="F1261" s="2" t="s">
        <v>1277</v>
      </c>
      <c r="G1261" s="2" t="s">
        <v>1264</v>
      </c>
      <c r="H1261" s="2">
        <v>0.97559029446074297</v>
      </c>
      <c r="K1261" s="4">
        <v>42006</v>
      </c>
      <c r="L1261">
        <v>3.63</v>
      </c>
    </row>
    <row r="1262" spans="1:12" x14ac:dyDescent="0.25">
      <c r="A1262" s="2" t="s">
        <v>5</v>
      </c>
      <c r="B1262" s="2" t="s">
        <v>1264</v>
      </c>
      <c r="C1262" s="2">
        <v>2.5557387123841</v>
      </c>
      <c r="D1262" s="2">
        <f>VLOOKUP(OneWeekMtgRatesDataTable8[[#This Row],[AsOfDate]],G:H,2,0)+OneWeekMtgRatesDataTable8[[#This Row],[SeriesNumValue]]</f>
        <v>3.5313290068448429</v>
      </c>
      <c r="F1262" s="2" t="s">
        <v>1277</v>
      </c>
      <c r="G1262" s="2" t="s">
        <v>1265</v>
      </c>
      <c r="H1262" s="2">
        <v>0.97559029446074297</v>
      </c>
      <c r="K1262" s="4">
        <v>42009</v>
      </c>
      <c r="L1262">
        <v>3.63</v>
      </c>
    </row>
    <row r="1263" spans="1:12" x14ac:dyDescent="0.25">
      <c r="A1263" s="2" t="s">
        <v>5</v>
      </c>
      <c r="B1263" s="2" t="s">
        <v>1265</v>
      </c>
      <c r="C1263" s="2">
        <v>2.5621450125099101</v>
      </c>
      <c r="D1263" s="2">
        <f>VLOOKUP(OneWeekMtgRatesDataTable8[[#This Row],[AsOfDate]],G:H,2,0)+OneWeekMtgRatesDataTable8[[#This Row],[SeriesNumValue]]</f>
        <v>3.537735306970653</v>
      </c>
      <c r="F1263" s="2" t="s">
        <v>1277</v>
      </c>
      <c r="G1263" s="2" t="s">
        <v>1266</v>
      </c>
      <c r="H1263" s="2">
        <v>0.97559029446074297</v>
      </c>
      <c r="K1263" s="4">
        <v>42010</v>
      </c>
      <c r="L1263">
        <v>3.63</v>
      </c>
    </row>
    <row r="1264" spans="1:12" x14ac:dyDescent="0.25">
      <c r="A1264" s="2" t="s">
        <v>5</v>
      </c>
      <c r="B1264" s="2" t="s">
        <v>1266</v>
      </c>
      <c r="C1264" s="2">
        <v>2.60333938625172</v>
      </c>
      <c r="D1264" s="2">
        <f>VLOOKUP(OneWeekMtgRatesDataTable8[[#This Row],[AsOfDate]],G:H,2,0)+OneWeekMtgRatesDataTable8[[#This Row],[SeriesNumValue]]</f>
        <v>3.5789296807124629</v>
      </c>
      <c r="F1264" s="2" t="s">
        <v>1277</v>
      </c>
      <c r="G1264" s="2" t="s">
        <v>1267</v>
      </c>
      <c r="H1264" s="2">
        <v>0.987490102898405</v>
      </c>
      <c r="K1264" s="4">
        <v>42011</v>
      </c>
      <c r="L1264">
        <v>3.63</v>
      </c>
    </row>
    <row r="1265" spans="1:12" x14ac:dyDescent="0.25">
      <c r="A1265" s="2" t="s">
        <v>5</v>
      </c>
      <c r="B1265" s="2" t="s">
        <v>1267</v>
      </c>
      <c r="C1265" s="2">
        <v>2.5443053522825401</v>
      </c>
      <c r="D1265" s="2">
        <f>VLOOKUP(OneWeekMtgRatesDataTable8[[#This Row],[AsOfDate]],G:H,2,0)+OneWeekMtgRatesDataTable8[[#This Row],[SeriesNumValue]]</f>
        <v>3.5317954551809452</v>
      </c>
      <c r="F1265" s="2" t="s">
        <v>1277</v>
      </c>
      <c r="G1265" s="2" t="s">
        <v>1268</v>
      </c>
      <c r="H1265" s="2">
        <v>0.987490102898405</v>
      </c>
      <c r="K1265" s="4">
        <v>42012</v>
      </c>
      <c r="L1265">
        <v>3.56</v>
      </c>
    </row>
    <row r="1266" spans="1:12" x14ac:dyDescent="0.25">
      <c r="A1266" s="2" t="s">
        <v>5</v>
      </c>
      <c r="B1266" s="2" t="s">
        <v>1268</v>
      </c>
      <c r="C1266" s="2">
        <v>2.5449659922268899</v>
      </c>
      <c r="D1266" s="2">
        <f>VLOOKUP(OneWeekMtgRatesDataTable8[[#This Row],[AsOfDate]],G:H,2,0)+OneWeekMtgRatesDataTable8[[#This Row],[SeriesNumValue]]</f>
        <v>3.532456095125295</v>
      </c>
      <c r="F1266" s="2" t="s">
        <v>1277</v>
      </c>
      <c r="G1266" s="2" t="s">
        <v>1269</v>
      </c>
      <c r="H1266" s="2">
        <v>0.987490102898405</v>
      </c>
      <c r="K1266" s="4">
        <v>42013</v>
      </c>
      <c r="L1266">
        <v>3.56</v>
      </c>
    </row>
    <row r="1267" spans="1:12" x14ac:dyDescent="0.25">
      <c r="A1267" s="2" t="s">
        <v>5</v>
      </c>
      <c r="B1267" s="2" t="s">
        <v>1269</v>
      </c>
      <c r="C1267" s="2">
        <v>2.5540295471269099</v>
      </c>
      <c r="D1267" s="2">
        <f>VLOOKUP(OneWeekMtgRatesDataTable8[[#This Row],[AsOfDate]],G:H,2,0)+OneWeekMtgRatesDataTable8[[#This Row],[SeriesNumValue]]</f>
        <v>3.541519650025315</v>
      </c>
      <c r="F1267" s="2" t="s">
        <v>1277</v>
      </c>
      <c r="G1267" s="2" t="s">
        <v>1270</v>
      </c>
      <c r="H1267" s="2">
        <v>0.987490102898405</v>
      </c>
      <c r="K1267" s="4">
        <v>42016</v>
      </c>
      <c r="L1267">
        <v>3.56</v>
      </c>
    </row>
    <row r="1268" spans="1:12" x14ac:dyDescent="0.25">
      <c r="A1268" s="2" t="s">
        <v>5</v>
      </c>
      <c r="B1268" s="2" t="s">
        <v>1270</v>
      </c>
      <c r="C1268" s="2">
        <v>2.5356667445590699</v>
      </c>
      <c r="D1268" s="2">
        <f>VLOOKUP(OneWeekMtgRatesDataTable8[[#This Row],[AsOfDate]],G:H,2,0)+OneWeekMtgRatesDataTable8[[#This Row],[SeriesNumValue]]</f>
        <v>3.523156847457475</v>
      </c>
      <c r="F1268" s="2" t="s">
        <v>1277</v>
      </c>
      <c r="G1268" s="2" t="s">
        <v>1271</v>
      </c>
      <c r="H1268" s="2">
        <v>0.987490102898405</v>
      </c>
      <c r="K1268" s="4">
        <v>42017</v>
      </c>
      <c r="L1268">
        <v>3.56</v>
      </c>
    </row>
    <row r="1269" spans="1:12" x14ac:dyDescent="0.25">
      <c r="A1269" s="2" t="s">
        <v>5</v>
      </c>
      <c r="B1269" s="2" t="s">
        <v>1271</v>
      </c>
      <c r="C1269" s="2">
        <v>2.5165312715175401</v>
      </c>
      <c r="D1269" s="2">
        <f>VLOOKUP(OneWeekMtgRatesDataTable8[[#This Row],[AsOfDate]],G:H,2,0)+OneWeekMtgRatesDataTable8[[#This Row],[SeriesNumValue]]</f>
        <v>3.5040213744159452</v>
      </c>
      <c r="F1269" s="2" t="s">
        <v>1277</v>
      </c>
      <c r="G1269" s="2" t="s">
        <v>1272</v>
      </c>
      <c r="H1269" s="2">
        <v>0.98090021845741004</v>
      </c>
      <c r="K1269" s="4">
        <v>42018</v>
      </c>
      <c r="L1269">
        <v>3.56</v>
      </c>
    </row>
    <row r="1270" spans="1:12" x14ac:dyDescent="0.25">
      <c r="A1270" s="2" t="s">
        <v>5</v>
      </c>
      <c r="B1270" s="2" t="s">
        <v>1272</v>
      </c>
      <c r="C1270" s="2">
        <v>2.4936082120119001</v>
      </c>
      <c r="D1270" s="2">
        <f>VLOOKUP(OneWeekMtgRatesDataTable8[[#This Row],[AsOfDate]],G:H,2,0)+OneWeekMtgRatesDataTable8[[#This Row],[SeriesNumValue]]</f>
        <v>3.4745084304693101</v>
      </c>
      <c r="F1270" s="2" t="s">
        <v>1277</v>
      </c>
      <c r="G1270" s="2" t="s">
        <v>1273</v>
      </c>
      <c r="H1270" s="2">
        <v>0.98090021845741004</v>
      </c>
      <c r="K1270" s="4">
        <v>42019</v>
      </c>
      <c r="L1270">
        <v>3.5550000000000002</v>
      </c>
    </row>
    <row r="1271" spans="1:12" x14ac:dyDescent="0.25">
      <c r="A1271" s="2" t="s">
        <v>5</v>
      </c>
      <c r="B1271" s="2" t="s">
        <v>1273</v>
      </c>
      <c r="C1271" s="2">
        <v>2.5559111404476602</v>
      </c>
      <c r="D1271" s="2">
        <f>VLOOKUP(OneWeekMtgRatesDataTable8[[#This Row],[AsOfDate]],G:H,2,0)+OneWeekMtgRatesDataTable8[[#This Row],[SeriesNumValue]]</f>
        <v>3.5368113589050703</v>
      </c>
      <c r="F1271" s="2" t="s">
        <v>1277</v>
      </c>
      <c r="G1271" s="2" t="s">
        <v>1274</v>
      </c>
      <c r="H1271" s="2">
        <v>0.98090021845741004</v>
      </c>
      <c r="K1271" s="4">
        <v>42020</v>
      </c>
      <c r="L1271">
        <v>3.5550000000000002</v>
      </c>
    </row>
    <row r="1272" spans="1:12" x14ac:dyDescent="0.25">
      <c r="A1272" s="2" t="s">
        <v>5</v>
      </c>
      <c r="B1272" s="2" t="s">
        <v>1274</v>
      </c>
      <c r="C1272" s="2">
        <v>2.52735457322752</v>
      </c>
      <c r="D1272" s="2">
        <f>VLOOKUP(OneWeekMtgRatesDataTable8[[#This Row],[AsOfDate]],G:H,2,0)+OneWeekMtgRatesDataTable8[[#This Row],[SeriesNumValue]]</f>
        <v>3.50825479168493</v>
      </c>
      <c r="F1272" s="2" t="s">
        <v>1277</v>
      </c>
      <c r="G1272" s="2" t="s">
        <v>1275</v>
      </c>
      <c r="H1272" s="2">
        <v>0.98090021845741004</v>
      </c>
      <c r="K1272" s="4">
        <v>42024</v>
      </c>
      <c r="L1272">
        <v>3.5550000000000002</v>
      </c>
    </row>
    <row r="1273" spans="1:12" x14ac:dyDescent="0.25">
      <c r="A1273" s="2" t="s">
        <v>5</v>
      </c>
      <c r="B1273" s="2" t="s">
        <v>1275</v>
      </c>
      <c r="C1273" s="2">
        <v>2.6160113869012802</v>
      </c>
      <c r="D1273" s="2">
        <f>VLOOKUP(OneWeekMtgRatesDataTable8[[#This Row],[AsOfDate]],G:H,2,0)+OneWeekMtgRatesDataTable8[[#This Row],[SeriesNumValue]]</f>
        <v>3.5969116053586903</v>
      </c>
      <c r="K1273" s="4">
        <v>42025</v>
      </c>
      <c r="L1273">
        <v>3.5550000000000002</v>
      </c>
    </row>
    <row r="1274" spans="1:12" x14ac:dyDescent="0.25">
      <c r="K1274" s="4">
        <v>42026</v>
      </c>
      <c r="L1274">
        <v>3.56</v>
      </c>
    </row>
    <row r="1275" spans="1:12" x14ac:dyDescent="0.25">
      <c r="K1275" s="4">
        <v>42027</v>
      </c>
      <c r="L1275">
        <v>3.56</v>
      </c>
    </row>
    <row r="1276" spans="1:12" x14ac:dyDescent="0.25">
      <c r="K1276" s="4">
        <v>42030</v>
      </c>
      <c r="L1276">
        <v>3.56</v>
      </c>
    </row>
    <row r="1277" spans="1:12" x14ac:dyDescent="0.25">
      <c r="K1277" s="4">
        <v>42031</v>
      </c>
      <c r="L1277">
        <v>3.56</v>
      </c>
    </row>
    <row r="1278" spans="1:12" x14ac:dyDescent="0.25">
      <c r="K1278" s="4">
        <v>42032</v>
      </c>
      <c r="L1278">
        <v>3.56</v>
      </c>
    </row>
    <row r="1279" spans="1:12" x14ac:dyDescent="0.25">
      <c r="K1279" s="4">
        <v>42033</v>
      </c>
      <c r="L1279">
        <v>3.5150000000000001</v>
      </c>
    </row>
    <row r="1280" spans="1:12" x14ac:dyDescent="0.25">
      <c r="K1280" s="4">
        <v>42034</v>
      </c>
      <c r="L1280">
        <v>3.5150000000000001</v>
      </c>
    </row>
    <row r="1281" spans="11:12" x14ac:dyDescent="0.25">
      <c r="K1281" s="4">
        <v>42037</v>
      </c>
      <c r="L1281">
        <v>3.5150000000000001</v>
      </c>
    </row>
    <row r="1282" spans="11:12" x14ac:dyDescent="0.25">
      <c r="K1282" s="4">
        <v>42038</v>
      </c>
      <c r="L1282">
        <v>3.5150000000000001</v>
      </c>
    </row>
    <row r="1283" spans="11:12" x14ac:dyDescent="0.25">
      <c r="K1283" s="4">
        <v>42039</v>
      </c>
      <c r="L1283">
        <v>3.5150000000000001</v>
      </c>
    </row>
    <row r="1284" spans="11:12" x14ac:dyDescent="0.25">
      <c r="K1284" s="4">
        <v>42040</v>
      </c>
      <c r="L1284">
        <v>3.59</v>
      </c>
    </row>
    <row r="1285" spans="11:12" x14ac:dyDescent="0.25">
      <c r="K1285" s="4">
        <v>42041</v>
      </c>
      <c r="L1285">
        <v>3.59</v>
      </c>
    </row>
    <row r="1286" spans="11:12" x14ac:dyDescent="0.25">
      <c r="K1286" s="4">
        <v>42044</v>
      </c>
      <c r="L1286">
        <v>3.59</v>
      </c>
    </row>
    <row r="1287" spans="11:12" x14ac:dyDescent="0.25">
      <c r="K1287" s="4">
        <v>42045</v>
      </c>
      <c r="L1287">
        <v>3.59</v>
      </c>
    </row>
    <row r="1288" spans="11:12" x14ac:dyDescent="0.25">
      <c r="K1288" s="4">
        <v>42046</v>
      </c>
      <c r="L1288">
        <v>3.59</v>
      </c>
    </row>
    <row r="1289" spans="11:12" x14ac:dyDescent="0.25">
      <c r="K1289" s="4">
        <v>42047</v>
      </c>
      <c r="L1289">
        <v>3.66</v>
      </c>
    </row>
    <row r="1290" spans="11:12" x14ac:dyDescent="0.25">
      <c r="K1290" s="4">
        <v>42048</v>
      </c>
      <c r="L1290">
        <v>3.66</v>
      </c>
    </row>
    <row r="1291" spans="11:12" x14ac:dyDescent="0.25">
      <c r="K1291" s="4">
        <v>42052</v>
      </c>
      <c r="L1291">
        <v>3.66</v>
      </c>
    </row>
    <row r="1292" spans="11:12" x14ac:dyDescent="0.25">
      <c r="K1292" s="4">
        <v>42053</v>
      </c>
      <c r="L1292">
        <v>3.66</v>
      </c>
    </row>
    <row r="1293" spans="11:12" x14ac:dyDescent="0.25">
      <c r="K1293" s="4">
        <v>42054</v>
      </c>
      <c r="L1293">
        <v>3.7</v>
      </c>
    </row>
    <row r="1294" spans="11:12" x14ac:dyDescent="0.25">
      <c r="K1294" s="4">
        <v>42055</v>
      </c>
      <c r="L1294">
        <v>3.7</v>
      </c>
    </row>
    <row r="1295" spans="11:12" x14ac:dyDescent="0.25">
      <c r="K1295" s="4">
        <v>42058</v>
      </c>
      <c r="L1295">
        <v>3.7</v>
      </c>
    </row>
    <row r="1296" spans="11:12" x14ac:dyDescent="0.25">
      <c r="K1296" s="4">
        <v>42059</v>
      </c>
      <c r="L1296">
        <v>3.7</v>
      </c>
    </row>
    <row r="1297" spans="11:12" x14ac:dyDescent="0.25">
      <c r="K1297" s="4">
        <v>42060</v>
      </c>
      <c r="L1297">
        <v>3.7</v>
      </c>
    </row>
    <row r="1298" spans="11:12" x14ac:dyDescent="0.25">
      <c r="K1298" s="4">
        <v>42061</v>
      </c>
      <c r="L1298">
        <v>3.65</v>
      </c>
    </row>
    <row r="1299" spans="11:12" x14ac:dyDescent="0.25">
      <c r="K1299" s="4">
        <v>42062</v>
      </c>
      <c r="L1299">
        <v>3.65</v>
      </c>
    </row>
    <row r="1300" spans="11:12" x14ac:dyDescent="0.25">
      <c r="K1300" s="4">
        <v>42065</v>
      </c>
      <c r="L1300">
        <v>3.65</v>
      </c>
    </row>
    <row r="1301" spans="11:12" x14ac:dyDescent="0.25">
      <c r="K1301" s="4">
        <v>42066</v>
      </c>
      <c r="L1301">
        <v>3.65</v>
      </c>
    </row>
    <row r="1302" spans="11:12" x14ac:dyDescent="0.25">
      <c r="K1302" s="4">
        <v>42067</v>
      </c>
      <c r="L1302">
        <v>3.65</v>
      </c>
    </row>
    <row r="1303" spans="11:12" x14ac:dyDescent="0.25">
      <c r="K1303" s="4">
        <v>42068</v>
      </c>
      <c r="L1303">
        <v>3.76</v>
      </c>
    </row>
    <row r="1304" spans="11:12" x14ac:dyDescent="0.25">
      <c r="K1304" s="4">
        <v>42069</v>
      </c>
      <c r="L1304">
        <v>3.76</v>
      </c>
    </row>
    <row r="1305" spans="11:12" x14ac:dyDescent="0.25">
      <c r="K1305" s="4">
        <v>42072</v>
      </c>
      <c r="L1305">
        <v>3.76</v>
      </c>
    </row>
    <row r="1306" spans="11:12" x14ac:dyDescent="0.25">
      <c r="K1306" s="4">
        <v>42073</v>
      </c>
      <c r="L1306">
        <v>3.76</v>
      </c>
    </row>
    <row r="1307" spans="11:12" x14ac:dyDescent="0.25">
      <c r="K1307" s="4">
        <v>42074</v>
      </c>
      <c r="L1307">
        <v>3.76</v>
      </c>
    </row>
    <row r="1308" spans="11:12" x14ac:dyDescent="0.25">
      <c r="K1308" s="4">
        <v>42075</v>
      </c>
      <c r="L1308">
        <v>3.68</v>
      </c>
    </row>
    <row r="1309" spans="11:12" x14ac:dyDescent="0.25">
      <c r="K1309" s="4">
        <v>42076</v>
      </c>
      <c r="L1309">
        <v>3.68</v>
      </c>
    </row>
    <row r="1310" spans="11:12" x14ac:dyDescent="0.25">
      <c r="K1310" s="4">
        <v>42079</v>
      </c>
      <c r="L1310">
        <v>3.68</v>
      </c>
    </row>
    <row r="1311" spans="11:12" x14ac:dyDescent="0.25">
      <c r="K1311" s="4">
        <v>42080</v>
      </c>
      <c r="L1311">
        <v>3.68</v>
      </c>
    </row>
    <row r="1312" spans="11:12" x14ac:dyDescent="0.25">
      <c r="K1312" s="4">
        <v>42081</v>
      </c>
      <c r="L1312">
        <v>3.68</v>
      </c>
    </row>
    <row r="1313" spans="11:12" x14ac:dyDescent="0.25">
      <c r="K1313" s="4">
        <v>42082</v>
      </c>
      <c r="L1313">
        <v>3.59</v>
      </c>
    </row>
    <row r="1314" spans="11:12" x14ac:dyDescent="0.25">
      <c r="K1314" s="4">
        <v>42083</v>
      </c>
      <c r="L1314">
        <v>3.59</v>
      </c>
    </row>
    <row r="1315" spans="11:12" x14ac:dyDescent="0.25">
      <c r="K1315" s="4">
        <v>42086</v>
      </c>
      <c r="L1315">
        <v>3.59</v>
      </c>
    </row>
    <row r="1316" spans="11:12" x14ac:dyDescent="0.25">
      <c r="K1316" s="4">
        <v>42087</v>
      </c>
      <c r="L1316">
        <v>3.59</v>
      </c>
    </row>
    <row r="1317" spans="11:12" x14ac:dyDescent="0.25">
      <c r="K1317" s="4">
        <v>42088</v>
      </c>
      <c r="L1317">
        <v>3.59</v>
      </c>
    </row>
    <row r="1318" spans="11:12" x14ac:dyDescent="0.25">
      <c r="K1318" s="4">
        <v>42089</v>
      </c>
      <c r="L1318">
        <v>3.6</v>
      </c>
    </row>
    <row r="1319" spans="11:12" x14ac:dyDescent="0.25">
      <c r="K1319" s="4">
        <v>42090</v>
      </c>
      <c r="L1319">
        <v>3.6</v>
      </c>
    </row>
    <row r="1320" spans="11:12" x14ac:dyDescent="0.25">
      <c r="K1320" s="4">
        <v>42093</v>
      </c>
      <c r="L1320">
        <v>3.6</v>
      </c>
    </row>
    <row r="1321" spans="11:12" x14ac:dyDescent="0.25">
      <c r="K1321" s="4">
        <v>42094</v>
      </c>
      <c r="L1321">
        <v>3.6</v>
      </c>
    </row>
    <row r="1322" spans="11:12" x14ac:dyDescent="0.25">
      <c r="K1322" s="4">
        <v>42095</v>
      </c>
      <c r="L1322">
        <v>3.6</v>
      </c>
    </row>
    <row r="1323" spans="11:12" x14ac:dyDescent="0.25">
      <c r="K1323" s="4">
        <v>42096</v>
      </c>
      <c r="L1323">
        <v>3.56</v>
      </c>
    </row>
    <row r="1324" spans="11:12" x14ac:dyDescent="0.25">
      <c r="K1324" s="4">
        <v>42097</v>
      </c>
      <c r="L1324">
        <v>3.56</v>
      </c>
    </row>
    <row r="1325" spans="11:12" x14ac:dyDescent="0.25">
      <c r="K1325" s="4">
        <v>42100</v>
      </c>
      <c r="L1325">
        <v>3.56</v>
      </c>
    </row>
    <row r="1326" spans="11:12" x14ac:dyDescent="0.25">
      <c r="K1326" s="4">
        <v>42101</v>
      </c>
      <c r="L1326">
        <v>3.56</v>
      </c>
    </row>
    <row r="1327" spans="11:12" x14ac:dyDescent="0.25">
      <c r="K1327" s="4">
        <v>42102</v>
      </c>
      <c r="L1327">
        <v>3.56</v>
      </c>
    </row>
    <row r="1328" spans="11:12" x14ac:dyDescent="0.25">
      <c r="K1328" s="4">
        <v>42103</v>
      </c>
      <c r="L1328">
        <v>3.5950000000000002</v>
      </c>
    </row>
    <row r="1329" spans="11:12" x14ac:dyDescent="0.25">
      <c r="K1329" s="4">
        <v>42104</v>
      </c>
      <c r="L1329">
        <v>3.5950000000000002</v>
      </c>
    </row>
    <row r="1330" spans="11:12" x14ac:dyDescent="0.25">
      <c r="K1330" s="4">
        <v>42107</v>
      </c>
      <c r="L1330">
        <v>3.5950000000000002</v>
      </c>
    </row>
    <row r="1331" spans="11:12" x14ac:dyDescent="0.25">
      <c r="K1331" s="4">
        <v>42108</v>
      </c>
      <c r="L1331">
        <v>3.5950000000000002</v>
      </c>
    </row>
    <row r="1332" spans="11:12" x14ac:dyDescent="0.25">
      <c r="K1332" s="4">
        <v>42109</v>
      </c>
      <c r="L1332">
        <v>3.5950000000000002</v>
      </c>
    </row>
    <row r="1333" spans="11:12" x14ac:dyDescent="0.25">
      <c r="K1333" s="4">
        <v>42110</v>
      </c>
      <c r="L1333">
        <v>3.55</v>
      </c>
    </row>
    <row r="1334" spans="11:12" x14ac:dyDescent="0.25">
      <c r="K1334" s="4">
        <v>42111</v>
      </c>
      <c r="L1334">
        <v>3.55</v>
      </c>
    </row>
    <row r="1335" spans="11:12" x14ac:dyDescent="0.25">
      <c r="K1335" s="4">
        <v>42114</v>
      </c>
      <c r="L1335">
        <v>3.55</v>
      </c>
    </row>
    <row r="1336" spans="11:12" x14ac:dyDescent="0.25">
      <c r="K1336" s="4">
        <v>42115</v>
      </c>
      <c r="L1336">
        <v>3.55</v>
      </c>
    </row>
    <row r="1337" spans="11:12" x14ac:dyDescent="0.25">
      <c r="K1337" s="4">
        <v>42116</v>
      </c>
      <c r="L1337">
        <v>3.55</v>
      </c>
    </row>
    <row r="1338" spans="11:12" x14ac:dyDescent="0.25">
      <c r="K1338" s="4">
        <v>42117</v>
      </c>
      <c r="L1338">
        <v>3.58</v>
      </c>
    </row>
    <row r="1339" spans="11:12" x14ac:dyDescent="0.25">
      <c r="K1339" s="4">
        <v>42118</v>
      </c>
      <c r="L1339">
        <v>3.58</v>
      </c>
    </row>
    <row r="1340" spans="11:12" x14ac:dyDescent="0.25">
      <c r="K1340" s="4">
        <v>42121</v>
      </c>
      <c r="L1340">
        <v>3.58</v>
      </c>
    </row>
    <row r="1341" spans="11:12" x14ac:dyDescent="0.25">
      <c r="K1341" s="4">
        <v>42122</v>
      </c>
      <c r="L1341">
        <v>3.58</v>
      </c>
    </row>
    <row r="1342" spans="11:12" x14ac:dyDescent="0.25">
      <c r="K1342" s="4">
        <v>42123</v>
      </c>
      <c r="L1342">
        <v>3.58</v>
      </c>
    </row>
    <row r="1343" spans="11:12" x14ac:dyDescent="0.25">
      <c r="K1343" s="4">
        <v>42124</v>
      </c>
      <c r="L1343">
        <v>3.7</v>
      </c>
    </row>
    <row r="1344" spans="11:12" x14ac:dyDescent="0.25">
      <c r="K1344" s="4">
        <v>42125</v>
      </c>
      <c r="L1344">
        <v>3.7</v>
      </c>
    </row>
    <row r="1345" spans="11:12" x14ac:dyDescent="0.25">
      <c r="K1345" s="4">
        <v>42128</v>
      </c>
      <c r="L1345">
        <v>3.7</v>
      </c>
    </row>
    <row r="1346" spans="11:12" x14ac:dyDescent="0.25">
      <c r="K1346" s="4">
        <v>42129</v>
      </c>
      <c r="L1346">
        <v>3.7</v>
      </c>
    </row>
    <row r="1347" spans="11:12" x14ac:dyDescent="0.25">
      <c r="K1347" s="4">
        <v>42130</v>
      </c>
      <c r="L1347">
        <v>3.7</v>
      </c>
    </row>
    <row r="1348" spans="11:12" x14ac:dyDescent="0.25">
      <c r="K1348" s="4">
        <v>42131</v>
      </c>
      <c r="L1348">
        <v>3.75</v>
      </c>
    </row>
    <row r="1349" spans="11:12" x14ac:dyDescent="0.25">
      <c r="K1349" s="4">
        <v>42132</v>
      </c>
      <c r="L1349">
        <v>3.75</v>
      </c>
    </row>
    <row r="1350" spans="11:12" x14ac:dyDescent="0.25">
      <c r="K1350" s="4">
        <v>42135</v>
      </c>
      <c r="L1350">
        <v>3.75</v>
      </c>
    </row>
    <row r="1351" spans="11:12" x14ac:dyDescent="0.25">
      <c r="K1351" s="4">
        <v>42136</v>
      </c>
      <c r="L1351">
        <v>3.75</v>
      </c>
    </row>
    <row r="1352" spans="11:12" x14ac:dyDescent="0.25">
      <c r="K1352" s="4">
        <v>42137</v>
      </c>
      <c r="L1352">
        <v>3.75</v>
      </c>
    </row>
    <row r="1353" spans="11:12" x14ac:dyDescent="0.25">
      <c r="K1353" s="4">
        <v>42138</v>
      </c>
      <c r="L1353">
        <v>3.7650000000000001</v>
      </c>
    </row>
    <row r="1354" spans="11:12" x14ac:dyDescent="0.25">
      <c r="K1354" s="4">
        <v>42139</v>
      </c>
      <c r="L1354">
        <v>3.7650000000000001</v>
      </c>
    </row>
    <row r="1355" spans="11:12" x14ac:dyDescent="0.25">
      <c r="K1355" s="4">
        <v>42142</v>
      </c>
      <c r="L1355">
        <v>3.7650000000000001</v>
      </c>
    </row>
    <row r="1356" spans="11:12" x14ac:dyDescent="0.25">
      <c r="K1356" s="4">
        <v>42143</v>
      </c>
      <c r="L1356">
        <v>3.7650000000000001</v>
      </c>
    </row>
    <row r="1357" spans="11:12" x14ac:dyDescent="0.25">
      <c r="K1357" s="4">
        <v>42144</v>
      </c>
      <c r="L1357">
        <v>3.7650000000000001</v>
      </c>
    </row>
    <row r="1358" spans="11:12" x14ac:dyDescent="0.25">
      <c r="K1358" s="4">
        <v>42145</v>
      </c>
      <c r="L1358">
        <v>3.77</v>
      </c>
    </row>
    <row r="1359" spans="11:12" x14ac:dyDescent="0.25">
      <c r="K1359" s="4">
        <v>42146</v>
      </c>
      <c r="L1359">
        <v>3.77</v>
      </c>
    </row>
    <row r="1360" spans="11:12" x14ac:dyDescent="0.25">
      <c r="K1360" s="4">
        <v>42150</v>
      </c>
      <c r="L1360">
        <v>3.77</v>
      </c>
    </row>
    <row r="1361" spans="11:12" x14ac:dyDescent="0.25">
      <c r="K1361" s="4">
        <v>42151</v>
      </c>
      <c r="L1361">
        <v>3.77</v>
      </c>
    </row>
    <row r="1362" spans="11:12" x14ac:dyDescent="0.25">
      <c r="K1362" s="4">
        <v>42152</v>
      </c>
      <c r="L1362">
        <v>3.77</v>
      </c>
    </row>
    <row r="1363" spans="11:12" x14ac:dyDescent="0.25">
      <c r="K1363" s="4">
        <v>42153</v>
      </c>
      <c r="L1363">
        <v>3.77</v>
      </c>
    </row>
    <row r="1364" spans="11:12" x14ac:dyDescent="0.25">
      <c r="K1364" s="4">
        <v>42156</v>
      </c>
      <c r="L1364">
        <v>3.77</v>
      </c>
    </row>
    <row r="1365" spans="11:12" x14ac:dyDescent="0.25">
      <c r="K1365" s="4">
        <v>42157</v>
      </c>
      <c r="L1365">
        <v>3.77</v>
      </c>
    </row>
    <row r="1366" spans="11:12" x14ac:dyDescent="0.25">
      <c r="K1366" s="4">
        <v>42158</v>
      </c>
      <c r="L1366">
        <v>3.77</v>
      </c>
    </row>
    <row r="1367" spans="11:12" x14ac:dyDescent="0.25">
      <c r="K1367" s="4">
        <v>42159</v>
      </c>
      <c r="L1367">
        <v>3.94</v>
      </c>
    </row>
    <row r="1368" spans="11:12" x14ac:dyDescent="0.25">
      <c r="K1368" s="4">
        <v>42160</v>
      </c>
      <c r="L1368">
        <v>3.94</v>
      </c>
    </row>
    <row r="1369" spans="11:12" x14ac:dyDescent="0.25">
      <c r="K1369" s="4">
        <v>42163</v>
      </c>
      <c r="L1369">
        <v>3.94</v>
      </c>
    </row>
    <row r="1370" spans="11:12" x14ac:dyDescent="0.25">
      <c r="K1370" s="4">
        <v>42164</v>
      </c>
      <c r="L1370">
        <v>3.94</v>
      </c>
    </row>
    <row r="1371" spans="11:12" x14ac:dyDescent="0.25">
      <c r="K1371" s="4">
        <v>42165</v>
      </c>
      <c r="L1371">
        <v>3.94</v>
      </c>
    </row>
    <row r="1372" spans="11:12" x14ac:dyDescent="0.25">
      <c r="K1372" s="4">
        <v>42166</v>
      </c>
      <c r="L1372">
        <v>3.9249999999999998</v>
      </c>
    </row>
    <row r="1373" spans="11:12" x14ac:dyDescent="0.25">
      <c r="K1373" s="4">
        <v>42167</v>
      </c>
      <c r="L1373">
        <v>3.9249999999999998</v>
      </c>
    </row>
    <row r="1374" spans="11:12" x14ac:dyDescent="0.25">
      <c r="K1374" s="4">
        <v>42170</v>
      </c>
      <c r="L1374">
        <v>3.9249999999999998</v>
      </c>
    </row>
    <row r="1375" spans="11:12" x14ac:dyDescent="0.25">
      <c r="K1375" s="4">
        <v>42171</v>
      </c>
      <c r="L1375">
        <v>3.9249999999999998</v>
      </c>
    </row>
    <row r="1376" spans="11:12" x14ac:dyDescent="0.25">
      <c r="K1376" s="4">
        <v>42172</v>
      </c>
      <c r="L1376">
        <v>3.9249999999999998</v>
      </c>
    </row>
    <row r="1377" spans="11:12" x14ac:dyDescent="0.25">
      <c r="K1377" s="4">
        <v>42173</v>
      </c>
      <c r="L1377">
        <v>3.9449999999999998</v>
      </c>
    </row>
    <row r="1378" spans="11:12" x14ac:dyDescent="0.25">
      <c r="K1378" s="4">
        <v>42174</v>
      </c>
      <c r="L1378">
        <v>3.9449999999999998</v>
      </c>
    </row>
    <row r="1379" spans="11:12" x14ac:dyDescent="0.25">
      <c r="K1379" s="4">
        <v>42177</v>
      </c>
      <c r="L1379">
        <v>3.9449999999999998</v>
      </c>
    </row>
    <row r="1380" spans="11:12" x14ac:dyDescent="0.25">
      <c r="K1380" s="4">
        <v>42178</v>
      </c>
      <c r="L1380">
        <v>3.9449999999999998</v>
      </c>
    </row>
    <row r="1381" spans="11:12" x14ac:dyDescent="0.25">
      <c r="K1381" s="4">
        <v>42179</v>
      </c>
      <c r="L1381">
        <v>3.9449999999999998</v>
      </c>
    </row>
    <row r="1382" spans="11:12" x14ac:dyDescent="0.25">
      <c r="K1382" s="4">
        <v>42180</v>
      </c>
      <c r="L1382">
        <v>3.98</v>
      </c>
    </row>
    <row r="1383" spans="11:12" x14ac:dyDescent="0.25">
      <c r="K1383" s="4">
        <v>42181</v>
      </c>
      <c r="L1383">
        <v>3.98</v>
      </c>
    </row>
    <row r="1384" spans="11:12" x14ac:dyDescent="0.25">
      <c r="K1384" s="4">
        <v>42184</v>
      </c>
      <c r="L1384">
        <v>3.98</v>
      </c>
    </row>
    <row r="1385" spans="11:12" x14ac:dyDescent="0.25">
      <c r="K1385" s="4">
        <v>42185</v>
      </c>
      <c r="L1385">
        <v>3.98</v>
      </c>
    </row>
    <row r="1386" spans="11:12" x14ac:dyDescent="0.25">
      <c r="K1386" s="4">
        <v>42186</v>
      </c>
      <c r="L1386">
        <v>3.98</v>
      </c>
    </row>
    <row r="1387" spans="11:12" x14ac:dyDescent="0.25">
      <c r="K1387" s="4">
        <v>42187</v>
      </c>
      <c r="L1387">
        <v>3.94</v>
      </c>
    </row>
    <row r="1388" spans="11:12" x14ac:dyDescent="0.25">
      <c r="K1388" s="4">
        <v>42191</v>
      </c>
      <c r="L1388">
        <v>3.94</v>
      </c>
    </row>
    <row r="1389" spans="11:12" x14ac:dyDescent="0.25">
      <c r="K1389" s="4">
        <v>42192</v>
      </c>
      <c r="L1389">
        <v>3.94</v>
      </c>
    </row>
    <row r="1390" spans="11:12" x14ac:dyDescent="0.25">
      <c r="K1390" s="4">
        <v>42193</v>
      </c>
      <c r="L1390">
        <v>3.94</v>
      </c>
    </row>
    <row r="1391" spans="11:12" x14ac:dyDescent="0.25">
      <c r="K1391" s="4">
        <v>42194</v>
      </c>
      <c r="L1391">
        <v>3.99</v>
      </c>
    </row>
    <row r="1392" spans="11:12" x14ac:dyDescent="0.25">
      <c r="K1392" s="4">
        <v>42195</v>
      </c>
      <c r="L1392">
        <v>3.99</v>
      </c>
    </row>
    <row r="1393" spans="11:12" x14ac:dyDescent="0.25">
      <c r="K1393" s="4">
        <v>42198</v>
      </c>
      <c r="L1393">
        <v>3.99</v>
      </c>
    </row>
    <row r="1394" spans="11:12" x14ac:dyDescent="0.25">
      <c r="K1394" s="4">
        <v>42199</v>
      </c>
      <c r="L1394">
        <v>3.99</v>
      </c>
    </row>
    <row r="1395" spans="11:12" x14ac:dyDescent="0.25">
      <c r="K1395" s="4">
        <v>42200</v>
      </c>
      <c r="L1395">
        <v>3.99</v>
      </c>
    </row>
    <row r="1396" spans="11:12" x14ac:dyDescent="0.25">
      <c r="K1396" s="4">
        <v>42201</v>
      </c>
      <c r="L1396">
        <v>3.94</v>
      </c>
    </row>
    <row r="1397" spans="11:12" x14ac:dyDescent="0.25">
      <c r="K1397" s="4">
        <v>42202</v>
      </c>
      <c r="L1397">
        <v>3.94</v>
      </c>
    </row>
    <row r="1398" spans="11:12" x14ac:dyDescent="0.25">
      <c r="K1398" s="4">
        <v>42205</v>
      </c>
      <c r="L1398">
        <v>3.94</v>
      </c>
    </row>
    <row r="1399" spans="11:12" x14ac:dyDescent="0.25">
      <c r="K1399" s="4">
        <v>42206</v>
      </c>
      <c r="L1399">
        <v>3.94</v>
      </c>
    </row>
    <row r="1400" spans="11:12" x14ac:dyDescent="0.25">
      <c r="K1400" s="4">
        <v>42207</v>
      </c>
      <c r="L1400">
        <v>3.94</v>
      </c>
    </row>
    <row r="1401" spans="11:12" x14ac:dyDescent="0.25">
      <c r="K1401" s="4">
        <v>42208</v>
      </c>
      <c r="L1401">
        <v>3.88</v>
      </c>
    </row>
    <row r="1402" spans="11:12" x14ac:dyDescent="0.25">
      <c r="K1402" s="4">
        <v>42209</v>
      </c>
      <c r="L1402">
        <v>3.88</v>
      </c>
    </row>
    <row r="1403" spans="11:12" x14ac:dyDescent="0.25">
      <c r="K1403" s="4">
        <v>42212</v>
      </c>
      <c r="L1403">
        <v>3.88</v>
      </c>
    </row>
    <row r="1404" spans="11:12" x14ac:dyDescent="0.25">
      <c r="K1404" s="4">
        <v>42213</v>
      </c>
      <c r="L1404">
        <v>3.88</v>
      </c>
    </row>
    <row r="1405" spans="11:12" x14ac:dyDescent="0.25">
      <c r="K1405" s="4">
        <v>42214</v>
      </c>
      <c r="L1405">
        <v>3.88</v>
      </c>
    </row>
    <row r="1406" spans="11:12" x14ac:dyDescent="0.25">
      <c r="K1406" s="4">
        <v>42215</v>
      </c>
      <c r="L1406">
        <v>3.81</v>
      </c>
    </row>
    <row r="1407" spans="11:12" x14ac:dyDescent="0.25">
      <c r="K1407" s="4">
        <v>42216</v>
      </c>
      <c r="L1407">
        <v>3.81</v>
      </c>
    </row>
    <row r="1408" spans="11:12" x14ac:dyDescent="0.25">
      <c r="K1408" s="4">
        <v>42219</v>
      </c>
      <c r="L1408">
        <v>3.81</v>
      </c>
    </row>
    <row r="1409" spans="11:12" x14ac:dyDescent="0.25">
      <c r="K1409" s="4">
        <v>42220</v>
      </c>
      <c r="L1409">
        <v>3.81</v>
      </c>
    </row>
    <row r="1410" spans="11:12" x14ac:dyDescent="0.25">
      <c r="K1410" s="4">
        <v>42221</v>
      </c>
      <c r="L1410">
        <v>3.81</v>
      </c>
    </row>
    <row r="1411" spans="11:12" x14ac:dyDescent="0.25">
      <c r="K1411" s="4">
        <v>42222</v>
      </c>
      <c r="L1411">
        <v>3.84</v>
      </c>
    </row>
    <row r="1412" spans="11:12" x14ac:dyDescent="0.25">
      <c r="K1412" s="4">
        <v>42223</v>
      </c>
      <c r="L1412">
        <v>3.84</v>
      </c>
    </row>
    <row r="1413" spans="11:12" x14ac:dyDescent="0.25">
      <c r="K1413" s="4">
        <v>42226</v>
      </c>
      <c r="L1413">
        <v>3.84</v>
      </c>
    </row>
    <row r="1414" spans="11:12" x14ac:dyDescent="0.25">
      <c r="K1414" s="4">
        <v>42227</v>
      </c>
      <c r="L1414">
        <v>3.84</v>
      </c>
    </row>
    <row r="1415" spans="11:12" x14ac:dyDescent="0.25">
      <c r="K1415" s="4">
        <v>42228</v>
      </c>
      <c r="L1415">
        <v>3.84</v>
      </c>
    </row>
    <row r="1416" spans="11:12" x14ac:dyDescent="0.25">
      <c r="K1416" s="4">
        <v>42229</v>
      </c>
      <c r="L1416">
        <v>3.83</v>
      </c>
    </row>
    <row r="1417" spans="11:12" x14ac:dyDescent="0.25">
      <c r="K1417" s="4">
        <v>42230</v>
      </c>
      <c r="L1417">
        <v>3.83</v>
      </c>
    </row>
    <row r="1418" spans="11:12" x14ac:dyDescent="0.25">
      <c r="K1418" s="4">
        <v>42233</v>
      </c>
      <c r="L1418">
        <v>3.83</v>
      </c>
    </row>
    <row r="1419" spans="11:12" x14ac:dyDescent="0.25">
      <c r="K1419" s="4">
        <v>42234</v>
      </c>
      <c r="L1419">
        <v>3.83</v>
      </c>
    </row>
    <row r="1420" spans="11:12" x14ac:dyDescent="0.25">
      <c r="K1420" s="4">
        <v>42235</v>
      </c>
      <c r="L1420">
        <v>3.83</v>
      </c>
    </row>
    <row r="1421" spans="11:12" x14ac:dyDescent="0.25">
      <c r="K1421" s="4">
        <v>42236</v>
      </c>
      <c r="L1421">
        <v>3.74</v>
      </c>
    </row>
    <row r="1422" spans="11:12" x14ac:dyDescent="0.25">
      <c r="K1422" s="4">
        <v>42237</v>
      </c>
      <c r="L1422">
        <v>3.74</v>
      </c>
    </row>
    <row r="1423" spans="11:12" x14ac:dyDescent="0.25">
      <c r="K1423" s="4">
        <v>42240</v>
      </c>
      <c r="L1423">
        <v>3.74</v>
      </c>
    </row>
    <row r="1424" spans="11:12" x14ac:dyDescent="0.25">
      <c r="K1424" s="4">
        <v>42241</v>
      </c>
      <c r="L1424">
        <v>3.74</v>
      </c>
    </row>
    <row r="1425" spans="11:12" x14ac:dyDescent="0.25">
      <c r="K1425" s="4">
        <v>42242</v>
      </c>
      <c r="L1425">
        <v>3.74</v>
      </c>
    </row>
    <row r="1426" spans="11:12" x14ac:dyDescent="0.25">
      <c r="K1426" s="4">
        <v>42243</v>
      </c>
      <c r="L1426">
        <v>3.79</v>
      </c>
    </row>
    <row r="1427" spans="11:12" x14ac:dyDescent="0.25">
      <c r="K1427" s="4">
        <v>42244</v>
      </c>
      <c r="L1427">
        <v>3.79</v>
      </c>
    </row>
    <row r="1428" spans="11:12" x14ac:dyDescent="0.25">
      <c r="K1428" s="4">
        <v>42247</v>
      </c>
      <c r="L1428">
        <v>3.79</v>
      </c>
    </row>
    <row r="1429" spans="11:12" x14ac:dyDescent="0.25">
      <c r="K1429" s="4">
        <v>42248</v>
      </c>
      <c r="L1429">
        <v>3.79</v>
      </c>
    </row>
    <row r="1430" spans="11:12" x14ac:dyDescent="0.25">
      <c r="K1430" s="4">
        <v>42249</v>
      </c>
      <c r="L1430">
        <v>3.79</v>
      </c>
    </row>
    <row r="1431" spans="11:12" x14ac:dyDescent="0.25">
      <c r="K1431" s="4">
        <v>42250</v>
      </c>
      <c r="L1431">
        <v>3.8</v>
      </c>
    </row>
    <row r="1432" spans="11:12" x14ac:dyDescent="0.25">
      <c r="K1432" s="4">
        <v>42251</v>
      </c>
      <c r="L1432">
        <v>3.8</v>
      </c>
    </row>
    <row r="1433" spans="11:12" x14ac:dyDescent="0.25">
      <c r="K1433" s="4">
        <v>42255</v>
      </c>
      <c r="L1433">
        <v>3.8</v>
      </c>
    </row>
    <row r="1434" spans="11:12" x14ac:dyDescent="0.25">
      <c r="K1434" s="4">
        <v>42256</v>
      </c>
      <c r="L1434">
        <v>3.8</v>
      </c>
    </row>
    <row r="1435" spans="11:12" x14ac:dyDescent="0.25">
      <c r="K1435" s="4">
        <v>42257</v>
      </c>
      <c r="L1435">
        <v>3.81</v>
      </c>
    </row>
    <row r="1436" spans="11:12" x14ac:dyDescent="0.25">
      <c r="K1436" s="4">
        <v>42258</v>
      </c>
      <c r="L1436">
        <v>3.81</v>
      </c>
    </row>
    <row r="1437" spans="11:12" x14ac:dyDescent="0.25">
      <c r="K1437" s="4">
        <v>42261</v>
      </c>
      <c r="L1437">
        <v>3.81</v>
      </c>
    </row>
    <row r="1438" spans="11:12" x14ac:dyDescent="0.25">
      <c r="K1438" s="4">
        <v>42262</v>
      </c>
      <c r="L1438">
        <v>3.81</v>
      </c>
    </row>
    <row r="1439" spans="11:12" x14ac:dyDescent="0.25">
      <c r="K1439" s="4">
        <v>42263</v>
      </c>
      <c r="L1439">
        <v>3.81</v>
      </c>
    </row>
    <row r="1440" spans="11:12" x14ac:dyDescent="0.25">
      <c r="K1440" s="4">
        <v>42264</v>
      </c>
      <c r="L1440">
        <v>3.7850000000000001</v>
      </c>
    </row>
    <row r="1441" spans="11:12" x14ac:dyDescent="0.25">
      <c r="K1441" s="4">
        <v>42265</v>
      </c>
      <c r="L1441">
        <v>3.7850000000000001</v>
      </c>
    </row>
    <row r="1442" spans="11:12" x14ac:dyDescent="0.25">
      <c r="K1442" s="4">
        <v>42268</v>
      </c>
      <c r="L1442">
        <v>3.7850000000000001</v>
      </c>
    </row>
    <row r="1443" spans="11:12" x14ac:dyDescent="0.25">
      <c r="K1443" s="4">
        <v>42269</v>
      </c>
      <c r="L1443">
        <v>3.7850000000000001</v>
      </c>
    </row>
    <row r="1444" spans="11:12" x14ac:dyDescent="0.25">
      <c r="K1444" s="4">
        <v>42270</v>
      </c>
      <c r="L1444">
        <v>3.7850000000000001</v>
      </c>
    </row>
    <row r="1445" spans="11:12" x14ac:dyDescent="0.25">
      <c r="K1445" s="4">
        <v>42271</v>
      </c>
      <c r="L1445">
        <v>3.75</v>
      </c>
    </row>
    <row r="1446" spans="11:12" x14ac:dyDescent="0.25">
      <c r="K1446" s="4">
        <v>42272</v>
      </c>
      <c r="L1446">
        <v>3.75</v>
      </c>
    </row>
    <row r="1447" spans="11:12" x14ac:dyDescent="0.25">
      <c r="K1447" s="4">
        <v>42275</v>
      </c>
      <c r="L1447">
        <v>3.75</v>
      </c>
    </row>
    <row r="1448" spans="11:12" x14ac:dyDescent="0.25">
      <c r="K1448" s="4">
        <v>42276</v>
      </c>
      <c r="L1448">
        <v>3.75</v>
      </c>
    </row>
    <row r="1449" spans="11:12" x14ac:dyDescent="0.25">
      <c r="K1449" s="4">
        <v>42277</v>
      </c>
      <c r="L1449">
        <v>3.75</v>
      </c>
    </row>
    <row r="1450" spans="11:12" x14ac:dyDescent="0.25">
      <c r="K1450" s="4">
        <v>42278</v>
      </c>
      <c r="L1450">
        <v>3.66</v>
      </c>
    </row>
    <row r="1451" spans="11:12" x14ac:dyDescent="0.25">
      <c r="K1451" s="4">
        <v>42279</v>
      </c>
      <c r="L1451">
        <v>3.66</v>
      </c>
    </row>
    <row r="1452" spans="11:12" x14ac:dyDescent="0.25">
      <c r="K1452" s="4">
        <v>42282</v>
      </c>
      <c r="L1452">
        <v>3.66</v>
      </c>
    </row>
    <row r="1453" spans="11:12" x14ac:dyDescent="0.25">
      <c r="K1453" s="4">
        <v>42283</v>
      </c>
      <c r="L1453">
        <v>3.66</v>
      </c>
    </row>
    <row r="1454" spans="11:12" x14ac:dyDescent="0.25">
      <c r="K1454" s="4">
        <v>42284</v>
      </c>
      <c r="L1454">
        <v>3.66</v>
      </c>
    </row>
    <row r="1455" spans="11:12" x14ac:dyDescent="0.25">
      <c r="K1455" s="4">
        <v>42285</v>
      </c>
      <c r="L1455">
        <v>3.72</v>
      </c>
    </row>
    <row r="1456" spans="11:12" x14ac:dyDescent="0.25">
      <c r="K1456" s="4">
        <v>42286</v>
      </c>
      <c r="L1456">
        <v>3.72</v>
      </c>
    </row>
    <row r="1457" spans="11:12" x14ac:dyDescent="0.25">
      <c r="K1457" s="4">
        <v>42290</v>
      </c>
      <c r="L1457">
        <v>3.72</v>
      </c>
    </row>
    <row r="1458" spans="11:12" x14ac:dyDescent="0.25">
      <c r="K1458" s="4">
        <v>42291</v>
      </c>
      <c r="L1458">
        <v>3.72</v>
      </c>
    </row>
    <row r="1459" spans="11:12" x14ac:dyDescent="0.25">
      <c r="K1459" s="4">
        <v>42292</v>
      </c>
      <c r="L1459">
        <v>3.69</v>
      </c>
    </row>
    <row r="1460" spans="11:12" x14ac:dyDescent="0.25">
      <c r="K1460" s="4">
        <v>42293</v>
      </c>
      <c r="L1460">
        <v>3.69</v>
      </c>
    </row>
    <row r="1461" spans="11:12" x14ac:dyDescent="0.25">
      <c r="K1461" s="4">
        <v>42296</v>
      </c>
      <c r="L1461">
        <v>3.69</v>
      </c>
    </row>
    <row r="1462" spans="11:12" x14ac:dyDescent="0.25">
      <c r="K1462" s="4">
        <v>42297</v>
      </c>
      <c r="L1462">
        <v>3.69</v>
      </c>
    </row>
    <row r="1463" spans="11:12" x14ac:dyDescent="0.25">
      <c r="K1463" s="4">
        <v>42298</v>
      </c>
      <c r="L1463">
        <v>3.69</v>
      </c>
    </row>
    <row r="1464" spans="11:12" x14ac:dyDescent="0.25">
      <c r="K1464" s="4">
        <v>42299</v>
      </c>
      <c r="L1464">
        <v>3.66</v>
      </c>
    </row>
    <row r="1465" spans="11:12" x14ac:dyDescent="0.25">
      <c r="K1465" s="4">
        <v>42300</v>
      </c>
      <c r="L1465">
        <v>3.66</v>
      </c>
    </row>
    <row r="1466" spans="11:12" x14ac:dyDescent="0.25">
      <c r="K1466" s="4">
        <v>42303</v>
      </c>
      <c r="L1466">
        <v>3.66</v>
      </c>
    </row>
    <row r="1467" spans="11:12" x14ac:dyDescent="0.25">
      <c r="K1467" s="4">
        <v>42304</v>
      </c>
      <c r="L1467">
        <v>3.66</v>
      </c>
    </row>
    <row r="1468" spans="11:12" x14ac:dyDescent="0.25">
      <c r="K1468" s="4">
        <v>42305</v>
      </c>
      <c r="L1468">
        <v>3.66</v>
      </c>
    </row>
    <row r="1469" spans="11:12" x14ac:dyDescent="0.25">
      <c r="K1469" s="4">
        <v>42306</v>
      </c>
      <c r="L1469">
        <v>3.77</v>
      </c>
    </row>
    <row r="1470" spans="11:12" x14ac:dyDescent="0.25">
      <c r="K1470" s="4">
        <v>42307</v>
      </c>
      <c r="L1470">
        <v>3.77</v>
      </c>
    </row>
    <row r="1471" spans="11:12" x14ac:dyDescent="0.25">
      <c r="K1471" s="4">
        <v>42310</v>
      </c>
      <c r="L1471">
        <v>3.77</v>
      </c>
    </row>
    <row r="1472" spans="11:12" x14ac:dyDescent="0.25">
      <c r="K1472" s="4">
        <v>42311</v>
      </c>
      <c r="L1472">
        <v>3.77</v>
      </c>
    </row>
    <row r="1473" spans="11:12" x14ac:dyDescent="0.25">
      <c r="K1473" s="4">
        <v>42312</v>
      </c>
      <c r="L1473">
        <v>3.77</v>
      </c>
    </row>
    <row r="1474" spans="11:12" x14ac:dyDescent="0.25">
      <c r="K1474" s="4">
        <v>42313</v>
      </c>
      <c r="L1474">
        <v>3.88</v>
      </c>
    </row>
    <row r="1475" spans="11:12" x14ac:dyDescent="0.25">
      <c r="K1475" s="4">
        <v>42314</v>
      </c>
      <c r="L1475">
        <v>3.88</v>
      </c>
    </row>
    <row r="1476" spans="11:12" x14ac:dyDescent="0.25">
      <c r="K1476" s="4">
        <v>42317</v>
      </c>
      <c r="L1476">
        <v>3.88</v>
      </c>
    </row>
    <row r="1477" spans="11:12" x14ac:dyDescent="0.25">
      <c r="K1477" s="4">
        <v>42318</v>
      </c>
      <c r="L1477">
        <v>3.88</v>
      </c>
    </row>
    <row r="1478" spans="11:12" x14ac:dyDescent="0.25">
      <c r="K1478" s="4">
        <v>42320</v>
      </c>
      <c r="L1478">
        <v>3.87</v>
      </c>
    </row>
    <row r="1479" spans="11:12" x14ac:dyDescent="0.25">
      <c r="K1479" s="4">
        <v>42321</v>
      </c>
      <c r="L1479">
        <v>3.87</v>
      </c>
    </row>
    <row r="1480" spans="11:12" x14ac:dyDescent="0.25">
      <c r="K1480" s="4">
        <v>42324</v>
      </c>
      <c r="L1480">
        <v>3.87</v>
      </c>
    </row>
    <row r="1481" spans="11:12" x14ac:dyDescent="0.25">
      <c r="K1481" s="4">
        <v>42325</v>
      </c>
      <c r="L1481">
        <v>3.87</v>
      </c>
    </row>
    <row r="1482" spans="11:12" x14ac:dyDescent="0.25">
      <c r="K1482" s="4">
        <v>42326</v>
      </c>
      <c r="L1482">
        <v>3.87</v>
      </c>
    </row>
    <row r="1483" spans="11:12" x14ac:dyDescent="0.25">
      <c r="K1483" s="4">
        <v>42327</v>
      </c>
      <c r="L1483">
        <v>3.875</v>
      </c>
    </row>
    <row r="1484" spans="11:12" x14ac:dyDescent="0.25">
      <c r="K1484" s="4">
        <v>42328</v>
      </c>
      <c r="L1484">
        <v>3.875</v>
      </c>
    </row>
    <row r="1485" spans="11:12" x14ac:dyDescent="0.25">
      <c r="K1485" s="4">
        <v>42331</v>
      </c>
      <c r="L1485">
        <v>3.875</v>
      </c>
    </row>
    <row r="1486" spans="11:12" x14ac:dyDescent="0.25">
      <c r="K1486" s="4">
        <v>42332</v>
      </c>
      <c r="L1486">
        <v>3.875</v>
      </c>
    </row>
    <row r="1487" spans="11:12" x14ac:dyDescent="0.25">
      <c r="K1487" s="4">
        <v>42333</v>
      </c>
      <c r="L1487">
        <v>3.875</v>
      </c>
    </row>
    <row r="1488" spans="11:12" x14ac:dyDescent="0.25">
      <c r="K1488" s="4">
        <v>42335</v>
      </c>
      <c r="L1488">
        <v>3.83</v>
      </c>
    </row>
    <row r="1489" spans="11:12" x14ac:dyDescent="0.25">
      <c r="K1489" s="4">
        <v>42338</v>
      </c>
      <c r="L1489">
        <v>3.83</v>
      </c>
    </row>
    <row r="1490" spans="11:12" x14ac:dyDescent="0.25">
      <c r="K1490" s="4">
        <v>42339</v>
      </c>
      <c r="L1490">
        <v>3.83</v>
      </c>
    </row>
    <row r="1491" spans="11:12" x14ac:dyDescent="0.25">
      <c r="K1491" s="4">
        <v>42340</v>
      </c>
      <c r="L1491">
        <v>3.83</v>
      </c>
    </row>
    <row r="1492" spans="11:12" x14ac:dyDescent="0.25">
      <c r="K1492" s="4">
        <v>42341</v>
      </c>
      <c r="L1492">
        <v>3.85</v>
      </c>
    </row>
    <row r="1493" spans="11:12" x14ac:dyDescent="0.25">
      <c r="K1493" s="4">
        <v>42342</v>
      </c>
      <c r="L1493">
        <v>3.85</v>
      </c>
    </row>
    <row r="1494" spans="11:12" x14ac:dyDescent="0.25">
      <c r="K1494" s="4">
        <v>42345</v>
      </c>
      <c r="L1494">
        <v>3.85</v>
      </c>
    </row>
    <row r="1495" spans="11:12" x14ac:dyDescent="0.25">
      <c r="K1495" s="4">
        <v>42346</v>
      </c>
      <c r="L1495">
        <v>3.85</v>
      </c>
    </row>
    <row r="1496" spans="11:12" x14ac:dyDescent="0.25">
      <c r="K1496" s="4">
        <v>42347</v>
      </c>
      <c r="L1496">
        <v>3.85</v>
      </c>
    </row>
    <row r="1497" spans="11:12" x14ac:dyDescent="0.25">
      <c r="K1497" s="4">
        <v>42348</v>
      </c>
      <c r="L1497">
        <v>3.87</v>
      </c>
    </row>
    <row r="1498" spans="11:12" x14ac:dyDescent="0.25">
      <c r="K1498" s="4">
        <v>42349</v>
      </c>
      <c r="L1498">
        <v>3.87</v>
      </c>
    </row>
    <row r="1499" spans="11:12" x14ac:dyDescent="0.25">
      <c r="K1499" s="4">
        <v>42352</v>
      </c>
      <c r="L1499">
        <v>3.87</v>
      </c>
    </row>
    <row r="1500" spans="11:12" x14ac:dyDescent="0.25">
      <c r="K1500" s="4">
        <v>42353</v>
      </c>
      <c r="L1500">
        <v>3.87</v>
      </c>
    </row>
    <row r="1501" spans="11:12" x14ac:dyDescent="0.25">
      <c r="K1501" s="4">
        <v>42354</v>
      </c>
      <c r="L1501">
        <v>3.87</v>
      </c>
    </row>
    <row r="1502" spans="11:12" x14ac:dyDescent="0.25">
      <c r="K1502" s="4">
        <v>42355</v>
      </c>
      <c r="L1502">
        <v>3.86</v>
      </c>
    </row>
    <row r="1503" spans="11:12" x14ac:dyDescent="0.25">
      <c r="K1503" s="4">
        <v>42356</v>
      </c>
      <c r="L1503">
        <v>3.86</v>
      </c>
    </row>
    <row r="1504" spans="11:12" x14ac:dyDescent="0.25">
      <c r="K1504" s="4">
        <v>42359</v>
      </c>
      <c r="L1504">
        <v>3.86</v>
      </c>
    </row>
    <row r="1505" spans="11:12" x14ac:dyDescent="0.25">
      <c r="K1505" s="4">
        <v>42360</v>
      </c>
      <c r="L1505">
        <v>3.86</v>
      </c>
    </row>
    <row r="1506" spans="11:12" x14ac:dyDescent="0.25">
      <c r="K1506" s="4">
        <v>42361</v>
      </c>
      <c r="L1506">
        <v>3.86</v>
      </c>
    </row>
    <row r="1507" spans="11:12" x14ac:dyDescent="0.25">
      <c r="K1507" s="4">
        <v>42362</v>
      </c>
      <c r="L1507">
        <v>3.91</v>
      </c>
    </row>
    <row r="1508" spans="11:12" x14ac:dyDescent="0.25">
      <c r="K1508" s="4">
        <v>42366</v>
      </c>
      <c r="L1508">
        <v>3.91</v>
      </c>
    </row>
    <row r="1509" spans="11:12" x14ac:dyDescent="0.25">
      <c r="K1509" s="4">
        <v>42367</v>
      </c>
      <c r="L1509">
        <v>3.91</v>
      </c>
    </row>
    <row r="1510" spans="11:12" x14ac:dyDescent="0.25">
      <c r="K1510" s="4">
        <v>42368</v>
      </c>
      <c r="L1510">
        <v>3.91</v>
      </c>
    </row>
    <row r="1511" spans="11:12" x14ac:dyDescent="0.25">
      <c r="K1511" s="4">
        <v>42369</v>
      </c>
      <c r="L1511">
        <v>3.87</v>
      </c>
    </row>
    <row r="1512" spans="11:12" x14ac:dyDescent="0.25">
      <c r="K1512" s="4">
        <v>42373</v>
      </c>
      <c r="L1512">
        <v>3.87</v>
      </c>
    </row>
    <row r="1513" spans="11:12" x14ac:dyDescent="0.25">
      <c r="K1513" s="4">
        <v>42374</v>
      </c>
      <c r="L1513">
        <v>3.87</v>
      </c>
    </row>
    <row r="1514" spans="11:12" x14ac:dyDescent="0.25">
      <c r="K1514" s="4">
        <v>42375</v>
      </c>
      <c r="L1514">
        <v>3.87</v>
      </c>
    </row>
    <row r="1515" spans="11:12" x14ac:dyDescent="0.25">
      <c r="K1515" s="4">
        <v>42376</v>
      </c>
      <c r="L1515">
        <v>3.82</v>
      </c>
    </row>
    <row r="1516" spans="11:12" x14ac:dyDescent="0.25">
      <c r="K1516" s="4">
        <v>42377</v>
      </c>
      <c r="L1516">
        <v>3.82</v>
      </c>
    </row>
    <row r="1517" spans="11:12" x14ac:dyDescent="0.25">
      <c r="K1517" s="4">
        <v>42380</v>
      </c>
      <c r="L1517">
        <v>3.82</v>
      </c>
    </row>
    <row r="1518" spans="11:12" x14ac:dyDescent="0.25">
      <c r="K1518" s="4">
        <v>42381</v>
      </c>
      <c r="L1518">
        <v>3.82</v>
      </c>
    </row>
    <row r="1519" spans="11:12" x14ac:dyDescent="0.25">
      <c r="K1519" s="4">
        <v>42382</v>
      </c>
      <c r="L1519">
        <v>3.82</v>
      </c>
    </row>
    <row r="1520" spans="11:12" x14ac:dyDescent="0.25">
      <c r="K1520" s="4">
        <v>42383</v>
      </c>
      <c r="L1520">
        <v>3.71</v>
      </c>
    </row>
    <row r="1521" spans="11:12" x14ac:dyDescent="0.25">
      <c r="K1521" s="4">
        <v>42384</v>
      </c>
      <c r="L1521">
        <v>3.71</v>
      </c>
    </row>
    <row r="1522" spans="11:12" x14ac:dyDescent="0.25">
      <c r="K1522" s="4">
        <v>42388</v>
      </c>
      <c r="L1522">
        <v>3.71</v>
      </c>
    </row>
    <row r="1523" spans="11:12" x14ac:dyDescent="0.25">
      <c r="K1523" s="4">
        <v>42389</v>
      </c>
      <c r="L1523">
        <v>3.71</v>
      </c>
    </row>
    <row r="1524" spans="11:12" x14ac:dyDescent="0.25">
      <c r="K1524" s="4">
        <v>42390</v>
      </c>
      <c r="L1524">
        <v>3.69</v>
      </c>
    </row>
    <row r="1525" spans="11:12" x14ac:dyDescent="0.25">
      <c r="K1525" s="4">
        <v>42391</v>
      </c>
      <c r="L1525">
        <v>3.69</v>
      </c>
    </row>
    <row r="1526" spans="11:12" x14ac:dyDescent="0.25">
      <c r="K1526" s="4">
        <v>42394</v>
      </c>
      <c r="L1526">
        <v>3.69</v>
      </c>
    </row>
    <row r="1527" spans="11:12" x14ac:dyDescent="0.25">
      <c r="K1527" s="4">
        <v>42395</v>
      </c>
      <c r="L1527">
        <v>3.69</v>
      </c>
    </row>
    <row r="1528" spans="11:12" x14ac:dyDescent="0.25">
      <c r="K1528" s="4">
        <v>42396</v>
      </c>
      <c r="L1528">
        <v>3.69</v>
      </c>
    </row>
    <row r="1529" spans="11:12" x14ac:dyDescent="0.25">
      <c r="K1529" s="4">
        <v>42397</v>
      </c>
      <c r="L1529">
        <v>3.62</v>
      </c>
    </row>
    <row r="1530" spans="11:12" x14ac:dyDescent="0.25">
      <c r="K1530" s="4">
        <v>42398</v>
      </c>
      <c r="L1530">
        <v>3.62</v>
      </c>
    </row>
    <row r="1531" spans="11:12" x14ac:dyDescent="0.25">
      <c r="K1531" s="4">
        <v>42401</v>
      </c>
      <c r="L1531">
        <v>3.62</v>
      </c>
    </row>
    <row r="1532" spans="11:12" x14ac:dyDescent="0.25">
      <c r="K1532" s="4">
        <v>42402</v>
      </c>
      <c r="L1532">
        <v>3.62</v>
      </c>
    </row>
    <row r="1533" spans="11:12" x14ac:dyDescent="0.25">
      <c r="K1533" s="4">
        <v>42403</v>
      </c>
      <c r="L1533">
        <v>3.62</v>
      </c>
    </row>
    <row r="1534" spans="11:12" x14ac:dyDescent="0.25">
      <c r="K1534" s="4">
        <v>42404</v>
      </c>
      <c r="L1534">
        <v>3.5249999999999999</v>
      </c>
    </row>
    <row r="1535" spans="11:12" x14ac:dyDescent="0.25">
      <c r="K1535" s="4">
        <v>42405</v>
      </c>
      <c r="L1535">
        <v>3.5249999999999999</v>
      </c>
    </row>
    <row r="1536" spans="11:12" x14ac:dyDescent="0.25">
      <c r="K1536" s="4">
        <v>42408</v>
      </c>
      <c r="L1536">
        <v>3.5249999999999999</v>
      </c>
    </row>
    <row r="1537" spans="11:12" x14ac:dyDescent="0.25">
      <c r="K1537" s="4">
        <v>42409</v>
      </c>
      <c r="L1537">
        <v>3.5249999999999999</v>
      </c>
    </row>
    <row r="1538" spans="11:12" x14ac:dyDescent="0.25">
      <c r="K1538" s="4">
        <v>42410</v>
      </c>
      <c r="L1538">
        <v>3.5249999999999999</v>
      </c>
    </row>
    <row r="1539" spans="11:12" x14ac:dyDescent="0.25">
      <c r="K1539" s="4">
        <v>42411</v>
      </c>
      <c r="L1539">
        <v>3.5249999999999999</v>
      </c>
    </row>
    <row r="1540" spans="11:12" x14ac:dyDescent="0.25">
      <c r="K1540" s="4">
        <v>42412</v>
      </c>
      <c r="L1540">
        <v>3.5249999999999999</v>
      </c>
    </row>
    <row r="1541" spans="11:12" x14ac:dyDescent="0.25">
      <c r="K1541" s="4">
        <v>42416</v>
      </c>
      <c r="L1541">
        <v>3.5249999999999999</v>
      </c>
    </row>
    <row r="1542" spans="11:12" x14ac:dyDescent="0.25">
      <c r="K1542" s="4">
        <v>42417</v>
      </c>
      <c r="L1542">
        <v>3.5249999999999999</v>
      </c>
    </row>
    <row r="1543" spans="11:12" x14ac:dyDescent="0.25">
      <c r="K1543" s="4">
        <v>42418</v>
      </c>
      <c r="L1543">
        <v>3.52</v>
      </c>
    </row>
    <row r="1544" spans="11:12" x14ac:dyDescent="0.25">
      <c r="K1544" s="4">
        <v>42419</v>
      </c>
      <c r="L1544">
        <v>3.52</v>
      </c>
    </row>
    <row r="1545" spans="11:12" x14ac:dyDescent="0.25">
      <c r="K1545" s="4">
        <v>42422</v>
      </c>
      <c r="L1545">
        <v>3.52</v>
      </c>
    </row>
    <row r="1546" spans="11:12" x14ac:dyDescent="0.25">
      <c r="K1546" s="4">
        <v>42423</v>
      </c>
      <c r="L1546">
        <v>3.52</v>
      </c>
    </row>
    <row r="1547" spans="11:12" x14ac:dyDescent="0.25">
      <c r="K1547" s="4">
        <v>42424</v>
      </c>
      <c r="L1547">
        <v>3.52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2016-03-02T22:01:17Z</dcterms:created>
  <dcterms:modified xsi:type="dcterms:W3CDTF">2016-03-03T14:56:03Z</dcterms:modified>
</cp:coreProperties>
</file>