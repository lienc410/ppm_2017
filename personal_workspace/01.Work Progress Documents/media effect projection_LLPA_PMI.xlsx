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90" windowWidth="34515" windowHeight="19725" activeTab="5"/>
  </bookViews>
  <sheets>
    <sheet name="Tracking 12.5bps" sheetId="3" r:id="rId1"/>
    <sheet name="Tracking 5 bps" sheetId="6" r:id="rId2"/>
    <sheet name="Tracking 5 bps-with cost" sheetId="7" r:id="rId3"/>
    <sheet name="Tracking 12.5 bps-with cost" sheetId="8" r:id="rId4"/>
    <sheet name="12.5 cost and mtm " sheetId="10" r:id="rId5"/>
    <sheet name="12.5 cost and mtm cap6%" sheetId="11" r:id="rId6"/>
    <sheet name="12.5 cost and mtm cap10%" sheetId="12" state="hidden" r:id="rId7"/>
    <sheet name="charts" sheetId="9" r:id="rId8"/>
  </sheets>
  <calcPr calcId="145621"/>
</workbook>
</file>

<file path=xl/calcChain.xml><?xml version="1.0" encoding="utf-8"?>
<calcChain xmlns="http://schemas.openxmlformats.org/spreadsheetml/2006/main">
  <c r="G128" i="12" l="1"/>
  <c r="H128" i="12" s="1"/>
  <c r="G127" i="12"/>
  <c r="H127" i="12" s="1"/>
  <c r="G126" i="12"/>
  <c r="H126" i="12" s="1"/>
  <c r="G125" i="12"/>
  <c r="H125" i="12" s="1"/>
  <c r="G124" i="12"/>
  <c r="H124" i="12" s="1"/>
  <c r="G123" i="12"/>
  <c r="H123" i="12" s="1"/>
  <c r="G122" i="12"/>
  <c r="H122" i="12" s="1"/>
  <c r="G121" i="12"/>
  <c r="H121" i="12" s="1"/>
  <c r="G120" i="12"/>
  <c r="H120" i="12" s="1"/>
  <c r="G119" i="12"/>
  <c r="H119" i="12" s="1"/>
  <c r="G118" i="12"/>
  <c r="H118" i="12" s="1"/>
  <c r="G117" i="12"/>
  <c r="H117" i="12" s="1"/>
  <c r="G116" i="12"/>
  <c r="H116" i="12" s="1"/>
  <c r="G115" i="12"/>
  <c r="H115" i="12" s="1"/>
  <c r="G114" i="12"/>
  <c r="H114" i="12" s="1"/>
  <c r="G113" i="12"/>
  <c r="H113" i="12" s="1"/>
  <c r="G112" i="12"/>
  <c r="H112" i="12" s="1"/>
  <c r="G111" i="12"/>
  <c r="H111" i="12" s="1"/>
  <c r="G110" i="12"/>
  <c r="H110" i="12" s="1"/>
  <c r="G109" i="12"/>
  <c r="H109" i="12" s="1"/>
  <c r="G108" i="12"/>
  <c r="H108" i="12" s="1"/>
  <c r="G107" i="12"/>
  <c r="H107" i="12" s="1"/>
  <c r="G106" i="12"/>
  <c r="H106" i="12" s="1"/>
  <c r="G105" i="12"/>
  <c r="H105" i="12" s="1"/>
  <c r="G104" i="12"/>
  <c r="H104" i="12" s="1"/>
  <c r="G103" i="12"/>
  <c r="H103" i="12" s="1"/>
  <c r="G102" i="12"/>
  <c r="H102" i="12" s="1"/>
  <c r="G101" i="12"/>
  <c r="H101" i="12" s="1"/>
  <c r="G100" i="12"/>
  <c r="H100" i="12" s="1"/>
  <c r="G99" i="12"/>
  <c r="H99" i="12" s="1"/>
  <c r="G98" i="12"/>
  <c r="H98" i="12" s="1"/>
  <c r="G97" i="12"/>
  <c r="H97" i="12" s="1"/>
  <c r="G96" i="12"/>
  <c r="H96" i="12" s="1"/>
  <c r="G95" i="12"/>
  <c r="H95" i="12" s="1"/>
  <c r="G94" i="12"/>
  <c r="H94" i="12" s="1"/>
  <c r="G93" i="12"/>
  <c r="H93" i="12" s="1"/>
  <c r="G92" i="12"/>
  <c r="H92" i="12" s="1"/>
  <c r="G91" i="12"/>
  <c r="H91" i="12" s="1"/>
  <c r="G90" i="12"/>
  <c r="H90" i="12" s="1"/>
  <c r="G89" i="12"/>
  <c r="H89" i="12" s="1"/>
  <c r="G88" i="12"/>
  <c r="H88" i="12" s="1"/>
  <c r="G87" i="12"/>
  <c r="H87" i="12" s="1"/>
  <c r="G86" i="12"/>
  <c r="H86" i="12" s="1"/>
  <c r="G85" i="12"/>
  <c r="H85" i="12" s="1"/>
  <c r="G84" i="12"/>
  <c r="H84" i="12" s="1"/>
  <c r="G83" i="12"/>
  <c r="H83" i="12" s="1"/>
  <c r="G82" i="12"/>
  <c r="H82" i="12" s="1"/>
  <c r="G81" i="12"/>
  <c r="H81" i="12" s="1"/>
  <c r="G80" i="12"/>
  <c r="H80" i="12" s="1"/>
  <c r="G79" i="12"/>
  <c r="H79" i="12" s="1"/>
  <c r="G78" i="12"/>
  <c r="H78" i="12" s="1"/>
  <c r="G77" i="12"/>
  <c r="H77" i="12" s="1"/>
  <c r="G76" i="12"/>
  <c r="H76" i="12" s="1"/>
  <c r="G75" i="12"/>
  <c r="H75" i="12" s="1"/>
  <c r="G74" i="12"/>
  <c r="H74" i="12" s="1"/>
  <c r="G73" i="12"/>
  <c r="H73" i="12" s="1"/>
  <c r="G72" i="12"/>
  <c r="H72" i="12" s="1"/>
  <c r="G71" i="12"/>
  <c r="H71" i="12" s="1"/>
  <c r="G70" i="12"/>
  <c r="H70" i="12" s="1"/>
  <c r="G69" i="12"/>
  <c r="H69" i="12" s="1"/>
  <c r="G68" i="12"/>
  <c r="H68" i="12" s="1"/>
  <c r="G67" i="12"/>
  <c r="H67" i="12" s="1"/>
  <c r="G66" i="12"/>
  <c r="H66" i="12" s="1"/>
  <c r="G65" i="12"/>
  <c r="H65" i="12" s="1"/>
  <c r="G64" i="12"/>
  <c r="H64" i="12" s="1"/>
  <c r="G63" i="12"/>
  <c r="H63" i="12" s="1"/>
  <c r="G62" i="12"/>
  <c r="H62" i="12" s="1"/>
  <c r="G61" i="12"/>
  <c r="H61" i="12" s="1"/>
  <c r="G60" i="12"/>
  <c r="H60" i="12" s="1"/>
  <c r="G59" i="12"/>
  <c r="H59" i="12" s="1"/>
  <c r="G58" i="12"/>
  <c r="H58" i="12" s="1"/>
  <c r="G57" i="12"/>
  <c r="H57" i="12" s="1"/>
  <c r="G56" i="12"/>
  <c r="H56" i="12" s="1"/>
  <c r="G55" i="12"/>
  <c r="H55" i="12" s="1"/>
  <c r="G54" i="12"/>
  <c r="H54" i="12" s="1"/>
  <c r="G53" i="12"/>
  <c r="H53" i="12" s="1"/>
  <c r="G52" i="12"/>
  <c r="H52" i="12" s="1"/>
  <c r="G51" i="12"/>
  <c r="H51" i="12" s="1"/>
  <c r="G50" i="12"/>
  <c r="H50" i="12" s="1"/>
  <c r="G49" i="12"/>
  <c r="H49" i="12" s="1"/>
  <c r="G48" i="12"/>
  <c r="H48" i="12" s="1"/>
  <c r="G47" i="12"/>
  <c r="H47" i="12" s="1"/>
  <c r="G46" i="12"/>
  <c r="H46" i="12" s="1"/>
  <c r="G45" i="12"/>
  <c r="H45" i="12" s="1"/>
  <c r="G44" i="12"/>
  <c r="H44" i="12" s="1"/>
  <c r="G43" i="12"/>
  <c r="H43" i="12" s="1"/>
  <c r="G42" i="12"/>
  <c r="H42" i="12" s="1"/>
  <c r="G41" i="12"/>
  <c r="H41" i="12" s="1"/>
  <c r="G40" i="12"/>
  <c r="H40" i="12" s="1"/>
  <c r="G39" i="12"/>
  <c r="H39" i="12" s="1"/>
  <c r="G38" i="12"/>
  <c r="H38" i="12" s="1"/>
  <c r="G37" i="12"/>
  <c r="H37" i="12" s="1"/>
  <c r="G36" i="12"/>
  <c r="H36" i="12" s="1"/>
  <c r="G35" i="12"/>
  <c r="H35" i="12" s="1"/>
  <c r="G34" i="12"/>
  <c r="H34" i="12" s="1"/>
  <c r="G33" i="12"/>
  <c r="H33" i="12" s="1"/>
  <c r="G32" i="12"/>
  <c r="H32" i="12" s="1"/>
  <c r="G31" i="12"/>
  <c r="H31" i="12" s="1"/>
  <c r="G30" i="12"/>
  <c r="H30" i="12" s="1"/>
  <c r="G29" i="12"/>
  <c r="H29" i="12" s="1"/>
  <c r="G28" i="12"/>
  <c r="H28" i="12" s="1"/>
  <c r="G27" i="12"/>
  <c r="H27" i="12" s="1"/>
  <c r="G26" i="12"/>
  <c r="H26" i="12" s="1"/>
  <c r="G25" i="12"/>
  <c r="H25" i="12" s="1"/>
  <c r="G24" i="12"/>
  <c r="H24" i="12" s="1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G14" i="12"/>
  <c r="H14" i="12" s="1"/>
  <c r="G13" i="12"/>
  <c r="H13" i="12" s="1"/>
  <c r="G12" i="12"/>
  <c r="H12" i="12" s="1"/>
  <c r="G11" i="12"/>
  <c r="H11" i="12" s="1"/>
  <c r="G10" i="12"/>
  <c r="H10" i="12" s="1"/>
  <c r="G9" i="12"/>
  <c r="H9" i="12" s="1"/>
  <c r="G8" i="12"/>
  <c r="H8" i="12" s="1"/>
  <c r="G7" i="12"/>
  <c r="H7" i="12" s="1"/>
  <c r="G6" i="12"/>
  <c r="H6" i="12" s="1"/>
  <c r="G5" i="12"/>
  <c r="H5" i="12" s="1"/>
  <c r="G4" i="12"/>
  <c r="H4" i="12" s="1"/>
  <c r="G3" i="12"/>
  <c r="H3" i="12" s="1"/>
  <c r="G2" i="12"/>
  <c r="J2" i="10"/>
  <c r="G118" i="11"/>
  <c r="H118" i="11" s="1"/>
  <c r="G99" i="11"/>
  <c r="H99" i="11" s="1"/>
  <c r="G96" i="11"/>
  <c r="H96" i="11" s="1"/>
  <c r="G91" i="11"/>
  <c r="H91" i="11" s="1"/>
  <c r="G80" i="11"/>
  <c r="H80" i="11" s="1"/>
  <c r="G75" i="11"/>
  <c r="H75" i="11" s="1"/>
  <c r="G74" i="11"/>
  <c r="H74" i="11" s="1"/>
  <c r="G72" i="11"/>
  <c r="H72" i="11" s="1"/>
  <c r="G56" i="11"/>
  <c r="H56" i="11" s="1"/>
  <c r="G51" i="11"/>
  <c r="H51" i="11" s="1"/>
  <c r="G35" i="11"/>
  <c r="H35" i="11" s="1"/>
  <c r="G32" i="11"/>
  <c r="H32" i="11" s="1"/>
  <c r="G27" i="11"/>
  <c r="H27" i="11" s="1"/>
  <c r="G16" i="11"/>
  <c r="H16" i="11" s="1"/>
  <c r="G11" i="11"/>
  <c r="H11" i="11" s="1"/>
  <c r="G10" i="11"/>
  <c r="H10" i="11" s="1"/>
  <c r="G8" i="11"/>
  <c r="H8" i="11" s="1"/>
  <c r="G4" i="11"/>
  <c r="H4" i="11" s="1"/>
  <c r="G5" i="11"/>
  <c r="H5" i="11" s="1"/>
  <c r="G6" i="11"/>
  <c r="H6" i="11" s="1"/>
  <c r="G7" i="11"/>
  <c r="H7" i="11" s="1"/>
  <c r="G9" i="11"/>
  <c r="H9" i="11" s="1"/>
  <c r="G12" i="11"/>
  <c r="H12" i="11" s="1"/>
  <c r="G13" i="11"/>
  <c r="H13" i="11" s="1"/>
  <c r="G20" i="11"/>
  <c r="H20" i="11" s="1"/>
  <c r="G21" i="11"/>
  <c r="H21" i="11" s="1"/>
  <c r="G22" i="11"/>
  <c r="H22" i="11" s="1"/>
  <c r="G23" i="11"/>
  <c r="H23" i="11" s="1"/>
  <c r="G28" i="11"/>
  <c r="H28" i="11" s="1"/>
  <c r="G29" i="11"/>
  <c r="H29" i="11" s="1"/>
  <c r="G30" i="11"/>
  <c r="H30" i="11" s="1"/>
  <c r="G31" i="11"/>
  <c r="H31" i="11" s="1"/>
  <c r="G33" i="11"/>
  <c r="H33" i="11" s="1"/>
  <c r="G36" i="11"/>
  <c r="H36" i="11" s="1"/>
  <c r="G37" i="11"/>
  <c r="H37" i="11" s="1"/>
  <c r="G44" i="11"/>
  <c r="H44" i="11" s="1"/>
  <c r="G45" i="11"/>
  <c r="H45" i="11" s="1"/>
  <c r="G46" i="11"/>
  <c r="H46" i="11" s="1"/>
  <c r="G47" i="11"/>
  <c r="H47" i="11" s="1"/>
  <c r="G52" i="11"/>
  <c r="H52" i="11" s="1"/>
  <c r="G53" i="11"/>
  <c r="H53" i="11" s="1"/>
  <c r="G54" i="11"/>
  <c r="H54" i="11" s="1"/>
  <c r="G55" i="11"/>
  <c r="H55" i="11" s="1"/>
  <c r="G60" i="11"/>
  <c r="H60" i="11" s="1"/>
  <c r="G61" i="11"/>
  <c r="H61" i="11" s="1"/>
  <c r="G62" i="11"/>
  <c r="H62" i="11" s="1"/>
  <c r="G68" i="11"/>
  <c r="H68" i="11" s="1"/>
  <c r="G69" i="11"/>
  <c r="H69" i="11" s="1"/>
  <c r="G70" i="11"/>
  <c r="H70" i="11" s="1"/>
  <c r="G71" i="11"/>
  <c r="H71" i="11" s="1"/>
  <c r="G73" i="11"/>
  <c r="H73" i="11" s="1"/>
  <c r="G76" i="11"/>
  <c r="H76" i="11" s="1"/>
  <c r="G77" i="11"/>
  <c r="H77" i="11" s="1"/>
  <c r="G84" i="11"/>
  <c r="H84" i="11" s="1"/>
  <c r="G85" i="11"/>
  <c r="H85" i="11" s="1"/>
  <c r="G86" i="11"/>
  <c r="H86" i="11" s="1"/>
  <c r="G87" i="11"/>
  <c r="H87" i="11" s="1"/>
  <c r="G92" i="11"/>
  <c r="H92" i="11" s="1"/>
  <c r="G93" i="11"/>
  <c r="H93" i="11" s="1"/>
  <c r="G94" i="11"/>
  <c r="H94" i="11" s="1"/>
  <c r="G95" i="11"/>
  <c r="H95" i="11" s="1"/>
  <c r="G97" i="11"/>
  <c r="H97" i="11" s="1"/>
  <c r="G100" i="11"/>
  <c r="H100" i="11" s="1"/>
  <c r="G101" i="11"/>
  <c r="H101" i="11" s="1"/>
  <c r="G108" i="11"/>
  <c r="H108" i="11" s="1"/>
  <c r="G109" i="11"/>
  <c r="H109" i="11" s="1"/>
  <c r="G110" i="11"/>
  <c r="H110" i="11" s="1"/>
  <c r="G111" i="11"/>
  <c r="H111" i="11" s="1"/>
  <c r="G116" i="11"/>
  <c r="H116" i="11" s="1"/>
  <c r="G117" i="11"/>
  <c r="H117" i="11" s="1"/>
  <c r="G119" i="11"/>
  <c r="H119" i="11" s="1"/>
  <c r="G121" i="11"/>
  <c r="H121" i="11" s="1"/>
  <c r="G123" i="11"/>
  <c r="H123" i="11" s="1"/>
  <c r="G124" i="11"/>
  <c r="H124" i="11" s="1"/>
  <c r="G125" i="11"/>
  <c r="H125" i="11" s="1"/>
  <c r="G126" i="11"/>
  <c r="H126" i="11" s="1"/>
  <c r="G127" i="11"/>
  <c r="H127" i="11" s="1"/>
  <c r="G2" i="11"/>
  <c r="H2" i="11" s="1"/>
  <c r="G128" i="11"/>
  <c r="H128" i="11" s="1"/>
  <c r="J2" i="12" l="1"/>
  <c r="H2" i="12"/>
  <c r="I2" i="12" s="1"/>
  <c r="G122" i="11"/>
  <c r="H122" i="11" s="1"/>
  <c r="G40" i="11"/>
  <c r="H40" i="11" s="1"/>
  <c r="G104" i="11"/>
  <c r="H104" i="11" s="1"/>
  <c r="G15" i="11"/>
  <c r="H15" i="11" s="1"/>
  <c r="G19" i="11"/>
  <c r="H19" i="11" s="1"/>
  <c r="G42" i="11"/>
  <c r="H42" i="11" s="1"/>
  <c r="G83" i="11"/>
  <c r="H83" i="11" s="1"/>
  <c r="G115" i="11"/>
  <c r="H115" i="11" s="1"/>
  <c r="G103" i="11"/>
  <c r="H103" i="11" s="1"/>
  <c r="G78" i="11"/>
  <c r="H78" i="11" s="1"/>
  <c r="G65" i="11"/>
  <c r="H65" i="11" s="1"/>
  <c r="G39" i="11"/>
  <c r="H39" i="11" s="1"/>
  <c r="G14" i="11"/>
  <c r="H14" i="11" s="1"/>
  <c r="G24" i="11"/>
  <c r="H24" i="11" s="1"/>
  <c r="G43" i="11"/>
  <c r="H43" i="11" s="1"/>
  <c r="G66" i="11"/>
  <c r="H66" i="11" s="1"/>
  <c r="G88" i="11"/>
  <c r="H88" i="11" s="1"/>
  <c r="G112" i="11"/>
  <c r="H112" i="11" s="1"/>
  <c r="G98" i="11"/>
  <c r="H98" i="11" s="1"/>
  <c r="G57" i="11"/>
  <c r="H57" i="11" s="1"/>
  <c r="G58" i="11"/>
  <c r="H58" i="11" s="1"/>
  <c r="G107" i="11"/>
  <c r="H107" i="11" s="1"/>
  <c r="G81" i="11"/>
  <c r="H81" i="11" s="1"/>
  <c r="G17" i="11"/>
  <c r="H17" i="11" s="1"/>
  <c r="G18" i="11"/>
  <c r="H18" i="11" s="1"/>
  <c r="G59" i="11"/>
  <c r="H59" i="11" s="1"/>
  <c r="G82" i="11"/>
  <c r="H82" i="11" s="1"/>
  <c r="G105" i="11"/>
  <c r="H105" i="11" s="1"/>
  <c r="G79" i="11"/>
  <c r="H79" i="11" s="1"/>
  <c r="G41" i="11"/>
  <c r="H41" i="11" s="1"/>
  <c r="G64" i="11"/>
  <c r="H64" i="11" s="1"/>
  <c r="G106" i="11"/>
  <c r="H106" i="11" s="1"/>
  <c r="G113" i="11"/>
  <c r="H113" i="11" s="1"/>
  <c r="G102" i="11"/>
  <c r="H102" i="11" s="1"/>
  <c r="G89" i="11"/>
  <c r="H89" i="11" s="1"/>
  <c r="G63" i="11"/>
  <c r="H63" i="11" s="1"/>
  <c r="G38" i="11"/>
  <c r="H38" i="11" s="1"/>
  <c r="G25" i="11"/>
  <c r="H25" i="11" s="1"/>
  <c r="G3" i="11"/>
  <c r="G26" i="11"/>
  <c r="H26" i="11" s="1"/>
  <c r="G48" i="11"/>
  <c r="H48" i="11" s="1"/>
  <c r="G67" i="11"/>
  <c r="H67" i="11" s="1"/>
  <c r="G90" i="11"/>
  <c r="H90" i="11" s="1"/>
  <c r="G114" i="11"/>
  <c r="H114" i="11" s="1"/>
  <c r="G34" i="11"/>
  <c r="H34" i="11" s="1"/>
  <c r="G49" i="11"/>
  <c r="H49" i="11" s="1"/>
  <c r="G50" i="11"/>
  <c r="H50" i="11" s="1"/>
  <c r="G120" i="11"/>
  <c r="H120" i="11" s="1"/>
  <c r="G2" i="10"/>
  <c r="G3" i="10"/>
  <c r="G4" i="10"/>
  <c r="G5" i="10"/>
  <c r="H5" i="10" s="1"/>
  <c r="G6" i="10"/>
  <c r="G7" i="10"/>
  <c r="G8" i="10"/>
  <c r="G9" i="10"/>
  <c r="H9" i="10" s="1"/>
  <c r="G10" i="10"/>
  <c r="G11" i="10"/>
  <c r="G12" i="10"/>
  <c r="G13" i="10"/>
  <c r="G14" i="10"/>
  <c r="G15" i="10"/>
  <c r="H15" i="10" s="1"/>
  <c r="G16" i="10"/>
  <c r="H16" i="10" s="1"/>
  <c r="G17" i="10"/>
  <c r="G18" i="10"/>
  <c r="G19" i="10"/>
  <c r="G20" i="10"/>
  <c r="H20" i="10" s="1"/>
  <c r="G21" i="10"/>
  <c r="G22" i="10"/>
  <c r="G23" i="10"/>
  <c r="G24" i="10"/>
  <c r="G25" i="10"/>
  <c r="H25" i="10" s="1"/>
  <c r="G26" i="10"/>
  <c r="G27" i="10"/>
  <c r="G28" i="10"/>
  <c r="G29" i="10"/>
  <c r="G30" i="10"/>
  <c r="G31" i="10"/>
  <c r="G32" i="10"/>
  <c r="G33" i="10"/>
  <c r="H33" i="10" s="1"/>
  <c r="G34" i="10"/>
  <c r="G35" i="10"/>
  <c r="G36" i="10"/>
  <c r="G37" i="10"/>
  <c r="H37" i="10" s="1"/>
  <c r="G38" i="10"/>
  <c r="G39" i="10"/>
  <c r="H39" i="10" s="1"/>
  <c r="G40" i="10"/>
  <c r="H40" i="10" s="1"/>
  <c r="G41" i="10"/>
  <c r="H41" i="10" s="1"/>
  <c r="G42" i="10"/>
  <c r="G43" i="10"/>
  <c r="G44" i="10"/>
  <c r="G45" i="10"/>
  <c r="H45" i="10" s="1"/>
  <c r="G46" i="10"/>
  <c r="G47" i="10"/>
  <c r="G48" i="10"/>
  <c r="H48" i="10" s="1"/>
  <c r="G49" i="10"/>
  <c r="G50" i="10"/>
  <c r="G51" i="10"/>
  <c r="G52" i="10"/>
  <c r="G53" i="10"/>
  <c r="G54" i="10"/>
  <c r="G55" i="10"/>
  <c r="G56" i="10"/>
  <c r="G57" i="10"/>
  <c r="H57" i="10" s="1"/>
  <c r="G58" i="10"/>
  <c r="G59" i="10"/>
  <c r="G60" i="10"/>
  <c r="H60" i="10" s="1"/>
  <c r="G61" i="10"/>
  <c r="H61" i="10" s="1"/>
  <c r="G62" i="10"/>
  <c r="G63" i="10"/>
  <c r="H63" i="10" s="1"/>
  <c r="G64" i="10"/>
  <c r="H64" i="10" s="1"/>
  <c r="G65" i="10"/>
  <c r="H65" i="10" s="1"/>
  <c r="G66" i="10"/>
  <c r="G67" i="10"/>
  <c r="G68" i="10"/>
  <c r="G69" i="10"/>
  <c r="H69" i="10" s="1"/>
  <c r="G70" i="10"/>
  <c r="G71" i="10"/>
  <c r="G72" i="10"/>
  <c r="G73" i="10"/>
  <c r="H73" i="10" s="1"/>
  <c r="G74" i="10"/>
  <c r="G75" i="10"/>
  <c r="G76" i="10"/>
  <c r="G77" i="10"/>
  <c r="G78" i="10"/>
  <c r="G79" i="10"/>
  <c r="G80" i="10"/>
  <c r="G81" i="10"/>
  <c r="G82" i="10"/>
  <c r="G83" i="10"/>
  <c r="G84" i="10"/>
  <c r="H84" i="10" s="1"/>
  <c r="G85" i="10"/>
  <c r="G86" i="10"/>
  <c r="G87" i="10"/>
  <c r="G88" i="10"/>
  <c r="H88" i="10" s="1"/>
  <c r="G89" i="10"/>
  <c r="H89" i="10" s="1"/>
  <c r="G90" i="10"/>
  <c r="G91" i="10"/>
  <c r="G92" i="10"/>
  <c r="G93" i="10"/>
  <c r="G94" i="10"/>
  <c r="G95" i="10"/>
  <c r="G96" i="10"/>
  <c r="G97" i="10"/>
  <c r="H97" i="10" s="1"/>
  <c r="G98" i="10"/>
  <c r="G99" i="10"/>
  <c r="G100" i="10"/>
  <c r="H100" i="10" s="1"/>
  <c r="G101" i="10"/>
  <c r="H101" i="10" s="1"/>
  <c r="G102" i="10"/>
  <c r="G103" i="10"/>
  <c r="G104" i="10"/>
  <c r="G105" i="10"/>
  <c r="H105" i="10" s="1"/>
  <c r="G106" i="10"/>
  <c r="G107" i="10"/>
  <c r="G108" i="10"/>
  <c r="G109" i="10"/>
  <c r="H109" i="10" s="1"/>
  <c r="G110" i="10"/>
  <c r="G111" i="10"/>
  <c r="H111" i="10" s="1"/>
  <c r="G112" i="10"/>
  <c r="H112" i="10" s="1"/>
  <c r="G113" i="10"/>
  <c r="H113" i="10" s="1"/>
  <c r="G114" i="10"/>
  <c r="G115" i="10"/>
  <c r="G116" i="10"/>
  <c r="G117" i="10"/>
  <c r="H117" i="10" s="1"/>
  <c r="G118" i="10"/>
  <c r="G119" i="10"/>
  <c r="H119" i="10" s="1"/>
  <c r="G120" i="10"/>
  <c r="H120" i="10" s="1"/>
  <c r="G121" i="10"/>
  <c r="H121" i="10" s="1"/>
  <c r="G122" i="10"/>
  <c r="G123" i="10"/>
  <c r="H123" i="10" s="1"/>
  <c r="G124" i="10"/>
  <c r="G125" i="10"/>
  <c r="G126" i="10"/>
  <c r="G127" i="10"/>
  <c r="H127" i="10" s="1"/>
  <c r="G128" i="10"/>
  <c r="H128" i="10" s="1"/>
  <c r="H8" i="10"/>
  <c r="H10" i="10"/>
  <c r="H23" i="10"/>
  <c r="H24" i="10"/>
  <c r="H30" i="10"/>
  <c r="H31" i="10"/>
  <c r="H32" i="10"/>
  <c r="H34" i="10"/>
  <c r="H42" i="10"/>
  <c r="H47" i="10"/>
  <c r="H50" i="10"/>
  <c r="H56" i="10"/>
  <c r="H58" i="10"/>
  <c r="H72" i="10"/>
  <c r="H74" i="10"/>
  <c r="H79" i="10"/>
  <c r="H80" i="10"/>
  <c r="H87" i="10"/>
  <c r="H94" i="10"/>
  <c r="H95" i="10"/>
  <c r="H96" i="10"/>
  <c r="H102" i="10"/>
  <c r="H104" i="10"/>
  <c r="H110" i="10"/>
  <c r="H114" i="10"/>
  <c r="H116" i="10"/>
  <c r="H118" i="10"/>
  <c r="H7" i="10"/>
  <c r="H11" i="10"/>
  <c r="H17" i="10"/>
  <c r="H18" i="10"/>
  <c r="H19" i="10"/>
  <c r="H35" i="10"/>
  <c r="H43" i="10"/>
  <c r="H51" i="10"/>
  <c r="H55" i="10"/>
  <c r="H59" i="10"/>
  <c r="H66" i="10"/>
  <c r="H67" i="10"/>
  <c r="H71" i="10"/>
  <c r="H75" i="10"/>
  <c r="H81" i="10"/>
  <c r="H82" i="10"/>
  <c r="H83" i="10"/>
  <c r="H98" i="10"/>
  <c r="H99" i="10"/>
  <c r="H106" i="10"/>
  <c r="H107" i="10"/>
  <c r="H115" i="10"/>
  <c r="H122" i="10"/>
  <c r="H27" i="10"/>
  <c r="H49" i="10"/>
  <c r="H91" i="10"/>
  <c r="H126" i="10"/>
  <c r="H125" i="10"/>
  <c r="H124" i="10"/>
  <c r="H108" i="10"/>
  <c r="H103" i="10"/>
  <c r="H93" i="10"/>
  <c r="H92" i="10"/>
  <c r="H90" i="10"/>
  <c r="H86" i="10"/>
  <c r="H85" i="10"/>
  <c r="H78" i="10"/>
  <c r="H77" i="10"/>
  <c r="H76" i="10"/>
  <c r="H70" i="10"/>
  <c r="H68" i="10"/>
  <c r="H62" i="10"/>
  <c r="H54" i="10"/>
  <c r="H53" i="10"/>
  <c r="H52" i="10"/>
  <c r="H46" i="10"/>
  <c r="H44" i="10"/>
  <c r="H38" i="10"/>
  <c r="H36" i="10"/>
  <c r="H29" i="10"/>
  <c r="H28" i="10"/>
  <c r="H26" i="10"/>
  <c r="H22" i="10"/>
  <c r="H21" i="10"/>
  <c r="H14" i="10"/>
  <c r="H13" i="10"/>
  <c r="H12" i="10"/>
  <c r="H6" i="10"/>
  <c r="H4" i="10"/>
  <c r="H3" i="10"/>
  <c r="H2" i="10"/>
  <c r="H3" i="11" l="1"/>
  <c r="I2" i="11" s="1"/>
  <c r="J2" i="11"/>
  <c r="I2" i="10"/>
  <c r="E128" i="8"/>
  <c r="F128" i="8" s="1"/>
  <c r="E127" i="8"/>
  <c r="F127" i="8" s="1"/>
  <c r="E126" i="8"/>
  <c r="F126" i="8" s="1"/>
  <c r="E125" i="8"/>
  <c r="F125" i="8" s="1"/>
  <c r="E124" i="8"/>
  <c r="F124" i="8" s="1"/>
  <c r="E123" i="8"/>
  <c r="F123" i="8" s="1"/>
  <c r="E122" i="8"/>
  <c r="F122" i="8" s="1"/>
  <c r="E121" i="8"/>
  <c r="F121" i="8" s="1"/>
  <c r="E120" i="8"/>
  <c r="F120" i="8" s="1"/>
  <c r="E119" i="8"/>
  <c r="F119" i="8" s="1"/>
  <c r="E118" i="8"/>
  <c r="F118" i="8" s="1"/>
  <c r="E117" i="8"/>
  <c r="F117" i="8" s="1"/>
  <c r="E116" i="8"/>
  <c r="F116" i="8" s="1"/>
  <c r="E115" i="8"/>
  <c r="F115" i="8" s="1"/>
  <c r="E114" i="8"/>
  <c r="F114" i="8" s="1"/>
  <c r="E113" i="8"/>
  <c r="F113" i="8" s="1"/>
  <c r="E112" i="8"/>
  <c r="F112" i="8" s="1"/>
  <c r="E111" i="8"/>
  <c r="F111" i="8" s="1"/>
  <c r="E110" i="8"/>
  <c r="F110" i="8" s="1"/>
  <c r="E109" i="8"/>
  <c r="F109" i="8" s="1"/>
  <c r="E108" i="8"/>
  <c r="F108" i="8" s="1"/>
  <c r="E107" i="8"/>
  <c r="F107" i="8" s="1"/>
  <c r="E106" i="8"/>
  <c r="F106" i="8" s="1"/>
  <c r="E105" i="8"/>
  <c r="F105" i="8" s="1"/>
  <c r="E104" i="8"/>
  <c r="F104" i="8" s="1"/>
  <c r="E103" i="8"/>
  <c r="F103" i="8" s="1"/>
  <c r="E102" i="8"/>
  <c r="F102" i="8" s="1"/>
  <c r="E101" i="8"/>
  <c r="F101" i="8" s="1"/>
  <c r="E100" i="8"/>
  <c r="F100" i="8" s="1"/>
  <c r="E99" i="8"/>
  <c r="F99" i="8" s="1"/>
  <c r="E98" i="8"/>
  <c r="F98" i="8" s="1"/>
  <c r="E97" i="8"/>
  <c r="F97" i="8" s="1"/>
  <c r="E96" i="8"/>
  <c r="F96" i="8" s="1"/>
  <c r="E95" i="8"/>
  <c r="F95" i="8" s="1"/>
  <c r="E94" i="8"/>
  <c r="F94" i="8" s="1"/>
  <c r="E93" i="8"/>
  <c r="F93" i="8" s="1"/>
  <c r="E92" i="8"/>
  <c r="F92" i="8" s="1"/>
  <c r="E91" i="8"/>
  <c r="F91" i="8" s="1"/>
  <c r="E90" i="8"/>
  <c r="F90" i="8" s="1"/>
  <c r="E89" i="8"/>
  <c r="F89" i="8" s="1"/>
  <c r="E88" i="8"/>
  <c r="F88" i="8" s="1"/>
  <c r="E87" i="8"/>
  <c r="F87" i="8" s="1"/>
  <c r="E86" i="8"/>
  <c r="F86" i="8" s="1"/>
  <c r="E85" i="8"/>
  <c r="F85" i="8" s="1"/>
  <c r="E84" i="8"/>
  <c r="F84" i="8" s="1"/>
  <c r="E83" i="8"/>
  <c r="F83" i="8" s="1"/>
  <c r="E82" i="8"/>
  <c r="F82" i="8" s="1"/>
  <c r="E81" i="8"/>
  <c r="F81" i="8" s="1"/>
  <c r="E80" i="8"/>
  <c r="F80" i="8" s="1"/>
  <c r="E79" i="8"/>
  <c r="F79" i="8" s="1"/>
  <c r="E78" i="8"/>
  <c r="F78" i="8" s="1"/>
  <c r="E77" i="8"/>
  <c r="F77" i="8" s="1"/>
  <c r="E76" i="8"/>
  <c r="F76" i="8" s="1"/>
  <c r="E75" i="8"/>
  <c r="F75" i="8" s="1"/>
  <c r="E74" i="8"/>
  <c r="F74" i="8" s="1"/>
  <c r="E73" i="8"/>
  <c r="F73" i="8" s="1"/>
  <c r="E72" i="8"/>
  <c r="F72" i="8" s="1"/>
  <c r="E71" i="8"/>
  <c r="F71" i="8" s="1"/>
  <c r="E70" i="8"/>
  <c r="F70" i="8" s="1"/>
  <c r="E69" i="8"/>
  <c r="F69" i="8" s="1"/>
  <c r="E68" i="8"/>
  <c r="F68" i="8" s="1"/>
  <c r="E67" i="8"/>
  <c r="F67" i="8" s="1"/>
  <c r="E66" i="8"/>
  <c r="F66" i="8" s="1"/>
  <c r="E65" i="8"/>
  <c r="F65" i="8" s="1"/>
  <c r="E64" i="8"/>
  <c r="F64" i="8" s="1"/>
  <c r="E63" i="8"/>
  <c r="F63" i="8" s="1"/>
  <c r="E62" i="8"/>
  <c r="F62" i="8" s="1"/>
  <c r="E61" i="8"/>
  <c r="F61" i="8" s="1"/>
  <c r="E60" i="8"/>
  <c r="F60" i="8" s="1"/>
  <c r="E59" i="8"/>
  <c r="F59" i="8" s="1"/>
  <c r="E58" i="8"/>
  <c r="F58" i="8" s="1"/>
  <c r="E57" i="8"/>
  <c r="F57" i="8" s="1"/>
  <c r="E56" i="8"/>
  <c r="F56" i="8" s="1"/>
  <c r="E55" i="8"/>
  <c r="F55" i="8" s="1"/>
  <c r="E54" i="8"/>
  <c r="F54" i="8" s="1"/>
  <c r="E53" i="8"/>
  <c r="F53" i="8" s="1"/>
  <c r="E52" i="8"/>
  <c r="F52" i="8" s="1"/>
  <c r="E51" i="8"/>
  <c r="F51" i="8" s="1"/>
  <c r="E50" i="8"/>
  <c r="F50" i="8" s="1"/>
  <c r="E49" i="8"/>
  <c r="F49" i="8" s="1"/>
  <c r="E48" i="8"/>
  <c r="F48" i="8" s="1"/>
  <c r="E47" i="8"/>
  <c r="F47" i="8" s="1"/>
  <c r="E46" i="8"/>
  <c r="F46" i="8" s="1"/>
  <c r="E45" i="8"/>
  <c r="F45" i="8" s="1"/>
  <c r="E44" i="8"/>
  <c r="F44" i="8" s="1"/>
  <c r="E43" i="8"/>
  <c r="F43" i="8" s="1"/>
  <c r="E42" i="8"/>
  <c r="F42" i="8" s="1"/>
  <c r="E41" i="8"/>
  <c r="F41" i="8" s="1"/>
  <c r="E40" i="8"/>
  <c r="F40" i="8" s="1"/>
  <c r="E39" i="8"/>
  <c r="F39" i="8" s="1"/>
  <c r="E38" i="8"/>
  <c r="F38" i="8" s="1"/>
  <c r="E37" i="8"/>
  <c r="F37" i="8" s="1"/>
  <c r="E36" i="8"/>
  <c r="F36" i="8" s="1"/>
  <c r="E35" i="8"/>
  <c r="F35" i="8" s="1"/>
  <c r="E34" i="8"/>
  <c r="F34" i="8" s="1"/>
  <c r="E33" i="8"/>
  <c r="F33" i="8" s="1"/>
  <c r="E32" i="8"/>
  <c r="F32" i="8" s="1"/>
  <c r="E31" i="8"/>
  <c r="F31" i="8" s="1"/>
  <c r="E30" i="8"/>
  <c r="F30" i="8" s="1"/>
  <c r="E29" i="8"/>
  <c r="F29" i="8" s="1"/>
  <c r="E28" i="8"/>
  <c r="F28" i="8" s="1"/>
  <c r="E27" i="8"/>
  <c r="F27" i="8" s="1"/>
  <c r="E26" i="8"/>
  <c r="F26" i="8" s="1"/>
  <c r="E25" i="8"/>
  <c r="F25" i="8" s="1"/>
  <c r="E24" i="8"/>
  <c r="F24" i="8" s="1"/>
  <c r="E23" i="8"/>
  <c r="F23" i="8" s="1"/>
  <c r="E22" i="8"/>
  <c r="F22" i="8" s="1"/>
  <c r="E21" i="8"/>
  <c r="F21" i="8" s="1"/>
  <c r="E20" i="8"/>
  <c r="F20" i="8" s="1"/>
  <c r="E19" i="8"/>
  <c r="F19" i="8" s="1"/>
  <c r="E18" i="8"/>
  <c r="F18" i="8" s="1"/>
  <c r="E17" i="8"/>
  <c r="F17" i="8" s="1"/>
  <c r="E16" i="8"/>
  <c r="F16" i="8" s="1"/>
  <c r="E15" i="8"/>
  <c r="F15" i="8" s="1"/>
  <c r="E14" i="8"/>
  <c r="F14" i="8" s="1"/>
  <c r="E13" i="8"/>
  <c r="F13" i="8" s="1"/>
  <c r="E12" i="8"/>
  <c r="F12" i="8" s="1"/>
  <c r="E11" i="8"/>
  <c r="F11" i="8" s="1"/>
  <c r="E10" i="8"/>
  <c r="F10" i="8" s="1"/>
  <c r="F9" i="8"/>
  <c r="E9" i="8"/>
  <c r="E8" i="8"/>
  <c r="F8" i="8" s="1"/>
  <c r="E7" i="8"/>
  <c r="F7" i="8" s="1"/>
  <c r="E6" i="8"/>
  <c r="F6" i="8" s="1"/>
  <c r="E5" i="8"/>
  <c r="F5" i="8" s="1"/>
  <c r="E4" i="8"/>
  <c r="F4" i="8" s="1"/>
  <c r="E3" i="8"/>
  <c r="F3" i="8" s="1"/>
  <c r="E2" i="8"/>
  <c r="F2" i="8" s="1"/>
  <c r="G2" i="8" l="1"/>
  <c r="E128" i="7"/>
  <c r="F128" i="7" s="1"/>
  <c r="E127" i="7"/>
  <c r="F127" i="7" s="1"/>
  <c r="E126" i="7"/>
  <c r="F126" i="7" s="1"/>
  <c r="E125" i="7"/>
  <c r="F125" i="7" s="1"/>
  <c r="E124" i="7"/>
  <c r="F124" i="7" s="1"/>
  <c r="E123" i="7"/>
  <c r="F123" i="7" s="1"/>
  <c r="E122" i="7"/>
  <c r="F122" i="7" s="1"/>
  <c r="E121" i="7"/>
  <c r="F121" i="7" s="1"/>
  <c r="E120" i="7"/>
  <c r="F120" i="7" s="1"/>
  <c r="E119" i="7"/>
  <c r="F119" i="7" s="1"/>
  <c r="E118" i="7"/>
  <c r="F118" i="7" s="1"/>
  <c r="E117" i="7"/>
  <c r="F117" i="7" s="1"/>
  <c r="E116" i="7"/>
  <c r="F116" i="7" s="1"/>
  <c r="E115" i="7"/>
  <c r="F115" i="7" s="1"/>
  <c r="E114" i="7"/>
  <c r="F114" i="7" s="1"/>
  <c r="E113" i="7"/>
  <c r="F113" i="7" s="1"/>
  <c r="E112" i="7"/>
  <c r="F112" i="7" s="1"/>
  <c r="E111" i="7"/>
  <c r="F111" i="7" s="1"/>
  <c r="E110" i="7"/>
  <c r="F110" i="7" s="1"/>
  <c r="E109" i="7"/>
  <c r="F109" i="7" s="1"/>
  <c r="E108" i="7"/>
  <c r="F108" i="7" s="1"/>
  <c r="E107" i="7"/>
  <c r="F107" i="7" s="1"/>
  <c r="E106" i="7"/>
  <c r="F106" i="7" s="1"/>
  <c r="E105" i="7"/>
  <c r="F105" i="7" s="1"/>
  <c r="E104" i="7"/>
  <c r="F104" i="7" s="1"/>
  <c r="E103" i="7"/>
  <c r="F103" i="7" s="1"/>
  <c r="E102" i="7"/>
  <c r="F102" i="7" s="1"/>
  <c r="E101" i="7"/>
  <c r="F101" i="7" s="1"/>
  <c r="E100" i="7"/>
  <c r="F100" i="7" s="1"/>
  <c r="E99" i="7"/>
  <c r="F99" i="7" s="1"/>
  <c r="E98" i="7"/>
  <c r="F98" i="7" s="1"/>
  <c r="E97" i="7"/>
  <c r="F97" i="7" s="1"/>
  <c r="E96" i="7"/>
  <c r="F96" i="7" s="1"/>
  <c r="E95" i="7"/>
  <c r="F95" i="7" s="1"/>
  <c r="E94" i="7"/>
  <c r="F94" i="7" s="1"/>
  <c r="E93" i="7"/>
  <c r="F93" i="7" s="1"/>
  <c r="E92" i="7"/>
  <c r="F92" i="7" s="1"/>
  <c r="E91" i="7"/>
  <c r="F91" i="7" s="1"/>
  <c r="E90" i="7"/>
  <c r="F90" i="7" s="1"/>
  <c r="E89" i="7"/>
  <c r="F89" i="7" s="1"/>
  <c r="E88" i="7"/>
  <c r="F88" i="7" s="1"/>
  <c r="E87" i="7"/>
  <c r="F87" i="7" s="1"/>
  <c r="E86" i="7"/>
  <c r="F86" i="7" s="1"/>
  <c r="E85" i="7"/>
  <c r="F85" i="7" s="1"/>
  <c r="E84" i="7"/>
  <c r="F84" i="7" s="1"/>
  <c r="E83" i="7"/>
  <c r="F83" i="7" s="1"/>
  <c r="E82" i="7"/>
  <c r="F82" i="7" s="1"/>
  <c r="E81" i="7"/>
  <c r="F81" i="7" s="1"/>
  <c r="E80" i="7"/>
  <c r="F80" i="7" s="1"/>
  <c r="E79" i="7"/>
  <c r="F79" i="7" s="1"/>
  <c r="E78" i="7"/>
  <c r="F78" i="7" s="1"/>
  <c r="E77" i="7"/>
  <c r="F77" i="7" s="1"/>
  <c r="E76" i="7"/>
  <c r="F76" i="7" s="1"/>
  <c r="E75" i="7"/>
  <c r="F75" i="7" s="1"/>
  <c r="E74" i="7"/>
  <c r="F74" i="7" s="1"/>
  <c r="E73" i="7"/>
  <c r="F73" i="7" s="1"/>
  <c r="E72" i="7"/>
  <c r="F72" i="7" s="1"/>
  <c r="E71" i="7"/>
  <c r="F71" i="7" s="1"/>
  <c r="E70" i="7"/>
  <c r="F70" i="7" s="1"/>
  <c r="E69" i="7"/>
  <c r="F69" i="7" s="1"/>
  <c r="E68" i="7"/>
  <c r="F68" i="7" s="1"/>
  <c r="E67" i="7"/>
  <c r="F67" i="7" s="1"/>
  <c r="E66" i="7"/>
  <c r="F66" i="7" s="1"/>
  <c r="E65" i="7"/>
  <c r="F65" i="7" s="1"/>
  <c r="E64" i="7"/>
  <c r="F64" i="7" s="1"/>
  <c r="E63" i="7"/>
  <c r="F63" i="7" s="1"/>
  <c r="E62" i="7"/>
  <c r="F62" i="7" s="1"/>
  <c r="E61" i="7"/>
  <c r="F61" i="7" s="1"/>
  <c r="E60" i="7"/>
  <c r="F60" i="7" s="1"/>
  <c r="E59" i="7"/>
  <c r="F59" i="7" s="1"/>
  <c r="E58" i="7"/>
  <c r="F58" i="7" s="1"/>
  <c r="E57" i="7"/>
  <c r="F57" i="7" s="1"/>
  <c r="E56" i="7"/>
  <c r="F56" i="7" s="1"/>
  <c r="E55" i="7"/>
  <c r="F55" i="7" s="1"/>
  <c r="E54" i="7"/>
  <c r="F54" i="7" s="1"/>
  <c r="E53" i="7"/>
  <c r="F53" i="7" s="1"/>
  <c r="E52" i="7"/>
  <c r="F52" i="7" s="1"/>
  <c r="E51" i="7"/>
  <c r="F51" i="7" s="1"/>
  <c r="E50" i="7"/>
  <c r="F50" i="7" s="1"/>
  <c r="E49" i="7"/>
  <c r="F49" i="7" s="1"/>
  <c r="E48" i="7"/>
  <c r="F48" i="7" s="1"/>
  <c r="E47" i="7"/>
  <c r="F47" i="7" s="1"/>
  <c r="E46" i="7"/>
  <c r="F46" i="7" s="1"/>
  <c r="E45" i="7"/>
  <c r="F45" i="7" s="1"/>
  <c r="E44" i="7"/>
  <c r="F44" i="7" s="1"/>
  <c r="E43" i="7"/>
  <c r="F43" i="7" s="1"/>
  <c r="E42" i="7"/>
  <c r="F42" i="7" s="1"/>
  <c r="E41" i="7"/>
  <c r="F41" i="7" s="1"/>
  <c r="E40" i="7"/>
  <c r="F40" i="7" s="1"/>
  <c r="E39" i="7"/>
  <c r="F39" i="7" s="1"/>
  <c r="E38" i="7"/>
  <c r="F38" i="7" s="1"/>
  <c r="E37" i="7"/>
  <c r="F37" i="7" s="1"/>
  <c r="E36" i="7"/>
  <c r="F36" i="7" s="1"/>
  <c r="E35" i="7"/>
  <c r="F35" i="7" s="1"/>
  <c r="E34" i="7"/>
  <c r="F34" i="7" s="1"/>
  <c r="E33" i="7"/>
  <c r="F33" i="7" s="1"/>
  <c r="E32" i="7"/>
  <c r="F32" i="7" s="1"/>
  <c r="E31" i="7"/>
  <c r="F31" i="7" s="1"/>
  <c r="E30" i="7"/>
  <c r="F30" i="7" s="1"/>
  <c r="E29" i="7"/>
  <c r="F29" i="7" s="1"/>
  <c r="E28" i="7"/>
  <c r="F28" i="7" s="1"/>
  <c r="E27" i="7"/>
  <c r="F27" i="7" s="1"/>
  <c r="E26" i="7"/>
  <c r="F26" i="7" s="1"/>
  <c r="E25" i="7"/>
  <c r="F25" i="7" s="1"/>
  <c r="E24" i="7"/>
  <c r="F24" i="7" s="1"/>
  <c r="E23" i="7"/>
  <c r="F23" i="7" s="1"/>
  <c r="E22" i="7"/>
  <c r="F22" i="7" s="1"/>
  <c r="E21" i="7"/>
  <c r="F21" i="7" s="1"/>
  <c r="E20" i="7"/>
  <c r="F20" i="7" s="1"/>
  <c r="E19" i="7"/>
  <c r="F19" i="7" s="1"/>
  <c r="E18" i="7"/>
  <c r="F18" i="7" s="1"/>
  <c r="E17" i="7"/>
  <c r="F17" i="7" s="1"/>
  <c r="E16" i="7"/>
  <c r="F16" i="7" s="1"/>
  <c r="E15" i="7"/>
  <c r="F15" i="7" s="1"/>
  <c r="E14" i="7"/>
  <c r="F14" i="7" s="1"/>
  <c r="E13" i="7"/>
  <c r="F13" i="7" s="1"/>
  <c r="E12" i="7"/>
  <c r="F12" i="7" s="1"/>
  <c r="E11" i="7"/>
  <c r="F11" i="7" s="1"/>
  <c r="E10" i="7"/>
  <c r="F10" i="7" s="1"/>
  <c r="E9" i="7"/>
  <c r="F9" i="7" s="1"/>
  <c r="E8" i="7"/>
  <c r="F8" i="7" s="1"/>
  <c r="E7" i="7"/>
  <c r="F7" i="7" s="1"/>
  <c r="E6" i="7"/>
  <c r="F6" i="7" s="1"/>
  <c r="E5" i="7"/>
  <c r="F5" i="7" s="1"/>
  <c r="E4" i="7"/>
  <c r="F4" i="7" s="1"/>
  <c r="E3" i="7"/>
  <c r="F3" i="7" s="1"/>
  <c r="E2" i="7"/>
  <c r="F2" i="7" s="1"/>
  <c r="F8" i="6"/>
  <c r="F32" i="6"/>
  <c r="F40" i="6"/>
  <c r="F64" i="6"/>
  <c r="F96" i="6"/>
  <c r="F104" i="6"/>
  <c r="F119" i="6"/>
  <c r="F120" i="6"/>
  <c r="E3" i="6"/>
  <c r="F3" i="6" s="1"/>
  <c r="E4" i="6"/>
  <c r="F4" i="6" s="1"/>
  <c r="E5" i="6"/>
  <c r="F5" i="6" s="1"/>
  <c r="E6" i="6"/>
  <c r="F6" i="6" s="1"/>
  <c r="E7" i="6"/>
  <c r="F7" i="6" s="1"/>
  <c r="E8" i="6"/>
  <c r="E9" i="6"/>
  <c r="F9" i="6" s="1"/>
  <c r="E10" i="6"/>
  <c r="F10" i="6" s="1"/>
  <c r="E11" i="6"/>
  <c r="F11" i="6" s="1"/>
  <c r="E12" i="6"/>
  <c r="F12" i="6" s="1"/>
  <c r="E13" i="6"/>
  <c r="F13" i="6" s="1"/>
  <c r="E14" i="6"/>
  <c r="F14" i="6" s="1"/>
  <c r="E15" i="6"/>
  <c r="F15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E22" i="6"/>
  <c r="F22" i="6" s="1"/>
  <c r="E23" i="6"/>
  <c r="F23" i="6" s="1"/>
  <c r="E24" i="6"/>
  <c r="F24" i="6" s="1"/>
  <c r="E25" i="6"/>
  <c r="F25" i="6" s="1"/>
  <c r="E26" i="6"/>
  <c r="F26" i="6" s="1"/>
  <c r="E27" i="6"/>
  <c r="F27" i="6" s="1"/>
  <c r="E28" i="6"/>
  <c r="F28" i="6" s="1"/>
  <c r="E29" i="6"/>
  <c r="F29" i="6" s="1"/>
  <c r="E30" i="6"/>
  <c r="F30" i="6" s="1"/>
  <c r="E31" i="6"/>
  <c r="F31" i="6" s="1"/>
  <c r="E32" i="6"/>
  <c r="E33" i="6"/>
  <c r="F33" i="6" s="1"/>
  <c r="E34" i="6"/>
  <c r="F34" i="6" s="1"/>
  <c r="E35" i="6"/>
  <c r="F35" i="6" s="1"/>
  <c r="E36" i="6"/>
  <c r="F36" i="6" s="1"/>
  <c r="E37" i="6"/>
  <c r="F37" i="6" s="1"/>
  <c r="E38" i="6"/>
  <c r="F38" i="6" s="1"/>
  <c r="E39" i="6"/>
  <c r="F39" i="6" s="1"/>
  <c r="E40" i="6"/>
  <c r="E41" i="6"/>
  <c r="F41" i="6" s="1"/>
  <c r="E42" i="6"/>
  <c r="F42" i="6" s="1"/>
  <c r="E43" i="6"/>
  <c r="F43" i="6" s="1"/>
  <c r="E44" i="6"/>
  <c r="F44" i="6" s="1"/>
  <c r="E45" i="6"/>
  <c r="F45" i="6" s="1"/>
  <c r="E46" i="6"/>
  <c r="F46" i="6" s="1"/>
  <c r="E47" i="6"/>
  <c r="F47" i="6" s="1"/>
  <c r="E48" i="6"/>
  <c r="F48" i="6" s="1"/>
  <c r="E49" i="6"/>
  <c r="F49" i="6" s="1"/>
  <c r="E50" i="6"/>
  <c r="F50" i="6" s="1"/>
  <c r="E51" i="6"/>
  <c r="F51" i="6" s="1"/>
  <c r="E52" i="6"/>
  <c r="F52" i="6" s="1"/>
  <c r="E53" i="6"/>
  <c r="F53" i="6" s="1"/>
  <c r="E54" i="6"/>
  <c r="F54" i="6" s="1"/>
  <c r="E55" i="6"/>
  <c r="F55" i="6" s="1"/>
  <c r="E56" i="6"/>
  <c r="F56" i="6" s="1"/>
  <c r="E57" i="6"/>
  <c r="F57" i="6" s="1"/>
  <c r="E58" i="6"/>
  <c r="F58" i="6" s="1"/>
  <c r="E59" i="6"/>
  <c r="F59" i="6" s="1"/>
  <c r="E60" i="6"/>
  <c r="F60" i="6" s="1"/>
  <c r="E61" i="6"/>
  <c r="F61" i="6" s="1"/>
  <c r="E62" i="6"/>
  <c r="F62" i="6" s="1"/>
  <c r="E63" i="6"/>
  <c r="F63" i="6" s="1"/>
  <c r="E64" i="6"/>
  <c r="E65" i="6"/>
  <c r="F65" i="6" s="1"/>
  <c r="E66" i="6"/>
  <c r="F66" i="6" s="1"/>
  <c r="E67" i="6"/>
  <c r="F67" i="6" s="1"/>
  <c r="E68" i="6"/>
  <c r="F68" i="6" s="1"/>
  <c r="E69" i="6"/>
  <c r="F69" i="6" s="1"/>
  <c r="E70" i="6"/>
  <c r="F70" i="6" s="1"/>
  <c r="E71" i="6"/>
  <c r="F71" i="6" s="1"/>
  <c r="E72" i="6"/>
  <c r="F72" i="6" s="1"/>
  <c r="E73" i="6"/>
  <c r="F73" i="6" s="1"/>
  <c r="E74" i="6"/>
  <c r="F74" i="6" s="1"/>
  <c r="E75" i="6"/>
  <c r="F75" i="6" s="1"/>
  <c r="E76" i="6"/>
  <c r="F76" i="6" s="1"/>
  <c r="E77" i="6"/>
  <c r="F77" i="6" s="1"/>
  <c r="E78" i="6"/>
  <c r="F78" i="6" s="1"/>
  <c r="E79" i="6"/>
  <c r="F79" i="6" s="1"/>
  <c r="E80" i="6"/>
  <c r="F80" i="6" s="1"/>
  <c r="E81" i="6"/>
  <c r="F81" i="6" s="1"/>
  <c r="E82" i="6"/>
  <c r="F82" i="6" s="1"/>
  <c r="E83" i="6"/>
  <c r="F83" i="6" s="1"/>
  <c r="E84" i="6"/>
  <c r="F84" i="6" s="1"/>
  <c r="E85" i="6"/>
  <c r="F85" i="6" s="1"/>
  <c r="E86" i="6"/>
  <c r="F86" i="6" s="1"/>
  <c r="E87" i="6"/>
  <c r="F87" i="6" s="1"/>
  <c r="E88" i="6"/>
  <c r="F88" i="6" s="1"/>
  <c r="E89" i="6"/>
  <c r="F89" i="6" s="1"/>
  <c r="E90" i="6"/>
  <c r="F90" i="6" s="1"/>
  <c r="E91" i="6"/>
  <c r="F91" i="6" s="1"/>
  <c r="E92" i="6"/>
  <c r="F92" i="6" s="1"/>
  <c r="E93" i="6"/>
  <c r="F93" i="6" s="1"/>
  <c r="E94" i="6"/>
  <c r="F94" i="6" s="1"/>
  <c r="E95" i="6"/>
  <c r="F95" i="6" s="1"/>
  <c r="E96" i="6"/>
  <c r="E97" i="6"/>
  <c r="F97" i="6" s="1"/>
  <c r="E98" i="6"/>
  <c r="F98" i="6" s="1"/>
  <c r="E99" i="6"/>
  <c r="F99" i="6" s="1"/>
  <c r="E100" i="6"/>
  <c r="F100" i="6" s="1"/>
  <c r="E101" i="6"/>
  <c r="F101" i="6" s="1"/>
  <c r="E102" i="6"/>
  <c r="F102" i="6" s="1"/>
  <c r="E103" i="6"/>
  <c r="F103" i="6" s="1"/>
  <c r="E104" i="6"/>
  <c r="E105" i="6"/>
  <c r="F105" i="6" s="1"/>
  <c r="E106" i="6"/>
  <c r="F106" i="6" s="1"/>
  <c r="E107" i="6"/>
  <c r="F107" i="6" s="1"/>
  <c r="E108" i="6"/>
  <c r="F108" i="6" s="1"/>
  <c r="E109" i="6"/>
  <c r="F109" i="6" s="1"/>
  <c r="E110" i="6"/>
  <c r="F110" i="6" s="1"/>
  <c r="E111" i="6"/>
  <c r="F111" i="6" s="1"/>
  <c r="E112" i="6"/>
  <c r="F112" i="6" s="1"/>
  <c r="E113" i="6"/>
  <c r="F113" i="6" s="1"/>
  <c r="E114" i="6"/>
  <c r="F114" i="6" s="1"/>
  <c r="E115" i="6"/>
  <c r="F115" i="6" s="1"/>
  <c r="E116" i="6"/>
  <c r="F116" i="6" s="1"/>
  <c r="E117" i="6"/>
  <c r="F117" i="6" s="1"/>
  <c r="E118" i="6"/>
  <c r="F118" i="6" s="1"/>
  <c r="E119" i="6"/>
  <c r="E120" i="6"/>
  <c r="E121" i="6"/>
  <c r="F121" i="6" s="1"/>
  <c r="E122" i="6"/>
  <c r="F122" i="6" s="1"/>
  <c r="E123" i="6"/>
  <c r="F123" i="6" s="1"/>
  <c r="E124" i="6"/>
  <c r="F124" i="6" s="1"/>
  <c r="E125" i="6"/>
  <c r="F125" i="6" s="1"/>
  <c r="E126" i="6"/>
  <c r="F126" i="6" s="1"/>
  <c r="E127" i="6"/>
  <c r="F127" i="6" s="1"/>
  <c r="E128" i="6"/>
  <c r="F128" i="6" s="1"/>
  <c r="E2" i="6"/>
  <c r="F2" i="6" s="1"/>
  <c r="G2" i="7" l="1"/>
  <c r="G2" i="6"/>
  <c r="E128" i="3" l="1"/>
  <c r="F128" i="3" s="1"/>
  <c r="E127" i="3"/>
  <c r="F127" i="3" s="1"/>
  <c r="E126" i="3"/>
  <c r="F126" i="3" s="1"/>
  <c r="E125" i="3"/>
  <c r="F125" i="3" s="1"/>
  <c r="E124" i="3"/>
  <c r="F124" i="3" s="1"/>
  <c r="E123" i="3"/>
  <c r="F123" i="3" s="1"/>
  <c r="E122" i="3"/>
  <c r="F122" i="3" s="1"/>
  <c r="E121" i="3"/>
  <c r="F121" i="3" s="1"/>
  <c r="E120" i="3"/>
  <c r="F120" i="3" s="1"/>
  <c r="E119" i="3"/>
  <c r="F119" i="3" s="1"/>
  <c r="E118" i="3"/>
  <c r="F118" i="3" s="1"/>
  <c r="E117" i="3"/>
  <c r="F117" i="3" s="1"/>
  <c r="E116" i="3"/>
  <c r="F116" i="3" s="1"/>
  <c r="E115" i="3"/>
  <c r="F115" i="3" s="1"/>
  <c r="E114" i="3"/>
  <c r="F114" i="3" s="1"/>
  <c r="E113" i="3"/>
  <c r="F113" i="3" s="1"/>
  <c r="E112" i="3"/>
  <c r="F112" i="3" s="1"/>
  <c r="E111" i="3"/>
  <c r="F111" i="3" s="1"/>
  <c r="E110" i="3"/>
  <c r="F110" i="3" s="1"/>
  <c r="E109" i="3"/>
  <c r="F109" i="3" s="1"/>
  <c r="E108" i="3"/>
  <c r="F108" i="3" s="1"/>
  <c r="E107" i="3"/>
  <c r="F107" i="3" s="1"/>
  <c r="E106" i="3"/>
  <c r="F106" i="3" s="1"/>
  <c r="E105" i="3"/>
  <c r="F105" i="3" s="1"/>
  <c r="E104" i="3"/>
  <c r="F104" i="3" s="1"/>
  <c r="E103" i="3"/>
  <c r="F103" i="3" s="1"/>
  <c r="E102" i="3"/>
  <c r="F102" i="3" s="1"/>
  <c r="E101" i="3"/>
  <c r="F101" i="3" s="1"/>
  <c r="E100" i="3"/>
  <c r="F100" i="3" s="1"/>
  <c r="E99" i="3"/>
  <c r="F99" i="3" s="1"/>
  <c r="E98" i="3"/>
  <c r="F98" i="3" s="1"/>
  <c r="E97" i="3"/>
  <c r="F97" i="3" s="1"/>
  <c r="E96" i="3"/>
  <c r="F96" i="3" s="1"/>
  <c r="E95" i="3"/>
  <c r="F95" i="3" s="1"/>
  <c r="E94" i="3"/>
  <c r="F94" i="3" s="1"/>
  <c r="E93" i="3"/>
  <c r="F93" i="3" s="1"/>
  <c r="E92" i="3"/>
  <c r="F92" i="3" s="1"/>
  <c r="E91" i="3"/>
  <c r="F91" i="3" s="1"/>
  <c r="E90" i="3"/>
  <c r="F90" i="3" s="1"/>
  <c r="E89" i="3"/>
  <c r="F89" i="3" s="1"/>
  <c r="E88" i="3"/>
  <c r="F88" i="3" s="1"/>
  <c r="E87" i="3"/>
  <c r="F87" i="3" s="1"/>
  <c r="E86" i="3"/>
  <c r="F86" i="3" s="1"/>
  <c r="E85" i="3"/>
  <c r="F85" i="3" s="1"/>
  <c r="E84" i="3"/>
  <c r="F84" i="3" s="1"/>
  <c r="E83" i="3"/>
  <c r="F83" i="3" s="1"/>
  <c r="E82" i="3"/>
  <c r="F82" i="3" s="1"/>
  <c r="E81" i="3"/>
  <c r="F81" i="3" s="1"/>
  <c r="E80" i="3"/>
  <c r="F80" i="3" s="1"/>
  <c r="E79" i="3"/>
  <c r="F79" i="3" s="1"/>
  <c r="E78" i="3"/>
  <c r="F78" i="3" s="1"/>
  <c r="E77" i="3"/>
  <c r="F77" i="3" s="1"/>
  <c r="E76" i="3"/>
  <c r="F76" i="3" s="1"/>
  <c r="E75" i="3"/>
  <c r="F75" i="3" s="1"/>
  <c r="E74" i="3"/>
  <c r="F74" i="3" s="1"/>
  <c r="E73" i="3"/>
  <c r="F73" i="3" s="1"/>
  <c r="E72" i="3"/>
  <c r="F72" i="3" s="1"/>
  <c r="E71" i="3"/>
  <c r="F71" i="3" s="1"/>
  <c r="E70" i="3"/>
  <c r="F70" i="3" s="1"/>
  <c r="E69" i="3"/>
  <c r="F69" i="3" s="1"/>
  <c r="E68" i="3"/>
  <c r="F68" i="3" s="1"/>
  <c r="E67" i="3"/>
  <c r="F67" i="3" s="1"/>
  <c r="E66" i="3"/>
  <c r="F66" i="3" s="1"/>
  <c r="E65" i="3"/>
  <c r="F65" i="3" s="1"/>
  <c r="E64" i="3"/>
  <c r="F64" i="3" s="1"/>
  <c r="E63" i="3"/>
  <c r="F63" i="3" s="1"/>
  <c r="E62" i="3"/>
  <c r="F62" i="3" s="1"/>
  <c r="E61" i="3"/>
  <c r="F61" i="3" s="1"/>
  <c r="E60" i="3"/>
  <c r="F60" i="3" s="1"/>
  <c r="E59" i="3"/>
  <c r="F59" i="3" s="1"/>
  <c r="E58" i="3"/>
  <c r="F58" i="3" s="1"/>
  <c r="E57" i="3"/>
  <c r="F57" i="3" s="1"/>
  <c r="E56" i="3"/>
  <c r="F56" i="3" s="1"/>
  <c r="E55" i="3"/>
  <c r="F55" i="3" s="1"/>
  <c r="E54" i="3"/>
  <c r="F54" i="3" s="1"/>
  <c r="E53" i="3"/>
  <c r="F53" i="3" s="1"/>
  <c r="E52" i="3"/>
  <c r="F52" i="3" s="1"/>
  <c r="E51" i="3"/>
  <c r="F51" i="3" s="1"/>
  <c r="E50" i="3"/>
  <c r="F50" i="3" s="1"/>
  <c r="E49" i="3"/>
  <c r="F49" i="3" s="1"/>
  <c r="E48" i="3"/>
  <c r="F48" i="3" s="1"/>
  <c r="E47" i="3"/>
  <c r="F47" i="3" s="1"/>
  <c r="E46" i="3"/>
  <c r="F46" i="3" s="1"/>
  <c r="E45" i="3"/>
  <c r="F45" i="3" s="1"/>
  <c r="E44" i="3"/>
  <c r="F44" i="3" s="1"/>
  <c r="E43" i="3"/>
  <c r="F43" i="3" s="1"/>
  <c r="E42" i="3"/>
  <c r="F42" i="3" s="1"/>
  <c r="E41" i="3"/>
  <c r="F41" i="3" s="1"/>
  <c r="E40" i="3"/>
  <c r="F40" i="3" s="1"/>
  <c r="E39" i="3"/>
  <c r="F39" i="3" s="1"/>
  <c r="E38" i="3"/>
  <c r="F38" i="3" s="1"/>
  <c r="E37" i="3"/>
  <c r="F37" i="3" s="1"/>
  <c r="E36" i="3"/>
  <c r="F36" i="3" s="1"/>
  <c r="E35" i="3"/>
  <c r="F35" i="3" s="1"/>
  <c r="E34" i="3"/>
  <c r="F34" i="3" s="1"/>
  <c r="E33" i="3"/>
  <c r="F33" i="3" s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6" i="3"/>
  <c r="F26" i="3" s="1"/>
  <c r="E25" i="3"/>
  <c r="F25" i="3" s="1"/>
  <c r="E24" i="3"/>
  <c r="F24" i="3" s="1"/>
  <c r="E23" i="3"/>
  <c r="F23" i="3" s="1"/>
  <c r="E22" i="3"/>
  <c r="F22" i="3" s="1"/>
  <c r="E21" i="3"/>
  <c r="F21" i="3" s="1"/>
  <c r="E20" i="3"/>
  <c r="F20" i="3" s="1"/>
  <c r="E19" i="3"/>
  <c r="F19" i="3" s="1"/>
  <c r="E18" i="3"/>
  <c r="F18" i="3" s="1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E4" i="3"/>
  <c r="F4" i="3" s="1"/>
  <c r="E3" i="3"/>
  <c r="F3" i="3" s="1"/>
  <c r="E2" i="3"/>
  <c r="F2" i="3" s="1"/>
  <c r="G2" i="3" l="1"/>
</calcChain>
</file>

<file path=xl/sharedStrings.xml><?xml version="1.0" encoding="utf-8"?>
<sst xmlns="http://schemas.openxmlformats.org/spreadsheetml/2006/main" count="53" uniqueCount="11">
  <si>
    <t>MtgRate</t>
  </si>
  <si>
    <t>asof</t>
  </si>
  <si>
    <t>media_model</t>
  </si>
  <si>
    <t>media_actual</t>
  </si>
  <si>
    <t>error</t>
  </si>
  <si>
    <t>RMSE</t>
  </si>
  <si>
    <t>media_model_before adj</t>
  </si>
  <si>
    <t>media_model_adj</t>
  </si>
  <si>
    <t>Adj</t>
  </si>
  <si>
    <t>-</t>
  </si>
  <si>
    <t>Std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</si>
</sst>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</a:t>
            </a:r>
            <a:endParaRPr lang="en-US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12.5bps'!$C$1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12.5bps'!$A$2:$A$128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12.5bps'!$C$2:$C$128</c:f>
              <c:numCache>
                <c:formatCode>0.00</c:formatCode>
                <c:ptCount val="127"/>
                <c:pt idx="0">
                  <c:v>41.960889769449402</c:v>
                </c:pt>
                <c:pt idx="1">
                  <c:v>50.189838928182397</c:v>
                </c:pt>
                <c:pt idx="2">
                  <c:v>37.6613722654727</c:v>
                </c:pt>
                <c:pt idx="3">
                  <c:v>32.882839453693201</c:v>
                </c:pt>
                <c:pt idx="4">
                  <c:v>30.872830549124</c:v>
                </c:pt>
                <c:pt idx="5">
                  <c:v>29.926049681611399</c:v>
                </c:pt>
                <c:pt idx="6">
                  <c:v>34.724693621134797</c:v>
                </c:pt>
                <c:pt idx="7">
                  <c:v>56.095981662475701</c:v>
                </c:pt>
                <c:pt idx="8">
                  <c:v>85.831037837818002</c:v>
                </c:pt>
                <c:pt idx="9">
                  <c:v>85.549620347620902</c:v>
                </c:pt>
                <c:pt idx="10">
                  <c:v>84.816687433661002</c:v>
                </c:pt>
                <c:pt idx="11">
                  <c:v>85.447534953628406</c:v>
                </c:pt>
                <c:pt idx="12">
                  <c:v>79.559422842016801</c:v>
                </c:pt>
                <c:pt idx="13">
                  <c:v>82.059405411264507</c:v>
                </c:pt>
                <c:pt idx="14">
                  <c:v>82.673273395177304</c:v>
                </c:pt>
                <c:pt idx="15">
                  <c:v>73.753162248169403</c:v>
                </c:pt>
                <c:pt idx="16">
                  <c:v>72.682690524260806</c:v>
                </c:pt>
                <c:pt idx="17">
                  <c:v>51.209323992448603</c:v>
                </c:pt>
                <c:pt idx="18">
                  <c:v>58.484772764043598</c:v>
                </c:pt>
                <c:pt idx="19">
                  <c:v>57.565169535090199</c:v>
                </c:pt>
                <c:pt idx="20">
                  <c:v>63.989652059751997</c:v>
                </c:pt>
                <c:pt idx="21">
                  <c:v>54.070639143810197</c:v>
                </c:pt>
                <c:pt idx="22">
                  <c:v>55.598147548238899</c:v>
                </c:pt>
                <c:pt idx="23">
                  <c:v>50.9380497312766</c:v>
                </c:pt>
                <c:pt idx="24">
                  <c:v>49.872942557615801</c:v>
                </c:pt>
                <c:pt idx="25">
                  <c:v>68.148286476308797</c:v>
                </c:pt>
                <c:pt idx="26">
                  <c:v>74.973696989625694</c:v>
                </c:pt>
                <c:pt idx="27">
                  <c:v>65.177079279586295</c:v>
                </c:pt>
                <c:pt idx="28">
                  <c:v>79.094768674405401</c:v>
                </c:pt>
                <c:pt idx="29">
                  <c:v>76.5950648840779</c:v>
                </c:pt>
                <c:pt idx="30">
                  <c:v>59.676523034375798</c:v>
                </c:pt>
                <c:pt idx="31">
                  <c:v>64.781083818144296</c:v>
                </c:pt>
                <c:pt idx="32">
                  <c:v>57.506259284996702</c:v>
                </c:pt>
                <c:pt idx="33">
                  <c:v>51.186055320313102</c:v>
                </c:pt>
                <c:pt idx="34">
                  <c:v>49.576849657509698</c:v>
                </c:pt>
                <c:pt idx="35">
                  <c:v>51.336574045536899</c:v>
                </c:pt>
                <c:pt idx="36">
                  <c:v>52.926313289934299</c:v>
                </c:pt>
                <c:pt idx="37">
                  <c:v>54.180257319778399</c:v>
                </c:pt>
                <c:pt idx="38">
                  <c:v>49.739267836185398</c:v>
                </c:pt>
                <c:pt idx="39">
                  <c:v>49.646633051268402</c:v>
                </c:pt>
                <c:pt idx="40">
                  <c:v>48.436143660244298</c:v>
                </c:pt>
                <c:pt idx="41">
                  <c:v>42.258965958626597</c:v>
                </c:pt>
                <c:pt idx="42">
                  <c:v>42.697775683193498</c:v>
                </c:pt>
                <c:pt idx="43">
                  <c:v>46.396952246755603</c:v>
                </c:pt>
                <c:pt idx="44">
                  <c:v>56.994003887972703</c:v>
                </c:pt>
                <c:pt idx="45">
                  <c:v>39.703301684450501</c:v>
                </c:pt>
                <c:pt idx="46">
                  <c:v>40.093240113705903</c:v>
                </c:pt>
                <c:pt idx="47">
                  <c:v>44.394129618624397</c:v>
                </c:pt>
                <c:pt idx="48">
                  <c:v>51.730726984164299</c:v>
                </c:pt>
                <c:pt idx="49">
                  <c:v>80.793119427483504</c:v>
                </c:pt>
                <c:pt idx="50">
                  <c:v>81.288947065765697</c:v>
                </c:pt>
                <c:pt idx="51">
                  <c:v>75.128141185851604</c:v>
                </c:pt>
                <c:pt idx="52">
                  <c:v>85.649525793689193</c:v>
                </c:pt>
                <c:pt idx="53">
                  <c:v>89.833638686064404</c:v>
                </c:pt>
                <c:pt idx="54">
                  <c:v>90.257434638186396</c:v>
                </c:pt>
                <c:pt idx="55">
                  <c:v>92.418575141191695</c:v>
                </c:pt>
                <c:pt idx="56">
                  <c:v>94.491607101944396</c:v>
                </c:pt>
                <c:pt idx="57">
                  <c:v>95.512411951907097</c:v>
                </c:pt>
                <c:pt idx="58">
                  <c:v>90.366255627846201</c:v>
                </c:pt>
                <c:pt idx="59">
                  <c:v>98.410383628596193</c:v>
                </c:pt>
                <c:pt idx="60">
                  <c:v>97.877311852560396</c:v>
                </c:pt>
                <c:pt idx="61">
                  <c:v>94.117331055428906</c:v>
                </c:pt>
                <c:pt idx="62">
                  <c:v>91.038546345202903</c:v>
                </c:pt>
                <c:pt idx="63">
                  <c:v>90.438724305279393</c:v>
                </c:pt>
                <c:pt idx="64">
                  <c:v>93.570815591603605</c:v>
                </c:pt>
                <c:pt idx="65">
                  <c:v>95.301449060933805</c:v>
                </c:pt>
                <c:pt idx="66">
                  <c:v>94.2370939614961</c:v>
                </c:pt>
                <c:pt idx="67">
                  <c:v>95.806109511697599</c:v>
                </c:pt>
                <c:pt idx="68">
                  <c:v>90.456933935821496</c:v>
                </c:pt>
                <c:pt idx="69">
                  <c:v>90.817251317137504</c:v>
                </c:pt>
                <c:pt idx="70">
                  <c:v>88.768028172782294</c:v>
                </c:pt>
                <c:pt idx="71">
                  <c:v>83.609145226209904</c:v>
                </c:pt>
                <c:pt idx="72">
                  <c:v>82.316674292023507</c:v>
                </c:pt>
                <c:pt idx="73">
                  <c:v>71.445476481164903</c:v>
                </c:pt>
                <c:pt idx="74">
                  <c:v>58.793233731804598</c:v>
                </c:pt>
                <c:pt idx="75">
                  <c:v>59.396109989000202</c:v>
                </c:pt>
                <c:pt idx="76">
                  <c:v>54.483481061029202</c:v>
                </c:pt>
                <c:pt idx="77">
                  <c:v>63.989284422546703</c:v>
                </c:pt>
                <c:pt idx="78">
                  <c:v>63.967834571407003</c:v>
                </c:pt>
                <c:pt idx="79">
                  <c:v>88.316157943218599</c:v>
                </c:pt>
                <c:pt idx="80">
                  <c:v>93.548730664992505</c:v>
                </c:pt>
                <c:pt idx="81">
                  <c:v>91.885831497871607</c:v>
                </c:pt>
                <c:pt idx="82">
                  <c:v>94.256130660967898</c:v>
                </c:pt>
                <c:pt idx="83">
                  <c:v>93.730801216456499</c:v>
                </c:pt>
                <c:pt idx="84">
                  <c:v>72.570726199612196</c:v>
                </c:pt>
                <c:pt idx="85">
                  <c:v>72.677808994861195</c:v>
                </c:pt>
                <c:pt idx="86">
                  <c:v>61.584871892153203</c:v>
                </c:pt>
                <c:pt idx="87">
                  <c:v>70.388059792835506</c:v>
                </c:pt>
                <c:pt idx="88">
                  <c:v>71.743523253742694</c:v>
                </c:pt>
                <c:pt idx="89">
                  <c:v>74.169498997379094</c:v>
                </c:pt>
                <c:pt idx="90">
                  <c:v>77.497406962050803</c:v>
                </c:pt>
                <c:pt idx="91">
                  <c:v>78.010087725979304</c:v>
                </c:pt>
                <c:pt idx="92">
                  <c:v>75.972484255306597</c:v>
                </c:pt>
                <c:pt idx="93">
                  <c:v>78.491218089382102</c:v>
                </c:pt>
                <c:pt idx="94">
                  <c:v>77.025946300940802</c:v>
                </c:pt>
                <c:pt idx="95">
                  <c:v>67.294224780636</c:v>
                </c:pt>
                <c:pt idx="96">
                  <c:v>66.929132791450996</c:v>
                </c:pt>
                <c:pt idx="97">
                  <c:v>85.084159389774499</c:v>
                </c:pt>
                <c:pt idx="98">
                  <c:v>91.368461790770596</c:v>
                </c:pt>
                <c:pt idx="99">
                  <c:v>89.476022484668903</c:v>
                </c:pt>
                <c:pt idx="100">
                  <c:v>88.196688200873595</c:v>
                </c:pt>
                <c:pt idx="101">
                  <c:v>95.801184897050405</c:v>
                </c:pt>
                <c:pt idx="102">
                  <c:v>88.704583754067301</c:v>
                </c:pt>
                <c:pt idx="103">
                  <c:v>25.112539995186999</c:v>
                </c:pt>
                <c:pt idx="104">
                  <c:v>32.247446493251601</c:v>
                </c:pt>
                <c:pt idx="105">
                  <c:v>37.9995934315697</c:v>
                </c:pt>
                <c:pt idx="106">
                  <c:v>10.2011747382601</c:v>
                </c:pt>
                <c:pt idx="107">
                  <c:v>15.5394279549731</c:v>
                </c:pt>
                <c:pt idx="108">
                  <c:v>23.329393141078899</c:v>
                </c:pt>
                <c:pt idx="109">
                  <c:v>34.743941110538898</c:v>
                </c:pt>
                <c:pt idx="110">
                  <c:v>42.704425193732597</c:v>
                </c:pt>
                <c:pt idx="111">
                  <c:v>45.360700008040901</c:v>
                </c:pt>
                <c:pt idx="112">
                  <c:v>43.339879273158203</c:v>
                </c:pt>
                <c:pt idx="113">
                  <c:v>70.400441774824202</c:v>
                </c:pt>
                <c:pt idx="114">
                  <c:v>40.5384319472534</c:v>
                </c:pt>
                <c:pt idx="115">
                  <c:v>31.207303555751501</c:v>
                </c:pt>
                <c:pt idx="116">
                  <c:v>24.534616872896901</c:v>
                </c:pt>
                <c:pt idx="117">
                  <c:v>14.014194350091399</c:v>
                </c:pt>
                <c:pt idx="118">
                  <c:v>11.293280635077499</c:v>
                </c:pt>
                <c:pt idx="119">
                  <c:v>7.5350589178715</c:v>
                </c:pt>
                <c:pt idx="120">
                  <c:v>6.4629386124095403</c:v>
                </c:pt>
                <c:pt idx="121">
                  <c:v>30.081332795243501</c:v>
                </c:pt>
                <c:pt idx="122">
                  <c:v>24.7164299659185</c:v>
                </c:pt>
                <c:pt idx="123">
                  <c:v>22.391232268710102</c:v>
                </c:pt>
                <c:pt idx="124">
                  <c:v>28.164795603972301</c:v>
                </c:pt>
                <c:pt idx="125">
                  <c:v>28.011812734814601</c:v>
                </c:pt>
                <c:pt idx="126">
                  <c:v>35.565954996701798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12.5bps'!$D$1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12.5bps'!$A$2:$A$128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12.5bps'!$D$2:$D$128</c:f>
              <c:numCache>
                <c:formatCode>0.00</c:formatCode>
                <c:ptCount val="127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984512"/>
        <c:axId val="318362752"/>
      </c:lineChart>
      <c:dateAx>
        <c:axId val="273984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8362752"/>
        <c:crosses val="autoZero"/>
        <c:auto val="1"/>
        <c:lblOffset val="100"/>
        <c:baseTimeUnit val="months"/>
      </c:dateAx>
      <c:valAx>
        <c:axId val="31836275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2739845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12.5bps'!$E$1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'Tracking 12.5bps'!$A$2:$A$128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12.5bps'!$E$2:$E$128</c:f>
              <c:numCache>
                <c:formatCode>0.00</c:formatCode>
                <c:ptCount val="127"/>
                <c:pt idx="0">
                  <c:v>7.7708897694494041</c:v>
                </c:pt>
                <c:pt idx="1">
                  <c:v>20.539838928182398</c:v>
                </c:pt>
                <c:pt idx="2">
                  <c:v>9.0913722654726996</c:v>
                </c:pt>
                <c:pt idx="3">
                  <c:v>10.212839453693199</c:v>
                </c:pt>
                <c:pt idx="4">
                  <c:v>5.3628305491239985</c:v>
                </c:pt>
                <c:pt idx="5">
                  <c:v>2.5660496816113998</c:v>
                </c:pt>
                <c:pt idx="6">
                  <c:v>14.264693621134796</c:v>
                </c:pt>
                <c:pt idx="7">
                  <c:v>17.715981662475698</c:v>
                </c:pt>
                <c:pt idx="8">
                  <c:v>15.101037837817998</c:v>
                </c:pt>
                <c:pt idx="9">
                  <c:v>12.509620347620896</c:v>
                </c:pt>
                <c:pt idx="10">
                  <c:v>9.036687433661001</c:v>
                </c:pt>
                <c:pt idx="11">
                  <c:v>8.6275349536284125</c:v>
                </c:pt>
                <c:pt idx="12">
                  <c:v>11.819422842016806</c:v>
                </c:pt>
                <c:pt idx="13">
                  <c:v>18.07940541126451</c:v>
                </c:pt>
                <c:pt idx="14">
                  <c:v>21.813273395177305</c:v>
                </c:pt>
                <c:pt idx="15">
                  <c:v>19.533162248169404</c:v>
                </c:pt>
                <c:pt idx="16">
                  <c:v>16.202690524260809</c:v>
                </c:pt>
                <c:pt idx="17">
                  <c:v>5.4493239924486048</c:v>
                </c:pt>
                <c:pt idx="18">
                  <c:v>15.924772764043595</c:v>
                </c:pt>
                <c:pt idx="19">
                  <c:v>13.505169535090197</c:v>
                </c:pt>
                <c:pt idx="20">
                  <c:v>12.339652059751998</c:v>
                </c:pt>
                <c:pt idx="21">
                  <c:v>5.9306391438101969</c:v>
                </c:pt>
                <c:pt idx="22">
                  <c:v>6.8281475482388956</c:v>
                </c:pt>
                <c:pt idx="23">
                  <c:v>9.1480497312766005</c:v>
                </c:pt>
                <c:pt idx="24">
                  <c:v>4.5329425576157973</c:v>
                </c:pt>
                <c:pt idx="25">
                  <c:v>14.248286476308799</c:v>
                </c:pt>
                <c:pt idx="26">
                  <c:v>13.483696989625692</c:v>
                </c:pt>
                <c:pt idx="27">
                  <c:v>6.7570792795862928</c:v>
                </c:pt>
                <c:pt idx="28">
                  <c:v>17.874768674405402</c:v>
                </c:pt>
                <c:pt idx="29">
                  <c:v>15.175064884077898</c:v>
                </c:pt>
                <c:pt idx="30">
                  <c:v>4.3765230343758006</c:v>
                </c:pt>
                <c:pt idx="31">
                  <c:v>15.111083818144294</c:v>
                </c:pt>
                <c:pt idx="32">
                  <c:v>9.2162592849967027</c:v>
                </c:pt>
                <c:pt idx="33">
                  <c:v>9.8560553203131036</c:v>
                </c:pt>
                <c:pt idx="34">
                  <c:v>6.2668496575096952</c:v>
                </c:pt>
                <c:pt idx="35">
                  <c:v>8.756574045536901</c:v>
                </c:pt>
                <c:pt idx="36">
                  <c:v>11.056313289934302</c:v>
                </c:pt>
                <c:pt idx="37">
                  <c:v>13.920257319778401</c:v>
                </c:pt>
                <c:pt idx="38">
                  <c:v>14.689267836185401</c:v>
                </c:pt>
                <c:pt idx="39">
                  <c:v>13.596633051268405</c:v>
                </c:pt>
                <c:pt idx="40">
                  <c:v>11.096143660244294</c:v>
                </c:pt>
                <c:pt idx="41">
                  <c:v>10.438965958626596</c:v>
                </c:pt>
                <c:pt idx="42">
                  <c:v>10.027775683193497</c:v>
                </c:pt>
                <c:pt idx="43">
                  <c:v>4.9869522467556067</c:v>
                </c:pt>
                <c:pt idx="44">
                  <c:v>13.004003887972701</c:v>
                </c:pt>
                <c:pt idx="45">
                  <c:v>6.3033016844505028</c:v>
                </c:pt>
                <c:pt idx="46">
                  <c:v>2.8932401137059003</c:v>
                </c:pt>
                <c:pt idx="47">
                  <c:v>2.0141296186243949</c:v>
                </c:pt>
                <c:pt idx="48">
                  <c:v>-1.4892730158356997</c:v>
                </c:pt>
                <c:pt idx="49">
                  <c:v>6.6031194274835059</c:v>
                </c:pt>
                <c:pt idx="50">
                  <c:v>2.3389470657656943</c:v>
                </c:pt>
                <c:pt idx="51">
                  <c:v>0.56814118585160145</c:v>
                </c:pt>
                <c:pt idx="52">
                  <c:v>8.119525793689192</c:v>
                </c:pt>
                <c:pt idx="53">
                  <c:v>2.6136386860644052</c:v>
                </c:pt>
                <c:pt idx="54">
                  <c:v>-2.6125653618136084</c:v>
                </c:pt>
                <c:pt idx="55">
                  <c:v>-2.0814248588083046</c:v>
                </c:pt>
                <c:pt idx="56">
                  <c:v>-1.578392898055597</c:v>
                </c:pt>
                <c:pt idx="57">
                  <c:v>2.8824119519071019</c:v>
                </c:pt>
                <c:pt idx="58">
                  <c:v>1.2162556278461949</c:v>
                </c:pt>
                <c:pt idx="59">
                  <c:v>6.6503836285961881</c:v>
                </c:pt>
                <c:pt idx="60">
                  <c:v>7.9073118525603974</c:v>
                </c:pt>
                <c:pt idx="61">
                  <c:v>6.0073310554289066</c:v>
                </c:pt>
                <c:pt idx="62">
                  <c:v>6.8385463452029001</c:v>
                </c:pt>
                <c:pt idx="63">
                  <c:v>8.0387243052793877</c:v>
                </c:pt>
                <c:pt idx="64">
                  <c:v>6.2508155916036117</c:v>
                </c:pt>
                <c:pt idx="65">
                  <c:v>6.9814490609338122</c:v>
                </c:pt>
                <c:pt idx="66">
                  <c:v>6.1270939614961009</c:v>
                </c:pt>
                <c:pt idx="67">
                  <c:v>7.8961095116976026</c:v>
                </c:pt>
                <c:pt idx="68">
                  <c:v>7.0269339358214893</c:v>
                </c:pt>
                <c:pt idx="69">
                  <c:v>8.0172513171375073</c:v>
                </c:pt>
                <c:pt idx="70">
                  <c:v>14.808028172782301</c:v>
                </c:pt>
                <c:pt idx="71">
                  <c:v>28.099145226209906</c:v>
                </c:pt>
                <c:pt idx="72">
                  <c:v>25.326674292023505</c:v>
                </c:pt>
                <c:pt idx="73">
                  <c:v>16.865476481164904</c:v>
                </c:pt>
                <c:pt idx="74">
                  <c:v>6.5832337318045973</c:v>
                </c:pt>
                <c:pt idx="75">
                  <c:v>5.6961099890001989</c:v>
                </c:pt>
                <c:pt idx="76">
                  <c:v>3.3134810610292007</c:v>
                </c:pt>
                <c:pt idx="77">
                  <c:v>5.1292844225467036</c:v>
                </c:pt>
                <c:pt idx="78">
                  <c:v>2.2378345714070065</c:v>
                </c:pt>
                <c:pt idx="79">
                  <c:v>5.636157943218592</c:v>
                </c:pt>
                <c:pt idx="80">
                  <c:v>3.5187306649925034</c:v>
                </c:pt>
                <c:pt idx="81">
                  <c:v>4.6258314978716015</c:v>
                </c:pt>
                <c:pt idx="82">
                  <c:v>12.586130660967896</c:v>
                </c:pt>
                <c:pt idx="83">
                  <c:v>20.620801216456499</c:v>
                </c:pt>
                <c:pt idx="84">
                  <c:v>2.860726199612202</c:v>
                </c:pt>
                <c:pt idx="85">
                  <c:v>6.2078089948611961</c:v>
                </c:pt>
                <c:pt idx="86">
                  <c:v>3.0948718921532006</c:v>
                </c:pt>
                <c:pt idx="87">
                  <c:v>3.5980597928354996</c:v>
                </c:pt>
                <c:pt idx="88">
                  <c:v>5.0835232537426975</c:v>
                </c:pt>
                <c:pt idx="89">
                  <c:v>7.7594989973790973</c:v>
                </c:pt>
                <c:pt idx="90">
                  <c:v>6.3274069620508016</c:v>
                </c:pt>
                <c:pt idx="91">
                  <c:v>2.5100877259793037</c:v>
                </c:pt>
                <c:pt idx="92">
                  <c:v>1.6824842553065906</c:v>
                </c:pt>
                <c:pt idx="93">
                  <c:v>7.7012180893820954</c:v>
                </c:pt>
                <c:pt idx="94">
                  <c:v>11.135946300940802</c:v>
                </c:pt>
                <c:pt idx="95">
                  <c:v>0.34422478063599726</c:v>
                </c:pt>
                <c:pt idx="96">
                  <c:v>42.299132791451001</c:v>
                </c:pt>
                <c:pt idx="97">
                  <c:v>10.224159389774499</c:v>
                </c:pt>
                <c:pt idx="98">
                  <c:v>9.4984617907705911</c:v>
                </c:pt>
                <c:pt idx="99">
                  <c:v>19.176022484668906</c:v>
                </c:pt>
                <c:pt idx="100">
                  <c:v>29.986688200873594</c:v>
                </c:pt>
                <c:pt idx="101">
                  <c:v>26.511184897050398</c:v>
                </c:pt>
                <c:pt idx="102">
                  <c:v>41.704583754067301</c:v>
                </c:pt>
                <c:pt idx="103">
                  <c:v>18.782539995187001</c:v>
                </c:pt>
                <c:pt idx="104">
                  <c:v>26.117446493251602</c:v>
                </c:pt>
                <c:pt idx="105">
                  <c:v>29.029593431569701</c:v>
                </c:pt>
                <c:pt idx="106">
                  <c:v>6.8811747382600998</c:v>
                </c:pt>
                <c:pt idx="107">
                  <c:v>11.5394279549731</c:v>
                </c:pt>
                <c:pt idx="108">
                  <c:v>18.0393931410789</c:v>
                </c:pt>
                <c:pt idx="109">
                  <c:v>23.9139411105389</c:v>
                </c:pt>
                <c:pt idx="110">
                  <c:v>25.074425193732598</c:v>
                </c:pt>
                <c:pt idx="111">
                  <c:v>26.1707000080409</c:v>
                </c:pt>
                <c:pt idx="112">
                  <c:v>16.959879273158204</c:v>
                </c:pt>
                <c:pt idx="113">
                  <c:v>31.9104417748242</c:v>
                </c:pt>
                <c:pt idx="114">
                  <c:v>24.3784319472534</c:v>
                </c:pt>
                <c:pt idx="115">
                  <c:v>19.6773035557515</c:v>
                </c:pt>
                <c:pt idx="116">
                  <c:v>16.9846168728969</c:v>
                </c:pt>
                <c:pt idx="117">
                  <c:v>6.4941943500913997</c:v>
                </c:pt>
                <c:pt idx="118">
                  <c:v>5.803280635077499</c:v>
                </c:pt>
                <c:pt idx="119">
                  <c:v>3.3450589178714996</c:v>
                </c:pt>
                <c:pt idx="120">
                  <c:v>1.8229386124095406</c:v>
                </c:pt>
                <c:pt idx="121">
                  <c:v>18.551332795243503</c:v>
                </c:pt>
                <c:pt idx="122">
                  <c:v>11.126429965918501</c:v>
                </c:pt>
                <c:pt idx="123">
                  <c:v>7.3112322687101017</c:v>
                </c:pt>
                <c:pt idx="124">
                  <c:v>17.144795603972302</c:v>
                </c:pt>
                <c:pt idx="125">
                  <c:v>14.731812734814602</c:v>
                </c:pt>
                <c:pt idx="126">
                  <c:v>19.215954996701797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646976"/>
        <c:axId val="323703936"/>
      </c:lineChart>
      <c:dateAx>
        <c:axId val="3236469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3703936"/>
        <c:crosses val="autoZero"/>
        <c:auto val="1"/>
        <c:lblOffset val="100"/>
        <c:baseTimeUnit val="months"/>
      </c:dateAx>
      <c:valAx>
        <c:axId val="3237039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23646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bps'!$E$1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'Tracking 5 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bps'!$E$2:$E$128</c:f>
              <c:numCache>
                <c:formatCode>0.00</c:formatCode>
                <c:ptCount val="127"/>
                <c:pt idx="0">
                  <c:v>7.2602407179531028</c:v>
                </c:pt>
                <c:pt idx="1">
                  <c:v>8.1656558024596038</c:v>
                </c:pt>
                <c:pt idx="2">
                  <c:v>7.2537559063366999</c:v>
                </c:pt>
                <c:pt idx="3">
                  <c:v>1.0746841358197976</c:v>
                </c:pt>
                <c:pt idx="4">
                  <c:v>2.2504458650327983</c:v>
                </c:pt>
                <c:pt idx="5">
                  <c:v>2.8841988634020765E-3</c:v>
                </c:pt>
                <c:pt idx="6">
                  <c:v>2.2452470578475996</c:v>
                </c:pt>
                <c:pt idx="7">
                  <c:v>4.7668263441757972</c:v>
                </c:pt>
                <c:pt idx="8">
                  <c:v>-1.4888734915168982</c:v>
                </c:pt>
                <c:pt idx="9">
                  <c:v>4.1795052951310936</c:v>
                </c:pt>
                <c:pt idx="10">
                  <c:v>0.40911050884569988</c:v>
                </c:pt>
                <c:pt idx="11">
                  <c:v>0.64910085778760163</c:v>
                </c:pt>
                <c:pt idx="12">
                  <c:v>6.8787895650047091</c:v>
                </c:pt>
                <c:pt idx="13">
                  <c:v>9.1881846699251994</c:v>
                </c:pt>
                <c:pt idx="14">
                  <c:v>13.574376136044506</c:v>
                </c:pt>
                <c:pt idx="15">
                  <c:v>11.046651282667398</c:v>
                </c:pt>
                <c:pt idx="16">
                  <c:v>16.466884640822705</c:v>
                </c:pt>
                <c:pt idx="17">
                  <c:v>3.3290669638237986</c:v>
                </c:pt>
                <c:pt idx="18">
                  <c:v>1.9293006072985008</c:v>
                </c:pt>
                <c:pt idx="19">
                  <c:v>4.2435743197824962</c:v>
                </c:pt>
                <c:pt idx="20">
                  <c:v>8.5266615040147045</c:v>
                </c:pt>
                <c:pt idx="21">
                  <c:v>4.050194640900898</c:v>
                </c:pt>
                <c:pt idx="22">
                  <c:v>-0.57653636406600128</c:v>
                </c:pt>
                <c:pt idx="23">
                  <c:v>6.5535796023600028</c:v>
                </c:pt>
                <c:pt idx="24">
                  <c:v>5.3418254978904969</c:v>
                </c:pt>
                <c:pt idx="25">
                  <c:v>6.3186231487786984</c:v>
                </c:pt>
                <c:pt idx="26">
                  <c:v>7.0715458954484021</c:v>
                </c:pt>
                <c:pt idx="27">
                  <c:v>5.8095646269914027</c:v>
                </c:pt>
                <c:pt idx="28">
                  <c:v>6.2481038863563043</c:v>
                </c:pt>
                <c:pt idx="29">
                  <c:v>9.6614194496558952</c:v>
                </c:pt>
                <c:pt idx="30">
                  <c:v>6.0950060428125994</c:v>
                </c:pt>
                <c:pt idx="31">
                  <c:v>8.8596040966603979</c:v>
                </c:pt>
                <c:pt idx="32">
                  <c:v>8.5651345490086044</c:v>
                </c:pt>
                <c:pt idx="33">
                  <c:v>11.789980211899199</c:v>
                </c:pt>
                <c:pt idx="34">
                  <c:v>8.3177734795321996</c:v>
                </c:pt>
                <c:pt idx="35">
                  <c:v>10.955872601103898</c:v>
                </c:pt>
                <c:pt idx="36">
                  <c:v>13.232294577931903</c:v>
                </c:pt>
                <c:pt idx="37">
                  <c:v>9.2075245918397002</c:v>
                </c:pt>
                <c:pt idx="38">
                  <c:v>7.4390500995638007</c:v>
                </c:pt>
                <c:pt idx="39">
                  <c:v>6.9262525925001057</c:v>
                </c:pt>
                <c:pt idx="40">
                  <c:v>5.2351607509558988</c:v>
                </c:pt>
                <c:pt idx="41">
                  <c:v>7.4046609816145974</c:v>
                </c:pt>
                <c:pt idx="42">
                  <c:v>7.2423921585876982</c:v>
                </c:pt>
                <c:pt idx="43">
                  <c:v>2.7213858073193009</c:v>
                </c:pt>
                <c:pt idx="44">
                  <c:v>2.0826632770222986</c:v>
                </c:pt>
                <c:pt idx="45">
                  <c:v>3.9129274531782983</c:v>
                </c:pt>
                <c:pt idx="46">
                  <c:v>0.10009124773209521</c:v>
                </c:pt>
                <c:pt idx="47">
                  <c:v>0.93916917241449482</c:v>
                </c:pt>
                <c:pt idx="48">
                  <c:v>-1.6320493060154959</c:v>
                </c:pt>
                <c:pt idx="49">
                  <c:v>2.7494070734130958</c:v>
                </c:pt>
                <c:pt idx="50">
                  <c:v>3.2545002180890918</c:v>
                </c:pt>
                <c:pt idx="51">
                  <c:v>1.351564934220491</c:v>
                </c:pt>
                <c:pt idx="52">
                  <c:v>6.0699183240983956</c:v>
                </c:pt>
                <c:pt idx="53">
                  <c:v>0.7193545868145037</c:v>
                </c:pt>
                <c:pt idx="54">
                  <c:v>-2.4558258999670102</c:v>
                </c:pt>
                <c:pt idx="55">
                  <c:v>-1.9118594487343046</c:v>
                </c:pt>
                <c:pt idx="56">
                  <c:v>-2.5269444111110886</c:v>
                </c:pt>
                <c:pt idx="57">
                  <c:v>2.5283688813943996</c:v>
                </c:pt>
                <c:pt idx="58">
                  <c:v>1.8524658146084931</c:v>
                </c:pt>
                <c:pt idx="59">
                  <c:v>5.4698707453758004</c:v>
                </c:pt>
                <c:pt idx="60">
                  <c:v>-0.95499439946489417</c:v>
                </c:pt>
                <c:pt idx="61">
                  <c:v>1.6804742986012968</c:v>
                </c:pt>
                <c:pt idx="62">
                  <c:v>6.4930069225691938</c:v>
                </c:pt>
                <c:pt idx="63">
                  <c:v>6.4320553399321909</c:v>
                </c:pt>
                <c:pt idx="64">
                  <c:v>6.055130800696304</c:v>
                </c:pt>
                <c:pt idx="65">
                  <c:v>5.9125276809202063</c:v>
                </c:pt>
                <c:pt idx="66">
                  <c:v>7.5844805963399011</c:v>
                </c:pt>
                <c:pt idx="67">
                  <c:v>6.5458287392096963</c:v>
                </c:pt>
                <c:pt idx="68">
                  <c:v>6.8311216476456877</c:v>
                </c:pt>
                <c:pt idx="69">
                  <c:v>7.7575393462952036</c:v>
                </c:pt>
                <c:pt idx="70">
                  <c:v>12.330244034122401</c:v>
                </c:pt>
                <c:pt idx="71">
                  <c:v>15.068534805697503</c:v>
                </c:pt>
                <c:pt idx="72">
                  <c:v>23.119404435678696</c:v>
                </c:pt>
                <c:pt idx="73">
                  <c:v>5.9988869315344999</c:v>
                </c:pt>
                <c:pt idx="74">
                  <c:v>6.1252398820654008</c:v>
                </c:pt>
                <c:pt idx="75">
                  <c:v>5.3277786393013002</c:v>
                </c:pt>
                <c:pt idx="76">
                  <c:v>5.9359485079475007</c:v>
                </c:pt>
                <c:pt idx="77">
                  <c:v>2.2740547424199988</c:v>
                </c:pt>
                <c:pt idx="78">
                  <c:v>1.1226957201887018</c:v>
                </c:pt>
                <c:pt idx="79">
                  <c:v>5.9236009932923963</c:v>
                </c:pt>
                <c:pt idx="80">
                  <c:v>2.0416185649949057</c:v>
                </c:pt>
                <c:pt idx="81">
                  <c:v>4.8080419627917905</c:v>
                </c:pt>
                <c:pt idx="82">
                  <c:v>9.3162792456230932</c:v>
                </c:pt>
                <c:pt idx="83">
                  <c:v>12.347813633980707</c:v>
                </c:pt>
                <c:pt idx="84">
                  <c:v>3.5706720505611003</c:v>
                </c:pt>
                <c:pt idx="85">
                  <c:v>4.7914898173056031</c:v>
                </c:pt>
                <c:pt idx="86">
                  <c:v>2.6758050162239968</c:v>
                </c:pt>
                <c:pt idx="87">
                  <c:v>0.63255729717589304</c:v>
                </c:pt>
                <c:pt idx="88">
                  <c:v>2.4438141733185006</c:v>
                </c:pt>
                <c:pt idx="89">
                  <c:v>6.8377899586365061</c:v>
                </c:pt>
                <c:pt idx="90">
                  <c:v>3.5105044209980036</c:v>
                </c:pt>
                <c:pt idx="91">
                  <c:v>2.4460532319950943</c:v>
                </c:pt>
                <c:pt idx="92">
                  <c:v>3.0493250887039949</c:v>
                </c:pt>
                <c:pt idx="93">
                  <c:v>1.8546904974058975</c:v>
                </c:pt>
                <c:pt idx="94">
                  <c:v>0.3315676005959034</c:v>
                </c:pt>
                <c:pt idx="95">
                  <c:v>2.5227821679984004</c:v>
                </c:pt>
                <c:pt idx="96">
                  <c:v>38.431657878956699</c:v>
                </c:pt>
                <c:pt idx="97">
                  <c:v>10.188839682136205</c:v>
                </c:pt>
                <c:pt idx="98">
                  <c:v>7.0830390473323916</c:v>
                </c:pt>
                <c:pt idx="99">
                  <c:v>17.854102663200806</c:v>
                </c:pt>
                <c:pt idx="100">
                  <c:v>24.606717079868694</c:v>
                </c:pt>
                <c:pt idx="101">
                  <c:v>22.486767658505698</c:v>
                </c:pt>
                <c:pt idx="102">
                  <c:v>32.995018823378899</c:v>
                </c:pt>
                <c:pt idx="103">
                  <c:v>18.575932506699502</c:v>
                </c:pt>
                <c:pt idx="104">
                  <c:v>12.312492817991</c:v>
                </c:pt>
                <c:pt idx="105">
                  <c:v>18.883996262771596</c:v>
                </c:pt>
                <c:pt idx="106">
                  <c:v>7.9682431846234998</c:v>
                </c:pt>
                <c:pt idx="107">
                  <c:v>8.1438189396699006</c:v>
                </c:pt>
                <c:pt idx="108">
                  <c:v>9.9560999637923011</c:v>
                </c:pt>
                <c:pt idx="109">
                  <c:v>19.781070222576801</c:v>
                </c:pt>
                <c:pt idx="110">
                  <c:v>19.032491871059303</c:v>
                </c:pt>
                <c:pt idx="111">
                  <c:v>20.7448639236985</c:v>
                </c:pt>
                <c:pt idx="112">
                  <c:v>16.608631912524498</c:v>
                </c:pt>
                <c:pt idx="113">
                  <c:v>12.691759891344198</c:v>
                </c:pt>
                <c:pt idx="114">
                  <c:v>14.221496499984301</c:v>
                </c:pt>
                <c:pt idx="115">
                  <c:v>12.186837907856701</c:v>
                </c:pt>
                <c:pt idx="116">
                  <c:v>8.4642700384013985</c:v>
                </c:pt>
                <c:pt idx="117">
                  <c:v>6.4167115989142012</c:v>
                </c:pt>
                <c:pt idx="118">
                  <c:v>4.1751189400989794</c:v>
                </c:pt>
                <c:pt idx="119">
                  <c:v>3.0755877869479198</c:v>
                </c:pt>
                <c:pt idx="120">
                  <c:v>1.7368977592121704</c:v>
                </c:pt>
                <c:pt idx="121">
                  <c:v>6.0741137045097009</c:v>
                </c:pt>
                <c:pt idx="122">
                  <c:v>10.55378393853</c:v>
                </c:pt>
                <c:pt idx="123">
                  <c:v>7.2309031227919984</c:v>
                </c:pt>
                <c:pt idx="124">
                  <c:v>10.676172986970702</c:v>
                </c:pt>
                <c:pt idx="125">
                  <c:v>8.2131125177824007</c:v>
                </c:pt>
                <c:pt idx="126">
                  <c:v>10.554852548670898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154496"/>
        <c:axId val="123293696"/>
      </c:lineChart>
      <c:dateAx>
        <c:axId val="326154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3293696"/>
        <c:crosses val="autoZero"/>
        <c:auto val="1"/>
        <c:lblOffset val="100"/>
        <c:baseTimeUnit val="months"/>
      </c:dateAx>
      <c:valAx>
        <c:axId val="1232936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26154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5 bps</a:t>
            </a:r>
            <a:r>
              <a:rPr lang="en-US" sz="1200" baseline="0"/>
              <a:t> Step</a:t>
            </a:r>
            <a:endParaRPr lang="en-US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5 bps'!$A$2:$A$282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bps'!$C$2:$C$282</c:f>
              <c:numCache>
                <c:formatCode>General</c:formatCode>
                <c:ptCount val="281"/>
                <c:pt idx="0">
                  <c:v>41.4502407179531</c:v>
                </c:pt>
                <c:pt idx="1">
                  <c:v>37.815655802459602</c:v>
                </c:pt>
                <c:pt idx="2">
                  <c:v>35.8237559063367</c:v>
                </c:pt>
                <c:pt idx="3">
                  <c:v>23.744684135819799</c:v>
                </c:pt>
                <c:pt idx="4">
                  <c:v>27.7604458650328</c:v>
                </c:pt>
                <c:pt idx="5">
                  <c:v>27.362884198863402</c:v>
                </c:pt>
                <c:pt idx="6">
                  <c:v>22.7052470578476</c:v>
                </c:pt>
                <c:pt idx="7">
                  <c:v>43.1468263441758</c:v>
                </c:pt>
                <c:pt idx="8">
                  <c:v>69.241126508483106</c:v>
                </c:pt>
                <c:pt idx="9">
                  <c:v>77.2195052951311</c:v>
                </c:pt>
                <c:pt idx="10">
                  <c:v>76.189110508845701</c:v>
                </c:pt>
                <c:pt idx="11">
                  <c:v>77.469100857787595</c:v>
                </c:pt>
                <c:pt idx="12">
                  <c:v>74.618789565004704</c:v>
                </c:pt>
                <c:pt idx="13">
                  <c:v>73.168184669925196</c:v>
                </c:pt>
                <c:pt idx="14">
                  <c:v>74.434376136044506</c:v>
                </c:pt>
                <c:pt idx="15">
                  <c:v>65.266651282667397</c:v>
                </c:pt>
                <c:pt idx="16">
                  <c:v>72.946884640822702</c:v>
                </c:pt>
                <c:pt idx="17">
                  <c:v>49.089066963823797</c:v>
                </c:pt>
                <c:pt idx="18">
                  <c:v>44.489300607298503</c:v>
                </c:pt>
                <c:pt idx="19">
                  <c:v>48.303574319782498</c:v>
                </c:pt>
                <c:pt idx="20">
                  <c:v>60.176661504014703</c:v>
                </c:pt>
                <c:pt idx="21">
                  <c:v>52.190194640900899</c:v>
                </c:pt>
                <c:pt idx="22">
                  <c:v>48.193463635934002</c:v>
                </c:pt>
                <c:pt idx="23">
                  <c:v>48.343579602360002</c:v>
                </c:pt>
                <c:pt idx="24">
                  <c:v>50.6818254978905</c:v>
                </c:pt>
                <c:pt idx="25">
                  <c:v>60.218623148778697</c:v>
                </c:pt>
                <c:pt idx="26">
                  <c:v>68.561545895448404</c:v>
                </c:pt>
                <c:pt idx="27">
                  <c:v>64.229564626991404</c:v>
                </c:pt>
                <c:pt idx="28">
                  <c:v>67.468103886356303</c:v>
                </c:pt>
                <c:pt idx="29">
                  <c:v>71.081419449655897</c:v>
                </c:pt>
                <c:pt idx="30">
                  <c:v>61.395006042812597</c:v>
                </c:pt>
                <c:pt idx="31">
                  <c:v>58.5296040966604</c:v>
                </c:pt>
                <c:pt idx="32">
                  <c:v>56.855134549008604</c:v>
                </c:pt>
                <c:pt idx="33">
                  <c:v>53.119980211899197</c:v>
                </c:pt>
                <c:pt idx="34">
                  <c:v>51.627773479532202</c:v>
                </c:pt>
                <c:pt idx="35">
                  <c:v>53.535872601103897</c:v>
                </c:pt>
                <c:pt idx="36">
                  <c:v>55.1022945779319</c:v>
                </c:pt>
                <c:pt idx="37">
                  <c:v>49.467524591839698</c:v>
                </c:pt>
                <c:pt idx="38">
                  <c:v>42.489050099563798</c:v>
                </c:pt>
                <c:pt idx="39">
                  <c:v>42.976252592500103</c:v>
                </c:pt>
                <c:pt idx="40">
                  <c:v>42.575160750955902</c:v>
                </c:pt>
                <c:pt idx="41">
                  <c:v>39.224660981614598</c:v>
                </c:pt>
                <c:pt idx="42">
                  <c:v>39.9123921585877</c:v>
                </c:pt>
                <c:pt idx="43">
                  <c:v>44.131385807319297</c:v>
                </c:pt>
                <c:pt idx="44">
                  <c:v>46.072663277022301</c:v>
                </c:pt>
                <c:pt idx="45">
                  <c:v>37.312927453178297</c:v>
                </c:pt>
                <c:pt idx="46">
                  <c:v>37.300091247732098</c:v>
                </c:pt>
                <c:pt idx="47">
                  <c:v>43.319169172414497</c:v>
                </c:pt>
                <c:pt idx="48">
                  <c:v>51.587950693984503</c:v>
                </c:pt>
                <c:pt idx="49">
                  <c:v>76.939407073413093</c:v>
                </c:pt>
                <c:pt idx="50">
                  <c:v>82.204500218089095</c:v>
                </c:pt>
                <c:pt idx="51">
                  <c:v>75.911564934220493</c:v>
                </c:pt>
                <c:pt idx="52">
                  <c:v>83.599918324098397</c:v>
                </c:pt>
                <c:pt idx="53">
                  <c:v>87.939354586814503</c:v>
                </c:pt>
                <c:pt idx="54">
                  <c:v>90.414174100032994</c:v>
                </c:pt>
                <c:pt idx="55">
                  <c:v>92.588140551265695</c:v>
                </c:pt>
                <c:pt idx="56">
                  <c:v>93.543055588888905</c:v>
                </c:pt>
                <c:pt idx="57">
                  <c:v>95.158368881394395</c:v>
                </c:pt>
                <c:pt idx="58">
                  <c:v>91.002465814608499</c:v>
                </c:pt>
                <c:pt idx="59">
                  <c:v>97.229870745375806</c:v>
                </c:pt>
                <c:pt idx="60">
                  <c:v>89.015005600535105</c:v>
                </c:pt>
                <c:pt idx="61">
                  <c:v>89.790474298601296</c:v>
                </c:pt>
                <c:pt idx="62">
                  <c:v>90.693006922569197</c:v>
                </c:pt>
                <c:pt idx="63">
                  <c:v>88.832055339932197</c:v>
                </c:pt>
                <c:pt idx="64">
                  <c:v>93.375130800696297</c:v>
                </c:pt>
                <c:pt idx="65">
                  <c:v>94.232527680920199</c:v>
                </c:pt>
                <c:pt idx="66">
                  <c:v>95.694480596339901</c:v>
                </c:pt>
                <c:pt idx="67">
                  <c:v>94.455828739209693</c:v>
                </c:pt>
                <c:pt idx="68">
                  <c:v>90.261121647645695</c:v>
                </c:pt>
                <c:pt idx="69">
                  <c:v>90.557539346295201</c:v>
                </c:pt>
                <c:pt idx="70">
                  <c:v>86.290244034122395</c:v>
                </c:pt>
                <c:pt idx="71">
                  <c:v>70.578534805697501</c:v>
                </c:pt>
                <c:pt idx="72">
                  <c:v>80.109404435678698</c:v>
                </c:pt>
                <c:pt idx="73">
                  <c:v>60.578886931534498</c:v>
                </c:pt>
                <c:pt idx="74">
                  <c:v>58.335239882065402</c:v>
                </c:pt>
                <c:pt idx="75">
                  <c:v>59.027778639301303</c:v>
                </c:pt>
                <c:pt idx="76">
                  <c:v>57.105948507947502</c:v>
                </c:pt>
                <c:pt idx="77">
                  <c:v>61.134054742419998</c:v>
                </c:pt>
                <c:pt idx="78">
                  <c:v>62.852695720188699</c:v>
                </c:pt>
                <c:pt idx="79">
                  <c:v>88.603600993292403</c:v>
                </c:pt>
                <c:pt idx="80">
                  <c:v>92.071618564994907</c:v>
                </c:pt>
                <c:pt idx="81">
                  <c:v>92.068041962791796</c:v>
                </c:pt>
                <c:pt idx="82">
                  <c:v>90.986279245623095</c:v>
                </c:pt>
                <c:pt idx="83">
                  <c:v>85.457813633980706</c:v>
                </c:pt>
                <c:pt idx="84">
                  <c:v>73.280672050561094</c:v>
                </c:pt>
                <c:pt idx="85">
                  <c:v>71.261489817305602</c:v>
                </c:pt>
                <c:pt idx="86">
                  <c:v>61.165805016223999</c:v>
                </c:pt>
                <c:pt idx="87">
                  <c:v>67.422557297175899</c:v>
                </c:pt>
                <c:pt idx="88">
                  <c:v>69.103814173318497</c:v>
                </c:pt>
                <c:pt idx="89">
                  <c:v>73.247789958636503</c:v>
                </c:pt>
                <c:pt idx="90">
                  <c:v>74.680504420998005</c:v>
                </c:pt>
                <c:pt idx="91">
                  <c:v>77.946053231995094</c:v>
                </c:pt>
                <c:pt idx="92">
                  <c:v>77.339325088704001</c:v>
                </c:pt>
                <c:pt idx="93">
                  <c:v>72.644690497405904</c:v>
                </c:pt>
                <c:pt idx="94">
                  <c:v>66.221567600595904</c:v>
                </c:pt>
                <c:pt idx="95">
                  <c:v>69.472782167998403</c:v>
                </c:pt>
                <c:pt idx="96">
                  <c:v>63.061657878956701</c:v>
                </c:pt>
                <c:pt idx="97">
                  <c:v>85.048839682136204</c:v>
                </c:pt>
                <c:pt idx="98">
                  <c:v>88.953039047332396</c:v>
                </c:pt>
                <c:pt idx="99">
                  <c:v>88.154102663200803</c:v>
                </c:pt>
                <c:pt idx="100">
                  <c:v>82.816717079868695</c:v>
                </c:pt>
                <c:pt idx="101">
                  <c:v>91.776767658505705</c:v>
                </c:pt>
                <c:pt idx="102">
                  <c:v>79.995018823378899</c:v>
                </c:pt>
                <c:pt idx="103">
                  <c:v>24.9059325066995</c:v>
                </c:pt>
                <c:pt idx="104">
                  <c:v>18.442492817990999</c:v>
                </c:pt>
                <c:pt idx="105">
                  <c:v>27.853996262771599</c:v>
                </c:pt>
                <c:pt idx="106">
                  <c:v>11.2882431846235</c:v>
                </c:pt>
                <c:pt idx="107">
                  <c:v>12.143818939669901</c:v>
                </c:pt>
                <c:pt idx="108">
                  <c:v>15.2460999637923</c:v>
                </c:pt>
                <c:pt idx="109">
                  <c:v>30.611070222576799</c:v>
                </c:pt>
                <c:pt idx="110">
                  <c:v>36.662491871059302</c:v>
                </c:pt>
                <c:pt idx="111">
                  <c:v>39.934863923698501</c:v>
                </c:pt>
                <c:pt idx="112">
                  <c:v>42.988631912524497</c:v>
                </c:pt>
                <c:pt idx="113">
                  <c:v>51.1817598913442</c:v>
                </c:pt>
                <c:pt idx="114">
                  <c:v>30.381496499984301</c:v>
                </c:pt>
                <c:pt idx="115">
                  <c:v>23.7168379078567</c:v>
                </c:pt>
                <c:pt idx="116">
                  <c:v>16.014270038401399</c:v>
                </c:pt>
                <c:pt idx="117">
                  <c:v>13.936711598914201</c:v>
                </c:pt>
                <c:pt idx="118">
                  <c:v>9.6651189400989796</c:v>
                </c:pt>
                <c:pt idx="119">
                  <c:v>7.2655877869479202</c:v>
                </c:pt>
                <c:pt idx="120">
                  <c:v>6.3768977592121701</c:v>
                </c:pt>
                <c:pt idx="121">
                  <c:v>17.6041137045097</c:v>
                </c:pt>
                <c:pt idx="122">
                  <c:v>24.143783938529999</c:v>
                </c:pt>
                <c:pt idx="123">
                  <c:v>22.310903122791998</c:v>
                </c:pt>
                <c:pt idx="124">
                  <c:v>21.696172986970701</c:v>
                </c:pt>
                <c:pt idx="125">
                  <c:v>21.4931125177824</c:v>
                </c:pt>
                <c:pt idx="126">
                  <c:v>26.904852548670899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5 bps'!$D$1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5 bps'!$A$2:$A$282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bps'!$D$2:$D$282</c:f>
              <c:numCache>
                <c:formatCode>General</c:formatCode>
                <c:ptCount val="281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302656"/>
        <c:axId val="123304192"/>
      </c:lineChart>
      <c:dateAx>
        <c:axId val="123302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3304192"/>
        <c:crosses val="autoZero"/>
        <c:auto val="1"/>
        <c:lblOffset val="100"/>
        <c:baseTimeUnit val="months"/>
      </c:dateAx>
      <c:valAx>
        <c:axId val="1233041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33026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bps-with cost'!$E$1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'Tracking 5 bps-with cost'!$A$2:$A$128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bps-with cost'!$E$2:$E$128</c:f>
              <c:numCache>
                <c:formatCode>0.00</c:formatCode>
                <c:ptCount val="127"/>
                <c:pt idx="0">
                  <c:v>4.8301604256760058</c:v>
                </c:pt>
                <c:pt idx="1">
                  <c:v>3.1324407369637015</c:v>
                </c:pt>
                <c:pt idx="2">
                  <c:v>0.20568024055529932</c:v>
                </c:pt>
                <c:pt idx="3">
                  <c:v>-6.5309544312660002</c:v>
                </c:pt>
                <c:pt idx="4">
                  <c:v>-7.4618360388903007</c:v>
                </c:pt>
                <c:pt idx="5">
                  <c:v>-5.0810336798455005</c:v>
                </c:pt>
                <c:pt idx="6">
                  <c:v>-2.7860653008991996</c:v>
                </c:pt>
                <c:pt idx="7">
                  <c:v>1.943933551148497</c:v>
                </c:pt>
                <c:pt idx="8">
                  <c:v>-1.8864288696786105</c:v>
                </c:pt>
                <c:pt idx="9">
                  <c:v>-3.0014698163853097</c:v>
                </c:pt>
                <c:pt idx="10">
                  <c:v>-3.4103161104543034</c:v>
                </c:pt>
                <c:pt idx="11">
                  <c:v>-2.8322635187368945</c:v>
                </c:pt>
                <c:pt idx="12">
                  <c:v>4.9800450597413999</c:v>
                </c:pt>
                <c:pt idx="13">
                  <c:v>9.0673362796821024</c:v>
                </c:pt>
                <c:pt idx="14">
                  <c:v>13.493506495572205</c:v>
                </c:pt>
                <c:pt idx="15">
                  <c:v>2.5752994587295035</c:v>
                </c:pt>
                <c:pt idx="16">
                  <c:v>1.6017726075942065</c:v>
                </c:pt>
                <c:pt idx="17">
                  <c:v>-2.9506661402500356E-2</c:v>
                </c:pt>
                <c:pt idx="18">
                  <c:v>-9.981639549220489E-2</c:v>
                </c:pt>
                <c:pt idx="19">
                  <c:v>-1.2011413483740014</c:v>
                </c:pt>
                <c:pt idx="20">
                  <c:v>-1.8624176030320001</c:v>
                </c:pt>
                <c:pt idx="21">
                  <c:v>-1.1996105913357979</c:v>
                </c:pt>
                <c:pt idx="22">
                  <c:v>-0.58234906939030395</c:v>
                </c:pt>
                <c:pt idx="23">
                  <c:v>2.3503918029147002</c:v>
                </c:pt>
                <c:pt idx="24">
                  <c:v>2.781943970556199</c:v>
                </c:pt>
                <c:pt idx="25">
                  <c:v>0.18367324875280389</c:v>
                </c:pt>
                <c:pt idx="26">
                  <c:v>0.93939565400150116</c:v>
                </c:pt>
                <c:pt idx="27">
                  <c:v>-0.73392731717670046</c:v>
                </c:pt>
                <c:pt idx="28">
                  <c:v>-1.9508830458830957</c:v>
                </c:pt>
                <c:pt idx="29">
                  <c:v>4.9144968703868983</c:v>
                </c:pt>
                <c:pt idx="30">
                  <c:v>3.7133012921166042</c:v>
                </c:pt>
                <c:pt idx="31">
                  <c:v>6.4840951879399995</c:v>
                </c:pt>
                <c:pt idx="32">
                  <c:v>8.2929087349260016</c:v>
                </c:pt>
                <c:pt idx="33">
                  <c:v>-2.3390591549932012</c:v>
                </c:pt>
                <c:pt idx="34">
                  <c:v>-1.2362876866218002</c:v>
                </c:pt>
                <c:pt idx="35">
                  <c:v>-0.55307618099149636</c:v>
                </c:pt>
                <c:pt idx="36">
                  <c:v>0.19693436818820231</c:v>
                </c:pt>
                <c:pt idx="37">
                  <c:v>1.8653765589747024</c:v>
                </c:pt>
                <c:pt idx="38">
                  <c:v>3.1696790344199002</c:v>
                </c:pt>
                <c:pt idx="39">
                  <c:v>2.8017977536834024</c:v>
                </c:pt>
                <c:pt idx="40">
                  <c:v>2.101054944231997</c:v>
                </c:pt>
                <c:pt idx="41">
                  <c:v>4.4098566422196015</c:v>
                </c:pt>
                <c:pt idx="42">
                  <c:v>4.3220348745573958</c:v>
                </c:pt>
                <c:pt idx="43">
                  <c:v>-2.2418119911260987</c:v>
                </c:pt>
                <c:pt idx="44">
                  <c:v>-2.923900538985805</c:v>
                </c:pt>
                <c:pt idx="45">
                  <c:v>-3.3270171836537976</c:v>
                </c:pt>
                <c:pt idx="46">
                  <c:v>-4.3555528089822033</c:v>
                </c:pt>
                <c:pt idx="47">
                  <c:v>-7.0614478317700957E-2</c:v>
                </c:pt>
                <c:pt idx="48">
                  <c:v>-4.7414720102810008</c:v>
                </c:pt>
                <c:pt idx="49">
                  <c:v>-7.9991767226586035</c:v>
                </c:pt>
                <c:pt idx="50">
                  <c:v>-0.92675944714549985</c:v>
                </c:pt>
                <c:pt idx="51">
                  <c:v>-6.8977840837914073</c:v>
                </c:pt>
                <c:pt idx="52">
                  <c:v>-7.2034396106104026</c:v>
                </c:pt>
                <c:pt idx="53">
                  <c:v>-2.7219520615524999</c:v>
                </c:pt>
                <c:pt idx="54">
                  <c:v>-4.010718892959602</c:v>
                </c:pt>
                <c:pt idx="55">
                  <c:v>-3.391717491340998</c:v>
                </c:pt>
                <c:pt idx="56">
                  <c:v>-3.3326673085415877</c:v>
                </c:pt>
                <c:pt idx="57">
                  <c:v>-3.8280251634748907</c:v>
                </c:pt>
                <c:pt idx="58">
                  <c:v>-3.8667642830885995</c:v>
                </c:pt>
                <c:pt idx="59">
                  <c:v>-2.7125298614077025</c:v>
                </c:pt>
                <c:pt idx="60">
                  <c:v>-2.1499415897969953</c:v>
                </c:pt>
                <c:pt idx="61">
                  <c:v>0.8835220693642043</c:v>
                </c:pt>
                <c:pt idx="62">
                  <c:v>-0.38629402446530037</c:v>
                </c:pt>
                <c:pt idx="63">
                  <c:v>-3.6652362285817048</c:v>
                </c:pt>
                <c:pt idx="64">
                  <c:v>-3.3692191744509898</c:v>
                </c:pt>
                <c:pt idx="65">
                  <c:v>-3.0555142010924925</c:v>
                </c:pt>
                <c:pt idx="66">
                  <c:v>-0.93758760384170614</c:v>
                </c:pt>
                <c:pt idx="67">
                  <c:v>-3.2543256645153917</c:v>
                </c:pt>
                <c:pt idx="68">
                  <c:v>0.2777185520281904</c:v>
                </c:pt>
                <c:pt idx="69">
                  <c:v>2.6307903892296025</c:v>
                </c:pt>
                <c:pt idx="70">
                  <c:v>7.1514330503308088</c:v>
                </c:pt>
                <c:pt idx="71">
                  <c:v>-1.6537271019279984</c:v>
                </c:pt>
                <c:pt idx="72">
                  <c:v>-2.0362375792292013</c:v>
                </c:pt>
                <c:pt idx="73">
                  <c:v>-3.8770891577186006</c:v>
                </c:pt>
                <c:pt idx="74">
                  <c:v>-4.5628010952435005</c:v>
                </c:pt>
                <c:pt idx="75">
                  <c:v>-5.3260352950441003</c:v>
                </c:pt>
                <c:pt idx="76">
                  <c:v>-4.1793473804328016</c:v>
                </c:pt>
                <c:pt idx="77">
                  <c:v>-9.446319411511098</c:v>
                </c:pt>
                <c:pt idx="78">
                  <c:v>-11.277835279319795</c:v>
                </c:pt>
                <c:pt idx="79">
                  <c:v>-0.83769627691350479</c:v>
                </c:pt>
                <c:pt idx="80">
                  <c:v>-0.92815390916679519</c:v>
                </c:pt>
                <c:pt idx="81">
                  <c:v>-1.807915296495807</c:v>
                </c:pt>
                <c:pt idx="82">
                  <c:v>-7.3939373294697077</c:v>
                </c:pt>
                <c:pt idx="83">
                  <c:v>-0.51883286067270262</c:v>
                </c:pt>
                <c:pt idx="84">
                  <c:v>-0.23313488094039769</c:v>
                </c:pt>
                <c:pt idx="85">
                  <c:v>-4.5563505411366023</c:v>
                </c:pt>
                <c:pt idx="86">
                  <c:v>-3.1437408278476013</c:v>
                </c:pt>
                <c:pt idx="87">
                  <c:v>-4.6549173703339051</c:v>
                </c:pt>
                <c:pt idx="88">
                  <c:v>-3.2156160031174963</c:v>
                </c:pt>
                <c:pt idx="89">
                  <c:v>-1.5542447913287987</c:v>
                </c:pt>
                <c:pt idx="90">
                  <c:v>-2.9185863222374024</c:v>
                </c:pt>
                <c:pt idx="91">
                  <c:v>-2.4348037294114988</c:v>
                </c:pt>
                <c:pt idx="92">
                  <c:v>-3.0767654221999123</c:v>
                </c:pt>
                <c:pt idx="93">
                  <c:v>3.9434978220924677E-3</c:v>
                </c:pt>
                <c:pt idx="94">
                  <c:v>-3.3096713490035015</c:v>
                </c:pt>
                <c:pt idx="95">
                  <c:v>-4.8481573706617027</c:v>
                </c:pt>
                <c:pt idx="96">
                  <c:v>29.339840995341302</c:v>
                </c:pt>
                <c:pt idx="97">
                  <c:v>9.2109380630548969</c:v>
                </c:pt>
                <c:pt idx="98">
                  <c:v>5.6464256097488885</c:v>
                </c:pt>
                <c:pt idx="99">
                  <c:v>2.3140205811046997</c:v>
                </c:pt>
                <c:pt idx="100">
                  <c:v>1.7246423328998972</c:v>
                </c:pt>
                <c:pt idx="101">
                  <c:v>7.7089760648484997</c:v>
                </c:pt>
                <c:pt idx="102">
                  <c:v>-6.6123816108675015</c:v>
                </c:pt>
                <c:pt idx="103">
                  <c:v>-3.3042180675152402</c:v>
                </c:pt>
                <c:pt idx="104">
                  <c:v>-3.0788807958711897</c:v>
                </c:pt>
                <c:pt idx="105">
                  <c:v>-5.2180312898434504</c:v>
                </c:pt>
                <c:pt idx="106">
                  <c:v>-1.6520360590016498</c:v>
                </c:pt>
                <c:pt idx="107">
                  <c:v>-1.9553673472270501</c:v>
                </c:pt>
                <c:pt idx="108">
                  <c:v>-2.0900727833186301</c:v>
                </c:pt>
                <c:pt idx="109">
                  <c:v>-2.1408026050489504</c:v>
                </c:pt>
                <c:pt idx="110">
                  <c:v>-6.9060761899237981</c:v>
                </c:pt>
                <c:pt idx="111">
                  <c:v>-8.1736782027519013</c:v>
                </c:pt>
                <c:pt idx="112">
                  <c:v>-12.804230341218899</c:v>
                </c:pt>
                <c:pt idx="113">
                  <c:v>0.56086800905629985</c:v>
                </c:pt>
                <c:pt idx="114">
                  <c:v>-2.1249224303833998</c:v>
                </c:pt>
                <c:pt idx="115">
                  <c:v>-0.10110957324979886</c:v>
                </c:pt>
                <c:pt idx="116">
                  <c:v>-0.26560913222019966</c:v>
                </c:pt>
                <c:pt idx="117">
                  <c:v>-0.51102242811534992</c:v>
                </c:pt>
                <c:pt idx="118">
                  <c:v>-1.4392398573053899</c:v>
                </c:pt>
                <c:pt idx="119">
                  <c:v>-0.63127984509020019</c:v>
                </c:pt>
                <c:pt idx="120">
                  <c:v>-0.97349246723963967</c:v>
                </c:pt>
                <c:pt idx="121">
                  <c:v>-0.63055775970419958</c:v>
                </c:pt>
                <c:pt idx="122">
                  <c:v>-0.98916996886089947</c:v>
                </c:pt>
                <c:pt idx="123">
                  <c:v>0.55915196989560023</c:v>
                </c:pt>
                <c:pt idx="124">
                  <c:v>1.5344452450068999</c:v>
                </c:pt>
                <c:pt idx="125">
                  <c:v>-0.42322758680309924</c:v>
                </c:pt>
                <c:pt idx="126">
                  <c:v>0.93212900627889894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62528"/>
        <c:axId val="125080704"/>
      </c:lineChart>
      <c:dateAx>
        <c:axId val="125062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5080704"/>
        <c:crosses val="autoZero"/>
        <c:auto val="1"/>
        <c:lblOffset val="100"/>
        <c:baseTimeUnit val="days"/>
      </c:dateAx>
      <c:valAx>
        <c:axId val="1250807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25062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5 bps</a:t>
            </a:r>
            <a:r>
              <a:rPr lang="en-US" sz="1200" baseline="0"/>
              <a:t> Step, and LLPA/PMI</a:t>
            </a:r>
            <a:endParaRPr lang="en-US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bps-with cost'!$C$1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5 bps-with cost'!$A$2:$A$282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bps-with cost'!$C$2:$C$282</c:f>
              <c:numCache>
                <c:formatCode>General</c:formatCode>
                <c:ptCount val="281"/>
                <c:pt idx="0">
                  <c:v>39.020160425676004</c:v>
                </c:pt>
                <c:pt idx="1">
                  <c:v>32.7824407369637</c:v>
                </c:pt>
                <c:pt idx="2">
                  <c:v>28.7756802405553</c:v>
                </c:pt>
                <c:pt idx="3">
                  <c:v>16.139045568734002</c:v>
                </c:pt>
                <c:pt idx="4">
                  <c:v>18.048163961109701</c:v>
                </c:pt>
                <c:pt idx="5">
                  <c:v>22.278966320154499</c:v>
                </c:pt>
                <c:pt idx="6">
                  <c:v>17.673934699100801</c:v>
                </c:pt>
                <c:pt idx="7">
                  <c:v>40.3239335511485</c:v>
                </c:pt>
                <c:pt idx="8">
                  <c:v>68.843571130321394</c:v>
                </c:pt>
                <c:pt idx="9">
                  <c:v>70.038530183614697</c:v>
                </c:pt>
                <c:pt idx="10">
                  <c:v>72.369683889545698</c:v>
                </c:pt>
                <c:pt idx="11">
                  <c:v>73.987736481263099</c:v>
                </c:pt>
                <c:pt idx="12">
                  <c:v>72.720045059741395</c:v>
                </c:pt>
                <c:pt idx="13">
                  <c:v>73.047336279682099</c:v>
                </c:pt>
                <c:pt idx="14">
                  <c:v>74.353506495572205</c:v>
                </c:pt>
                <c:pt idx="15">
                  <c:v>56.795299458729502</c:v>
                </c:pt>
                <c:pt idx="16">
                  <c:v>58.081772607594203</c:v>
                </c:pt>
                <c:pt idx="17">
                  <c:v>45.730493338597498</c:v>
                </c:pt>
                <c:pt idx="18">
                  <c:v>42.460183604507797</c:v>
                </c:pt>
                <c:pt idx="19">
                  <c:v>42.858858651626001</c:v>
                </c:pt>
                <c:pt idx="20">
                  <c:v>49.787582396967998</c:v>
                </c:pt>
                <c:pt idx="21">
                  <c:v>46.940389408664203</c:v>
                </c:pt>
                <c:pt idx="22">
                  <c:v>48.187650930609699</c:v>
                </c:pt>
                <c:pt idx="23">
                  <c:v>44.140391802914699</c:v>
                </c:pt>
                <c:pt idx="24">
                  <c:v>48.121943970556202</c:v>
                </c:pt>
                <c:pt idx="25">
                  <c:v>54.083673248752802</c:v>
                </c:pt>
                <c:pt idx="26">
                  <c:v>62.429395654001503</c:v>
                </c:pt>
                <c:pt idx="27">
                  <c:v>57.686072682823301</c:v>
                </c:pt>
                <c:pt idx="28">
                  <c:v>59.269116954116903</c:v>
                </c:pt>
                <c:pt idx="29">
                  <c:v>66.3344968703869</c:v>
                </c:pt>
                <c:pt idx="30">
                  <c:v>59.013301292116601</c:v>
                </c:pt>
                <c:pt idx="31">
                  <c:v>56.154095187940001</c:v>
                </c:pt>
                <c:pt idx="32">
                  <c:v>56.582908734926001</c:v>
                </c:pt>
                <c:pt idx="33">
                  <c:v>38.990940845006797</c:v>
                </c:pt>
                <c:pt idx="34">
                  <c:v>42.073712313378202</c:v>
                </c:pt>
                <c:pt idx="35">
                  <c:v>42.026923819008502</c:v>
                </c:pt>
                <c:pt idx="36">
                  <c:v>42.0669343681882</c:v>
                </c:pt>
                <c:pt idx="37">
                  <c:v>42.1253765589747</c:v>
                </c:pt>
                <c:pt idx="38">
                  <c:v>38.219679034419897</c:v>
                </c:pt>
                <c:pt idx="39">
                  <c:v>38.8517977536834</c:v>
                </c:pt>
                <c:pt idx="40">
                  <c:v>39.441054944232</c:v>
                </c:pt>
                <c:pt idx="41">
                  <c:v>36.229856642219602</c:v>
                </c:pt>
                <c:pt idx="42">
                  <c:v>36.992034874557397</c:v>
                </c:pt>
                <c:pt idx="43">
                  <c:v>39.168188008873898</c:v>
                </c:pt>
                <c:pt idx="44">
                  <c:v>41.066099461014197</c:v>
                </c:pt>
                <c:pt idx="45">
                  <c:v>30.072982816346201</c:v>
                </c:pt>
                <c:pt idx="46">
                  <c:v>32.8444471910178</c:v>
                </c:pt>
                <c:pt idx="47">
                  <c:v>42.309385521682302</c:v>
                </c:pt>
                <c:pt idx="48">
                  <c:v>48.478527989718998</c:v>
                </c:pt>
                <c:pt idx="49">
                  <c:v>66.190823277341394</c:v>
                </c:pt>
                <c:pt idx="50">
                  <c:v>78.023240552854503</c:v>
                </c:pt>
                <c:pt idx="51">
                  <c:v>67.662215916208595</c:v>
                </c:pt>
                <c:pt idx="52">
                  <c:v>70.326560389389599</c:v>
                </c:pt>
                <c:pt idx="53">
                  <c:v>84.498047938447499</c:v>
                </c:pt>
                <c:pt idx="54">
                  <c:v>88.859281107040403</c:v>
                </c:pt>
                <c:pt idx="55">
                  <c:v>91.108282508659002</c:v>
                </c:pt>
                <c:pt idx="56">
                  <c:v>92.737332691458406</c:v>
                </c:pt>
                <c:pt idx="57">
                  <c:v>88.801974836525105</c:v>
                </c:pt>
                <c:pt idx="58">
                  <c:v>85.283235716911406</c:v>
                </c:pt>
                <c:pt idx="59">
                  <c:v>89.047470138592303</c:v>
                </c:pt>
                <c:pt idx="60">
                  <c:v>87.820058410203004</c:v>
                </c:pt>
                <c:pt idx="61">
                  <c:v>88.993522069364204</c:v>
                </c:pt>
                <c:pt idx="62">
                  <c:v>83.813705975534702</c:v>
                </c:pt>
                <c:pt idx="63">
                  <c:v>78.734763771418301</c:v>
                </c:pt>
                <c:pt idx="64">
                  <c:v>83.950780825549003</c:v>
                </c:pt>
                <c:pt idx="65">
                  <c:v>85.264485798907501</c:v>
                </c:pt>
                <c:pt idx="66">
                  <c:v>87.172412396158293</c:v>
                </c:pt>
                <c:pt idx="67">
                  <c:v>84.655674335484605</c:v>
                </c:pt>
                <c:pt idx="68">
                  <c:v>83.707718552028197</c:v>
                </c:pt>
                <c:pt idx="69">
                  <c:v>85.4307903892296</c:v>
                </c:pt>
                <c:pt idx="70">
                  <c:v>81.111433050330803</c:v>
                </c:pt>
                <c:pt idx="71">
                  <c:v>53.856272898072</c:v>
                </c:pt>
                <c:pt idx="72">
                  <c:v>54.953762420770801</c:v>
                </c:pt>
                <c:pt idx="73">
                  <c:v>50.702910842281398</c:v>
                </c:pt>
                <c:pt idx="74">
                  <c:v>47.6471989047565</c:v>
                </c:pt>
                <c:pt idx="75">
                  <c:v>48.373964704955903</c:v>
                </c:pt>
                <c:pt idx="76">
                  <c:v>46.9906526195672</c:v>
                </c:pt>
                <c:pt idx="77">
                  <c:v>49.413680588488901</c:v>
                </c:pt>
                <c:pt idx="78">
                  <c:v>50.452164720680202</c:v>
                </c:pt>
                <c:pt idx="79">
                  <c:v>81.842303723086502</c:v>
                </c:pt>
                <c:pt idx="80">
                  <c:v>89.101846090833206</c:v>
                </c:pt>
                <c:pt idx="81">
                  <c:v>85.452084703504198</c:v>
                </c:pt>
                <c:pt idx="82">
                  <c:v>74.276062670530294</c:v>
                </c:pt>
                <c:pt idx="83">
                  <c:v>72.591167139327297</c:v>
                </c:pt>
                <c:pt idx="84">
                  <c:v>69.476865119059596</c:v>
                </c:pt>
                <c:pt idx="85">
                  <c:v>61.913649458863397</c:v>
                </c:pt>
                <c:pt idx="86">
                  <c:v>55.346259172152401</c:v>
                </c:pt>
                <c:pt idx="87">
                  <c:v>62.135082629666101</c:v>
                </c:pt>
                <c:pt idx="88">
                  <c:v>63.4443839968825</c:v>
                </c:pt>
                <c:pt idx="89">
                  <c:v>64.855755208671198</c:v>
                </c:pt>
                <c:pt idx="90">
                  <c:v>68.251413677762599</c:v>
                </c:pt>
                <c:pt idx="91">
                  <c:v>73.065196270588501</c:v>
                </c:pt>
                <c:pt idx="92">
                  <c:v>71.213234577800094</c:v>
                </c:pt>
                <c:pt idx="93">
                  <c:v>70.793943497822099</c:v>
                </c:pt>
                <c:pt idx="94">
                  <c:v>62.580328650996499</c:v>
                </c:pt>
                <c:pt idx="95">
                  <c:v>62.1018426293383</c:v>
                </c:pt>
                <c:pt idx="96">
                  <c:v>53.969840995341301</c:v>
                </c:pt>
                <c:pt idx="97">
                  <c:v>84.070938063054896</c:v>
                </c:pt>
                <c:pt idx="98">
                  <c:v>87.516425609748893</c:v>
                </c:pt>
                <c:pt idx="99">
                  <c:v>72.614020581104697</c:v>
                </c:pt>
                <c:pt idx="100">
                  <c:v>59.934642332899898</c:v>
                </c:pt>
                <c:pt idx="101">
                  <c:v>76.998976064848506</c:v>
                </c:pt>
                <c:pt idx="102">
                  <c:v>40.387618389132498</c:v>
                </c:pt>
                <c:pt idx="103">
                  <c:v>3.0257819324847599</c:v>
                </c:pt>
                <c:pt idx="104">
                  <c:v>3.0511192041288102</c:v>
                </c:pt>
                <c:pt idx="105">
                  <c:v>3.7519687101565502</c:v>
                </c:pt>
                <c:pt idx="106">
                  <c:v>1.66796394099835</c:v>
                </c:pt>
                <c:pt idx="107">
                  <c:v>2.0446326527729499</c:v>
                </c:pt>
                <c:pt idx="108">
                  <c:v>3.1999272166813699</c:v>
                </c:pt>
                <c:pt idx="109">
                  <c:v>8.6891973949510497</c:v>
                </c:pt>
                <c:pt idx="110">
                  <c:v>10.723923810076201</c:v>
                </c:pt>
                <c:pt idx="111">
                  <c:v>11.0163217972481</c:v>
                </c:pt>
                <c:pt idx="112">
                  <c:v>13.5757696587811</c:v>
                </c:pt>
                <c:pt idx="113">
                  <c:v>39.050868009056302</c:v>
                </c:pt>
                <c:pt idx="114">
                  <c:v>14.0350775696166</c:v>
                </c:pt>
                <c:pt idx="115">
                  <c:v>11.428890426750201</c:v>
                </c:pt>
                <c:pt idx="116">
                  <c:v>7.2843908677798002</c:v>
                </c:pt>
                <c:pt idx="117">
                  <c:v>7.0089775718846496</c:v>
                </c:pt>
                <c:pt idx="118">
                  <c:v>4.0507601426946103</c:v>
                </c:pt>
                <c:pt idx="119">
                  <c:v>3.5587201549098002</c:v>
                </c:pt>
                <c:pt idx="120">
                  <c:v>3.66650753276036</c:v>
                </c:pt>
                <c:pt idx="121">
                  <c:v>10.8994422402958</c:v>
                </c:pt>
                <c:pt idx="122">
                  <c:v>12.6008300311391</c:v>
                </c:pt>
                <c:pt idx="123">
                  <c:v>15.6391519698956</c:v>
                </c:pt>
                <c:pt idx="124">
                  <c:v>12.5544452450069</c:v>
                </c:pt>
                <c:pt idx="125">
                  <c:v>12.8567724131969</c:v>
                </c:pt>
                <c:pt idx="126">
                  <c:v>17.2821290062789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5 bps-with cost'!$D$1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5 bps-with cost'!$A$2:$A$282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bps-with cost'!$D$2:$D$282</c:f>
              <c:numCache>
                <c:formatCode>General</c:formatCode>
                <c:ptCount val="281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97856"/>
        <c:axId val="125099392"/>
      </c:lineChart>
      <c:dateAx>
        <c:axId val="125097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5099392"/>
        <c:crosses val="autoZero"/>
        <c:auto val="1"/>
        <c:lblOffset val="100"/>
        <c:baseTimeUnit val="months"/>
      </c:dateAx>
      <c:valAx>
        <c:axId val="125099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50978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 bps-with cost'!$E$1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'Tracking 12.5 bps-with cost'!$A$2:$A$128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'Tracking 12.5 bps-with cost'!$E$2:$E$128</c:f>
              <c:numCache>
                <c:formatCode>0.00</c:formatCode>
                <c:ptCount val="127"/>
                <c:pt idx="0">
                  <c:v>5.0740276778649971</c:v>
                </c:pt>
                <c:pt idx="1">
                  <c:v>10.833363875282899</c:v>
                </c:pt>
                <c:pt idx="2">
                  <c:v>8.0087815619248985</c:v>
                </c:pt>
                <c:pt idx="3">
                  <c:v>2.4065407282268012</c:v>
                </c:pt>
                <c:pt idx="4">
                  <c:v>-2.5154908445941011</c:v>
                </c:pt>
                <c:pt idx="5">
                  <c:v>-6.5824877082386024</c:v>
                </c:pt>
                <c:pt idx="6">
                  <c:v>2.3563009905020991</c:v>
                </c:pt>
                <c:pt idx="7">
                  <c:v>-1.2835501381893017</c:v>
                </c:pt>
                <c:pt idx="8">
                  <c:v>3.0042784019251982</c:v>
                </c:pt>
                <c:pt idx="9">
                  <c:v>-0.40313845718010555</c:v>
                </c:pt>
                <c:pt idx="10">
                  <c:v>-1.936848357237011</c:v>
                </c:pt>
                <c:pt idx="11">
                  <c:v>1.0710612395406969</c:v>
                </c:pt>
                <c:pt idx="12">
                  <c:v>-5.0223129513895515E-2</c:v>
                </c:pt>
                <c:pt idx="13">
                  <c:v>11.507255218507609</c:v>
                </c:pt>
                <c:pt idx="14">
                  <c:v>11.052364665052401</c:v>
                </c:pt>
                <c:pt idx="15">
                  <c:v>15.085233130813904</c:v>
                </c:pt>
                <c:pt idx="16">
                  <c:v>8.5010688748005023</c:v>
                </c:pt>
                <c:pt idx="17">
                  <c:v>6.3412480815542054</c:v>
                </c:pt>
                <c:pt idx="18">
                  <c:v>1.6412724766653994</c:v>
                </c:pt>
                <c:pt idx="19">
                  <c:v>1.8922187916192001</c:v>
                </c:pt>
                <c:pt idx="20">
                  <c:v>0.76912431488769784</c:v>
                </c:pt>
                <c:pt idx="21">
                  <c:v>-0.55765326535659909</c:v>
                </c:pt>
                <c:pt idx="22">
                  <c:v>1.5224350994013989</c:v>
                </c:pt>
                <c:pt idx="23">
                  <c:v>1.5910963619375948</c:v>
                </c:pt>
                <c:pt idx="24">
                  <c:v>5.8701678336661018</c:v>
                </c:pt>
                <c:pt idx="25">
                  <c:v>5.1723016574224943</c:v>
                </c:pt>
                <c:pt idx="26">
                  <c:v>3.4468388554941001</c:v>
                </c:pt>
                <c:pt idx="27">
                  <c:v>8.0259354487419969</c:v>
                </c:pt>
                <c:pt idx="28">
                  <c:v>3.2592561795868988</c:v>
                </c:pt>
                <c:pt idx="29">
                  <c:v>6.2637820642873976</c:v>
                </c:pt>
                <c:pt idx="30">
                  <c:v>11.185361949306099</c:v>
                </c:pt>
                <c:pt idx="31">
                  <c:v>5.8598802943728003</c:v>
                </c:pt>
                <c:pt idx="32">
                  <c:v>9.1653601418748991</c:v>
                </c:pt>
                <c:pt idx="33">
                  <c:v>11.894097627371103</c:v>
                </c:pt>
                <c:pt idx="34">
                  <c:v>4.4721608324974014</c:v>
                </c:pt>
                <c:pt idx="35">
                  <c:v>10.277774396310498</c:v>
                </c:pt>
                <c:pt idx="36">
                  <c:v>3.2012034506591007</c:v>
                </c:pt>
                <c:pt idx="37">
                  <c:v>5.7816241059651006</c:v>
                </c:pt>
                <c:pt idx="38">
                  <c:v>9.3485408389357048</c:v>
                </c:pt>
                <c:pt idx="39">
                  <c:v>4.256049006430203</c:v>
                </c:pt>
                <c:pt idx="40">
                  <c:v>3.872075413212805</c:v>
                </c:pt>
                <c:pt idx="41">
                  <c:v>4.9642208182411949</c:v>
                </c:pt>
                <c:pt idx="42">
                  <c:v>7.1752619571512</c:v>
                </c:pt>
                <c:pt idx="43">
                  <c:v>6.9070811054564984</c:v>
                </c:pt>
                <c:pt idx="44">
                  <c:v>-1.1745419485155963</c:v>
                </c:pt>
                <c:pt idx="45">
                  <c:v>-2.5666009612783043</c:v>
                </c:pt>
                <c:pt idx="46">
                  <c:v>6.6543763144475037</c:v>
                </c:pt>
                <c:pt idx="47">
                  <c:v>3.8556254870022002</c:v>
                </c:pt>
                <c:pt idx="48">
                  <c:v>-1.8296611726665049</c:v>
                </c:pt>
                <c:pt idx="49">
                  <c:v>0.88271761713690466</c:v>
                </c:pt>
                <c:pt idx="50">
                  <c:v>-0.98367800949380069</c:v>
                </c:pt>
                <c:pt idx="51">
                  <c:v>2.4142138122451939</c:v>
                </c:pt>
                <c:pt idx="52">
                  <c:v>-4.8265745549746981</c:v>
                </c:pt>
                <c:pt idx="53">
                  <c:v>-5.8010395909756056</c:v>
                </c:pt>
                <c:pt idx="54">
                  <c:v>0.28162483633559532</c:v>
                </c:pt>
                <c:pt idx="55">
                  <c:v>-3.4347504949594025</c:v>
                </c:pt>
                <c:pt idx="56">
                  <c:v>-2.8354424870865955</c:v>
                </c:pt>
                <c:pt idx="57">
                  <c:v>-2.8534484216020957</c:v>
                </c:pt>
                <c:pt idx="58">
                  <c:v>-3.6507082660739911</c:v>
                </c:pt>
                <c:pt idx="59">
                  <c:v>4.2718544143792911</c:v>
                </c:pt>
                <c:pt idx="60">
                  <c:v>2.0394547071840918</c:v>
                </c:pt>
                <c:pt idx="61">
                  <c:v>0.30782039492730462</c:v>
                </c:pt>
                <c:pt idx="62">
                  <c:v>1.5367500831791006</c:v>
                </c:pt>
                <c:pt idx="63">
                  <c:v>5.0630632322244935</c:v>
                </c:pt>
                <c:pt idx="64">
                  <c:v>1.1936542721081906</c:v>
                </c:pt>
                <c:pt idx="65">
                  <c:v>-3.2483536667756994</c:v>
                </c:pt>
                <c:pt idx="66">
                  <c:v>-2.7965029630523901</c:v>
                </c:pt>
                <c:pt idx="67">
                  <c:v>-0.56086067673470552</c:v>
                </c:pt>
                <c:pt idx="68">
                  <c:v>1.7423844929710981</c:v>
                </c:pt>
                <c:pt idx="69">
                  <c:v>0.64881298707040003</c:v>
                </c:pt>
                <c:pt idx="70">
                  <c:v>7.6140217765662044</c:v>
                </c:pt>
                <c:pt idx="71">
                  <c:v>4.8989334120779091</c:v>
                </c:pt>
                <c:pt idx="72">
                  <c:v>-4.1144012992599954</c:v>
                </c:pt>
                <c:pt idx="73">
                  <c:v>-5.4474663335337041</c:v>
                </c:pt>
                <c:pt idx="74">
                  <c:v>-2.0793133531153956</c:v>
                </c:pt>
                <c:pt idx="75">
                  <c:v>-5.3924754293858044</c:v>
                </c:pt>
                <c:pt idx="76">
                  <c:v>-6.0960344625296017</c:v>
                </c:pt>
                <c:pt idx="77">
                  <c:v>-4.1793473804328016</c:v>
                </c:pt>
                <c:pt idx="78">
                  <c:v>-11.275741599828997</c:v>
                </c:pt>
                <c:pt idx="79">
                  <c:v>-6.895650459472094</c:v>
                </c:pt>
                <c:pt idx="80">
                  <c:v>2.5260336877150991</c:v>
                </c:pt>
                <c:pt idx="81">
                  <c:v>0.59112571984600493</c:v>
                </c:pt>
                <c:pt idx="82">
                  <c:v>2.3326808760240993</c:v>
                </c:pt>
                <c:pt idx="83">
                  <c:v>9.4577845871263975</c:v>
                </c:pt>
                <c:pt idx="84">
                  <c:v>8.5416900503794011</c:v>
                </c:pt>
                <c:pt idx="85">
                  <c:v>-1.7513074008383001</c:v>
                </c:pt>
                <c:pt idx="86">
                  <c:v>4.3479500005005889E-2</c:v>
                </c:pt>
                <c:pt idx="87">
                  <c:v>2.0066700347955972</c:v>
                </c:pt>
                <c:pt idx="88">
                  <c:v>-3.6720801351599093</c:v>
                </c:pt>
                <c:pt idx="89">
                  <c:v>-1.9430875454822001</c:v>
                </c:pt>
                <c:pt idx="90">
                  <c:v>0.75946342274160372</c:v>
                </c:pt>
                <c:pt idx="91">
                  <c:v>1.9376408239382954</c:v>
                </c:pt>
                <c:pt idx="92">
                  <c:v>-4.9413994622199198E-2</c:v>
                </c:pt>
                <c:pt idx="93">
                  <c:v>2.8173586146449878</c:v>
                </c:pt>
                <c:pt idx="94">
                  <c:v>0.87991942412489266</c:v>
                </c:pt>
                <c:pt idx="95">
                  <c:v>1.0135381911990038</c:v>
                </c:pt>
                <c:pt idx="96">
                  <c:v>2.5187129830854929</c:v>
                </c:pt>
                <c:pt idx="97">
                  <c:v>33.944091279573797</c:v>
                </c:pt>
                <c:pt idx="98">
                  <c:v>10.481169766636</c:v>
                </c:pt>
                <c:pt idx="99">
                  <c:v>6.9450937647358018</c:v>
                </c:pt>
                <c:pt idx="100">
                  <c:v>8.1281865309171053</c:v>
                </c:pt>
                <c:pt idx="101">
                  <c:v>14.727073032558202</c:v>
                </c:pt>
                <c:pt idx="102">
                  <c:v>8.3164305733220942</c:v>
                </c:pt>
                <c:pt idx="103">
                  <c:v>9.7358974754212966</c:v>
                </c:pt>
                <c:pt idx="104">
                  <c:v>-3.4592196351570101</c:v>
                </c:pt>
                <c:pt idx="105">
                  <c:v>-3.1699605365973298</c:v>
                </c:pt>
                <c:pt idx="106">
                  <c:v>-4.7430513528387905</c:v>
                </c:pt>
                <c:pt idx="107">
                  <c:v>-1.0649806616923798</c:v>
                </c:pt>
                <c:pt idx="108">
                  <c:v>-1.7921978292710699</c:v>
                </c:pt>
                <c:pt idx="109">
                  <c:v>-2.1941678268208999</c:v>
                </c:pt>
                <c:pt idx="110">
                  <c:v>-0.5979251609333005</c:v>
                </c:pt>
                <c:pt idx="111">
                  <c:v>-3.8761102546192987</c:v>
                </c:pt>
                <c:pt idx="112">
                  <c:v>-5.0157717570337006</c:v>
                </c:pt>
                <c:pt idx="113">
                  <c:v>-11.591239323029798</c:v>
                </c:pt>
                <c:pt idx="114">
                  <c:v>9.5004748802912999</c:v>
                </c:pt>
                <c:pt idx="115">
                  <c:v>0.69526734624220055</c:v>
                </c:pt>
                <c:pt idx="116">
                  <c:v>0.69777723403990066</c:v>
                </c:pt>
                <c:pt idx="117">
                  <c:v>3.1070349420784007</c:v>
                </c:pt>
                <c:pt idx="118">
                  <c:v>-0.55462477611804939</c:v>
                </c:pt>
                <c:pt idx="119">
                  <c:v>-0.40875341046794045</c:v>
                </c:pt>
                <c:pt idx="120">
                  <c:v>-0.2139813516542306</c:v>
                </c:pt>
                <c:pt idx="121">
                  <c:v>-0.51830367311314962</c:v>
                </c:pt>
                <c:pt idx="122">
                  <c:v>1.5147730351574005</c:v>
                </c:pt>
                <c:pt idx="123">
                  <c:v>3.6057515215680986</c:v>
                </c:pt>
                <c:pt idx="124">
                  <c:v>1.3320939542710004</c:v>
                </c:pt>
                <c:pt idx="125">
                  <c:v>4.3387153028669996</c:v>
                </c:pt>
                <c:pt idx="126">
                  <c:v>1.9036456926127006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959616"/>
        <c:axId val="126961152"/>
      </c:lineChart>
      <c:dateAx>
        <c:axId val="1269596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6961152"/>
        <c:crosses val="autoZero"/>
        <c:auto val="1"/>
        <c:lblOffset val="100"/>
        <c:baseTimeUnit val="days"/>
      </c:dateAx>
      <c:valAx>
        <c:axId val="12696115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26959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Step, and LLPA/PMI</a:t>
            </a:r>
            <a:endParaRPr lang="en-US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 bps-with cost'!$C$1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12.5 bps-with cost'!$A$2:$A$128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'Tracking 12.5 bps-with cost'!$C$2:$C$128</c:f>
              <c:numCache>
                <c:formatCode>General</c:formatCode>
                <c:ptCount val="127"/>
                <c:pt idx="0">
                  <c:v>35.504027677864997</c:v>
                </c:pt>
                <c:pt idx="1">
                  <c:v>45.023363875282897</c:v>
                </c:pt>
                <c:pt idx="2">
                  <c:v>37.658781561924897</c:v>
                </c:pt>
                <c:pt idx="3">
                  <c:v>30.976540728226801</c:v>
                </c:pt>
                <c:pt idx="4">
                  <c:v>20.154509155405901</c:v>
                </c:pt>
                <c:pt idx="5">
                  <c:v>18.927512291761399</c:v>
                </c:pt>
                <c:pt idx="6">
                  <c:v>29.716300990502099</c:v>
                </c:pt>
                <c:pt idx="7">
                  <c:v>19.176449861810699</c:v>
                </c:pt>
                <c:pt idx="8">
                  <c:v>41.384278401925201</c:v>
                </c:pt>
                <c:pt idx="9">
                  <c:v>70.326861542819898</c:v>
                </c:pt>
                <c:pt idx="10">
                  <c:v>71.103151642762995</c:v>
                </c:pt>
                <c:pt idx="11">
                  <c:v>76.851061239540698</c:v>
                </c:pt>
                <c:pt idx="12">
                  <c:v>76.769776870486098</c:v>
                </c:pt>
                <c:pt idx="13">
                  <c:v>79.247255218507604</c:v>
                </c:pt>
                <c:pt idx="14">
                  <c:v>75.032364665052398</c:v>
                </c:pt>
                <c:pt idx="15">
                  <c:v>75.945233130813904</c:v>
                </c:pt>
                <c:pt idx="16">
                  <c:v>62.721068874800501</c:v>
                </c:pt>
                <c:pt idx="17">
                  <c:v>62.821248081554202</c:v>
                </c:pt>
                <c:pt idx="18">
                  <c:v>47.401272476665397</c:v>
                </c:pt>
                <c:pt idx="19">
                  <c:v>44.452218791619202</c:v>
                </c:pt>
                <c:pt idx="20">
                  <c:v>44.8291243148877</c:v>
                </c:pt>
                <c:pt idx="21">
                  <c:v>51.092346734643399</c:v>
                </c:pt>
                <c:pt idx="22">
                  <c:v>49.662435099401399</c:v>
                </c:pt>
                <c:pt idx="23">
                  <c:v>50.361096361937598</c:v>
                </c:pt>
                <c:pt idx="24">
                  <c:v>47.660167833666101</c:v>
                </c:pt>
                <c:pt idx="25">
                  <c:v>50.512301657422498</c:v>
                </c:pt>
                <c:pt idx="26">
                  <c:v>57.346838855494099</c:v>
                </c:pt>
                <c:pt idx="27">
                  <c:v>69.515935448741999</c:v>
                </c:pt>
                <c:pt idx="28">
                  <c:v>61.679256179586901</c:v>
                </c:pt>
                <c:pt idx="29">
                  <c:v>67.483782064287396</c:v>
                </c:pt>
                <c:pt idx="30">
                  <c:v>72.605361949306101</c:v>
                </c:pt>
                <c:pt idx="31">
                  <c:v>61.159880294372797</c:v>
                </c:pt>
                <c:pt idx="32">
                  <c:v>58.835360141874901</c:v>
                </c:pt>
                <c:pt idx="33">
                  <c:v>60.184097627371102</c:v>
                </c:pt>
                <c:pt idx="34">
                  <c:v>45.8021608324974</c:v>
                </c:pt>
                <c:pt idx="35">
                  <c:v>53.5877743963105</c:v>
                </c:pt>
                <c:pt idx="36">
                  <c:v>45.781203450659099</c:v>
                </c:pt>
                <c:pt idx="37">
                  <c:v>47.651624105965098</c:v>
                </c:pt>
                <c:pt idx="38">
                  <c:v>49.608540838935703</c:v>
                </c:pt>
                <c:pt idx="39">
                  <c:v>39.3060490064302</c:v>
                </c:pt>
                <c:pt idx="40">
                  <c:v>39.922075413212802</c:v>
                </c:pt>
                <c:pt idx="41">
                  <c:v>42.304220818241198</c:v>
                </c:pt>
                <c:pt idx="42">
                  <c:v>38.9952619571512</c:v>
                </c:pt>
                <c:pt idx="43">
                  <c:v>39.5770811054565</c:v>
                </c:pt>
                <c:pt idx="44">
                  <c:v>40.2354580514844</c:v>
                </c:pt>
                <c:pt idx="45">
                  <c:v>41.423399038721698</c:v>
                </c:pt>
                <c:pt idx="46">
                  <c:v>40.054376314447502</c:v>
                </c:pt>
                <c:pt idx="47">
                  <c:v>41.055625487002203</c:v>
                </c:pt>
                <c:pt idx="48">
                  <c:v>40.550338827333498</c:v>
                </c:pt>
                <c:pt idx="49">
                  <c:v>54.102717617136904</c:v>
                </c:pt>
                <c:pt idx="50">
                  <c:v>73.206321990506197</c:v>
                </c:pt>
                <c:pt idx="51">
                  <c:v>81.364213812245197</c:v>
                </c:pt>
                <c:pt idx="52">
                  <c:v>69.733425445025304</c:v>
                </c:pt>
                <c:pt idx="53">
                  <c:v>71.728960409024396</c:v>
                </c:pt>
                <c:pt idx="54">
                  <c:v>87.501624836335594</c:v>
                </c:pt>
                <c:pt idx="55">
                  <c:v>89.435249505040602</c:v>
                </c:pt>
                <c:pt idx="56">
                  <c:v>91.664557512913404</c:v>
                </c:pt>
                <c:pt idx="57">
                  <c:v>93.216551578397898</c:v>
                </c:pt>
                <c:pt idx="58">
                  <c:v>88.979291733926004</c:v>
                </c:pt>
                <c:pt idx="59">
                  <c:v>93.421854414379297</c:v>
                </c:pt>
                <c:pt idx="60">
                  <c:v>93.799454707184097</c:v>
                </c:pt>
                <c:pt idx="61">
                  <c:v>90.277820394927303</c:v>
                </c:pt>
                <c:pt idx="62">
                  <c:v>89.6467500831791</c:v>
                </c:pt>
                <c:pt idx="63">
                  <c:v>89.263063232224496</c:v>
                </c:pt>
                <c:pt idx="64">
                  <c:v>83.593654272108196</c:v>
                </c:pt>
                <c:pt idx="65">
                  <c:v>84.071646333224294</c:v>
                </c:pt>
                <c:pt idx="66">
                  <c:v>85.523497036947603</c:v>
                </c:pt>
                <c:pt idx="67">
                  <c:v>87.549139323265294</c:v>
                </c:pt>
                <c:pt idx="68">
                  <c:v>89.652384492971095</c:v>
                </c:pt>
                <c:pt idx="69">
                  <c:v>84.078812987070407</c:v>
                </c:pt>
                <c:pt idx="70">
                  <c:v>90.414021776566202</c:v>
                </c:pt>
                <c:pt idx="71">
                  <c:v>78.858933412077903</c:v>
                </c:pt>
                <c:pt idx="72">
                  <c:v>51.395598700740003</c:v>
                </c:pt>
                <c:pt idx="73">
                  <c:v>51.542533666466298</c:v>
                </c:pt>
                <c:pt idx="74">
                  <c:v>52.500686646884603</c:v>
                </c:pt>
                <c:pt idx="75">
                  <c:v>46.817524570614196</c:v>
                </c:pt>
                <c:pt idx="76">
                  <c:v>47.603965537470401</c:v>
                </c:pt>
                <c:pt idx="77">
                  <c:v>46.9906526195672</c:v>
                </c:pt>
                <c:pt idx="78">
                  <c:v>47.584258400171002</c:v>
                </c:pt>
                <c:pt idx="79">
                  <c:v>54.834349540527903</c:v>
                </c:pt>
                <c:pt idx="80">
                  <c:v>85.206033687715106</c:v>
                </c:pt>
                <c:pt idx="81">
                  <c:v>90.621125719846006</c:v>
                </c:pt>
                <c:pt idx="82">
                  <c:v>89.592680876024104</c:v>
                </c:pt>
                <c:pt idx="83">
                  <c:v>91.127784587126399</c:v>
                </c:pt>
                <c:pt idx="84">
                  <c:v>81.651690050379401</c:v>
                </c:pt>
                <c:pt idx="85">
                  <c:v>67.958692599161694</c:v>
                </c:pt>
                <c:pt idx="86">
                  <c:v>66.513479500005005</c:v>
                </c:pt>
                <c:pt idx="87">
                  <c:v>60.496670034795599</c:v>
                </c:pt>
                <c:pt idx="88">
                  <c:v>63.117919864840097</c:v>
                </c:pt>
                <c:pt idx="89">
                  <c:v>64.716912454517797</c:v>
                </c:pt>
                <c:pt idx="90">
                  <c:v>67.1694634227416</c:v>
                </c:pt>
                <c:pt idx="91">
                  <c:v>73.107640823938297</c:v>
                </c:pt>
                <c:pt idx="92">
                  <c:v>75.450586005377801</c:v>
                </c:pt>
                <c:pt idx="93">
                  <c:v>77.107358614644994</c:v>
                </c:pt>
                <c:pt idx="94">
                  <c:v>71.669919424124899</c:v>
                </c:pt>
                <c:pt idx="95">
                  <c:v>66.903538191199004</c:v>
                </c:pt>
                <c:pt idx="96">
                  <c:v>69.468712983085496</c:v>
                </c:pt>
                <c:pt idx="97">
                  <c:v>58.5740912795738</c:v>
                </c:pt>
                <c:pt idx="98">
                  <c:v>85.341169766636</c:v>
                </c:pt>
                <c:pt idx="99">
                  <c:v>88.815093764735806</c:v>
                </c:pt>
                <c:pt idx="100">
                  <c:v>78.428186530917102</c:v>
                </c:pt>
                <c:pt idx="101">
                  <c:v>72.937073032558203</c:v>
                </c:pt>
                <c:pt idx="102">
                  <c:v>77.6064305733221</c:v>
                </c:pt>
                <c:pt idx="103">
                  <c:v>56.735897475421297</c:v>
                </c:pt>
                <c:pt idx="104">
                  <c:v>2.8707803648429899</c:v>
                </c:pt>
                <c:pt idx="105">
                  <c:v>2.9600394634026701</c:v>
                </c:pt>
                <c:pt idx="106">
                  <c:v>4.2269486471612101</c:v>
                </c:pt>
                <c:pt idx="107">
                  <c:v>2.25501933830762</c:v>
                </c:pt>
                <c:pt idx="108">
                  <c:v>2.2078021707289301</c:v>
                </c:pt>
                <c:pt idx="109">
                  <c:v>3.0958321731791001</c:v>
                </c:pt>
                <c:pt idx="110">
                  <c:v>10.2320748390667</c:v>
                </c:pt>
                <c:pt idx="111">
                  <c:v>13.7538897453807</c:v>
                </c:pt>
                <c:pt idx="112">
                  <c:v>14.174228242966301</c:v>
                </c:pt>
                <c:pt idx="113">
                  <c:v>14.788760676970201</c:v>
                </c:pt>
                <c:pt idx="114">
                  <c:v>47.990474880291302</c:v>
                </c:pt>
                <c:pt idx="115">
                  <c:v>16.855267346242201</c:v>
                </c:pt>
                <c:pt idx="116">
                  <c:v>12.2277772340399</c:v>
                </c:pt>
                <c:pt idx="117">
                  <c:v>10.657034942078401</c:v>
                </c:pt>
                <c:pt idx="118">
                  <c:v>6.9653752238819502</c:v>
                </c:pt>
                <c:pt idx="119">
                  <c:v>5.0812465895320598</c:v>
                </c:pt>
                <c:pt idx="120">
                  <c:v>3.9760186483457698</c:v>
                </c:pt>
                <c:pt idx="121">
                  <c:v>4.1216963268868501</c:v>
                </c:pt>
                <c:pt idx="122">
                  <c:v>13.0447730351574</c:v>
                </c:pt>
                <c:pt idx="123">
                  <c:v>17.195751521568098</c:v>
                </c:pt>
                <c:pt idx="124">
                  <c:v>16.412093954271</c:v>
                </c:pt>
                <c:pt idx="125">
                  <c:v>15.358715302866999</c:v>
                </c:pt>
                <c:pt idx="126">
                  <c:v>15.1836456926127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12.5 bps-with cost'!$D$1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12.5 bps-with cost'!$A$2:$A$128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'Tracking 12.5 bps-with cost'!$D$2:$D$128</c:f>
              <c:numCache>
                <c:formatCode>General</c:formatCode>
                <c:ptCount val="127"/>
                <c:pt idx="0">
                  <c:v>30.43</c:v>
                </c:pt>
                <c:pt idx="1">
                  <c:v>34.19</c:v>
                </c:pt>
                <c:pt idx="2">
                  <c:v>29.65</c:v>
                </c:pt>
                <c:pt idx="3">
                  <c:v>28.57</c:v>
                </c:pt>
                <c:pt idx="4">
                  <c:v>22.67</c:v>
                </c:pt>
                <c:pt idx="5">
                  <c:v>25.51</c:v>
                </c:pt>
                <c:pt idx="6">
                  <c:v>27.36</c:v>
                </c:pt>
                <c:pt idx="7">
                  <c:v>20.46</c:v>
                </c:pt>
                <c:pt idx="8">
                  <c:v>38.380000000000003</c:v>
                </c:pt>
                <c:pt idx="9">
                  <c:v>70.73</c:v>
                </c:pt>
                <c:pt idx="10">
                  <c:v>73.040000000000006</c:v>
                </c:pt>
                <c:pt idx="11">
                  <c:v>75.78</c:v>
                </c:pt>
                <c:pt idx="12">
                  <c:v>76.819999999999993</c:v>
                </c:pt>
                <c:pt idx="13">
                  <c:v>67.739999999999995</c:v>
                </c:pt>
                <c:pt idx="14">
                  <c:v>63.98</c:v>
                </c:pt>
                <c:pt idx="15">
                  <c:v>60.86</c:v>
                </c:pt>
                <c:pt idx="16">
                  <c:v>54.22</c:v>
                </c:pt>
                <c:pt idx="17">
                  <c:v>56.48</c:v>
                </c:pt>
                <c:pt idx="18">
                  <c:v>45.76</c:v>
                </c:pt>
                <c:pt idx="19">
                  <c:v>42.56</c:v>
                </c:pt>
                <c:pt idx="20">
                  <c:v>44.06</c:v>
                </c:pt>
                <c:pt idx="21">
                  <c:v>51.65</c:v>
                </c:pt>
                <c:pt idx="22">
                  <c:v>48.14</c:v>
                </c:pt>
                <c:pt idx="23">
                  <c:v>48.77</c:v>
                </c:pt>
                <c:pt idx="24">
                  <c:v>41.79</c:v>
                </c:pt>
                <c:pt idx="25">
                  <c:v>45.34</c:v>
                </c:pt>
                <c:pt idx="26">
                  <c:v>53.9</c:v>
                </c:pt>
                <c:pt idx="27">
                  <c:v>61.49</c:v>
                </c:pt>
                <c:pt idx="28">
                  <c:v>58.42</c:v>
                </c:pt>
                <c:pt idx="29">
                  <c:v>61.22</c:v>
                </c:pt>
                <c:pt idx="30">
                  <c:v>61.42</c:v>
                </c:pt>
                <c:pt idx="31">
                  <c:v>55.3</c:v>
                </c:pt>
                <c:pt idx="32">
                  <c:v>49.67</c:v>
                </c:pt>
                <c:pt idx="33">
                  <c:v>48.29</c:v>
                </c:pt>
                <c:pt idx="34">
                  <c:v>41.33</c:v>
                </c:pt>
                <c:pt idx="35">
                  <c:v>43.31</c:v>
                </c:pt>
                <c:pt idx="36">
                  <c:v>42.58</c:v>
                </c:pt>
                <c:pt idx="37">
                  <c:v>41.87</c:v>
                </c:pt>
                <c:pt idx="38">
                  <c:v>40.26</c:v>
                </c:pt>
                <c:pt idx="39">
                  <c:v>35.049999999999997</c:v>
                </c:pt>
                <c:pt idx="40">
                  <c:v>36.049999999999997</c:v>
                </c:pt>
                <c:pt idx="41">
                  <c:v>37.340000000000003</c:v>
                </c:pt>
                <c:pt idx="42">
                  <c:v>31.82</c:v>
                </c:pt>
                <c:pt idx="43">
                  <c:v>32.67</c:v>
                </c:pt>
                <c:pt idx="44">
                  <c:v>41.41</c:v>
                </c:pt>
                <c:pt idx="45">
                  <c:v>43.99</c:v>
                </c:pt>
                <c:pt idx="46">
                  <c:v>33.4</c:v>
                </c:pt>
                <c:pt idx="47">
                  <c:v>37.200000000000003</c:v>
                </c:pt>
                <c:pt idx="48">
                  <c:v>42.38</c:v>
                </c:pt>
                <c:pt idx="49">
                  <c:v>53.22</c:v>
                </c:pt>
                <c:pt idx="50">
                  <c:v>74.19</c:v>
                </c:pt>
                <c:pt idx="51">
                  <c:v>78.95</c:v>
                </c:pt>
                <c:pt idx="52">
                  <c:v>74.56</c:v>
                </c:pt>
                <c:pt idx="53">
                  <c:v>77.53</c:v>
                </c:pt>
                <c:pt idx="54">
                  <c:v>87.22</c:v>
                </c:pt>
                <c:pt idx="55">
                  <c:v>92.87</c:v>
                </c:pt>
                <c:pt idx="56">
                  <c:v>94.5</c:v>
                </c:pt>
                <c:pt idx="57">
                  <c:v>96.07</c:v>
                </c:pt>
                <c:pt idx="58">
                  <c:v>92.63</c:v>
                </c:pt>
                <c:pt idx="59">
                  <c:v>89.15</c:v>
                </c:pt>
                <c:pt idx="60">
                  <c:v>91.76</c:v>
                </c:pt>
                <c:pt idx="61">
                  <c:v>89.97</c:v>
                </c:pt>
                <c:pt idx="62">
                  <c:v>88.11</c:v>
                </c:pt>
                <c:pt idx="63">
                  <c:v>84.2</c:v>
                </c:pt>
                <c:pt idx="64">
                  <c:v>82.4</c:v>
                </c:pt>
                <c:pt idx="65">
                  <c:v>87.32</c:v>
                </c:pt>
                <c:pt idx="66">
                  <c:v>88.32</c:v>
                </c:pt>
                <c:pt idx="67">
                  <c:v>88.11</c:v>
                </c:pt>
                <c:pt idx="68">
                  <c:v>87.91</c:v>
                </c:pt>
                <c:pt idx="69">
                  <c:v>83.43</c:v>
                </c:pt>
                <c:pt idx="70">
                  <c:v>82.8</c:v>
                </c:pt>
                <c:pt idx="71">
                  <c:v>73.959999999999994</c:v>
                </c:pt>
                <c:pt idx="72">
                  <c:v>55.51</c:v>
                </c:pt>
                <c:pt idx="73">
                  <c:v>56.99</c:v>
                </c:pt>
                <c:pt idx="74">
                  <c:v>54.58</c:v>
                </c:pt>
                <c:pt idx="75">
                  <c:v>52.21</c:v>
                </c:pt>
                <c:pt idx="76">
                  <c:v>53.7</c:v>
                </c:pt>
                <c:pt idx="77">
                  <c:v>51.17</c:v>
                </c:pt>
                <c:pt idx="78">
                  <c:v>58.86</c:v>
                </c:pt>
                <c:pt idx="79">
                  <c:v>61.73</c:v>
                </c:pt>
                <c:pt idx="80">
                  <c:v>82.68</c:v>
                </c:pt>
                <c:pt idx="81">
                  <c:v>90.03</c:v>
                </c:pt>
                <c:pt idx="82">
                  <c:v>87.26</c:v>
                </c:pt>
                <c:pt idx="83">
                  <c:v>81.67</c:v>
                </c:pt>
                <c:pt idx="84">
                  <c:v>73.11</c:v>
                </c:pt>
                <c:pt idx="85">
                  <c:v>69.709999999999994</c:v>
                </c:pt>
                <c:pt idx="86">
                  <c:v>66.47</c:v>
                </c:pt>
                <c:pt idx="87">
                  <c:v>58.49</c:v>
                </c:pt>
                <c:pt idx="88">
                  <c:v>66.790000000000006</c:v>
                </c:pt>
                <c:pt idx="89">
                  <c:v>66.66</c:v>
                </c:pt>
                <c:pt idx="90">
                  <c:v>66.41</c:v>
                </c:pt>
                <c:pt idx="91">
                  <c:v>71.17</c:v>
                </c:pt>
                <c:pt idx="92">
                  <c:v>75.5</c:v>
                </c:pt>
                <c:pt idx="93">
                  <c:v>74.290000000000006</c:v>
                </c:pt>
                <c:pt idx="94">
                  <c:v>70.790000000000006</c:v>
                </c:pt>
                <c:pt idx="95">
                  <c:v>65.89</c:v>
                </c:pt>
                <c:pt idx="96">
                  <c:v>66.95</c:v>
                </c:pt>
                <c:pt idx="97">
                  <c:v>24.63</c:v>
                </c:pt>
                <c:pt idx="98">
                  <c:v>74.86</c:v>
                </c:pt>
                <c:pt idx="99">
                  <c:v>81.87</c:v>
                </c:pt>
                <c:pt idx="100">
                  <c:v>70.3</c:v>
                </c:pt>
                <c:pt idx="101">
                  <c:v>58.21</c:v>
                </c:pt>
                <c:pt idx="102">
                  <c:v>69.290000000000006</c:v>
                </c:pt>
                <c:pt idx="103">
                  <c:v>47</c:v>
                </c:pt>
                <c:pt idx="104">
                  <c:v>6.33</c:v>
                </c:pt>
                <c:pt idx="105">
                  <c:v>6.13</c:v>
                </c:pt>
                <c:pt idx="106">
                  <c:v>8.9700000000000006</c:v>
                </c:pt>
                <c:pt idx="107">
                  <c:v>3.32</c:v>
                </c:pt>
                <c:pt idx="108">
                  <c:v>4</c:v>
                </c:pt>
                <c:pt idx="109">
                  <c:v>5.29</c:v>
                </c:pt>
                <c:pt idx="110">
                  <c:v>10.83</c:v>
                </c:pt>
                <c:pt idx="111">
                  <c:v>17.63</c:v>
                </c:pt>
                <c:pt idx="112">
                  <c:v>19.190000000000001</c:v>
                </c:pt>
                <c:pt idx="113">
                  <c:v>26.38</c:v>
                </c:pt>
                <c:pt idx="114">
                  <c:v>38.49</c:v>
                </c:pt>
                <c:pt idx="115">
                  <c:v>16.16</c:v>
                </c:pt>
                <c:pt idx="116">
                  <c:v>11.53</c:v>
                </c:pt>
                <c:pt idx="117">
                  <c:v>7.55</c:v>
                </c:pt>
                <c:pt idx="118">
                  <c:v>7.52</c:v>
                </c:pt>
                <c:pt idx="119">
                  <c:v>5.49</c:v>
                </c:pt>
                <c:pt idx="120">
                  <c:v>4.1900000000000004</c:v>
                </c:pt>
                <c:pt idx="121">
                  <c:v>4.6399999999999997</c:v>
                </c:pt>
                <c:pt idx="122">
                  <c:v>11.53</c:v>
                </c:pt>
                <c:pt idx="123">
                  <c:v>13.59</c:v>
                </c:pt>
                <c:pt idx="124">
                  <c:v>15.08</c:v>
                </c:pt>
                <c:pt idx="125">
                  <c:v>11.02</c:v>
                </c:pt>
                <c:pt idx="126">
                  <c:v>13.28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982400"/>
        <c:axId val="126984192"/>
      </c:lineChart>
      <c:dateAx>
        <c:axId val="1269824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6984192"/>
        <c:crosses val="autoZero"/>
        <c:auto val="1"/>
        <c:lblOffset val="100"/>
        <c:baseTimeUnit val="months"/>
      </c:dateAx>
      <c:valAx>
        <c:axId val="1269841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698240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cost and mtm '!$G$1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'12.5 cost and mtm 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cost and mtm '!$G$2:$G$128</c:f>
              <c:numCache>
                <c:formatCode>0.00</c:formatCode>
                <c:ptCount val="127"/>
                <c:pt idx="0">
                  <c:v>-5.7593361974179018</c:v>
                </c:pt>
                <c:pt idx="1">
                  <c:v>2.8245823133580004</c:v>
                </c:pt>
                <c:pt idx="2">
                  <c:v>5.6022408336980973</c:v>
                </c:pt>
                <c:pt idx="3">
                  <c:v>4.9220315728209059</c:v>
                </c:pt>
                <c:pt idx="4">
                  <c:v>4.0669968636445013</c:v>
                </c:pt>
                <c:pt idx="5">
                  <c:v>-8.9387886987407015</c:v>
                </c:pt>
                <c:pt idx="6">
                  <c:v>3.6398511286914008</c:v>
                </c:pt>
                <c:pt idx="7">
                  <c:v>-4.2878285401145</c:v>
                </c:pt>
                <c:pt idx="8">
                  <c:v>3.4074168591053038</c:v>
                </c:pt>
                <c:pt idx="9">
                  <c:v>1.5337099000569054</c:v>
                </c:pt>
                <c:pt idx="10">
                  <c:v>-3.0079095967777079</c:v>
                </c:pt>
                <c:pt idx="11">
                  <c:v>1.1212843690545924</c:v>
                </c:pt>
                <c:pt idx="12">
                  <c:v>-11.557478348021505</c:v>
                </c:pt>
                <c:pt idx="13">
                  <c:v>0.45489055345520057</c:v>
                </c:pt>
                <c:pt idx="14">
                  <c:v>-4.0328684657615028</c:v>
                </c:pt>
                <c:pt idx="15">
                  <c:v>6.584164256013409</c:v>
                </c:pt>
                <c:pt idx="16">
                  <c:v>2.1598207932462969</c:v>
                </c:pt>
                <c:pt idx="17">
                  <c:v>4.6999756048888059</c:v>
                </c:pt>
                <c:pt idx="18">
                  <c:v>-0.25094631495380071</c:v>
                </c:pt>
                <c:pt idx="19">
                  <c:v>1.1230944767315023</c:v>
                </c:pt>
                <c:pt idx="20">
                  <c:v>1.3267775802442969</c:v>
                </c:pt>
                <c:pt idx="21">
                  <c:v>-2.080088364757998</c:v>
                </c:pt>
                <c:pt idx="22">
                  <c:v>-6.8661262536195977E-2</c:v>
                </c:pt>
                <c:pt idx="23">
                  <c:v>-4.279071471728507</c:v>
                </c:pt>
                <c:pt idx="24">
                  <c:v>0.69786617624360758</c:v>
                </c:pt>
                <c:pt idx="25">
                  <c:v>1.7254628019283942</c:v>
                </c:pt>
                <c:pt idx="26">
                  <c:v>-4.5790965932478969</c:v>
                </c:pt>
                <c:pt idx="27">
                  <c:v>4.7666792691550981</c:v>
                </c:pt>
                <c:pt idx="28">
                  <c:v>-3.0045258847004988</c:v>
                </c:pt>
                <c:pt idx="29">
                  <c:v>-4.9215798850187014</c:v>
                </c:pt>
                <c:pt idx="30">
                  <c:v>5.3254816549332986</c:v>
                </c:pt>
                <c:pt idx="31">
                  <c:v>-3.3054798475020988</c:v>
                </c:pt>
                <c:pt idx="32">
                  <c:v>-2.7287374854962039</c:v>
                </c:pt>
                <c:pt idx="33">
                  <c:v>7.4219367948737016</c:v>
                </c:pt>
                <c:pt idx="34">
                  <c:v>-5.8056135638130968</c:v>
                </c:pt>
                <c:pt idx="35">
                  <c:v>7.0765709456513974</c:v>
                </c:pt>
                <c:pt idx="36">
                  <c:v>-2.5804206553059998</c:v>
                </c:pt>
                <c:pt idx="37">
                  <c:v>-3.5669167329706042</c:v>
                </c:pt>
                <c:pt idx="38">
                  <c:v>5.0924918325055017</c:v>
                </c:pt>
                <c:pt idx="39">
                  <c:v>0.38397359321739799</c:v>
                </c:pt>
                <c:pt idx="40">
                  <c:v>-1.0921454050283899</c:v>
                </c:pt>
                <c:pt idx="41">
                  <c:v>-2.2110411389100051</c:v>
                </c:pt>
                <c:pt idx="42">
                  <c:v>0.26818085169470152</c:v>
                </c:pt>
                <c:pt idx="43">
                  <c:v>8.0816230539720948</c:v>
                </c:pt>
                <c:pt idx="44">
                  <c:v>1.3920590127627079</c:v>
                </c:pt>
                <c:pt idx="45">
                  <c:v>-9.2209772757258079</c:v>
                </c:pt>
                <c:pt idx="46">
                  <c:v>2.7987508274453035</c:v>
                </c:pt>
                <c:pt idx="47">
                  <c:v>5.6852866596687051</c:v>
                </c:pt>
                <c:pt idx="48">
                  <c:v>-2.7123787898034095</c:v>
                </c:pt>
                <c:pt idx="49">
                  <c:v>1.8663956266307054</c:v>
                </c:pt>
                <c:pt idx="50">
                  <c:v>-3.3978918217389946</c:v>
                </c:pt>
                <c:pt idx="51">
                  <c:v>7.2407883672198921</c:v>
                </c:pt>
                <c:pt idx="52">
                  <c:v>0.9744650360009075</c:v>
                </c:pt>
                <c:pt idx="53">
                  <c:v>-6.0826644273112009</c:v>
                </c:pt>
                <c:pt idx="54">
                  <c:v>3.7163753312949979</c:v>
                </c:pt>
                <c:pt idx="55">
                  <c:v>-0.59930800787280702</c:v>
                </c:pt>
                <c:pt idx="56">
                  <c:v>1.8005934515500144E-2</c:v>
                </c:pt>
                <c:pt idx="57">
                  <c:v>0.79725984447189546</c:v>
                </c:pt>
                <c:pt idx="58">
                  <c:v>-7.9225626804532823</c:v>
                </c:pt>
                <c:pt idx="59">
                  <c:v>2.2323997071951993</c:v>
                </c:pt>
                <c:pt idx="60">
                  <c:v>1.7316343122567872</c:v>
                </c:pt>
                <c:pt idx="61">
                  <c:v>-1.2289296882517959</c:v>
                </c:pt>
                <c:pt idx="62">
                  <c:v>-3.5263131490453929</c:v>
                </c:pt>
                <c:pt idx="63">
                  <c:v>3.8694089601163029</c:v>
                </c:pt>
                <c:pt idx="64">
                  <c:v>4.44200793888389</c:v>
                </c:pt>
                <c:pt idx="65">
                  <c:v>-0.45185070372330927</c:v>
                </c:pt>
                <c:pt idx="66">
                  <c:v>-2.2356422863176846</c:v>
                </c:pt>
                <c:pt idx="67">
                  <c:v>-2.3032451697058036</c:v>
                </c:pt>
                <c:pt idx="68">
                  <c:v>1.0935715059006981</c:v>
                </c:pt>
                <c:pt idx="69">
                  <c:v>-6.9652087894958044</c:v>
                </c:pt>
                <c:pt idx="70">
                  <c:v>2.7150883644882953</c:v>
                </c:pt>
                <c:pt idx="71">
                  <c:v>9.0133347113379045</c:v>
                </c:pt>
                <c:pt idx="72">
                  <c:v>1.3330650342737087</c:v>
                </c:pt>
                <c:pt idx="73">
                  <c:v>-3.3681529804183086</c:v>
                </c:pt>
                <c:pt idx="74">
                  <c:v>3.3131620762704088</c:v>
                </c:pt>
                <c:pt idx="75">
                  <c:v>0.70355903314379731</c:v>
                </c:pt>
                <c:pt idx="76">
                  <c:v>-1.9166870820968001</c:v>
                </c:pt>
                <c:pt idx="77">
                  <c:v>7.0963942193961955</c:v>
                </c:pt>
                <c:pt idx="78">
                  <c:v>-4.3800911403569032</c:v>
                </c:pt>
                <c:pt idx="79">
                  <c:v>-9.421684147187193</c:v>
                </c:pt>
                <c:pt idx="80">
                  <c:v>1.9349079678690941</c:v>
                </c:pt>
                <c:pt idx="81">
                  <c:v>-1.7415551561780944</c:v>
                </c:pt>
                <c:pt idx="82">
                  <c:v>-7.1251037111022981</c:v>
                </c:pt>
                <c:pt idx="83">
                  <c:v>0.91609453674699637</c:v>
                </c:pt>
                <c:pt idx="84">
                  <c:v>10.292997451217701</c:v>
                </c:pt>
                <c:pt idx="85">
                  <c:v>-1.7947869008433059</c:v>
                </c:pt>
                <c:pt idx="86">
                  <c:v>-1.9631905347905843</c:v>
                </c:pt>
                <c:pt idx="87">
                  <c:v>5.6787501699554994</c:v>
                </c:pt>
                <c:pt idx="88">
                  <c:v>-1.7289925896777021</c:v>
                </c:pt>
                <c:pt idx="89">
                  <c:v>-2.7025509682238038</c:v>
                </c:pt>
                <c:pt idx="90">
                  <c:v>-1.1781774011966917</c:v>
                </c:pt>
                <c:pt idx="91">
                  <c:v>1.9870548185604946</c:v>
                </c:pt>
                <c:pt idx="92">
                  <c:v>-2.866772609267187</c:v>
                </c:pt>
                <c:pt idx="93">
                  <c:v>1.9374391905200952</c:v>
                </c:pt>
                <c:pt idx="94">
                  <c:v>-0.13361876707411113</c:v>
                </c:pt>
                <c:pt idx="95">
                  <c:v>-1.5051747918864891</c:v>
                </c:pt>
                <c:pt idx="96">
                  <c:v>-31.425378296488304</c:v>
                </c:pt>
                <c:pt idx="97">
                  <c:v>23.4629215129378</c:v>
                </c:pt>
                <c:pt idx="98">
                  <c:v>3.5360760019001987</c:v>
                </c:pt>
                <c:pt idx="99">
                  <c:v>-1.1830927661813035</c:v>
                </c:pt>
                <c:pt idx="100">
                  <c:v>-6.5988865016410969</c:v>
                </c:pt>
                <c:pt idx="101">
                  <c:v>6.410642459236108</c:v>
                </c:pt>
                <c:pt idx="102">
                  <c:v>-1.4194669020992023</c:v>
                </c:pt>
                <c:pt idx="103">
                  <c:v>13.195117110578309</c:v>
                </c:pt>
                <c:pt idx="104">
                  <c:v>-0.28925909855968079</c:v>
                </c:pt>
                <c:pt idx="105">
                  <c:v>1.5730908162414607</c:v>
                </c:pt>
                <c:pt idx="106">
                  <c:v>-3.6780706911464112</c:v>
                </c:pt>
                <c:pt idx="107">
                  <c:v>0.72721716757869048</c:v>
                </c:pt>
                <c:pt idx="108">
                  <c:v>0.40196999754983054</c:v>
                </c:pt>
                <c:pt idx="109">
                  <c:v>-1.5962426658875994</c:v>
                </c:pt>
                <c:pt idx="110">
                  <c:v>3.2781850936859982</c:v>
                </c:pt>
                <c:pt idx="111">
                  <c:v>1.1396615024144019</c:v>
                </c:pt>
                <c:pt idx="112">
                  <c:v>6.5754675659960959</c:v>
                </c:pt>
                <c:pt idx="113">
                  <c:v>-21.091714203321096</c:v>
                </c:pt>
                <c:pt idx="114">
                  <c:v>8.8052075340490958</c:v>
                </c:pt>
                <c:pt idx="115">
                  <c:v>-2.5098877977001166E-3</c:v>
                </c:pt>
                <c:pt idx="116">
                  <c:v>-2.4092577080385009</c:v>
                </c:pt>
                <c:pt idx="117">
                  <c:v>3.661659718196451</c:v>
                </c:pt>
                <c:pt idx="118">
                  <c:v>-0.14587136565010894</c:v>
                </c:pt>
                <c:pt idx="119">
                  <c:v>-0.19477205881370985</c:v>
                </c:pt>
                <c:pt idx="120">
                  <c:v>0.30432232145891902</c:v>
                </c:pt>
                <c:pt idx="121">
                  <c:v>-2.0330767082705501</c:v>
                </c:pt>
                <c:pt idx="122">
                  <c:v>-2.0909784864106982</c:v>
                </c:pt>
                <c:pt idx="123">
                  <c:v>2.2736575672970982</c:v>
                </c:pt>
                <c:pt idx="124">
                  <c:v>-3.0066213485959992</c:v>
                </c:pt>
                <c:pt idx="125">
                  <c:v>2.435069610254299</c:v>
                </c:pt>
                <c:pt idx="126">
                  <c:v>1.9036456926127006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29504"/>
        <c:axId val="151431040"/>
      </c:lineChart>
      <c:dateAx>
        <c:axId val="1514295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1431040"/>
        <c:crosses val="autoZero"/>
        <c:auto val="1"/>
        <c:lblOffset val="100"/>
        <c:baseTimeUnit val="days"/>
      </c:dateAx>
      <c:valAx>
        <c:axId val="1514310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14295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Step, and LLPA/PMI, with MTM adjustment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cost and mtm '!$C$1</c:f>
              <c:strCache>
                <c:ptCount val="1"/>
                <c:pt idx="0">
                  <c:v>media_model_adj</c:v>
                </c:pt>
              </c:strCache>
            </c:strRef>
          </c:tx>
          <c:marker>
            <c:symbol val="none"/>
          </c:marker>
          <c:cat>
            <c:numRef>
              <c:f>'12.5 cost and mtm 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cost and mtm '!$C$2:$C$128</c:f>
              <c:numCache>
                <c:formatCode>0.00</c:formatCode>
                <c:ptCount val="127"/>
                <c:pt idx="0">
                  <c:v>24.670663802582098</c:v>
                </c:pt>
                <c:pt idx="1">
                  <c:v>37.014582313357998</c:v>
                </c:pt>
                <c:pt idx="2">
                  <c:v>35.252240833698096</c:v>
                </c:pt>
                <c:pt idx="3">
                  <c:v>33.492031572820906</c:v>
                </c:pt>
                <c:pt idx="4">
                  <c:v>26.736996863644503</c:v>
                </c:pt>
                <c:pt idx="5">
                  <c:v>16.5712113012593</c:v>
                </c:pt>
                <c:pt idx="6">
                  <c:v>30.9998511286914</c:v>
                </c:pt>
                <c:pt idx="7">
                  <c:v>16.172171459885501</c:v>
                </c:pt>
                <c:pt idx="8">
                  <c:v>41.787416859105306</c:v>
                </c:pt>
                <c:pt idx="9">
                  <c:v>72.263709900056909</c:v>
                </c:pt>
                <c:pt idx="10">
                  <c:v>70.032090403222298</c:v>
                </c:pt>
                <c:pt idx="11">
                  <c:v>76.901284369054594</c:v>
                </c:pt>
                <c:pt idx="12">
                  <c:v>65.262521651978489</c:v>
                </c:pt>
                <c:pt idx="13">
                  <c:v>68.194890553455195</c:v>
                </c:pt>
                <c:pt idx="14">
                  <c:v>59.947131534238494</c:v>
                </c:pt>
                <c:pt idx="15">
                  <c:v>67.444164256013408</c:v>
                </c:pt>
                <c:pt idx="16">
                  <c:v>56.379820793246296</c:v>
                </c:pt>
                <c:pt idx="17">
                  <c:v>61.179975604888803</c:v>
                </c:pt>
                <c:pt idx="18">
                  <c:v>45.509053685046197</c:v>
                </c:pt>
                <c:pt idx="19">
                  <c:v>43.683094476731505</c:v>
                </c:pt>
                <c:pt idx="20">
                  <c:v>45.386777580244299</c:v>
                </c:pt>
                <c:pt idx="21">
                  <c:v>49.569911635242001</c:v>
                </c:pt>
                <c:pt idx="22">
                  <c:v>48.071338737463805</c:v>
                </c:pt>
                <c:pt idx="23">
                  <c:v>44.490928528271496</c:v>
                </c:pt>
                <c:pt idx="24">
                  <c:v>42.487866176243607</c:v>
                </c:pt>
                <c:pt idx="25">
                  <c:v>47.065462801928398</c:v>
                </c:pt>
                <c:pt idx="26">
                  <c:v>49.320903406752102</c:v>
                </c:pt>
                <c:pt idx="27">
                  <c:v>66.2566792691551</c:v>
                </c:pt>
                <c:pt idx="28">
                  <c:v>55.415474115299503</c:v>
                </c:pt>
                <c:pt idx="29">
                  <c:v>56.298420114981298</c:v>
                </c:pt>
                <c:pt idx="30">
                  <c:v>66.7454816549333</c:v>
                </c:pt>
                <c:pt idx="31">
                  <c:v>51.994520152497898</c:v>
                </c:pt>
                <c:pt idx="32">
                  <c:v>46.941262514503798</c:v>
                </c:pt>
                <c:pt idx="33">
                  <c:v>55.711936794873701</c:v>
                </c:pt>
                <c:pt idx="34">
                  <c:v>35.524386436186902</c:v>
                </c:pt>
                <c:pt idx="35">
                  <c:v>50.3865709456514</c:v>
                </c:pt>
                <c:pt idx="36">
                  <c:v>39.999579344693998</c:v>
                </c:pt>
                <c:pt idx="37">
                  <c:v>38.303083267029393</c:v>
                </c:pt>
                <c:pt idx="38">
                  <c:v>45.3524918325055</c:v>
                </c:pt>
                <c:pt idx="39">
                  <c:v>35.433973593217395</c:v>
                </c:pt>
                <c:pt idx="40">
                  <c:v>34.957854594971607</c:v>
                </c:pt>
                <c:pt idx="41">
                  <c:v>35.128958861089998</c:v>
                </c:pt>
                <c:pt idx="42">
                  <c:v>32.088180851694702</c:v>
                </c:pt>
                <c:pt idx="43">
                  <c:v>40.751623053972096</c:v>
                </c:pt>
                <c:pt idx="44">
                  <c:v>42.802059012762705</c:v>
                </c:pt>
                <c:pt idx="45">
                  <c:v>34.769022724274194</c:v>
                </c:pt>
                <c:pt idx="46">
                  <c:v>36.198750827445302</c:v>
                </c:pt>
                <c:pt idx="47">
                  <c:v>42.885286659668708</c:v>
                </c:pt>
                <c:pt idx="48">
                  <c:v>39.667621210196593</c:v>
                </c:pt>
                <c:pt idx="49">
                  <c:v>55.086395626630704</c:v>
                </c:pt>
                <c:pt idx="50">
                  <c:v>70.792108178261003</c:v>
                </c:pt>
                <c:pt idx="51">
                  <c:v>86.190788367219895</c:v>
                </c:pt>
                <c:pt idx="52">
                  <c:v>75.53446503600091</c:v>
                </c:pt>
                <c:pt idx="53">
                  <c:v>71.4473355726888</c:v>
                </c:pt>
                <c:pt idx="54">
                  <c:v>90.936375331294997</c:v>
                </c:pt>
                <c:pt idx="55">
                  <c:v>92.270691992127198</c:v>
                </c:pt>
                <c:pt idx="56">
                  <c:v>94.5180059345155</c:v>
                </c:pt>
                <c:pt idx="57">
                  <c:v>96.867259844471889</c:v>
                </c:pt>
                <c:pt idx="58">
                  <c:v>84.707437319546713</c:v>
                </c:pt>
                <c:pt idx="59">
                  <c:v>91.382399707195205</c:v>
                </c:pt>
                <c:pt idx="60">
                  <c:v>93.491634312256792</c:v>
                </c:pt>
                <c:pt idx="61">
                  <c:v>88.741070311748203</c:v>
                </c:pt>
                <c:pt idx="62">
                  <c:v>84.583686850954606</c:v>
                </c:pt>
                <c:pt idx="63">
                  <c:v>88.069408960116306</c:v>
                </c:pt>
                <c:pt idx="64">
                  <c:v>86.842007938883896</c:v>
                </c:pt>
                <c:pt idx="65">
                  <c:v>86.868149296276684</c:v>
                </c:pt>
                <c:pt idx="66">
                  <c:v>86.084357713682309</c:v>
                </c:pt>
                <c:pt idx="67">
                  <c:v>85.806754830294196</c:v>
                </c:pt>
                <c:pt idx="68">
                  <c:v>89.003571505900695</c:v>
                </c:pt>
                <c:pt idx="69">
                  <c:v>76.464791210504202</c:v>
                </c:pt>
                <c:pt idx="70">
                  <c:v>85.515088364488292</c:v>
                </c:pt>
                <c:pt idx="71">
                  <c:v>82.973334711337898</c:v>
                </c:pt>
                <c:pt idx="72">
                  <c:v>56.843065034273707</c:v>
                </c:pt>
                <c:pt idx="73">
                  <c:v>53.621847019581693</c:v>
                </c:pt>
                <c:pt idx="74">
                  <c:v>57.893162076270407</c:v>
                </c:pt>
                <c:pt idx="75">
                  <c:v>52.913559033143798</c:v>
                </c:pt>
                <c:pt idx="76">
                  <c:v>51.783312917903203</c:v>
                </c:pt>
                <c:pt idx="77">
                  <c:v>58.266394219396197</c:v>
                </c:pt>
                <c:pt idx="78">
                  <c:v>54.479908859643096</c:v>
                </c:pt>
                <c:pt idx="79">
                  <c:v>52.308315852812804</c:v>
                </c:pt>
                <c:pt idx="80">
                  <c:v>84.614907967869101</c:v>
                </c:pt>
                <c:pt idx="81">
                  <c:v>88.288444843821907</c:v>
                </c:pt>
                <c:pt idx="82">
                  <c:v>80.134896288897707</c:v>
                </c:pt>
                <c:pt idx="83">
                  <c:v>82.586094536746998</c:v>
                </c:pt>
                <c:pt idx="84">
                  <c:v>83.402997451217701</c:v>
                </c:pt>
                <c:pt idx="85">
                  <c:v>67.915213099156688</c:v>
                </c:pt>
                <c:pt idx="86">
                  <c:v>64.506809465209415</c:v>
                </c:pt>
                <c:pt idx="87">
                  <c:v>64.168750169955501</c:v>
                </c:pt>
                <c:pt idx="88">
                  <c:v>65.061007410322304</c:v>
                </c:pt>
                <c:pt idx="89">
                  <c:v>63.957449031776193</c:v>
                </c:pt>
                <c:pt idx="90">
                  <c:v>65.231822598803305</c:v>
                </c:pt>
                <c:pt idx="91">
                  <c:v>73.157054818560496</c:v>
                </c:pt>
                <c:pt idx="92">
                  <c:v>72.633227390732813</c:v>
                </c:pt>
                <c:pt idx="93">
                  <c:v>76.227439190520101</c:v>
                </c:pt>
                <c:pt idx="94">
                  <c:v>70.656381232925895</c:v>
                </c:pt>
                <c:pt idx="95">
                  <c:v>64.384825208113512</c:v>
                </c:pt>
                <c:pt idx="96">
                  <c:v>35.524621703511698</c:v>
                </c:pt>
                <c:pt idx="97">
                  <c:v>48.092921512937799</c:v>
                </c:pt>
                <c:pt idx="98">
                  <c:v>78.396076001900198</c:v>
                </c:pt>
                <c:pt idx="99">
                  <c:v>80.686907233818701</c:v>
                </c:pt>
                <c:pt idx="100">
                  <c:v>63.7011134983589</c:v>
                </c:pt>
                <c:pt idx="101">
                  <c:v>64.620642459236109</c:v>
                </c:pt>
                <c:pt idx="102">
                  <c:v>67.870533097900804</c:v>
                </c:pt>
                <c:pt idx="103">
                  <c:v>60.195117110578309</c:v>
                </c:pt>
                <c:pt idx="104">
                  <c:v>6.0407409014403193</c:v>
                </c:pt>
                <c:pt idx="105">
                  <c:v>7.7030908162414606</c:v>
                </c:pt>
                <c:pt idx="106">
                  <c:v>5.2919293088535895</c:v>
                </c:pt>
                <c:pt idx="107">
                  <c:v>4.0472171675786903</c:v>
                </c:pt>
                <c:pt idx="108">
                  <c:v>4.4019699975498305</c:v>
                </c:pt>
                <c:pt idx="109">
                  <c:v>3.6937573341124006</c:v>
                </c:pt>
                <c:pt idx="110">
                  <c:v>14.108185093685998</c:v>
                </c:pt>
                <c:pt idx="111">
                  <c:v>18.769661502414401</c:v>
                </c:pt>
                <c:pt idx="112">
                  <c:v>25.765467565996097</c:v>
                </c:pt>
                <c:pt idx="113">
                  <c:v>5.2882857966789008</c:v>
                </c:pt>
                <c:pt idx="114">
                  <c:v>47.295207534049098</c:v>
                </c:pt>
                <c:pt idx="115">
                  <c:v>16.1574901122023</c:v>
                </c:pt>
                <c:pt idx="116">
                  <c:v>9.1207422919614984</c:v>
                </c:pt>
                <c:pt idx="117">
                  <c:v>11.211659718196451</c:v>
                </c:pt>
                <c:pt idx="118">
                  <c:v>7.3741286343498906</c:v>
                </c:pt>
                <c:pt idx="119">
                  <c:v>5.2952279411862904</c:v>
                </c:pt>
                <c:pt idx="120">
                  <c:v>4.4943223214589194</c:v>
                </c:pt>
                <c:pt idx="121">
                  <c:v>2.6069232917294496</c:v>
                </c:pt>
                <c:pt idx="122">
                  <c:v>9.4390215135893012</c:v>
                </c:pt>
                <c:pt idx="123">
                  <c:v>15.863657567297098</c:v>
                </c:pt>
                <c:pt idx="124">
                  <c:v>12.073378651404001</c:v>
                </c:pt>
                <c:pt idx="125">
                  <c:v>13.455069610254299</c:v>
                </c:pt>
                <c:pt idx="126">
                  <c:v>15.1836456926127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'12.5 cost and mtm 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'12.5 cost and mtm 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cost and mtm '!$D$2:$D$128</c:f>
              <c:numCache>
                <c:formatCode>General</c:formatCode>
                <c:ptCount val="127"/>
                <c:pt idx="0">
                  <c:v>30.43</c:v>
                </c:pt>
                <c:pt idx="1">
                  <c:v>34.19</c:v>
                </c:pt>
                <c:pt idx="2">
                  <c:v>29.65</c:v>
                </c:pt>
                <c:pt idx="3">
                  <c:v>28.57</c:v>
                </c:pt>
                <c:pt idx="4">
                  <c:v>22.67</c:v>
                </c:pt>
                <c:pt idx="5">
                  <c:v>25.51</c:v>
                </c:pt>
                <c:pt idx="6">
                  <c:v>27.36</c:v>
                </c:pt>
                <c:pt idx="7">
                  <c:v>20.46</c:v>
                </c:pt>
                <c:pt idx="8">
                  <c:v>38.380000000000003</c:v>
                </c:pt>
                <c:pt idx="9">
                  <c:v>70.73</c:v>
                </c:pt>
                <c:pt idx="10">
                  <c:v>73.040000000000006</c:v>
                </c:pt>
                <c:pt idx="11">
                  <c:v>75.78</c:v>
                </c:pt>
                <c:pt idx="12">
                  <c:v>76.819999999999993</c:v>
                </c:pt>
                <c:pt idx="13">
                  <c:v>67.739999999999995</c:v>
                </c:pt>
                <c:pt idx="14">
                  <c:v>63.98</c:v>
                </c:pt>
                <c:pt idx="15">
                  <c:v>60.86</c:v>
                </c:pt>
                <c:pt idx="16">
                  <c:v>54.22</c:v>
                </c:pt>
                <c:pt idx="17">
                  <c:v>56.48</c:v>
                </c:pt>
                <c:pt idx="18">
                  <c:v>45.76</c:v>
                </c:pt>
                <c:pt idx="19">
                  <c:v>42.56</c:v>
                </c:pt>
                <c:pt idx="20">
                  <c:v>44.06</c:v>
                </c:pt>
                <c:pt idx="21">
                  <c:v>51.65</c:v>
                </c:pt>
                <c:pt idx="22">
                  <c:v>48.14</c:v>
                </c:pt>
                <c:pt idx="23">
                  <c:v>48.77</c:v>
                </c:pt>
                <c:pt idx="24">
                  <c:v>41.79</c:v>
                </c:pt>
                <c:pt idx="25">
                  <c:v>45.34</c:v>
                </c:pt>
                <c:pt idx="26">
                  <c:v>53.9</c:v>
                </c:pt>
                <c:pt idx="27">
                  <c:v>61.49</c:v>
                </c:pt>
                <c:pt idx="28">
                  <c:v>58.42</c:v>
                </c:pt>
                <c:pt idx="29">
                  <c:v>61.22</c:v>
                </c:pt>
                <c:pt idx="30">
                  <c:v>61.42</c:v>
                </c:pt>
                <c:pt idx="31">
                  <c:v>55.3</c:v>
                </c:pt>
                <c:pt idx="32">
                  <c:v>49.67</c:v>
                </c:pt>
                <c:pt idx="33">
                  <c:v>48.29</c:v>
                </c:pt>
                <c:pt idx="34">
                  <c:v>41.33</c:v>
                </c:pt>
                <c:pt idx="35">
                  <c:v>43.31</c:v>
                </c:pt>
                <c:pt idx="36">
                  <c:v>42.58</c:v>
                </c:pt>
                <c:pt idx="37">
                  <c:v>41.87</c:v>
                </c:pt>
                <c:pt idx="38">
                  <c:v>40.26</c:v>
                </c:pt>
                <c:pt idx="39">
                  <c:v>35.049999999999997</c:v>
                </c:pt>
                <c:pt idx="40">
                  <c:v>36.049999999999997</c:v>
                </c:pt>
                <c:pt idx="41">
                  <c:v>37.340000000000003</c:v>
                </c:pt>
                <c:pt idx="42">
                  <c:v>31.82</c:v>
                </c:pt>
                <c:pt idx="43">
                  <c:v>32.67</c:v>
                </c:pt>
                <c:pt idx="44">
                  <c:v>41.41</c:v>
                </c:pt>
                <c:pt idx="45">
                  <c:v>43.99</c:v>
                </c:pt>
                <c:pt idx="46">
                  <c:v>33.4</c:v>
                </c:pt>
                <c:pt idx="47">
                  <c:v>37.200000000000003</c:v>
                </c:pt>
                <c:pt idx="48">
                  <c:v>42.38</c:v>
                </c:pt>
                <c:pt idx="49">
                  <c:v>53.22</c:v>
                </c:pt>
                <c:pt idx="50">
                  <c:v>74.19</c:v>
                </c:pt>
                <c:pt idx="51">
                  <c:v>78.95</c:v>
                </c:pt>
                <c:pt idx="52">
                  <c:v>74.56</c:v>
                </c:pt>
                <c:pt idx="53">
                  <c:v>77.53</c:v>
                </c:pt>
                <c:pt idx="54">
                  <c:v>87.22</c:v>
                </c:pt>
                <c:pt idx="55">
                  <c:v>92.87</c:v>
                </c:pt>
                <c:pt idx="56">
                  <c:v>94.5</c:v>
                </c:pt>
                <c:pt idx="57">
                  <c:v>96.07</c:v>
                </c:pt>
                <c:pt idx="58">
                  <c:v>92.63</c:v>
                </c:pt>
                <c:pt idx="59">
                  <c:v>89.15</c:v>
                </c:pt>
                <c:pt idx="60">
                  <c:v>91.76</c:v>
                </c:pt>
                <c:pt idx="61">
                  <c:v>89.97</c:v>
                </c:pt>
                <c:pt idx="62">
                  <c:v>88.11</c:v>
                </c:pt>
                <c:pt idx="63">
                  <c:v>84.2</c:v>
                </c:pt>
                <c:pt idx="64">
                  <c:v>82.4</c:v>
                </c:pt>
                <c:pt idx="65">
                  <c:v>87.32</c:v>
                </c:pt>
                <c:pt idx="66">
                  <c:v>88.32</c:v>
                </c:pt>
                <c:pt idx="67">
                  <c:v>88.11</c:v>
                </c:pt>
                <c:pt idx="68">
                  <c:v>87.91</c:v>
                </c:pt>
                <c:pt idx="69">
                  <c:v>83.43</c:v>
                </c:pt>
                <c:pt idx="70">
                  <c:v>82.8</c:v>
                </c:pt>
                <c:pt idx="71">
                  <c:v>73.959999999999994</c:v>
                </c:pt>
                <c:pt idx="72">
                  <c:v>55.51</c:v>
                </c:pt>
                <c:pt idx="73">
                  <c:v>56.99</c:v>
                </c:pt>
                <c:pt idx="74">
                  <c:v>54.58</c:v>
                </c:pt>
                <c:pt idx="75">
                  <c:v>52.21</c:v>
                </c:pt>
                <c:pt idx="76">
                  <c:v>53.7</c:v>
                </c:pt>
                <c:pt idx="77">
                  <c:v>51.17</c:v>
                </c:pt>
                <c:pt idx="78">
                  <c:v>58.86</c:v>
                </c:pt>
                <c:pt idx="79">
                  <c:v>61.73</c:v>
                </c:pt>
                <c:pt idx="80">
                  <c:v>82.68</c:v>
                </c:pt>
                <c:pt idx="81">
                  <c:v>90.03</c:v>
                </c:pt>
                <c:pt idx="82">
                  <c:v>87.26</c:v>
                </c:pt>
                <c:pt idx="83">
                  <c:v>81.67</c:v>
                </c:pt>
                <c:pt idx="84">
                  <c:v>73.11</c:v>
                </c:pt>
                <c:pt idx="85">
                  <c:v>69.709999999999994</c:v>
                </c:pt>
                <c:pt idx="86">
                  <c:v>66.47</c:v>
                </c:pt>
                <c:pt idx="87">
                  <c:v>58.49</c:v>
                </c:pt>
                <c:pt idx="88">
                  <c:v>66.790000000000006</c:v>
                </c:pt>
                <c:pt idx="89">
                  <c:v>66.66</c:v>
                </c:pt>
                <c:pt idx="90">
                  <c:v>66.41</c:v>
                </c:pt>
                <c:pt idx="91">
                  <c:v>71.17</c:v>
                </c:pt>
                <c:pt idx="92">
                  <c:v>75.5</c:v>
                </c:pt>
                <c:pt idx="93">
                  <c:v>74.290000000000006</c:v>
                </c:pt>
                <c:pt idx="94">
                  <c:v>70.790000000000006</c:v>
                </c:pt>
                <c:pt idx="95">
                  <c:v>65.89</c:v>
                </c:pt>
                <c:pt idx="96">
                  <c:v>66.95</c:v>
                </c:pt>
                <c:pt idx="97">
                  <c:v>24.63</c:v>
                </c:pt>
                <c:pt idx="98">
                  <c:v>74.86</c:v>
                </c:pt>
                <c:pt idx="99">
                  <c:v>81.87</c:v>
                </c:pt>
                <c:pt idx="100">
                  <c:v>70.3</c:v>
                </c:pt>
                <c:pt idx="101">
                  <c:v>58.21</c:v>
                </c:pt>
                <c:pt idx="102">
                  <c:v>69.290000000000006</c:v>
                </c:pt>
                <c:pt idx="103">
                  <c:v>47</c:v>
                </c:pt>
                <c:pt idx="104">
                  <c:v>6.33</c:v>
                </c:pt>
                <c:pt idx="105">
                  <c:v>6.13</c:v>
                </c:pt>
                <c:pt idx="106">
                  <c:v>8.9700000000000006</c:v>
                </c:pt>
                <c:pt idx="107">
                  <c:v>3.32</c:v>
                </c:pt>
                <c:pt idx="108">
                  <c:v>4</c:v>
                </c:pt>
                <c:pt idx="109">
                  <c:v>5.29</c:v>
                </c:pt>
                <c:pt idx="110">
                  <c:v>10.83</c:v>
                </c:pt>
                <c:pt idx="111">
                  <c:v>17.63</c:v>
                </c:pt>
                <c:pt idx="112">
                  <c:v>19.190000000000001</c:v>
                </c:pt>
                <c:pt idx="113">
                  <c:v>26.38</c:v>
                </c:pt>
                <c:pt idx="114">
                  <c:v>38.49</c:v>
                </c:pt>
                <c:pt idx="115">
                  <c:v>16.16</c:v>
                </c:pt>
                <c:pt idx="116">
                  <c:v>11.53</c:v>
                </c:pt>
                <c:pt idx="117">
                  <c:v>7.55</c:v>
                </c:pt>
                <c:pt idx="118">
                  <c:v>7.52</c:v>
                </c:pt>
                <c:pt idx="119">
                  <c:v>5.49</c:v>
                </c:pt>
                <c:pt idx="120">
                  <c:v>4.1900000000000004</c:v>
                </c:pt>
                <c:pt idx="121">
                  <c:v>4.6399999999999997</c:v>
                </c:pt>
                <c:pt idx="122">
                  <c:v>11.53</c:v>
                </c:pt>
                <c:pt idx="123">
                  <c:v>13.59</c:v>
                </c:pt>
                <c:pt idx="124">
                  <c:v>15.08</c:v>
                </c:pt>
                <c:pt idx="125">
                  <c:v>11.02</c:v>
                </c:pt>
                <c:pt idx="126">
                  <c:v>13.28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041536"/>
        <c:axId val="153067904"/>
      </c:lineChart>
      <c:dateAx>
        <c:axId val="153041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3067904"/>
        <c:crosses val="autoZero"/>
        <c:auto val="1"/>
        <c:lblOffset val="100"/>
        <c:baseTimeUnit val="months"/>
      </c:dateAx>
      <c:valAx>
        <c:axId val="15306790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15304153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cost and mtm cap6%'!$G$1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'12.5 cost and mtm cap6%'!$A$2:$A$128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cost and mtm cap6%'!$G$2:$G$128</c:f>
              <c:numCache>
                <c:formatCode>0.00</c:formatCode>
                <c:ptCount val="127"/>
                <c:pt idx="0">
                  <c:v>-0.92597232213500291</c:v>
                </c:pt>
                <c:pt idx="1">
                  <c:v>4.8333638752828989</c:v>
                </c:pt>
                <c:pt idx="2">
                  <c:v>5.6022408336980973</c:v>
                </c:pt>
                <c:pt idx="3">
                  <c:v>4.9220315728209059</c:v>
                </c:pt>
                <c:pt idx="4">
                  <c:v>3.4845091554058989</c:v>
                </c:pt>
                <c:pt idx="5">
                  <c:v>-8.9387886987407015</c:v>
                </c:pt>
                <c:pt idx="6">
                  <c:v>3.6398511286914008</c:v>
                </c:pt>
                <c:pt idx="7">
                  <c:v>-4.2878285401145</c:v>
                </c:pt>
                <c:pt idx="8">
                  <c:v>3.4074168591053038</c:v>
                </c:pt>
                <c:pt idx="9">
                  <c:v>1.5337099000569054</c:v>
                </c:pt>
                <c:pt idx="10">
                  <c:v>-3.0079095967777079</c:v>
                </c:pt>
                <c:pt idx="11">
                  <c:v>1.1212843690545924</c:v>
                </c:pt>
                <c:pt idx="12">
                  <c:v>-6.0502231295138955</c:v>
                </c:pt>
                <c:pt idx="13">
                  <c:v>5.5072552185076091</c:v>
                </c:pt>
                <c:pt idx="14">
                  <c:v>5.0523646650524014</c:v>
                </c:pt>
                <c:pt idx="15">
                  <c:v>9.0852331308139043</c:v>
                </c:pt>
                <c:pt idx="16">
                  <c:v>2.5010688748005023</c:v>
                </c:pt>
                <c:pt idx="17">
                  <c:v>4.6999756048888059</c:v>
                </c:pt>
                <c:pt idx="18">
                  <c:v>-0.25094631495380071</c:v>
                </c:pt>
                <c:pt idx="19">
                  <c:v>1.1230944767315023</c:v>
                </c:pt>
                <c:pt idx="20">
                  <c:v>1.3267775802442969</c:v>
                </c:pt>
                <c:pt idx="21">
                  <c:v>-2.080088364757998</c:v>
                </c:pt>
                <c:pt idx="22">
                  <c:v>-6.8661262536195977E-2</c:v>
                </c:pt>
                <c:pt idx="23">
                  <c:v>-4.279071471728507</c:v>
                </c:pt>
                <c:pt idx="24">
                  <c:v>0.69786617624360758</c:v>
                </c:pt>
                <c:pt idx="25">
                  <c:v>1.7254628019283942</c:v>
                </c:pt>
                <c:pt idx="26">
                  <c:v>-2.5531611445058999</c:v>
                </c:pt>
                <c:pt idx="27">
                  <c:v>4.7666792691550981</c:v>
                </c:pt>
                <c:pt idx="28">
                  <c:v>-2.7407438204131012</c:v>
                </c:pt>
                <c:pt idx="29">
                  <c:v>0.26378206428739759</c:v>
                </c:pt>
                <c:pt idx="30">
                  <c:v>5.3254816549332986</c:v>
                </c:pt>
                <c:pt idx="31">
                  <c:v>-0.14011970562719966</c:v>
                </c:pt>
                <c:pt idx="32">
                  <c:v>3.1653601418748991</c:v>
                </c:pt>
                <c:pt idx="33">
                  <c:v>7.4219367948737016</c:v>
                </c:pt>
                <c:pt idx="34">
                  <c:v>-1.5278391675025986</c:v>
                </c:pt>
                <c:pt idx="35">
                  <c:v>7.0765709456513974</c:v>
                </c:pt>
                <c:pt idx="36">
                  <c:v>-2.5804206553059998</c:v>
                </c:pt>
                <c:pt idx="37">
                  <c:v>-0.21837589403489943</c:v>
                </c:pt>
                <c:pt idx="38">
                  <c:v>5.0924918325055017</c:v>
                </c:pt>
                <c:pt idx="39">
                  <c:v>0.38397359321739799</c:v>
                </c:pt>
                <c:pt idx="40">
                  <c:v>-1.0921454050283899</c:v>
                </c:pt>
                <c:pt idx="41">
                  <c:v>-1.0357791817588051</c:v>
                </c:pt>
                <c:pt idx="42">
                  <c:v>1.1752619571512</c:v>
                </c:pt>
                <c:pt idx="43">
                  <c:v>8.0816230539720948</c:v>
                </c:pt>
                <c:pt idx="44">
                  <c:v>1.3920590127627079</c:v>
                </c:pt>
                <c:pt idx="45">
                  <c:v>-8.5666009612783043</c:v>
                </c:pt>
                <c:pt idx="46">
                  <c:v>2.7987508274453035</c:v>
                </c:pt>
                <c:pt idx="47">
                  <c:v>5.6852866596687051</c:v>
                </c:pt>
                <c:pt idx="48">
                  <c:v>-2.7123787898034095</c:v>
                </c:pt>
                <c:pt idx="49">
                  <c:v>1.8663956266307054</c:v>
                </c:pt>
                <c:pt idx="50">
                  <c:v>-3.3978918217389946</c:v>
                </c:pt>
                <c:pt idx="51">
                  <c:v>7.2407883672198921</c:v>
                </c:pt>
                <c:pt idx="52">
                  <c:v>0.9744650360009075</c:v>
                </c:pt>
                <c:pt idx="53">
                  <c:v>-6.0826644273112009</c:v>
                </c:pt>
                <c:pt idx="54">
                  <c:v>3.7163753312949979</c:v>
                </c:pt>
                <c:pt idx="55">
                  <c:v>-0.59930800787280702</c:v>
                </c:pt>
                <c:pt idx="56">
                  <c:v>1.8005934515500144E-2</c:v>
                </c:pt>
                <c:pt idx="57">
                  <c:v>0.79725984447189546</c:v>
                </c:pt>
                <c:pt idx="58">
                  <c:v>-7.9225626804532823</c:v>
                </c:pt>
                <c:pt idx="59">
                  <c:v>2.2323997071951993</c:v>
                </c:pt>
                <c:pt idx="60">
                  <c:v>1.7316343122567872</c:v>
                </c:pt>
                <c:pt idx="61">
                  <c:v>-1.2289296882517959</c:v>
                </c:pt>
                <c:pt idx="62">
                  <c:v>-3.5263131490453929</c:v>
                </c:pt>
                <c:pt idx="63">
                  <c:v>3.8694089601163029</c:v>
                </c:pt>
                <c:pt idx="64">
                  <c:v>4.44200793888389</c:v>
                </c:pt>
                <c:pt idx="65">
                  <c:v>-0.45185070372330927</c:v>
                </c:pt>
                <c:pt idx="66">
                  <c:v>-2.2356422863176846</c:v>
                </c:pt>
                <c:pt idx="67">
                  <c:v>-2.3032451697058036</c:v>
                </c:pt>
                <c:pt idx="68">
                  <c:v>1.0935715059006981</c:v>
                </c:pt>
                <c:pt idx="69">
                  <c:v>-5.3511870129296</c:v>
                </c:pt>
                <c:pt idx="70">
                  <c:v>2.7150883644882953</c:v>
                </c:pt>
                <c:pt idx="71">
                  <c:v>9.0133347113379045</c:v>
                </c:pt>
                <c:pt idx="72">
                  <c:v>1.3330650342737087</c:v>
                </c:pt>
                <c:pt idx="73">
                  <c:v>-3.3681529804183086</c:v>
                </c:pt>
                <c:pt idx="74">
                  <c:v>3.3131620762704088</c:v>
                </c:pt>
                <c:pt idx="75">
                  <c:v>0.60752457061419562</c:v>
                </c:pt>
                <c:pt idx="76">
                  <c:v>-1.9166870820968001</c:v>
                </c:pt>
                <c:pt idx="77">
                  <c:v>1.8206526195671984</c:v>
                </c:pt>
                <c:pt idx="78">
                  <c:v>-5.2757415998289972</c:v>
                </c:pt>
                <c:pt idx="79">
                  <c:v>-9.421684147187193</c:v>
                </c:pt>
                <c:pt idx="80">
                  <c:v>1.9349079678690941</c:v>
                </c:pt>
                <c:pt idx="81">
                  <c:v>-1.7415551561780944</c:v>
                </c:pt>
                <c:pt idx="82">
                  <c:v>-3.6673191239759007</c:v>
                </c:pt>
                <c:pt idx="83">
                  <c:v>3.4577845871263975</c:v>
                </c:pt>
                <c:pt idx="84">
                  <c:v>10.292997451217701</c:v>
                </c:pt>
                <c:pt idx="85">
                  <c:v>-1.7947869008433059</c:v>
                </c:pt>
                <c:pt idx="86">
                  <c:v>-1.9631905347905843</c:v>
                </c:pt>
                <c:pt idx="87">
                  <c:v>5.6787501699554994</c:v>
                </c:pt>
                <c:pt idx="88">
                  <c:v>-1.7289925896777021</c:v>
                </c:pt>
                <c:pt idx="89">
                  <c:v>-2.7025509682238038</c:v>
                </c:pt>
                <c:pt idx="90">
                  <c:v>-1.1781774011966917</c:v>
                </c:pt>
                <c:pt idx="91">
                  <c:v>1.9870548185604946</c:v>
                </c:pt>
                <c:pt idx="92">
                  <c:v>-2.866772609267187</c:v>
                </c:pt>
                <c:pt idx="93">
                  <c:v>1.9374391905200952</c:v>
                </c:pt>
                <c:pt idx="94">
                  <c:v>-0.13361876707411113</c:v>
                </c:pt>
                <c:pt idx="95">
                  <c:v>-1.5051747918864891</c:v>
                </c:pt>
                <c:pt idx="96">
                  <c:v>-3.4812870169145071</c:v>
                </c:pt>
                <c:pt idx="97">
                  <c:v>27.944091279573801</c:v>
                </c:pt>
                <c:pt idx="98">
                  <c:v>4.4811697666360004</c:v>
                </c:pt>
                <c:pt idx="99">
                  <c:v>0.94509376473580176</c:v>
                </c:pt>
                <c:pt idx="100">
                  <c:v>2.1281865309171053</c:v>
                </c:pt>
                <c:pt idx="101">
                  <c:v>8.7270730325582022</c:v>
                </c:pt>
                <c:pt idx="102">
                  <c:v>2.3164305733220942</c:v>
                </c:pt>
                <c:pt idx="103">
                  <c:v>13.195117110578309</c:v>
                </c:pt>
                <c:pt idx="104">
                  <c:v>-0.28925909855968079</c:v>
                </c:pt>
                <c:pt idx="105">
                  <c:v>1.5730908162414607</c:v>
                </c:pt>
                <c:pt idx="106">
                  <c:v>-3.6780706911464112</c:v>
                </c:pt>
                <c:pt idx="107">
                  <c:v>0.72721716757869048</c:v>
                </c:pt>
                <c:pt idx="108">
                  <c:v>0.40196999754983054</c:v>
                </c:pt>
                <c:pt idx="109">
                  <c:v>-1.5962426658875994</c:v>
                </c:pt>
                <c:pt idx="110">
                  <c:v>3.2781850936859982</c:v>
                </c:pt>
                <c:pt idx="111">
                  <c:v>1.1396615024144019</c:v>
                </c:pt>
                <c:pt idx="112">
                  <c:v>0.9842282429662994</c:v>
                </c:pt>
                <c:pt idx="113">
                  <c:v>-17.591239323029797</c:v>
                </c:pt>
                <c:pt idx="114">
                  <c:v>8.8052075340490958</c:v>
                </c:pt>
                <c:pt idx="115">
                  <c:v>-2.5098877977001166E-3</c:v>
                </c:pt>
                <c:pt idx="116">
                  <c:v>-2.4092577080385009</c:v>
                </c:pt>
                <c:pt idx="117">
                  <c:v>3.661659718196451</c:v>
                </c:pt>
                <c:pt idx="118">
                  <c:v>-0.14587136565010894</c:v>
                </c:pt>
                <c:pt idx="119">
                  <c:v>-0.19477205881370985</c:v>
                </c:pt>
                <c:pt idx="120">
                  <c:v>0.30432232145891902</c:v>
                </c:pt>
                <c:pt idx="121">
                  <c:v>-2.0330767082705501</c:v>
                </c:pt>
                <c:pt idx="122">
                  <c:v>-2.0909784864106982</c:v>
                </c:pt>
                <c:pt idx="123">
                  <c:v>2.2736575672970982</c:v>
                </c:pt>
                <c:pt idx="124">
                  <c:v>-3.0066213485959992</c:v>
                </c:pt>
                <c:pt idx="125">
                  <c:v>2.435069610254299</c:v>
                </c:pt>
                <c:pt idx="126">
                  <c:v>1.9036456926127006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088768"/>
        <c:axId val="153090304"/>
      </c:lineChart>
      <c:dateAx>
        <c:axId val="1530887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3090304"/>
        <c:crosses val="autoZero"/>
        <c:auto val="1"/>
        <c:lblOffset val="100"/>
        <c:baseTimeUnit val="days"/>
      </c:dateAx>
      <c:valAx>
        <c:axId val="153090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3088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Step, and LLPA/PMI, with MTM adjustment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cost and mtm cap6%'!$C$1</c:f>
              <c:strCache>
                <c:ptCount val="1"/>
                <c:pt idx="0">
                  <c:v>media_model_adj</c:v>
                </c:pt>
              </c:strCache>
            </c:strRef>
          </c:tx>
          <c:marker>
            <c:symbol val="none"/>
          </c:marker>
          <c:cat>
            <c:numRef>
              <c:f>'12.5 cost and mtm cap6%'!$A$2:$A$128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cost and mtm cap6%'!$C$2:$C$128</c:f>
              <c:numCache>
                <c:formatCode>0.00</c:formatCode>
                <c:ptCount val="127"/>
                <c:pt idx="0">
                  <c:v>29.504027677864997</c:v>
                </c:pt>
                <c:pt idx="1">
                  <c:v>39.023363875282897</c:v>
                </c:pt>
                <c:pt idx="2">
                  <c:v>35.252240833698096</c:v>
                </c:pt>
                <c:pt idx="3">
                  <c:v>33.492031572820906</c:v>
                </c:pt>
                <c:pt idx="4">
                  <c:v>26.154509155405901</c:v>
                </c:pt>
                <c:pt idx="5">
                  <c:v>16.5712113012593</c:v>
                </c:pt>
                <c:pt idx="6">
                  <c:v>30.9998511286914</c:v>
                </c:pt>
                <c:pt idx="7">
                  <c:v>16.172171459885501</c:v>
                </c:pt>
                <c:pt idx="8">
                  <c:v>41.787416859105306</c:v>
                </c:pt>
                <c:pt idx="9">
                  <c:v>72.263709900056909</c:v>
                </c:pt>
                <c:pt idx="10">
                  <c:v>70.032090403222298</c:v>
                </c:pt>
                <c:pt idx="11">
                  <c:v>76.901284369054594</c:v>
                </c:pt>
                <c:pt idx="12">
                  <c:v>70.769776870486098</c:v>
                </c:pt>
                <c:pt idx="13">
                  <c:v>73.247255218507604</c:v>
                </c:pt>
                <c:pt idx="14">
                  <c:v>69.032364665052398</c:v>
                </c:pt>
                <c:pt idx="15">
                  <c:v>69.945233130813904</c:v>
                </c:pt>
                <c:pt idx="16">
                  <c:v>56.721068874800501</c:v>
                </c:pt>
                <c:pt idx="17">
                  <c:v>61.179975604888803</c:v>
                </c:pt>
                <c:pt idx="18">
                  <c:v>45.509053685046197</c:v>
                </c:pt>
                <c:pt idx="19">
                  <c:v>43.683094476731505</c:v>
                </c:pt>
                <c:pt idx="20">
                  <c:v>45.386777580244299</c:v>
                </c:pt>
                <c:pt idx="21">
                  <c:v>49.569911635242001</c:v>
                </c:pt>
                <c:pt idx="22">
                  <c:v>48.071338737463805</c:v>
                </c:pt>
                <c:pt idx="23">
                  <c:v>44.490928528271496</c:v>
                </c:pt>
                <c:pt idx="24">
                  <c:v>42.487866176243607</c:v>
                </c:pt>
                <c:pt idx="25">
                  <c:v>47.065462801928398</c:v>
                </c:pt>
                <c:pt idx="26">
                  <c:v>51.346838855494099</c:v>
                </c:pt>
                <c:pt idx="27">
                  <c:v>66.2566792691551</c:v>
                </c:pt>
                <c:pt idx="28">
                  <c:v>55.679256179586901</c:v>
                </c:pt>
                <c:pt idx="29">
                  <c:v>61.483782064287396</c:v>
                </c:pt>
                <c:pt idx="30">
                  <c:v>66.7454816549333</c:v>
                </c:pt>
                <c:pt idx="31">
                  <c:v>55.159880294372797</c:v>
                </c:pt>
                <c:pt idx="32">
                  <c:v>52.835360141874901</c:v>
                </c:pt>
                <c:pt idx="33">
                  <c:v>55.711936794873701</c:v>
                </c:pt>
                <c:pt idx="34">
                  <c:v>39.8021608324974</c:v>
                </c:pt>
                <c:pt idx="35">
                  <c:v>50.3865709456514</c:v>
                </c:pt>
                <c:pt idx="36">
                  <c:v>39.999579344693998</c:v>
                </c:pt>
                <c:pt idx="37">
                  <c:v>41.651624105965098</c:v>
                </c:pt>
                <c:pt idx="38">
                  <c:v>45.3524918325055</c:v>
                </c:pt>
                <c:pt idx="39">
                  <c:v>35.433973593217395</c:v>
                </c:pt>
                <c:pt idx="40">
                  <c:v>34.957854594971607</c:v>
                </c:pt>
                <c:pt idx="41">
                  <c:v>36.304220818241198</c:v>
                </c:pt>
                <c:pt idx="42">
                  <c:v>32.9952619571512</c:v>
                </c:pt>
                <c:pt idx="43">
                  <c:v>40.751623053972096</c:v>
                </c:pt>
                <c:pt idx="44">
                  <c:v>42.802059012762705</c:v>
                </c:pt>
                <c:pt idx="45">
                  <c:v>35.423399038721698</c:v>
                </c:pt>
                <c:pt idx="46">
                  <c:v>36.198750827445302</c:v>
                </c:pt>
                <c:pt idx="47">
                  <c:v>42.885286659668708</c:v>
                </c:pt>
                <c:pt idx="48">
                  <c:v>39.667621210196593</c:v>
                </c:pt>
                <c:pt idx="49">
                  <c:v>55.086395626630704</c:v>
                </c:pt>
                <c:pt idx="50">
                  <c:v>70.792108178261003</c:v>
                </c:pt>
                <c:pt idx="51">
                  <c:v>86.190788367219895</c:v>
                </c:pt>
                <c:pt idx="52">
                  <c:v>75.53446503600091</c:v>
                </c:pt>
                <c:pt idx="53">
                  <c:v>71.4473355726888</c:v>
                </c:pt>
                <c:pt idx="54">
                  <c:v>90.936375331294997</c:v>
                </c:pt>
                <c:pt idx="55">
                  <c:v>92.270691992127198</c:v>
                </c:pt>
                <c:pt idx="56">
                  <c:v>94.5180059345155</c:v>
                </c:pt>
                <c:pt idx="57">
                  <c:v>96.867259844471889</c:v>
                </c:pt>
                <c:pt idx="58">
                  <c:v>84.707437319546713</c:v>
                </c:pt>
                <c:pt idx="59">
                  <c:v>91.382399707195205</c:v>
                </c:pt>
                <c:pt idx="60">
                  <c:v>93.491634312256792</c:v>
                </c:pt>
                <c:pt idx="61">
                  <c:v>88.741070311748203</c:v>
                </c:pt>
                <c:pt idx="62">
                  <c:v>84.583686850954606</c:v>
                </c:pt>
                <c:pt idx="63">
                  <c:v>88.069408960116306</c:v>
                </c:pt>
                <c:pt idx="64">
                  <c:v>86.842007938883896</c:v>
                </c:pt>
                <c:pt idx="65">
                  <c:v>86.868149296276684</c:v>
                </c:pt>
                <c:pt idx="66">
                  <c:v>86.084357713682309</c:v>
                </c:pt>
                <c:pt idx="67">
                  <c:v>85.806754830294196</c:v>
                </c:pt>
                <c:pt idx="68">
                  <c:v>89.003571505900695</c:v>
                </c:pt>
                <c:pt idx="69">
                  <c:v>78.078812987070407</c:v>
                </c:pt>
                <c:pt idx="70">
                  <c:v>85.515088364488292</c:v>
                </c:pt>
                <c:pt idx="71">
                  <c:v>82.973334711337898</c:v>
                </c:pt>
                <c:pt idx="72">
                  <c:v>56.843065034273707</c:v>
                </c:pt>
                <c:pt idx="73">
                  <c:v>53.621847019581693</c:v>
                </c:pt>
                <c:pt idx="74">
                  <c:v>57.893162076270407</c:v>
                </c:pt>
                <c:pt idx="75">
                  <c:v>52.817524570614196</c:v>
                </c:pt>
                <c:pt idx="76">
                  <c:v>51.783312917903203</c:v>
                </c:pt>
                <c:pt idx="77">
                  <c:v>52.9906526195672</c:v>
                </c:pt>
                <c:pt idx="78">
                  <c:v>53.584258400171002</c:v>
                </c:pt>
                <c:pt idx="79">
                  <c:v>52.308315852812804</c:v>
                </c:pt>
                <c:pt idx="80">
                  <c:v>84.614907967869101</c:v>
                </c:pt>
                <c:pt idx="81">
                  <c:v>88.288444843821907</c:v>
                </c:pt>
                <c:pt idx="82">
                  <c:v>83.592680876024104</c:v>
                </c:pt>
                <c:pt idx="83">
                  <c:v>85.127784587126399</c:v>
                </c:pt>
                <c:pt idx="84">
                  <c:v>83.402997451217701</c:v>
                </c:pt>
                <c:pt idx="85">
                  <c:v>67.915213099156688</c:v>
                </c:pt>
                <c:pt idx="86">
                  <c:v>64.506809465209415</c:v>
                </c:pt>
                <c:pt idx="87">
                  <c:v>64.168750169955501</c:v>
                </c:pt>
                <c:pt idx="88">
                  <c:v>65.061007410322304</c:v>
                </c:pt>
                <c:pt idx="89">
                  <c:v>63.957449031776193</c:v>
                </c:pt>
                <c:pt idx="90">
                  <c:v>65.231822598803305</c:v>
                </c:pt>
                <c:pt idx="91">
                  <c:v>73.157054818560496</c:v>
                </c:pt>
                <c:pt idx="92">
                  <c:v>72.633227390732813</c:v>
                </c:pt>
                <c:pt idx="93">
                  <c:v>76.227439190520101</c:v>
                </c:pt>
                <c:pt idx="94">
                  <c:v>70.656381232925895</c:v>
                </c:pt>
                <c:pt idx="95">
                  <c:v>64.384825208113512</c:v>
                </c:pt>
                <c:pt idx="96">
                  <c:v>63.468712983085496</c:v>
                </c:pt>
                <c:pt idx="97">
                  <c:v>52.5740912795738</c:v>
                </c:pt>
                <c:pt idx="98">
                  <c:v>79.341169766636</c:v>
                </c:pt>
                <c:pt idx="99">
                  <c:v>82.815093764735806</c:v>
                </c:pt>
                <c:pt idx="100">
                  <c:v>72.428186530917102</c:v>
                </c:pt>
                <c:pt idx="101">
                  <c:v>66.937073032558203</c:v>
                </c:pt>
                <c:pt idx="102">
                  <c:v>71.6064305733221</c:v>
                </c:pt>
                <c:pt idx="103">
                  <c:v>60.195117110578309</c:v>
                </c:pt>
                <c:pt idx="104">
                  <c:v>6.0407409014403193</c:v>
                </c:pt>
                <c:pt idx="105">
                  <c:v>7.7030908162414606</c:v>
                </c:pt>
                <c:pt idx="106">
                  <c:v>5.2919293088535895</c:v>
                </c:pt>
                <c:pt idx="107">
                  <c:v>4.0472171675786903</c:v>
                </c:pt>
                <c:pt idx="108">
                  <c:v>4.4019699975498305</c:v>
                </c:pt>
                <c:pt idx="109">
                  <c:v>3.6937573341124006</c:v>
                </c:pt>
                <c:pt idx="110">
                  <c:v>14.108185093685998</c:v>
                </c:pt>
                <c:pt idx="111">
                  <c:v>18.769661502414401</c:v>
                </c:pt>
                <c:pt idx="112">
                  <c:v>20.174228242966301</c:v>
                </c:pt>
                <c:pt idx="113">
                  <c:v>8.7887606769702007</c:v>
                </c:pt>
                <c:pt idx="114">
                  <c:v>47.295207534049098</c:v>
                </c:pt>
                <c:pt idx="115">
                  <c:v>16.1574901122023</c:v>
                </c:pt>
                <c:pt idx="116">
                  <c:v>9.1207422919614984</c:v>
                </c:pt>
                <c:pt idx="117">
                  <c:v>11.211659718196451</c:v>
                </c:pt>
                <c:pt idx="118">
                  <c:v>7.3741286343498906</c:v>
                </c:pt>
                <c:pt idx="119">
                  <c:v>5.2952279411862904</c:v>
                </c:pt>
                <c:pt idx="120">
                  <c:v>4.4943223214589194</c:v>
                </c:pt>
                <c:pt idx="121">
                  <c:v>2.6069232917294496</c:v>
                </c:pt>
                <c:pt idx="122">
                  <c:v>9.4390215135893012</c:v>
                </c:pt>
                <c:pt idx="123">
                  <c:v>15.863657567297098</c:v>
                </c:pt>
                <c:pt idx="124">
                  <c:v>12.073378651404001</c:v>
                </c:pt>
                <c:pt idx="125">
                  <c:v>13.455069610254299</c:v>
                </c:pt>
                <c:pt idx="126">
                  <c:v>15.1836456926127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'12.5 cost and mtm cap6%'!$D$1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'12.5 cost and mtm cap6%'!$A$2:$A$128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cost and mtm cap6%'!$D$2:$D$128</c:f>
              <c:numCache>
                <c:formatCode>General</c:formatCode>
                <c:ptCount val="127"/>
                <c:pt idx="0">
                  <c:v>30.43</c:v>
                </c:pt>
                <c:pt idx="1">
                  <c:v>34.19</c:v>
                </c:pt>
                <c:pt idx="2">
                  <c:v>29.65</c:v>
                </c:pt>
                <c:pt idx="3">
                  <c:v>28.57</c:v>
                </c:pt>
                <c:pt idx="4">
                  <c:v>22.67</c:v>
                </c:pt>
                <c:pt idx="5">
                  <c:v>25.51</c:v>
                </c:pt>
                <c:pt idx="6">
                  <c:v>27.36</c:v>
                </c:pt>
                <c:pt idx="7">
                  <c:v>20.46</c:v>
                </c:pt>
                <c:pt idx="8">
                  <c:v>38.380000000000003</c:v>
                </c:pt>
                <c:pt idx="9">
                  <c:v>70.73</c:v>
                </c:pt>
                <c:pt idx="10">
                  <c:v>73.040000000000006</c:v>
                </c:pt>
                <c:pt idx="11">
                  <c:v>75.78</c:v>
                </c:pt>
                <c:pt idx="12">
                  <c:v>76.819999999999993</c:v>
                </c:pt>
                <c:pt idx="13">
                  <c:v>67.739999999999995</c:v>
                </c:pt>
                <c:pt idx="14">
                  <c:v>63.98</c:v>
                </c:pt>
                <c:pt idx="15">
                  <c:v>60.86</c:v>
                </c:pt>
                <c:pt idx="16">
                  <c:v>54.22</c:v>
                </c:pt>
                <c:pt idx="17">
                  <c:v>56.48</c:v>
                </c:pt>
                <c:pt idx="18">
                  <c:v>45.76</c:v>
                </c:pt>
                <c:pt idx="19">
                  <c:v>42.56</c:v>
                </c:pt>
                <c:pt idx="20">
                  <c:v>44.06</c:v>
                </c:pt>
                <c:pt idx="21">
                  <c:v>51.65</c:v>
                </c:pt>
                <c:pt idx="22">
                  <c:v>48.14</c:v>
                </c:pt>
                <c:pt idx="23">
                  <c:v>48.77</c:v>
                </c:pt>
                <c:pt idx="24">
                  <c:v>41.79</c:v>
                </c:pt>
                <c:pt idx="25">
                  <c:v>45.34</c:v>
                </c:pt>
                <c:pt idx="26">
                  <c:v>53.9</c:v>
                </c:pt>
                <c:pt idx="27">
                  <c:v>61.49</c:v>
                </c:pt>
                <c:pt idx="28">
                  <c:v>58.42</c:v>
                </c:pt>
                <c:pt idx="29">
                  <c:v>61.22</c:v>
                </c:pt>
                <c:pt idx="30">
                  <c:v>61.42</c:v>
                </c:pt>
                <c:pt idx="31">
                  <c:v>55.3</c:v>
                </c:pt>
                <c:pt idx="32">
                  <c:v>49.67</c:v>
                </c:pt>
                <c:pt idx="33">
                  <c:v>48.29</c:v>
                </c:pt>
                <c:pt idx="34">
                  <c:v>41.33</c:v>
                </c:pt>
                <c:pt idx="35">
                  <c:v>43.31</c:v>
                </c:pt>
                <c:pt idx="36">
                  <c:v>42.58</c:v>
                </c:pt>
                <c:pt idx="37">
                  <c:v>41.87</c:v>
                </c:pt>
                <c:pt idx="38">
                  <c:v>40.26</c:v>
                </c:pt>
                <c:pt idx="39">
                  <c:v>35.049999999999997</c:v>
                </c:pt>
                <c:pt idx="40">
                  <c:v>36.049999999999997</c:v>
                </c:pt>
                <c:pt idx="41">
                  <c:v>37.340000000000003</c:v>
                </c:pt>
                <c:pt idx="42">
                  <c:v>31.82</c:v>
                </c:pt>
                <c:pt idx="43">
                  <c:v>32.67</c:v>
                </c:pt>
                <c:pt idx="44">
                  <c:v>41.41</c:v>
                </c:pt>
                <c:pt idx="45">
                  <c:v>43.99</c:v>
                </c:pt>
                <c:pt idx="46">
                  <c:v>33.4</c:v>
                </c:pt>
                <c:pt idx="47">
                  <c:v>37.200000000000003</c:v>
                </c:pt>
                <c:pt idx="48">
                  <c:v>42.38</c:v>
                </c:pt>
                <c:pt idx="49">
                  <c:v>53.22</c:v>
                </c:pt>
                <c:pt idx="50">
                  <c:v>74.19</c:v>
                </c:pt>
                <c:pt idx="51">
                  <c:v>78.95</c:v>
                </c:pt>
                <c:pt idx="52">
                  <c:v>74.56</c:v>
                </c:pt>
                <c:pt idx="53">
                  <c:v>77.53</c:v>
                </c:pt>
                <c:pt idx="54">
                  <c:v>87.22</c:v>
                </c:pt>
                <c:pt idx="55">
                  <c:v>92.87</c:v>
                </c:pt>
                <c:pt idx="56">
                  <c:v>94.5</c:v>
                </c:pt>
                <c:pt idx="57">
                  <c:v>96.07</c:v>
                </c:pt>
                <c:pt idx="58">
                  <c:v>92.63</c:v>
                </c:pt>
                <c:pt idx="59">
                  <c:v>89.15</c:v>
                </c:pt>
                <c:pt idx="60">
                  <c:v>91.76</c:v>
                </c:pt>
                <c:pt idx="61">
                  <c:v>89.97</c:v>
                </c:pt>
                <c:pt idx="62">
                  <c:v>88.11</c:v>
                </c:pt>
                <c:pt idx="63">
                  <c:v>84.2</c:v>
                </c:pt>
                <c:pt idx="64">
                  <c:v>82.4</c:v>
                </c:pt>
                <c:pt idx="65">
                  <c:v>87.32</c:v>
                </c:pt>
                <c:pt idx="66">
                  <c:v>88.32</c:v>
                </c:pt>
                <c:pt idx="67">
                  <c:v>88.11</c:v>
                </c:pt>
                <c:pt idx="68">
                  <c:v>87.91</c:v>
                </c:pt>
                <c:pt idx="69">
                  <c:v>83.43</c:v>
                </c:pt>
                <c:pt idx="70">
                  <c:v>82.8</c:v>
                </c:pt>
                <c:pt idx="71">
                  <c:v>73.959999999999994</c:v>
                </c:pt>
                <c:pt idx="72">
                  <c:v>55.51</c:v>
                </c:pt>
                <c:pt idx="73">
                  <c:v>56.99</c:v>
                </c:pt>
                <c:pt idx="74">
                  <c:v>54.58</c:v>
                </c:pt>
                <c:pt idx="75">
                  <c:v>52.21</c:v>
                </c:pt>
                <c:pt idx="76">
                  <c:v>53.7</c:v>
                </c:pt>
                <c:pt idx="77">
                  <c:v>51.17</c:v>
                </c:pt>
                <c:pt idx="78">
                  <c:v>58.86</c:v>
                </c:pt>
                <c:pt idx="79">
                  <c:v>61.73</c:v>
                </c:pt>
                <c:pt idx="80">
                  <c:v>82.68</c:v>
                </c:pt>
                <c:pt idx="81">
                  <c:v>90.03</c:v>
                </c:pt>
                <c:pt idx="82">
                  <c:v>87.26</c:v>
                </c:pt>
                <c:pt idx="83">
                  <c:v>81.67</c:v>
                </c:pt>
                <c:pt idx="84">
                  <c:v>73.11</c:v>
                </c:pt>
                <c:pt idx="85">
                  <c:v>69.709999999999994</c:v>
                </c:pt>
                <c:pt idx="86">
                  <c:v>66.47</c:v>
                </c:pt>
                <c:pt idx="87">
                  <c:v>58.49</c:v>
                </c:pt>
                <c:pt idx="88">
                  <c:v>66.790000000000006</c:v>
                </c:pt>
                <c:pt idx="89">
                  <c:v>66.66</c:v>
                </c:pt>
                <c:pt idx="90">
                  <c:v>66.41</c:v>
                </c:pt>
                <c:pt idx="91">
                  <c:v>71.17</c:v>
                </c:pt>
                <c:pt idx="92">
                  <c:v>75.5</c:v>
                </c:pt>
                <c:pt idx="93">
                  <c:v>74.290000000000006</c:v>
                </c:pt>
                <c:pt idx="94">
                  <c:v>70.790000000000006</c:v>
                </c:pt>
                <c:pt idx="95">
                  <c:v>65.89</c:v>
                </c:pt>
                <c:pt idx="96">
                  <c:v>66.95</c:v>
                </c:pt>
                <c:pt idx="97">
                  <c:v>24.63</c:v>
                </c:pt>
                <c:pt idx="98">
                  <c:v>74.86</c:v>
                </c:pt>
                <c:pt idx="99">
                  <c:v>81.87</c:v>
                </c:pt>
                <c:pt idx="100">
                  <c:v>70.3</c:v>
                </c:pt>
                <c:pt idx="101">
                  <c:v>58.21</c:v>
                </c:pt>
                <c:pt idx="102">
                  <c:v>69.290000000000006</c:v>
                </c:pt>
                <c:pt idx="103">
                  <c:v>47</c:v>
                </c:pt>
                <c:pt idx="104">
                  <c:v>6.33</c:v>
                </c:pt>
                <c:pt idx="105">
                  <c:v>6.13</c:v>
                </c:pt>
                <c:pt idx="106">
                  <c:v>8.9700000000000006</c:v>
                </c:pt>
                <c:pt idx="107">
                  <c:v>3.32</c:v>
                </c:pt>
                <c:pt idx="108">
                  <c:v>4</c:v>
                </c:pt>
                <c:pt idx="109">
                  <c:v>5.29</c:v>
                </c:pt>
                <c:pt idx="110">
                  <c:v>10.83</c:v>
                </c:pt>
                <c:pt idx="111">
                  <c:v>17.63</c:v>
                </c:pt>
                <c:pt idx="112">
                  <c:v>19.190000000000001</c:v>
                </c:pt>
                <c:pt idx="113">
                  <c:v>26.38</c:v>
                </c:pt>
                <c:pt idx="114">
                  <c:v>38.49</c:v>
                </c:pt>
                <c:pt idx="115">
                  <c:v>16.16</c:v>
                </c:pt>
                <c:pt idx="116">
                  <c:v>11.53</c:v>
                </c:pt>
                <c:pt idx="117">
                  <c:v>7.55</c:v>
                </c:pt>
                <c:pt idx="118">
                  <c:v>7.52</c:v>
                </c:pt>
                <c:pt idx="119">
                  <c:v>5.49</c:v>
                </c:pt>
                <c:pt idx="120">
                  <c:v>4.1900000000000004</c:v>
                </c:pt>
                <c:pt idx="121">
                  <c:v>4.6399999999999997</c:v>
                </c:pt>
                <c:pt idx="122">
                  <c:v>11.53</c:v>
                </c:pt>
                <c:pt idx="123">
                  <c:v>13.59</c:v>
                </c:pt>
                <c:pt idx="124">
                  <c:v>15.08</c:v>
                </c:pt>
                <c:pt idx="125">
                  <c:v>11.02</c:v>
                </c:pt>
                <c:pt idx="126">
                  <c:v>13.28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103360"/>
        <c:axId val="153105152"/>
      </c:lineChart>
      <c:dateAx>
        <c:axId val="153103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3105152"/>
        <c:crosses val="autoZero"/>
        <c:auto val="1"/>
        <c:lblOffset val="100"/>
        <c:baseTimeUnit val="months"/>
      </c:dateAx>
      <c:valAx>
        <c:axId val="15310515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15310336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cost and mtm cap10%'!$G$1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'12.5 cost and mtm cap10%'!$A$2:$A$128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cost and mtm cap10%'!$G$2:$G$128</c:f>
              <c:numCache>
                <c:formatCode>0.00</c:formatCode>
                <c:ptCount val="127"/>
                <c:pt idx="0">
                  <c:v>-4.9259723221350029</c:v>
                </c:pt>
                <c:pt idx="1">
                  <c:v>2.8245823133580004</c:v>
                </c:pt>
                <c:pt idx="2">
                  <c:v>5.6022408336980973</c:v>
                </c:pt>
                <c:pt idx="3">
                  <c:v>4.9220315728209059</c:v>
                </c:pt>
                <c:pt idx="4">
                  <c:v>4.0669968636445013</c:v>
                </c:pt>
                <c:pt idx="5">
                  <c:v>-8.9387886987407015</c:v>
                </c:pt>
                <c:pt idx="6">
                  <c:v>3.6398511286914008</c:v>
                </c:pt>
                <c:pt idx="7">
                  <c:v>-4.2878285401145</c:v>
                </c:pt>
                <c:pt idx="8">
                  <c:v>3.4074168591053038</c:v>
                </c:pt>
                <c:pt idx="9">
                  <c:v>1.5337099000569054</c:v>
                </c:pt>
                <c:pt idx="10">
                  <c:v>-3.0079095967777079</c:v>
                </c:pt>
                <c:pt idx="11">
                  <c:v>1.1212843690545924</c:v>
                </c:pt>
                <c:pt idx="12">
                  <c:v>-10.050223129513896</c:v>
                </c:pt>
                <c:pt idx="13">
                  <c:v>1.5072552185076091</c:v>
                </c:pt>
                <c:pt idx="14">
                  <c:v>1.0523646650524014</c:v>
                </c:pt>
                <c:pt idx="15">
                  <c:v>6.584164256013409</c:v>
                </c:pt>
                <c:pt idx="16">
                  <c:v>2.1598207932462969</c:v>
                </c:pt>
                <c:pt idx="17">
                  <c:v>4.6999756048888059</c:v>
                </c:pt>
                <c:pt idx="18">
                  <c:v>-0.25094631495380071</c:v>
                </c:pt>
                <c:pt idx="19">
                  <c:v>1.1230944767315023</c:v>
                </c:pt>
                <c:pt idx="20">
                  <c:v>1.3267775802442969</c:v>
                </c:pt>
                <c:pt idx="21">
                  <c:v>-2.080088364757998</c:v>
                </c:pt>
                <c:pt idx="22">
                  <c:v>-6.8661262536195977E-2</c:v>
                </c:pt>
                <c:pt idx="23">
                  <c:v>-4.279071471728507</c:v>
                </c:pt>
                <c:pt idx="24">
                  <c:v>0.69786617624360758</c:v>
                </c:pt>
                <c:pt idx="25">
                  <c:v>1.7254628019283942</c:v>
                </c:pt>
                <c:pt idx="26">
                  <c:v>-4.5790965932478969</c:v>
                </c:pt>
                <c:pt idx="27">
                  <c:v>4.7666792691550981</c:v>
                </c:pt>
                <c:pt idx="28">
                  <c:v>-3.0045258847004988</c:v>
                </c:pt>
                <c:pt idx="29">
                  <c:v>-3.7362179357126024</c:v>
                </c:pt>
                <c:pt idx="30">
                  <c:v>5.3254816549332986</c:v>
                </c:pt>
                <c:pt idx="31">
                  <c:v>-3.3054798475020988</c:v>
                </c:pt>
                <c:pt idx="32">
                  <c:v>-0.83463985812510089</c:v>
                </c:pt>
                <c:pt idx="33">
                  <c:v>7.4219367948737016</c:v>
                </c:pt>
                <c:pt idx="34">
                  <c:v>-5.5278391675025986</c:v>
                </c:pt>
                <c:pt idx="35">
                  <c:v>7.0765709456513974</c:v>
                </c:pt>
                <c:pt idx="36">
                  <c:v>-2.5804206553059998</c:v>
                </c:pt>
                <c:pt idx="37">
                  <c:v>-3.5669167329706042</c:v>
                </c:pt>
                <c:pt idx="38">
                  <c:v>5.0924918325055017</c:v>
                </c:pt>
                <c:pt idx="39">
                  <c:v>0.38397359321739799</c:v>
                </c:pt>
                <c:pt idx="40">
                  <c:v>-1.0921454050283899</c:v>
                </c:pt>
                <c:pt idx="41">
                  <c:v>-2.2110411389100051</c:v>
                </c:pt>
                <c:pt idx="42">
                  <c:v>0.26818085169470152</c:v>
                </c:pt>
                <c:pt idx="43">
                  <c:v>8.0816230539720948</c:v>
                </c:pt>
                <c:pt idx="44">
                  <c:v>1.3920590127627079</c:v>
                </c:pt>
                <c:pt idx="45">
                  <c:v>-9.2209772757258079</c:v>
                </c:pt>
                <c:pt idx="46">
                  <c:v>2.7987508274453035</c:v>
                </c:pt>
                <c:pt idx="47">
                  <c:v>5.6852866596687051</c:v>
                </c:pt>
                <c:pt idx="48">
                  <c:v>-2.7123787898034095</c:v>
                </c:pt>
                <c:pt idx="49">
                  <c:v>1.8663956266307054</c:v>
                </c:pt>
                <c:pt idx="50">
                  <c:v>-3.3978918217389946</c:v>
                </c:pt>
                <c:pt idx="51">
                  <c:v>7.2407883672198921</c:v>
                </c:pt>
                <c:pt idx="52">
                  <c:v>0.9744650360009075</c:v>
                </c:pt>
                <c:pt idx="53">
                  <c:v>-6.0826644273112009</c:v>
                </c:pt>
                <c:pt idx="54">
                  <c:v>3.7163753312949979</c:v>
                </c:pt>
                <c:pt idx="55">
                  <c:v>-0.59930800787280702</c:v>
                </c:pt>
                <c:pt idx="56">
                  <c:v>1.8005934515500144E-2</c:v>
                </c:pt>
                <c:pt idx="57">
                  <c:v>0.79725984447189546</c:v>
                </c:pt>
                <c:pt idx="58">
                  <c:v>-7.9225626804532823</c:v>
                </c:pt>
                <c:pt idx="59">
                  <c:v>2.2323997071951993</c:v>
                </c:pt>
                <c:pt idx="60">
                  <c:v>1.7316343122567872</c:v>
                </c:pt>
                <c:pt idx="61">
                  <c:v>-1.2289296882517959</c:v>
                </c:pt>
                <c:pt idx="62">
                  <c:v>-3.5263131490453929</c:v>
                </c:pt>
                <c:pt idx="63">
                  <c:v>3.8694089601163029</c:v>
                </c:pt>
                <c:pt idx="64">
                  <c:v>4.44200793888389</c:v>
                </c:pt>
                <c:pt idx="65">
                  <c:v>-0.45185070372330927</c:v>
                </c:pt>
                <c:pt idx="66">
                  <c:v>-2.2356422863176846</c:v>
                </c:pt>
                <c:pt idx="67">
                  <c:v>-2.3032451697058036</c:v>
                </c:pt>
                <c:pt idx="68">
                  <c:v>1.0935715059006981</c:v>
                </c:pt>
                <c:pt idx="69">
                  <c:v>-6.9652087894958044</c:v>
                </c:pt>
                <c:pt idx="70">
                  <c:v>2.7150883644882953</c:v>
                </c:pt>
                <c:pt idx="71">
                  <c:v>9.0133347113379045</c:v>
                </c:pt>
                <c:pt idx="72">
                  <c:v>1.3330650342737087</c:v>
                </c:pt>
                <c:pt idx="73">
                  <c:v>-3.3681529804183086</c:v>
                </c:pt>
                <c:pt idx="74">
                  <c:v>3.3131620762704088</c:v>
                </c:pt>
                <c:pt idx="75">
                  <c:v>0.70355903314379731</c:v>
                </c:pt>
                <c:pt idx="76">
                  <c:v>-1.9166870820968001</c:v>
                </c:pt>
                <c:pt idx="77">
                  <c:v>5.8206526195671984</c:v>
                </c:pt>
                <c:pt idx="78">
                  <c:v>-4.3800911403569032</c:v>
                </c:pt>
                <c:pt idx="79">
                  <c:v>-9.421684147187193</c:v>
                </c:pt>
                <c:pt idx="80">
                  <c:v>1.9349079678690941</c:v>
                </c:pt>
                <c:pt idx="81">
                  <c:v>-1.7415551561780944</c:v>
                </c:pt>
                <c:pt idx="82">
                  <c:v>-7.1251037111022981</c:v>
                </c:pt>
                <c:pt idx="83">
                  <c:v>0.91609453674699637</c:v>
                </c:pt>
                <c:pt idx="84">
                  <c:v>10.292997451217701</c:v>
                </c:pt>
                <c:pt idx="85">
                  <c:v>-1.7947869008433059</c:v>
                </c:pt>
                <c:pt idx="86">
                  <c:v>-1.9631905347905843</c:v>
                </c:pt>
                <c:pt idx="87">
                  <c:v>5.6787501699554994</c:v>
                </c:pt>
                <c:pt idx="88">
                  <c:v>-1.7289925896777021</c:v>
                </c:pt>
                <c:pt idx="89">
                  <c:v>-2.7025509682238038</c:v>
                </c:pt>
                <c:pt idx="90">
                  <c:v>-1.1781774011966917</c:v>
                </c:pt>
                <c:pt idx="91">
                  <c:v>1.9870548185604946</c:v>
                </c:pt>
                <c:pt idx="92">
                  <c:v>-2.866772609267187</c:v>
                </c:pt>
                <c:pt idx="93">
                  <c:v>1.9374391905200952</c:v>
                </c:pt>
                <c:pt idx="94">
                  <c:v>-0.13361876707411113</c:v>
                </c:pt>
                <c:pt idx="95">
                  <c:v>-1.5051747918864891</c:v>
                </c:pt>
                <c:pt idx="96">
                  <c:v>-7.4812870169145071</c:v>
                </c:pt>
                <c:pt idx="97">
                  <c:v>23.944091279573801</c:v>
                </c:pt>
                <c:pt idx="98">
                  <c:v>3.5360760019001987</c:v>
                </c:pt>
                <c:pt idx="99">
                  <c:v>-1.1830927661813035</c:v>
                </c:pt>
                <c:pt idx="100">
                  <c:v>-1.8718134690828947</c:v>
                </c:pt>
                <c:pt idx="101">
                  <c:v>6.410642459236108</c:v>
                </c:pt>
                <c:pt idx="102">
                  <c:v>-1.4194669020992023</c:v>
                </c:pt>
                <c:pt idx="103">
                  <c:v>13.195117110578309</c:v>
                </c:pt>
                <c:pt idx="104">
                  <c:v>-0.28925909855968079</c:v>
                </c:pt>
                <c:pt idx="105">
                  <c:v>1.5730908162414607</c:v>
                </c:pt>
                <c:pt idx="106">
                  <c:v>-3.6780706911464112</c:v>
                </c:pt>
                <c:pt idx="107">
                  <c:v>0.72721716757869048</c:v>
                </c:pt>
                <c:pt idx="108">
                  <c:v>0.40196999754983054</c:v>
                </c:pt>
                <c:pt idx="109">
                  <c:v>-1.5962426658875994</c:v>
                </c:pt>
                <c:pt idx="110">
                  <c:v>3.2781850936859982</c:v>
                </c:pt>
                <c:pt idx="111">
                  <c:v>1.1396615024144019</c:v>
                </c:pt>
                <c:pt idx="112">
                  <c:v>4.9842282429662994</c:v>
                </c:pt>
                <c:pt idx="113">
                  <c:v>-21.091714203321096</c:v>
                </c:pt>
                <c:pt idx="114">
                  <c:v>8.8052075340490958</c:v>
                </c:pt>
                <c:pt idx="115">
                  <c:v>-2.5098877977001166E-3</c:v>
                </c:pt>
                <c:pt idx="116">
                  <c:v>-2.4092577080385009</c:v>
                </c:pt>
                <c:pt idx="117">
                  <c:v>3.661659718196451</c:v>
                </c:pt>
                <c:pt idx="118">
                  <c:v>-0.14587136565010894</c:v>
                </c:pt>
                <c:pt idx="119">
                  <c:v>-0.19477205881370985</c:v>
                </c:pt>
                <c:pt idx="120">
                  <c:v>0.30432232145891902</c:v>
                </c:pt>
                <c:pt idx="121">
                  <c:v>-2.0330767082705501</c:v>
                </c:pt>
                <c:pt idx="122">
                  <c:v>-2.0909784864106982</c:v>
                </c:pt>
                <c:pt idx="123">
                  <c:v>2.2736575672970982</c:v>
                </c:pt>
                <c:pt idx="124">
                  <c:v>-3.0066213485959992</c:v>
                </c:pt>
                <c:pt idx="125">
                  <c:v>2.435069610254299</c:v>
                </c:pt>
                <c:pt idx="126">
                  <c:v>1.9036456926127006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289856"/>
        <c:axId val="153291392"/>
      </c:lineChart>
      <c:dateAx>
        <c:axId val="153289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3291392"/>
        <c:crosses val="autoZero"/>
        <c:auto val="1"/>
        <c:lblOffset val="100"/>
        <c:baseTimeUnit val="days"/>
      </c:dateAx>
      <c:valAx>
        <c:axId val="15329139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3289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Step, and LLPA/PMI, with MTM adjustment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cost and mtm cap10%'!$C$1</c:f>
              <c:strCache>
                <c:ptCount val="1"/>
                <c:pt idx="0">
                  <c:v>media_model_adj</c:v>
                </c:pt>
              </c:strCache>
            </c:strRef>
          </c:tx>
          <c:marker>
            <c:symbol val="none"/>
          </c:marker>
          <c:cat>
            <c:numRef>
              <c:f>'12.5 cost and mtm cap10%'!$A$2:$A$128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cost and mtm cap10%'!$C$2:$C$128</c:f>
              <c:numCache>
                <c:formatCode>0.00</c:formatCode>
                <c:ptCount val="127"/>
                <c:pt idx="0">
                  <c:v>25.504027677864997</c:v>
                </c:pt>
                <c:pt idx="1">
                  <c:v>37.014582313357998</c:v>
                </c:pt>
                <c:pt idx="2">
                  <c:v>35.252240833698096</c:v>
                </c:pt>
                <c:pt idx="3">
                  <c:v>33.492031572820906</c:v>
                </c:pt>
                <c:pt idx="4">
                  <c:v>26.736996863644503</c:v>
                </c:pt>
                <c:pt idx="5">
                  <c:v>16.5712113012593</c:v>
                </c:pt>
                <c:pt idx="6">
                  <c:v>30.9998511286914</c:v>
                </c:pt>
                <c:pt idx="7">
                  <c:v>16.172171459885501</c:v>
                </c:pt>
                <c:pt idx="8">
                  <c:v>41.787416859105306</c:v>
                </c:pt>
                <c:pt idx="9">
                  <c:v>72.263709900056909</c:v>
                </c:pt>
                <c:pt idx="10">
                  <c:v>70.032090403222298</c:v>
                </c:pt>
                <c:pt idx="11">
                  <c:v>76.901284369054594</c:v>
                </c:pt>
                <c:pt idx="12">
                  <c:v>66.769776870486098</c:v>
                </c:pt>
                <c:pt idx="13">
                  <c:v>69.247255218507604</c:v>
                </c:pt>
                <c:pt idx="14">
                  <c:v>65.032364665052398</c:v>
                </c:pt>
                <c:pt idx="15">
                  <c:v>67.444164256013408</c:v>
                </c:pt>
                <c:pt idx="16">
                  <c:v>56.379820793246296</c:v>
                </c:pt>
                <c:pt idx="17">
                  <c:v>61.179975604888803</c:v>
                </c:pt>
                <c:pt idx="18">
                  <c:v>45.509053685046197</c:v>
                </c:pt>
                <c:pt idx="19">
                  <c:v>43.683094476731505</c:v>
                </c:pt>
                <c:pt idx="20">
                  <c:v>45.386777580244299</c:v>
                </c:pt>
                <c:pt idx="21">
                  <c:v>49.569911635242001</c:v>
                </c:pt>
                <c:pt idx="22">
                  <c:v>48.071338737463805</c:v>
                </c:pt>
                <c:pt idx="23">
                  <c:v>44.490928528271496</c:v>
                </c:pt>
                <c:pt idx="24">
                  <c:v>42.487866176243607</c:v>
                </c:pt>
                <c:pt idx="25">
                  <c:v>47.065462801928398</c:v>
                </c:pt>
                <c:pt idx="26">
                  <c:v>49.320903406752102</c:v>
                </c:pt>
                <c:pt idx="27">
                  <c:v>66.2566792691551</c:v>
                </c:pt>
                <c:pt idx="28">
                  <c:v>55.415474115299503</c:v>
                </c:pt>
                <c:pt idx="29">
                  <c:v>57.483782064287396</c:v>
                </c:pt>
                <c:pt idx="30">
                  <c:v>66.7454816549333</c:v>
                </c:pt>
                <c:pt idx="31">
                  <c:v>51.994520152497898</c:v>
                </c:pt>
                <c:pt idx="32">
                  <c:v>48.835360141874901</c:v>
                </c:pt>
                <c:pt idx="33">
                  <c:v>55.711936794873701</c:v>
                </c:pt>
                <c:pt idx="34">
                  <c:v>35.8021608324974</c:v>
                </c:pt>
                <c:pt idx="35">
                  <c:v>50.3865709456514</c:v>
                </c:pt>
                <c:pt idx="36">
                  <c:v>39.999579344693998</c:v>
                </c:pt>
                <c:pt idx="37">
                  <c:v>38.303083267029393</c:v>
                </c:pt>
                <c:pt idx="38">
                  <c:v>45.3524918325055</c:v>
                </c:pt>
                <c:pt idx="39">
                  <c:v>35.433973593217395</c:v>
                </c:pt>
                <c:pt idx="40">
                  <c:v>34.957854594971607</c:v>
                </c:pt>
                <c:pt idx="41">
                  <c:v>35.128958861089998</c:v>
                </c:pt>
                <c:pt idx="42">
                  <c:v>32.088180851694702</c:v>
                </c:pt>
                <c:pt idx="43">
                  <c:v>40.751623053972096</c:v>
                </c:pt>
                <c:pt idx="44">
                  <c:v>42.802059012762705</c:v>
                </c:pt>
                <c:pt idx="45">
                  <c:v>34.769022724274194</c:v>
                </c:pt>
                <c:pt idx="46">
                  <c:v>36.198750827445302</c:v>
                </c:pt>
                <c:pt idx="47">
                  <c:v>42.885286659668708</c:v>
                </c:pt>
                <c:pt idx="48">
                  <c:v>39.667621210196593</c:v>
                </c:pt>
                <c:pt idx="49">
                  <c:v>55.086395626630704</c:v>
                </c:pt>
                <c:pt idx="50">
                  <c:v>70.792108178261003</c:v>
                </c:pt>
                <c:pt idx="51">
                  <c:v>86.190788367219895</c:v>
                </c:pt>
                <c:pt idx="52">
                  <c:v>75.53446503600091</c:v>
                </c:pt>
                <c:pt idx="53">
                  <c:v>71.4473355726888</c:v>
                </c:pt>
                <c:pt idx="54">
                  <c:v>90.936375331294997</c:v>
                </c:pt>
                <c:pt idx="55">
                  <c:v>92.270691992127198</c:v>
                </c:pt>
                <c:pt idx="56">
                  <c:v>94.5180059345155</c:v>
                </c:pt>
                <c:pt idx="57">
                  <c:v>96.867259844471889</c:v>
                </c:pt>
                <c:pt idx="58">
                  <c:v>84.707437319546713</c:v>
                </c:pt>
                <c:pt idx="59">
                  <c:v>91.382399707195205</c:v>
                </c:pt>
                <c:pt idx="60">
                  <c:v>93.491634312256792</c:v>
                </c:pt>
                <c:pt idx="61">
                  <c:v>88.741070311748203</c:v>
                </c:pt>
                <c:pt idx="62">
                  <c:v>84.583686850954606</c:v>
                </c:pt>
                <c:pt idx="63">
                  <c:v>88.069408960116306</c:v>
                </c:pt>
                <c:pt idx="64">
                  <c:v>86.842007938883896</c:v>
                </c:pt>
                <c:pt idx="65">
                  <c:v>86.868149296276684</c:v>
                </c:pt>
                <c:pt idx="66">
                  <c:v>86.084357713682309</c:v>
                </c:pt>
                <c:pt idx="67">
                  <c:v>85.806754830294196</c:v>
                </c:pt>
                <c:pt idx="68">
                  <c:v>89.003571505900695</c:v>
                </c:pt>
                <c:pt idx="69">
                  <c:v>76.464791210504202</c:v>
                </c:pt>
                <c:pt idx="70">
                  <c:v>85.515088364488292</c:v>
                </c:pt>
                <c:pt idx="71">
                  <c:v>82.973334711337898</c:v>
                </c:pt>
                <c:pt idx="72">
                  <c:v>56.843065034273707</c:v>
                </c:pt>
                <c:pt idx="73">
                  <c:v>53.621847019581693</c:v>
                </c:pt>
                <c:pt idx="74">
                  <c:v>57.893162076270407</c:v>
                </c:pt>
                <c:pt idx="75">
                  <c:v>52.913559033143798</c:v>
                </c:pt>
                <c:pt idx="76">
                  <c:v>51.783312917903203</c:v>
                </c:pt>
                <c:pt idx="77">
                  <c:v>56.9906526195672</c:v>
                </c:pt>
                <c:pt idx="78">
                  <c:v>54.479908859643096</c:v>
                </c:pt>
                <c:pt idx="79">
                  <c:v>52.308315852812804</c:v>
                </c:pt>
                <c:pt idx="80">
                  <c:v>84.614907967869101</c:v>
                </c:pt>
                <c:pt idx="81">
                  <c:v>88.288444843821907</c:v>
                </c:pt>
                <c:pt idx="82">
                  <c:v>80.134896288897707</c:v>
                </c:pt>
                <c:pt idx="83">
                  <c:v>82.586094536746998</c:v>
                </c:pt>
                <c:pt idx="84">
                  <c:v>83.402997451217701</c:v>
                </c:pt>
                <c:pt idx="85">
                  <c:v>67.915213099156688</c:v>
                </c:pt>
                <c:pt idx="86">
                  <c:v>64.506809465209415</c:v>
                </c:pt>
                <c:pt idx="87">
                  <c:v>64.168750169955501</c:v>
                </c:pt>
                <c:pt idx="88">
                  <c:v>65.061007410322304</c:v>
                </c:pt>
                <c:pt idx="89">
                  <c:v>63.957449031776193</c:v>
                </c:pt>
                <c:pt idx="90">
                  <c:v>65.231822598803305</c:v>
                </c:pt>
                <c:pt idx="91">
                  <c:v>73.157054818560496</c:v>
                </c:pt>
                <c:pt idx="92">
                  <c:v>72.633227390732813</c:v>
                </c:pt>
                <c:pt idx="93">
                  <c:v>76.227439190520101</c:v>
                </c:pt>
                <c:pt idx="94">
                  <c:v>70.656381232925895</c:v>
                </c:pt>
                <c:pt idx="95">
                  <c:v>64.384825208113512</c:v>
                </c:pt>
                <c:pt idx="96">
                  <c:v>59.468712983085496</c:v>
                </c:pt>
                <c:pt idx="97">
                  <c:v>48.5740912795738</c:v>
                </c:pt>
                <c:pt idx="98">
                  <c:v>78.396076001900198</c:v>
                </c:pt>
                <c:pt idx="99">
                  <c:v>80.686907233818701</c:v>
                </c:pt>
                <c:pt idx="100">
                  <c:v>68.428186530917102</c:v>
                </c:pt>
                <c:pt idx="101">
                  <c:v>64.620642459236109</c:v>
                </c:pt>
                <c:pt idx="102">
                  <c:v>67.870533097900804</c:v>
                </c:pt>
                <c:pt idx="103">
                  <c:v>60.195117110578309</c:v>
                </c:pt>
                <c:pt idx="104">
                  <c:v>6.0407409014403193</c:v>
                </c:pt>
                <c:pt idx="105">
                  <c:v>7.7030908162414606</c:v>
                </c:pt>
                <c:pt idx="106">
                  <c:v>5.2919293088535895</c:v>
                </c:pt>
                <c:pt idx="107">
                  <c:v>4.0472171675786903</c:v>
                </c:pt>
                <c:pt idx="108">
                  <c:v>4.4019699975498305</c:v>
                </c:pt>
                <c:pt idx="109">
                  <c:v>3.6937573341124006</c:v>
                </c:pt>
                <c:pt idx="110">
                  <c:v>14.108185093685998</c:v>
                </c:pt>
                <c:pt idx="111">
                  <c:v>18.769661502414401</c:v>
                </c:pt>
                <c:pt idx="112">
                  <c:v>24.174228242966301</c:v>
                </c:pt>
                <c:pt idx="113">
                  <c:v>5.2882857966789008</c:v>
                </c:pt>
                <c:pt idx="114">
                  <c:v>47.295207534049098</c:v>
                </c:pt>
                <c:pt idx="115">
                  <c:v>16.1574901122023</c:v>
                </c:pt>
                <c:pt idx="116">
                  <c:v>9.1207422919614984</c:v>
                </c:pt>
                <c:pt idx="117">
                  <c:v>11.211659718196451</c:v>
                </c:pt>
                <c:pt idx="118">
                  <c:v>7.3741286343498906</c:v>
                </c:pt>
                <c:pt idx="119">
                  <c:v>5.2952279411862904</c:v>
                </c:pt>
                <c:pt idx="120">
                  <c:v>4.4943223214589194</c:v>
                </c:pt>
                <c:pt idx="121">
                  <c:v>2.6069232917294496</c:v>
                </c:pt>
                <c:pt idx="122">
                  <c:v>9.4390215135893012</c:v>
                </c:pt>
                <c:pt idx="123">
                  <c:v>15.863657567297098</c:v>
                </c:pt>
                <c:pt idx="124">
                  <c:v>12.073378651404001</c:v>
                </c:pt>
                <c:pt idx="125">
                  <c:v>13.455069610254299</c:v>
                </c:pt>
                <c:pt idx="126">
                  <c:v>15.1836456926127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'12.5 cost and mtm cap10%'!$D$1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'12.5 cost and mtm cap10%'!$A$2:$A$128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cost and mtm cap10%'!$D$2:$D$128</c:f>
              <c:numCache>
                <c:formatCode>General</c:formatCode>
                <c:ptCount val="127"/>
                <c:pt idx="0">
                  <c:v>30.43</c:v>
                </c:pt>
                <c:pt idx="1">
                  <c:v>34.19</c:v>
                </c:pt>
                <c:pt idx="2">
                  <c:v>29.65</c:v>
                </c:pt>
                <c:pt idx="3">
                  <c:v>28.57</c:v>
                </c:pt>
                <c:pt idx="4">
                  <c:v>22.67</c:v>
                </c:pt>
                <c:pt idx="5">
                  <c:v>25.51</c:v>
                </c:pt>
                <c:pt idx="6">
                  <c:v>27.36</c:v>
                </c:pt>
                <c:pt idx="7">
                  <c:v>20.46</c:v>
                </c:pt>
                <c:pt idx="8">
                  <c:v>38.380000000000003</c:v>
                </c:pt>
                <c:pt idx="9">
                  <c:v>70.73</c:v>
                </c:pt>
                <c:pt idx="10">
                  <c:v>73.040000000000006</c:v>
                </c:pt>
                <c:pt idx="11">
                  <c:v>75.78</c:v>
                </c:pt>
                <c:pt idx="12">
                  <c:v>76.819999999999993</c:v>
                </c:pt>
                <c:pt idx="13">
                  <c:v>67.739999999999995</c:v>
                </c:pt>
                <c:pt idx="14">
                  <c:v>63.98</c:v>
                </c:pt>
                <c:pt idx="15">
                  <c:v>60.86</c:v>
                </c:pt>
                <c:pt idx="16">
                  <c:v>54.22</c:v>
                </c:pt>
                <c:pt idx="17">
                  <c:v>56.48</c:v>
                </c:pt>
                <c:pt idx="18">
                  <c:v>45.76</c:v>
                </c:pt>
                <c:pt idx="19">
                  <c:v>42.56</c:v>
                </c:pt>
                <c:pt idx="20">
                  <c:v>44.06</c:v>
                </c:pt>
                <c:pt idx="21">
                  <c:v>51.65</c:v>
                </c:pt>
                <c:pt idx="22">
                  <c:v>48.14</c:v>
                </c:pt>
                <c:pt idx="23">
                  <c:v>48.77</c:v>
                </c:pt>
                <c:pt idx="24">
                  <c:v>41.79</c:v>
                </c:pt>
                <c:pt idx="25">
                  <c:v>45.34</c:v>
                </c:pt>
                <c:pt idx="26">
                  <c:v>53.9</c:v>
                </c:pt>
                <c:pt idx="27">
                  <c:v>61.49</c:v>
                </c:pt>
                <c:pt idx="28">
                  <c:v>58.42</c:v>
                </c:pt>
                <c:pt idx="29">
                  <c:v>61.22</c:v>
                </c:pt>
                <c:pt idx="30">
                  <c:v>61.42</c:v>
                </c:pt>
                <c:pt idx="31">
                  <c:v>55.3</c:v>
                </c:pt>
                <c:pt idx="32">
                  <c:v>49.67</c:v>
                </c:pt>
                <c:pt idx="33">
                  <c:v>48.29</c:v>
                </c:pt>
                <c:pt idx="34">
                  <c:v>41.33</c:v>
                </c:pt>
                <c:pt idx="35">
                  <c:v>43.31</c:v>
                </c:pt>
                <c:pt idx="36">
                  <c:v>42.58</c:v>
                </c:pt>
                <c:pt idx="37">
                  <c:v>41.87</c:v>
                </c:pt>
                <c:pt idx="38">
                  <c:v>40.26</c:v>
                </c:pt>
                <c:pt idx="39">
                  <c:v>35.049999999999997</c:v>
                </c:pt>
                <c:pt idx="40">
                  <c:v>36.049999999999997</c:v>
                </c:pt>
                <c:pt idx="41">
                  <c:v>37.340000000000003</c:v>
                </c:pt>
                <c:pt idx="42">
                  <c:v>31.82</c:v>
                </c:pt>
                <c:pt idx="43">
                  <c:v>32.67</c:v>
                </c:pt>
                <c:pt idx="44">
                  <c:v>41.41</c:v>
                </c:pt>
                <c:pt idx="45">
                  <c:v>43.99</c:v>
                </c:pt>
                <c:pt idx="46">
                  <c:v>33.4</c:v>
                </c:pt>
                <c:pt idx="47">
                  <c:v>37.200000000000003</c:v>
                </c:pt>
                <c:pt idx="48">
                  <c:v>42.38</c:v>
                </c:pt>
                <c:pt idx="49">
                  <c:v>53.22</c:v>
                </c:pt>
                <c:pt idx="50">
                  <c:v>74.19</c:v>
                </c:pt>
                <c:pt idx="51">
                  <c:v>78.95</c:v>
                </c:pt>
                <c:pt idx="52">
                  <c:v>74.56</c:v>
                </c:pt>
                <c:pt idx="53">
                  <c:v>77.53</c:v>
                </c:pt>
                <c:pt idx="54">
                  <c:v>87.22</c:v>
                </c:pt>
                <c:pt idx="55">
                  <c:v>92.87</c:v>
                </c:pt>
                <c:pt idx="56">
                  <c:v>94.5</c:v>
                </c:pt>
                <c:pt idx="57">
                  <c:v>96.07</c:v>
                </c:pt>
                <c:pt idx="58">
                  <c:v>92.63</c:v>
                </c:pt>
                <c:pt idx="59">
                  <c:v>89.15</c:v>
                </c:pt>
                <c:pt idx="60">
                  <c:v>91.76</c:v>
                </c:pt>
                <c:pt idx="61">
                  <c:v>89.97</c:v>
                </c:pt>
                <c:pt idx="62">
                  <c:v>88.11</c:v>
                </c:pt>
                <c:pt idx="63">
                  <c:v>84.2</c:v>
                </c:pt>
                <c:pt idx="64">
                  <c:v>82.4</c:v>
                </c:pt>
                <c:pt idx="65">
                  <c:v>87.32</c:v>
                </c:pt>
                <c:pt idx="66">
                  <c:v>88.32</c:v>
                </c:pt>
                <c:pt idx="67">
                  <c:v>88.11</c:v>
                </c:pt>
                <c:pt idx="68">
                  <c:v>87.91</c:v>
                </c:pt>
                <c:pt idx="69">
                  <c:v>83.43</c:v>
                </c:pt>
                <c:pt idx="70">
                  <c:v>82.8</c:v>
                </c:pt>
                <c:pt idx="71">
                  <c:v>73.959999999999994</c:v>
                </c:pt>
                <c:pt idx="72">
                  <c:v>55.51</c:v>
                </c:pt>
                <c:pt idx="73">
                  <c:v>56.99</c:v>
                </c:pt>
                <c:pt idx="74">
                  <c:v>54.58</c:v>
                </c:pt>
                <c:pt idx="75">
                  <c:v>52.21</c:v>
                </c:pt>
                <c:pt idx="76">
                  <c:v>53.7</c:v>
                </c:pt>
                <c:pt idx="77">
                  <c:v>51.17</c:v>
                </c:pt>
                <c:pt idx="78">
                  <c:v>58.86</c:v>
                </c:pt>
                <c:pt idx="79">
                  <c:v>61.73</c:v>
                </c:pt>
                <c:pt idx="80">
                  <c:v>82.68</c:v>
                </c:pt>
                <c:pt idx="81">
                  <c:v>90.03</c:v>
                </c:pt>
                <c:pt idx="82">
                  <c:v>87.26</c:v>
                </c:pt>
                <c:pt idx="83">
                  <c:v>81.67</c:v>
                </c:pt>
                <c:pt idx="84">
                  <c:v>73.11</c:v>
                </c:pt>
                <c:pt idx="85">
                  <c:v>69.709999999999994</c:v>
                </c:pt>
                <c:pt idx="86">
                  <c:v>66.47</c:v>
                </c:pt>
                <c:pt idx="87">
                  <c:v>58.49</c:v>
                </c:pt>
                <c:pt idx="88">
                  <c:v>66.790000000000006</c:v>
                </c:pt>
                <c:pt idx="89">
                  <c:v>66.66</c:v>
                </c:pt>
                <c:pt idx="90">
                  <c:v>66.41</c:v>
                </c:pt>
                <c:pt idx="91">
                  <c:v>71.17</c:v>
                </c:pt>
                <c:pt idx="92">
                  <c:v>75.5</c:v>
                </c:pt>
                <c:pt idx="93">
                  <c:v>74.290000000000006</c:v>
                </c:pt>
                <c:pt idx="94">
                  <c:v>70.790000000000006</c:v>
                </c:pt>
                <c:pt idx="95">
                  <c:v>65.89</c:v>
                </c:pt>
                <c:pt idx="96">
                  <c:v>66.95</c:v>
                </c:pt>
                <c:pt idx="97">
                  <c:v>24.63</c:v>
                </c:pt>
                <c:pt idx="98">
                  <c:v>74.86</c:v>
                </c:pt>
                <c:pt idx="99">
                  <c:v>81.87</c:v>
                </c:pt>
                <c:pt idx="100">
                  <c:v>70.3</c:v>
                </c:pt>
                <c:pt idx="101">
                  <c:v>58.21</c:v>
                </c:pt>
                <c:pt idx="102">
                  <c:v>69.290000000000006</c:v>
                </c:pt>
                <c:pt idx="103">
                  <c:v>47</c:v>
                </c:pt>
                <c:pt idx="104">
                  <c:v>6.33</c:v>
                </c:pt>
                <c:pt idx="105">
                  <c:v>6.13</c:v>
                </c:pt>
                <c:pt idx="106">
                  <c:v>8.9700000000000006</c:v>
                </c:pt>
                <c:pt idx="107">
                  <c:v>3.32</c:v>
                </c:pt>
                <c:pt idx="108">
                  <c:v>4</c:v>
                </c:pt>
                <c:pt idx="109">
                  <c:v>5.29</c:v>
                </c:pt>
                <c:pt idx="110">
                  <c:v>10.83</c:v>
                </c:pt>
                <c:pt idx="111">
                  <c:v>17.63</c:v>
                </c:pt>
                <c:pt idx="112">
                  <c:v>19.190000000000001</c:v>
                </c:pt>
                <c:pt idx="113">
                  <c:v>26.38</c:v>
                </c:pt>
                <c:pt idx="114">
                  <c:v>38.49</c:v>
                </c:pt>
                <c:pt idx="115">
                  <c:v>16.16</c:v>
                </c:pt>
                <c:pt idx="116">
                  <c:v>11.53</c:v>
                </c:pt>
                <c:pt idx="117">
                  <c:v>7.55</c:v>
                </c:pt>
                <c:pt idx="118">
                  <c:v>7.52</c:v>
                </c:pt>
                <c:pt idx="119">
                  <c:v>5.49</c:v>
                </c:pt>
                <c:pt idx="120">
                  <c:v>4.1900000000000004</c:v>
                </c:pt>
                <c:pt idx="121">
                  <c:v>4.6399999999999997</c:v>
                </c:pt>
                <c:pt idx="122">
                  <c:v>11.53</c:v>
                </c:pt>
                <c:pt idx="123">
                  <c:v>13.59</c:v>
                </c:pt>
                <c:pt idx="124">
                  <c:v>15.08</c:v>
                </c:pt>
                <c:pt idx="125">
                  <c:v>11.02</c:v>
                </c:pt>
                <c:pt idx="126">
                  <c:v>13.28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04448"/>
        <c:axId val="153310336"/>
      </c:lineChart>
      <c:dateAx>
        <c:axId val="1533044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3310336"/>
        <c:crosses val="autoZero"/>
        <c:auto val="1"/>
        <c:lblOffset val="100"/>
        <c:baseTimeUnit val="months"/>
      </c:dateAx>
      <c:valAx>
        <c:axId val="15331033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15330444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12.5bps'!$C$1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12.5bps'!$A$2:$A$128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12.5bps'!$C$2:$C$128</c:f>
              <c:numCache>
                <c:formatCode>0.00</c:formatCode>
                <c:ptCount val="127"/>
                <c:pt idx="0">
                  <c:v>41.960889769449402</c:v>
                </c:pt>
                <c:pt idx="1">
                  <c:v>50.189838928182397</c:v>
                </c:pt>
                <c:pt idx="2">
                  <c:v>37.6613722654727</c:v>
                </c:pt>
                <c:pt idx="3">
                  <c:v>32.882839453693201</c:v>
                </c:pt>
                <c:pt idx="4">
                  <c:v>30.872830549124</c:v>
                </c:pt>
                <c:pt idx="5">
                  <c:v>29.926049681611399</c:v>
                </c:pt>
                <c:pt idx="6">
                  <c:v>34.724693621134797</c:v>
                </c:pt>
                <c:pt idx="7">
                  <c:v>56.095981662475701</c:v>
                </c:pt>
                <c:pt idx="8">
                  <c:v>85.831037837818002</c:v>
                </c:pt>
                <c:pt idx="9">
                  <c:v>85.549620347620902</c:v>
                </c:pt>
                <c:pt idx="10">
                  <c:v>84.816687433661002</c:v>
                </c:pt>
                <c:pt idx="11">
                  <c:v>85.447534953628406</c:v>
                </c:pt>
                <c:pt idx="12">
                  <c:v>79.559422842016801</c:v>
                </c:pt>
                <c:pt idx="13">
                  <c:v>82.059405411264507</c:v>
                </c:pt>
                <c:pt idx="14">
                  <c:v>82.673273395177304</c:v>
                </c:pt>
                <c:pt idx="15">
                  <c:v>73.753162248169403</c:v>
                </c:pt>
                <c:pt idx="16">
                  <c:v>72.682690524260806</c:v>
                </c:pt>
                <c:pt idx="17">
                  <c:v>51.209323992448603</c:v>
                </c:pt>
                <c:pt idx="18">
                  <c:v>58.484772764043598</c:v>
                </c:pt>
                <c:pt idx="19">
                  <c:v>57.565169535090199</c:v>
                </c:pt>
                <c:pt idx="20">
                  <c:v>63.989652059751997</c:v>
                </c:pt>
                <c:pt idx="21">
                  <c:v>54.070639143810197</c:v>
                </c:pt>
                <c:pt idx="22">
                  <c:v>55.598147548238899</c:v>
                </c:pt>
                <c:pt idx="23">
                  <c:v>50.9380497312766</c:v>
                </c:pt>
                <c:pt idx="24">
                  <c:v>49.872942557615801</c:v>
                </c:pt>
                <c:pt idx="25">
                  <c:v>68.148286476308797</c:v>
                </c:pt>
                <c:pt idx="26">
                  <c:v>74.973696989625694</c:v>
                </c:pt>
                <c:pt idx="27">
                  <c:v>65.177079279586295</c:v>
                </c:pt>
                <c:pt idx="28">
                  <c:v>79.094768674405401</c:v>
                </c:pt>
                <c:pt idx="29">
                  <c:v>76.5950648840779</c:v>
                </c:pt>
                <c:pt idx="30">
                  <c:v>59.676523034375798</c:v>
                </c:pt>
                <c:pt idx="31">
                  <c:v>64.781083818144296</c:v>
                </c:pt>
                <c:pt idx="32">
                  <c:v>57.506259284996702</c:v>
                </c:pt>
                <c:pt idx="33">
                  <c:v>51.186055320313102</c:v>
                </c:pt>
                <c:pt idx="34">
                  <c:v>49.576849657509698</c:v>
                </c:pt>
                <c:pt idx="35">
                  <c:v>51.336574045536899</c:v>
                </c:pt>
                <c:pt idx="36">
                  <c:v>52.926313289934299</c:v>
                </c:pt>
                <c:pt idx="37">
                  <c:v>54.180257319778399</c:v>
                </c:pt>
                <c:pt idx="38">
                  <c:v>49.739267836185398</c:v>
                </c:pt>
                <c:pt idx="39">
                  <c:v>49.646633051268402</c:v>
                </c:pt>
                <c:pt idx="40">
                  <c:v>48.436143660244298</c:v>
                </c:pt>
                <c:pt idx="41">
                  <c:v>42.258965958626597</c:v>
                </c:pt>
                <c:pt idx="42">
                  <c:v>42.697775683193498</c:v>
                </c:pt>
                <c:pt idx="43">
                  <c:v>46.396952246755603</c:v>
                </c:pt>
                <c:pt idx="44">
                  <c:v>56.994003887972703</c:v>
                </c:pt>
                <c:pt idx="45">
                  <c:v>39.703301684450501</c:v>
                </c:pt>
                <c:pt idx="46">
                  <c:v>40.093240113705903</c:v>
                </c:pt>
                <c:pt idx="47">
                  <c:v>44.394129618624397</c:v>
                </c:pt>
                <c:pt idx="48">
                  <c:v>51.730726984164299</c:v>
                </c:pt>
                <c:pt idx="49">
                  <c:v>80.793119427483504</c:v>
                </c:pt>
                <c:pt idx="50">
                  <c:v>81.288947065765697</c:v>
                </c:pt>
                <c:pt idx="51">
                  <c:v>75.128141185851604</c:v>
                </c:pt>
                <c:pt idx="52">
                  <c:v>85.649525793689193</c:v>
                </c:pt>
                <c:pt idx="53">
                  <c:v>89.833638686064404</c:v>
                </c:pt>
                <c:pt idx="54">
                  <c:v>90.257434638186396</c:v>
                </c:pt>
                <c:pt idx="55">
                  <c:v>92.418575141191695</c:v>
                </c:pt>
                <c:pt idx="56">
                  <c:v>94.491607101944396</c:v>
                </c:pt>
                <c:pt idx="57">
                  <c:v>95.512411951907097</c:v>
                </c:pt>
                <c:pt idx="58">
                  <c:v>90.366255627846201</c:v>
                </c:pt>
                <c:pt idx="59">
                  <c:v>98.410383628596193</c:v>
                </c:pt>
                <c:pt idx="60">
                  <c:v>97.877311852560396</c:v>
                </c:pt>
                <c:pt idx="61">
                  <c:v>94.117331055428906</c:v>
                </c:pt>
                <c:pt idx="62">
                  <c:v>91.038546345202903</c:v>
                </c:pt>
                <c:pt idx="63">
                  <c:v>90.438724305279393</c:v>
                </c:pt>
                <c:pt idx="64">
                  <c:v>93.570815591603605</c:v>
                </c:pt>
                <c:pt idx="65">
                  <c:v>95.301449060933805</c:v>
                </c:pt>
                <c:pt idx="66">
                  <c:v>94.2370939614961</c:v>
                </c:pt>
                <c:pt idx="67">
                  <c:v>95.806109511697599</c:v>
                </c:pt>
                <c:pt idx="68">
                  <c:v>90.456933935821496</c:v>
                </c:pt>
                <c:pt idx="69">
                  <c:v>90.817251317137504</c:v>
                </c:pt>
                <c:pt idx="70">
                  <c:v>88.768028172782294</c:v>
                </c:pt>
                <c:pt idx="71">
                  <c:v>83.609145226209904</c:v>
                </c:pt>
                <c:pt idx="72">
                  <c:v>82.316674292023507</c:v>
                </c:pt>
                <c:pt idx="73">
                  <c:v>71.445476481164903</c:v>
                </c:pt>
                <c:pt idx="74">
                  <c:v>58.793233731804598</c:v>
                </c:pt>
                <c:pt idx="75">
                  <c:v>59.396109989000202</c:v>
                </c:pt>
                <c:pt idx="76">
                  <c:v>54.483481061029202</c:v>
                </c:pt>
                <c:pt idx="77">
                  <c:v>63.989284422546703</c:v>
                </c:pt>
                <c:pt idx="78">
                  <c:v>63.967834571407003</c:v>
                </c:pt>
                <c:pt idx="79">
                  <c:v>88.316157943218599</c:v>
                </c:pt>
                <c:pt idx="80">
                  <c:v>93.548730664992505</c:v>
                </c:pt>
                <c:pt idx="81">
                  <c:v>91.885831497871607</c:v>
                </c:pt>
                <c:pt idx="82">
                  <c:v>94.256130660967898</c:v>
                </c:pt>
                <c:pt idx="83">
                  <c:v>93.730801216456499</c:v>
                </c:pt>
                <c:pt idx="84">
                  <c:v>72.570726199612196</c:v>
                </c:pt>
                <c:pt idx="85">
                  <c:v>72.677808994861195</c:v>
                </c:pt>
                <c:pt idx="86">
                  <c:v>61.584871892153203</c:v>
                </c:pt>
                <c:pt idx="87">
                  <c:v>70.388059792835506</c:v>
                </c:pt>
                <c:pt idx="88">
                  <c:v>71.743523253742694</c:v>
                </c:pt>
                <c:pt idx="89">
                  <c:v>74.169498997379094</c:v>
                </c:pt>
                <c:pt idx="90">
                  <c:v>77.497406962050803</c:v>
                </c:pt>
                <c:pt idx="91">
                  <c:v>78.010087725979304</c:v>
                </c:pt>
                <c:pt idx="92">
                  <c:v>75.972484255306597</c:v>
                </c:pt>
                <c:pt idx="93">
                  <c:v>78.491218089382102</c:v>
                </c:pt>
                <c:pt idx="94">
                  <c:v>77.025946300940802</c:v>
                </c:pt>
                <c:pt idx="95">
                  <c:v>67.294224780636</c:v>
                </c:pt>
                <c:pt idx="96">
                  <c:v>66.929132791450996</c:v>
                </c:pt>
                <c:pt idx="97">
                  <c:v>85.084159389774499</c:v>
                </c:pt>
                <c:pt idx="98">
                  <c:v>91.368461790770596</c:v>
                </c:pt>
                <c:pt idx="99">
                  <c:v>89.476022484668903</c:v>
                </c:pt>
                <c:pt idx="100">
                  <c:v>88.196688200873595</c:v>
                </c:pt>
                <c:pt idx="101">
                  <c:v>95.801184897050405</c:v>
                </c:pt>
                <c:pt idx="102">
                  <c:v>88.704583754067301</c:v>
                </c:pt>
                <c:pt idx="103">
                  <c:v>25.112539995186999</c:v>
                </c:pt>
                <c:pt idx="104">
                  <c:v>32.247446493251601</c:v>
                </c:pt>
                <c:pt idx="105">
                  <c:v>37.9995934315697</c:v>
                </c:pt>
                <c:pt idx="106">
                  <c:v>10.2011747382601</c:v>
                </c:pt>
                <c:pt idx="107">
                  <c:v>15.5394279549731</c:v>
                </c:pt>
                <c:pt idx="108">
                  <c:v>23.329393141078899</c:v>
                </c:pt>
                <c:pt idx="109">
                  <c:v>34.743941110538898</c:v>
                </c:pt>
                <c:pt idx="110">
                  <c:v>42.704425193732597</c:v>
                </c:pt>
                <c:pt idx="111">
                  <c:v>45.360700008040901</c:v>
                </c:pt>
                <c:pt idx="112">
                  <c:v>43.339879273158203</c:v>
                </c:pt>
                <c:pt idx="113">
                  <c:v>70.400441774824202</c:v>
                </c:pt>
                <c:pt idx="114">
                  <c:v>40.5384319472534</c:v>
                </c:pt>
                <c:pt idx="115">
                  <c:v>31.207303555751501</c:v>
                </c:pt>
                <c:pt idx="116">
                  <c:v>24.534616872896901</c:v>
                </c:pt>
                <c:pt idx="117">
                  <c:v>14.014194350091399</c:v>
                </c:pt>
                <c:pt idx="118">
                  <c:v>11.293280635077499</c:v>
                </c:pt>
                <c:pt idx="119">
                  <c:v>7.5350589178715</c:v>
                </c:pt>
                <c:pt idx="120">
                  <c:v>6.4629386124095403</c:v>
                </c:pt>
                <c:pt idx="121">
                  <c:v>30.081332795243501</c:v>
                </c:pt>
                <c:pt idx="122">
                  <c:v>24.7164299659185</c:v>
                </c:pt>
                <c:pt idx="123">
                  <c:v>22.391232268710102</c:v>
                </c:pt>
                <c:pt idx="124">
                  <c:v>28.164795603972301</c:v>
                </c:pt>
                <c:pt idx="125">
                  <c:v>28.011812734814601</c:v>
                </c:pt>
                <c:pt idx="126">
                  <c:v>35.565954996701798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12.5bps'!$D$1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12.5bps'!$A$2:$A$128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12.5bps'!$D$2:$D$128</c:f>
              <c:numCache>
                <c:formatCode>0.00</c:formatCode>
                <c:ptCount val="127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28256"/>
        <c:axId val="153334144"/>
      </c:lineChart>
      <c:dateAx>
        <c:axId val="1533282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3334144"/>
        <c:crosses val="autoZero"/>
        <c:auto val="1"/>
        <c:lblOffset val="100"/>
        <c:baseTimeUnit val="months"/>
      </c:dateAx>
      <c:valAx>
        <c:axId val="15333414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15332825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Step, and LLPA/PMI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 bps-with cost'!$C$1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12.5 bps-with cost'!$A$2:$A$128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'Tracking 12.5 bps-with cost'!$C$2:$C$128</c:f>
              <c:numCache>
                <c:formatCode>General</c:formatCode>
                <c:ptCount val="127"/>
                <c:pt idx="0">
                  <c:v>35.504027677864997</c:v>
                </c:pt>
                <c:pt idx="1">
                  <c:v>45.023363875282897</c:v>
                </c:pt>
                <c:pt idx="2">
                  <c:v>37.658781561924897</c:v>
                </c:pt>
                <c:pt idx="3">
                  <c:v>30.976540728226801</c:v>
                </c:pt>
                <c:pt idx="4">
                  <c:v>20.154509155405901</c:v>
                </c:pt>
                <c:pt idx="5">
                  <c:v>18.927512291761399</c:v>
                </c:pt>
                <c:pt idx="6">
                  <c:v>29.716300990502099</c:v>
                </c:pt>
                <c:pt idx="7">
                  <c:v>19.176449861810699</c:v>
                </c:pt>
                <c:pt idx="8">
                  <c:v>41.384278401925201</c:v>
                </c:pt>
                <c:pt idx="9">
                  <c:v>70.326861542819898</c:v>
                </c:pt>
                <c:pt idx="10">
                  <c:v>71.103151642762995</c:v>
                </c:pt>
                <c:pt idx="11">
                  <c:v>76.851061239540698</c:v>
                </c:pt>
                <c:pt idx="12">
                  <c:v>76.769776870486098</c:v>
                </c:pt>
                <c:pt idx="13">
                  <c:v>79.247255218507604</c:v>
                </c:pt>
                <c:pt idx="14">
                  <c:v>75.032364665052398</c:v>
                </c:pt>
                <c:pt idx="15">
                  <c:v>75.945233130813904</c:v>
                </c:pt>
                <c:pt idx="16">
                  <c:v>62.721068874800501</c:v>
                </c:pt>
                <c:pt idx="17">
                  <c:v>62.821248081554202</c:v>
                </c:pt>
                <c:pt idx="18">
                  <c:v>47.401272476665397</c:v>
                </c:pt>
                <c:pt idx="19">
                  <c:v>44.452218791619202</c:v>
                </c:pt>
                <c:pt idx="20">
                  <c:v>44.8291243148877</c:v>
                </c:pt>
                <c:pt idx="21">
                  <c:v>51.092346734643399</c:v>
                </c:pt>
                <c:pt idx="22">
                  <c:v>49.662435099401399</c:v>
                </c:pt>
                <c:pt idx="23">
                  <c:v>50.361096361937598</c:v>
                </c:pt>
                <c:pt idx="24">
                  <c:v>47.660167833666101</c:v>
                </c:pt>
                <c:pt idx="25">
                  <c:v>50.512301657422498</c:v>
                </c:pt>
                <c:pt idx="26">
                  <c:v>57.346838855494099</c:v>
                </c:pt>
                <c:pt idx="27">
                  <c:v>69.515935448741999</c:v>
                </c:pt>
                <c:pt idx="28">
                  <c:v>61.679256179586901</c:v>
                </c:pt>
                <c:pt idx="29">
                  <c:v>67.483782064287396</c:v>
                </c:pt>
                <c:pt idx="30">
                  <c:v>72.605361949306101</c:v>
                </c:pt>
                <c:pt idx="31">
                  <c:v>61.159880294372797</c:v>
                </c:pt>
                <c:pt idx="32">
                  <c:v>58.835360141874901</c:v>
                </c:pt>
                <c:pt idx="33">
                  <c:v>60.184097627371102</c:v>
                </c:pt>
                <c:pt idx="34">
                  <c:v>45.8021608324974</c:v>
                </c:pt>
                <c:pt idx="35">
                  <c:v>53.5877743963105</c:v>
                </c:pt>
                <c:pt idx="36">
                  <c:v>45.781203450659099</c:v>
                </c:pt>
                <c:pt idx="37">
                  <c:v>47.651624105965098</c:v>
                </c:pt>
                <c:pt idx="38">
                  <c:v>49.608540838935703</c:v>
                </c:pt>
                <c:pt idx="39">
                  <c:v>39.3060490064302</c:v>
                </c:pt>
                <c:pt idx="40">
                  <c:v>39.922075413212802</c:v>
                </c:pt>
                <c:pt idx="41">
                  <c:v>42.304220818241198</c:v>
                </c:pt>
                <c:pt idx="42">
                  <c:v>38.9952619571512</c:v>
                </c:pt>
                <c:pt idx="43">
                  <c:v>39.5770811054565</c:v>
                </c:pt>
                <c:pt idx="44">
                  <c:v>40.2354580514844</c:v>
                </c:pt>
                <c:pt idx="45">
                  <c:v>41.423399038721698</c:v>
                </c:pt>
                <c:pt idx="46">
                  <c:v>40.054376314447502</c:v>
                </c:pt>
                <c:pt idx="47">
                  <c:v>41.055625487002203</c:v>
                </c:pt>
                <c:pt idx="48">
                  <c:v>40.550338827333498</c:v>
                </c:pt>
                <c:pt idx="49">
                  <c:v>54.102717617136904</c:v>
                </c:pt>
                <c:pt idx="50">
                  <c:v>73.206321990506197</c:v>
                </c:pt>
                <c:pt idx="51">
                  <c:v>81.364213812245197</c:v>
                </c:pt>
                <c:pt idx="52">
                  <c:v>69.733425445025304</c:v>
                </c:pt>
                <c:pt idx="53">
                  <c:v>71.728960409024396</c:v>
                </c:pt>
                <c:pt idx="54">
                  <c:v>87.501624836335594</c:v>
                </c:pt>
                <c:pt idx="55">
                  <c:v>89.435249505040602</c:v>
                </c:pt>
                <c:pt idx="56">
                  <c:v>91.664557512913404</c:v>
                </c:pt>
                <c:pt idx="57">
                  <c:v>93.216551578397898</c:v>
                </c:pt>
                <c:pt idx="58">
                  <c:v>88.979291733926004</c:v>
                </c:pt>
                <c:pt idx="59">
                  <c:v>93.421854414379297</c:v>
                </c:pt>
                <c:pt idx="60">
                  <c:v>93.799454707184097</c:v>
                </c:pt>
                <c:pt idx="61">
                  <c:v>90.277820394927303</c:v>
                </c:pt>
                <c:pt idx="62">
                  <c:v>89.6467500831791</c:v>
                </c:pt>
                <c:pt idx="63">
                  <c:v>89.263063232224496</c:v>
                </c:pt>
                <c:pt idx="64">
                  <c:v>83.593654272108196</c:v>
                </c:pt>
                <c:pt idx="65">
                  <c:v>84.071646333224294</c:v>
                </c:pt>
                <c:pt idx="66">
                  <c:v>85.523497036947603</c:v>
                </c:pt>
                <c:pt idx="67">
                  <c:v>87.549139323265294</c:v>
                </c:pt>
                <c:pt idx="68">
                  <c:v>89.652384492971095</c:v>
                </c:pt>
                <c:pt idx="69">
                  <c:v>84.078812987070407</c:v>
                </c:pt>
                <c:pt idx="70">
                  <c:v>90.414021776566202</c:v>
                </c:pt>
                <c:pt idx="71">
                  <c:v>78.858933412077903</c:v>
                </c:pt>
                <c:pt idx="72">
                  <c:v>51.395598700740003</c:v>
                </c:pt>
                <c:pt idx="73">
                  <c:v>51.542533666466298</c:v>
                </c:pt>
                <c:pt idx="74">
                  <c:v>52.500686646884603</c:v>
                </c:pt>
                <c:pt idx="75">
                  <c:v>46.817524570614196</c:v>
                </c:pt>
                <c:pt idx="76">
                  <c:v>47.603965537470401</c:v>
                </c:pt>
                <c:pt idx="77">
                  <c:v>46.9906526195672</c:v>
                </c:pt>
                <c:pt idx="78">
                  <c:v>47.584258400171002</c:v>
                </c:pt>
                <c:pt idx="79">
                  <c:v>54.834349540527903</c:v>
                </c:pt>
                <c:pt idx="80">
                  <c:v>85.206033687715106</c:v>
                </c:pt>
                <c:pt idx="81">
                  <c:v>90.621125719846006</c:v>
                </c:pt>
                <c:pt idx="82">
                  <c:v>89.592680876024104</c:v>
                </c:pt>
                <c:pt idx="83">
                  <c:v>91.127784587126399</c:v>
                </c:pt>
                <c:pt idx="84">
                  <c:v>81.651690050379401</c:v>
                </c:pt>
                <c:pt idx="85">
                  <c:v>67.958692599161694</c:v>
                </c:pt>
                <c:pt idx="86">
                  <c:v>66.513479500005005</c:v>
                </c:pt>
                <c:pt idx="87">
                  <c:v>60.496670034795599</c:v>
                </c:pt>
                <c:pt idx="88">
                  <c:v>63.117919864840097</c:v>
                </c:pt>
                <c:pt idx="89">
                  <c:v>64.716912454517797</c:v>
                </c:pt>
                <c:pt idx="90">
                  <c:v>67.1694634227416</c:v>
                </c:pt>
                <c:pt idx="91">
                  <c:v>73.107640823938297</c:v>
                </c:pt>
                <c:pt idx="92">
                  <c:v>75.450586005377801</c:v>
                </c:pt>
                <c:pt idx="93">
                  <c:v>77.107358614644994</c:v>
                </c:pt>
                <c:pt idx="94">
                  <c:v>71.669919424124899</c:v>
                </c:pt>
                <c:pt idx="95">
                  <c:v>66.903538191199004</c:v>
                </c:pt>
                <c:pt idx="96">
                  <c:v>69.468712983085496</c:v>
                </c:pt>
                <c:pt idx="97">
                  <c:v>58.5740912795738</c:v>
                </c:pt>
                <c:pt idx="98">
                  <c:v>85.341169766636</c:v>
                </c:pt>
                <c:pt idx="99">
                  <c:v>88.815093764735806</c:v>
                </c:pt>
                <c:pt idx="100">
                  <c:v>78.428186530917102</c:v>
                </c:pt>
                <c:pt idx="101">
                  <c:v>72.937073032558203</c:v>
                </c:pt>
                <c:pt idx="102">
                  <c:v>77.6064305733221</c:v>
                </c:pt>
                <c:pt idx="103">
                  <c:v>56.735897475421297</c:v>
                </c:pt>
                <c:pt idx="104">
                  <c:v>2.8707803648429899</c:v>
                </c:pt>
                <c:pt idx="105">
                  <c:v>2.9600394634026701</c:v>
                </c:pt>
                <c:pt idx="106">
                  <c:v>4.2269486471612101</c:v>
                </c:pt>
                <c:pt idx="107">
                  <c:v>2.25501933830762</c:v>
                </c:pt>
                <c:pt idx="108">
                  <c:v>2.2078021707289301</c:v>
                </c:pt>
                <c:pt idx="109">
                  <c:v>3.0958321731791001</c:v>
                </c:pt>
                <c:pt idx="110">
                  <c:v>10.2320748390667</c:v>
                </c:pt>
                <c:pt idx="111">
                  <c:v>13.7538897453807</c:v>
                </c:pt>
                <c:pt idx="112">
                  <c:v>14.174228242966301</c:v>
                </c:pt>
                <c:pt idx="113">
                  <c:v>14.788760676970201</c:v>
                </c:pt>
                <c:pt idx="114">
                  <c:v>47.990474880291302</c:v>
                </c:pt>
                <c:pt idx="115">
                  <c:v>16.855267346242201</c:v>
                </c:pt>
                <c:pt idx="116">
                  <c:v>12.2277772340399</c:v>
                </c:pt>
                <c:pt idx="117">
                  <c:v>10.657034942078401</c:v>
                </c:pt>
                <c:pt idx="118">
                  <c:v>6.9653752238819502</c:v>
                </c:pt>
                <c:pt idx="119">
                  <c:v>5.0812465895320598</c:v>
                </c:pt>
                <c:pt idx="120">
                  <c:v>3.9760186483457698</c:v>
                </c:pt>
                <c:pt idx="121">
                  <c:v>4.1216963268868501</c:v>
                </c:pt>
                <c:pt idx="122">
                  <c:v>13.0447730351574</c:v>
                </c:pt>
                <c:pt idx="123">
                  <c:v>17.195751521568098</c:v>
                </c:pt>
                <c:pt idx="124">
                  <c:v>16.412093954271</c:v>
                </c:pt>
                <c:pt idx="125">
                  <c:v>15.358715302866999</c:v>
                </c:pt>
                <c:pt idx="126">
                  <c:v>15.1836456926127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12.5 bps-with cost'!$D$1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12.5 bps-with cost'!$A$2:$A$128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'Tracking 12.5 bps-with cost'!$D$2:$D$128</c:f>
              <c:numCache>
                <c:formatCode>General</c:formatCode>
                <c:ptCount val="127"/>
                <c:pt idx="0">
                  <c:v>30.43</c:v>
                </c:pt>
                <c:pt idx="1">
                  <c:v>34.19</c:v>
                </c:pt>
                <c:pt idx="2">
                  <c:v>29.65</c:v>
                </c:pt>
                <c:pt idx="3">
                  <c:v>28.57</c:v>
                </c:pt>
                <c:pt idx="4">
                  <c:v>22.67</c:v>
                </c:pt>
                <c:pt idx="5">
                  <c:v>25.51</c:v>
                </c:pt>
                <c:pt idx="6">
                  <c:v>27.36</c:v>
                </c:pt>
                <c:pt idx="7">
                  <c:v>20.46</c:v>
                </c:pt>
                <c:pt idx="8">
                  <c:v>38.380000000000003</c:v>
                </c:pt>
                <c:pt idx="9">
                  <c:v>70.73</c:v>
                </c:pt>
                <c:pt idx="10">
                  <c:v>73.040000000000006</c:v>
                </c:pt>
                <c:pt idx="11">
                  <c:v>75.78</c:v>
                </c:pt>
                <c:pt idx="12">
                  <c:v>76.819999999999993</c:v>
                </c:pt>
                <c:pt idx="13">
                  <c:v>67.739999999999995</c:v>
                </c:pt>
                <c:pt idx="14">
                  <c:v>63.98</c:v>
                </c:pt>
                <c:pt idx="15">
                  <c:v>60.86</c:v>
                </c:pt>
                <c:pt idx="16">
                  <c:v>54.22</c:v>
                </c:pt>
                <c:pt idx="17">
                  <c:v>56.48</c:v>
                </c:pt>
                <c:pt idx="18">
                  <c:v>45.76</c:v>
                </c:pt>
                <c:pt idx="19">
                  <c:v>42.56</c:v>
                </c:pt>
                <c:pt idx="20">
                  <c:v>44.06</c:v>
                </c:pt>
                <c:pt idx="21">
                  <c:v>51.65</c:v>
                </c:pt>
                <c:pt idx="22">
                  <c:v>48.14</c:v>
                </c:pt>
                <c:pt idx="23">
                  <c:v>48.77</c:v>
                </c:pt>
                <c:pt idx="24">
                  <c:v>41.79</c:v>
                </c:pt>
                <c:pt idx="25">
                  <c:v>45.34</c:v>
                </c:pt>
                <c:pt idx="26">
                  <c:v>53.9</c:v>
                </c:pt>
                <c:pt idx="27">
                  <c:v>61.49</c:v>
                </c:pt>
                <c:pt idx="28">
                  <c:v>58.42</c:v>
                </c:pt>
                <c:pt idx="29">
                  <c:v>61.22</c:v>
                </c:pt>
                <c:pt idx="30">
                  <c:v>61.42</c:v>
                </c:pt>
                <c:pt idx="31">
                  <c:v>55.3</c:v>
                </c:pt>
                <c:pt idx="32">
                  <c:v>49.67</c:v>
                </c:pt>
                <c:pt idx="33">
                  <c:v>48.29</c:v>
                </c:pt>
                <c:pt idx="34">
                  <c:v>41.33</c:v>
                </c:pt>
                <c:pt idx="35">
                  <c:v>43.31</c:v>
                </c:pt>
                <c:pt idx="36">
                  <c:v>42.58</c:v>
                </c:pt>
                <c:pt idx="37">
                  <c:v>41.87</c:v>
                </c:pt>
                <c:pt idx="38">
                  <c:v>40.26</c:v>
                </c:pt>
                <c:pt idx="39">
                  <c:v>35.049999999999997</c:v>
                </c:pt>
                <c:pt idx="40">
                  <c:v>36.049999999999997</c:v>
                </c:pt>
                <c:pt idx="41">
                  <c:v>37.340000000000003</c:v>
                </c:pt>
                <c:pt idx="42">
                  <c:v>31.82</c:v>
                </c:pt>
                <c:pt idx="43">
                  <c:v>32.67</c:v>
                </c:pt>
                <c:pt idx="44">
                  <c:v>41.41</c:v>
                </c:pt>
                <c:pt idx="45">
                  <c:v>43.99</c:v>
                </c:pt>
                <c:pt idx="46">
                  <c:v>33.4</c:v>
                </c:pt>
                <c:pt idx="47">
                  <c:v>37.200000000000003</c:v>
                </c:pt>
                <c:pt idx="48">
                  <c:v>42.38</c:v>
                </c:pt>
                <c:pt idx="49">
                  <c:v>53.22</c:v>
                </c:pt>
                <c:pt idx="50">
                  <c:v>74.19</c:v>
                </c:pt>
                <c:pt idx="51">
                  <c:v>78.95</c:v>
                </c:pt>
                <c:pt idx="52">
                  <c:v>74.56</c:v>
                </c:pt>
                <c:pt idx="53">
                  <c:v>77.53</c:v>
                </c:pt>
                <c:pt idx="54">
                  <c:v>87.22</c:v>
                </c:pt>
                <c:pt idx="55">
                  <c:v>92.87</c:v>
                </c:pt>
                <c:pt idx="56">
                  <c:v>94.5</c:v>
                </c:pt>
                <c:pt idx="57">
                  <c:v>96.07</c:v>
                </c:pt>
                <c:pt idx="58">
                  <c:v>92.63</c:v>
                </c:pt>
                <c:pt idx="59">
                  <c:v>89.15</c:v>
                </c:pt>
                <c:pt idx="60">
                  <c:v>91.76</c:v>
                </c:pt>
                <c:pt idx="61">
                  <c:v>89.97</c:v>
                </c:pt>
                <c:pt idx="62">
                  <c:v>88.11</c:v>
                </c:pt>
                <c:pt idx="63">
                  <c:v>84.2</c:v>
                </c:pt>
                <c:pt idx="64">
                  <c:v>82.4</c:v>
                </c:pt>
                <c:pt idx="65">
                  <c:v>87.32</c:v>
                </c:pt>
                <c:pt idx="66">
                  <c:v>88.32</c:v>
                </c:pt>
                <c:pt idx="67">
                  <c:v>88.11</c:v>
                </c:pt>
                <c:pt idx="68">
                  <c:v>87.91</c:v>
                </c:pt>
                <c:pt idx="69">
                  <c:v>83.43</c:v>
                </c:pt>
                <c:pt idx="70">
                  <c:v>82.8</c:v>
                </c:pt>
                <c:pt idx="71">
                  <c:v>73.959999999999994</c:v>
                </c:pt>
                <c:pt idx="72">
                  <c:v>55.51</c:v>
                </c:pt>
                <c:pt idx="73">
                  <c:v>56.99</c:v>
                </c:pt>
                <c:pt idx="74">
                  <c:v>54.58</c:v>
                </c:pt>
                <c:pt idx="75">
                  <c:v>52.21</c:v>
                </c:pt>
                <c:pt idx="76">
                  <c:v>53.7</c:v>
                </c:pt>
                <c:pt idx="77">
                  <c:v>51.17</c:v>
                </c:pt>
                <c:pt idx="78">
                  <c:v>58.86</c:v>
                </c:pt>
                <c:pt idx="79">
                  <c:v>61.73</c:v>
                </c:pt>
                <c:pt idx="80">
                  <c:v>82.68</c:v>
                </c:pt>
                <c:pt idx="81">
                  <c:v>90.03</c:v>
                </c:pt>
                <c:pt idx="82">
                  <c:v>87.26</c:v>
                </c:pt>
                <c:pt idx="83">
                  <c:v>81.67</c:v>
                </c:pt>
                <c:pt idx="84">
                  <c:v>73.11</c:v>
                </c:pt>
                <c:pt idx="85">
                  <c:v>69.709999999999994</c:v>
                </c:pt>
                <c:pt idx="86">
                  <c:v>66.47</c:v>
                </c:pt>
                <c:pt idx="87">
                  <c:v>58.49</c:v>
                </c:pt>
                <c:pt idx="88">
                  <c:v>66.790000000000006</c:v>
                </c:pt>
                <c:pt idx="89">
                  <c:v>66.66</c:v>
                </c:pt>
                <c:pt idx="90">
                  <c:v>66.41</c:v>
                </c:pt>
                <c:pt idx="91">
                  <c:v>71.17</c:v>
                </c:pt>
                <c:pt idx="92">
                  <c:v>75.5</c:v>
                </c:pt>
                <c:pt idx="93">
                  <c:v>74.290000000000006</c:v>
                </c:pt>
                <c:pt idx="94">
                  <c:v>70.790000000000006</c:v>
                </c:pt>
                <c:pt idx="95">
                  <c:v>65.89</c:v>
                </c:pt>
                <c:pt idx="96">
                  <c:v>66.95</c:v>
                </c:pt>
                <c:pt idx="97">
                  <c:v>24.63</c:v>
                </c:pt>
                <c:pt idx="98">
                  <c:v>74.86</c:v>
                </c:pt>
                <c:pt idx="99">
                  <c:v>81.87</c:v>
                </c:pt>
                <c:pt idx="100">
                  <c:v>70.3</c:v>
                </c:pt>
                <c:pt idx="101">
                  <c:v>58.21</c:v>
                </c:pt>
                <c:pt idx="102">
                  <c:v>69.290000000000006</c:v>
                </c:pt>
                <c:pt idx="103">
                  <c:v>47</c:v>
                </c:pt>
                <c:pt idx="104">
                  <c:v>6.33</c:v>
                </c:pt>
                <c:pt idx="105">
                  <c:v>6.13</c:v>
                </c:pt>
                <c:pt idx="106">
                  <c:v>8.9700000000000006</c:v>
                </c:pt>
                <c:pt idx="107">
                  <c:v>3.32</c:v>
                </c:pt>
                <c:pt idx="108">
                  <c:v>4</c:v>
                </c:pt>
                <c:pt idx="109">
                  <c:v>5.29</c:v>
                </c:pt>
                <c:pt idx="110">
                  <c:v>10.83</c:v>
                </c:pt>
                <c:pt idx="111">
                  <c:v>17.63</c:v>
                </c:pt>
                <c:pt idx="112">
                  <c:v>19.190000000000001</c:v>
                </c:pt>
                <c:pt idx="113">
                  <c:v>26.38</c:v>
                </c:pt>
                <c:pt idx="114">
                  <c:v>38.49</c:v>
                </c:pt>
                <c:pt idx="115">
                  <c:v>16.16</c:v>
                </c:pt>
                <c:pt idx="116">
                  <c:v>11.53</c:v>
                </c:pt>
                <c:pt idx="117">
                  <c:v>7.55</c:v>
                </c:pt>
                <c:pt idx="118">
                  <c:v>7.52</c:v>
                </c:pt>
                <c:pt idx="119">
                  <c:v>5.49</c:v>
                </c:pt>
                <c:pt idx="120">
                  <c:v>4.1900000000000004</c:v>
                </c:pt>
                <c:pt idx="121">
                  <c:v>4.6399999999999997</c:v>
                </c:pt>
                <c:pt idx="122">
                  <c:v>11.53</c:v>
                </c:pt>
                <c:pt idx="123">
                  <c:v>13.59</c:v>
                </c:pt>
                <c:pt idx="124">
                  <c:v>15.08</c:v>
                </c:pt>
                <c:pt idx="125">
                  <c:v>11.02</c:v>
                </c:pt>
                <c:pt idx="126">
                  <c:v>13.28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43104"/>
        <c:axId val="153344640"/>
      </c:lineChart>
      <c:dateAx>
        <c:axId val="1533431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3344640"/>
        <c:crosses val="autoZero"/>
        <c:auto val="1"/>
        <c:lblOffset val="100"/>
        <c:baseTimeUnit val="months"/>
      </c:dateAx>
      <c:valAx>
        <c:axId val="1533446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334310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5 bps</a:t>
            </a:r>
            <a:r>
              <a:rPr lang="en-US" sz="1200" baseline="0"/>
              <a:t> Step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5 bps'!$A$2:$A$282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bps'!$C$2:$C$282</c:f>
              <c:numCache>
                <c:formatCode>General</c:formatCode>
                <c:ptCount val="281"/>
                <c:pt idx="0">
                  <c:v>41.4502407179531</c:v>
                </c:pt>
                <c:pt idx="1">
                  <c:v>37.815655802459602</c:v>
                </c:pt>
                <c:pt idx="2">
                  <c:v>35.8237559063367</c:v>
                </c:pt>
                <c:pt idx="3">
                  <c:v>23.744684135819799</c:v>
                </c:pt>
                <c:pt idx="4">
                  <c:v>27.7604458650328</c:v>
                </c:pt>
                <c:pt idx="5">
                  <c:v>27.362884198863402</c:v>
                </c:pt>
                <c:pt idx="6">
                  <c:v>22.7052470578476</c:v>
                </c:pt>
                <c:pt idx="7">
                  <c:v>43.1468263441758</c:v>
                </c:pt>
                <c:pt idx="8">
                  <c:v>69.241126508483106</c:v>
                </c:pt>
                <c:pt idx="9">
                  <c:v>77.2195052951311</c:v>
                </c:pt>
                <c:pt idx="10">
                  <c:v>76.189110508845701</c:v>
                </c:pt>
                <c:pt idx="11">
                  <c:v>77.469100857787595</c:v>
                </c:pt>
                <c:pt idx="12">
                  <c:v>74.618789565004704</c:v>
                </c:pt>
                <c:pt idx="13">
                  <c:v>73.168184669925196</c:v>
                </c:pt>
                <c:pt idx="14">
                  <c:v>74.434376136044506</c:v>
                </c:pt>
                <c:pt idx="15">
                  <c:v>65.266651282667397</c:v>
                </c:pt>
                <c:pt idx="16">
                  <c:v>72.946884640822702</c:v>
                </c:pt>
                <c:pt idx="17">
                  <c:v>49.089066963823797</c:v>
                </c:pt>
                <c:pt idx="18">
                  <c:v>44.489300607298503</c:v>
                </c:pt>
                <c:pt idx="19">
                  <c:v>48.303574319782498</c:v>
                </c:pt>
                <c:pt idx="20">
                  <c:v>60.176661504014703</c:v>
                </c:pt>
                <c:pt idx="21">
                  <c:v>52.190194640900899</c:v>
                </c:pt>
                <c:pt idx="22">
                  <c:v>48.193463635934002</c:v>
                </c:pt>
                <c:pt idx="23">
                  <c:v>48.343579602360002</c:v>
                </c:pt>
                <c:pt idx="24">
                  <c:v>50.6818254978905</c:v>
                </c:pt>
                <c:pt idx="25">
                  <c:v>60.218623148778697</c:v>
                </c:pt>
                <c:pt idx="26">
                  <c:v>68.561545895448404</c:v>
                </c:pt>
                <c:pt idx="27">
                  <c:v>64.229564626991404</c:v>
                </c:pt>
                <c:pt idx="28">
                  <c:v>67.468103886356303</c:v>
                </c:pt>
                <c:pt idx="29">
                  <c:v>71.081419449655897</c:v>
                </c:pt>
                <c:pt idx="30">
                  <c:v>61.395006042812597</c:v>
                </c:pt>
                <c:pt idx="31">
                  <c:v>58.5296040966604</c:v>
                </c:pt>
                <c:pt idx="32">
                  <c:v>56.855134549008604</c:v>
                </c:pt>
                <c:pt idx="33">
                  <c:v>53.119980211899197</c:v>
                </c:pt>
                <c:pt idx="34">
                  <c:v>51.627773479532202</c:v>
                </c:pt>
                <c:pt idx="35">
                  <c:v>53.535872601103897</c:v>
                </c:pt>
                <c:pt idx="36">
                  <c:v>55.1022945779319</c:v>
                </c:pt>
                <c:pt idx="37">
                  <c:v>49.467524591839698</c:v>
                </c:pt>
                <c:pt idx="38">
                  <c:v>42.489050099563798</c:v>
                </c:pt>
                <c:pt idx="39">
                  <c:v>42.976252592500103</c:v>
                </c:pt>
                <c:pt idx="40">
                  <c:v>42.575160750955902</c:v>
                </c:pt>
                <c:pt idx="41">
                  <c:v>39.224660981614598</c:v>
                </c:pt>
                <c:pt idx="42">
                  <c:v>39.9123921585877</c:v>
                </c:pt>
                <c:pt idx="43">
                  <c:v>44.131385807319297</c:v>
                </c:pt>
                <c:pt idx="44">
                  <c:v>46.072663277022301</c:v>
                </c:pt>
                <c:pt idx="45">
                  <c:v>37.312927453178297</c:v>
                </c:pt>
                <c:pt idx="46">
                  <c:v>37.300091247732098</c:v>
                </c:pt>
                <c:pt idx="47">
                  <c:v>43.319169172414497</c:v>
                </c:pt>
                <c:pt idx="48">
                  <c:v>51.587950693984503</c:v>
                </c:pt>
                <c:pt idx="49">
                  <c:v>76.939407073413093</c:v>
                </c:pt>
                <c:pt idx="50">
                  <c:v>82.204500218089095</c:v>
                </c:pt>
                <c:pt idx="51">
                  <c:v>75.911564934220493</c:v>
                </c:pt>
                <c:pt idx="52">
                  <c:v>83.599918324098397</c:v>
                </c:pt>
                <c:pt idx="53">
                  <c:v>87.939354586814503</c:v>
                </c:pt>
                <c:pt idx="54">
                  <c:v>90.414174100032994</c:v>
                </c:pt>
                <c:pt idx="55">
                  <c:v>92.588140551265695</c:v>
                </c:pt>
                <c:pt idx="56">
                  <c:v>93.543055588888905</c:v>
                </c:pt>
                <c:pt idx="57">
                  <c:v>95.158368881394395</c:v>
                </c:pt>
                <c:pt idx="58">
                  <c:v>91.002465814608499</c:v>
                </c:pt>
                <c:pt idx="59">
                  <c:v>97.229870745375806</c:v>
                </c:pt>
                <c:pt idx="60">
                  <c:v>89.015005600535105</c:v>
                </c:pt>
                <c:pt idx="61">
                  <c:v>89.790474298601296</c:v>
                </c:pt>
                <c:pt idx="62">
                  <c:v>90.693006922569197</c:v>
                </c:pt>
                <c:pt idx="63">
                  <c:v>88.832055339932197</c:v>
                </c:pt>
                <c:pt idx="64">
                  <c:v>93.375130800696297</c:v>
                </c:pt>
                <c:pt idx="65">
                  <c:v>94.232527680920199</c:v>
                </c:pt>
                <c:pt idx="66">
                  <c:v>95.694480596339901</c:v>
                </c:pt>
                <c:pt idx="67">
                  <c:v>94.455828739209693</c:v>
                </c:pt>
                <c:pt idx="68">
                  <c:v>90.261121647645695</c:v>
                </c:pt>
                <c:pt idx="69">
                  <c:v>90.557539346295201</c:v>
                </c:pt>
                <c:pt idx="70">
                  <c:v>86.290244034122395</c:v>
                </c:pt>
                <c:pt idx="71">
                  <c:v>70.578534805697501</c:v>
                </c:pt>
                <c:pt idx="72">
                  <c:v>80.109404435678698</c:v>
                </c:pt>
                <c:pt idx="73">
                  <c:v>60.578886931534498</c:v>
                </c:pt>
                <c:pt idx="74">
                  <c:v>58.335239882065402</c:v>
                </c:pt>
                <c:pt idx="75">
                  <c:v>59.027778639301303</c:v>
                </c:pt>
                <c:pt idx="76">
                  <c:v>57.105948507947502</c:v>
                </c:pt>
                <c:pt idx="77">
                  <c:v>61.134054742419998</c:v>
                </c:pt>
                <c:pt idx="78">
                  <c:v>62.852695720188699</c:v>
                </c:pt>
                <c:pt idx="79">
                  <c:v>88.603600993292403</c:v>
                </c:pt>
                <c:pt idx="80">
                  <c:v>92.071618564994907</c:v>
                </c:pt>
                <c:pt idx="81">
                  <c:v>92.068041962791796</c:v>
                </c:pt>
                <c:pt idx="82">
                  <c:v>90.986279245623095</c:v>
                </c:pt>
                <c:pt idx="83">
                  <c:v>85.457813633980706</c:v>
                </c:pt>
                <c:pt idx="84">
                  <c:v>73.280672050561094</c:v>
                </c:pt>
                <c:pt idx="85">
                  <c:v>71.261489817305602</c:v>
                </c:pt>
                <c:pt idx="86">
                  <c:v>61.165805016223999</c:v>
                </c:pt>
                <c:pt idx="87">
                  <c:v>67.422557297175899</c:v>
                </c:pt>
                <c:pt idx="88">
                  <c:v>69.103814173318497</c:v>
                </c:pt>
                <c:pt idx="89">
                  <c:v>73.247789958636503</c:v>
                </c:pt>
                <c:pt idx="90">
                  <c:v>74.680504420998005</c:v>
                </c:pt>
                <c:pt idx="91">
                  <c:v>77.946053231995094</c:v>
                </c:pt>
                <c:pt idx="92">
                  <c:v>77.339325088704001</c:v>
                </c:pt>
                <c:pt idx="93">
                  <c:v>72.644690497405904</c:v>
                </c:pt>
                <c:pt idx="94">
                  <c:v>66.221567600595904</c:v>
                </c:pt>
                <c:pt idx="95">
                  <c:v>69.472782167998403</c:v>
                </c:pt>
                <c:pt idx="96">
                  <c:v>63.061657878956701</c:v>
                </c:pt>
                <c:pt idx="97">
                  <c:v>85.048839682136204</c:v>
                </c:pt>
                <c:pt idx="98">
                  <c:v>88.953039047332396</c:v>
                </c:pt>
                <c:pt idx="99">
                  <c:v>88.154102663200803</c:v>
                </c:pt>
                <c:pt idx="100">
                  <c:v>82.816717079868695</c:v>
                </c:pt>
                <c:pt idx="101">
                  <c:v>91.776767658505705</c:v>
                </c:pt>
                <c:pt idx="102">
                  <c:v>79.995018823378899</c:v>
                </c:pt>
                <c:pt idx="103">
                  <c:v>24.9059325066995</c:v>
                </c:pt>
                <c:pt idx="104">
                  <c:v>18.442492817990999</c:v>
                </c:pt>
                <c:pt idx="105">
                  <c:v>27.853996262771599</c:v>
                </c:pt>
                <c:pt idx="106">
                  <c:v>11.2882431846235</c:v>
                </c:pt>
                <c:pt idx="107">
                  <c:v>12.143818939669901</c:v>
                </c:pt>
                <c:pt idx="108">
                  <c:v>15.2460999637923</c:v>
                </c:pt>
                <c:pt idx="109">
                  <c:v>30.611070222576799</c:v>
                </c:pt>
                <c:pt idx="110">
                  <c:v>36.662491871059302</c:v>
                </c:pt>
                <c:pt idx="111">
                  <c:v>39.934863923698501</c:v>
                </c:pt>
                <c:pt idx="112">
                  <c:v>42.988631912524497</c:v>
                </c:pt>
                <c:pt idx="113">
                  <c:v>51.1817598913442</c:v>
                </c:pt>
                <c:pt idx="114">
                  <c:v>30.381496499984301</c:v>
                </c:pt>
                <c:pt idx="115">
                  <c:v>23.7168379078567</c:v>
                </c:pt>
                <c:pt idx="116">
                  <c:v>16.014270038401399</c:v>
                </c:pt>
                <c:pt idx="117">
                  <c:v>13.936711598914201</c:v>
                </c:pt>
                <c:pt idx="118">
                  <c:v>9.6651189400989796</c:v>
                </c:pt>
                <c:pt idx="119">
                  <c:v>7.2655877869479202</c:v>
                </c:pt>
                <c:pt idx="120">
                  <c:v>6.3768977592121701</c:v>
                </c:pt>
                <c:pt idx="121">
                  <c:v>17.6041137045097</c:v>
                </c:pt>
                <c:pt idx="122">
                  <c:v>24.143783938529999</c:v>
                </c:pt>
                <c:pt idx="123">
                  <c:v>22.310903122791998</c:v>
                </c:pt>
                <c:pt idx="124">
                  <c:v>21.696172986970701</c:v>
                </c:pt>
                <c:pt idx="125">
                  <c:v>21.4931125177824</c:v>
                </c:pt>
                <c:pt idx="126">
                  <c:v>26.904852548670899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5 bps'!$D$1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5 bps'!$A$2:$A$282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bps'!$D$2:$D$282</c:f>
              <c:numCache>
                <c:formatCode>General</c:formatCode>
                <c:ptCount val="281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697664"/>
        <c:axId val="153703552"/>
      </c:lineChart>
      <c:dateAx>
        <c:axId val="153697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3703552"/>
        <c:crosses val="autoZero"/>
        <c:auto val="1"/>
        <c:lblOffset val="100"/>
        <c:baseTimeUnit val="months"/>
      </c:dateAx>
      <c:valAx>
        <c:axId val="1537035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3697664"/>
        <c:crosses val="autoZero"/>
        <c:crossBetween val="between"/>
      </c:valAx>
      <c:spPr>
        <a:ln>
          <a:noFill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5 bps</a:t>
            </a:r>
            <a:r>
              <a:rPr lang="en-US" sz="1200" baseline="0"/>
              <a:t> Step, and LLPA/PMI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bps-with cost'!$C$1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5 bps-with cost'!$A$2:$A$282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bps-with cost'!$C$2:$C$282</c:f>
              <c:numCache>
                <c:formatCode>General</c:formatCode>
                <c:ptCount val="281"/>
                <c:pt idx="0">
                  <c:v>39.020160425676004</c:v>
                </c:pt>
                <c:pt idx="1">
                  <c:v>32.7824407369637</c:v>
                </c:pt>
                <c:pt idx="2">
                  <c:v>28.7756802405553</c:v>
                </c:pt>
                <c:pt idx="3">
                  <c:v>16.139045568734002</c:v>
                </c:pt>
                <c:pt idx="4">
                  <c:v>18.048163961109701</c:v>
                </c:pt>
                <c:pt idx="5">
                  <c:v>22.278966320154499</c:v>
                </c:pt>
                <c:pt idx="6">
                  <c:v>17.673934699100801</c:v>
                </c:pt>
                <c:pt idx="7">
                  <c:v>40.3239335511485</c:v>
                </c:pt>
                <c:pt idx="8">
                  <c:v>68.843571130321394</c:v>
                </c:pt>
                <c:pt idx="9">
                  <c:v>70.038530183614697</c:v>
                </c:pt>
                <c:pt idx="10">
                  <c:v>72.369683889545698</c:v>
                </c:pt>
                <c:pt idx="11">
                  <c:v>73.987736481263099</c:v>
                </c:pt>
                <c:pt idx="12">
                  <c:v>72.720045059741395</c:v>
                </c:pt>
                <c:pt idx="13">
                  <c:v>73.047336279682099</c:v>
                </c:pt>
                <c:pt idx="14">
                  <c:v>74.353506495572205</c:v>
                </c:pt>
                <c:pt idx="15">
                  <c:v>56.795299458729502</c:v>
                </c:pt>
                <c:pt idx="16">
                  <c:v>58.081772607594203</c:v>
                </c:pt>
                <c:pt idx="17">
                  <c:v>45.730493338597498</c:v>
                </c:pt>
                <c:pt idx="18">
                  <c:v>42.460183604507797</c:v>
                </c:pt>
                <c:pt idx="19">
                  <c:v>42.858858651626001</c:v>
                </c:pt>
                <c:pt idx="20">
                  <c:v>49.787582396967998</c:v>
                </c:pt>
                <c:pt idx="21">
                  <c:v>46.940389408664203</c:v>
                </c:pt>
                <c:pt idx="22">
                  <c:v>48.187650930609699</c:v>
                </c:pt>
                <c:pt idx="23">
                  <c:v>44.140391802914699</c:v>
                </c:pt>
                <c:pt idx="24">
                  <c:v>48.121943970556202</c:v>
                </c:pt>
                <c:pt idx="25">
                  <c:v>54.083673248752802</c:v>
                </c:pt>
                <c:pt idx="26">
                  <c:v>62.429395654001503</c:v>
                </c:pt>
                <c:pt idx="27">
                  <c:v>57.686072682823301</c:v>
                </c:pt>
                <c:pt idx="28">
                  <c:v>59.269116954116903</c:v>
                </c:pt>
                <c:pt idx="29">
                  <c:v>66.3344968703869</c:v>
                </c:pt>
                <c:pt idx="30">
                  <c:v>59.013301292116601</c:v>
                </c:pt>
                <c:pt idx="31">
                  <c:v>56.154095187940001</c:v>
                </c:pt>
                <c:pt idx="32">
                  <c:v>56.582908734926001</c:v>
                </c:pt>
                <c:pt idx="33">
                  <c:v>38.990940845006797</c:v>
                </c:pt>
                <c:pt idx="34">
                  <c:v>42.073712313378202</c:v>
                </c:pt>
                <c:pt idx="35">
                  <c:v>42.026923819008502</c:v>
                </c:pt>
                <c:pt idx="36">
                  <c:v>42.0669343681882</c:v>
                </c:pt>
                <c:pt idx="37">
                  <c:v>42.1253765589747</c:v>
                </c:pt>
                <c:pt idx="38">
                  <c:v>38.219679034419897</c:v>
                </c:pt>
                <c:pt idx="39">
                  <c:v>38.8517977536834</c:v>
                </c:pt>
                <c:pt idx="40">
                  <c:v>39.441054944232</c:v>
                </c:pt>
                <c:pt idx="41">
                  <c:v>36.229856642219602</c:v>
                </c:pt>
                <c:pt idx="42">
                  <c:v>36.992034874557397</c:v>
                </c:pt>
                <c:pt idx="43">
                  <c:v>39.168188008873898</c:v>
                </c:pt>
                <c:pt idx="44">
                  <c:v>41.066099461014197</c:v>
                </c:pt>
                <c:pt idx="45">
                  <c:v>30.072982816346201</c:v>
                </c:pt>
                <c:pt idx="46">
                  <c:v>32.8444471910178</c:v>
                </c:pt>
                <c:pt idx="47">
                  <c:v>42.309385521682302</c:v>
                </c:pt>
                <c:pt idx="48">
                  <c:v>48.478527989718998</c:v>
                </c:pt>
                <c:pt idx="49">
                  <c:v>66.190823277341394</c:v>
                </c:pt>
                <c:pt idx="50">
                  <c:v>78.023240552854503</c:v>
                </c:pt>
                <c:pt idx="51">
                  <c:v>67.662215916208595</c:v>
                </c:pt>
                <c:pt idx="52">
                  <c:v>70.326560389389599</c:v>
                </c:pt>
                <c:pt idx="53">
                  <c:v>84.498047938447499</c:v>
                </c:pt>
                <c:pt idx="54">
                  <c:v>88.859281107040403</c:v>
                </c:pt>
                <c:pt idx="55">
                  <c:v>91.108282508659002</c:v>
                </c:pt>
                <c:pt idx="56">
                  <c:v>92.737332691458406</c:v>
                </c:pt>
                <c:pt idx="57">
                  <c:v>88.801974836525105</c:v>
                </c:pt>
                <c:pt idx="58">
                  <c:v>85.283235716911406</c:v>
                </c:pt>
                <c:pt idx="59">
                  <c:v>89.047470138592303</c:v>
                </c:pt>
                <c:pt idx="60">
                  <c:v>87.820058410203004</c:v>
                </c:pt>
                <c:pt idx="61">
                  <c:v>88.993522069364204</c:v>
                </c:pt>
                <c:pt idx="62">
                  <c:v>83.813705975534702</c:v>
                </c:pt>
                <c:pt idx="63">
                  <c:v>78.734763771418301</c:v>
                </c:pt>
                <c:pt idx="64">
                  <c:v>83.950780825549003</c:v>
                </c:pt>
                <c:pt idx="65">
                  <c:v>85.264485798907501</c:v>
                </c:pt>
                <c:pt idx="66">
                  <c:v>87.172412396158293</c:v>
                </c:pt>
                <c:pt idx="67">
                  <c:v>84.655674335484605</c:v>
                </c:pt>
                <c:pt idx="68">
                  <c:v>83.707718552028197</c:v>
                </c:pt>
                <c:pt idx="69">
                  <c:v>85.4307903892296</c:v>
                </c:pt>
                <c:pt idx="70">
                  <c:v>81.111433050330803</c:v>
                </c:pt>
                <c:pt idx="71">
                  <c:v>53.856272898072</c:v>
                </c:pt>
                <c:pt idx="72">
                  <c:v>54.953762420770801</c:v>
                </c:pt>
                <c:pt idx="73">
                  <c:v>50.702910842281398</c:v>
                </c:pt>
                <c:pt idx="74">
                  <c:v>47.6471989047565</c:v>
                </c:pt>
                <c:pt idx="75">
                  <c:v>48.373964704955903</c:v>
                </c:pt>
                <c:pt idx="76">
                  <c:v>46.9906526195672</c:v>
                </c:pt>
                <c:pt idx="77">
                  <c:v>49.413680588488901</c:v>
                </c:pt>
                <c:pt idx="78">
                  <c:v>50.452164720680202</c:v>
                </c:pt>
                <c:pt idx="79">
                  <c:v>81.842303723086502</c:v>
                </c:pt>
                <c:pt idx="80">
                  <c:v>89.101846090833206</c:v>
                </c:pt>
                <c:pt idx="81">
                  <c:v>85.452084703504198</c:v>
                </c:pt>
                <c:pt idx="82">
                  <c:v>74.276062670530294</c:v>
                </c:pt>
                <c:pt idx="83">
                  <c:v>72.591167139327297</c:v>
                </c:pt>
                <c:pt idx="84">
                  <c:v>69.476865119059596</c:v>
                </c:pt>
                <c:pt idx="85">
                  <c:v>61.913649458863397</c:v>
                </c:pt>
                <c:pt idx="86">
                  <c:v>55.346259172152401</c:v>
                </c:pt>
                <c:pt idx="87">
                  <c:v>62.135082629666101</c:v>
                </c:pt>
                <c:pt idx="88">
                  <c:v>63.4443839968825</c:v>
                </c:pt>
                <c:pt idx="89">
                  <c:v>64.855755208671198</c:v>
                </c:pt>
                <c:pt idx="90">
                  <c:v>68.251413677762599</c:v>
                </c:pt>
                <c:pt idx="91">
                  <c:v>73.065196270588501</c:v>
                </c:pt>
                <c:pt idx="92">
                  <c:v>71.213234577800094</c:v>
                </c:pt>
                <c:pt idx="93">
                  <c:v>70.793943497822099</c:v>
                </c:pt>
                <c:pt idx="94">
                  <c:v>62.580328650996499</c:v>
                </c:pt>
                <c:pt idx="95">
                  <c:v>62.1018426293383</c:v>
                </c:pt>
                <c:pt idx="96">
                  <c:v>53.969840995341301</c:v>
                </c:pt>
                <c:pt idx="97">
                  <c:v>84.070938063054896</c:v>
                </c:pt>
                <c:pt idx="98">
                  <c:v>87.516425609748893</c:v>
                </c:pt>
                <c:pt idx="99">
                  <c:v>72.614020581104697</c:v>
                </c:pt>
                <c:pt idx="100">
                  <c:v>59.934642332899898</c:v>
                </c:pt>
                <c:pt idx="101">
                  <c:v>76.998976064848506</c:v>
                </c:pt>
                <c:pt idx="102">
                  <c:v>40.387618389132498</c:v>
                </c:pt>
                <c:pt idx="103">
                  <c:v>3.0257819324847599</c:v>
                </c:pt>
                <c:pt idx="104">
                  <c:v>3.0511192041288102</c:v>
                </c:pt>
                <c:pt idx="105">
                  <c:v>3.7519687101565502</c:v>
                </c:pt>
                <c:pt idx="106">
                  <c:v>1.66796394099835</c:v>
                </c:pt>
                <c:pt idx="107">
                  <c:v>2.0446326527729499</c:v>
                </c:pt>
                <c:pt idx="108">
                  <c:v>3.1999272166813699</c:v>
                </c:pt>
                <c:pt idx="109">
                  <c:v>8.6891973949510497</c:v>
                </c:pt>
                <c:pt idx="110">
                  <c:v>10.723923810076201</c:v>
                </c:pt>
                <c:pt idx="111">
                  <c:v>11.0163217972481</c:v>
                </c:pt>
                <c:pt idx="112">
                  <c:v>13.5757696587811</c:v>
                </c:pt>
                <c:pt idx="113">
                  <c:v>39.050868009056302</c:v>
                </c:pt>
                <c:pt idx="114">
                  <c:v>14.0350775696166</c:v>
                </c:pt>
                <c:pt idx="115">
                  <c:v>11.428890426750201</c:v>
                </c:pt>
                <c:pt idx="116">
                  <c:v>7.2843908677798002</c:v>
                </c:pt>
                <c:pt idx="117">
                  <c:v>7.0089775718846496</c:v>
                </c:pt>
                <c:pt idx="118">
                  <c:v>4.0507601426946103</c:v>
                </c:pt>
                <c:pt idx="119">
                  <c:v>3.5587201549098002</c:v>
                </c:pt>
                <c:pt idx="120">
                  <c:v>3.66650753276036</c:v>
                </c:pt>
                <c:pt idx="121">
                  <c:v>10.8994422402958</c:v>
                </c:pt>
                <c:pt idx="122">
                  <c:v>12.6008300311391</c:v>
                </c:pt>
                <c:pt idx="123">
                  <c:v>15.6391519698956</c:v>
                </c:pt>
                <c:pt idx="124">
                  <c:v>12.5544452450069</c:v>
                </c:pt>
                <c:pt idx="125">
                  <c:v>12.8567724131969</c:v>
                </c:pt>
                <c:pt idx="126">
                  <c:v>17.2821290062789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5 bps-with cost'!$D$1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5 bps-with cost'!$A$2:$A$282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bps-with cost'!$D$2:$D$282</c:f>
              <c:numCache>
                <c:formatCode>General</c:formatCode>
                <c:ptCount val="281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728896"/>
        <c:axId val="153730432"/>
      </c:lineChart>
      <c:dateAx>
        <c:axId val="1537288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3730432"/>
        <c:crosses val="autoZero"/>
        <c:auto val="1"/>
        <c:lblOffset val="100"/>
        <c:baseTimeUnit val="months"/>
      </c:dateAx>
      <c:valAx>
        <c:axId val="1537304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372889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228600</xdr:colOff>
      <xdr:row>5</xdr:row>
      <xdr:rowOff>180975</xdr:rowOff>
    </xdr:from>
    <xdr:to>
      <xdr:col>35</xdr:col>
      <xdr:colOff>142875</xdr:colOff>
      <xdr:row>62</xdr:row>
      <xdr:rowOff>161925</xdr:rowOff>
    </xdr:to>
    <xdr:sp macro="" textlink="">
      <xdr:nvSpPr>
        <xdr:cNvPr id="6" name="TextBox 5"/>
        <xdr:cNvSpPr txBox="1"/>
      </xdr:nvSpPr>
      <xdr:spPr>
        <a:xfrm>
          <a:off x="16078200" y="1133475"/>
          <a:ext cx="5400675" cy="10839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DROP TABLE IF EXISTS #MediaEffect;</a:t>
          </a:r>
        </a:p>
        <a:p>
          <a:r>
            <a:rPr lang="en-US" sz="1100"/>
            <a:t>SELECT</a:t>
          </a:r>
        </a:p>
        <a:p>
          <a:r>
            <a:rPr lang="en-US" sz="1100"/>
            <a:t>    convert(date, dateadd(month, +1, AsOfDate)) as asOf,</a:t>
          </a:r>
        </a:p>
        <a:p>
          <a:r>
            <a:rPr lang="en-US" sz="1100"/>
            <a:t>    convert(numeric(6,2), 100.0 * SeriesNumValue) as media_effect</a:t>
          </a:r>
        </a:p>
        <a:p>
          <a:r>
            <a:rPr lang="en-US" sz="1100"/>
            <a:t>INTO #MediaEffect</a:t>
          </a:r>
        </a:p>
        <a:p>
          <a:r>
            <a:rPr lang="en-US" sz="1100"/>
            <a:t>FROM report.TimeSeries</a:t>
          </a:r>
        </a:p>
        <a:p>
          <a:r>
            <a:rPr lang="en-US" sz="1100"/>
            <a:t>WHERE 1=1</a:t>
          </a:r>
        </a:p>
        <a:p>
          <a:r>
            <a:rPr lang="en-US" sz="1100"/>
            <a:t>    AND TimeSeriesMetaId = (SELECT TimeSeriesMetaId FROM report.TimeSeriesMeta WHERE Source = 'CELLO' AND TickerName = 'CONVENTIONAL_30YR_COMBINED' AND SeriesType = 'MONTHLY_PCT_REFI' AND ModelType = 'ScaleMediaEffectModel v4.0')</a:t>
          </a:r>
        </a:p>
        <a:p>
          <a:r>
            <a:rPr lang="en-US" sz="1100"/>
            <a:t>--    and asof &gt;= '2017-01-01'</a:t>
          </a:r>
        </a:p>
        <a:p>
          <a:r>
            <a:rPr lang="en-US" sz="1100"/>
            <a:t>ORDER BY asOf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-- Creates the 30 YR FRM Rate (point ajdusted)</a:t>
          </a:r>
        </a:p>
        <a:p>
          <a:r>
            <a:rPr lang="en-US" sz="1100"/>
            <a:t>DROP TABLE IF EXISTS #Mtg30YrRates_monthly;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 as asOf, </a:t>
          </a:r>
        </a:p>
        <a:p>
          <a:r>
            <a:rPr lang="en-US" sz="1100"/>
            <a:t>    convert(date, dateadd(month, +1, AsOfDate)) as asOf_lag1,</a:t>
          </a:r>
        </a:p>
        <a:p>
          <a:r>
            <a:rPr lang="en-US" sz="1100"/>
            <a:t>    convert(date, dateadd(month, +2, AsOfDate)) as asOf_lag2,</a:t>
          </a:r>
        </a:p>
        <a:p>
          <a:r>
            <a:rPr lang="en-US" sz="1100"/>
            <a:t>    SeriesNumValue as MtgRate</a:t>
          </a:r>
        </a:p>
        <a:p>
          <a:r>
            <a:rPr lang="en-US" sz="1100"/>
            <a:t>INTO #Mtg30YrRates_monthly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--    and asof_lag1 &gt;= '2017-01-01'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#replines;</a:t>
          </a:r>
        </a:p>
        <a:p>
          <a:r>
            <a:rPr lang="en-US" sz="1100"/>
            <a:t>select </a:t>
          </a:r>
        </a:p>
        <a:p>
          <a:r>
            <a:rPr lang="en-US" sz="1100"/>
            <a:t>s.asof,</a:t>
          </a:r>
        </a:p>
        <a:p>
          <a:r>
            <a:rPr lang="en-US" sz="1100"/>
            <a:t>wacBucket = case </a:t>
          </a:r>
        </a:p>
        <a:p>
          <a:r>
            <a:rPr lang="en-US" sz="1100"/>
            <a:t>            when wac &lt;= 3.25 THEN 3.25</a:t>
          </a:r>
        </a:p>
        <a:p>
          <a:r>
            <a:rPr lang="en-US" sz="1100"/>
            <a:t>            when wac &gt;= 7.875 THEN 7.875</a:t>
          </a:r>
        </a:p>
        <a:p>
          <a:r>
            <a:rPr lang="en-US" sz="1100"/>
            <a:t>            else convert(int, wac / 0.125) * 0.125 + 0.125</a:t>
          </a:r>
        </a:p>
        <a:p>
          <a:r>
            <a:rPr lang="en-US" sz="1100"/>
            <a:t>            end,</a:t>
          </a:r>
        </a:p>
        <a:p>
          <a:r>
            <a:rPr lang="en-US" sz="1100"/>
            <a:t>wac_ = sum(wac * calcSchamBalance) / sum(calcSchamBalance), </a:t>
          </a:r>
        </a:p>
        <a:p>
          <a:r>
            <a:rPr lang="en-US" sz="1100"/>
            <a:t>balance = sum(currentBalance)</a:t>
          </a:r>
        </a:p>
        <a:p>
          <a:r>
            <a:rPr lang="en-US" sz="1100"/>
            <a:t>into #replines</a:t>
          </a:r>
        </a:p>
        <a:p>
          <a:r>
            <a:rPr lang="en-US" sz="1100"/>
            <a:t>from</a:t>
          </a:r>
        </a:p>
        <a:p>
          <a:r>
            <a:rPr lang="en-US" sz="1100"/>
            <a:t>(</a:t>
          </a:r>
        </a:p>
        <a:p>
          <a:r>
            <a:rPr lang="en-US" sz="1100"/>
            <a:t>    select sf.asof, sf.wac, calcSchamBalance, currentBalance</a:t>
          </a:r>
        </a:p>
        <a:p>
          <a:r>
            <a:rPr lang="en-US" sz="1100"/>
            <a:t>    from fhl.Sec b</a:t>
          </a:r>
        </a:p>
        <a:p>
          <a:r>
            <a:rPr lang="en-US" sz="1100"/>
            <a:t>    join fhl.SecFactor sf on b.secid = sf.secId and sf.couponType='FIX' and b.collateraltype='LOAN'</a:t>
          </a:r>
        </a:p>
        <a:p>
          <a:r>
            <a:rPr lang="en-US" sz="1100"/>
            <a:t>    where b.marketTicker = 'FGLMC'</a:t>
          </a:r>
        </a:p>
        <a:p>
          <a:r>
            <a:rPr lang="en-US" sz="1100"/>
            <a:t>    </a:t>
          </a:r>
        </a:p>
        <a:p>
          <a:r>
            <a:rPr lang="en-US" sz="1100"/>
            <a:t>    UNION</a:t>
          </a:r>
        </a:p>
        <a:p>
          <a:r>
            <a:rPr lang="en-US" sz="1100"/>
            <a:t>    </a:t>
          </a:r>
        </a:p>
        <a:p>
          <a:r>
            <a:rPr lang="en-US" sz="1100"/>
            <a:t>    select sf.asof, sf.wac, calcSchamBalance, currentBalance</a:t>
          </a:r>
        </a:p>
        <a:p>
          <a:r>
            <a:rPr lang="en-US" sz="1100"/>
            <a:t>    from fnm.Sec b</a:t>
          </a:r>
        </a:p>
        <a:p>
          <a:r>
            <a:rPr lang="en-US" sz="1100"/>
            <a:t>    join fnm.SecFactor sf on b.secid = sf.secId and sf.couponType='FIX' and b.collateraltype='LOAN'</a:t>
          </a:r>
        </a:p>
        <a:p>
          <a:r>
            <a:rPr lang="en-US" sz="1100"/>
            <a:t>    where b.marketTicker = 'FNCL'</a:t>
          </a:r>
        </a:p>
        <a:p>
          <a:r>
            <a:rPr lang="en-US" sz="1100"/>
            <a:t>) s</a:t>
          </a:r>
        </a:p>
        <a:p>
          <a:r>
            <a:rPr lang="en-US" sz="1100"/>
            <a:t>group by s.asof, wacBucket;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#replines_plus;</a:t>
          </a:r>
        </a:p>
        <a:p>
          <a:r>
            <a:rPr lang="en-US" sz="1100"/>
            <a:t>select </a:t>
          </a:r>
        </a:p>
        <a:p>
          <a:r>
            <a:rPr lang="en-US" sz="1100"/>
            <a:t>s.*, </a:t>
          </a:r>
        </a:p>
        <a:p>
          <a:r>
            <a:rPr lang="en-US" sz="1100"/>
            <a:t>mtg.MtgRate,</a:t>
          </a:r>
        </a:p>
        <a:p>
          <a:r>
            <a:rPr lang="en-US" sz="1100"/>
            <a:t>me.media_effect</a:t>
          </a:r>
        </a:p>
        <a:p>
          <a:r>
            <a:rPr lang="en-US" sz="1100"/>
            <a:t>into #replines_plus</a:t>
          </a:r>
        </a:p>
        <a:p>
          <a:r>
            <a:rPr lang="en-US" sz="1100"/>
            <a:t>from #replines s</a:t>
          </a:r>
        </a:p>
        <a:p>
          <a:r>
            <a:rPr lang="en-US" sz="1100"/>
            <a:t>join #Mtg30YrRates_monthly mtg on mtg.asof_lag1 = s.asof</a:t>
          </a:r>
        </a:p>
        <a:p>
          <a:r>
            <a:rPr lang="en-US" sz="1100"/>
            <a:t>join #MediaEffect me on me.asof = s.asof</a:t>
          </a:r>
        </a:p>
        <a:p>
          <a:r>
            <a:rPr lang="en-US" sz="1100"/>
            <a:t>--where s.asof = '2017-05-01'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DROP TABLE IF EXISTS #media_balance;</a:t>
          </a:r>
        </a:p>
        <a:p>
          <a:r>
            <a:rPr lang="en-US" sz="1100"/>
            <a:t>select *,</a:t>
          </a:r>
        </a:p>
        <a:p>
          <a:r>
            <a:rPr lang="en-US" sz="1100"/>
            <a:t>media_balance = case when wacBucket - MtgRate &gt;= 0.50 then balance </a:t>
          </a:r>
        </a:p>
        <a:p>
          <a:r>
            <a:rPr lang="en-US" sz="1100"/>
            <a:t>                when wacBucket + 0.125 - MtgRate &gt;= 0.50 then balance * (MtgRate + 0.50 - wacBucket) / (wacBucket + 0.125 - wacBucket)</a:t>
          </a:r>
        </a:p>
        <a:p>
          <a:r>
            <a:rPr lang="en-US" sz="1100"/>
            <a:t>                else 0.0 end</a:t>
          </a:r>
        </a:p>
        <a:p>
          <a:r>
            <a:rPr lang="en-US" sz="1100"/>
            <a:t>into #media_balance</a:t>
          </a:r>
        </a:p>
        <a:p>
          <a:r>
            <a:rPr lang="en-US" sz="1100"/>
            <a:t>from #replines_plus;</a:t>
          </a:r>
        </a:p>
        <a:p>
          <a:endParaRPr lang="en-US" sz="1100"/>
        </a:p>
        <a:p>
          <a:r>
            <a:rPr lang="en-US" sz="1100"/>
            <a:t>select </a:t>
          </a:r>
        </a:p>
        <a:p>
          <a:r>
            <a:rPr lang="en-US" sz="1100"/>
            <a:t>s.asof, </a:t>
          </a:r>
        </a:p>
        <a:p>
          <a:r>
            <a:rPr lang="en-US" sz="1100"/>
            <a:t>mtg.MtgRate,</a:t>
          </a:r>
        </a:p>
        <a:p>
          <a:r>
            <a:rPr lang="en-US" sz="1100"/>
            <a:t>media_model = sum(media_balance) / sum(balance) * 100.0,</a:t>
          </a:r>
        </a:p>
        <a:p>
          <a:r>
            <a:rPr lang="en-US" sz="1100"/>
            <a:t>media_actual = me.media_effect</a:t>
          </a:r>
        </a:p>
        <a:p>
          <a:r>
            <a:rPr lang="en-US" sz="1100"/>
            <a:t>from #media_balance s</a:t>
          </a:r>
        </a:p>
        <a:p>
          <a:r>
            <a:rPr lang="en-US" sz="1100"/>
            <a:t>join #Mtg30YrRates_monthly mtg on mtg.asof_lag1 = s.asof</a:t>
          </a:r>
        </a:p>
        <a:p>
          <a:r>
            <a:rPr lang="en-US" sz="1100"/>
            <a:t>join #MediaEffect me on me.asof = s.asof</a:t>
          </a:r>
        </a:p>
        <a:p>
          <a:r>
            <a:rPr lang="en-US" sz="1100"/>
            <a:t>group by s.asof, mtg.MtgRate, media_actual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select * from #media_balance</a:t>
          </a:r>
        </a:p>
      </xdr:txBody>
    </xdr:sp>
    <xdr:clientData/>
  </xdr:twoCellAnchor>
  <xdr:twoCellAnchor>
    <xdr:from>
      <xdr:col>9</xdr:col>
      <xdr:colOff>95250</xdr:colOff>
      <xdr:row>4</xdr:row>
      <xdr:rowOff>33337</xdr:rowOff>
    </xdr:from>
    <xdr:to>
      <xdr:col>16</xdr:col>
      <xdr:colOff>400050</xdr:colOff>
      <xdr:row>18</xdr:row>
      <xdr:rowOff>109537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95250</xdr:colOff>
      <xdr:row>19</xdr:row>
      <xdr:rowOff>90487</xdr:rowOff>
    </xdr:from>
    <xdr:to>
      <xdr:col>16</xdr:col>
      <xdr:colOff>400050</xdr:colOff>
      <xdr:row>33</xdr:row>
      <xdr:rowOff>166687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18</xdr:row>
      <xdr:rowOff>71437</xdr:rowOff>
    </xdr:from>
    <xdr:to>
      <xdr:col>15</xdr:col>
      <xdr:colOff>523875</xdr:colOff>
      <xdr:row>32</xdr:row>
      <xdr:rowOff>147637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2</xdr:row>
      <xdr:rowOff>161925</xdr:rowOff>
    </xdr:from>
    <xdr:to>
      <xdr:col>15</xdr:col>
      <xdr:colOff>495300</xdr:colOff>
      <xdr:row>17</xdr:row>
      <xdr:rowOff>47625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18</xdr:row>
      <xdr:rowOff>71437</xdr:rowOff>
    </xdr:from>
    <xdr:to>
      <xdr:col>15</xdr:col>
      <xdr:colOff>523875</xdr:colOff>
      <xdr:row>32</xdr:row>
      <xdr:rowOff>147637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219075</xdr:colOff>
      <xdr:row>2</xdr:row>
      <xdr:rowOff>85725</xdr:rowOff>
    </xdr:from>
    <xdr:to>
      <xdr:col>15</xdr:col>
      <xdr:colOff>523875</xdr:colOff>
      <xdr:row>16</xdr:row>
      <xdr:rowOff>161925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18</xdr:row>
      <xdr:rowOff>71437</xdr:rowOff>
    </xdr:from>
    <xdr:to>
      <xdr:col>15</xdr:col>
      <xdr:colOff>523875</xdr:colOff>
      <xdr:row>32</xdr:row>
      <xdr:rowOff>147637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219075</xdr:colOff>
      <xdr:row>2</xdr:row>
      <xdr:rowOff>85725</xdr:rowOff>
    </xdr:from>
    <xdr:to>
      <xdr:col>15</xdr:col>
      <xdr:colOff>523875</xdr:colOff>
      <xdr:row>16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18</xdr:row>
      <xdr:rowOff>71437</xdr:rowOff>
    </xdr:from>
    <xdr:to>
      <xdr:col>17</xdr:col>
      <xdr:colOff>523875</xdr:colOff>
      <xdr:row>32</xdr:row>
      <xdr:rowOff>147637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2</xdr:row>
      <xdr:rowOff>85725</xdr:rowOff>
    </xdr:from>
    <xdr:to>
      <xdr:col>17</xdr:col>
      <xdr:colOff>523875</xdr:colOff>
      <xdr:row>16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18</xdr:row>
      <xdr:rowOff>71437</xdr:rowOff>
    </xdr:from>
    <xdr:to>
      <xdr:col>17</xdr:col>
      <xdr:colOff>523875</xdr:colOff>
      <xdr:row>32</xdr:row>
      <xdr:rowOff>147637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2</xdr:row>
      <xdr:rowOff>85725</xdr:rowOff>
    </xdr:from>
    <xdr:to>
      <xdr:col>17</xdr:col>
      <xdr:colOff>523875</xdr:colOff>
      <xdr:row>16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18</xdr:row>
      <xdr:rowOff>71437</xdr:rowOff>
    </xdr:from>
    <xdr:to>
      <xdr:col>17</xdr:col>
      <xdr:colOff>523875</xdr:colOff>
      <xdr:row>32</xdr:row>
      <xdr:rowOff>147637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2</xdr:row>
      <xdr:rowOff>85725</xdr:rowOff>
    </xdr:from>
    <xdr:to>
      <xdr:col>17</xdr:col>
      <xdr:colOff>523875</xdr:colOff>
      <xdr:row>16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190499</xdr:rowOff>
    </xdr:from>
    <xdr:to>
      <xdr:col>13</xdr:col>
      <xdr:colOff>19050</xdr:colOff>
      <xdr:row>35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571499</xdr:colOff>
      <xdr:row>8</xdr:row>
      <xdr:rowOff>123825</xdr:rowOff>
    </xdr:from>
    <xdr:to>
      <xdr:col>23</xdr:col>
      <xdr:colOff>123824</xdr:colOff>
      <xdr:row>35</xdr:row>
      <xdr:rowOff>142875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66675</xdr:colOff>
      <xdr:row>37</xdr:row>
      <xdr:rowOff>9524</xdr:rowOff>
    </xdr:from>
    <xdr:to>
      <xdr:col>13</xdr:col>
      <xdr:colOff>161925</xdr:colOff>
      <xdr:row>64</xdr:row>
      <xdr:rowOff>190499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609599</xdr:colOff>
      <xdr:row>37</xdr:row>
      <xdr:rowOff>57149</xdr:rowOff>
    </xdr:from>
    <xdr:to>
      <xdr:col>23</xdr:col>
      <xdr:colOff>66674</xdr:colOff>
      <xdr:row>64</xdr:row>
      <xdr:rowOff>66674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28"/>
  <sheetViews>
    <sheetView workbookViewId="0">
      <selection activeCell="V48" sqref="V48"/>
    </sheetView>
  </sheetViews>
  <sheetFormatPr defaultRowHeight="15" x14ac:dyDescent="0.25"/>
  <cols>
    <col min="2" max="4" width="9.140625" style="2"/>
    <col min="6" max="6" width="9.85546875" customWidth="1"/>
  </cols>
  <sheetData>
    <row r="1" spans="1:7" x14ac:dyDescent="0.25">
      <c r="B1" s="2" t="s">
        <v>0</v>
      </c>
      <c r="C1" s="2" t="s">
        <v>2</v>
      </c>
      <c r="D1" s="2" t="s">
        <v>3</v>
      </c>
      <c r="E1" s="2" t="s">
        <v>4</v>
      </c>
      <c r="G1" s="2" t="s">
        <v>5</v>
      </c>
    </row>
    <row r="2" spans="1:7" x14ac:dyDescent="0.25">
      <c r="A2" s="1">
        <v>42917</v>
      </c>
      <c r="B2" s="2">
        <v>3.77</v>
      </c>
      <c r="C2" s="2">
        <v>41.960889769449402</v>
      </c>
      <c r="D2" s="2">
        <v>34.19</v>
      </c>
      <c r="E2" s="2">
        <f t="shared" ref="E2:E33" si="0">C2-D2</f>
        <v>7.7708897694494041</v>
      </c>
      <c r="F2" s="2">
        <f>E2^2</f>
        <v>60.386727808933415</v>
      </c>
      <c r="G2">
        <f>SQRT(AVERAGE(F2:F128))</f>
        <v>13.973384773388112</v>
      </c>
    </row>
    <row r="3" spans="1:7" x14ac:dyDescent="0.25">
      <c r="A3" s="1">
        <v>42887</v>
      </c>
      <c r="B3" s="2">
        <v>3.871</v>
      </c>
      <c r="C3" s="2">
        <v>50.189838928182397</v>
      </c>
      <c r="D3" s="2">
        <v>29.65</v>
      </c>
      <c r="E3" s="2">
        <f t="shared" si="0"/>
        <v>20.539838928182398</v>
      </c>
      <c r="F3" s="2">
        <f t="shared" ref="F3:F66" si="1">E3^2</f>
        <v>421.88498319567702</v>
      </c>
    </row>
    <row r="4" spans="1:7" x14ac:dyDescent="0.25">
      <c r="A4" s="1">
        <v>42856</v>
      </c>
      <c r="B4" s="2">
        <v>3.92</v>
      </c>
      <c r="C4" s="2">
        <v>37.6613722654727</v>
      </c>
      <c r="D4" s="2">
        <v>28.57</v>
      </c>
      <c r="E4" s="2">
        <f t="shared" si="0"/>
        <v>9.0913722654726996</v>
      </c>
      <c r="F4" s="2">
        <f t="shared" si="1"/>
        <v>82.653049669406201</v>
      </c>
    </row>
    <row r="5" spans="1:7" x14ac:dyDescent="0.25">
      <c r="A5" s="1">
        <v>42826</v>
      </c>
      <c r="B5" s="2">
        <v>4.0709999999999997</v>
      </c>
      <c r="C5" s="2">
        <v>32.882839453693201</v>
      </c>
      <c r="D5" s="2">
        <v>22.67</v>
      </c>
      <c r="E5" s="2">
        <f t="shared" si="0"/>
        <v>10.212839453693199</v>
      </c>
      <c r="F5" s="2">
        <f t="shared" si="1"/>
        <v>104.3020897069124</v>
      </c>
    </row>
    <row r="6" spans="1:7" x14ac:dyDescent="0.25">
      <c r="A6" s="1">
        <v>42795</v>
      </c>
      <c r="B6" s="2">
        <v>4.0362499999999999</v>
      </c>
      <c r="C6" s="2">
        <v>30.872830549124</v>
      </c>
      <c r="D6" s="2">
        <v>25.51</v>
      </c>
      <c r="E6" s="2">
        <f t="shared" si="0"/>
        <v>5.3628305491239985</v>
      </c>
      <c r="F6" s="2">
        <f t="shared" si="1"/>
        <v>28.759951498617607</v>
      </c>
    </row>
    <row r="7" spans="1:7" x14ac:dyDescent="0.25">
      <c r="A7" s="1">
        <v>42767</v>
      </c>
      <c r="B7" s="2">
        <v>4.0187499999999998</v>
      </c>
      <c r="C7" s="2">
        <v>29.926049681611399</v>
      </c>
      <c r="D7" s="2">
        <v>27.36</v>
      </c>
      <c r="E7" s="2">
        <f t="shared" si="0"/>
        <v>2.5660496816113998</v>
      </c>
      <c r="F7" s="2">
        <f t="shared" si="1"/>
        <v>6.5846109684979659</v>
      </c>
    </row>
    <row r="8" spans="1:7" x14ac:dyDescent="0.25">
      <c r="A8" s="1">
        <v>42736</v>
      </c>
      <c r="B8" s="2">
        <v>4.1025</v>
      </c>
      <c r="C8" s="2">
        <v>34.724693621134797</v>
      </c>
      <c r="D8" s="2">
        <v>20.46</v>
      </c>
      <c r="E8" s="2">
        <f t="shared" si="0"/>
        <v>14.264693621134796</v>
      </c>
      <c r="F8" s="2">
        <f t="shared" si="1"/>
        <v>203.48148410484376</v>
      </c>
    </row>
    <row r="9" spans="1:7" x14ac:dyDescent="0.25">
      <c r="A9" s="1">
        <v>42705</v>
      </c>
      <c r="B9" s="2">
        <v>3.7069999999999999</v>
      </c>
      <c r="C9" s="2">
        <v>56.095981662475701</v>
      </c>
      <c r="D9" s="2">
        <v>38.380000000000003</v>
      </c>
      <c r="E9" s="2">
        <f t="shared" si="0"/>
        <v>17.715981662475698</v>
      </c>
      <c r="F9" s="2">
        <f t="shared" si="1"/>
        <v>313.85600626517521</v>
      </c>
    </row>
    <row r="10" spans="1:7" x14ac:dyDescent="0.25">
      <c r="A10" s="1">
        <v>42675</v>
      </c>
      <c r="B10" s="2">
        <v>3.3574999999999999</v>
      </c>
      <c r="C10" s="2">
        <v>85.831037837818002</v>
      </c>
      <c r="D10" s="2">
        <v>70.73</v>
      </c>
      <c r="E10" s="2">
        <f t="shared" si="0"/>
        <v>15.101037837817998</v>
      </c>
      <c r="F10" s="2">
        <f t="shared" si="1"/>
        <v>228.04134377921088</v>
      </c>
    </row>
    <row r="11" spans="1:7" x14ac:dyDescent="0.25">
      <c r="A11" s="1">
        <v>42644</v>
      </c>
      <c r="B11" s="2">
        <v>3.3475000000000001</v>
      </c>
      <c r="C11" s="2">
        <v>85.549620347620902</v>
      </c>
      <c r="D11" s="2">
        <v>73.040000000000006</v>
      </c>
      <c r="E11" s="2">
        <f t="shared" si="0"/>
        <v>12.509620347620896</v>
      </c>
      <c r="F11" s="2">
        <f t="shared" si="1"/>
        <v>156.49060124161073</v>
      </c>
    </row>
    <row r="12" spans="1:7" x14ac:dyDescent="0.25">
      <c r="A12" s="1">
        <v>42614</v>
      </c>
      <c r="B12" s="2">
        <v>3.32</v>
      </c>
      <c r="C12" s="2">
        <v>84.816687433661002</v>
      </c>
      <c r="D12" s="2">
        <v>75.78</v>
      </c>
      <c r="E12" s="2">
        <f t="shared" si="0"/>
        <v>9.036687433661001</v>
      </c>
      <c r="F12" s="2">
        <f t="shared" si="1"/>
        <v>81.661719773686656</v>
      </c>
    </row>
    <row r="13" spans="1:7" x14ac:dyDescent="0.25">
      <c r="A13" s="1">
        <v>42583</v>
      </c>
      <c r="B13" s="2">
        <v>3.3149999999999999</v>
      </c>
      <c r="C13" s="2">
        <v>85.447534953628406</v>
      </c>
      <c r="D13" s="2">
        <v>76.819999999999993</v>
      </c>
      <c r="E13" s="2">
        <f t="shared" si="0"/>
        <v>8.6275349536284125</v>
      </c>
      <c r="F13" s="2">
        <f t="shared" si="1"/>
        <v>74.43435937608001</v>
      </c>
    </row>
    <row r="14" spans="1:7" x14ac:dyDescent="0.25">
      <c r="A14" s="1">
        <v>42552</v>
      </c>
      <c r="B14" s="2">
        <v>3.448</v>
      </c>
      <c r="C14" s="2">
        <v>79.559422842016801</v>
      </c>
      <c r="D14" s="2">
        <v>67.739999999999995</v>
      </c>
      <c r="E14" s="2">
        <f t="shared" si="0"/>
        <v>11.819422842016806</v>
      </c>
      <c r="F14" s="2">
        <f t="shared" si="1"/>
        <v>139.69875631838863</v>
      </c>
    </row>
    <row r="15" spans="1:7" x14ac:dyDescent="0.25">
      <c r="A15" s="1">
        <v>42522</v>
      </c>
      <c r="B15" s="2">
        <v>3.4874999999999998</v>
      </c>
      <c r="C15" s="2">
        <v>82.059405411264507</v>
      </c>
      <c r="D15" s="2">
        <v>63.98</v>
      </c>
      <c r="E15" s="2">
        <f t="shared" si="0"/>
        <v>18.07940541126451</v>
      </c>
      <c r="F15" s="2">
        <f t="shared" si="1"/>
        <v>326.86490002486045</v>
      </c>
    </row>
    <row r="16" spans="1:7" x14ac:dyDescent="0.25">
      <c r="A16" s="1">
        <v>42491</v>
      </c>
      <c r="B16" s="2">
        <v>3.4925000000000002</v>
      </c>
      <c r="C16" s="2">
        <v>82.673273395177304</v>
      </c>
      <c r="D16" s="2">
        <v>60.86</v>
      </c>
      <c r="E16" s="2">
        <f t="shared" si="0"/>
        <v>21.813273395177305</v>
      </c>
      <c r="F16" s="2">
        <f t="shared" si="1"/>
        <v>475.81889621275002</v>
      </c>
    </row>
    <row r="17" spans="1:6" x14ac:dyDescent="0.25">
      <c r="A17" s="1">
        <v>42461</v>
      </c>
      <c r="B17" s="2">
        <v>3.569</v>
      </c>
      <c r="C17" s="2">
        <v>73.753162248169403</v>
      </c>
      <c r="D17" s="2">
        <v>54.22</v>
      </c>
      <c r="E17" s="2">
        <f t="shared" si="0"/>
        <v>19.533162248169404</v>
      </c>
      <c r="F17" s="2">
        <f t="shared" si="1"/>
        <v>381.54442741331042</v>
      </c>
    </row>
    <row r="18" spans="1:6" x14ac:dyDescent="0.25">
      <c r="A18" s="1">
        <v>42430</v>
      </c>
      <c r="B18" s="2">
        <v>3.5474999999999999</v>
      </c>
      <c r="C18" s="2">
        <v>72.682690524260806</v>
      </c>
      <c r="D18" s="2">
        <v>56.48</v>
      </c>
      <c r="E18" s="2">
        <f t="shared" si="0"/>
        <v>16.202690524260809</v>
      </c>
      <c r="F18" s="2">
        <f t="shared" si="1"/>
        <v>262.527180224971</v>
      </c>
    </row>
    <row r="19" spans="1:6" x14ac:dyDescent="0.25">
      <c r="A19" s="1">
        <v>42401</v>
      </c>
      <c r="B19" s="2">
        <v>3.7725</v>
      </c>
      <c r="C19" s="2">
        <v>51.209323992448603</v>
      </c>
      <c r="D19" s="2">
        <v>45.76</v>
      </c>
      <c r="E19" s="2">
        <f t="shared" si="0"/>
        <v>5.4493239924486048</v>
      </c>
      <c r="F19" s="2">
        <f t="shared" si="1"/>
        <v>29.695131974676002</v>
      </c>
    </row>
    <row r="20" spans="1:6" x14ac:dyDescent="0.25">
      <c r="A20" s="1">
        <v>42370</v>
      </c>
      <c r="B20" s="2">
        <v>3.8639999999999999</v>
      </c>
      <c r="C20" s="2">
        <v>58.484772764043598</v>
      </c>
      <c r="D20" s="2">
        <v>42.56</v>
      </c>
      <c r="E20" s="2">
        <f t="shared" si="0"/>
        <v>15.924772764043595</v>
      </c>
      <c r="F20" s="2">
        <f t="shared" si="1"/>
        <v>253.59838758642471</v>
      </c>
    </row>
    <row r="21" spans="1:6" x14ac:dyDescent="0.25">
      <c r="A21" s="1">
        <v>42339</v>
      </c>
      <c r="B21" s="2">
        <v>3.8487499999999999</v>
      </c>
      <c r="C21" s="2">
        <v>57.565169535090199</v>
      </c>
      <c r="D21" s="2">
        <v>44.06</v>
      </c>
      <c r="E21" s="2">
        <f t="shared" si="0"/>
        <v>13.505169535090197</v>
      </c>
      <c r="F21" s="2">
        <f t="shared" si="1"/>
        <v>182.38960417152836</v>
      </c>
    </row>
    <row r="22" spans="1:6" x14ac:dyDescent="0.25">
      <c r="A22" s="1">
        <v>42309</v>
      </c>
      <c r="B22" s="2">
        <v>3.6825000000000001</v>
      </c>
      <c r="C22" s="2">
        <v>63.989652059751997</v>
      </c>
      <c r="D22" s="2">
        <v>51.65</v>
      </c>
      <c r="E22" s="2">
        <f t="shared" si="0"/>
        <v>12.339652059751998</v>
      </c>
      <c r="F22" s="2">
        <f t="shared" si="1"/>
        <v>152.26701295574173</v>
      </c>
    </row>
    <row r="23" spans="1:6" x14ac:dyDescent="0.25">
      <c r="A23" s="1">
        <v>42278</v>
      </c>
      <c r="B23" s="2">
        <v>3.7869999999999999</v>
      </c>
      <c r="C23" s="2">
        <v>54.070639143810197</v>
      </c>
      <c r="D23" s="2">
        <v>48.14</v>
      </c>
      <c r="E23" s="2">
        <f t="shared" si="0"/>
        <v>5.9306391438101969</v>
      </c>
      <c r="F23" s="2">
        <f t="shared" si="1"/>
        <v>35.172480654093746</v>
      </c>
    </row>
    <row r="24" spans="1:6" x14ac:dyDescent="0.25">
      <c r="A24" s="1">
        <v>42248</v>
      </c>
      <c r="B24" s="2">
        <v>3.8050000000000002</v>
      </c>
      <c r="C24" s="2">
        <v>55.598147548238899</v>
      </c>
      <c r="D24" s="2">
        <v>48.77</v>
      </c>
      <c r="E24" s="2">
        <f t="shared" si="0"/>
        <v>6.8281475482388956</v>
      </c>
      <c r="F24" s="2">
        <f t="shared" si="1"/>
        <v>46.623598940520843</v>
      </c>
    </row>
    <row r="25" spans="1:6" x14ac:dyDescent="0.25">
      <c r="A25" s="1">
        <v>42217</v>
      </c>
      <c r="B25" s="2">
        <v>3.9460000000000002</v>
      </c>
      <c r="C25" s="2">
        <v>50.9380497312766</v>
      </c>
      <c r="D25" s="2">
        <v>41.79</v>
      </c>
      <c r="E25" s="2">
        <f t="shared" si="0"/>
        <v>9.1480497312766005</v>
      </c>
      <c r="F25" s="2">
        <f t="shared" si="1"/>
        <v>83.686813885909885</v>
      </c>
    </row>
    <row r="26" spans="1:6" x14ac:dyDescent="0.25">
      <c r="A26" s="1">
        <v>42186</v>
      </c>
      <c r="B26" s="2">
        <v>3.895</v>
      </c>
      <c r="C26" s="2">
        <v>49.872942557615801</v>
      </c>
      <c r="D26" s="2">
        <v>45.34</v>
      </c>
      <c r="E26" s="2">
        <f t="shared" si="0"/>
        <v>4.5329425576157973</v>
      </c>
      <c r="F26" s="2">
        <f t="shared" si="1"/>
        <v>20.547568230644448</v>
      </c>
    </row>
    <row r="27" spans="1:6" x14ac:dyDescent="0.25">
      <c r="A27" s="1">
        <v>42156</v>
      </c>
      <c r="B27" s="2">
        <v>3.7462499999999999</v>
      </c>
      <c r="C27" s="2">
        <v>68.148286476308797</v>
      </c>
      <c r="D27" s="2">
        <v>53.9</v>
      </c>
      <c r="E27" s="2">
        <f t="shared" si="0"/>
        <v>14.248286476308799</v>
      </c>
      <c r="F27" s="2">
        <f t="shared" si="1"/>
        <v>203.01366751096421</v>
      </c>
    </row>
    <row r="28" spans="1:6" x14ac:dyDescent="0.25">
      <c r="A28" s="1">
        <v>42125</v>
      </c>
      <c r="B28" s="2">
        <v>3.577</v>
      </c>
      <c r="C28" s="2">
        <v>74.973696989625694</v>
      </c>
      <c r="D28" s="2">
        <v>61.49</v>
      </c>
      <c r="E28" s="2">
        <f t="shared" si="0"/>
        <v>13.483696989625692</v>
      </c>
      <c r="F28" s="2">
        <f t="shared" si="1"/>
        <v>181.81008450804094</v>
      </c>
    </row>
    <row r="29" spans="1:6" x14ac:dyDescent="0.25">
      <c r="A29" s="1">
        <v>42095</v>
      </c>
      <c r="B29" s="2">
        <v>3.67</v>
      </c>
      <c r="C29" s="2">
        <v>65.177079279586295</v>
      </c>
      <c r="D29" s="2">
        <v>58.42</v>
      </c>
      <c r="E29" s="2">
        <f t="shared" si="0"/>
        <v>6.7570792795862928</v>
      </c>
      <c r="F29" s="2">
        <f t="shared" si="1"/>
        <v>45.658120390614414</v>
      </c>
    </row>
    <row r="30" spans="1:6" x14ac:dyDescent="0.25">
      <c r="A30" s="1">
        <v>42064</v>
      </c>
      <c r="B30" s="2">
        <v>3.61625</v>
      </c>
      <c r="C30" s="2">
        <v>79.094768674405401</v>
      </c>
      <c r="D30" s="2">
        <v>61.22</v>
      </c>
      <c r="E30" s="2">
        <f t="shared" si="0"/>
        <v>17.874768674405402</v>
      </c>
      <c r="F30" s="2">
        <f t="shared" si="1"/>
        <v>319.50735516350466</v>
      </c>
    </row>
    <row r="31" spans="1:6" x14ac:dyDescent="0.25">
      <c r="A31" s="1">
        <v>42036</v>
      </c>
      <c r="B31" s="2">
        <v>3.5762499999999999</v>
      </c>
      <c r="C31" s="2">
        <v>76.5950648840779</v>
      </c>
      <c r="D31" s="2">
        <v>61.42</v>
      </c>
      <c r="E31" s="2">
        <f t="shared" si="0"/>
        <v>15.175064884077898</v>
      </c>
      <c r="F31" s="2">
        <f t="shared" si="1"/>
        <v>230.28259423597413</v>
      </c>
    </row>
    <row r="32" spans="1:6" x14ac:dyDescent="0.25">
      <c r="A32" s="1">
        <v>42005</v>
      </c>
      <c r="B32" s="2">
        <v>3.754</v>
      </c>
      <c r="C32" s="2">
        <v>59.676523034375798</v>
      </c>
      <c r="D32" s="2">
        <v>55.3</v>
      </c>
      <c r="E32" s="2">
        <f t="shared" si="0"/>
        <v>4.3765230343758006</v>
      </c>
      <c r="F32" s="2">
        <f t="shared" si="1"/>
        <v>19.153953870421965</v>
      </c>
    </row>
    <row r="33" spans="1:6" x14ac:dyDescent="0.25">
      <c r="A33" s="1">
        <v>41974</v>
      </c>
      <c r="B33" s="2">
        <v>3.8725000000000001</v>
      </c>
      <c r="C33" s="2">
        <v>64.781083818144296</v>
      </c>
      <c r="D33" s="2">
        <v>49.67</v>
      </c>
      <c r="E33" s="2">
        <f t="shared" si="0"/>
        <v>15.111083818144294</v>
      </c>
      <c r="F33" s="2">
        <f t="shared" si="1"/>
        <v>228.34485415898234</v>
      </c>
    </row>
    <row r="34" spans="1:6" x14ac:dyDescent="0.25">
      <c r="A34" s="1">
        <v>41944</v>
      </c>
      <c r="B34" s="2">
        <v>3.9060000000000001</v>
      </c>
      <c r="C34" s="2">
        <v>57.506259284996702</v>
      </c>
      <c r="D34" s="2">
        <v>48.29</v>
      </c>
      <c r="E34" s="2">
        <f t="shared" ref="E34:E65" si="2">C34-D34</f>
        <v>9.2162592849967027</v>
      </c>
      <c r="F34" s="2">
        <f t="shared" si="1"/>
        <v>84.939435208287932</v>
      </c>
    </row>
    <row r="35" spans="1:6" x14ac:dyDescent="0.25">
      <c r="A35" s="1">
        <v>41913</v>
      </c>
      <c r="B35" s="2">
        <v>4.0374999999999996</v>
      </c>
      <c r="C35" s="2">
        <v>51.186055320313102</v>
      </c>
      <c r="D35" s="2">
        <v>41.33</v>
      </c>
      <c r="E35" s="2">
        <f t="shared" si="2"/>
        <v>9.8560553203131036</v>
      </c>
      <c r="F35" s="2">
        <f t="shared" si="1"/>
        <v>97.141826477072229</v>
      </c>
    </row>
    <row r="36" spans="1:6" x14ac:dyDescent="0.25">
      <c r="A36" s="1">
        <v>41883</v>
      </c>
      <c r="B36" s="2">
        <v>4.00875</v>
      </c>
      <c r="C36" s="2">
        <v>49.576849657509698</v>
      </c>
      <c r="D36" s="2">
        <v>43.31</v>
      </c>
      <c r="E36" s="2">
        <f t="shared" si="2"/>
        <v>6.2668496575096952</v>
      </c>
      <c r="F36" s="2">
        <f t="shared" si="1"/>
        <v>39.273404629829386</v>
      </c>
    </row>
    <row r="37" spans="1:6" x14ac:dyDescent="0.25">
      <c r="A37" s="1">
        <v>41852</v>
      </c>
      <c r="B37" s="2">
        <v>4.03</v>
      </c>
      <c r="C37" s="2">
        <v>51.336574045536899</v>
      </c>
      <c r="D37" s="2">
        <v>42.58</v>
      </c>
      <c r="E37" s="2">
        <f t="shared" si="2"/>
        <v>8.756574045536901</v>
      </c>
      <c r="F37" s="2">
        <f t="shared" si="1"/>
        <v>76.677589014970494</v>
      </c>
    </row>
    <row r="38" spans="1:6" x14ac:dyDescent="0.25">
      <c r="A38" s="1">
        <v>41821</v>
      </c>
      <c r="B38" s="2">
        <v>4.05</v>
      </c>
      <c r="C38" s="2">
        <v>52.926313289934299</v>
      </c>
      <c r="D38" s="2">
        <v>41.87</v>
      </c>
      <c r="E38" s="2">
        <f t="shared" si="2"/>
        <v>11.056313289934302</v>
      </c>
      <c r="F38" s="2">
        <f t="shared" si="1"/>
        <v>122.24206356517786</v>
      </c>
    </row>
    <row r="39" spans="1:6" x14ac:dyDescent="0.25">
      <c r="A39" s="1">
        <v>41791</v>
      </c>
      <c r="B39" s="2">
        <v>4.0674999999999999</v>
      </c>
      <c r="C39" s="2">
        <v>54.180257319778399</v>
      </c>
      <c r="D39" s="2">
        <v>40.26</v>
      </c>
      <c r="E39" s="2">
        <f t="shared" si="2"/>
        <v>13.920257319778401</v>
      </c>
      <c r="F39" s="2">
        <f t="shared" si="1"/>
        <v>193.77356384884413</v>
      </c>
    </row>
    <row r="40" spans="1:6" x14ac:dyDescent="0.25">
      <c r="A40" s="1">
        <v>41760</v>
      </c>
      <c r="B40" s="2">
        <v>4.2480000000000002</v>
      </c>
      <c r="C40" s="2">
        <v>49.739267836185398</v>
      </c>
      <c r="D40" s="2">
        <v>35.049999999999997</v>
      </c>
      <c r="E40" s="2">
        <f t="shared" si="2"/>
        <v>14.689267836185401</v>
      </c>
      <c r="F40" s="2">
        <f t="shared" si="1"/>
        <v>215.77458956319094</v>
      </c>
    </row>
    <row r="41" spans="1:6" x14ac:dyDescent="0.25">
      <c r="A41" s="1">
        <v>41730</v>
      </c>
      <c r="B41" s="2">
        <v>4.2487500000000002</v>
      </c>
      <c r="C41" s="2">
        <v>49.646633051268402</v>
      </c>
      <c r="D41" s="2">
        <v>36.049999999999997</v>
      </c>
      <c r="E41" s="2">
        <f t="shared" si="2"/>
        <v>13.596633051268405</v>
      </c>
      <c r="F41" s="2">
        <f t="shared" si="1"/>
        <v>184.86843033084438</v>
      </c>
    </row>
    <row r="42" spans="1:6" x14ac:dyDescent="0.25">
      <c r="A42" s="1">
        <v>41699</v>
      </c>
      <c r="B42" s="2">
        <v>4.2275</v>
      </c>
      <c r="C42" s="2">
        <v>48.436143660244298</v>
      </c>
      <c r="D42" s="2">
        <v>37.340000000000003</v>
      </c>
      <c r="E42" s="2">
        <f t="shared" si="2"/>
        <v>11.096143660244294</v>
      </c>
      <c r="F42" s="2">
        <f t="shared" si="1"/>
        <v>123.12440412877964</v>
      </c>
    </row>
    <row r="43" spans="1:6" x14ac:dyDescent="0.25">
      <c r="A43" s="1">
        <v>41671</v>
      </c>
      <c r="B43" s="2">
        <v>4.3620000000000001</v>
      </c>
      <c r="C43" s="2">
        <v>42.258965958626597</v>
      </c>
      <c r="D43" s="2">
        <v>31.82</v>
      </c>
      <c r="E43" s="2">
        <f t="shared" si="2"/>
        <v>10.438965958626596</v>
      </c>
      <c r="F43" s="2">
        <f t="shared" si="1"/>
        <v>108.97201028536489</v>
      </c>
    </row>
    <row r="44" spans="1:6" x14ac:dyDescent="0.25">
      <c r="A44" s="1">
        <v>41640</v>
      </c>
      <c r="B44" s="2">
        <v>4.37</v>
      </c>
      <c r="C44" s="2">
        <v>42.697775683193498</v>
      </c>
      <c r="D44" s="2">
        <v>32.67</v>
      </c>
      <c r="E44" s="2">
        <f t="shared" si="2"/>
        <v>10.027775683193497</v>
      </c>
      <c r="F44" s="2">
        <f t="shared" si="1"/>
        <v>100.55628515244679</v>
      </c>
    </row>
    <row r="45" spans="1:6" x14ac:dyDescent="0.25">
      <c r="A45" s="1">
        <v>41609</v>
      </c>
      <c r="B45" s="2">
        <v>4.1862500000000002</v>
      </c>
      <c r="C45" s="2">
        <v>46.396952246755603</v>
      </c>
      <c r="D45" s="2">
        <v>41.41</v>
      </c>
      <c r="E45" s="2">
        <f t="shared" si="2"/>
        <v>4.9869522467556067</v>
      </c>
      <c r="F45" s="2">
        <f t="shared" si="1"/>
        <v>24.869692711420793</v>
      </c>
    </row>
    <row r="46" spans="1:6" x14ac:dyDescent="0.25">
      <c r="A46" s="1">
        <v>41579</v>
      </c>
      <c r="B46" s="2">
        <v>4.1219999999999999</v>
      </c>
      <c r="C46" s="2">
        <v>56.994003887972703</v>
      </c>
      <c r="D46" s="2">
        <v>43.99</v>
      </c>
      <c r="E46" s="2">
        <f t="shared" si="2"/>
        <v>13.004003887972701</v>
      </c>
      <c r="F46" s="2">
        <f t="shared" si="1"/>
        <v>169.10411711840911</v>
      </c>
    </row>
    <row r="47" spans="1:6" x14ac:dyDescent="0.25">
      <c r="A47" s="1">
        <v>41548</v>
      </c>
      <c r="B47" s="2">
        <v>4.4212499999999997</v>
      </c>
      <c r="C47" s="2">
        <v>39.703301684450501</v>
      </c>
      <c r="D47" s="2">
        <v>33.4</v>
      </c>
      <c r="E47" s="2">
        <f t="shared" si="2"/>
        <v>6.3033016844505028</v>
      </c>
      <c r="F47" s="2">
        <f t="shared" si="1"/>
        <v>39.731612125196548</v>
      </c>
    </row>
    <row r="48" spans="1:6" x14ac:dyDescent="0.25">
      <c r="A48" s="1">
        <v>41518</v>
      </c>
      <c r="B48" s="2">
        <v>4.4037499999999996</v>
      </c>
      <c r="C48" s="2">
        <v>40.093240113705903</v>
      </c>
      <c r="D48" s="2">
        <v>37.200000000000003</v>
      </c>
      <c r="E48" s="2">
        <f t="shared" si="2"/>
        <v>2.8932401137059003</v>
      </c>
      <c r="F48" s="2">
        <f t="shared" si="1"/>
        <v>8.3708383555569306</v>
      </c>
    </row>
    <row r="49" spans="1:6" x14ac:dyDescent="0.25">
      <c r="A49" s="1">
        <v>41487</v>
      </c>
      <c r="B49" s="2">
        <v>4.3090000000000002</v>
      </c>
      <c r="C49" s="2">
        <v>44.394129618624397</v>
      </c>
      <c r="D49" s="2">
        <v>42.38</v>
      </c>
      <c r="E49" s="2">
        <f t="shared" si="2"/>
        <v>2.0141296186243949</v>
      </c>
      <c r="F49" s="2">
        <f t="shared" si="1"/>
        <v>4.05671812062005</v>
      </c>
    </row>
    <row r="50" spans="1:6" x14ac:dyDescent="0.25">
      <c r="A50" s="1">
        <v>41456</v>
      </c>
      <c r="B50" s="2">
        <v>4.0075000000000003</v>
      </c>
      <c r="C50" s="2">
        <v>51.730726984164299</v>
      </c>
      <c r="D50" s="2">
        <v>53.22</v>
      </c>
      <c r="E50" s="2">
        <f t="shared" si="2"/>
        <v>-1.4892730158356997</v>
      </c>
      <c r="F50" s="2">
        <f t="shared" si="1"/>
        <v>2.2179341156963601</v>
      </c>
    </row>
    <row r="51" spans="1:6" x14ac:dyDescent="0.25">
      <c r="A51" s="1">
        <v>41426</v>
      </c>
      <c r="B51" s="2">
        <v>3.4660000000000002</v>
      </c>
      <c r="C51" s="2">
        <v>80.793119427483504</v>
      </c>
      <c r="D51" s="2">
        <v>74.19</v>
      </c>
      <c r="E51" s="2">
        <f t="shared" si="2"/>
        <v>6.6031194274835059</v>
      </c>
      <c r="F51" s="2">
        <f t="shared" si="1"/>
        <v>43.601186173610103</v>
      </c>
    </row>
    <row r="52" spans="1:6" x14ac:dyDescent="0.25">
      <c r="A52" s="1">
        <v>41395</v>
      </c>
      <c r="B52" s="2">
        <v>3.3887499999999999</v>
      </c>
      <c r="C52" s="2">
        <v>81.288947065765697</v>
      </c>
      <c r="D52" s="2">
        <v>78.95</v>
      </c>
      <c r="E52" s="2">
        <f t="shared" si="2"/>
        <v>2.3389470657656943</v>
      </c>
      <c r="F52" s="2">
        <f t="shared" si="1"/>
        <v>5.4706733764539512</v>
      </c>
    </row>
    <row r="53" spans="1:6" x14ac:dyDescent="0.25">
      <c r="A53" s="1">
        <v>41365</v>
      </c>
      <c r="B53" s="2">
        <v>3.50875</v>
      </c>
      <c r="C53" s="2">
        <v>75.128141185851604</v>
      </c>
      <c r="D53" s="2">
        <v>74.56</v>
      </c>
      <c r="E53" s="2">
        <f t="shared" si="2"/>
        <v>0.56814118585160145</v>
      </c>
      <c r="F53" s="2">
        <f t="shared" si="1"/>
        <v>0.32278440706086392</v>
      </c>
    </row>
    <row r="54" spans="1:6" x14ac:dyDescent="0.25">
      <c r="A54" s="1">
        <v>41334</v>
      </c>
      <c r="B54" s="2">
        <v>3.4824999999999999</v>
      </c>
      <c r="C54" s="2">
        <v>85.649525793689193</v>
      </c>
      <c r="D54" s="2">
        <v>77.53</v>
      </c>
      <c r="E54" s="2">
        <f t="shared" si="2"/>
        <v>8.119525793689192</v>
      </c>
      <c r="F54" s="2">
        <f t="shared" si="1"/>
        <v>65.926699114384107</v>
      </c>
    </row>
    <row r="55" spans="1:6" x14ac:dyDescent="0.25">
      <c r="A55" s="1">
        <v>41306</v>
      </c>
      <c r="B55" s="2">
        <v>3.339</v>
      </c>
      <c r="C55" s="2">
        <v>89.833638686064404</v>
      </c>
      <c r="D55" s="2">
        <v>87.22</v>
      </c>
      <c r="E55" s="2">
        <f t="shared" si="2"/>
        <v>2.6136386860644052</v>
      </c>
      <c r="F55" s="2">
        <f t="shared" si="1"/>
        <v>6.8311071812924702</v>
      </c>
    </row>
    <row r="56" spans="1:6" x14ac:dyDescent="0.25">
      <c r="A56" s="1">
        <v>41275</v>
      </c>
      <c r="B56" s="2">
        <v>3.27</v>
      </c>
      <c r="C56" s="2">
        <v>90.257434638186396</v>
      </c>
      <c r="D56" s="2">
        <v>92.87</v>
      </c>
      <c r="E56" s="2">
        <f t="shared" si="2"/>
        <v>-2.6125653618136084</v>
      </c>
      <c r="F56" s="2">
        <f t="shared" si="1"/>
        <v>6.8254977697482708</v>
      </c>
    </row>
    <row r="57" spans="1:6" x14ac:dyDescent="0.25">
      <c r="A57" s="1">
        <v>41244</v>
      </c>
      <c r="B57" s="2">
        <v>3.2737500000000002</v>
      </c>
      <c r="C57" s="2">
        <v>92.418575141191695</v>
      </c>
      <c r="D57" s="2">
        <v>94.5</v>
      </c>
      <c r="E57" s="2">
        <f t="shared" si="2"/>
        <v>-2.0814248588083046</v>
      </c>
      <c r="F57" s="2">
        <f t="shared" si="1"/>
        <v>4.3323294428651709</v>
      </c>
    </row>
    <row r="58" spans="1:6" x14ac:dyDescent="0.25">
      <c r="A58" s="1">
        <v>41214</v>
      </c>
      <c r="B58" s="2">
        <v>3.3039999999999998</v>
      </c>
      <c r="C58" s="2">
        <v>94.491607101944396</v>
      </c>
      <c r="D58" s="2">
        <v>96.07</v>
      </c>
      <c r="E58" s="2">
        <f t="shared" si="2"/>
        <v>-1.578392898055597</v>
      </c>
      <c r="F58" s="2">
        <f t="shared" si="1"/>
        <v>2.4913241406323463</v>
      </c>
    </row>
    <row r="59" spans="1:6" x14ac:dyDescent="0.25">
      <c r="A59" s="1">
        <v>41183</v>
      </c>
      <c r="B59" s="2">
        <v>3.4037500000000001</v>
      </c>
      <c r="C59" s="2">
        <v>95.512411951907097</v>
      </c>
      <c r="D59" s="2">
        <v>92.63</v>
      </c>
      <c r="E59" s="2">
        <f t="shared" si="2"/>
        <v>2.8824119519071019</v>
      </c>
      <c r="F59" s="2">
        <f t="shared" si="1"/>
        <v>8.3082986604969093</v>
      </c>
    </row>
    <row r="60" spans="1:6" x14ac:dyDescent="0.25">
      <c r="A60" s="1">
        <v>41153</v>
      </c>
      <c r="B60" s="2">
        <v>3.512</v>
      </c>
      <c r="C60" s="2">
        <v>90.366255627846201</v>
      </c>
      <c r="D60" s="2">
        <v>89.15</v>
      </c>
      <c r="E60" s="2">
        <f t="shared" si="2"/>
        <v>1.2162556278461949</v>
      </c>
      <c r="F60" s="2">
        <f t="shared" si="1"/>
        <v>1.4792777522675418</v>
      </c>
    </row>
    <row r="61" spans="1:6" x14ac:dyDescent="0.25">
      <c r="A61" s="1">
        <v>41122</v>
      </c>
      <c r="B61" s="2">
        <v>3.4812500000000002</v>
      </c>
      <c r="C61" s="2">
        <v>98.410383628596193</v>
      </c>
      <c r="D61" s="2">
        <v>91.76</v>
      </c>
      <c r="E61" s="2">
        <f t="shared" si="2"/>
        <v>6.6503836285961881</v>
      </c>
      <c r="F61" s="2">
        <f t="shared" si="1"/>
        <v>44.2276024075002</v>
      </c>
    </row>
    <row r="62" spans="1:6" x14ac:dyDescent="0.25">
      <c r="A62" s="1">
        <v>41091</v>
      </c>
      <c r="B62" s="2">
        <v>3.6</v>
      </c>
      <c r="C62" s="2">
        <v>97.877311852560396</v>
      </c>
      <c r="D62" s="2">
        <v>89.97</v>
      </c>
      <c r="E62" s="2">
        <f t="shared" si="2"/>
        <v>7.9073118525603974</v>
      </c>
      <c r="F62" s="2">
        <f t="shared" si="1"/>
        <v>62.525580733642144</v>
      </c>
    </row>
    <row r="63" spans="1:6" x14ac:dyDescent="0.25">
      <c r="A63" s="1">
        <v>41061</v>
      </c>
      <c r="B63" s="2">
        <v>3.738</v>
      </c>
      <c r="C63" s="2">
        <v>94.117331055428906</v>
      </c>
      <c r="D63" s="2">
        <v>88.11</v>
      </c>
      <c r="E63" s="2">
        <f t="shared" si="2"/>
        <v>6.0073310554289066</v>
      </c>
      <c r="F63" s="2">
        <f t="shared" si="1"/>
        <v>36.08802640952058</v>
      </c>
    </row>
    <row r="64" spans="1:6" x14ac:dyDescent="0.25">
      <c r="A64" s="1">
        <v>41030</v>
      </c>
      <c r="B64" s="2">
        <v>3.8412500000000001</v>
      </c>
      <c r="C64" s="2">
        <v>91.038546345202903</v>
      </c>
      <c r="D64" s="2">
        <v>84.2</v>
      </c>
      <c r="E64" s="2">
        <f t="shared" si="2"/>
        <v>6.8385463452029001</v>
      </c>
      <c r="F64" s="2">
        <f t="shared" si="1"/>
        <v>46.76571611548794</v>
      </c>
    </row>
    <row r="65" spans="1:6" x14ac:dyDescent="0.25">
      <c r="A65" s="1">
        <v>41000</v>
      </c>
      <c r="B65" s="2">
        <v>3.9112499999999999</v>
      </c>
      <c r="C65" s="2">
        <v>90.438724305279393</v>
      </c>
      <c r="D65" s="2">
        <v>82.4</v>
      </c>
      <c r="E65" s="2">
        <f t="shared" si="2"/>
        <v>8.0387243052793877</v>
      </c>
      <c r="F65" s="2">
        <f t="shared" si="1"/>
        <v>64.62108845628957</v>
      </c>
    </row>
    <row r="66" spans="1:6" x14ac:dyDescent="0.25">
      <c r="A66" s="1">
        <v>40969</v>
      </c>
      <c r="B66" s="2">
        <v>3.8420000000000001</v>
      </c>
      <c r="C66" s="2">
        <v>93.570815591603605</v>
      </c>
      <c r="D66" s="2">
        <v>87.32</v>
      </c>
      <c r="E66" s="2">
        <f t="shared" ref="E66:E97" si="3">C66-D66</f>
        <v>6.2508155916036117</v>
      </c>
      <c r="F66" s="2">
        <f t="shared" si="1"/>
        <v>39.072695560234813</v>
      </c>
    </row>
    <row r="67" spans="1:6" x14ac:dyDescent="0.25">
      <c r="A67" s="1">
        <v>40940</v>
      </c>
      <c r="B67" s="2">
        <v>3.8525</v>
      </c>
      <c r="C67" s="2">
        <v>95.301449060933805</v>
      </c>
      <c r="D67" s="2">
        <v>88.32</v>
      </c>
      <c r="E67" s="2">
        <f t="shared" si="3"/>
        <v>6.9814490609338122</v>
      </c>
      <c r="F67" s="2">
        <f t="shared" ref="F67:F128" si="4">E67^2</f>
        <v>48.740630990413607</v>
      </c>
    </row>
    <row r="68" spans="1:6" x14ac:dyDescent="0.25">
      <c r="A68" s="1">
        <v>40909</v>
      </c>
      <c r="B68" s="2">
        <v>3.8787500000000001</v>
      </c>
      <c r="C68" s="2">
        <v>94.2370939614961</v>
      </c>
      <c r="D68" s="2">
        <v>88.11</v>
      </c>
      <c r="E68" s="2">
        <f t="shared" si="3"/>
        <v>6.1270939614961009</v>
      </c>
      <c r="F68" s="2">
        <f t="shared" si="4"/>
        <v>37.541280413001985</v>
      </c>
    </row>
    <row r="69" spans="1:6" x14ac:dyDescent="0.25">
      <c r="A69" s="1">
        <v>40878</v>
      </c>
      <c r="B69" s="2">
        <v>3.919</v>
      </c>
      <c r="C69" s="2">
        <v>95.806109511697599</v>
      </c>
      <c r="D69" s="2">
        <v>87.91</v>
      </c>
      <c r="E69" s="2">
        <f t="shared" si="3"/>
        <v>7.8961095116976026</v>
      </c>
      <c r="F69" s="2">
        <f t="shared" si="4"/>
        <v>62.348545420721351</v>
      </c>
    </row>
    <row r="70" spans="1:6" x14ac:dyDescent="0.25">
      <c r="A70" s="1">
        <v>40848</v>
      </c>
      <c r="B70" s="2">
        <v>4.0175000000000001</v>
      </c>
      <c r="C70" s="2">
        <v>90.456933935821496</v>
      </c>
      <c r="D70" s="2">
        <v>83.43</v>
      </c>
      <c r="E70" s="2">
        <f t="shared" si="3"/>
        <v>7.0269339358214893</v>
      </c>
      <c r="F70" s="2">
        <f t="shared" si="4"/>
        <v>49.377800538399683</v>
      </c>
    </row>
    <row r="71" spans="1:6" x14ac:dyDescent="0.25">
      <c r="A71" s="1">
        <v>40817</v>
      </c>
      <c r="B71" s="2">
        <v>4.0025000000000004</v>
      </c>
      <c r="C71" s="2">
        <v>90.817251317137504</v>
      </c>
      <c r="D71" s="2">
        <v>82.8</v>
      </c>
      <c r="E71" s="2">
        <f t="shared" si="3"/>
        <v>8.0172513171375073</v>
      </c>
      <c r="F71" s="2">
        <f t="shared" si="4"/>
        <v>64.276318682143099</v>
      </c>
    </row>
    <row r="72" spans="1:6" x14ac:dyDescent="0.25">
      <c r="A72" s="1">
        <v>40787</v>
      </c>
      <c r="B72" s="2">
        <v>4.1900000000000004</v>
      </c>
      <c r="C72" s="2">
        <v>88.768028172782294</v>
      </c>
      <c r="D72" s="2">
        <v>73.959999999999994</v>
      </c>
      <c r="E72" s="2">
        <f t="shared" si="3"/>
        <v>14.808028172782301</v>
      </c>
      <c r="F72" s="2">
        <f t="shared" si="4"/>
        <v>219.27769836591432</v>
      </c>
    </row>
    <row r="73" spans="1:6" x14ac:dyDescent="0.25">
      <c r="A73" s="1">
        <v>40756</v>
      </c>
      <c r="B73" s="2">
        <v>4.4762500000000003</v>
      </c>
      <c r="C73" s="2">
        <v>83.609145226209904</v>
      </c>
      <c r="D73" s="2">
        <v>55.51</v>
      </c>
      <c r="E73" s="2">
        <f t="shared" si="3"/>
        <v>28.099145226209906</v>
      </c>
      <c r="F73" s="2">
        <f t="shared" si="4"/>
        <v>789.56196244363491</v>
      </c>
    </row>
    <row r="74" spans="1:6" x14ac:dyDescent="0.25">
      <c r="A74" s="1">
        <v>40725</v>
      </c>
      <c r="B74" s="2">
        <v>4.4349999999999996</v>
      </c>
      <c r="C74" s="2">
        <v>82.316674292023507</v>
      </c>
      <c r="D74" s="2">
        <v>56.99</v>
      </c>
      <c r="E74" s="2">
        <f t="shared" si="3"/>
        <v>25.326674292023505</v>
      </c>
      <c r="F74" s="2">
        <f t="shared" si="4"/>
        <v>641.44043069424424</v>
      </c>
    </row>
    <row r="75" spans="1:6" x14ac:dyDescent="0.25">
      <c r="A75" s="1">
        <v>40695</v>
      </c>
      <c r="B75" s="2">
        <v>4.5625</v>
      </c>
      <c r="C75" s="2">
        <v>71.445476481164903</v>
      </c>
      <c r="D75" s="2">
        <v>54.58</v>
      </c>
      <c r="E75" s="2">
        <f t="shared" si="3"/>
        <v>16.865476481164904</v>
      </c>
      <c r="F75" s="2">
        <f t="shared" si="4"/>
        <v>284.44429693672652</v>
      </c>
    </row>
    <row r="76" spans="1:6" x14ac:dyDescent="0.25">
      <c r="A76" s="1">
        <v>40664</v>
      </c>
      <c r="B76" s="2">
        <v>4.75875</v>
      </c>
      <c r="C76" s="2">
        <v>58.793233731804598</v>
      </c>
      <c r="D76" s="2">
        <v>52.21</v>
      </c>
      <c r="E76" s="2">
        <f t="shared" si="3"/>
        <v>6.5832337318045973</v>
      </c>
      <c r="F76" s="2">
        <f t="shared" si="4"/>
        <v>43.338966367569881</v>
      </c>
    </row>
    <row r="77" spans="1:6" x14ac:dyDescent="0.25">
      <c r="A77" s="1">
        <v>40634</v>
      </c>
      <c r="B77" s="2">
        <v>4.7610000000000001</v>
      </c>
      <c r="C77" s="2">
        <v>59.396109989000202</v>
      </c>
      <c r="D77" s="2">
        <v>53.7</v>
      </c>
      <c r="E77" s="2">
        <f t="shared" si="3"/>
        <v>5.6961099890001989</v>
      </c>
      <c r="F77" s="2">
        <f t="shared" si="4"/>
        <v>32.445669006787845</v>
      </c>
    </row>
    <row r="78" spans="1:6" x14ac:dyDescent="0.25">
      <c r="A78" s="1">
        <v>40603</v>
      </c>
      <c r="B78" s="2">
        <v>4.8775000000000004</v>
      </c>
      <c r="C78" s="2">
        <v>54.483481061029202</v>
      </c>
      <c r="D78" s="2">
        <v>51.17</v>
      </c>
      <c r="E78" s="2">
        <f t="shared" si="3"/>
        <v>3.3134810610292007</v>
      </c>
      <c r="F78" s="2">
        <f t="shared" si="4"/>
        <v>10.979156741799198</v>
      </c>
    </row>
    <row r="79" spans="1:6" x14ac:dyDescent="0.25">
      <c r="A79" s="1">
        <v>40575</v>
      </c>
      <c r="B79" s="2">
        <v>4.6987500000000004</v>
      </c>
      <c r="C79" s="2">
        <v>63.989284422546703</v>
      </c>
      <c r="D79" s="2">
        <v>58.86</v>
      </c>
      <c r="E79" s="2">
        <f t="shared" si="3"/>
        <v>5.1292844225467036</v>
      </c>
      <c r="F79" s="2">
        <f t="shared" si="4"/>
        <v>26.309558687380271</v>
      </c>
    </row>
    <row r="80" spans="1:6" x14ac:dyDescent="0.25">
      <c r="A80" s="1">
        <v>40544</v>
      </c>
      <c r="B80" s="2">
        <v>4.649</v>
      </c>
      <c r="C80" s="2">
        <v>63.967834571407003</v>
      </c>
      <c r="D80" s="2">
        <v>61.73</v>
      </c>
      <c r="E80" s="2">
        <f t="shared" si="3"/>
        <v>2.2378345714070065</v>
      </c>
      <c r="F80" s="2">
        <f t="shared" si="4"/>
        <v>5.0079035689843803</v>
      </c>
    </row>
    <row r="81" spans="1:6" x14ac:dyDescent="0.25">
      <c r="A81" s="1">
        <v>40513</v>
      </c>
      <c r="B81" s="2">
        <v>4.2562499999999996</v>
      </c>
      <c r="C81" s="2">
        <v>88.316157943218599</v>
      </c>
      <c r="D81" s="2">
        <v>82.68</v>
      </c>
      <c r="E81" s="2">
        <f t="shared" si="3"/>
        <v>5.636157943218592</v>
      </c>
      <c r="F81" s="2">
        <f t="shared" si="4"/>
        <v>31.76627636090603</v>
      </c>
    </row>
    <row r="82" spans="1:6" x14ac:dyDescent="0.25">
      <c r="A82" s="1">
        <v>40483</v>
      </c>
      <c r="B82" s="2">
        <v>4.1749999999999998</v>
      </c>
      <c r="C82" s="2">
        <v>93.548730664992505</v>
      </c>
      <c r="D82" s="2">
        <v>90.03</v>
      </c>
      <c r="E82" s="2">
        <f t="shared" si="3"/>
        <v>3.5187306649925034</v>
      </c>
      <c r="F82" s="2">
        <f t="shared" si="4"/>
        <v>12.381465492758585</v>
      </c>
    </row>
    <row r="83" spans="1:6" x14ac:dyDescent="0.25">
      <c r="A83" s="1">
        <v>40452</v>
      </c>
      <c r="B83" s="2">
        <v>4.2759999999999998</v>
      </c>
      <c r="C83" s="2">
        <v>91.885831497871607</v>
      </c>
      <c r="D83" s="2">
        <v>87.26</v>
      </c>
      <c r="E83" s="2">
        <f t="shared" si="3"/>
        <v>4.6258314978716015</v>
      </c>
      <c r="F83" s="2">
        <f t="shared" si="4"/>
        <v>21.398317046701024</v>
      </c>
    </row>
    <row r="84" spans="1:6" x14ac:dyDescent="0.25">
      <c r="A84" s="1">
        <v>40422</v>
      </c>
      <c r="B84" s="2">
        <v>4.3525</v>
      </c>
      <c r="C84" s="2">
        <v>94.256130660967898</v>
      </c>
      <c r="D84" s="2">
        <v>81.67</v>
      </c>
      <c r="E84" s="2">
        <f t="shared" si="3"/>
        <v>12.586130660967896</v>
      </c>
      <c r="F84" s="2">
        <f t="shared" si="4"/>
        <v>158.41068501495619</v>
      </c>
    </row>
    <row r="85" spans="1:6" x14ac:dyDescent="0.25">
      <c r="A85" s="1">
        <v>40391</v>
      </c>
      <c r="B85" s="2">
        <v>4.4850000000000003</v>
      </c>
      <c r="C85" s="2">
        <v>93.730801216456499</v>
      </c>
      <c r="D85" s="2">
        <v>73.11</v>
      </c>
      <c r="E85" s="2">
        <f t="shared" si="3"/>
        <v>20.620801216456499</v>
      </c>
      <c r="F85" s="2">
        <f t="shared" si="4"/>
        <v>425.21744280861384</v>
      </c>
    </row>
    <row r="86" spans="1:6" x14ac:dyDescent="0.25">
      <c r="A86" s="1">
        <v>40360</v>
      </c>
      <c r="B86" s="2">
        <v>4.6360000000000001</v>
      </c>
      <c r="C86" s="2">
        <v>72.570726199612196</v>
      </c>
      <c r="D86" s="2">
        <v>69.709999999999994</v>
      </c>
      <c r="E86" s="2">
        <f t="shared" si="3"/>
        <v>2.860726199612202</v>
      </c>
      <c r="F86" s="2">
        <f t="shared" si="4"/>
        <v>8.1837543891476727</v>
      </c>
    </row>
    <row r="87" spans="1:6" x14ac:dyDescent="0.25">
      <c r="A87" s="1">
        <v>40330</v>
      </c>
      <c r="B87" s="2">
        <v>4.8125</v>
      </c>
      <c r="C87" s="2">
        <v>72.677808994861195</v>
      </c>
      <c r="D87" s="2">
        <v>66.47</v>
      </c>
      <c r="E87" s="2">
        <f t="shared" si="3"/>
        <v>6.2078089948611961</v>
      </c>
      <c r="F87" s="2">
        <f t="shared" si="4"/>
        <v>38.536892516679572</v>
      </c>
    </row>
    <row r="88" spans="1:6" x14ac:dyDescent="0.25">
      <c r="A88" s="1">
        <v>40299</v>
      </c>
      <c r="B88" s="2">
        <v>5.0149999999999997</v>
      </c>
      <c r="C88" s="2">
        <v>61.584871892153203</v>
      </c>
      <c r="D88" s="2">
        <v>58.49</v>
      </c>
      <c r="E88" s="2">
        <f t="shared" si="3"/>
        <v>3.0948718921532006</v>
      </c>
      <c r="F88" s="2">
        <f t="shared" si="4"/>
        <v>9.5782320288399312</v>
      </c>
    </row>
    <row r="89" spans="1:6" x14ac:dyDescent="0.25">
      <c r="A89" s="1">
        <v>40269</v>
      </c>
      <c r="B89" s="2">
        <v>4.91</v>
      </c>
      <c r="C89" s="2">
        <v>70.388059792835506</v>
      </c>
      <c r="D89" s="2">
        <v>66.790000000000006</v>
      </c>
      <c r="E89" s="2">
        <f t="shared" si="3"/>
        <v>3.5980597928354996</v>
      </c>
      <c r="F89" s="2">
        <f t="shared" si="4"/>
        <v>12.946034272819439</v>
      </c>
    </row>
    <row r="90" spans="1:6" x14ac:dyDescent="0.25">
      <c r="A90" s="1">
        <v>40238</v>
      </c>
      <c r="B90" s="2">
        <v>4.915</v>
      </c>
      <c r="C90" s="2">
        <v>71.743523253742694</v>
      </c>
      <c r="D90" s="2">
        <v>66.66</v>
      </c>
      <c r="E90" s="2">
        <f t="shared" si="3"/>
        <v>5.0835232537426975</v>
      </c>
      <c r="F90" s="2">
        <f t="shared" si="4"/>
        <v>25.842208671342743</v>
      </c>
    </row>
    <row r="91" spans="1:6" x14ac:dyDescent="0.25">
      <c r="A91" s="1">
        <v>40210</v>
      </c>
      <c r="B91" s="2">
        <v>4.9487500000000004</v>
      </c>
      <c r="C91" s="2">
        <v>74.169498997379094</v>
      </c>
      <c r="D91" s="2">
        <v>66.41</v>
      </c>
      <c r="E91" s="2">
        <f t="shared" si="3"/>
        <v>7.7594989973790973</v>
      </c>
      <c r="F91" s="2">
        <f t="shared" si="4"/>
        <v>60.209824690327217</v>
      </c>
    </row>
    <row r="92" spans="1:6" x14ac:dyDescent="0.25">
      <c r="A92" s="1">
        <v>40179</v>
      </c>
      <c r="B92" s="2">
        <v>4.8550000000000004</v>
      </c>
      <c r="C92" s="2">
        <v>77.497406962050803</v>
      </c>
      <c r="D92" s="2">
        <v>71.17</v>
      </c>
      <c r="E92" s="2">
        <f t="shared" si="3"/>
        <v>6.3274069620508016</v>
      </c>
      <c r="F92" s="2">
        <f t="shared" si="4"/>
        <v>40.036078863408953</v>
      </c>
    </row>
    <row r="93" spans="1:6" x14ac:dyDescent="0.25">
      <c r="A93" s="1">
        <v>40148</v>
      </c>
      <c r="B93" s="2">
        <v>4.8</v>
      </c>
      <c r="C93" s="2">
        <v>78.010087725979304</v>
      </c>
      <c r="D93" s="2">
        <v>75.5</v>
      </c>
      <c r="E93" s="2">
        <f t="shared" si="3"/>
        <v>2.5100877259793037</v>
      </c>
      <c r="F93" s="2">
        <f t="shared" si="4"/>
        <v>6.3005403921119525</v>
      </c>
    </row>
    <row r="94" spans="1:6" x14ac:dyDescent="0.25">
      <c r="A94" s="1">
        <v>40118</v>
      </c>
      <c r="B94" s="2">
        <v>4.88</v>
      </c>
      <c r="C94" s="2">
        <v>75.972484255306597</v>
      </c>
      <c r="D94" s="2">
        <v>74.290000000000006</v>
      </c>
      <c r="E94" s="2">
        <f t="shared" si="3"/>
        <v>1.6824842553065906</v>
      </c>
      <c r="F94" s="2">
        <f t="shared" si="4"/>
        <v>2.8307532693545729</v>
      </c>
    </row>
    <row r="95" spans="1:6" x14ac:dyDescent="0.25">
      <c r="A95" s="1">
        <v>40087</v>
      </c>
      <c r="B95" s="2">
        <v>4.9539999999999997</v>
      </c>
      <c r="C95" s="2">
        <v>78.491218089382102</v>
      </c>
      <c r="D95" s="2">
        <v>70.790000000000006</v>
      </c>
      <c r="E95" s="2">
        <f t="shared" si="3"/>
        <v>7.7012180893820954</v>
      </c>
      <c r="F95" s="2">
        <f t="shared" si="4"/>
        <v>59.308760060226014</v>
      </c>
    </row>
    <row r="96" spans="1:6" x14ac:dyDescent="0.25">
      <c r="A96" s="1">
        <v>40057</v>
      </c>
      <c r="B96" s="2">
        <v>5.1112500000000001</v>
      </c>
      <c r="C96" s="2">
        <v>77.025946300940802</v>
      </c>
      <c r="D96" s="2">
        <v>65.89</v>
      </c>
      <c r="E96" s="2">
        <f t="shared" si="3"/>
        <v>11.135946300940802</v>
      </c>
      <c r="F96" s="2">
        <f t="shared" si="4"/>
        <v>124.00930001743713</v>
      </c>
    </row>
    <row r="97" spans="1:6" x14ac:dyDescent="0.25">
      <c r="A97" s="1">
        <v>40026</v>
      </c>
      <c r="B97" s="2">
        <v>5.1470000000000002</v>
      </c>
      <c r="C97" s="2">
        <v>67.294224780636</v>
      </c>
      <c r="D97" s="2">
        <v>66.95</v>
      </c>
      <c r="E97" s="2">
        <f t="shared" si="3"/>
        <v>0.34422478063599726</v>
      </c>
      <c r="F97" s="2">
        <f t="shared" si="4"/>
        <v>0.11849069960390043</v>
      </c>
    </row>
    <row r="98" spans="1:6" x14ac:dyDescent="0.25">
      <c r="A98" s="1">
        <v>39995</v>
      </c>
      <c r="B98" s="2">
        <v>5.3449999999999998</v>
      </c>
      <c r="C98" s="2">
        <v>66.929132791450996</v>
      </c>
      <c r="D98" s="2">
        <v>24.63</v>
      </c>
      <c r="E98" s="2">
        <f t="shared" ref="E98:E128" si="5">C98-D98</f>
        <v>42.299132791451001</v>
      </c>
      <c r="F98" s="2">
        <f t="shared" si="4"/>
        <v>1789.2166349088054</v>
      </c>
    </row>
    <row r="99" spans="1:6" x14ac:dyDescent="0.25">
      <c r="A99" s="1">
        <v>39965</v>
      </c>
      <c r="B99" s="2">
        <v>4.7762500000000001</v>
      </c>
      <c r="C99" s="2">
        <v>85.084159389774499</v>
      </c>
      <c r="D99" s="2">
        <v>74.86</v>
      </c>
      <c r="E99" s="2">
        <f t="shared" si="5"/>
        <v>10.224159389774499</v>
      </c>
      <c r="F99" s="2">
        <f t="shared" si="4"/>
        <v>104.53343522751406</v>
      </c>
    </row>
    <row r="100" spans="1:6" x14ac:dyDescent="0.25">
      <c r="A100" s="1">
        <v>39934</v>
      </c>
      <c r="B100" s="2">
        <v>4.7300000000000004</v>
      </c>
      <c r="C100" s="2">
        <v>91.368461790770596</v>
      </c>
      <c r="D100" s="2">
        <v>81.87</v>
      </c>
      <c r="E100" s="2">
        <f t="shared" si="5"/>
        <v>9.4984617907705911</v>
      </c>
      <c r="F100" s="2">
        <f t="shared" si="4"/>
        <v>90.220776390728858</v>
      </c>
    </row>
    <row r="101" spans="1:6" x14ac:dyDescent="0.25">
      <c r="A101" s="1">
        <v>39904</v>
      </c>
      <c r="B101" s="2">
        <v>4.9275000000000002</v>
      </c>
      <c r="C101" s="2">
        <v>89.476022484668903</v>
      </c>
      <c r="D101" s="2">
        <v>70.3</v>
      </c>
      <c r="E101" s="2">
        <f t="shared" si="5"/>
        <v>19.176022484668906</v>
      </c>
      <c r="F101" s="2">
        <f t="shared" si="4"/>
        <v>367.71983833252744</v>
      </c>
    </row>
    <row r="102" spans="1:6" x14ac:dyDescent="0.25">
      <c r="A102" s="1">
        <v>39873</v>
      </c>
      <c r="B102" s="2">
        <v>5.0612500000000002</v>
      </c>
      <c r="C102" s="2">
        <v>88.196688200873595</v>
      </c>
      <c r="D102" s="2">
        <v>58.21</v>
      </c>
      <c r="E102" s="2">
        <f t="shared" si="5"/>
        <v>29.986688200873594</v>
      </c>
      <c r="F102" s="2">
        <f t="shared" si="4"/>
        <v>899.20146925641166</v>
      </c>
    </row>
    <row r="103" spans="1:6" x14ac:dyDescent="0.25">
      <c r="A103" s="1">
        <v>39845</v>
      </c>
      <c r="B103" s="2">
        <v>4.9662499999999996</v>
      </c>
      <c r="C103" s="2">
        <v>95.801184897050405</v>
      </c>
      <c r="D103" s="2">
        <v>69.290000000000006</v>
      </c>
      <c r="E103" s="2">
        <f t="shared" si="5"/>
        <v>26.511184897050398</v>
      </c>
      <c r="F103" s="2">
        <f t="shared" si="4"/>
        <v>702.84292464559314</v>
      </c>
    </row>
    <row r="104" spans="1:6" x14ac:dyDescent="0.25">
      <c r="A104" s="1">
        <v>39814</v>
      </c>
      <c r="B104" s="2">
        <v>5.2160000000000002</v>
      </c>
      <c r="C104" s="2">
        <v>88.704583754067301</v>
      </c>
      <c r="D104" s="2">
        <v>47</v>
      </c>
      <c r="E104" s="2">
        <f t="shared" si="5"/>
        <v>41.704583754067301</v>
      </c>
      <c r="F104" s="2">
        <f t="shared" si="4"/>
        <v>1739.2723061000142</v>
      </c>
    </row>
    <row r="105" spans="1:6" x14ac:dyDescent="0.25">
      <c r="A105" s="1">
        <v>39783</v>
      </c>
      <c r="B105" s="2">
        <v>6.0125000000000002</v>
      </c>
      <c r="C105" s="2">
        <v>25.112539995186999</v>
      </c>
      <c r="D105" s="2">
        <v>6.33</v>
      </c>
      <c r="E105" s="2">
        <f t="shared" si="5"/>
        <v>18.782539995187001</v>
      </c>
      <c r="F105" s="2">
        <f t="shared" si="4"/>
        <v>352.78380867079932</v>
      </c>
    </row>
    <row r="106" spans="1:6" x14ac:dyDescent="0.25">
      <c r="A106" s="1">
        <v>39753</v>
      </c>
      <c r="B106" s="2">
        <v>6.1050000000000004</v>
      </c>
      <c r="C106" s="2">
        <v>32.247446493251601</v>
      </c>
      <c r="D106" s="2">
        <v>6.13</v>
      </c>
      <c r="E106" s="2">
        <f t="shared" si="5"/>
        <v>26.117446493251602</v>
      </c>
      <c r="F106" s="2">
        <f t="shared" si="4"/>
        <v>682.1210113278604</v>
      </c>
    </row>
    <row r="107" spans="1:6" x14ac:dyDescent="0.25">
      <c r="A107" s="1">
        <v>39722</v>
      </c>
      <c r="B107" s="2">
        <v>5.9562499999999998</v>
      </c>
      <c r="C107" s="2">
        <v>37.9995934315697</v>
      </c>
      <c r="D107" s="2">
        <v>8.9700000000000006</v>
      </c>
      <c r="E107" s="2">
        <f t="shared" si="5"/>
        <v>29.029593431569701</v>
      </c>
      <c r="F107" s="2">
        <f t="shared" si="4"/>
        <v>842.71729480223473</v>
      </c>
    </row>
    <row r="108" spans="1:6" x14ac:dyDescent="0.25">
      <c r="A108" s="1">
        <v>39692</v>
      </c>
      <c r="B108" s="2">
        <v>6.3962500000000002</v>
      </c>
      <c r="C108" s="2">
        <v>10.2011747382601</v>
      </c>
      <c r="D108" s="2">
        <v>3.32</v>
      </c>
      <c r="E108" s="2">
        <f t="shared" si="5"/>
        <v>6.8811747382600998</v>
      </c>
      <c r="F108" s="2">
        <f t="shared" si="4"/>
        <v>47.350565778468955</v>
      </c>
    </row>
    <row r="109" spans="1:6" x14ac:dyDescent="0.25">
      <c r="A109" s="1">
        <v>39661</v>
      </c>
      <c r="B109" s="2">
        <v>6.3310000000000004</v>
      </c>
      <c r="C109" s="2">
        <v>15.5394279549731</v>
      </c>
      <c r="D109" s="2">
        <v>4</v>
      </c>
      <c r="E109" s="2">
        <f t="shared" si="5"/>
        <v>11.5394279549731</v>
      </c>
      <c r="F109" s="2">
        <f t="shared" si="4"/>
        <v>133.15839752801466</v>
      </c>
    </row>
    <row r="110" spans="1:6" x14ac:dyDescent="0.25">
      <c r="A110" s="1">
        <v>39630</v>
      </c>
      <c r="B110" s="2">
        <v>6.2324999999999999</v>
      </c>
      <c r="C110" s="2">
        <v>23.329393141078899</v>
      </c>
      <c r="D110" s="2">
        <v>5.29</v>
      </c>
      <c r="E110" s="2">
        <f t="shared" si="5"/>
        <v>18.0393931410789</v>
      </c>
      <c r="F110" s="2">
        <f t="shared" si="4"/>
        <v>325.41970489840446</v>
      </c>
    </row>
    <row r="111" spans="1:6" x14ac:dyDescent="0.25">
      <c r="A111" s="1">
        <v>39600</v>
      </c>
      <c r="B111" s="2">
        <v>5.9050000000000002</v>
      </c>
      <c r="C111" s="2">
        <v>34.743941110538898</v>
      </c>
      <c r="D111" s="2">
        <v>10.83</v>
      </c>
      <c r="E111" s="2">
        <f t="shared" si="5"/>
        <v>23.9139411105389</v>
      </c>
      <c r="F111" s="2">
        <f t="shared" si="4"/>
        <v>571.87657943832244</v>
      </c>
    </row>
    <row r="112" spans="1:6" x14ac:dyDescent="0.25">
      <c r="A112" s="1">
        <v>39569</v>
      </c>
      <c r="B112" s="2">
        <v>5.8010000000000002</v>
      </c>
      <c r="C112" s="2">
        <v>42.704425193732597</v>
      </c>
      <c r="D112" s="2">
        <v>17.63</v>
      </c>
      <c r="E112" s="2">
        <f t="shared" si="5"/>
        <v>25.074425193732598</v>
      </c>
      <c r="F112" s="2">
        <f t="shared" si="4"/>
        <v>628.726798796092</v>
      </c>
    </row>
    <row r="113" spans="1:6" x14ac:dyDescent="0.25">
      <c r="A113" s="1">
        <v>39539</v>
      </c>
      <c r="B113" s="2">
        <v>5.8387500000000001</v>
      </c>
      <c r="C113" s="2">
        <v>45.360700008040901</v>
      </c>
      <c r="D113" s="2">
        <v>19.190000000000001</v>
      </c>
      <c r="E113" s="2">
        <f t="shared" si="5"/>
        <v>26.1707000080409</v>
      </c>
      <c r="F113" s="2">
        <f t="shared" si="4"/>
        <v>684.905538910872</v>
      </c>
    </row>
    <row r="114" spans="1:6" x14ac:dyDescent="0.25">
      <c r="A114" s="1">
        <v>39508</v>
      </c>
      <c r="B114" s="2">
        <v>5.7862499999999999</v>
      </c>
      <c r="C114" s="2">
        <v>43.339879273158203</v>
      </c>
      <c r="D114" s="2">
        <v>26.38</v>
      </c>
      <c r="E114" s="2">
        <f t="shared" si="5"/>
        <v>16.959879273158204</v>
      </c>
      <c r="F114" s="2">
        <f t="shared" si="4"/>
        <v>287.63750496010124</v>
      </c>
    </row>
    <row r="115" spans="1:6" x14ac:dyDescent="0.25">
      <c r="A115" s="1">
        <v>39479</v>
      </c>
      <c r="B115" s="2">
        <v>5.6180000000000003</v>
      </c>
      <c r="C115" s="2">
        <v>70.400441774824202</v>
      </c>
      <c r="D115" s="2">
        <v>38.49</v>
      </c>
      <c r="E115" s="2">
        <f t="shared" si="5"/>
        <v>31.9104417748242</v>
      </c>
      <c r="F115" s="2">
        <f t="shared" si="4"/>
        <v>1018.2762942644455</v>
      </c>
    </row>
    <row r="116" spans="1:6" x14ac:dyDescent="0.25">
      <c r="A116" s="1">
        <v>39448</v>
      </c>
      <c r="B116" s="2">
        <v>5.9574999999999996</v>
      </c>
      <c r="C116" s="2">
        <v>40.5384319472534</v>
      </c>
      <c r="D116" s="2">
        <v>16.16</v>
      </c>
      <c r="E116" s="2">
        <f t="shared" si="5"/>
        <v>24.3784319472534</v>
      </c>
      <c r="F116" s="2">
        <f t="shared" si="4"/>
        <v>594.30794420686516</v>
      </c>
    </row>
    <row r="117" spans="1:6" x14ac:dyDescent="0.25">
      <c r="A117" s="1">
        <v>39417</v>
      </c>
      <c r="B117" s="2">
        <v>6.0575000000000001</v>
      </c>
      <c r="C117" s="2">
        <v>31.207303555751501</v>
      </c>
      <c r="D117" s="2">
        <v>11.53</v>
      </c>
      <c r="E117" s="2">
        <f t="shared" si="5"/>
        <v>19.6773035557515</v>
      </c>
      <c r="F117" s="2">
        <f t="shared" si="4"/>
        <v>387.19627522519062</v>
      </c>
    </row>
    <row r="118" spans="1:6" x14ac:dyDescent="0.25">
      <c r="A118" s="1">
        <v>39387</v>
      </c>
      <c r="B118" s="2">
        <v>6.2169999999999996</v>
      </c>
      <c r="C118" s="2">
        <v>24.534616872896901</v>
      </c>
      <c r="D118" s="2">
        <v>7.55</v>
      </c>
      <c r="E118" s="2">
        <f t="shared" si="5"/>
        <v>16.9846168728969</v>
      </c>
      <c r="F118" s="2">
        <f t="shared" si="4"/>
        <v>288.47721031909407</v>
      </c>
    </row>
    <row r="119" spans="1:6" x14ac:dyDescent="0.25">
      <c r="A119" s="1">
        <v>39356</v>
      </c>
      <c r="B119" s="2">
        <v>6.2575000000000003</v>
      </c>
      <c r="C119" s="2">
        <v>14.014194350091399</v>
      </c>
      <c r="D119" s="2">
        <v>7.52</v>
      </c>
      <c r="E119" s="2">
        <f t="shared" si="5"/>
        <v>6.4941943500913997</v>
      </c>
      <c r="F119" s="2">
        <f t="shared" si="4"/>
        <v>42.174560256759058</v>
      </c>
    </row>
    <row r="120" spans="1:6" x14ac:dyDescent="0.25">
      <c r="A120" s="1">
        <v>39326</v>
      </c>
      <c r="B120" s="2">
        <v>6.4219999999999997</v>
      </c>
      <c r="C120" s="2">
        <v>11.293280635077499</v>
      </c>
      <c r="D120" s="2">
        <v>5.49</v>
      </c>
      <c r="E120" s="2">
        <f t="shared" si="5"/>
        <v>5.803280635077499</v>
      </c>
      <c r="F120" s="2">
        <f t="shared" si="4"/>
        <v>33.678066129465499</v>
      </c>
    </row>
    <row r="121" spans="1:6" x14ac:dyDescent="0.25">
      <c r="A121" s="1">
        <v>39295</v>
      </c>
      <c r="B121" s="2">
        <v>6.5449999999999999</v>
      </c>
      <c r="C121" s="2">
        <v>7.5350589178715</v>
      </c>
      <c r="D121" s="2">
        <v>4.1900000000000004</v>
      </c>
      <c r="E121" s="2">
        <f t="shared" si="5"/>
        <v>3.3450589178714996</v>
      </c>
      <c r="F121" s="2">
        <f t="shared" si="4"/>
        <v>11.189419164031648</v>
      </c>
    </row>
    <row r="122" spans="1:6" x14ac:dyDescent="0.25">
      <c r="A122" s="1">
        <v>39264</v>
      </c>
      <c r="B122" s="2">
        <v>6.5137499999999999</v>
      </c>
      <c r="C122" s="2">
        <v>6.4629386124095403</v>
      </c>
      <c r="D122" s="2">
        <v>4.6399999999999997</v>
      </c>
      <c r="E122" s="2">
        <f t="shared" si="5"/>
        <v>1.8229386124095406</v>
      </c>
      <c r="F122" s="2">
        <f t="shared" si="4"/>
        <v>3.3231051846136213</v>
      </c>
    </row>
    <row r="123" spans="1:6" x14ac:dyDescent="0.25">
      <c r="A123" s="1">
        <v>39234</v>
      </c>
      <c r="B123" s="2">
        <v>6.1219999999999999</v>
      </c>
      <c r="C123" s="2">
        <v>30.081332795243501</v>
      </c>
      <c r="D123" s="2">
        <v>11.53</v>
      </c>
      <c r="E123" s="2">
        <f t="shared" si="5"/>
        <v>18.551332795243503</v>
      </c>
      <c r="F123" s="2">
        <f t="shared" si="4"/>
        <v>344.15194847987715</v>
      </c>
    </row>
    <row r="124" spans="1:6" x14ac:dyDescent="0.25">
      <c r="A124" s="1">
        <v>39203</v>
      </c>
      <c r="B124" s="2">
        <v>6.0425000000000004</v>
      </c>
      <c r="C124" s="2">
        <v>24.7164299659185</v>
      </c>
      <c r="D124" s="2">
        <v>13.59</v>
      </c>
      <c r="E124" s="2">
        <f t="shared" si="5"/>
        <v>11.126429965918501</v>
      </c>
      <c r="F124" s="2">
        <f t="shared" si="4"/>
        <v>123.79744378648917</v>
      </c>
    </row>
    <row r="125" spans="1:6" x14ac:dyDescent="0.25">
      <c r="A125" s="1">
        <v>39173</v>
      </c>
      <c r="B125" s="2">
        <v>6.0062499999999996</v>
      </c>
      <c r="C125" s="2">
        <v>22.391232268710102</v>
      </c>
      <c r="D125" s="2">
        <v>15.08</v>
      </c>
      <c r="E125" s="2">
        <f t="shared" si="5"/>
        <v>7.3112322687101017</v>
      </c>
      <c r="F125" s="2">
        <f t="shared" si="4"/>
        <v>53.454117287027863</v>
      </c>
    </row>
    <row r="126" spans="1:6" x14ac:dyDescent="0.25">
      <c r="A126" s="1">
        <v>39142</v>
      </c>
      <c r="B126" s="2">
        <v>6.0949999999999998</v>
      </c>
      <c r="C126" s="2">
        <v>28.164795603972301</v>
      </c>
      <c r="D126" s="2">
        <v>11.02</v>
      </c>
      <c r="E126" s="2">
        <f t="shared" si="5"/>
        <v>17.144795603972302</v>
      </c>
      <c r="F126" s="2">
        <f t="shared" si="4"/>
        <v>293.94401630198797</v>
      </c>
    </row>
    <row r="127" spans="1:6" x14ac:dyDescent="0.25">
      <c r="A127" s="1">
        <v>39114</v>
      </c>
      <c r="B127" s="2">
        <v>6.0919999999999996</v>
      </c>
      <c r="C127" s="2">
        <v>28.011812734814601</v>
      </c>
      <c r="D127" s="2">
        <v>13.28</v>
      </c>
      <c r="E127" s="2">
        <f t="shared" si="5"/>
        <v>14.731812734814602</v>
      </c>
      <c r="F127" s="2">
        <f t="shared" si="4"/>
        <v>217.02630645364567</v>
      </c>
    </row>
    <row r="128" spans="1:6" x14ac:dyDescent="0.25">
      <c r="A128" s="1">
        <v>39083</v>
      </c>
      <c r="B128" s="2">
        <v>5.99125</v>
      </c>
      <c r="C128" s="2">
        <v>35.565954996701798</v>
      </c>
      <c r="D128" s="2">
        <v>16.350000000000001</v>
      </c>
      <c r="E128" s="2">
        <f t="shared" si="5"/>
        <v>19.215954996701797</v>
      </c>
      <c r="F128" s="2">
        <f t="shared" si="4"/>
        <v>369.25292643526876</v>
      </c>
    </row>
  </sheetData>
  <sortState ref="A2:E224">
    <sortCondition descending="1" ref="A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28"/>
  <sheetViews>
    <sheetView workbookViewId="0">
      <selection activeCell="G2" sqref="G2"/>
    </sheetView>
  </sheetViews>
  <sheetFormatPr defaultRowHeight="15" x14ac:dyDescent="0.25"/>
  <sheetData>
    <row r="1" spans="1:7" x14ac:dyDescent="0.25">
      <c r="A1" t="s">
        <v>1</v>
      </c>
      <c r="B1" t="s">
        <v>0</v>
      </c>
      <c r="C1" t="s">
        <v>2</v>
      </c>
      <c r="D1" t="s">
        <v>3</v>
      </c>
      <c r="E1" s="2" t="s">
        <v>4</v>
      </c>
      <c r="G1" s="2" t="s">
        <v>5</v>
      </c>
    </row>
    <row r="2" spans="1:7" x14ac:dyDescent="0.25">
      <c r="A2" s="1">
        <v>42917</v>
      </c>
      <c r="B2">
        <v>3.77</v>
      </c>
      <c r="C2">
        <v>41.4502407179531</v>
      </c>
      <c r="D2">
        <v>34.19</v>
      </c>
      <c r="E2" s="2">
        <f>C2-D2</f>
        <v>7.2602407179531028</v>
      </c>
      <c r="F2" s="2">
        <f>E2^2</f>
        <v>52.711095282624186</v>
      </c>
      <c r="G2">
        <f>SQRT(AVERAGE(F2:F128))</f>
        <v>9.8180305019724887</v>
      </c>
    </row>
    <row r="3" spans="1:7" x14ac:dyDescent="0.25">
      <c r="A3" s="1">
        <v>42887</v>
      </c>
      <c r="B3">
        <v>3.871</v>
      </c>
      <c r="C3">
        <v>37.815655802459602</v>
      </c>
      <c r="D3">
        <v>29.65</v>
      </c>
      <c r="E3" s="2">
        <f t="shared" ref="E3:E66" si="0">C3-D3</f>
        <v>8.1656558024596038</v>
      </c>
      <c r="F3" s="2">
        <f t="shared" ref="F3:F66" si="1">E3^2</f>
        <v>66.677934684242189</v>
      </c>
    </row>
    <row r="4" spans="1:7" x14ac:dyDescent="0.25">
      <c r="A4" s="1">
        <v>42856</v>
      </c>
      <c r="B4">
        <v>3.92</v>
      </c>
      <c r="C4">
        <v>35.8237559063367</v>
      </c>
      <c r="D4">
        <v>28.57</v>
      </c>
      <c r="E4" s="2">
        <f t="shared" si="0"/>
        <v>7.2537559063366999</v>
      </c>
      <c r="F4" s="2">
        <f t="shared" si="1"/>
        <v>52.616974748714561</v>
      </c>
    </row>
    <row r="5" spans="1:7" x14ac:dyDescent="0.25">
      <c r="A5" s="1">
        <v>42826</v>
      </c>
      <c r="B5">
        <v>4.0709999999999997</v>
      </c>
      <c r="C5">
        <v>23.744684135819799</v>
      </c>
      <c r="D5">
        <v>22.67</v>
      </c>
      <c r="E5" s="2">
        <f t="shared" si="0"/>
        <v>1.0746841358197976</v>
      </c>
      <c r="F5" s="2">
        <f t="shared" si="1"/>
        <v>1.1549459917827452</v>
      </c>
    </row>
    <row r="6" spans="1:7" x14ac:dyDescent="0.25">
      <c r="A6" s="1">
        <v>42795</v>
      </c>
      <c r="B6">
        <v>4.0362499999999999</v>
      </c>
      <c r="C6">
        <v>27.7604458650328</v>
      </c>
      <c r="D6">
        <v>25.51</v>
      </c>
      <c r="E6" s="2">
        <f t="shared" si="0"/>
        <v>2.2504458650327983</v>
      </c>
      <c r="F6" s="2">
        <f t="shared" si="1"/>
        <v>5.0645065914432195</v>
      </c>
    </row>
    <row r="7" spans="1:7" x14ac:dyDescent="0.25">
      <c r="A7" s="1">
        <v>42767</v>
      </c>
      <c r="B7">
        <v>4.0187499999999998</v>
      </c>
      <c r="C7">
        <v>27.362884198863402</v>
      </c>
      <c r="D7">
        <v>27.36</v>
      </c>
      <c r="E7" s="2">
        <f t="shared" si="0"/>
        <v>2.8841988634020765E-3</v>
      </c>
      <c r="F7" s="2">
        <f t="shared" si="1"/>
        <v>8.3186030836498298E-6</v>
      </c>
    </row>
    <row r="8" spans="1:7" x14ac:dyDescent="0.25">
      <c r="A8" s="1">
        <v>42736</v>
      </c>
      <c r="B8">
        <v>4.1025</v>
      </c>
      <c r="C8">
        <v>22.7052470578476</v>
      </c>
      <c r="D8">
        <v>20.46</v>
      </c>
      <c r="E8" s="2">
        <f t="shared" si="0"/>
        <v>2.2452470578475996</v>
      </c>
      <c r="F8" s="2">
        <f t="shared" si="1"/>
        <v>5.0411343507733024</v>
      </c>
    </row>
    <row r="9" spans="1:7" x14ac:dyDescent="0.25">
      <c r="A9" s="1">
        <v>42705</v>
      </c>
      <c r="B9">
        <v>3.7069999999999999</v>
      </c>
      <c r="C9">
        <v>43.1468263441758</v>
      </c>
      <c r="D9">
        <v>38.380000000000003</v>
      </c>
      <c r="E9" s="2">
        <f t="shared" si="0"/>
        <v>4.7668263441757972</v>
      </c>
      <c r="F9" s="2">
        <f t="shared" si="1"/>
        <v>22.722633395528394</v>
      </c>
    </row>
    <row r="10" spans="1:7" x14ac:dyDescent="0.25">
      <c r="A10" s="1">
        <v>42675</v>
      </c>
      <c r="B10">
        <v>3.3574999999999999</v>
      </c>
      <c r="C10">
        <v>69.241126508483106</v>
      </c>
      <c r="D10">
        <v>70.73</v>
      </c>
      <c r="E10" s="2">
        <f t="shared" si="0"/>
        <v>-1.4888734915168982</v>
      </c>
      <c r="F10" s="2">
        <f t="shared" si="1"/>
        <v>2.2167442737417189</v>
      </c>
    </row>
    <row r="11" spans="1:7" x14ac:dyDescent="0.25">
      <c r="A11" s="1">
        <v>42644</v>
      </c>
      <c r="B11">
        <v>3.3475000000000001</v>
      </c>
      <c r="C11">
        <v>77.2195052951311</v>
      </c>
      <c r="D11">
        <v>73.040000000000006</v>
      </c>
      <c r="E11" s="2">
        <f t="shared" si="0"/>
        <v>4.1795052951310936</v>
      </c>
      <c r="F11" s="2">
        <f t="shared" si="1"/>
        <v>17.468264512028849</v>
      </c>
    </row>
    <row r="12" spans="1:7" x14ac:dyDescent="0.25">
      <c r="A12" s="1">
        <v>42614</v>
      </c>
      <c r="B12">
        <v>3.32</v>
      </c>
      <c r="C12">
        <v>76.189110508845701</v>
      </c>
      <c r="D12">
        <v>75.78</v>
      </c>
      <c r="E12" s="2">
        <f t="shared" si="0"/>
        <v>0.40911050884569988</v>
      </c>
      <c r="F12" s="2">
        <f t="shared" si="1"/>
        <v>0.16737140844798748</v>
      </c>
    </row>
    <row r="13" spans="1:7" x14ac:dyDescent="0.25">
      <c r="A13" s="1">
        <v>42583</v>
      </c>
      <c r="B13">
        <v>3.3149999999999999</v>
      </c>
      <c r="C13">
        <v>77.469100857787595</v>
      </c>
      <c r="D13">
        <v>76.819999999999993</v>
      </c>
      <c r="E13" s="2">
        <f t="shared" si="0"/>
        <v>0.64910085778760163</v>
      </c>
      <c r="F13" s="2">
        <f t="shared" si="1"/>
        <v>0.42133192358060023</v>
      </c>
    </row>
    <row r="14" spans="1:7" x14ac:dyDescent="0.25">
      <c r="A14" s="1">
        <v>42552</v>
      </c>
      <c r="B14">
        <v>3.448</v>
      </c>
      <c r="C14">
        <v>74.618789565004704</v>
      </c>
      <c r="D14">
        <v>67.739999999999995</v>
      </c>
      <c r="E14" s="2">
        <f t="shared" si="0"/>
        <v>6.8787895650047091</v>
      </c>
      <c r="F14" s="2">
        <f t="shared" si="1"/>
        <v>47.317745879617675</v>
      </c>
    </row>
    <row r="15" spans="1:7" x14ac:dyDescent="0.25">
      <c r="A15" s="1">
        <v>42522</v>
      </c>
      <c r="B15">
        <v>3.4874999999999998</v>
      </c>
      <c r="C15">
        <v>73.168184669925196</v>
      </c>
      <c r="D15">
        <v>63.98</v>
      </c>
      <c r="E15" s="2">
        <f t="shared" si="0"/>
        <v>9.1881846699251994</v>
      </c>
      <c r="F15" s="2">
        <f t="shared" si="1"/>
        <v>84.42273752864844</v>
      </c>
    </row>
    <row r="16" spans="1:7" x14ac:dyDescent="0.25">
      <c r="A16" s="1">
        <v>42491</v>
      </c>
      <c r="B16">
        <v>3.4925000000000002</v>
      </c>
      <c r="C16">
        <v>74.434376136044506</v>
      </c>
      <c r="D16">
        <v>60.86</v>
      </c>
      <c r="E16" s="2">
        <f t="shared" si="0"/>
        <v>13.574376136044506</v>
      </c>
      <c r="F16" s="2">
        <f t="shared" si="1"/>
        <v>184.26368748281459</v>
      </c>
    </row>
    <row r="17" spans="1:6" x14ac:dyDescent="0.25">
      <c r="A17" s="1">
        <v>42461</v>
      </c>
      <c r="B17">
        <v>3.569</v>
      </c>
      <c r="C17">
        <v>65.266651282667397</v>
      </c>
      <c r="D17">
        <v>54.22</v>
      </c>
      <c r="E17" s="2">
        <f t="shared" si="0"/>
        <v>11.046651282667398</v>
      </c>
      <c r="F17" s="2">
        <f t="shared" si="1"/>
        <v>122.02850456085726</v>
      </c>
    </row>
    <row r="18" spans="1:6" x14ac:dyDescent="0.25">
      <c r="A18" s="1">
        <v>42430</v>
      </c>
      <c r="B18">
        <v>3.5474999999999999</v>
      </c>
      <c r="C18">
        <v>72.946884640822702</v>
      </c>
      <c r="D18">
        <v>56.48</v>
      </c>
      <c r="E18" s="2">
        <f t="shared" si="0"/>
        <v>16.466884640822705</v>
      </c>
      <c r="F18" s="2">
        <f t="shared" si="1"/>
        <v>271.15828977416271</v>
      </c>
    </row>
    <row r="19" spans="1:6" x14ac:dyDescent="0.25">
      <c r="A19" s="1">
        <v>42401</v>
      </c>
      <c r="B19">
        <v>3.7725</v>
      </c>
      <c r="C19">
        <v>49.089066963823797</v>
      </c>
      <c r="D19">
        <v>45.76</v>
      </c>
      <c r="E19" s="2">
        <f t="shared" si="0"/>
        <v>3.3290669638237986</v>
      </c>
      <c r="F19" s="2">
        <f t="shared" si="1"/>
        <v>11.082686849623006</v>
      </c>
    </row>
    <row r="20" spans="1:6" x14ac:dyDescent="0.25">
      <c r="A20" s="1">
        <v>42370</v>
      </c>
      <c r="B20">
        <v>3.8639999999999999</v>
      </c>
      <c r="C20">
        <v>44.489300607298503</v>
      </c>
      <c r="D20">
        <v>42.56</v>
      </c>
      <c r="E20" s="2">
        <f t="shared" si="0"/>
        <v>1.9293006072985008</v>
      </c>
      <c r="F20" s="2">
        <f t="shared" si="1"/>
        <v>3.722200833322364</v>
      </c>
    </row>
    <row r="21" spans="1:6" x14ac:dyDescent="0.25">
      <c r="A21" s="1">
        <v>42339</v>
      </c>
      <c r="B21">
        <v>3.8487499999999999</v>
      </c>
      <c r="C21">
        <v>48.303574319782498</v>
      </c>
      <c r="D21">
        <v>44.06</v>
      </c>
      <c r="E21" s="2">
        <f t="shared" si="0"/>
        <v>4.2435743197824962</v>
      </c>
      <c r="F21" s="2">
        <f t="shared" si="1"/>
        <v>18.007923007517476</v>
      </c>
    </row>
    <row r="22" spans="1:6" x14ac:dyDescent="0.25">
      <c r="A22" s="1">
        <v>42309</v>
      </c>
      <c r="B22">
        <v>3.6825000000000001</v>
      </c>
      <c r="C22">
        <v>60.176661504014703</v>
      </c>
      <c r="D22">
        <v>51.65</v>
      </c>
      <c r="E22" s="2">
        <f t="shared" si="0"/>
        <v>8.5266615040147045</v>
      </c>
      <c r="F22" s="2">
        <f t="shared" si="1"/>
        <v>72.703956404046295</v>
      </c>
    </row>
    <row r="23" spans="1:6" x14ac:dyDescent="0.25">
      <c r="A23" s="1">
        <v>42278</v>
      </c>
      <c r="B23">
        <v>3.7869999999999999</v>
      </c>
      <c r="C23">
        <v>52.190194640900899</v>
      </c>
      <c r="D23">
        <v>48.14</v>
      </c>
      <c r="E23" s="2">
        <f t="shared" si="0"/>
        <v>4.050194640900898</v>
      </c>
      <c r="F23" s="2">
        <f t="shared" si="1"/>
        <v>16.404076629182352</v>
      </c>
    </row>
    <row r="24" spans="1:6" x14ac:dyDescent="0.25">
      <c r="A24" s="1">
        <v>42248</v>
      </c>
      <c r="B24">
        <v>3.8050000000000002</v>
      </c>
      <c r="C24">
        <v>48.193463635934002</v>
      </c>
      <c r="D24">
        <v>48.77</v>
      </c>
      <c r="E24" s="2">
        <f t="shared" si="0"/>
        <v>-0.57653636406600128</v>
      </c>
      <c r="F24" s="2">
        <f t="shared" si="1"/>
        <v>0.33239417909044477</v>
      </c>
    </row>
    <row r="25" spans="1:6" x14ac:dyDescent="0.25">
      <c r="A25" s="1">
        <v>42217</v>
      </c>
      <c r="B25">
        <v>3.9460000000000002</v>
      </c>
      <c r="C25">
        <v>48.343579602360002</v>
      </c>
      <c r="D25">
        <v>41.79</v>
      </c>
      <c r="E25" s="2">
        <f t="shared" si="0"/>
        <v>6.5535796023600028</v>
      </c>
      <c r="F25" s="2">
        <f t="shared" si="1"/>
        <v>42.949405604469092</v>
      </c>
    </row>
    <row r="26" spans="1:6" x14ac:dyDescent="0.25">
      <c r="A26" s="1">
        <v>42186</v>
      </c>
      <c r="B26">
        <v>3.895</v>
      </c>
      <c r="C26">
        <v>50.6818254978905</v>
      </c>
      <c r="D26">
        <v>45.34</v>
      </c>
      <c r="E26" s="2">
        <f t="shared" si="0"/>
        <v>5.3418254978904969</v>
      </c>
      <c r="F26" s="2">
        <f t="shared" si="1"/>
        <v>28.535099649913054</v>
      </c>
    </row>
    <row r="27" spans="1:6" x14ac:dyDescent="0.25">
      <c r="A27" s="1">
        <v>42156</v>
      </c>
      <c r="B27">
        <v>3.7462499999999999</v>
      </c>
      <c r="C27">
        <v>60.218623148778697</v>
      </c>
      <c r="D27">
        <v>53.9</v>
      </c>
      <c r="E27" s="2">
        <f t="shared" si="0"/>
        <v>6.3186231487786984</v>
      </c>
      <c r="F27" s="2">
        <f t="shared" si="1"/>
        <v>39.924998496282029</v>
      </c>
    </row>
    <row r="28" spans="1:6" x14ac:dyDescent="0.25">
      <c r="A28" s="1">
        <v>42125</v>
      </c>
      <c r="B28">
        <v>3.577</v>
      </c>
      <c r="C28">
        <v>68.561545895448404</v>
      </c>
      <c r="D28">
        <v>61.49</v>
      </c>
      <c r="E28" s="2">
        <f t="shared" si="0"/>
        <v>7.0715458954484021</v>
      </c>
      <c r="F28" s="2">
        <f t="shared" si="1"/>
        <v>50.006761351433141</v>
      </c>
    </row>
    <row r="29" spans="1:6" x14ac:dyDescent="0.25">
      <c r="A29" s="1">
        <v>42095</v>
      </c>
      <c r="B29">
        <v>3.67</v>
      </c>
      <c r="C29">
        <v>64.229564626991404</v>
      </c>
      <c r="D29">
        <v>58.42</v>
      </c>
      <c r="E29" s="2">
        <f t="shared" si="0"/>
        <v>5.8095646269914027</v>
      </c>
      <c r="F29" s="2">
        <f t="shared" si="1"/>
        <v>33.751041155189753</v>
      </c>
    </row>
    <row r="30" spans="1:6" x14ac:dyDescent="0.25">
      <c r="A30" s="1">
        <v>42064</v>
      </c>
      <c r="B30">
        <v>3.61625</v>
      </c>
      <c r="C30">
        <v>67.468103886356303</v>
      </c>
      <c r="D30">
        <v>61.22</v>
      </c>
      <c r="E30" s="2">
        <f t="shared" si="0"/>
        <v>6.2481038863563043</v>
      </c>
      <c r="F30" s="2">
        <f t="shared" si="1"/>
        <v>39.038802174700756</v>
      </c>
    </row>
    <row r="31" spans="1:6" x14ac:dyDescent="0.25">
      <c r="A31" s="1">
        <v>42036</v>
      </c>
      <c r="B31">
        <v>3.5762499999999999</v>
      </c>
      <c r="C31">
        <v>71.081419449655897</v>
      </c>
      <c r="D31">
        <v>61.42</v>
      </c>
      <c r="E31" s="2">
        <f t="shared" si="0"/>
        <v>9.6614194496558952</v>
      </c>
      <c r="F31" s="2">
        <f t="shared" si="1"/>
        <v>93.343025782189216</v>
      </c>
    </row>
    <row r="32" spans="1:6" x14ac:dyDescent="0.25">
      <c r="A32" s="1">
        <v>42005</v>
      </c>
      <c r="B32">
        <v>3.754</v>
      </c>
      <c r="C32">
        <v>61.395006042812597</v>
      </c>
      <c r="D32">
        <v>55.3</v>
      </c>
      <c r="E32" s="2">
        <f t="shared" si="0"/>
        <v>6.0950060428125994</v>
      </c>
      <c r="F32" s="2">
        <f t="shared" si="1"/>
        <v>37.149098661922103</v>
      </c>
    </row>
    <row r="33" spans="1:10" x14ac:dyDescent="0.25">
      <c r="A33" s="1">
        <v>41974</v>
      </c>
      <c r="B33">
        <v>3.8725000000000001</v>
      </c>
      <c r="C33">
        <v>58.5296040966604</v>
      </c>
      <c r="D33">
        <v>49.67</v>
      </c>
      <c r="E33" s="2">
        <f t="shared" si="0"/>
        <v>8.8596040966603979</v>
      </c>
      <c r="F33" s="2">
        <f t="shared" si="1"/>
        <v>78.492584749561701</v>
      </c>
    </row>
    <row r="34" spans="1:10" x14ac:dyDescent="0.25">
      <c r="A34" s="1">
        <v>41944</v>
      </c>
      <c r="B34">
        <v>3.9060000000000001</v>
      </c>
      <c r="C34">
        <v>56.855134549008604</v>
      </c>
      <c r="D34">
        <v>48.29</v>
      </c>
      <c r="E34" s="2">
        <f t="shared" si="0"/>
        <v>8.5651345490086044</v>
      </c>
      <c r="F34" s="2">
        <f t="shared" si="1"/>
        <v>73.361529842620826</v>
      </c>
    </row>
    <row r="35" spans="1:10" x14ac:dyDescent="0.25">
      <c r="A35" s="1">
        <v>41913</v>
      </c>
      <c r="B35">
        <v>4.0374999999999996</v>
      </c>
      <c r="C35">
        <v>53.119980211899197</v>
      </c>
      <c r="D35">
        <v>41.33</v>
      </c>
      <c r="E35" s="2">
        <f t="shared" si="0"/>
        <v>11.789980211899199</v>
      </c>
      <c r="F35" s="2">
        <f t="shared" si="1"/>
        <v>139.00363339697466</v>
      </c>
    </row>
    <row r="36" spans="1:10" x14ac:dyDescent="0.25">
      <c r="A36" s="1">
        <v>41883</v>
      </c>
      <c r="B36">
        <v>4.00875</v>
      </c>
      <c r="C36">
        <v>51.627773479532202</v>
      </c>
      <c r="D36">
        <v>43.31</v>
      </c>
      <c r="E36" s="2">
        <f t="shared" si="0"/>
        <v>8.3177734795321996</v>
      </c>
      <c r="F36" s="2">
        <f t="shared" si="1"/>
        <v>69.185355656809193</v>
      </c>
    </row>
    <row r="37" spans="1:10" x14ac:dyDescent="0.25">
      <c r="A37" s="1">
        <v>41852</v>
      </c>
      <c r="B37">
        <v>4.03</v>
      </c>
      <c r="C37">
        <v>53.535872601103897</v>
      </c>
      <c r="D37">
        <v>42.58</v>
      </c>
      <c r="E37" s="2">
        <f t="shared" si="0"/>
        <v>10.955872601103898</v>
      </c>
      <c r="F37" s="2">
        <f t="shared" si="1"/>
        <v>120.0311444516191</v>
      </c>
    </row>
    <row r="38" spans="1:10" x14ac:dyDescent="0.25">
      <c r="A38" s="1">
        <v>41821</v>
      </c>
      <c r="B38">
        <v>4.05</v>
      </c>
      <c r="C38">
        <v>55.1022945779319</v>
      </c>
      <c r="D38">
        <v>41.87</v>
      </c>
      <c r="E38" s="2">
        <f t="shared" si="0"/>
        <v>13.232294577931903</v>
      </c>
      <c r="F38" s="2">
        <f t="shared" si="1"/>
        <v>175.09361979716604</v>
      </c>
    </row>
    <row r="39" spans="1:10" x14ac:dyDescent="0.25">
      <c r="A39" s="1">
        <v>41791</v>
      </c>
      <c r="B39">
        <v>4.0674999999999999</v>
      </c>
      <c r="C39">
        <v>49.467524591839698</v>
      </c>
      <c r="D39">
        <v>40.26</v>
      </c>
      <c r="E39" s="2">
        <f t="shared" si="0"/>
        <v>9.2075245918397002</v>
      </c>
      <c r="F39" s="2">
        <f t="shared" si="1"/>
        <v>84.77850910933283</v>
      </c>
    </row>
    <row r="40" spans="1:10" x14ac:dyDescent="0.25">
      <c r="A40" s="1">
        <v>41760</v>
      </c>
      <c r="B40">
        <v>4.2480000000000002</v>
      </c>
      <c r="C40">
        <v>42.489050099563798</v>
      </c>
      <c r="D40">
        <v>35.049999999999997</v>
      </c>
      <c r="E40" s="2">
        <f t="shared" si="0"/>
        <v>7.4390500995638007</v>
      </c>
      <c r="F40" s="2">
        <f t="shared" si="1"/>
        <v>55.339466383820195</v>
      </c>
    </row>
    <row r="41" spans="1:10" x14ac:dyDescent="0.25">
      <c r="A41" s="1">
        <v>41730</v>
      </c>
      <c r="B41">
        <v>4.2487500000000002</v>
      </c>
      <c r="C41">
        <v>42.976252592500103</v>
      </c>
      <c r="D41">
        <v>36.049999999999997</v>
      </c>
      <c r="E41" s="2">
        <f t="shared" si="0"/>
        <v>6.9262525925001057</v>
      </c>
      <c r="F41" s="2">
        <f t="shared" si="1"/>
        <v>47.972974975114433</v>
      </c>
    </row>
    <row r="42" spans="1:10" x14ac:dyDescent="0.25">
      <c r="A42" s="1">
        <v>41699</v>
      </c>
      <c r="B42">
        <v>4.2275</v>
      </c>
      <c r="C42">
        <v>42.575160750955902</v>
      </c>
      <c r="D42">
        <v>37.340000000000003</v>
      </c>
      <c r="E42" s="2">
        <f t="shared" si="0"/>
        <v>5.2351607509558988</v>
      </c>
      <c r="F42" s="2">
        <f t="shared" si="1"/>
        <v>27.40690808834913</v>
      </c>
    </row>
    <row r="43" spans="1:10" x14ac:dyDescent="0.25">
      <c r="A43" s="1">
        <v>41671</v>
      </c>
      <c r="B43">
        <v>4.3620000000000001</v>
      </c>
      <c r="C43">
        <v>39.224660981614598</v>
      </c>
      <c r="D43">
        <v>31.82</v>
      </c>
      <c r="E43" s="2">
        <f t="shared" si="0"/>
        <v>7.4046609816145974</v>
      </c>
      <c r="F43" s="2">
        <f t="shared" si="1"/>
        <v>54.829004252645653</v>
      </c>
    </row>
    <row r="44" spans="1:10" x14ac:dyDescent="0.25">
      <c r="A44" s="1">
        <v>41640</v>
      </c>
      <c r="B44">
        <v>4.37</v>
      </c>
      <c r="C44">
        <v>39.9123921585877</v>
      </c>
      <c r="D44">
        <v>32.67</v>
      </c>
      <c r="E44" s="2">
        <f t="shared" si="0"/>
        <v>7.2423921585876982</v>
      </c>
      <c r="F44" s="2">
        <f t="shared" si="1"/>
        <v>52.452244178772581</v>
      </c>
      <c r="J44" s="1"/>
    </row>
    <row r="45" spans="1:10" x14ac:dyDescent="0.25">
      <c r="A45" s="1">
        <v>41609</v>
      </c>
      <c r="B45">
        <v>4.1862500000000002</v>
      </c>
      <c r="C45">
        <v>44.131385807319297</v>
      </c>
      <c r="D45">
        <v>41.41</v>
      </c>
      <c r="E45" s="2">
        <f t="shared" si="0"/>
        <v>2.7213858073193009</v>
      </c>
      <c r="F45" s="2">
        <f t="shared" si="1"/>
        <v>7.4059407122789231</v>
      </c>
    </row>
    <row r="46" spans="1:10" x14ac:dyDescent="0.25">
      <c r="A46" s="1">
        <v>41579</v>
      </c>
      <c r="B46">
        <v>4.1219999999999999</v>
      </c>
      <c r="C46">
        <v>46.072663277022301</v>
      </c>
      <c r="D46">
        <v>43.99</v>
      </c>
      <c r="E46" s="2">
        <f t="shared" si="0"/>
        <v>2.0826632770222986</v>
      </c>
      <c r="F46" s="2">
        <f t="shared" si="1"/>
        <v>4.3374863254572595</v>
      </c>
    </row>
    <row r="47" spans="1:10" x14ac:dyDescent="0.25">
      <c r="A47" s="1">
        <v>41548</v>
      </c>
      <c r="B47">
        <v>4.4212499999999997</v>
      </c>
      <c r="C47">
        <v>37.312927453178297</v>
      </c>
      <c r="D47">
        <v>33.4</v>
      </c>
      <c r="E47" s="2">
        <f t="shared" si="0"/>
        <v>3.9129274531782983</v>
      </c>
      <c r="F47" s="2">
        <f t="shared" si="1"/>
        <v>15.311001253836404</v>
      </c>
    </row>
    <row r="48" spans="1:10" x14ac:dyDescent="0.25">
      <c r="A48" s="1">
        <v>41518</v>
      </c>
      <c r="B48">
        <v>4.4037499999999996</v>
      </c>
      <c r="C48">
        <v>37.300091247732098</v>
      </c>
      <c r="D48">
        <v>37.200000000000003</v>
      </c>
      <c r="E48" s="2">
        <f t="shared" si="0"/>
        <v>0.10009124773209521</v>
      </c>
      <c r="F48" s="2">
        <f t="shared" si="1"/>
        <v>1.0018257872567654E-2</v>
      </c>
    </row>
    <row r="49" spans="1:6" x14ac:dyDescent="0.25">
      <c r="A49" s="1">
        <v>41487</v>
      </c>
      <c r="B49">
        <v>4.3090000000000002</v>
      </c>
      <c r="C49">
        <v>43.319169172414497</v>
      </c>
      <c r="D49">
        <v>42.38</v>
      </c>
      <c r="E49" s="2">
        <f t="shared" si="0"/>
        <v>0.93916917241449482</v>
      </c>
      <c r="F49" s="2">
        <f t="shared" si="1"/>
        <v>0.88203873441372715</v>
      </c>
    </row>
    <row r="50" spans="1:6" x14ac:dyDescent="0.25">
      <c r="A50" s="1">
        <v>41456</v>
      </c>
      <c r="B50">
        <v>4.0075000000000003</v>
      </c>
      <c r="C50">
        <v>51.587950693984503</v>
      </c>
      <c r="D50">
        <v>53.22</v>
      </c>
      <c r="E50" s="2">
        <f t="shared" si="0"/>
        <v>-1.6320493060154959</v>
      </c>
      <c r="F50" s="2">
        <f t="shared" si="1"/>
        <v>2.6635849372656617</v>
      </c>
    </row>
    <row r="51" spans="1:6" x14ac:dyDescent="0.25">
      <c r="A51" s="1">
        <v>41426</v>
      </c>
      <c r="B51">
        <v>3.4660000000000002</v>
      </c>
      <c r="C51">
        <v>76.939407073413093</v>
      </c>
      <c r="D51">
        <v>74.19</v>
      </c>
      <c r="E51" s="2">
        <f t="shared" si="0"/>
        <v>2.7494070734130958</v>
      </c>
      <c r="F51" s="2">
        <f t="shared" si="1"/>
        <v>7.5592392553339645</v>
      </c>
    </row>
    <row r="52" spans="1:6" x14ac:dyDescent="0.25">
      <c r="A52" s="1">
        <v>41395</v>
      </c>
      <c r="B52">
        <v>3.3887499999999999</v>
      </c>
      <c r="C52">
        <v>82.204500218089095</v>
      </c>
      <c r="D52">
        <v>78.95</v>
      </c>
      <c r="E52" s="2">
        <f t="shared" si="0"/>
        <v>3.2545002180890918</v>
      </c>
      <c r="F52" s="2">
        <f t="shared" si="1"/>
        <v>10.591771669541947</v>
      </c>
    </row>
    <row r="53" spans="1:6" x14ac:dyDescent="0.25">
      <c r="A53" s="1">
        <v>41365</v>
      </c>
      <c r="B53">
        <v>3.50875</v>
      </c>
      <c r="C53">
        <v>75.911564934220493</v>
      </c>
      <c r="D53">
        <v>74.56</v>
      </c>
      <c r="E53" s="2">
        <f t="shared" si="0"/>
        <v>1.351564934220491</v>
      </c>
      <c r="F53" s="2">
        <f t="shared" si="1"/>
        <v>1.8267277714144401</v>
      </c>
    </row>
    <row r="54" spans="1:6" x14ac:dyDescent="0.25">
      <c r="A54" s="1">
        <v>41334</v>
      </c>
      <c r="B54">
        <v>3.4824999999999999</v>
      </c>
      <c r="C54">
        <v>83.599918324098397</v>
      </c>
      <c r="D54">
        <v>77.53</v>
      </c>
      <c r="E54" s="2">
        <f t="shared" si="0"/>
        <v>6.0699183240983956</v>
      </c>
      <c r="F54" s="2">
        <f t="shared" si="1"/>
        <v>36.843908461225475</v>
      </c>
    </row>
    <row r="55" spans="1:6" x14ac:dyDescent="0.25">
      <c r="A55" s="1">
        <v>41306</v>
      </c>
      <c r="B55">
        <v>3.339</v>
      </c>
      <c r="C55">
        <v>87.939354586814503</v>
      </c>
      <c r="D55">
        <v>87.22</v>
      </c>
      <c r="E55" s="2">
        <f t="shared" si="0"/>
        <v>0.7193545868145037</v>
      </c>
      <c r="F55" s="2">
        <f t="shared" si="1"/>
        <v>0.51747102157106539</v>
      </c>
    </row>
    <row r="56" spans="1:6" x14ac:dyDescent="0.25">
      <c r="A56" s="1">
        <v>41275</v>
      </c>
      <c r="B56">
        <v>3.27</v>
      </c>
      <c r="C56">
        <v>90.414174100032994</v>
      </c>
      <c r="D56">
        <v>92.87</v>
      </c>
      <c r="E56" s="2">
        <f t="shared" si="0"/>
        <v>-2.4558258999670102</v>
      </c>
      <c r="F56" s="2">
        <f t="shared" si="1"/>
        <v>6.0310808509487757</v>
      </c>
    </row>
    <row r="57" spans="1:6" x14ac:dyDescent="0.25">
      <c r="A57" s="1">
        <v>41244</v>
      </c>
      <c r="B57">
        <v>3.2737500000000002</v>
      </c>
      <c r="C57">
        <v>92.588140551265695</v>
      </c>
      <c r="D57">
        <v>94.5</v>
      </c>
      <c r="E57" s="2">
        <f t="shared" si="0"/>
        <v>-1.9118594487343046</v>
      </c>
      <c r="F57" s="2">
        <f t="shared" si="1"/>
        <v>3.655206551714639</v>
      </c>
    </row>
    <row r="58" spans="1:6" x14ac:dyDescent="0.25">
      <c r="A58" s="1">
        <v>41214</v>
      </c>
      <c r="B58">
        <v>3.3039999999999998</v>
      </c>
      <c r="C58">
        <v>93.543055588888905</v>
      </c>
      <c r="D58">
        <v>96.07</v>
      </c>
      <c r="E58" s="2">
        <f t="shared" si="0"/>
        <v>-2.5269444111110886</v>
      </c>
      <c r="F58" s="2">
        <f t="shared" si="1"/>
        <v>6.3854480568455667</v>
      </c>
    </row>
    <row r="59" spans="1:6" x14ac:dyDescent="0.25">
      <c r="A59" s="1">
        <v>41183</v>
      </c>
      <c r="B59">
        <v>3.4037500000000001</v>
      </c>
      <c r="C59">
        <v>95.158368881394395</v>
      </c>
      <c r="D59">
        <v>92.63</v>
      </c>
      <c r="E59" s="2">
        <f t="shared" si="0"/>
        <v>2.5283688813943996</v>
      </c>
      <c r="F59" s="2">
        <f t="shared" si="1"/>
        <v>6.392649200403568</v>
      </c>
    </row>
    <row r="60" spans="1:6" x14ac:dyDescent="0.25">
      <c r="A60" s="1">
        <v>41153</v>
      </c>
      <c r="B60">
        <v>3.512</v>
      </c>
      <c r="C60">
        <v>91.002465814608499</v>
      </c>
      <c r="D60">
        <v>89.15</v>
      </c>
      <c r="E60" s="2">
        <f t="shared" si="0"/>
        <v>1.8524658146084931</v>
      </c>
      <c r="F60" s="2">
        <f t="shared" si="1"/>
        <v>3.4316295942931081</v>
      </c>
    </row>
    <row r="61" spans="1:6" x14ac:dyDescent="0.25">
      <c r="A61" s="1">
        <v>41122</v>
      </c>
      <c r="B61">
        <v>3.4812500000000002</v>
      </c>
      <c r="C61">
        <v>97.229870745375806</v>
      </c>
      <c r="D61">
        <v>91.76</v>
      </c>
      <c r="E61" s="2">
        <f t="shared" si="0"/>
        <v>5.4698707453758004</v>
      </c>
      <c r="F61" s="2">
        <f t="shared" si="1"/>
        <v>29.919485971118014</v>
      </c>
    </row>
    <row r="62" spans="1:6" x14ac:dyDescent="0.25">
      <c r="A62" s="1">
        <v>41091</v>
      </c>
      <c r="B62">
        <v>3.6</v>
      </c>
      <c r="C62">
        <v>89.015005600535105</v>
      </c>
      <c r="D62">
        <v>89.97</v>
      </c>
      <c r="E62" s="2">
        <f t="shared" si="0"/>
        <v>-0.95499439946489417</v>
      </c>
      <c r="F62" s="2">
        <f t="shared" si="1"/>
        <v>0.91201430300931385</v>
      </c>
    </row>
    <row r="63" spans="1:6" x14ac:dyDescent="0.25">
      <c r="A63" s="1">
        <v>41061</v>
      </c>
      <c r="B63">
        <v>3.738</v>
      </c>
      <c r="C63">
        <v>89.790474298601296</v>
      </c>
      <c r="D63">
        <v>88.11</v>
      </c>
      <c r="E63" s="2">
        <f t="shared" si="0"/>
        <v>1.6804742986012968</v>
      </c>
      <c r="F63" s="2">
        <f t="shared" si="1"/>
        <v>2.8239938682595205</v>
      </c>
    </row>
    <row r="64" spans="1:6" x14ac:dyDescent="0.25">
      <c r="A64" s="1">
        <v>41030</v>
      </c>
      <c r="B64">
        <v>3.8412500000000001</v>
      </c>
      <c r="C64">
        <v>90.693006922569197</v>
      </c>
      <c r="D64">
        <v>84.2</v>
      </c>
      <c r="E64" s="2">
        <f t="shared" si="0"/>
        <v>6.4930069225691938</v>
      </c>
      <c r="F64" s="2">
        <f t="shared" si="1"/>
        <v>42.159138896531474</v>
      </c>
    </row>
    <row r="65" spans="1:6" x14ac:dyDescent="0.25">
      <c r="A65" s="1">
        <v>41000</v>
      </c>
      <c r="B65">
        <v>3.9112499999999999</v>
      </c>
      <c r="C65">
        <v>88.832055339932197</v>
      </c>
      <c r="D65">
        <v>82.4</v>
      </c>
      <c r="E65" s="2">
        <f t="shared" si="0"/>
        <v>6.4320553399321909</v>
      </c>
      <c r="F65" s="2">
        <f t="shared" si="1"/>
        <v>41.37133589595021</v>
      </c>
    </row>
    <row r="66" spans="1:6" x14ac:dyDescent="0.25">
      <c r="A66" s="1">
        <v>40969</v>
      </c>
      <c r="B66">
        <v>3.8420000000000001</v>
      </c>
      <c r="C66">
        <v>93.375130800696297</v>
      </c>
      <c r="D66">
        <v>87.32</v>
      </c>
      <c r="E66" s="2">
        <f t="shared" si="0"/>
        <v>6.055130800696304</v>
      </c>
      <c r="F66" s="2">
        <f t="shared" si="1"/>
        <v>36.664609013541067</v>
      </c>
    </row>
    <row r="67" spans="1:6" x14ac:dyDescent="0.25">
      <c r="A67" s="1">
        <v>40940</v>
      </c>
      <c r="B67">
        <v>3.8525</v>
      </c>
      <c r="C67">
        <v>94.232527680920199</v>
      </c>
      <c r="D67">
        <v>88.32</v>
      </c>
      <c r="E67" s="2">
        <f t="shared" ref="E67:E128" si="2">C67-D67</f>
        <v>5.9125276809202063</v>
      </c>
      <c r="F67" s="2">
        <f t="shared" ref="F67:F128" si="3">E67^2</f>
        <v>34.957983577647674</v>
      </c>
    </row>
    <row r="68" spans="1:6" x14ac:dyDescent="0.25">
      <c r="A68" s="1">
        <v>40909</v>
      </c>
      <c r="B68">
        <v>3.8787500000000001</v>
      </c>
      <c r="C68">
        <v>95.694480596339901</v>
      </c>
      <c r="D68">
        <v>88.11</v>
      </c>
      <c r="E68" s="2">
        <f t="shared" si="2"/>
        <v>7.5844805963399011</v>
      </c>
      <c r="F68" s="2">
        <f t="shared" si="3"/>
        <v>57.524345916256465</v>
      </c>
    </row>
    <row r="69" spans="1:6" x14ac:dyDescent="0.25">
      <c r="A69" s="1">
        <v>40878</v>
      </c>
      <c r="B69">
        <v>3.919</v>
      </c>
      <c r="C69">
        <v>94.455828739209693</v>
      </c>
      <c r="D69">
        <v>87.91</v>
      </c>
      <c r="E69" s="2">
        <f t="shared" si="2"/>
        <v>6.5458287392096963</v>
      </c>
      <c r="F69" s="2">
        <f t="shared" si="3"/>
        <v>42.847873883063599</v>
      </c>
    </row>
    <row r="70" spans="1:6" x14ac:dyDescent="0.25">
      <c r="A70" s="1">
        <v>40848</v>
      </c>
      <c r="B70">
        <v>4.0175000000000001</v>
      </c>
      <c r="C70">
        <v>90.261121647645695</v>
      </c>
      <c r="D70">
        <v>83.43</v>
      </c>
      <c r="E70" s="2">
        <f t="shared" si="2"/>
        <v>6.8311216476456877</v>
      </c>
      <c r="F70" s="2">
        <f t="shared" si="3"/>
        <v>46.664222964933536</v>
      </c>
    </row>
    <row r="71" spans="1:6" x14ac:dyDescent="0.25">
      <c r="A71" s="1">
        <v>40817</v>
      </c>
      <c r="B71">
        <v>4.0025000000000004</v>
      </c>
      <c r="C71">
        <v>90.557539346295201</v>
      </c>
      <c r="D71">
        <v>82.8</v>
      </c>
      <c r="E71" s="2">
        <f t="shared" si="2"/>
        <v>7.7575393462952036</v>
      </c>
      <c r="F71" s="2">
        <f t="shared" si="3"/>
        <v>60.179416709318211</v>
      </c>
    </row>
    <row r="72" spans="1:6" x14ac:dyDescent="0.25">
      <c r="A72" s="1">
        <v>40787</v>
      </c>
      <c r="B72">
        <v>4.1900000000000004</v>
      </c>
      <c r="C72">
        <v>86.290244034122395</v>
      </c>
      <c r="D72">
        <v>73.959999999999994</v>
      </c>
      <c r="E72" s="2">
        <f t="shared" si="2"/>
        <v>12.330244034122401</v>
      </c>
      <c r="F72" s="2">
        <f t="shared" si="3"/>
        <v>152.03491794101106</v>
      </c>
    </row>
    <row r="73" spans="1:6" x14ac:dyDescent="0.25">
      <c r="A73" s="1">
        <v>40756</v>
      </c>
      <c r="B73">
        <v>4.4762500000000003</v>
      </c>
      <c r="C73">
        <v>70.578534805697501</v>
      </c>
      <c r="D73">
        <v>55.51</v>
      </c>
      <c r="E73" s="2">
        <f t="shared" si="2"/>
        <v>15.068534805697503</v>
      </c>
      <c r="F73" s="2">
        <f t="shared" si="3"/>
        <v>227.06074119051709</v>
      </c>
    </row>
    <row r="74" spans="1:6" x14ac:dyDescent="0.25">
      <c r="A74" s="1">
        <v>40725</v>
      </c>
      <c r="B74">
        <v>4.4349999999999996</v>
      </c>
      <c r="C74">
        <v>80.109404435678698</v>
      </c>
      <c r="D74">
        <v>56.99</v>
      </c>
      <c r="E74" s="2">
        <f t="shared" si="2"/>
        <v>23.119404435678696</v>
      </c>
      <c r="F74" s="2">
        <f t="shared" si="3"/>
        <v>534.50686146047974</v>
      </c>
    </row>
    <row r="75" spans="1:6" x14ac:dyDescent="0.25">
      <c r="A75" s="1">
        <v>40695</v>
      </c>
      <c r="B75">
        <v>4.5625</v>
      </c>
      <c r="C75">
        <v>60.578886931534498</v>
      </c>
      <c r="D75">
        <v>54.58</v>
      </c>
      <c r="E75" s="2">
        <f t="shared" si="2"/>
        <v>5.9988869315344999</v>
      </c>
      <c r="F75" s="2">
        <f t="shared" si="3"/>
        <v>35.986644417335405</v>
      </c>
    </row>
    <row r="76" spans="1:6" x14ac:dyDescent="0.25">
      <c r="A76" s="1">
        <v>40664</v>
      </c>
      <c r="B76">
        <v>4.75875</v>
      </c>
      <c r="C76">
        <v>58.335239882065402</v>
      </c>
      <c r="D76">
        <v>52.21</v>
      </c>
      <c r="E76" s="2">
        <f t="shared" si="2"/>
        <v>6.1252398820654008</v>
      </c>
      <c r="F76" s="2">
        <f t="shared" si="3"/>
        <v>37.518563612844567</v>
      </c>
    </row>
    <row r="77" spans="1:6" x14ac:dyDescent="0.25">
      <c r="A77" s="1">
        <v>40634</v>
      </c>
      <c r="B77">
        <v>4.7610000000000001</v>
      </c>
      <c r="C77">
        <v>59.027778639301303</v>
      </c>
      <c r="D77">
        <v>53.7</v>
      </c>
      <c r="E77" s="2">
        <f t="shared" si="2"/>
        <v>5.3277786393013002</v>
      </c>
      <c r="F77" s="2">
        <f t="shared" si="3"/>
        <v>28.385225229395214</v>
      </c>
    </row>
    <row r="78" spans="1:6" x14ac:dyDescent="0.25">
      <c r="A78" s="1">
        <v>40603</v>
      </c>
      <c r="B78">
        <v>4.8775000000000004</v>
      </c>
      <c r="C78">
        <v>57.105948507947502</v>
      </c>
      <c r="D78">
        <v>51.17</v>
      </c>
      <c r="E78" s="2">
        <f t="shared" si="2"/>
        <v>5.9359485079475007</v>
      </c>
      <c r="F78" s="2">
        <f t="shared" si="3"/>
        <v>35.23548468900416</v>
      </c>
    </row>
    <row r="79" spans="1:6" x14ac:dyDescent="0.25">
      <c r="A79" s="1">
        <v>40575</v>
      </c>
      <c r="B79">
        <v>4.6987500000000004</v>
      </c>
      <c r="C79">
        <v>61.134054742419998</v>
      </c>
      <c r="D79">
        <v>58.86</v>
      </c>
      <c r="E79" s="2">
        <f t="shared" si="2"/>
        <v>2.2740547424199988</v>
      </c>
      <c r="F79" s="2">
        <f t="shared" si="3"/>
        <v>5.1713249715228873</v>
      </c>
    </row>
    <row r="80" spans="1:6" x14ac:dyDescent="0.25">
      <c r="A80" s="1">
        <v>40544</v>
      </c>
      <c r="B80">
        <v>4.649</v>
      </c>
      <c r="C80">
        <v>62.852695720188699</v>
      </c>
      <c r="D80">
        <v>61.73</v>
      </c>
      <c r="E80" s="2">
        <f t="shared" si="2"/>
        <v>1.1226957201887018</v>
      </c>
      <c r="F80" s="2">
        <f t="shared" si="3"/>
        <v>1.2604456801300277</v>
      </c>
    </row>
    <row r="81" spans="1:6" x14ac:dyDescent="0.25">
      <c r="A81" s="1">
        <v>40513</v>
      </c>
      <c r="B81">
        <v>4.2562499999999996</v>
      </c>
      <c r="C81">
        <v>88.603600993292403</v>
      </c>
      <c r="D81">
        <v>82.68</v>
      </c>
      <c r="E81" s="2">
        <f t="shared" si="2"/>
        <v>5.9236009932923963</v>
      </c>
      <c r="F81" s="2">
        <f t="shared" si="3"/>
        <v>35.089048727734664</v>
      </c>
    </row>
    <row r="82" spans="1:6" x14ac:dyDescent="0.25">
      <c r="A82" s="1">
        <v>40483</v>
      </c>
      <c r="B82">
        <v>4.1749999999999998</v>
      </c>
      <c r="C82">
        <v>92.071618564994907</v>
      </c>
      <c r="D82">
        <v>90.03</v>
      </c>
      <c r="E82" s="2">
        <f t="shared" si="2"/>
        <v>2.0416185649949057</v>
      </c>
      <c r="F82" s="2">
        <f t="shared" si="3"/>
        <v>4.1682063649318577</v>
      </c>
    </row>
    <row r="83" spans="1:6" x14ac:dyDescent="0.25">
      <c r="A83" s="1">
        <v>40452</v>
      </c>
      <c r="B83">
        <v>4.2759999999999998</v>
      </c>
      <c r="C83">
        <v>92.068041962791796</v>
      </c>
      <c r="D83">
        <v>87.26</v>
      </c>
      <c r="E83" s="2">
        <f t="shared" si="2"/>
        <v>4.8080419627917905</v>
      </c>
      <c r="F83" s="2">
        <f t="shared" si="3"/>
        <v>23.117267515966734</v>
      </c>
    </row>
    <row r="84" spans="1:6" x14ac:dyDescent="0.25">
      <c r="A84" s="1">
        <v>40422</v>
      </c>
      <c r="B84">
        <v>4.3525</v>
      </c>
      <c r="C84">
        <v>90.986279245623095</v>
      </c>
      <c r="D84">
        <v>81.67</v>
      </c>
      <c r="E84" s="2">
        <f t="shared" si="2"/>
        <v>9.3162792456230932</v>
      </c>
      <c r="F84" s="2">
        <f t="shared" si="3"/>
        <v>86.793058982427596</v>
      </c>
    </row>
    <row r="85" spans="1:6" x14ac:dyDescent="0.25">
      <c r="A85" s="1">
        <v>40391</v>
      </c>
      <c r="B85">
        <v>4.4850000000000003</v>
      </c>
      <c r="C85">
        <v>85.457813633980706</v>
      </c>
      <c r="D85">
        <v>73.11</v>
      </c>
      <c r="E85" s="2">
        <f t="shared" si="2"/>
        <v>12.347813633980707</v>
      </c>
      <c r="F85" s="2">
        <f t="shared" si="3"/>
        <v>152.46850153951982</v>
      </c>
    </row>
    <row r="86" spans="1:6" x14ac:dyDescent="0.25">
      <c r="A86" s="1">
        <v>40360</v>
      </c>
      <c r="B86">
        <v>4.6360000000000001</v>
      </c>
      <c r="C86">
        <v>73.280672050561094</v>
      </c>
      <c r="D86">
        <v>69.709999999999994</v>
      </c>
      <c r="E86" s="2">
        <f t="shared" si="2"/>
        <v>3.5706720505611003</v>
      </c>
      <c r="F86" s="2">
        <f t="shared" si="3"/>
        <v>12.749698892658213</v>
      </c>
    </row>
    <row r="87" spans="1:6" x14ac:dyDescent="0.25">
      <c r="A87" s="1">
        <v>40330</v>
      </c>
      <c r="B87">
        <v>4.8125</v>
      </c>
      <c r="C87">
        <v>71.261489817305602</v>
      </c>
      <c r="D87">
        <v>66.47</v>
      </c>
      <c r="E87" s="2">
        <f t="shared" si="2"/>
        <v>4.7914898173056031</v>
      </c>
      <c r="F87" s="2">
        <f t="shared" si="3"/>
        <v>22.958374669343282</v>
      </c>
    </row>
    <row r="88" spans="1:6" x14ac:dyDescent="0.25">
      <c r="A88" s="1">
        <v>40299</v>
      </c>
      <c r="B88">
        <v>5.0149999999999997</v>
      </c>
      <c r="C88">
        <v>61.165805016223999</v>
      </c>
      <c r="D88">
        <v>58.49</v>
      </c>
      <c r="E88" s="2">
        <f t="shared" si="2"/>
        <v>2.6758050162239968</v>
      </c>
      <c r="F88" s="2">
        <f t="shared" si="3"/>
        <v>7.1599324848495041</v>
      </c>
    </row>
    <row r="89" spans="1:6" x14ac:dyDescent="0.25">
      <c r="A89" s="1">
        <v>40269</v>
      </c>
      <c r="B89">
        <v>4.91</v>
      </c>
      <c r="C89">
        <v>67.422557297175899</v>
      </c>
      <c r="D89">
        <v>66.790000000000006</v>
      </c>
      <c r="E89" s="2">
        <f t="shared" si="2"/>
        <v>0.63255729717589304</v>
      </c>
      <c r="F89" s="2">
        <f t="shared" si="3"/>
        <v>0.40012873421047107</v>
      </c>
    </row>
    <row r="90" spans="1:6" x14ac:dyDescent="0.25">
      <c r="A90" s="1">
        <v>40238</v>
      </c>
      <c r="B90">
        <v>4.915</v>
      </c>
      <c r="C90">
        <v>69.103814173318497</v>
      </c>
      <c r="D90">
        <v>66.66</v>
      </c>
      <c r="E90" s="2">
        <f t="shared" si="2"/>
        <v>2.4438141733185006</v>
      </c>
      <c r="F90" s="2">
        <f t="shared" si="3"/>
        <v>5.9722277137123863</v>
      </c>
    </row>
    <row r="91" spans="1:6" x14ac:dyDescent="0.25">
      <c r="A91" s="1">
        <v>40210</v>
      </c>
      <c r="B91">
        <v>4.9487500000000004</v>
      </c>
      <c r="C91">
        <v>73.247789958636503</v>
      </c>
      <c r="D91">
        <v>66.41</v>
      </c>
      <c r="E91" s="2">
        <f t="shared" si="2"/>
        <v>6.8377899586365061</v>
      </c>
      <c r="F91" s="2">
        <f t="shared" si="3"/>
        <v>46.755371518430231</v>
      </c>
    </row>
    <row r="92" spans="1:6" x14ac:dyDescent="0.25">
      <c r="A92" s="1">
        <v>40179</v>
      </c>
      <c r="B92">
        <v>4.8550000000000004</v>
      </c>
      <c r="C92">
        <v>74.680504420998005</v>
      </c>
      <c r="D92">
        <v>71.17</v>
      </c>
      <c r="E92" s="2">
        <f t="shared" si="2"/>
        <v>3.5105044209980036</v>
      </c>
      <c r="F92" s="2">
        <f t="shared" si="3"/>
        <v>12.323641289846529</v>
      </c>
    </row>
    <row r="93" spans="1:6" x14ac:dyDescent="0.25">
      <c r="A93" s="1">
        <v>40148</v>
      </c>
      <c r="B93">
        <v>4.8</v>
      </c>
      <c r="C93">
        <v>77.946053231995094</v>
      </c>
      <c r="D93">
        <v>75.5</v>
      </c>
      <c r="E93" s="2">
        <f t="shared" si="2"/>
        <v>2.4460532319950943</v>
      </c>
      <c r="F93" s="2">
        <f t="shared" si="3"/>
        <v>5.9831764137536467</v>
      </c>
    </row>
    <row r="94" spans="1:6" x14ac:dyDescent="0.25">
      <c r="A94" s="1">
        <v>40118</v>
      </c>
      <c r="B94">
        <v>4.88</v>
      </c>
      <c r="C94">
        <v>77.339325088704001</v>
      </c>
      <c r="D94">
        <v>74.290000000000006</v>
      </c>
      <c r="E94" s="2">
        <f t="shared" si="2"/>
        <v>3.0493250887039949</v>
      </c>
      <c r="F94" s="2">
        <f t="shared" si="3"/>
        <v>9.2983834965996266</v>
      </c>
    </row>
    <row r="95" spans="1:6" x14ac:dyDescent="0.25">
      <c r="A95" s="1">
        <v>40087</v>
      </c>
      <c r="B95">
        <v>4.9539999999999997</v>
      </c>
      <c r="C95">
        <v>72.644690497405904</v>
      </c>
      <c r="D95">
        <v>70.790000000000006</v>
      </c>
      <c r="E95" s="2">
        <f t="shared" si="2"/>
        <v>1.8546904974058975</v>
      </c>
      <c r="F95" s="2">
        <f t="shared" si="3"/>
        <v>3.4398768411677354</v>
      </c>
    </row>
    <row r="96" spans="1:6" x14ac:dyDescent="0.25">
      <c r="A96" s="1">
        <v>40057</v>
      </c>
      <c r="B96">
        <v>5.1112500000000001</v>
      </c>
      <c r="C96">
        <v>66.221567600595904</v>
      </c>
      <c r="D96">
        <v>65.89</v>
      </c>
      <c r="E96" s="2">
        <f t="shared" si="2"/>
        <v>0.3315676005959034</v>
      </c>
      <c r="F96" s="2">
        <f t="shared" si="3"/>
        <v>0.10993707376492452</v>
      </c>
    </row>
    <row r="97" spans="1:6" x14ac:dyDescent="0.25">
      <c r="A97" s="1">
        <v>40026</v>
      </c>
      <c r="B97">
        <v>5.1470000000000002</v>
      </c>
      <c r="C97">
        <v>69.472782167998403</v>
      </c>
      <c r="D97">
        <v>66.95</v>
      </c>
      <c r="E97" s="2">
        <f t="shared" si="2"/>
        <v>2.5227821679984004</v>
      </c>
      <c r="F97" s="2">
        <f t="shared" si="3"/>
        <v>6.3644298671707089</v>
      </c>
    </row>
    <row r="98" spans="1:6" x14ac:dyDescent="0.25">
      <c r="A98" s="1">
        <v>39995</v>
      </c>
      <c r="B98">
        <v>5.3449999999999998</v>
      </c>
      <c r="C98">
        <v>63.061657878956701</v>
      </c>
      <c r="D98">
        <v>24.63</v>
      </c>
      <c r="E98" s="2">
        <f t="shared" si="2"/>
        <v>38.431657878956699</v>
      </c>
      <c r="F98" s="2">
        <f t="shared" si="3"/>
        <v>1476.9923273251745</v>
      </c>
    </row>
    <row r="99" spans="1:6" x14ac:dyDescent="0.25">
      <c r="A99" s="1">
        <v>39965</v>
      </c>
      <c r="B99">
        <v>4.7762500000000001</v>
      </c>
      <c r="C99">
        <v>85.048839682136204</v>
      </c>
      <c r="D99">
        <v>74.86</v>
      </c>
      <c r="E99" s="2">
        <f t="shared" si="2"/>
        <v>10.188839682136205</v>
      </c>
      <c r="F99" s="2">
        <f t="shared" si="3"/>
        <v>103.81245406827341</v>
      </c>
    </row>
    <row r="100" spans="1:6" x14ac:dyDescent="0.25">
      <c r="A100" s="1">
        <v>39934</v>
      </c>
      <c r="B100">
        <v>4.7300000000000004</v>
      </c>
      <c r="C100">
        <v>88.953039047332396</v>
      </c>
      <c r="D100">
        <v>81.87</v>
      </c>
      <c r="E100" s="2">
        <f t="shared" si="2"/>
        <v>7.0830390473323916</v>
      </c>
      <c r="F100" s="2">
        <f t="shared" si="3"/>
        <v>50.169442146035351</v>
      </c>
    </row>
    <row r="101" spans="1:6" x14ac:dyDescent="0.25">
      <c r="A101" s="1">
        <v>39904</v>
      </c>
      <c r="B101">
        <v>4.9275000000000002</v>
      </c>
      <c r="C101">
        <v>88.154102663200803</v>
      </c>
      <c r="D101">
        <v>70.3</v>
      </c>
      <c r="E101" s="2">
        <f t="shared" si="2"/>
        <v>17.854102663200806</v>
      </c>
      <c r="F101" s="2">
        <f t="shared" si="3"/>
        <v>318.76898190811409</v>
      </c>
    </row>
    <row r="102" spans="1:6" x14ac:dyDescent="0.25">
      <c r="A102" s="1">
        <v>39873</v>
      </c>
      <c r="B102">
        <v>5.0612500000000002</v>
      </c>
      <c r="C102">
        <v>82.816717079868695</v>
      </c>
      <c r="D102">
        <v>58.21</v>
      </c>
      <c r="E102" s="2">
        <f t="shared" si="2"/>
        <v>24.606717079868694</v>
      </c>
      <c r="F102" s="2">
        <f t="shared" si="3"/>
        <v>605.49052544870176</v>
      </c>
    </row>
    <row r="103" spans="1:6" x14ac:dyDescent="0.25">
      <c r="A103" s="1">
        <v>39845</v>
      </c>
      <c r="B103">
        <v>4.9662499999999996</v>
      </c>
      <c r="C103">
        <v>91.776767658505705</v>
      </c>
      <c r="D103">
        <v>69.290000000000006</v>
      </c>
      <c r="E103" s="2">
        <f t="shared" si="2"/>
        <v>22.486767658505698</v>
      </c>
      <c r="F103" s="2">
        <f t="shared" si="3"/>
        <v>505.65471972761787</v>
      </c>
    </row>
    <row r="104" spans="1:6" x14ac:dyDescent="0.25">
      <c r="A104" s="1">
        <v>39814</v>
      </c>
      <c r="B104">
        <v>5.2160000000000002</v>
      </c>
      <c r="C104">
        <v>79.995018823378899</v>
      </c>
      <c r="D104">
        <v>47</v>
      </c>
      <c r="E104" s="2">
        <f t="shared" si="2"/>
        <v>32.995018823378899</v>
      </c>
      <c r="F104" s="2">
        <f t="shared" si="3"/>
        <v>1088.6712671551279</v>
      </c>
    </row>
    <row r="105" spans="1:6" x14ac:dyDescent="0.25">
      <c r="A105" s="1">
        <v>39783</v>
      </c>
      <c r="B105">
        <v>6.0125000000000002</v>
      </c>
      <c r="C105">
        <v>24.9059325066995</v>
      </c>
      <c r="D105">
        <v>6.33</v>
      </c>
      <c r="E105" s="2">
        <f t="shared" si="2"/>
        <v>18.575932506699502</v>
      </c>
      <c r="F105" s="2">
        <f t="shared" si="3"/>
        <v>345.06526849345522</v>
      </c>
    </row>
    <row r="106" spans="1:6" x14ac:dyDescent="0.25">
      <c r="A106" s="1">
        <v>39753</v>
      </c>
      <c r="B106">
        <v>6.1050000000000004</v>
      </c>
      <c r="C106">
        <v>18.442492817990999</v>
      </c>
      <c r="D106">
        <v>6.13</v>
      </c>
      <c r="E106" s="2">
        <f t="shared" si="2"/>
        <v>12.312492817991</v>
      </c>
      <c r="F106" s="2">
        <f t="shared" si="3"/>
        <v>151.59747939307996</v>
      </c>
    </row>
    <row r="107" spans="1:6" x14ac:dyDescent="0.25">
      <c r="A107" s="1">
        <v>39722</v>
      </c>
      <c r="B107">
        <v>5.9562499999999998</v>
      </c>
      <c r="C107">
        <v>27.853996262771599</v>
      </c>
      <c r="D107">
        <v>8.9700000000000006</v>
      </c>
      <c r="E107" s="2">
        <f t="shared" si="2"/>
        <v>18.883996262771596</v>
      </c>
      <c r="F107" s="2">
        <f t="shared" si="3"/>
        <v>356.60531485237163</v>
      </c>
    </row>
    <row r="108" spans="1:6" x14ac:dyDescent="0.25">
      <c r="A108" s="1">
        <v>39692</v>
      </c>
      <c r="B108">
        <v>6.3962500000000002</v>
      </c>
      <c r="C108">
        <v>11.2882431846235</v>
      </c>
      <c r="D108">
        <v>3.32</v>
      </c>
      <c r="E108" s="2">
        <f t="shared" si="2"/>
        <v>7.9682431846234998</v>
      </c>
      <c r="F108" s="2">
        <f t="shared" si="3"/>
        <v>63.492899449298854</v>
      </c>
    </row>
    <row r="109" spans="1:6" x14ac:dyDescent="0.25">
      <c r="A109" s="1">
        <v>39661</v>
      </c>
      <c r="B109">
        <v>6.3310000000000004</v>
      </c>
      <c r="C109">
        <v>12.143818939669901</v>
      </c>
      <c r="D109">
        <v>4</v>
      </c>
      <c r="E109" s="2">
        <f t="shared" si="2"/>
        <v>8.1438189396699006</v>
      </c>
      <c r="F109" s="2">
        <f t="shared" si="3"/>
        <v>66.321786922126179</v>
      </c>
    </row>
    <row r="110" spans="1:6" x14ac:dyDescent="0.25">
      <c r="A110" s="1">
        <v>39630</v>
      </c>
      <c r="B110">
        <v>6.2324999999999999</v>
      </c>
      <c r="C110">
        <v>15.2460999637923</v>
      </c>
      <c r="D110">
        <v>5.29</v>
      </c>
      <c r="E110" s="2">
        <f t="shared" si="2"/>
        <v>9.9560999637923011</v>
      </c>
      <c r="F110" s="2">
        <f t="shared" si="3"/>
        <v>99.123926489025052</v>
      </c>
    </row>
    <row r="111" spans="1:6" x14ac:dyDescent="0.25">
      <c r="A111" s="1">
        <v>39600</v>
      </c>
      <c r="B111">
        <v>5.9050000000000002</v>
      </c>
      <c r="C111">
        <v>30.611070222576799</v>
      </c>
      <c r="D111">
        <v>10.83</v>
      </c>
      <c r="E111" s="2">
        <f t="shared" si="2"/>
        <v>19.781070222576801</v>
      </c>
      <c r="F111" s="2">
        <f t="shared" si="3"/>
        <v>391.29073915051464</v>
      </c>
    </row>
    <row r="112" spans="1:6" x14ac:dyDescent="0.25">
      <c r="A112" s="1">
        <v>39569</v>
      </c>
      <c r="B112">
        <v>5.8010000000000002</v>
      </c>
      <c r="C112">
        <v>36.662491871059302</v>
      </c>
      <c r="D112">
        <v>17.63</v>
      </c>
      <c r="E112" s="2">
        <f t="shared" si="2"/>
        <v>19.032491871059303</v>
      </c>
      <c r="F112" s="2">
        <f t="shared" si="3"/>
        <v>362.23574682193845</v>
      </c>
    </row>
    <row r="113" spans="1:6" x14ac:dyDescent="0.25">
      <c r="A113" s="1">
        <v>39539</v>
      </c>
      <c r="B113">
        <v>5.8387500000000001</v>
      </c>
      <c r="C113">
        <v>39.934863923698501</v>
      </c>
      <c r="D113">
        <v>19.190000000000001</v>
      </c>
      <c r="E113" s="2">
        <f t="shared" si="2"/>
        <v>20.7448639236985</v>
      </c>
      <c r="F113" s="2">
        <f t="shared" si="3"/>
        <v>430.34937921276753</v>
      </c>
    </row>
    <row r="114" spans="1:6" x14ac:dyDescent="0.25">
      <c r="A114" s="1">
        <v>39508</v>
      </c>
      <c r="B114">
        <v>5.7862499999999999</v>
      </c>
      <c r="C114">
        <v>42.988631912524497</v>
      </c>
      <c r="D114">
        <v>26.38</v>
      </c>
      <c r="E114" s="2">
        <f t="shared" si="2"/>
        <v>16.608631912524498</v>
      </c>
      <c r="F114" s="2">
        <f t="shared" si="3"/>
        <v>275.84665400572715</v>
      </c>
    </row>
    <row r="115" spans="1:6" x14ac:dyDescent="0.25">
      <c r="A115" s="1">
        <v>39479</v>
      </c>
      <c r="B115">
        <v>5.6180000000000003</v>
      </c>
      <c r="C115">
        <v>51.1817598913442</v>
      </c>
      <c r="D115">
        <v>38.49</v>
      </c>
      <c r="E115" s="2">
        <f t="shared" si="2"/>
        <v>12.691759891344198</v>
      </c>
      <c r="F115" s="2">
        <f t="shared" si="3"/>
        <v>161.08076913953329</v>
      </c>
    </row>
    <row r="116" spans="1:6" x14ac:dyDescent="0.25">
      <c r="A116" s="1">
        <v>39448</v>
      </c>
      <c r="B116">
        <v>5.9574999999999996</v>
      </c>
      <c r="C116">
        <v>30.381496499984301</v>
      </c>
      <c r="D116">
        <v>16.16</v>
      </c>
      <c r="E116" s="2">
        <f t="shared" si="2"/>
        <v>14.221496499984301</v>
      </c>
      <c r="F116" s="2">
        <f t="shared" si="3"/>
        <v>202.25096269906572</v>
      </c>
    </row>
    <row r="117" spans="1:6" x14ac:dyDescent="0.25">
      <c r="A117" s="1">
        <v>39417</v>
      </c>
      <c r="B117">
        <v>6.0575000000000001</v>
      </c>
      <c r="C117">
        <v>23.7168379078567</v>
      </c>
      <c r="D117">
        <v>11.53</v>
      </c>
      <c r="E117" s="2">
        <f t="shared" si="2"/>
        <v>12.186837907856701</v>
      </c>
      <c r="F117" s="2">
        <f t="shared" si="3"/>
        <v>148.5190181923731</v>
      </c>
    </row>
    <row r="118" spans="1:6" x14ac:dyDescent="0.25">
      <c r="A118" s="1">
        <v>39387</v>
      </c>
      <c r="B118">
        <v>6.2169999999999996</v>
      </c>
      <c r="C118">
        <v>16.014270038401399</v>
      </c>
      <c r="D118">
        <v>7.55</v>
      </c>
      <c r="E118" s="2">
        <f t="shared" si="2"/>
        <v>8.4642700384013985</v>
      </c>
      <c r="F118" s="2">
        <f t="shared" si="3"/>
        <v>71.643867282979613</v>
      </c>
    </row>
    <row r="119" spans="1:6" x14ac:dyDescent="0.25">
      <c r="A119" s="1">
        <v>39356</v>
      </c>
      <c r="B119">
        <v>6.2575000000000003</v>
      </c>
      <c r="C119">
        <v>13.936711598914201</v>
      </c>
      <c r="D119">
        <v>7.52</v>
      </c>
      <c r="E119" s="2">
        <f t="shared" si="2"/>
        <v>6.4167115989142012</v>
      </c>
      <c r="F119" s="2">
        <f t="shared" si="3"/>
        <v>41.174187743640047</v>
      </c>
    </row>
    <row r="120" spans="1:6" x14ac:dyDescent="0.25">
      <c r="A120" s="1">
        <v>39326</v>
      </c>
      <c r="B120">
        <v>6.4219999999999997</v>
      </c>
      <c r="C120">
        <v>9.6651189400989796</v>
      </c>
      <c r="D120">
        <v>5.49</v>
      </c>
      <c r="E120" s="2">
        <f t="shared" si="2"/>
        <v>4.1751189400989794</v>
      </c>
      <c r="F120" s="2">
        <f t="shared" si="3"/>
        <v>17.431618163973226</v>
      </c>
    </row>
    <row r="121" spans="1:6" x14ac:dyDescent="0.25">
      <c r="A121" s="1">
        <v>39295</v>
      </c>
      <c r="B121">
        <v>6.5449999999999999</v>
      </c>
      <c r="C121">
        <v>7.2655877869479202</v>
      </c>
      <c r="D121">
        <v>4.1900000000000004</v>
      </c>
      <c r="E121" s="2">
        <f t="shared" si="2"/>
        <v>3.0755877869479198</v>
      </c>
      <c r="F121" s="2">
        <f t="shared" si="3"/>
        <v>9.4592402352232021</v>
      </c>
    </row>
    <row r="122" spans="1:6" x14ac:dyDescent="0.25">
      <c r="A122" s="1">
        <v>39264</v>
      </c>
      <c r="B122">
        <v>6.5137499999999999</v>
      </c>
      <c r="C122">
        <v>6.3768977592121701</v>
      </c>
      <c r="D122">
        <v>4.6399999999999997</v>
      </c>
      <c r="E122" s="2">
        <f t="shared" si="2"/>
        <v>1.7368977592121704</v>
      </c>
      <c r="F122" s="2">
        <f t="shared" si="3"/>
        <v>3.0168138259562585</v>
      </c>
    </row>
    <row r="123" spans="1:6" x14ac:dyDescent="0.25">
      <c r="A123" s="1">
        <v>39234</v>
      </c>
      <c r="B123">
        <v>6.1219999999999999</v>
      </c>
      <c r="C123">
        <v>17.6041137045097</v>
      </c>
      <c r="D123">
        <v>11.53</v>
      </c>
      <c r="E123" s="2">
        <f t="shared" si="2"/>
        <v>6.0741137045097009</v>
      </c>
      <c r="F123" s="2">
        <f t="shared" si="3"/>
        <v>36.894857295312562</v>
      </c>
    </row>
    <row r="124" spans="1:6" x14ac:dyDescent="0.25">
      <c r="A124" s="1">
        <v>39203</v>
      </c>
      <c r="B124">
        <v>6.0425000000000004</v>
      </c>
      <c r="C124">
        <v>24.143783938529999</v>
      </c>
      <c r="D124">
        <v>13.59</v>
      </c>
      <c r="E124" s="2">
        <f t="shared" si="2"/>
        <v>10.55378393853</v>
      </c>
      <c r="F124" s="2">
        <f t="shared" si="3"/>
        <v>111.38235542117378</v>
      </c>
    </row>
    <row r="125" spans="1:6" x14ac:dyDescent="0.25">
      <c r="A125" s="1">
        <v>39173</v>
      </c>
      <c r="B125">
        <v>6.0062499999999996</v>
      </c>
      <c r="C125">
        <v>22.310903122791998</v>
      </c>
      <c r="D125">
        <v>15.08</v>
      </c>
      <c r="E125" s="2">
        <f t="shared" si="2"/>
        <v>7.2309031227919984</v>
      </c>
      <c r="F125" s="2">
        <f t="shared" si="3"/>
        <v>52.285959971203077</v>
      </c>
    </row>
    <row r="126" spans="1:6" x14ac:dyDescent="0.25">
      <c r="A126" s="1">
        <v>39142</v>
      </c>
      <c r="B126">
        <v>6.0949999999999998</v>
      </c>
      <c r="C126">
        <v>21.696172986970701</v>
      </c>
      <c r="D126">
        <v>11.02</v>
      </c>
      <c r="E126" s="2">
        <f t="shared" si="2"/>
        <v>10.676172986970702</v>
      </c>
      <c r="F126" s="2">
        <f t="shared" si="3"/>
        <v>113.98066964772292</v>
      </c>
    </row>
    <row r="127" spans="1:6" x14ac:dyDescent="0.25">
      <c r="A127" s="1">
        <v>39114</v>
      </c>
      <c r="B127">
        <v>6.0919999999999996</v>
      </c>
      <c r="C127">
        <v>21.4931125177824</v>
      </c>
      <c r="D127">
        <v>13.28</v>
      </c>
      <c r="E127" s="2">
        <f t="shared" si="2"/>
        <v>8.2131125177824007</v>
      </c>
      <c r="F127" s="2">
        <f t="shared" si="3"/>
        <v>67.45521722975397</v>
      </c>
    </row>
    <row r="128" spans="1:6" x14ac:dyDescent="0.25">
      <c r="A128" s="1">
        <v>39083</v>
      </c>
      <c r="B128">
        <v>5.99125</v>
      </c>
      <c r="C128">
        <v>26.904852548670899</v>
      </c>
      <c r="D128">
        <v>16.350000000000001</v>
      </c>
      <c r="E128" s="2">
        <f t="shared" si="2"/>
        <v>10.554852548670898</v>
      </c>
      <c r="F128" s="2">
        <f t="shared" si="3"/>
        <v>111.40491232418454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128"/>
  <sheetViews>
    <sheetView workbookViewId="0">
      <selection activeCell="P65" sqref="P65"/>
    </sheetView>
  </sheetViews>
  <sheetFormatPr defaultRowHeight="15" x14ac:dyDescent="0.25"/>
  <sheetData>
    <row r="1" spans="1:7" x14ac:dyDescent="0.25">
      <c r="A1" t="s">
        <v>1</v>
      </c>
      <c r="B1" t="s">
        <v>0</v>
      </c>
      <c r="C1" t="s">
        <v>2</v>
      </c>
      <c r="D1" t="s">
        <v>3</v>
      </c>
      <c r="E1" s="2" t="s">
        <v>4</v>
      </c>
      <c r="G1" s="2" t="s">
        <v>5</v>
      </c>
    </row>
    <row r="2" spans="1:7" x14ac:dyDescent="0.25">
      <c r="A2" s="1">
        <v>42917</v>
      </c>
      <c r="B2">
        <v>3.77</v>
      </c>
      <c r="C2">
        <v>39.020160425676004</v>
      </c>
      <c r="D2">
        <v>34.19</v>
      </c>
      <c r="E2" s="2">
        <f>C2-D2</f>
        <v>4.8301604256760058</v>
      </c>
      <c r="F2" s="2">
        <f>E2^2</f>
        <v>23.330449737766614</v>
      </c>
      <c r="G2">
        <f>SQRT(AVERAGE(F2:F128))</f>
        <v>4.9405460751267949</v>
      </c>
    </row>
    <row r="3" spans="1:7" x14ac:dyDescent="0.25">
      <c r="A3" s="1">
        <v>42887</v>
      </c>
      <c r="B3">
        <v>3.871</v>
      </c>
      <c r="C3">
        <v>32.7824407369637</v>
      </c>
      <c r="D3">
        <v>29.65</v>
      </c>
      <c r="E3" s="2">
        <f t="shared" ref="E3:E66" si="0">C3-D3</f>
        <v>3.1324407369637015</v>
      </c>
      <c r="F3" s="2">
        <f t="shared" ref="F3:F66" si="1">E3^2</f>
        <v>9.8121849705896977</v>
      </c>
    </row>
    <row r="4" spans="1:7" x14ac:dyDescent="0.25">
      <c r="A4" s="1">
        <v>42856</v>
      </c>
      <c r="B4">
        <v>3.92</v>
      </c>
      <c r="C4">
        <v>28.7756802405553</v>
      </c>
      <c r="D4">
        <v>28.57</v>
      </c>
      <c r="E4" s="2">
        <f t="shared" si="0"/>
        <v>0.20568024055529932</v>
      </c>
      <c r="F4" s="2">
        <f t="shared" si="1"/>
        <v>4.2304361354885793E-2</v>
      </c>
    </row>
    <row r="5" spans="1:7" x14ac:dyDescent="0.25">
      <c r="A5" s="1">
        <v>42826</v>
      </c>
      <c r="B5">
        <v>4.0709999999999997</v>
      </c>
      <c r="C5">
        <v>16.139045568734002</v>
      </c>
      <c r="D5">
        <v>22.67</v>
      </c>
      <c r="E5" s="2">
        <f t="shared" si="0"/>
        <v>-6.5309544312660002</v>
      </c>
      <c r="F5" s="2">
        <f t="shared" si="1"/>
        <v>42.653365783273003</v>
      </c>
    </row>
    <row r="6" spans="1:7" x14ac:dyDescent="0.25">
      <c r="A6" s="1">
        <v>42795</v>
      </c>
      <c r="B6">
        <v>4.0362499999999999</v>
      </c>
      <c r="C6">
        <v>18.048163961109701</v>
      </c>
      <c r="D6">
        <v>25.51</v>
      </c>
      <c r="E6" s="2">
        <f t="shared" si="0"/>
        <v>-7.4618360388903007</v>
      </c>
      <c r="F6" s="2">
        <f t="shared" si="1"/>
        <v>55.67899707128209</v>
      </c>
    </row>
    <row r="7" spans="1:7" x14ac:dyDescent="0.25">
      <c r="A7" s="1">
        <v>42767</v>
      </c>
      <c r="B7">
        <v>4.0187499999999998</v>
      </c>
      <c r="C7">
        <v>22.278966320154499</v>
      </c>
      <c r="D7">
        <v>27.36</v>
      </c>
      <c r="E7" s="2">
        <f t="shared" si="0"/>
        <v>-5.0810336798455005</v>
      </c>
      <c r="F7" s="2">
        <f t="shared" si="1"/>
        <v>25.816903255724309</v>
      </c>
    </row>
    <row r="8" spans="1:7" x14ac:dyDescent="0.25">
      <c r="A8" s="1">
        <v>42736</v>
      </c>
      <c r="B8">
        <v>4.1025</v>
      </c>
      <c r="C8">
        <v>17.673934699100801</v>
      </c>
      <c r="D8">
        <v>20.46</v>
      </c>
      <c r="E8" s="2">
        <f t="shared" si="0"/>
        <v>-2.7860653008991996</v>
      </c>
      <c r="F8" s="2">
        <f t="shared" si="1"/>
        <v>7.7621598608745472</v>
      </c>
    </row>
    <row r="9" spans="1:7" x14ac:dyDescent="0.25">
      <c r="A9" s="1">
        <v>42705</v>
      </c>
      <c r="B9">
        <v>3.7069999999999999</v>
      </c>
      <c r="C9">
        <v>40.3239335511485</v>
      </c>
      <c r="D9">
        <v>38.380000000000003</v>
      </c>
      <c r="E9" s="2">
        <f t="shared" si="0"/>
        <v>1.943933551148497</v>
      </c>
      <c r="F9" s="2">
        <f t="shared" si="1"/>
        <v>3.7788776512808062</v>
      </c>
    </row>
    <row r="10" spans="1:7" x14ac:dyDescent="0.25">
      <c r="A10" s="1">
        <v>42675</v>
      </c>
      <c r="B10">
        <v>3.3574999999999999</v>
      </c>
      <c r="C10">
        <v>68.843571130321394</v>
      </c>
      <c r="D10">
        <v>70.73</v>
      </c>
      <c r="E10" s="2">
        <f t="shared" si="0"/>
        <v>-1.8864288696786105</v>
      </c>
      <c r="F10" s="2">
        <f t="shared" si="1"/>
        <v>3.5586138803569201</v>
      </c>
    </row>
    <row r="11" spans="1:7" x14ac:dyDescent="0.25">
      <c r="A11" s="1">
        <v>42644</v>
      </c>
      <c r="B11">
        <v>3.3475000000000001</v>
      </c>
      <c r="C11">
        <v>70.038530183614697</v>
      </c>
      <c r="D11">
        <v>73.040000000000006</v>
      </c>
      <c r="E11" s="2">
        <f t="shared" si="0"/>
        <v>-3.0014698163853097</v>
      </c>
      <c r="F11" s="2">
        <f t="shared" si="1"/>
        <v>9.0088210586720656</v>
      </c>
    </row>
    <row r="12" spans="1:7" x14ac:dyDescent="0.25">
      <c r="A12" s="1">
        <v>42614</v>
      </c>
      <c r="B12">
        <v>3.32</v>
      </c>
      <c r="C12">
        <v>72.369683889545698</v>
      </c>
      <c r="D12">
        <v>75.78</v>
      </c>
      <c r="E12" s="2">
        <f t="shared" si="0"/>
        <v>-3.4103161104543034</v>
      </c>
      <c r="F12" s="2">
        <f t="shared" si="1"/>
        <v>11.630255973224168</v>
      </c>
    </row>
    <row r="13" spans="1:7" x14ac:dyDescent="0.25">
      <c r="A13" s="1">
        <v>42583</v>
      </c>
      <c r="B13">
        <v>3.3149999999999999</v>
      </c>
      <c r="C13">
        <v>73.987736481263099</v>
      </c>
      <c r="D13">
        <v>76.819999999999993</v>
      </c>
      <c r="E13" s="2">
        <f t="shared" si="0"/>
        <v>-2.8322635187368945</v>
      </c>
      <c r="F13" s="2">
        <f t="shared" si="1"/>
        <v>8.0217166395678952</v>
      </c>
    </row>
    <row r="14" spans="1:7" x14ac:dyDescent="0.25">
      <c r="A14" s="1">
        <v>42552</v>
      </c>
      <c r="B14">
        <v>3.448</v>
      </c>
      <c r="C14">
        <v>72.720045059741395</v>
      </c>
      <c r="D14">
        <v>67.739999999999995</v>
      </c>
      <c r="E14" s="2">
        <f t="shared" si="0"/>
        <v>4.9800450597413999</v>
      </c>
      <c r="F14" s="2">
        <f t="shared" si="1"/>
        <v>24.800848797054723</v>
      </c>
    </row>
    <row r="15" spans="1:7" x14ac:dyDescent="0.25">
      <c r="A15" s="1">
        <v>42522</v>
      </c>
      <c r="B15">
        <v>3.4874999999999998</v>
      </c>
      <c r="C15">
        <v>73.047336279682099</v>
      </c>
      <c r="D15">
        <v>63.98</v>
      </c>
      <c r="E15" s="2">
        <f t="shared" si="0"/>
        <v>9.0673362796821024</v>
      </c>
      <c r="F15" s="2">
        <f t="shared" si="1"/>
        <v>82.216587208839272</v>
      </c>
    </row>
    <row r="16" spans="1:7" x14ac:dyDescent="0.25">
      <c r="A16" s="1">
        <v>42491</v>
      </c>
      <c r="B16">
        <v>3.4925000000000002</v>
      </c>
      <c r="C16">
        <v>74.353506495572205</v>
      </c>
      <c r="D16">
        <v>60.86</v>
      </c>
      <c r="E16" s="2">
        <f t="shared" si="0"/>
        <v>13.493506495572205</v>
      </c>
      <c r="F16" s="2">
        <f t="shared" si="1"/>
        <v>182.0747175460493</v>
      </c>
    </row>
    <row r="17" spans="1:6" x14ac:dyDescent="0.25">
      <c r="A17" s="1">
        <v>42461</v>
      </c>
      <c r="B17">
        <v>3.569</v>
      </c>
      <c r="C17">
        <v>56.795299458729502</v>
      </c>
      <c r="D17">
        <v>54.22</v>
      </c>
      <c r="E17" s="2">
        <f t="shared" si="0"/>
        <v>2.5752994587295035</v>
      </c>
      <c r="F17" s="2">
        <f t="shared" si="1"/>
        <v>6.6321673021324736</v>
      </c>
    </row>
    <row r="18" spans="1:6" x14ac:dyDescent="0.25">
      <c r="A18" s="1">
        <v>42430</v>
      </c>
      <c r="B18">
        <v>3.5474999999999999</v>
      </c>
      <c r="C18">
        <v>58.081772607594203</v>
      </c>
      <c r="D18">
        <v>56.48</v>
      </c>
      <c r="E18" s="2">
        <f t="shared" si="0"/>
        <v>1.6017726075942065</v>
      </c>
      <c r="F18" s="2">
        <f t="shared" si="1"/>
        <v>2.5656754864391438</v>
      </c>
    </row>
    <row r="19" spans="1:6" x14ac:dyDescent="0.25">
      <c r="A19" s="1">
        <v>42401</v>
      </c>
      <c r="B19">
        <v>3.7725</v>
      </c>
      <c r="C19">
        <v>45.730493338597498</v>
      </c>
      <c r="D19">
        <v>45.76</v>
      </c>
      <c r="E19" s="2">
        <f t="shared" si="0"/>
        <v>-2.9506661402500356E-2</v>
      </c>
      <c r="F19" s="2">
        <f t="shared" si="1"/>
        <v>8.7064306712180425E-4</v>
      </c>
    </row>
    <row r="20" spans="1:6" x14ac:dyDescent="0.25">
      <c r="A20" s="1">
        <v>42370</v>
      </c>
      <c r="B20">
        <v>3.8639999999999999</v>
      </c>
      <c r="C20">
        <v>42.460183604507797</v>
      </c>
      <c r="D20">
        <v>42.56</v>
      </c>
      <c r="E20" s="2">
        <f t="shared" si="0"/>
        <v>-9.981639549220489E-2</v>
      </c>
      <c r="F20" s="2">
        <f t="shared" si="1"/>
        <v>9.9633128090562614E-3</v>
      </c>
    </row>
    <row r="21" spans="1:6" x14ac:dyDescent="0.25">
      <c r="A21" s="1">
        <v>42339</v>
      </c>
      <c r="B21">
        <v>3.8487499999999999</v>
      </c>
      <c r="C21">
        <v>42.858858651626001</v>
      </c>
      <c r="D21">
        <v>44.06</v>
      </c>
      <c r="E21" s="2">
        <f t="shared" si="0"/>
        <v>-1.2011413483740014</v>
      </c>
      <c r="F21" s="2">
        <f t="shared" si="1"/>
        <v>1.4427405387737142</v>
      </c>
    </row>
    <row r="22" spans="1:6" x14ac:dyDescent="0.25">
      <c r="A22" s="1">
        <v>42309</v>
      </c>
      <c r="B22">
        <v>3.6825000000000001</v>
      </c>
      <c r="C22">
        <v>49.787582396967998</v>
      </c>
      <c r="D22">
        <v>51.65</v>
      </c>
      <c r="E22" s="2">
        <f t="shared" si="0"/>
        <v>-1.8624176030320001</v>
      </c>
      <c r="F22" s="2">
        <f t="shared" si="1"/>
        <v>3.4685993280834606</v>
      </c>
    </row>
    <row r="23" spans="1:6" x14ac:dyDescent="0.25">
      <c r="A23" s="1">
        <v>42278</v>
      </c>
      <c r="B23">
        <v>3.7869999999999999</v>
      </c>
      <c r="C23">
        <v>46.940389408664203</v>
      </c>
      <c r="D23">
        <v>48.14</v>
      </c>
      <c r="E23" s="2">
        <f t="shared" si="0"/>
        <v>-1.1996105913357979</v>
      </c>
      <c r="F23" s="2">
        <f t="shared" si="1"/>
        <v>1.4390655708450228</v>
      </c>
    </row>
    <row r="24" spans="1:6" x14ac:dyDescent="0.25">
      <c r="A24" s="1">
        <v>42248</v>
      </c>
      <c r="B24">
        <v>3.8050000000000002</v>
      </c>
      <c r="C24">
        <v>48.187650930609699</v>
      </c>
      <c r="D24">
        <v>48.77</v>
      </c>
      <c r="E24" s="2">
        <f t="shared" si="0"/>
        <v>-0.58234906939030395</v>
      </c>
      <c r="F24" s="2">
        <f t="shared" si="1"/>
        <v>0.33913043861975306</v>
      </c>
    </row>
    <row r="25" spans="1:6" x14ac:dyDescent="0.25">
      <c r="A25" s="1">
        <v>42217</v>
      </c>
      <c r="B25">
        <v>3.9460000000000002</v>
      </c>
      <c r="C25">
        <v>44.140391802914699</v>
      </c>
      <c r="D25">
        <v>41.79</v>
      </c>
      <c r="E25" s="2">
        <f t="shared" si="0"/>
        <v>2.3503918029147002</v>
      </c>
      <c r="F25" s="2">
        <f t="shared" si="1"/>
        <v>5.5243416272086145</v>
      </c>
    </row>
    <row r="26" spans="1:6" x14ac:dyDescent="0.25">
      <c r="A26" s="1">
        <v>42186</v>
      </c>
      <c r="B26">
        <v>3.895</v>
      </c>
      <c r="C26">
        <v>48.121943970556202</v>
      </c>
      <c r="D26">
        <v>45.34</v>
      </c>
      <c r="E26" s="2">
        <f t="shared" si="0"/>
        <v>2.781943970556199</v>
      </c>
      <c r="F26" s="2">
        <f t="shared" si="1"/>
        <v>7.7392122553139897</v>
      </c>
    </row>
    <row r="27" spans="1:6" x14ac:dyDescent="0.25">
      <c r="A27" s="1">
        <v>42156</v>
      </c>
      <c r="B27">
        <v>3.7462499999999999</v>
      </c>
      <c r="C27">
        <v>54.083673248752802</v>
      </c>
      <c r="D27">
        <v>53.9</v>
      </c>
      <c r="E27" s="2">
        <f t="shared" si="0"/>
        <v>0.18367324875280389</v>
      </c>
      <c r="F27" s="2">
        <f t="shared" si="1"/>
        <v>3.3735862307409374E-2</v>
      </c>
    </row>
    <row r="28" spans="1:6" x14ac:dyDescent="0.25">
      <c r="A28" s="1">
        <v>42125</v>
      </c>
      <c r="B28">
        <v>3.577</v>
      </c>
      <c r="C28">
        <v>62.429395654001503</v>
      </c>
      <c r="D28">
        <v>61.49</v>
      </c>
      <c r="E28" s="2">
        <f t="shared" si="0"/>
        <v>0.93939565400150116</v>
      </c>
      <c r="F28" s="2">
        <f t="shared" si="1"/>
        <v>0.88246419475690807</v>
      </c>
    </row>
    <row r="29" spans="1:6" x14ac:dyDescent="0.25">
      <c r="A29" s="1">
        <v>42095</v>
      </c>
      <c r="B29">
        <v>3.67</v>
      </c>
      <c r="C29">
        <v>57.686072682823301</v>
      </c>
      <c r="D29">
        <v>58.42</v>
      </c>
      <c r="E29" s="2">
        <f t="shared" si="0"/>
        <v>-0.73392731717670046</v>
      </c>
      <c r="F29" s="2">
        <f t="shared" si="1"/>
        <v>0.53864930689818902</v>
      </c>
    </row>
    <row r="30" spans="1:6" x14ac:dyDescent="0.25">
      <c r="A30" s="1">
        <v>42064</v>
      </c>
      <c r="B30">
        <v>3.61625</v>
      </c>
      <c r="C30">
        <v>59.269116954116903</v>
      </c>
      <c r="D30">
        <v>61.22</v>
      </c>
      <c r="E30" s="2">
        <f t="shared" si="0"/>
        <v>-1.9508830458830957</v>
      </c>
      <c r="F30" s="2">
        <f t="shared" si="1"/>
        <v>3.8059446587141048</v>
      </c>
    </row>
    <row r="31" spans="1:6" x14ac:dyDescent="0.25">
      <c r="A31" s="1">
        <v>42036</v>
      </c>
      <c r="B31">
        <v>3.5762499999999999</v>
      </c>
      <c r="C31">
        <v>66.3344968703869</v>
      </c>
      <c r="D31">
        <v>61.42</v>
      </c>
      <c r="E31" s="2">
        <f t="shared" si="0"/>
        <v>4.9144968703868983</v>
      </c>
      <c r="F31" s="2">
        <f t="shared" si="1"/>
        <v>24.152279489042616</v>
      </c>
    </row>
    <row r="32" spans="1:6" x14ac:dyDescent="0.25">
      <c r="A32" s="1">
        <v>42005</v>
      </c>
      <c r="B32">
        <v>3.754</v>
      </c>
      <c r="C32">
        <v>59.013301292116601</v>
      </c>
      <c r="D32">
        <v>55.3</v>
      </c>
      <c r="E32" s="2">
        <f t="shared" si="0"/>
        <v>3.7133012921166042</v>
      </c>
      <c r="F32" s="2">
        <f t="shared" si="1"/>
        <v>13.788606486034842</v>
      </c>
    </row>
    <row r="33" spans="1:10" x14ac:dyDescent="0.25">
      <c r="A33" s="1">
        <v>41974</v>
      </c>
      <c r="B33">
        <v>3.8725000000000001</v>
      </c>
      <c r="C33">
        <v>56.154095187940001</v>
      </c>
      <c r="D33">
        <v>49.67</v>
      </c>
      <c r="E33" s="2">
        <f t="shared" si="0"/>
        <v>6.4840951879399995</v>
      </c>
      <c r="F33" s="2">
        <f t="shared" si="1"/>
        <v>42.043490406266656</v>
      </c>
    </row>
    <row r="34" spans="1:10" x14ac:dyDescent="0.25">
      <c r="A34" s="1">
        <v>41944</v>
      </c>
      <c r="B34">
        <v>3.9060000000000001</v>
      </c>
      <c r="C34">
        <v>56.582908734926001</v>
      </c>
      <c r="D34">
        <v>48.29</v>
      </c>
      <c r="E34" s="2">
        <f t="shared" si="0"/>
        <v>8.2929087349260016</v>
      </c>
      <c r="F34" s="2">
        <f t="shared" si="1"/>
        <v>68.772335285811977</v>
      </c>
    </row>
    <row r="35" spans="1:10" x14ac:dyDescent="0.25">
      <c r="A35" s="1">
        <v>41913</v>
      </c>
      <c r="B35">
        <v>4.0374999999999996</v>
      </c>
      <c r="C35">
        <v>38.990940845006797</v>
      </c>
      <c r="D35">
        <v>41.33</v>
      </c>
      <c r="E35" s="2">
        <f t="shared" si="0"/>
        <v>-2.3390591549932012</v>
      </c>
      <c r="F35" s="2">
        <f t="shared" si="1"/>
        <v>5.4711977305575079</v>
      </c>
    </row>
    <row r="36" spans="1:10" x14ac:dyDescent="0.25">
      <c r="A36" s="1">
        <v>41883</v>
      </c>
      <c r="B36">
        <v>4.00875</v>
      </c>
      <c r="C36">
        <v>42.073712313378202</v>
      </c>
      <c r="D36">
        <v>43.31</v>
      </c>
      <c r="E36" s="2">
        <f t="shared" si="0"/>
        <v>-1.2362876866218002</v>
      </c>
      <c r="F36" s="2">
        <f t="shared" si="1"/>
        <v>1.5284072440926826</v>
      </c>
    </row>
    <row r="37" spans="1:10" x14ac:dyDescent="0.25">
      <c r="A37" s="1">
        <v>41852</v>
      </c>
      <c r="B37">
        <v>4.03</v>
      </c>
      <c r="C37">
        <v>42.026923819008502</v>
      </c>
      <c r="D37">
        <v>42.58</v>
      </c>
      <c r="E37" s="2">
        <f t="shared" si="0"/>
        <v>-0.55307618099149636</v>
      </c>
      <c r="F37" s="2">
        <f t="shared" si="1"/>
        <v>0.30589326198013844</v>
      </c>
    </row>
    <row r="38" spans="1:10" x14ac:dyDescent="0.25">
      <c r="A38" s="1">
        <v>41821</v>
      </c>
      <c r="B38">
        <v>4.05</v>
      </c>
      <c r="C38">
        <v>42.0669343681882</v>
      </c>
      <c r="D38">
        <v>41.87</v>
      </c>
      <c r="E38" s="2">
        <f t="shared" si="0"/>
        <v>0.19693436818820231</v>
      </c>
      <c r="F38" s="2">
        <f t="shared" si="1"/>
        <v>3.8783145373686434E-2</v>
      </c>
    </row>
    <row r="39" spans="1:10" x14ac:dyDescent="0.25">
      <c r="A39" s="1">
        <v>41791</v>
      </c>
      <c r="B39">
        <v>4.0674999999999999</v>
      </c>
      <c r="C39">
        <v>42.1253765589747</v>
      </c>
      <c r="D39">
        <v>40.26</v>
      </c>
      <c r="E39" s="2">
        <f t="shared" si="0"/>
        <v>1.8653765589747024</v>
      </c>
      <c r="F39" s="2">
        <f t="shared" si="1"/>
        <v>3.4796297067723017</v>
      </c>
    </row>
    <row r="40" spans="1:10" x14ac:dyDescent="0.25">
      <c r="A40" s="1">
        <v>41760</v>
      </c>
      <c r="B40">
        <v>4.2480000000000002</v>
      </c>
      <c r="C40">
        <v>38.219679034419897</v>
      </c>
      <c r="D40">
        <v>35.049999999999997</v>
      </c>
      <c r="E40" s="2">
        <f t="shared" si="0"/>
        <v>3.1696790344199002</v>
      </c>
      <c r="F40" s="2">
        <f t="shared" si="1"/>
        <v>10.046865181241071</v>
      </c>
    </row>
    <row r="41" spans="1:10" x14ac:dyDescent="0.25">
      <c r="A41" s="1">
        <v>41730</v>
      </c>
      <c r="B41">
        <v>4.2487500000000002</v>
      </c>
      <c r="C41">
        <v>38.8517977536834</v>
      </c>
      <c r="D41">
        <v>36.049999999999997</v>
      </c>
      <c r="E41" s="2">
        <f t="shared" si="0"/>
        <v>2.8017977536834024</v>
      </c>
      <c r="F41" s="2">
        <f t="shared" si="1"/>
        <v>7.8500706525453596</v>
      </c>
    </row>
    <row r="42" spans="1:10" x14ac:dyDescent="0.25">
      <c r="A42" s="1">
        <v>41699</v>
      </c>
      <c r="B42">
        <v>4.2275</v>
      </c>
      <c r="C42">
        <v>39.441054944232</v>
      </c>
      <c r="D42">
        <v>37.340000000000003</v>
      </c>
      <c r="E42" s="2">
        <f t="shared" si="0"/>
        <v>2.101054944231997</v>
      </c>
      <c r="F42" s="2">
        <f t="shared" si="1"/>
        <v>4.4144318786817198</v>
      </c>
    </row>
    <row r="43" spans="1:10" x14ac:dyDescent="0.25">
      <c r="A43" s="1">
        <v>41671</v>
      </c>
      <c r="B43">
        <v>4.3620000000000001</v>
      </c>
      <c r="C43">
        <v>36.229856642219602</v>
      </c>
      <c r="D43">
        <v>31.82</v>
      </c>
      <c r="E43" s="2">
        <f t="shared" si="0"/>
        <v>4.4098566422196015</v>
      </c>
      <c r="F43" s="2">
        <f t="shared" si="1"/>
        <v>19.446835604928339</v>
      </c>
    </row>
    <row r="44" spans="1:10" x14ac:dyDescent="0.25">
      <c r="A44" s="1">
        <v>41640</v>
      </c>
      <c r="B44">
        <v>4.37</v>
      </c>
      <c r="C44">
        <v>36.992034874557397</v>
      </c>
      <c r="D44">
        <v>32.67</v>
      </c>
      <c r="E44" s="2">
        <f t="shared" si="0"/>
        <v>4.3220348745573958</v>
      </c>
      <c r="F44" s="2">
        <f t="shared" si="1"/>
        <v>18.679985456890364</v>
      </c>
      <c r="J44" s="1"/>
    </row>
    <row r="45" spans="1:10" x14ac:dyDescent="0.25">
      <c r="A45" s="1">
        <v>41609</v>
      </c>
      <c r="B45">
        <v>4.1862500000000002</v>
      </c>
      <c r="C45">
        <v>39.168188008873898</v>
      </c>
      <c r="D45">
        <v>41.41</v>
      </c>
      <c r="E45" s="2">
        <f t="shared" si="0"/>
        <v>-2.2418119911260987</v>
      </c>
      <c r="F45" s="2">
        <f t="shared" si="1"/>
        <v>5.0257210035567637</v>
      </c>
    </row>
    <row r="46" spans="1:10" x14ac:dyDescent="0.25">
      <c r="A46" s="1">
        <v>41579</v>
      </c>
      <c r="B46">
        <v>4.1219999999999999</v>
      </c>
      <c r="C46">
        <v>41.066099461014197</v>
      </c>
      <c r="D46">
        <v>43.99</v>
      </c>
      <c r="E46" s="2">
        <f t="shared" si="0"/>
        <v>-2.923900538985805</v>
      </c>
      <c r="F46" s="2">
        <f t="shared" si="1"/>
        <v>8.5491943618814812</v>
      </c>
    </row>
    <row r="47" spans="1:10" x14ac:dyDescent="0.25">
      <c r="A47" s="1">
        <v>41548</v>
      </c>
      <c r="B47">
        <v>4.4212499999999997</v>
      </c>
      <c r="C47">
        <v>30.072982816346201</v>
      </c>
      <c r="D47">
        <v>33.4</v>
      </c>
      <c r="E47" s="2">
        <f t="shared" si="0"/>
        <v>-3.3270171836537976</v>
      </c>
      <c r="F47" s="2">
        <f t="shared" si="1"/>
        <v>11.069043340327648</v>
      </c>
    </row>
    <row r="48" spans="1:10" x14ac:dyDescent="0.25">
      <c r="A48" s="1">
        <v>41518</v>
      </c>
      <c r="B48">
        <v>4.4037499999999996</v>
      </c>
      <c r="C48">
        <v>32.8444471910178</v>
      </c>
      <c r="D48">
        <v>37.200000000000003</v>
      </c>
      <c r="E48" s="2">
        <f t="shared" si="0"/>
        <v>-4.3555528089822033</v>
      </c>
      <c r="F48" s="2">
        <f t="shared" si="1"/>
        <v>18.970840271832763</v>
      </c>
    </row>
    <row r="49" spans="1:6" x14ac:dyDescent="0.25">
      <c r="A49" s="1">
        <v>41487</v>
      </c>
      <c r="B49">
        <v>4.3090000000000002</v>
      </c>
      <c r="C49">
        <v>42.309385521682302</v>
      </c>
      <c r="D49">
        <v>42.38</v>
      </c>
      <c r="E49" s="2">
        <f t="shared" si="0"/>
        <v>-7.0614478317700957E-2</v>
      </c>
      <c r="F49" s="2">
        <f t="shared" si="1"/>
        <v>4.9864045480810587E-3</v>
      </c>
    </row>
    <row r="50" spans="1:6" x14ac:dyDescent="0.25">
      <c r="A50" s="1">
        <v>41456</v>
      </c>
      <c r="B50">
        <v>4.0075000000000003</v>
      </c>
      <c r="C50">
        <v>48.478527989718998</v>
      </c>
      <c r="D50">
        <v>53.22</v>
      </c>
      <c r="E50" s="2">
        <f t="shared" si="0"/>
        <v>-4.7414720102810008</v>
      </c>
      <c r="F50" s="2">
        <f t="shared" si="1"/>
        <v>22.481556824278154</v>
      </c>
    </row>
    <row r="51" spans="1:6" x14ac:dyDescent="0.25">
      <c r="A51" s="1">
        <v>41426</v>
      </c>
      <c r="B51">
        <v>3.4660000000000002</v>
      </c>
      <c r="C51">
        <v>66.190823277341394</v>
      </c>
      <c r="D51">
        <v>74.19</v>
      </c>
      <c r="E51" s="2">
        <f t="shared" si="0"/>
        <v>-7.9991767226586035</v>
      </c>
      <c r="F51" s="2">
        <f t="shared" si="1"/>
        <v>63.986828240323234</v>
      </c>
    </row>
    <row r="52" spans="1:6" x14ac:dyDescent="0.25">
      <c r="A52" s="1">
        <v>41395</v>
      </c>
      <c r="B52">
        <v>3.3887499999999999</v>
      </c>
      <c r="C52">
        <v>78.023240552854503</v>
      </c>
      <c r="D52">
        <v>78.95</v>
      </c>
      <c r="E52" s="2">
        <f t="shared" si="0"/>
        <v>-0.92675944714549985</v>
      </c>
      <c r="F52" s="2">
        <f t="shared" si="1"/>
        <v>0.85888307287343257</v>
      </c>
    </row>
    <row r="53" spans="1:6" x14ac:dyDescent="0.25">
      <c r="A53" s="1">
        <v>41365</v>
      </c>
      <c r="B53">
        <v>3.50875</v>
      </c>
      <c r="C53">
        <v>67.662215916208595</v>
      </c>
      <c r="D53">
        <v>74.56</v>
      </c>
      <c r="E53" s="2">
        <f t="shared" si="0"/>
        <v>-6.8977840837914073</v>
      </c>
      <c r="F53" s="2">
        <f t="shared" si="1"/>
        <v>47.579425266606066</v>
      </c>
    </row>
    <row r="54" spans="1:6" x14ac:dyDescent="0.25">
      <c r="A54" s="1">
        <v>41334</v>
      </c>
      <c r="B54">
        <v>3.4824999999999999</v>
      </c>
      <c r="C54">
        <v>70.326560389389599</v>
      </c>
      <c r="D54">
        <v>77.53</v>
      </c>
      <c r="E54" s="2">
        <f t="shared" si="0"/>
        <v>-7.2034396106104026</v>
      </c>
      <c r="F54" s="2">
        <f t="shared" si="1"/>
        <v>51.889542223710947</v>
      </c>
    </row>
    <row r="55" spans="1:6" x14ac:dyDescent="0.25">
      <c r="A55" s="1">
        <v>41306</v>
      </c>
      <c r="B55">
        <v>3.339</v>
      </c>
      <c r="C55">
        <v>84.498047938447499</v>
      </c>
      <c r="D55">
        <v>87.22</v>
      </c>
      <c r="E55" s="2">
        <f t="shared" si="0"/>
        <v>-2.7219520615524999</v>
      </c>
      <c r="F55" s="2">
        <f t="shared" si="1"/>
        <v>7.4090230253899039</v>
      </c>
    </row>
    <row r="56" spans="1:6" x14ac:dyDescent="0.25">
      <c r="A56" s="1">
        <v>41275</v>
      </c>
      <c r="B56">
        <v>3.27</v>
      </c>
      <c r="C56">
        <v>88.859281107040403</v>
      </c>
      <c r="D56">
        <v>92.87</v>
      </c>
      <c r="E56" s="2">
        <f t="shared" si="0"/>
        <v>-4.010718892959602</v>
      </c>
      <c r="F56" s="2">
        <f t="shared" si="1"/>
        <v>16.085866038343095</v>
      </c>
    </row>
    <row r="57" spans="1:6" x14ac:dyDescent="0.25">
      <c r="A57" s="1">
        <v>41244</v>
      </c>
      <c r="B57">
        <v>3.2737500000000002</v>
      </c>
      <c r="C57">
        <v>91.108282508659002</v>
      </c>
      <c r="D57">
        <v>94.5</v>
      </c>
      <c r="E57" s="2">
        <f t="shared" si="0"/>
        <v>-3.391717491340998</v>
      </c>
      <c r="F57" s="2">
        <f t="shared" si="1"/>
        <v>11.503747541068472</v>
      </c>
    </row>
    <row r="58" spans="1:6" x14ac:dyDescent="0.25">
      <c r="A58" s="1">
        <v>41214</v>
      </c>
      <c r="B58">
        <v>3.3039999999999998</v>
      </c>
      <c r="C58">
        <v>92.737332691458406</v>
      </c>
      <c r="D58">
        <v>96.07</v>
      </c>
      <c r="E58" s="2">
        <f t="shared" si="0"/>
        <v>-3.3326673085415877</v>
      </c>
      <c r="F58" s="2">
        <f t="shared" si="1"/>
        <v>11.10667138942183</v>
      </c>
    </row>
    <row r="59" spans="1:6" x14ac:dyDescent="0.25">
      <c r="A59" s="1">
        <v>41183</v>
      </c>
      <c r="B59">
        <v>3.4037500000000001</v>
      </c>
      <c r="C59">
        <v>88.801974836525105</v>
      </c>
      <c r="D59">
        <v>92.63</v>
      </c>
      <c r="E59" s="2">
        <f t="shared" si="0"/>
        <v>-3.8280251634748907</v>
      </c>
      <c r="F59" s="2">
        <f t="shared" si="1"/>
        <v>14.653776652196964</v>
      </c>
    </row>
    <row r="60" spans="1:6" x14ac:dyDescent="0.25">
      <c r="A60" s="1">
        <v>41153</v>
      </c>
      <c r="B60">
        <v>3.512</v>
      </c>
      <c r="C60">
        <v>85.283235716911406</v>
      </c>
      <c r="D60">
        <v>89.15</v>
      </c>
      <c r="E60" s="2">
        <f t="shared" si="0"/>
        <v>-3.8667642830885995</v>
      </c>
      <c r="F60" s="2">
        <f t="shared" si="1"/>
        <v>14.951866020969691</v>
      </c>
    </row>
    <row r="61" spans="1:6" x14ac:dyDescent="0.25">
      <c r="A61" s="1">
        <v>41122</v>
      </c>
      <c r="B61">
        <v>3.4812500000000002</v>
      </c>
      <c r="C61">
        <v>89.047470138592303</v>
      </c>
      <c r="D61">
        <v>91.76</v>
      </c>
      <c r="E61" s="2">
        <f t="shared" si="0"/>
        <v>-2.7125298614077025</v>
      </c>
      <c r="F61" s="2">
        <f t="shared" si="1"/>
        <v>7.3578182490284894</v>
      </c>
    </row>
    <row r="62" spans="1:6" x14ac:dyDescent="0.25">
      <c r="A62" s="1">
        <v>41091</v>
      </c>
      <c r="B62">
        <v>3.6</v>
      </c>
      <c r="C62">
        <v>87.820058410203004</v>
      </c>
      <c r="D62">
        <v>89.97</v>
      </c>
      <c r="E62" s="2">
        <f t="shared" si="0"/>
        <v>-2.1499415897969953</v>
      </c>
      <c r="F62" s="2">
        <f t="shared" si="1"/>
        <v>4.6222488395388321</v>
      </c>
    </row>
    <row r="63" spans="1:6" x14ac:dyDescent="0.25">
      <c r="A63" s="1">
        <v>41061</v>
      </c>
      <c r="B63">
        <v>3.738</v>
      </c>
      <c r="C63">
        <v>88.993522069364204</v>
      </c>
      <c r="D63">
        <v>88.11</v>
      </c>
      <c r="E63" s="2">
        <f t="shared" si="0"/>
        <v>0.8835220693642043</v>
      </c>
      <c r="F63" s="2">
        <f t="shared" si="1"/>
        <v>0.78061124705360585</v>
      </c>
    </row>
    <row r="64" spans="1:6" x14ac:dyDescent="0.25">
      <c r="A64" s="1">
        <v>41030</v>
      </c>
      <c r="B64">
        <v>3.8412500000000001</v>
      </c>
      <c r="C64">
        <v>83.813705975534702</v>
      </c>
      <c r="D64">
        <v>84.2</v>
      </c>
      <c r="E64" s="2">
        <f t="shared" si="0"/>
        <v>-0.38629402446530037</v>
      </c>
      <c r="F64" s="2">
        <f t="shared" si="1"/>
        <v>0.14922307333759807</v>
      </c>
    </row>
    <row r="65" spans="1:6" x14ac:dyDescent="0.25">
      <c r="A65" s="1">
        <v>41000</v>
      </c>
      <c r="B65">
        <v>3.9112499999999999</v>
      </c>
      <c r="C65">
        <v>78.734763771418301</v>
      </c>
      <c r="D65">
        <v>82.4</v>
      </c>
      <c r="E65" s="2">
        <f t="shared" si="0"/>
        <v>-3.6652362285817048</v>
      </c>
      <c r="F65" s="2">
        <f t="shared" si="1"/>
        <v>13.43395661130784</v>
      </c>
    </row>
    <row r="66" spans="1:6" x14ac:dyDescent="0.25">
      <c r="A66" s="1">
        <v>40969</v>
      </c>
      <c r="B66">
        <v>3.8420000000000001</v>
      </c>
      <c r="C66">
        <v>83.950780825549003</v>
      </c>
      <c r="D66">
        <v>87.32</v>
      </c>
      <c r="E66" s="2">
        <f t="shared" si="0"/>
        <v>-3.3692191744509898</v>
      </c>
      <c r="F66" s="2">
        <f t="shared" si="1"/>
        <v>11.351637845488209</v>
      </c>
    </row>
    <row r="67" spans="1:6" x14ac:dyDescent="0.25">
      <c r="A67" s="1">
        <v>40940</v>
      </c>
      <c r="B67">
        <v>3.8525</v>
      </c>
      <c r="C67">
        <v>85.264485798907501</v>
      </c>
      <c r="D67">
        <v>88.32</v>
      </c>
      <c r="E67" s="2">
        <f t="shared" ref="E67:E128" si="2">C67-D67</f>
        <v>-3.0555142010924925</v>
      </c>
      <c r="F67" s="2">
        <f t="shared" ref="F67:F128" si="3">E67^2</f>
        <v>9.3361670330778921</v>
      </c>
    </row>
    <row r="68" spans="1:6" x14ac:dyDescent="0.25">
      <c r="A68" s="1">
        <v>40909</v>
      </c>
      <c r="B68">
        <v>3.8787500000000001</v>
      </c>
      <c r="C68">
        <v>87.172412396158293</v>
      </c>
      <c r="D68">
        <v>88.11</v>
      </c>
      <c r="E68" s="2">
        <f t="shared" si="2"/>
        <v>-0.93758760384170614</v>
      </c>
      <c r="F68" s="2">
        <f t="shared" si="3"/>
        <v>0.8790705148776321</v>
      </c>
    </row>
    <row r="69" spans="1:6" x14ac:dyDescent="0.25">
      <c r="A69" s="1">
        <v>40878</v>
      </c>
      <c r="B69">
        <v>3.919</v>
      </c>
      <c r="C69">
        <v>84.655674335484605</v>
      </c>
      <c r="D69">
        <v>87.91</v>
      </c>
      <c r="E69" s="2">
        <f t="shared" si="2"/>
        <v>-3.2543256645153917</v>
      </c>
      <c r="F69" s="2">
        <f t="shared" si="3"/>
        <v>10.590635530723546</v>
      </c>
    </row>
    <row r="70" spans="1:6" x14ac:dyDescent="0.25">
      <c r="A70" s="1">
        <v>40848</v>
      </c>
      <c r="B70">
        <v>4.0175000000000001</v>
      </c>
      <c r="C70">
        <v>83.707718552028197</v>
      </c>
      <c r="D70">
        <v>83.43</v>
      </c>
      <c r="E70" s="2">
        <f t="shared" si="2"/>
        <v>0.2777185520281904</v>
      </c>
      <c r="F70" s="2">
        <f t="shared" si="3"/>
        <v>7.7127594140634706E-2</v>
      </c>
    </row>
    <row r="71" spans="1:6" x14ac:dyDescent="0.25">
      <c r="A71" s="1">
        <v>40817</v>
      </c>
      <c r="B71">
        <v>4.0025000000000004</v>
      </c>
      <c r="C71">
        <v>85.4307903892296</v>
      </c>
      <c r="D71">
        <v>82.8</v>
      </c>
      <c r="E71" s="2">
        <f t="shared" si="2"/>
        <v>2.6307903892296025</v>
      </c>
      <c r="F71" s="2">
        <f t="shared" si="3"/>
        <v>6.9210580720628432</v>
      </c>
    </row>
    <row r="72" spans="1:6" x14ac:dyDescent="0.25">
      <c r="A72" s="1">
        <v>40787</v>
      </c>
      <c r="B72">
        <v>4.1900000000000004</v>
      </c>
      <c r="C72">
        <v>81.111433050330803</v>
      </c>
      <c r="D72">
        <v>73.959999999999994</v>
      </c>
      <c r="E72" s="2">
        <f t="shared" si="2"/>
        <v>7.1514330503308088</v>
      </c>
      <c r="F72" s="2">
        <f t="shared" si="3"/>
        <v>51.142994673363816</v>
      </c>
    </row>
    <row r="73" spans="1:6" x14ac:dyDescent="0.25">
      <c r="A73" s="1">
        <v>40756</v>
      </c>
      <c r="B73">
        <v>4.4762500000000003</v>
      </c>
      <c r="C73">
        <v>53.856272898072</v>
      </c>
      <c r="D73">
        <v>55.51</v>
      </c>
      <c r="E73" s="2">
        <f t="shared" si="2"/>
        <v>-1.6537271019279984</v>
      </c>
      <c r="F73" s="2">
        <f t="shared" si="3"/>
        <v>2.7348133276511764</v>
      </c>
    </row>
    <row r="74" spans="1:6" x14ac:dyDescent="0.25">
      <c r="A74" s="1">
        <v>40725</v>
      </c>
      <c r="B74">
        <v>4.4349999999999996</v>
      </c>
      <c r="C74">
        <v>54.953762420770801</v>
      </c>
      <c r="D74">
        <v>56.99</v>
      </c>
      <c r="E74" s="2">
        <f t="shared" si="2"/>
        <v>-2.0362375792292013</v>
      </c>
      <c r="F74" s="2">
        <f t="shared" si="3"/>
        <v>4.1462634790651984</v>
      </c>
    </row>
    <row r="75" spans="1:6" x14ac:dyDescent="0.25">
      <c r="A75" s="1">
        <v>40695</v>
      </c>
      <c r="B75">
        <v>4.5625</v>
      </c>
      <c r="C75">
        <v>50.702910842281398</v>
      </c>
      <c r="D75">
        <v>54.58</v>
      </c>
      <c r="E75" s="2">
        <f t="shared" si="2"/>
        <v>-3.8770891577186006</v>
      </c>
      <c r="F75" s="2">
        <f t="shared" si="3"/>
        <v>15.031820336899129</v>
      </c>
    </row>
    <row r="76" spans="1:6" x14ac:dyDescent="0.25">
      <c r="A76" s="1">
        <v>40664</v>
      </c>
      <c r="B76">
        <v>4.75875</v>
      </c>
      <c r="C76">
        <v>47.6471989047565</v>
      </c>
      <c r="D76">
        <v>52.21</v>
      </c>
      <c r="E76" s="2">
        <f t="shared" si="2"/>
        <v>-4.5628010952435005</v>
      </c>
      <c r="F76" s="2">
        <f t="shared" si="3"/>
        <v>20.819153834755287</v>
      </c>
    </row>
    <row r="77" spans="1:6" x14ac:dyDescent="0.25">
      <c r="A77" s="1">
        <v>40634</v>
      </c>
      <c r="B77">
        <v>4.7610000000000001</v>
      </c>
      <c r="C77">
        <v>48.373964704955903</v>
      </c>
      <c r="D77">
        <v>53.7</v>
      </c>
      <c r="E77" s="2">
        <f t="shared" si="2"/>
        <v>-5.3260352950441003</v>
      </c>
      <c r="F77" s="2">
        <f t="shared" si="3"/>
        <v>28.366651964055496</v>
      </c>
    </row>
    <row r="78" spans="1:6" x14ac:dyDescent="0.25">
      <c r="A78" s="1">
        <v>40603</v>
      </c>
      <c r="B78">
        <v>4.8775000000000004</v>
      </c>
      <c r="C78">
        <v>46.9906526195672</v>
      </c>
      <c r="D78">
        <v>51.17</v>
      </c>
      <c r="E78" s="2">
        <f t="shared" si="2"/>
        <v>-4.1793473804328016</v>
      </c>
      <c r="F78" s="2">
        <f t="shared" si="3"/>
        <v>17.466944526330522</v>
      </c>
    </row>
    <row r="79" spans="1:6" x14ac:dyDescent="0.25">
      <c r="A79" s="1">
        <v>40575</v>
      </c>
      <c r="B79">
        <v>4.6987500000000004</v>
      </c>
      <c r="C79">
        <v>49.413680588488901</v>
      </c>
      <c r="D79">
        <v>58.86</v>
      </c>
      <c r="E79" s="2">
        <f t="shared" si="2"/>
        <v>-9.446319411511098</v>
      </c>
      <c r="F79" s="2">
        <f t="shared" si="3"/>
        <v>89.232950424291374</v>
      </c>
    </row>
    <row r="80" spans="1:6" x14ac:dyDescent="0.25">
      <c r="A80" s="1">
        <v>40544</v>
      </c>
      <c r="B80">
        <v>4.649</v>
      </c>
      <c r="C80">
        <v>50.452164720680202</v>
      </c>
      <c r="D80">
        <v>61.73</v>
      </c>
      <c r="E80" s="2">
        <f t="shared" si="2"/>
        <v>-11.277835279319795</v>
      </c>
      <c r="F80" s="2">
        <f t="shared" si="3"/>
        <v>127.18956858747021</v>
      </c>
    </row>
    <row r="81" spans="1:6" x14ac:dyDescent="0.25">
      <c r="A81" s="1">
        <v>40513</v>
      </c>
      <c r="B81">
        <v>4.2562499999999996</v>
      </c>
      <c r="C81">
        <v>81.842303723086502</v>
      </c>
      <c r="D81">
        <v>82.68</v>
      </c>
      <c r="E81" s="2">
        <f t="shared" si="2"/>
        <v>-0.83769627691350479</v>
      </c>
      <c r="F81" s="2">
        <f t="shared" si="3"/>
        <v>0.70173505235474731</v>
      </c>
    </row>
    <row r="82" spans="1:6" x14ac:dyDescent="0.25">
      <c r="A82" s="1">
        <v>40483</v>
      </c>
      <c r="B82">
        <v>4.1749999999999998</v>
      </c>
      <c r="C82">
        <v>89.101846090833206</v>
      </c>
      <c r="D82">
        <v>90.03</v>
      </c>
      <c r="E82" s="2">
        <f t="shared" si="2"/>
        <v>-0.92815390916679519</v>
      </c>
      <c r="F82" s="2">
        <f t="shared" si="3"/>
        <v>0.86146967910160355</v>
      </c>
    </row>
    <row r="83" spans="1:6" x14ac:dyDescent="0.25">
      <c r="A83" s="1">
        <v>40452</v>
      </c>
      <c r="B83">
        <v>4.2759999999999998</v>
      </c>
      <c r="C83">
        <v>85.452084703504198</v>
      </c>
      <c r="D83">
        <v>87.26</v>
      </c>
      <c r="E83" s="2">
        <f t="shared" si="2"/>
        <v>-1.807915296495807</v>
      </c>
      <c r="F83" s="2">
        <f t="shared" si="3"/>
        <v>3.2685577193035216</v>
      </c>
    </row>
    <row r="84" spans="1:6" x14ac:dyDescent="0.25">
      <c r="A84" s="1">
        <v>40422</v>
      </c>
      <c r="B84">
        <v>4.3525</v>
      </c>
      <c r="C84">
        <v>74.276062670530294</v>
      </c>
      <c r="D84">
        <v>81.67</v>
      </c>
      <c r="E84" s="2">
        <f t="shared" si="2"/>
        <v>-7.3939373294697077</v>
      </c>
      <c r="F84" s="2">
        <f t="shared" si="3"/>
        <v>54.670309232125632</v>
      </c>
    </row>
    <row r="85" spans="1:6" x14ac:dyDescent="0.25">
      <c r="A85" s="1">
        <v>40391</v>
      </c>
      <c r="B85">
        <v>4.4850000000000003</v>
      </c>
      <c r="C85">
        <v>72.591167139327297</v>
      </c>
      <c r="D85">
        <v>73.11</v>
      </c>
      <c r="E85" s="2">
        <f t="shared" si="2"/>
        <v>-0.51883286067270262</v>
      </c>
      <c r="F85" s="2">
        <f t="shared" si="3"/>
        <v>0.26918753731382006</v>
      </c>
    </row>
    <row r="86" spans="1:6" x14ac:dyDescent="0.25">
      <c r="A86" s="1">
        <v>40360</v>
      </c>
      <c r="B86">
        <v>4.6360000000000001</v>
      </c>
      <c r="C86">
        <v>69.476865119059596</v>
      </c>
      <c r="D86">
        <v>69.709999999999994</v>
      </c>
      <c r="E86" s="2">
        <f t="shared" si="2"/>
        <v>-0.23313488094039769</v>
      </c>
      <c r="F86" s="2">
        <f t="shared" si="3"/>
        <v>5.4351872711093409E-2</v>
      </c>
    </row>
    <row r="87" spans="1:6" x14ac:dyDescent="0.25">
      <c r="A87" s="1">
        <v>40330</v>
      </c>
      <c r="B87">
        <v>4.8125</v>
      </c>
      <c r="C87">
        <v>61.913649458863397</v>
      </c>
      <c r="D87">
        <v>66.47</v>
      </c>
      <c r="E87" s="2">
        <f t="shared" si="2"/>
        <v>-4.5563505411366023</v>
      </c>
      <c r="F87" s="2">
        <f t="shared" si="3"/>
        <v>20.760330253715807</v>
      </c>
    </row>
    <row r="88" spans="1:6" x14ac:dyDescent="0.25">
      <c r="A88" s="1">
        <v>40299</v>
      </c>
      <c r="B88">
        <v>5.0149999999999997</v>
      </c>
      <c r="C88">
        <v>55.346259172152401</v>
      </c>
      <c r="D88">
        <v>58.49</v>
      </c>
      <c r="E88" s="2">
        <f t="shared" si="2"/>
        <v>-3.1437408278476013</v>
      </c>
      <c r="F88" s="2">
        <f t="shared" si="3"/>
        <v>9.8831063926759217</v>
      </c>
    </row>
    <row r="89" spans="1:6" x14ac:dyDescent="0.25">
      <c r="A89" s="1">
        <v>40269</v>
      </c>
      <c r="B89">
        <v>4.91</v>
      </c>
      <c r="C89">
        <v>62.135082629666101</v>
      </c>
      <c r="D89">
        <v>66.790000000000006</v>
      </c>
      <c r="E89" s="2">
        <f t="shared" si="2"/>
        <v>-4.6549173703339051</v>
      </c>
      <c r="F89" s="2">
        <f t="shared" si="3"/>
        <v>21.668255724636317</v>
      </c>
    </row>
    <row r="90" spans="1:6" x14ac:dyDescent="0.25">
      <c r="A90" s="1">
        <v>40238</v>
      </c>
      <c r="B90">
        <v>4.915</v>
      </c>
      <c r="C90">
        <v>63.4443839968825</v>
      </c>
      <c r="D90">
        <v>66.66</v>
      </c>
      <c r="E90" s="2">
        <f t="shared" si="2"/>
        <v>-3.2156160031174963</v>
      </c>
      <c r="F90" s="2">
        <f t="shared" si="3"/>
        <v>10.340186279505343</v>
      </c>
    </row>
    <row r="91" spans="1:6" x14ac:dyDescent="0.25">
      <c r="A91" s="1">
        <v>40210</v>
      </c>
      <c r="B91">
        <v>4.9487500000000004</v>
      </c>
      <c r="C91">
        <v>64.855755208671198</v>
      </c>
      <c r="D91">
        <v>66.41</v>
      </c>
      <c r="E91" s="2">
        <f t="shared" si="2"/>
        <v>-1.5542447913287987</v>
      </c>
      <c r="F91" s="2">
        <f t="shared" si="3"/>
        <v>2.415676871372701</v>
      </c>
    </row>
    <row r="92" spans="1:6" x14ac:dyDescent="0.25">
      <c r="A92" s="1">
        <v>40179</v>
      </c>
      <c r="B92">
        <v>4.8550000000000004</v>
      </c>
      <c r="C92">
        <v>68.251413677762599</v>
      </c>
      <c r="D92">
        <v>71.17</v>
      </c>
      <c r="E92" s="2">
        <f t="shared" si="2"/>
        <v>-2.9185863222374024</v>
      </c>
      <c r="F92" s="2">
        <f t="shared" si="3"/>
        <v>8.518146120351247</v>
      </c>
    </row>
    <row r="93" spans="1:6" x14ac:dyDescent="0.25">
      <c r="A93" s="1">
        <v>40148</v>
      </c>
      <c r="B93">
        <v>4.8</v>
      </c>
      <c r="C93">
        <v>73.065196270588501</v>
      </c>
      <c r="D93">
        <v>75.5</v>
      </c>
      <c r="E93" s="2">
        <f t="shared" si="2"/>
        <v>-2.4348037294114988</v>
      </c>
      <c r="F93" s="2">
        <f t="shared" si="3"/>
        <v>5.9282692007561435</v>
      </c>
    </row>
    <row r="94" spans="1:6" x14ac:dyDescent="0.25">
      <c r="A94" s="1">
        <v>40118</v>
      </c>
      <c r="B94">
        <v>4.88</v>
      </c>
      <c r="C94">
        <v>71.213234577800094</v>
      </c>
      <c r="D94">
        <v>74.290000000000006</v>
      </c>
      <c r="E94" s="2">
        <f t="shared" si="2"/>
        <v>-3.0767654221999123</v>
      </c>
      <c r="F94" s="2">
        <f t="shared" si="3"/>
        <v>9.4664854632450055</v>
      </c>
    </row>
    <row r="95" spans="1:6" x14ac:dyDescent="0.25">
      <c r="A95" s="1">
        <v>40087</v>
      </c>
      <c r="B95">
        <v>4.9539999999999997</v>
      </c>
      <c r="C95">
        <v>70.793943497822099</v>
      </c>
      <c r="D95">
        <v>70.790000000000006</v>
      </c>
      <c r="E95" s="2">
        <f t="shared" si="2"/>
        <v>3.9434978220924677E-3</v>
      </c>
      <c r="F95" s="2">
        <f t="shared" si="3"/>
        <v>1.5551175072848035E-5</v>
      </c>
    </row>
    <row r="96" spans="1:6" x14ac:dyDescent="0.25">
      <c r="A96" s="1">
        <v>40057</v>
      </c>
      <c r="B96">
        <v>5.1112500000000001</v>
      </c>
      <c r="C96">
        <v>62.580328650996499</v>
      </c>
      <c r="D96">
        <v>65.89</v>
      </c>
      <c r="E96" s="2">
        <f t="shared" si="2"/>
        <v>-3.3096713490035015</v>
      </c>
      <c r="F96" s="2">
        <f t="shared" si="3"/>
        <v>10.953924438414656</v>
      </c>
    </row>
    <row r="97" spans="1:6" x14ac:dyDescent="0.25">
      <c r="A97" s="1">
        <v>40026</v>
      </c>
      <c r="B97">
        <v>5.1470000000000002</v>
      </c>
      <c r="C97">
        <v>62.1018426293383</v>
      </c>
      <c r="D97">
        <v>66.95</v>
      </c>
      <c r="E97" s="2">
        <f t="shared" si="2"/>
        <v>-4.8481573706617027</v>
      </c>
      <c r="F97" s="2">
        <f t="shared" si="3"/>
        <v>23.504629890701395</v>
      </c>
    </row>
    <row r="98" spans="1:6" x14ac:dyDescent="0.25">
      <c r="A98" s="1">
        <v>39995</v>
      </c>
      <c r="B98">
        <v>5.3449999999999998</v>
      </c>
      <c r="C98">
        <v>53.969840995341301</v>
      </c>
      <c r="D98">
        <v>24.63</v>
      </c>
      <c r="E98" s="2">
        <f t="shared" si="2"/>
        <v>29.339840995341302</v>
      </c>
      <c r="F98" s="2">
        <f t="shared" si="3"/>
        <v>860.82626963191001</v>
      </c>
    </row>
    <row r="99" spans="1:6" x14ac:dyDescent="0.25">
      <c r="A99" s="1">
        <v>39965</v>
      </c>
      <c r="B99">
        <v>4.7762500000000001</v>
      </c>
      <c r="C99">
        <v>84.070938063054896</v>
      </c>
      <c r="D99">
        <v>74.86</v>
      </c>
      <c r="E99" s="2">
        <f t="shared" si="2"/>
        <v>9.2109380630548969</v>
      </c>
      <c r="F99" s="2">
        <f t="shared" si="3"/>
        <v>84.841380001433492</v>
      </c>
    </row>
    <row r="100" spans="1:6" x14ac:dyDescent="0.25">
      <c r="A100" s="1">
        <v>39934</v>
      </c>
      <c r="B100">
        <v>4.7300000000000004</v>
      </c>
      <c r="C100">
        <v>87.516425609748893</v>
      </c>
      <c r="D100">
        <v>81.87</v>
      </c>
      <c r="E100" s="2">
        <f t="shared" si="2"/>
        <v>5.6464256097488885</v>
      </c>
      <c r="F100" s="2">
        <f t="shared" si="3"/>
        <v>31.882122166428108</v>
      </c>
    </row>
    <row r="101" spans="1:6" x14ac:dyDescent="0.25">
      <c r="A101" s="1">
        <v>39904</v>
      </c>
      <c r="B101">
        <v>4.9275000000000002</v>
      </c>
      <c r="C101">
        <v>72.614020581104697</v>
      </c>
      <c r="D101">
        <v>70.3</v>
      </c>
      <c r="E101" s="2">
        <f t="shared" si="2"/>
        <v>2.3140205811046997</v>
      </c>
      <c r="F101" s="2">
        <f t="shared" si="3"/>
        <v>5.3546912497761321</v>
      </c>
    </row>
    <row r="102" spans="1:6" x14ac:dyDescent="0.25">
      <c r="A102" s="1">
        <v>39873</v>
      </c>
      <c r="B102">
        <v>5.0612500000000002</v>
      </c>
      <c r="C102">
        <v>59.934642332899898</v>
      </c>
      <c r="D102">
        <v>58.21</v>
      </c>
      <c r="E102" s="2">
        <f t="shared" si="2"/>
        <v>1.7246423328998972</v>
      </c>
      <c r="F102" s="2">
        <f t="shared" si="3"/>
        <v>2.9743911764303999</v>
      </c>
    </row>
    <row r="103" spans="1:6" x14ac:dyDescent="0.25">
      <c r="A103" s="1">
        <v>39845</v>
      </c>
      <c r="B103">
        <v>4.9662499999999996</v>
      </c>
      <c r="C103">
        <v>76.998976064848506</v>
      </c>
      <c r="D103">
        <v>69.290000000000006</v>
      </c>
      <c r="E103" s="2">
        <f t="shared" si="2"/>
        <v>7.7089760648484997</v>
      </c>
      <c r="F103" s="2">
        <f t="shared" si="3"/>
        <v>59.428311968407058</v>
      </c>
    </row>
    <row r="104" spans="1:6" x14ac:dyDescent="0.25">
      <c r="A104" s="1">
        <v>39814</v>
      </c>
      <c r="B104">
        <v>5.2160000000000002</v>
      </c>
      <c r="C104">
        <v>40.387618389132498</v>
      </c>
      <c r="D104">
        <v>47</v>
      </c>
      <c r="E104" s="2">
        <f t="shared" si="2"/>
        <v>-6.6123816108675015</v>
      </c>
      <c r="F104" s="2">
        <f t="shared" si="3"/>
        <v>43.723590567738697</v>
      </c>
    </row>
    <row r="105" spans="1:6" x14ac:dyDescent="0.25">
      <c r="A105" s="1">
        <v>39783</v>
      </c>
      <c r="B105">
        <v>6.0125000000000002</v>
      </c>
      <c r="C105">
        <v>3.0257819324847599</v>
      </c>
      <c r="D105">
        <v>6.33</v>
      </c>
      <c r="E105" s="2">
        <f t="shared" si="2"/>
        <v>-3.3042180675152402</v>
      </c>
      <c r="F105" s="2">
        <f t="shared" si="3"/>
        <v>10.917857037694148</v>
      </c>
    </row>
    <row r="106" spans="1:6" x14ac:dyDescent="0.25">
      <c r="A106" s="1">
        <v>39753</v>
      </c>
      <c r="B106">
        <v>6.1050000000000004</v>
      </c>
      <c r="C106">
        <v>3.0511192041288102</v>
      </c>
      <c r="D106">
        <v>6.13</v>
      </c>
      <c r="E106" s="2">
        <f t="shared" si="2"/>
        <v>-3.0788807958711897</v>
      </c>
      <c r="F106" s="2">
        <f t="shared" si="3"/>
        <v>9.4795069551844104</v>
      </c>
    </row>
    <row r="107" spans="1:6" x14ac:dyDescent="0.25">
      <c r="A107" s="1">
        <v>39722</v>
      </c>
      <c r="B107">
        <v>5.9562499999999998</v>
      </c>
      <c r="C107">
        <v>3.7519687101565502</v>
      </c>
      <c r="D107">
        <v>8.9700000000000006</v>
      </c>
      <c r="E107" s="2">
        <f t="shared" si="2"/>
        <v>-5.2180312898434504</v>
      </c>
      <c r="F107" s="2">
        <f t="shared" si="3"/>
        <v>27.227850541785305</v>
      </c>
    </row>
    <row r="108" spans="1:6" x14ac:dyDescent="0.25">
      <c r="A108" s="1">
        <v>39692</v>
      </c>
      <c r="B108">
        <v>6.3962500000000002</v>
      </c>
      <c r="C108">
        <v>1.66796394099835</v>
      </c>
      <c r="D108">
        <v>3.32</v>
      </c>
      <c r="E108" s="2">
        <f t="shared" si="2"/>
        <v>-1.6520360590016498</v>
      </c>
      <c r="F108" s="2">
        <f t="shared" si="3"/>
        <v>2.7292231402417029</v>
      </c>
    </row>
    <row r="109" spans="1:6" x14ac:dyDescent="0.25">
      <c r="A109" s="1">
        <v>39661</v>
      </c>
      <c r="B109">
        <v>6.3310000000000004</v>
      </c>
      <c r="C109">
        <v>2.0446326527729499</v>
      </c>
      <c r="D109">
        <v>4</v>
      </c>
      <c r="E109" s="2">
        <f t="shared" si="2"/>
        <v>-1.9553673472270501</v>
      </c>
      <c r="F109" s="2">
        <f t="shared" si="3"/>
        <v>3.8234614626017511</v>
      </c>
    </row>
    <row r="110" spans="1:6" x14ac:dyDescent="0.25">
      <c r="A110" s="1">
        <v>39630</v>
      </c>
      <c r="B110">
        <v>6.2324999999999999</v>
      </c>
      <c r="C110">
        <v>3.1999272166813699</v>
      </c>
      <c r="D110">
        <v>5.29</v>
      </c>
      <c r="E110" s="2">
        <f t="shared" si="2"/>
        <v>-2.0900727833186301</v>
      </c>
      <c r="F110" s="2">
        <f t="shared" si="3"/>
        <v>4.3684042395692853</v>
      </c>
    </row>
    <row r="111" spans="1:6" x14ac:dyDescent="0.25">
      <c r="A111" s="1">
        <v>39600</v>
      </c>
      <c r="B111">
        <v>5.9050000000000002</v>
      </c>
      <c r="C111">
        <v>8.6891973949510497</v>
      </c>
      <c r="D111">
        <v>10.83</v>
      </c>
      <c r="E111" s="2">
        <f t="shared" si="2"/>
        <v>-2.1408026050489504</v>
      </c>
      <c r="F111" s="2">
        <f t="shared" si="3"/>
        <v>4.5830357937843722</v>
      </c>
    </row>
    <row r="112" spans="1:6" x14ac:dyDescent="0.25">
      <c r="A112" s="1">
        <v>39569</v>
      </c>
      <c r="B112">
        <v>5.8010000000000002</v>
      </c>
      <c r="C112">
        <v>10.723923810076201</v>
      </c>
      <c r="D112">
        <v>17.63</v>
      </c>
      <c r="E112" s="2">
        <f t="shared" si="2"/>
        <v>-6.9060761899237981</v>
      </c>
      <c r="F112" s="2">
        <f t="shared" si="3"/>
        <v>47.693888341032405</v>
      </c>
    </row>
    <row r="113" spans="1:6" x14ac:dyDescent="0.25">
      <c r="A113" s="1">
        <v>39539</v>
      </c>
      <c r="B113">
        <v>5.8387500000000001</v>
      </c>
      <c r="C113">
        <v>11.0163217972481</v>
      </c>
      <c r="D113">
        <v>19.190000000000001</v>
      </c>
      <c r="E113" s="2">
        <f t="shared" si="2"/>
        <v>-8.1736782027519013</v>
      </c>
      <c r="F113" s="2">
        <f t="shared" si="3"/>
        <v>66.809015362141551</v>
      </c>
    </row>
    <row r="114" spans="1:6" x14ac:dyDescent="0.25">
      <c r="A114" s="1">
        <v>39508</v>
      </c>
      <c r="B114">
        <v>5.7862499999999999</v>
      </c>
      <c r="C114">
        <v>13.5757696587811</v>
      </c>
      <c r="D114">
        <v>26.38</v>
      </c>
      <c r="E114" s="2">
        <f t="shared" si="2"/>
        <v>-12.804230341218899</v>
      </c>
      <c r="F114" s="2">
        <f t="shared" si="3"/>
        <v>163.94831463099064</v>
      </c>
    </row>
    <row r="115" spans="1:6" x14ac:dyDescent="0.25">
      <c r="A115" s="1">
        <v>39479</v>
      </c>
      <c r="B115">
        <v>5.6180000000000003</v>
      </c>
      <c r="C115">
        <v>39.050868009056302</v>
      </c>
      <c r="D115">
        <v>38.49</v>
      </c>
      <c r="E115" s="2">
        <f t="shared" si="2"/>
        <v>0.56086800905629985</v>
      </c>
      <c r="F115" s="2">
        <f t="shared" si="3"/>
        <v>0.31457292358277766</v>
      </c>
    </row>
    <row r="116" spans="1:6" x14ac:dyDescent="0.25">
      <c r="A116" s="1">
        <v>39448</v>
      </c>
      <c r="B116">
        <v>5.9574999999999996</v>
      </c>
      <c r="C116">
        <v>14.0350775696166</v>
      </c>
      <c r="D116">
        <v>16.16</v>
      </c>
      <c r="E116" s="2">
        <f t="shared" si="2"/>
        <v>-2.1249224303833998</v>
      </c>
      <c r="F116" s="2">
        <f t="shared" si="3"/>
        <v>4.5152953351464946</v>
      </c>
    </row>
    <row r="117" spans="1:6" x14ac:dyDescent="0.25">
      <c r="A117" s="1">
        <v>39417</v>
      </c>
      <c r="B117">
        <v>6.0575000000000001</v>
      </c>
      <c r="C117">
        <v>11.428890426750201</v>
      </c>
      <c r="D117">
        <v>11.53</v>
      </c>
      <c r="E117" s="2">
        <f t="shared" si="2"/>
        <v>-0.10110957324979886</v>
      </c>
      <c r="F117" s="2">
        <f t="shared" si="3"/>
        <v>1.0223145802756441E-2</v>
      </c>
    </row>
    <row r="118" spans="1:6" x14ac:dyDescent="0.25">
      <c r="A118" s="1">
        <v>39387</v>
      </c>
      <c r="B118">
        <v>6.2169999999999996</v>
      </c>
      <c r="C118">
        <v>7.2843908677798002</v>
      </c>
      <c r="D118">
        <v>7.55</v>
      </c>
      <c r="E118" s="2">
        <f t="shared" si="2"/>
        <v>-0.26560913222019966</v>
      </c>
      <c r="F118" s="2">
        <f t="shared" si="3"/>
        <v>7.0548211118767509E-2</v>
      </c>
    </row>
    <row r="119" spans="1:6" x14ac:dyDescent="0.25">
      <c r="A119" s="1">
        <v>39356</v>
      </c>
      <c r="B119">
        <v>6.2575000000000003</v>
      </c>
      <c r="C119">
        <v>7.0089775718846496</v>
      </c>
      <c r="D119">
        <v>7.52</v>
      </c>
      <c r="E119" s="2">
        <f t="shared" si="2"/>
        <v>-0.51102242811534992</v>
      </c>
      <c r="F119" s="2">
        <f t="shared" si="3"/>
        <v>0.261143922036908</v>
      </c>
    </row>
    <row r="120" spans="1:6" x14ac:dyDescent="0.25">
      <c r="A120" s="1">
        <v>39326</v>
      </c>
      <c r="B120">
        <v>6.4219999999999997</v>
      </c>
      <c r="C120">
        <v>4.0507601426946103</v>
      </c>
      <c r="D120">
        <v>5.49</v>
      </c>
      <c r="E120" s="2">
        <f t="shared" si="2"/>
        <v>-1.4392398573053899</v>
      </c>
      <c r="F120" s="2">
        <f t="shared" si="3"/>
        <v>2.0714113668564393</v>
      </c>
    </row>
    <row r="121" spans="1:6" x14ac:dyDescent="0.25">
      <c r="A121" s="1">
        <v>39295</v>
      </c>
      <c r="B121">
        <v>6.5449999999999999</v>
      </c>
      <c r="C121">
        <v>3.5587201549098002</v>
      </c>
      <c r="D121">
        <v>4.1900000000000004</v>
      </c>
      <c r="E121" s="2">
        <f t="shared" si="2"/>
        <v>-0.63127984509020019</v>
      </c>
      <c r="F121" s="2">
        <f t="shared" si="3"/>
        <v>0.39851424281710712</v>
      </c>
    </row>
    <row r="122" spans="1:6" x14ac:dyDescent="0.25">
      <c r="A122" s="1">
        <v>39264</v>
      </c>
      <c r="B122">
        <v>6.5137499999999999</v>
      </c>
      <c r="C122">
        <v>3.66650753276036</v>
      </c>
      <c r="D122">
        <v>4.6399999999999997</v>
      </c>
      <c r="E122" s="2">
        <f t="shared" si="2"/>
        <v>-0.97349246723963967</v>
      </c>
      <c r="F122" s="2">
        <f t="shared" si="3"/>
        <v>0.94768758377232087</v>
      </c>
    </row>
    <row r="123" spans="1:6" x14ac:dyDescent="0.25">
      <c r="A123" s="1">
        <v>39234</v>
      </c>
      <c r="B123">
        <v>6.1219999999999999</v>
      </c>
      <c r="C123">
        <v>10.8994422402958</v>
      </c>
      <c r="D123">
        <v>11.53</v>
      </c>
      <c r="E123" s="2">
        <f t="shared" si="2"/>
        <v>-0.63055775970419958</v>
      </c>
      <c r="F123" s="2">
        <f t="shared" si="3"/>
        <v>0.39760308832317909</v>
      </c>
    </row>
    <row r="124" spans="1:6" x14ac:dyDescent="0.25">
      <c r="A124" s="1">
        <v>39203</v>
      </c>
      <c r="B124">
        <v>6.0425000000000004</v>
      </c>
      <c r="C124">
        <v>12.6008300311391</v>
      </c>
      <c r="D124">
        <v>13.59</v>
      </c>
      <c r="E124" s="2">
        <f t="shared" si="2"/>
        <v>-0.98916996886089947</v>
      </c>
      <c r="F124" s="2">
        <f t="shared" si="3"/>
        <v>0.97845722729627282</v>
      </c>
    </row>
    <row r="125" spans="1:6" x14ac:dyDescent="0.25">
      <c r="A125" s="1">
        <v>39173</v>
      </c>
      <c r="B125">
        <v>6.0062499999999996</v>
      </c>
      <c r="C125">
        <v>15.6391519698956</v>
      </c>
      <c r="D125">
        <v>15.08</v>
      </c>
      <c r="E125" s="2">
        <f t="shared" si="2"/>
        <v>0.55915196989560023</v>
      </c>
      <c r="F125" s="2">
        <f t="shared" si="3"/>
        <v>0.31265092543813022</v>
      </c>
    </row>
    <row r="126" spans="1:6" x14ac:dyDescent="0.25">
      <c r="A126" s="1">
        <v>39142</v>
      </c>
      <c r="B126">
        <v>6.0949999999999998</v>
      </c>
      <c r="C126">
        <v>12.5544452450069</v>
      </c>
      <c r="D126">
        <v>11.02</v>
      </c>
      <c r="E126" s="2">
        <f t="shared" si="2"/>
        <v>1.5344452450068999</v>
      </c>
      <c r="F126" s="2">
        <f t="shared" si="3"/>
        <v>2.3545222099242853</v>
      </c>
    </row>
    <row r="127" spans="1:6" x14ac:dyDescent="0.25">
      <c r="A127" s="1">
        <v>39114</v>
      </c>
      <c r="B127">
        <v>6.0919999999999996</v>
      </c>
      <c r="C127">
        <v>12.8567724131969</v>
      </c>
      <c r="D127">
        <v>13.28</v>
      </c>
      <c r="E127" s="2">
        <f t="shared" si="2"/>
        <v>-0.42322758680309924</v>
      </c>
      <c r="F127" s="2">
        <f t="shared" si="3"/>
        <v>0.17912159023117491</v>
      </c>
    </row>
    <row r="128" spans="1:6" x14ac:dyDescent="0.25">
      <c r="A128" s="1">
        <v>39083</v>
      </c>
      <c r="B128">
        <v>5.99125</v>
      </c>
      <c r="C128">
        <v>17.2821290062789</v>
      </c>
      <c r="D128">
        <v>16.350000000000001</v>
      </c>
      <c r="E128" s="2">
        <f t="shared" si="2"/>
        <v>0.93212900627889894</v>
      </c>
      <c r="F128" s="2">
        <f t="shared" si="3"/>
        <v>0.86886448434648766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S129"/>
  <sheetViews>
    <sheetView workbookViewId="0">
      <selection activeCell="I54" sqref="I54"/>
    </sheetView>
  </sheetViews>
  <sheetFormatPr defaultRowHeight="15" x14ac:dyDescent="0.25"/>
  <sheetData>
    <row r="1" spans="1:19" x14ac:dyDescent="0.25">
      <c r="A1" t="s">
        <v>1</v>
      </c>
      <c r="B1" t="s">
        <v>0</v>
      </c>
      <c r="C1" t="s">
        <v>2</v>
      </c>
      <c r="D1" t="s">
        <v>3</v>
      </c>
      <c r="E1" s="2" t="s">
        <v>4</v>
      </c>
      <c r="G1" s="2" t="s">
        <v>5</v>
      </c>
    </row>
    <row r="2" spans="1:19" x14ac:dyDescent="0.25">
      <c r="A2" s="1">
        <v>42948</v>
      </c>
      <c r="B2">
        <v>3.855</v>
      </c>
      <c r="C2">
        <v>35.504027677864997</v>
      </c>
      <c r="D2">
        <v>30.43</v>
      </c>
      <c r="E2" s="2">
        <f t="shared" ref="E2:E33" si="0">C2-D2</f>
        <v>5.0740276778649971</v>
      </c>
      <c r="F2" s="2">
        <f t="shared" ref="F2:F33" si="1">E2^2</f>
        <v>25.745756875740053</v>
      </c>
      <c r="G2">
        <f>SQRT(AVERAGE(F2:F128))</f>
        <v>6.1890227732665286</v>
      </c>
      <c r="S2" s="1"/>
    </row>
    <row r="3" spans="1:19" x14ac:dyDescent="0.25">
      <c r="A3" s="1">
        <v>42917</v>
      </c>
      <c r="B3">
        <v>3.77</v>
      </c>
      <c r="C3">
        <v>45.023363875282897</v>
      </c>
      <c r="D3">
        <v>34.19</v>
      </c>
      <c r="E3" s="2">
        <f t="shared" si="0"/>
        <v>10.833363875282899</v>
      </c>
      <c r="F3" s="2">
        <f t="shared" si="1"/>
        <v>117.36177285428451</v>
      </c>
      <c r="S3" s="1"/>
    </row>
    <row r="4" spans="1:19" x14ac:dyDescent="0.25">
      <c r="A4" s="1">
        <v>42887</v>
      </c>
      <c r="B4">
        <v>3.871</v>
      </c>
      <c r="C4">
        <v>37.658781561924897</v>
      </c>
      <c r="D4">
        <v>29.65</v>
      </c>
      <c r="E4" s="2">
        <f t="shared" si="0"/>
        <v>8.0087815619248985</v>
      </c>
      <c r="F4" s="2">
        <f t="shared" si="1"/>
        <v>64.140582106628216</v>
      </c>
      <c r="S4" s="1"/>
    </row>
    <row r="5" spans="1:19" x14ac:dyDescent="0.25">
      <c r="A5" s="1">
        <v>42856</v>
      </c>
      <c r="B5">
        <v>3.92</v>
      </c>
      <c r="C5">
        <v>30.976540728226801</v>
      </c>
      <c r="D5">
        <v>28.57</v>
      </c>
      <c r="E5" s="2">
        <f t="shared" si="0"/>
        <v>2.4065407282268012</v>
      </c>
      <c r="F5" s="2">
        <f t="shared" si="1"/>
        <v>5.7914382766143824</v>
      </c>
      <c r="S5" s="1"/>
    </row>
    <row r="6" spans="1:19" x14ac:dyDescent="0.25">
      <c r="A6" s="1">
        <v>42826</v>
      </c>
      <c r="B6">
        <v>4.0709999999999997</v>
      </c>
      <c r="C6">
        <v>20.154509155405901</v>
      </c>
      <c r="D6">
        <v>22.67</v>
      </c>
      <c r="E6" s="2">
        <f t="shared" si="0"/>
        <v>-2.5154908445941011</v>
      </c>
      <c r="F6" s="2">
        <f t="shared" si="1"/>
        <v>6.3276941892367438</v>
      </c>
      <c r="S6" s="1"/>
    </row>
    <row r="7" spans="1:19" x14ac:dyDescent="0.25">
      <c r="A7" s="1">
        <v>42795</v>
      </c>
      <c r="B7">
        <v>4.0362499999999999</v>
      </c>
      <c r="C7">
        <v>18.927512291761399</v>
      </c>
      <c r="D7">
        <v>25.51</v>
      </c>
      <c r="E7" s="2">
        <f t="shared" si="0"/>
        <v>-6.5824877082386024</v>
      </c>
      <c r="F7" s="2">
        <f t="shared" si="1"/>
        <v>43.32914442911229</v>
      </c>
      <c r="S7" s="1"/>
    </row>
    <row r="8" spans="1:19" x14ac:dyDescent="0.25">
      <c r="A8" s="1">
        <v>42767</v>
      </c>
      <c r="B8">
        <v>4.0187499999999998</v>
      </c>
      <c r="C8">
        <v>29.716300990502099</v>
      </c>
      <c r="D8">
        <v>27.36</v>
      </c>
      <c r="E8" s="2">
        <f t="shared" si="0"/>
        <v>2.3563009905020991</v>
      </c>
      <c r="F8" s="2">
        <f t="shared" si="1"/>
        <v>5.5521543578411734</v>
      </c>
      <c r="S8" s="1"/>
    </row>
    <row r="9" spans="1:19" x14ac:dyDescent="0.25">
      <c r="A9" s="1">
        <v>42736</v>
      </c>
      <c r="B9">
        <v>4.1025</v>
      </c>
      <c r="C9">
        <v>19.176449861810699</v>
      </c>
      <c r="D9">
        <v>20.46</v>
      </c>
      <c r="E9" s="2">
        <f t="shared" si="0"/>
        <v>-1.2835501381893017</v>
      </c>
      <c r="F9" s="2">
        <f t="shared" si="1"/>
        <v>1.6475009572457757</v>
      </c>
      <c r="S9" s="1"/>
    </row>
    <row r="10" spans="1:19" x14ac:dyDescent="0.25">
      <c r="A10" s="1">
        <v>42705</v>
      </c>
      <c r="B10">
        <v>3.7069999999999999</v>
      </c>
      <c r="C10">
        <v>41.384278401925201</v>
      </c>
      <c r="D10">
        <v>38.380000000000003</v>
      </c>
      <c r="E10" s="2">
        <f t="shared" si="0"/>
        <v>3.0042784019251982</v>
      </c>
      <c r="F10" s="2">
        <f t="shared" si="1"/>
        <v>9.0256887162742228</v>
      </c>
      <c r="S10" s="1"/>
    </row>
    <row r="11" spans="1:19" x14ac:dyDescent="0.25">
      <c r="A11" s="1">
        <v>42675</v>
      </c>
      <c r="B11">
        <v>3.3574999999999999</v>
      </c>
      <c r="C11">
        <v>70.326861542819898</v>
      </c>
      <c r="D11">
        <v>70.73</v>
      </c>
      <c r="E11" s="2">
        <f t="shared" si="0"/>
        <v>-0.40313845718010555</v>
      </c>
      <c r="F11" s="2">
        <f t="shared" si="1"/>
        <v>0.16252061565755579</v>
      </c>
      <c r="S11" s="1"/>
    </row>
    <row r="12" spans="1:19" x14ac:dyDescent="0.25">
      <c r="A12" s="1">
        <v>42644</v>
      </c>
      <c r="B12">
        <v>3.3475000000000001</v>
      </c>
      <c r="C12">
        <v>71.103151642762995</v>
      </c>
      <c r="D12">
        <v>73.040000000000006</v>
      </c>
      <c r="E12" s="2">
        <f t="shared" si="0"/>
        <v>-1.936848357237011</v>
      </c>
      <c r="F12" s="2">
        <f t="shared" si="1"/>
        <v>3.7513815589317083</v>
      </c>
      <c r="S12" s="1"/>
    </row>
    <row r="13" spans="1:19" x14ac:dyDescent="0.25">
      <c r="A13" s="1">
        <v>42614</v>
      </c>
      <c r="B13">
        <v>3.32</v>
      </c>
      <c r="C13">
        <v>76.851061239540698</v>
      </c>
      <c r="D13">
        <v>75.78</v>
      </c>
      <c r="E13" s="2">
        <f t="shared" si="0"/>
        <v>1.0710612395406969</v>
      </c>
      <c r="F13" s="2">
        <f t="shared" si="1"/>
        <v>1.1471721788464539</v>
      </c>
      <c r="S13" s="1"/>
    </row>
    <row r="14" spans="1:19" x14ac:dyDescent="0.25">
      <c r="A14" s="1">
        <v>42583</v>
      </c>
      <c r="B14">
        <v>3.3149999999999999</v>
      </c>
      <c r="C14">
        <v>76.769776870486098</v>
      </c>
      <c r="D14">
        <v>76.819999999999993</v>
      </c>
      <c r="E14" s="2">
        <f t="shared" si="0"/>
        <v>-5.0223129513895515E-2</v>
      </c>
      <c r="F14" s="2">
        <f t="shared" si="1"/>
        <v>2.5223627381695227E-3</v>
      </c>
      <c r="S14" s="1"/>
    </row>
    <row r="15" spans="1:19" x14ac:dyDescent="0.25">
      <c r="A15" s="1">
        <v>42552</v>
      </c>
      <c r="B15">
        <v>3.448</v>
      </c>
      <c r="C15">
        <v>79.247255218507604</v>
      </c>
      <c r="D15">
        <v>67.739999999999995</v>
      </c>
      <c r="E15" s="2">
        <f t="shared" si="0"/>
        <v>11.507255218507609</v>
      </c>
      <c r="F15" s="2">
        <f t="shared" si="1"/>
        <v>132.41692266387059</v>
      </c>
      <c r="S15" s="1"/>
    </row>
    <row r="16" spans="1:19" x14ac:dyDescent="0.25">
      <c r="A16" s="1">
        <v>42522</v>
      </c>
      <c r="B16">
        <v>3.4874999999999998</v>
      </c>
      <c r="C16">
        <v>75.032364665052398</v>
      </c>
      <c r="D16">
        <v>63.98</v>
      </c>
      <c r="E16" s="2">
        <f t="shared" si="0"/>
        <v>11.052364665052401</v>
      </c>
      <c r="F16" s="2">
        <f t="shared" si="1"/>
        <v>122.15476468929889</v>
      </c>
      <c r="S16" s="1"/>
    </row>
    <row r="17" spans="1:19" x14ac:dyDescent="0.25">
      <c r="A17" s="1">
        <v>42491</v>
      </c>
      <c r="B17">
        <v>3.4925000000000002</v>
      </c>
      <c r="C17">
        <v>75.945233130813904</v>
      </c>
      <c r="D17">
        <v>60.86</v>
      </c>
      <c r="E17" s="2">
        <f t="shared" si="0"/>
        <v>15.085233130813904</v>
      </c>
      <c r="F17" s="2">
        <f t="shared" si="1"/>
        <v>227.56425861100547</v>
      </c>
      <c r="S17" s="1"/>
    </row>
    <row r="18" spans="1:19" x14ac:dyDescent="0.25">
      <c r="A18" s="1">
        <v>42461</v>
      </c>
      <c r="B18">
        <v>3.569</v>
      </c>
      <c r="C18">
        <v>62.721068874800501</v>
      </c>
      <c r="D18">
        <v>54.22</v>
      </c>
      <c r="E18" s="2">
        <f t="shared" si="0"/>
        <v>8.5010688748005023</v>
      </c>
      <c r="F18" s="2">
        <f t="shared" si="1"/>
        <v>72.268172014101879</v>
      </c>
      <c r="S18" s="1"/>
    </row>
    <row r="19" spans="1:19" x14ac:dyDescent="0.25">
      <c r="A19" s="1">
        <v>42430</v>
      </c>
      <c r="B19">
        <v>3.5474999999999999</v>
      </c>
      <c r="C19">
        <v>62.821248081554202</v>
      </c>
      <c r="D19">
        <v>56.48</v>
      </c>
      <c r="E19" s="2">
        <f t="shared" si="0"/>
        <v>6.3412480815542054</v>
      </c>
      <c r="F19" s="2">
        <f t="shared" si="1"/>
        <v>40.211427231814888</v>
      </c>
      <c r="S19" s="1"/>
    </row>
    <row r="20" spans="1:19" x14ac:dyDescent="0.25">
      <c r="A20" s="1">
        <v>42401</v>
      </c>
      <c r="B20">
        <v>3.7725</v>
      </c>
      <c r="C20">
        <v>47.401272476665397</v>
      </c>
      <c r="D20">
        <v>45.76</v>
      </c>
      <c r="E20" s="2">
        <f t="shared" si="0"/>
        <v>1.6412724766653994</v>
      </c>
      <c r="F20" s="2">
        <f t="shared" si="1"/>
        <v>2.6937753426593742</v>
      </c>
      <c r="S20" s="1"/>
    </row>
    <row r="21" spans="1:19" x14ac:dyDescent="0.25">
      <c r="A21" s="1">
        <v>42370</v>
      </c>
      <c r="B21">
        <v>3.8639999999999999</v>
      </c>
      <c r="C21">
        <v>44.452218791619202</v>
      </c>
      <c r="D21">
        <v>42.56</v>
      </c>
      <c r="E21" s="2">
        <f t="shared" si="0"/>
        <v>1.8922187916192001</v>
      </c>
      <c r="F21" s="2">
        <f t="shared" si="1"/>
        <v>3.580491955356826</v>
      </c>
      <c r="S21" s="1"/>
    </row>
    <row r="22" spans="1:19" x14ac:dyDescent="0.25">
      <c r="A22" s="1">
        <v>42339</v>
      </c>
      <c r="B22">
        <v>3.8487499999999999</v>
      </c>
      <c r="C22">
        <v>44.8291243148877</v>
      </c>
      <c r="D22">
        <v>44.06</v>
      </c>
      <c r="E22" s="2">
        <f t="shared" si="0"/>
        <v>0.76912431488769784</v>
      </c>
      <c r="F22" s="2">
        <f t="shared" si="1"/>
        <v>0.59155221175147055</v>
      </c>
      <c r="S22" s="1"/>
    </row>
    <row r="23" spans="1:19" x14ac:dyDescent="0.25">
      <c r="A23" s="1">
        <v>42309</v>
      </c>
      <c r="B23">
        <v>3.6825000000000001</v>
      </c>
      <c r="C23">
        <v>51.092346734643399</v>
      </c>
      <c r="D23">
        <v>51.65</v>
      </c>
      <c r="E23" s="2">
        <f t="shared" si="0"/>
        <v>-0.55765326535659909</v>
      </c>
      <c r="F23" s="2">
        <f t="shared" si="1"/>
        <v>0.31097716436287753</v>
      </c>
      <c r="S23" s="1"/>
    </row>
    <row r="24" spans="1:19" x14ac:dyDescent="0.25">
      <c r="A24" s="1">
        <v>42278</v>
      </c>
      <c r="B24">
        <v>3.7869999999999999</v>
      </c>
      <c r="C24">
        <v>49.662435099401399</v>
      </c>
      <c r="D24">
        <v>48.14</v>
      </c>
      <c r="E24" s="2">
        <f t="shared" si="0"/>
        <v>1.5224350994013989</v>
      </c>
      <c r="F24" s="2">
        <f t="shared" si="1"/>
        <v>2.3178086318893474</v>
      </c>
      <c r="S24" s="1"/>
    </row>
    <row r="25" spans="1:19" x14ac:dyDescent="0.25">
      <c r="A25" s="1">
        <v>42248</v>
      </c>
      <c r="B25">
        <v>3.8050000000000002</v>
      </c>
      <c r="C25">
        <v>50.361096361937598</v>
      </c>
      <c r="D25">
        <v>48.77</v>
      </c>
      <c r="E25" s="2">
        <f t="shared" si="0"/>
        <v>1.5910963619375948</v>
      </c>
      <c r="F25" s="2">
        <f t="shared" si="1"/>
        <v>2.5315876329710498</v>
      </c>
      <c r="S25" s="1"/>
    </row>
    <row r="26" spans="1:19" x14ac:dyDescent="0.25">
      <c r="A26" s="1">
        <v>42217</v>
      </c>
      <c r="B26">
        <v>3.9460000000000002</v>
      </c>
      <c r="C26">
        <v>47.660167833666101</v>
      </c>
      <c r="D26">
        <v>41.79</v>
      </c>
      <c r="E26" s="2">
        <f t="shared" si="0"/>
        <v>5.8701678336661018</v>
      </c>
      <c r="F26" s="2">
        <f t="shared" si="1"/>
        <v>34.458870395408177</v>
      </c>
      <c r="S26" s="1"/>
    </row>
    <row r="27" spans="1:19" x14ac:dyDescent="0.25">
      <c r="A27" s="1">
        <v>42186</v>
      </c>
      <c r="B27">
        <v>3.895</v>
      </c>
      <c r="C27">
        <v>50.512301657422498</v>
      </c>
      <c r="D27">
        <v>45.34</v>
      </c>
      <c r="E27" s="2">
        <f t="shared" si="0"/>
        <v>5.1723016574224943</v>
      </c>
      <c r="F27" s="2">
        <f t="shared" si="1"/>
        <v>26.752704435375481</v>
      </c>
      <c r="S27" s="1"/>
    </row>
    <row r="28" spans="1:19" x14ac:dyDescent="0.25">
      <c r="A28" s="1">
        <v>42156</v>
      </c>
      <c r="B28">
        <v>3.7462499999999999</v>
      </c>
      <c r="C28">
        <v>57.346838855494099</v>
      </c>
      <c r="D28">
        <v>53.9</v>
      </c>
      <c r="E28" s="2">
        <f t="shared" si="0"/>
        <v>3.4468388554941001</v>
      </c>
      <c r="F28" s="2">
        <f t="shared" si="1"/>
        <v>11.880698095743877</v>
      </c>
      <c r="S28" s="1"/>
    </row>
    <row r="29" spans="1:19" x14ac:dyDescent="0.25">
      <c r="A29" s="1">
        <v>42125</v>
      </c>
      <c r="B29">
        <v>3.577</v>
      </c>
      <c r="C29">
        <v>69.515935448741999</v>
      </c>
      <c r="D29">
        <v>61.49</v>
      </c>
      <c r="E29" s="2">
        <f t="shared" si="0"/>
        <v>8.0259354487419969</v>
      </c>
      <c r="F29" s="2">
        <f t="shared" si="1"/>
        <v>64.415639827373397</v>
      </c>
      <c r="S29" s="1"/>
    </row>
    <row r="30" spans="1:19" x14ac:dyDescent="0.25">
      <c r="A30" s="1">
        <v>42095</v>
      </c>
      <c r="B30">
        <v>3.67</v>
      </c>
      <c r="C30">
        <v>61.679256179586901</v>
      </c>
      <c r="D30">
        <v>58.42</v>
      </c>
      <c r="E30" s="2">
        <f t="shared" si="0"/>
        <v>3.2592561795868988</v>
      </c>
      <c r="F30" s="2">
        <f t="shared" si="1"/>
        <v>10.622750844175387</v>
      </c>
      <c r="S30" s="1"/>
    </row>
    <row r="31" spans="1:19" x14ac:dyDescent="0.25">
      <c r="A31" s="1">
        <v>42064</v>
      </c>
      <c r="B31">
        <v>3.61625</v>
      </c>
      <c r="C31">
        <v>67.483782064287396</v>
      </c>
      <c r="D31">
        <v>61.22</v>
      </c>
      <c r="E31" s="2">
        <f t="shared" si="0"/>
        <v>6.2637820642873976</v>
      </c>
      <c r="F31" s="2">
        <f t="shared" si="1"/>
        <v>39.234965748888492</v>
      </c>
      <c r="S31" s="1"/>
    </row>
    <row r="32" spans="1:19" x14ac:dyDescent="0.25">
      <c r="A32" s="1">
        <v>42036</v>
      </c>
      <c r="B32">
        <v>3.5762499999999999</v>
      </c>
      <c r="C32">
        <v>72.605361949306101</v>
      </c>
      <c r="D32">
        <v>61.42</v>
      </c>
      <c r="E32" s="2">
        <f t="shared" si="0"/>
        <v>11.185361949306099</v>
      </c>
      <c r="F32" s="2">
        <f t="shared" si="1"/>
        <v>125.11232193698473</v>
      </c>
      <c r="S32" s="1"/>
    </row>
    <row r="33" spans="1:19" x14ac:dyDescent="0.25">
      <c r="A33" s="1">
        <v>42005</v>
      </c>
      <c r="B33">
        <v>3.754</v>
      </c>
      <c r="C33">
        <v>61.159880294372797</v>
      </c>
      <c r="D33">
        <v>55.3</v>
      </c>
      <c r="E33" s="2">
        <f t="shared" si="0"/>
        <v>5.8598802943728003</v>
      </c>
      <c r="F33" s="2">
        <f t="shared" si="1"/>
        <v>34.338197064378654</v>
      </c>
      <c r="S33" s="1"/>
    </row>
    <row r="34" spans="1:19" x14ac:dyDescent="0.25">
      <c r="A34" s="1">
        <v>41974</v>
      </c>
      <c r="B34">
        <v>3.8725000000000001</v>
      </c>
      <c r="C34">
        <v>58.835360141874901</v>
      </c>
      <c r="D34">
        <v>49.67</v>
      </c>
      <c r="E34" s="2">
        <f t="shared" ref="E34:E65" si="2">C34-D34</f>
        <v>9.1653601418748991</v>
      </c>
      <c r="F34" s="2">
        <f t="shared" ref="F34:F65" si="3">E34^2</f>
        <v>84.003826530269066</v>
      </c>
      <c r="S34" s="1"/>
    </row>
    <row r="35" spans="1:19" x14ac:dyDescent="0.25">
      <c r="A35" s="1">
        <v>41944</v>
      </c>
      <c r="B35">
        <v>3.9060000000000001</v>
      </c>
      <c r="C35">
        <v>60.184097627371102</v>
      </c>
      <c r="D35">
        <v>48.29</v>
      </c>
      <c r="E35" s="2">
        <f t="shared" si="2"/>
        <v>11.894097627371103</v>
      </c>
      <c r="F35" s="2">
        <f t="shared" si="3"/>
        <v>141.46955836943491</v>
      </c>
      <c r="S35" s="1"/>
    </row>
    <row r="36" spans="1:19" x14ac:dyDescent="0.25">
      <c r="A36" s="1">
        <v>41913</v>
      </c>
      <c r="B36">
        <v>4.0374999999999996</v>
      </c>
      <c r="C36">
        <v>45.8021608324974</v>
      </c>
      <c r="D36">
        <v>41.33</v>
      </c>
      <c r="E36" s="2">
        <f t="shared" si="2"/>
        <v>4.4721608324974014</v>
      </c>
      <c r="F36" s="2">
        <f t="shared" si="3"/>
        <v>20.000222511723852</v>
      </c>
      <c r="S36" s="1"/>
    </row>
    <row r="37" spans="1:19" x14ac:dyDescent="0.25">
      <c r="A37" s="1">
        <v>41883</v>
      </c>
      <c r="B37">
        <v>4.00875</v>
      </c>
      <c r="C37">
        <v>53.5877743963105</v>
      </c>
      <c r="D37">
        <v>43.31</v>
      </c>
      <c r="E37" s="2">
        <f t="shared" si="2"/>
        <v>10.277774396310498</v>
      </c>
      <c r="F37" s="2">
        <f t="shared" si="3"/>
        <v>105.63264654145563</v>
      </c>
      <c r="S37" s="1"/>
    </row>
    <row r="38" spans="1:19" x14ac:dyDescent="0.25">
      <c r="A38" s="1">
        <v>41852</v>
      </c>
      <c r="B38">
        <v>4.03</v>
      </c>
      <c r="C38">
        <v>45.781203450659099</v>
      </c>
      <c r="D38">
        <v>42.58</v>
      </c>
      <c r="E38" s="2">
        <f t="shared" si="2"/>
        <v>3.2012034506591007</v>
      </c>
      <c r="F38" s="2">
        <f t="shared" si="3"/>
        <v>10.247703532511734</v>
      </c>
      <c r="S38" s="1"/>
    </row>
    <row r="39" spans="1:19" x14ac:dyDescent="0.25">
      <c r="A39" s="1">
        <v>41821</v>
      </c>
      <c r="B39">
        <v>4.05</v>
      </c>
      <c r="C39">
        <v>47.651624105965098</v>
      </c>
      <c r="D39">
        <v>41.87</v>
      </c>
      <c r="E39" s="2">
        <f t="shared" si="2"/>
        <v>5.7816241059651006</v>
      </c>
      <c r="F39" s="2">
        <f t="shared" si="3"/>
        <v>33.427177302676746</v>
      </c>
      <c r="S39" s="1"/>
    </row>
    <row r="40" spans="1:19" x14ac:dyDescent="0.25">
      <c r="A40" s="1">
        <v>41791</v>
      </c>
      <c r="B40">
        <v>4.0674999999999999</v>
      </c>
      <c r="C40">
        <v>49.608540838935703</v>
      </c>
      <c r="D40">
        <v>40.26</v>
      </c>
      <c r="E40" s="2">
        <f t="shared" si="2"/>
        <v>9.3485408389357048</v>
      </c>
      <c r="F40" s="2">
        <f t="shared" si="3"/>
        <v>87.395215817248697</v>
      </c>
      <c r="S40" s="1"/>
    </row>
    <row r="41" spans="1:19" x14ac:dyDescent="0.25">
      <c r="A41" s="1">
        <v>41760</v>
      </c>
      <c r="B41">
        <v>4.2480000000000002</v>
      </c>
      <c r="C41">
        <v>39.3060490064302</v>
      </c>
      <c r="D41">
        <v>35.049999999999997</v>
      </c>
      <c r="E41" s="2">
        <f t="shared" si="2"/>
        <v>4.256049006430203</v>
      </c>
      <c r="F41" s="2">
        <f t="shared" si="3"/>
        <v>18.113953145135518</v>
      </c>
      <c r="S41" s="1"/>
    </row>
    <row r="42" spans="1:19" x14ac:dyDescent="0.25">
      <c r="A42" s="1">
        <v>41730</v>
      </c>
      <c r="B42">
        <v>4.2487500000000002</v>
      </c>
      <c r="C42">
        <v>39.922075413212802</v>
      </c>
      <c r="D42">
        <v>36.049999999999997</v>
      </c>
      <c r="E42" s="2">
        <f t="shared" si="2"/>
        <v>3.872075413212805</v>
      </c>
      <c r="F42" s="2">
        <f t="shared" si="3"/>
        <v>14.992968005607114</v>
      </c>
      <c r="S42" s="1"/>
    </row>
    <row r="43" spans="1:19" x14ac:dyDescent="0.25">
      <c r="A43" s="1">
        <v>41699</v>
      </c>
      <c r="B43">
        <v>4.2275</v>
      </c>
      <c r="C43">
        <v>42.304220818241198</v>
      </c>
      <c r="D43">
        <v>37.340000000000003</v>
      </c>
      <c r="E43" s="2">
        <f t="shared" si="2"/>
        <v>4.9642208182411949</v>
      </c>
      <c r="F43" s="2">
        <f t="shared" si="3"/>
        <v>24.643488332259277</v>
      </c>
      <c r="S43" s="1"/>
    </row>
    <row r="44" spans="1:19" x14ac:dyDescent="0.25">
      <c r="A44" s="1">
        <v>41671</v>
      </c>
      <c r="B44">
        <v>4.3620000000000001</v>
      </c>
      <c r="C44">
        <v>38.9952619571512</v>
      </c>
      <c r="D44">
        <v>31.82</v>
      </c>
      <c r="E44" s="2">
        <f t="shared" si="2"/>
        <v>7.1752619571512</v>
      </c>
      <c r="F44" s="2">
        <f t="shared" si="3"/>
        <v>51.484384153741267</v>
      </c>
      <c r="J44" s="2"/>
      <c r="S44" s="1"/>
    </row>
    <row r="45" spans="1:19" x14ac:dyDescent="0.25">
      <c r="A45" s="1">
        <v>41640</v>
      </c>
      <c r="B45">
        <v>4.37</v>
      </c>
      <c r="C45">
        <v>39.5770811054565</v>
      </c>
      <c r="D45">
        <v>32.67</v>
      </c>
      <c r="E45" s="2">
        <f t="shared" si="2"/>
        <v>6.9070811054564984</v>
      </c>
      <c r="F45" s="2">
        <f t="shared" si="3"/>
        <v>47.707769397354163</v>
      </c>
      <c r="S45" s="1"/>
    </row>
    <row r="46" spans="1:19" x14ac:dyDescent="0.25">
      <c r="A46" s="1">
        <v>41609</v>
      </c>
      <c r="B46">
        <v>4.1862500000000002</v>
      </c>
      <c r="C46">
        <v>40.2354580514844</v>
      </c>
      <c r="D46">
        <v>41.41</v>
      </c>
      <c r="E46" s="2">
        <f t="shared" si="2"/>
        <v>-1.1745419485155963</v>
      </c>
      <c r="F46" s="2">
        <f t="shared" si="3"/>
        <v>1.3795487888228137</v>
      </c>
      <c r="S46" s="1"/>
    </row>
    <row r="47" spans="1:19" x14ac:dyDescent="0.25">
      <c r="A47" s="1">
        <v>41579</v>
      </c>
      <c r="B47">
        <v>4.1219999999999999</v>
      </c>
      <c r="C47">
        <v>41.423399038721698</v>
      </c>
      <c r="D47">
        <v>43.99</v>
      </c>
      <c r="E47" s="2">
        <f t="shared" si="2"/>
        <v>-2.5666009612783043</v>
      </c>
      <c r="F47" s="2">
        <f t="shared" si="3"/>
        <v>6.5874404944347154</v>
      </c>
      <c r="S47" s="1"/>
    </row>
    <row r="48" spans="1:19" x14ac:dyDescent="0.25">
      <c r="A48" s="1">
        <v>41548</v>
      </c>
      <c r="B48">
        <v>4.4212499999999997</v>
      </c>
      <c r="C48">
        <v>40.054376314447502</v>
      </c>
      <c r="D48">
        <v>33.4</v>
      </c>
      <c r="E48" s="2">
        <f t="shared" si="2"/>
        <v>6.6543763144475037</v>
      </c>
      <c r="F48" s="2">
        <f t="shared" si="3"/>
        <v>44.280724134279943</v>
      </c>
      <c r="S48" s="1"/>
    </row>
    <row r="49" spans="1:19" x14ac:dyDescent="0.25">
      <c r="A49" s="1">
        <v>41518</v>
      </c>
      <c r="B49">
        <v>4.4037499999999996</v>
      </c>
      <c r="C49">
        <v>41.055625487002203</v>
      </c>
      <c r="D49">
        <v>37.200000000000003</v>
      </c>
      <c r="E49" s="2">
        <f t="shared" si="2"/>
        <v>3.8556254870022002</v>
      </c>
      <c r="F49" s="2">
        <f t="shared" si="3"/>
        <v>14.865847896020954</v>
      </c>
      <c r="S49" s="1"/>
    </row>
    <row r="50" spans="1:19" x14ac:dyDescent="0.25">
      <c r="A50" s="1">
        <v>41487</v>
      </c>
      <c r="B50">
        <v>4.3090000000000002</v>
      </c>
      <c r="C50">
        <v>40.550338827333498</v>
      </c>
      <c r="D50">
        <v>42.38</v>
      </c>
      <c r="E50" s="2">
        <f t="shared" si="2"/>
        <v>-1.8296611726665049</v>
      </c>
      <c r="F50" s="2">
        <f t="shared" si="3"/>
        <v>3.3476600067633697</v>
      </c>
      <c r="S50" s="1"/>
    </row>
    <row r="51" spans="1:19" x14ac:dyDescent="0.25">
      <c r="A51" s="1">
        <v>41456</v>
      </c>
      <c r="B51">
        <v>4.0075000000000003</v>
      </c>
      <c r="C51">
        <v>54.102717617136904</v>
      </c>
      <c r="D51">
        <v>53.22</v>
      </c>
      <c r="E51" s="2">
        <f t="shared" si="2"/>
        <v>0.88271761713690466</v>
      </c>
      <c r="F51" s="2">
        <f t="shared" si="3"/>
        <v>0.77919039160385506</v>
      </c>
      <c r="S51" s="1"/>
    </row>
    <row r="52" spans="1:19" x14ac:dyDescent="0.25">
      <c r="A52" s="1">
        <v>41426</v>
      </c>
      <c r="B52">
        <v>3.4660000000000002</v>
      </c>
      <c r="C52">
        <v>73.206321990506197</v>
      </c>
      <c r="D52">
        <v>74.19</v>
      </c>
      <c r="E52" s="2">
        <f t="shared" si="2"/>
        <v>-0.98367800949380069</v>
      </c>
      <c r="F52" s="2">
        <f t="shared" si="3"/>
        <v>0.96762242636168583</v>
      </c>
      <c r="S52" s="1"/>
    </row>
    <row r="53" spans="1:19" x14ac:dyDescent="0.25">
      <c r="A53" s="1">
        <v>41395</v>
      </c>
      <c r="B53">
        <v>3.3887499999999999</v>
      </c>
      <c r="C53">
        <v>81.364213812245197</v>
      </c>
      <c r="D53">
        <v>78.95</v>
      </c>
      <c r="E53" s="2">
        <f t="shared" si="2"/>
        <v>2.4142138122451939</v>
      </c>
      <c r="F53" s="2">
        <f t="shared" si="3"/>
        <v>5.8284283312354725</v>
      </c>
      <c r="S53" s="1"/>
    </row>
    <row r="54" spans="1:19" x14ac:dyDescent="0.25">
      <c r="A54" s="1">
        <v>41365</v>
      </c>
      <c r="B54">
        <v>3.50875</v>
      </c>
      <c r="C54">
        <v>69.733425445025304</v>
      </c>
      <c r="D54">
        <v>74.56</v>
      </c>
      <c r="E54" s="2">
        <f t="shared" si="2"/>
        <v>-4.8265745549746981</v>
      </c>
      <c r="F54" s="2">
        <f t="shared" si="3"/>
        <v>23.295821934729204</v>
      </c>
      <c r="S54" s="1"/>
    </row>
    <row r="55" spans="1:19" x14ac:dyDescent="0.25">
      <c r="A55" s="1">
        <v>41334</v>
      </c>
      <c r="B55">
        <v>3.4824999999999999</v>
      </c>
      <c r="C55">
        <v>71.728960409024396</v>
      </c>
      <c r="D55">
        <v>77.53</v>
      </c>
      <c r="E55" s="2">
        <f t="shared" si="2"/>
        <v>-5.8010395909756056</v>
      </c>
      <c r="F55" s="2">
        <f t="shared" si="3"/>
        <v>33.65206033606642</v>
      </c>
      <c r="S55" s="1"/>
    </row>
    <row r="56" spans="1:19" x14ac:dyDescent="0.25">
      <c r="A56" s="1">
        <v>41306</v>
      </c>
      <c r="B56">
        <v>3.339</v>
      </c>
      <c r="C56">
        <v>87.501624836335594</v>
      </c>
      <c r="D56">
        <v>87.22</v>
      </c>
      <c r="E56" s="2">
        <f t="shared" si="2"/>
        <v>0.28162483633559532</v>
      </c>
      <c r="F56" s="2">
        <f t="shared" si="3"/>
        <v>7.9312548441050845E-2</v>
      </c>
      <c r="S56" s="1"/>
    </row>
    <row r="57" spans="1:19" x14ac:dyDescent="0.25">
      <c r="A57" s="1">
        <v>41275</v>
      </c>
      <c r="B57">
        <v>3.27</v>
      </c>
      <c r="C57">
        <v>89.435249505040602</v>
      </c>
      <c r="D57">
        <v>92.87</v>
      </c>
      <c r="E57" s="2">
        <f t="shared" si="2"/>
        <v>-3.4347504949594025</v>
      </c>
      <c r="F57" s="2">
        <f t="shared" si="3"/>
        <v>11.797510962623861</v>
      </c>
      <c r="S57" s="1"/>
    </row>
    <row r="58" spans="1:19" x14ac:dyDescent="0.25">
      <c r="A58" s="1">
        <v>41244</v>
      </c>
      <c r="B58">
        <v>3.2737500000000002</v>
      </c>
      <c r="C58">
        <v>91.664557512913404</v>
      </c>
      <c r="D58">
        <v>94.5</v>
      </c>
      <c r="E58" s="2">
        <f t="shared" si="2"/>
        <v>-2.8354424870865955</v>
      </c>
      <c r="F58" s="2">
        <f t="shared" si="3"/>
        <v>8.0397340975758187</v>
      </c>
      <c r="S58" s="1"/>
    </row>
    <row r="59" spans="1:19" x14ac:dyDescent="0.25">
      <c r="A59" s="1">
        <v>41214</v>
      </c>
      <c r="B59">
        <v>3.3039999999999998</v>
      </c>
      <c r="C59">
        <v>93.216551578397898</v>
      </c>
      <c r="D59">
        <v>96.07</v>
      </c>
      <c r="E59" s="2">
        <f t="shared" si="2"/>
        <v>-2.8534484216020957</v>
      </c>
      <c r="F59" s="2">
        <f t="shared" si="3"/>
        <v>8.1421678947434906</v>
      </c>
      <c r="S59" s="1"/>
    </row>
    <row r="60" spans="1:19" x14ac:dyDescent="0.25">
      <c r="A60" s="1">
        <v>41183</v>
      </c>
      <c r="B60">
        <v>3.4037500000000001</v>
      </c>
      <c r="C60">
        <v>88.979291733926004</v>
      </c>
      <c r="D60">
        <v>92.63</v>
      </c>
      <c r="E60" s="2">
        <f t="shared" si="2"/>
        <v>-3.6507082660739911</v>
      </c>
      <c r="F60" s="2">
        <f t="shared" si="3"/>
        <v>13.327670843980966</v>
      </c>
      <c r="S60" s="1"/>
    </row>
    <row r="61" spans="1:19" x14ac:dyDescent="0.25">
      <c r="A61" s="1">
        <v>41153</v>
      </c>
      <c r="B61">
        <v>3.512</v>
      </c>
      <c r="C61">
        <v>93.421854414379297</v>
      </c>
      <c r="D61">
        <v>89.15</v>
      </c>
      <c r="E61" s="2">
        <f t="shared" si="2"/>
        <v>4.2718544143792911</v>
      </c>
      <c r="F61" s="2">
        <f t="shared" si="3"/>
        <v>18.248740137651836</v>
      </c>
      <c r="S61" s="1"/>
    </row>
    <row r="62" spans="1:19" x14ac:dyDescent="0.25">
      <c r="A62" s="1">
        <v>41122</v>
      </c>
      <c r="B62">
        <v>3.4812500000000002</v>
      </c>
      <c r="C62">
        <v>93.799454707184097</v>
      </c>
      <c r="D62">
        <v>91.76</v>
      </c>
      <c r="E62" s="2">
        <f t="shared" si="2"/>
        <v>2.0394547071840918</v>
      </c>
      <c r="F62" s="2">
        <f t="shared" si="3"/>
        <v>4.1593755026553501</v>
      </c>
      <c r="S62" s="1"/>
    </row>
    <row r="63" spans="1:19" x14ac:dyDescent="0.25">
      <c r="A63" s="1">
        <v>41091</v>
      </c>
      <c r="B63">
        <v>3.6</v>
      </c>
      <c r="C63">
        <v>90.277820394927303</v>
      </c>
      <c r="D63">
        <v>89.97</v>
      </c>
      <c r="E63" s="2">
        <f t="shared" si="2"/>
        <v>0.30782039492730462</v>
      </c>
      <c r="F63" s="2">
        <f t="shared" si="3"/>
        <v>9.4753395533201779E-2</v>
      </c>
      <c r="S63" s="1"/>
    </row>
    <row r="64" spans="1:19" x14ac:dyDescent="0.25">
      <c r="A64" s="1">
        <v>41061</v>
      </c>
      <c r="B64">
        <v>3.738</v>
      </c>
      <c r="C64">
        <v>89.6467500831791</v>
      </c>
      <c r="D64">
        <v>88.11</v>
      </c>
      <c r="E64" s="2">
        <f t="shared" si="2"/>
        <v>1.5367500831791006</v>
      </c>
      <c r="F64" s="2">
        <f t="shared" si="3"/>
        <v>2.3616008181509724</v>
      </c>
      <c r="S64" s="1"/>
    </row>
    <row r="65" spans="1:19" x14ac:dyDescent="0.25">
      <c r="A65" s="1">
        <v>41030</v>
      </c>
      <c r="B65">
        <v>3.8412500000000001</v>
      </c>
      <c r="C65">
        <v>89.263063232224496</v>
      </c>
      <c r="D65">
        <v>84.2</v>
      </c>
      <c r="E65" s="2">
        <f t="shared" si="2"/>
        <v>5.0630632322244935</v>
      </c>
      <c r="F65" s="2">
        <f t="shared" si="3"/>
        <v>25.634609293503534</v>
      </c>
      <c r="S65" s="1"/>
    </row>
    <row r="66" spans="1:19" x14ac:dyDescent="0.25">
      <c r="A66" s="1">
        <v>41000</v>
      </c>
      <c r="B66">
        <v>3.9112499999999999</v>
      </c>
      <c r="C66">
        <v>83.593654272108196</v>
      </c>
      <c r="D66">
        <v>82.4</v>
      </c>
      <c r="E66" s="2">
        <f t="shared" ref="E66:E97" si="4">C66-D66</f>
        <v>1.1936542721081906</v>
      </c>
      <c r="F66" s="2">
        <f t="shared" ref="F66:F97" si="5">E66^2</f>
        <v>1.4248105213221345</v>
      </c>
      <c r="S66" s="1"/>
    </row>
    <row r="67" spans="1:19" x14ac:dyDescent="0.25">
      <c r="A67" s="1">
        <v>40969</v>
      </c>
      <c r="B67">
        <v>3.8420000000000001</v>
      </c>
      <c r="C67">
        <v>84.071646333224294</v>
      </c>
      <c r="D67">
        <v>87.32</v>
      </c>
      <c r="E67" s="2">
        <f t="shared" si="4"/>
        <v>-3.2483536667756994</v>
      </c>
      <c r="F67" s="2">
        <f t="shared" si="5"/>
        <v>10.551801544455131</v>
      </c>
      <c r="S67" s="1"/>
    </row>
    <row r="68" spans="1:19" x14ac:dyDescent="0.25">
      <c r="A68" s="1">
        <v>40940</v>
      </c>
      <c r="B68">
        <v>3.8525</v>
      </c>
      <c r="C68">
        <v>85.523497036947603</v>
      </c>
      <c r="D68">
        <v>88.32</v>
      </c>
      <c r="E68" s="2">
        <f t="shared" si="4"/>
        <v>-2.7965029630523901</v>
      </c>
      <c r="F68" s="2">
        <f t="shared" si="5"/>
        <v>7.8204288223607978</v>
      </c>
      <c r="S68" s="1"/>
    </row>
    <row r="69" spans="1:19" x14ac:dyDescent="0.25">
      <c r="A69" s="1">
        <v>40909</v>
      </c>
      <c r="B69">
        <v>3.8787500000000001</v>
      </c>
      <c r="C69">
        <v>87.549139323265294</v>
      </c>
      <c r="D69">
        <v>88.11</v>
      </c>
      <c r="E69" s="2">
        <f t="shared" si="4"/>
        <v>-0.56086067673470552</v>
      </c>
      <c r="F69" s="2">
        <f t="shared" si="5"/>
        <v>0.31456469870731185</v>
      </c>
      <c r="S69" s="1"/>
    </row>
    <row r="70" spans="1:19" x14ac:dyDescent="0.25">
      <c r="A70" s="1">
        <v>40878</v>
      </c>
      <c r="B70">
        <v>3.919</v>
      </c>
      <c r="C70">
        <v>89.652384492971095</v>
      </c>
      <c r="D70">
        <v>87.91</v>
      </c>
      <c r="E70" s="2">
        <f t="shared" si="4"/>
        <v>1.7423844929710981</v>
      </c>
      <c r="F70" s="2">
        <f t="shared" si="5"/>
        <v>3.0359037213461506</v>
      </c>
      <c r="S70" s="1"/>
    </row>
    <row r="71" spans="1:19" x14ac:dyDescent="0.25">
      <c r="A71" s="1">
        <v>40848</v>
      </c>
      <c r="B71">
        <v>4.0175000000000001</v>
      </c>
      <c r="C71">
        <v>84.078812987070407</v>
      </c>
      <c r="D71">
        <v>83.43</v>
      </c>
      <c r="E71" s="2">
        <f t="shared" si="4"/>
        <v>0.64881298707040003</v>
      </c>
      <c r="F71" s="2">
        <f t="shared" si="5"/>
        <v>0.42095829219121506</v>
      </c>
      <c r="S71" s="1"/>
    </row>
    <row r="72" spans="1:19" x14ac:dyDescent="0.25">
      <c r="A72" s="1">
        <v>40817</v>
      </c>
      <c r="B72">
        <v>4.0025000000000004</v>
      </c>
      <c r="C72">
        <v>90.414021776566202</v>
      </c>
      <c r="D72">
        <v>82.8</v>
      </c>
      <c r="E72" s="2">
        <f t="shared" si="4"/>
        <v>7.6140217765662044</v>
      </c>
      <c r="F72" s="2">
        <f t="shared" si="5"/>
        <v>57.973327614024377</v>
      </c>
      <c r="S72" s="1"/>
    </row>
    <row r="73" spans="1:19" x14ac:dyDescent="0.25">
      <c r="A73" s="1">
        <v>40787</v>
      </c>
      <c r="B73">
        <v>4.1900000000000004</v>
      </c>
      <c r="C73">
        <v>78.858933412077903</v>
      </c>
      <c r="D73">
        <v>73.959999999999994</v>
      </c>
      <c r="E73" s="2">
        <f t="shared" si="4"/>
        <v>4.8989334120779091</v>
      </c>
      <c r="F73" s="2">
        <f t="shared" si="5"/>
        <v>23.999548575973304</v>
      </c>
      <c r="S73" s="1"/>
    </row>
    <row r="74" spans="1:19" x14ac:dyDescent="0.25">
      <c r="A74" s="1">
        <v>40756</v>
      </c>
      <c r="B74">
        <v>4.4762500000000003</v>
      </c>
      <c r="C74">
        <v>51.395598700740003</v>
      </c>
      <c r="D74">
        <v>55.51</v>
      </c>
      <c r="E74" s="2">
        <f t="shared" si="4"/>
        <v>-4.1144012992599954</v>
      </c>
      <c r="F74" s="2">
        <f t="shared" si="5"/>
        <v>16.928298051352339</v>
      </c>
      <c r="S74" s="1"/>
    </row>
    <row r="75" spans="1:19" x14ac:dyDescent="0.25">
      <c r="A75" s="1">
        <v>40725</v>
      </c>
      <c r="B75">
        <v>4.4349999999999996</v>
      </c>
      <c r="C75">
        <v>51.542533666466298</v>
      </c>
      <c r="D75">
        <v>56.99</v>
      </c>
      <c r="E75" s="2">
        <f t="shared" si="4"/>
        <v>-5.4474663335337041</v>
      </c>
      <c r="F75" s="2">
        <f t="shared" si="5"/>
        <v>29.674889454983138</v>
      </c>
      <c r="S75" s="1"/>
    </row>
    <row r="76" spans="1:19" x14ac:dyDescent="0.25">
      <c r="A76" s="1">
        <v>40695</v>
      </c>
      <c r="B76">
        <v>4.5625</v>
      </c>
      <c r="C76">
        <v>52.500686646884603</v>
      </c>
      <c r="D76">
        <v>54.58</v>
      </c>
      <c r="E76" s="2">
        <f t="shared" si="4"/>
        <v>-2.0793133531153956</v>
      </c>
      <c r="F76" s="2">
        <f t="shared" si="5"/>
        <v>4.3235440204439897</v>
      </c>
      <c r="S76" s="1"/>
    </row>
    <row r="77" spans="1:19" x14ac:dyDescent="0.25">
      <c r="A77" s="1">
        <v>40664</v>
      </c>
      <c r="B77">
        <v>4.75875</v>
      </c>
      <c r="C77">
        <v>46.817524570614196</v>
      </c>
      <c r="D77">
        <v>52.21</v>
      </c>
      <c r="E77" s="2">
        <f t="shared" si="4"/>
        <v>-5.3924754293858044</v>
      </c>
      <c r="F77" s="2">
        <f t="shared" si="5"/>
        <v>29.078791256529616</v>
      </c>
      <c r="S77" s="1"/>
    </row>
    <row r="78" spans="1:19" x14ac:dyDescent="0.25">
      <c r="A78" s="1">
        <v>40634</v>
      </c>
      <c r="B78">
        <v>4.7610000000000001</v>
      </c>
      <c r="C78">
        <v>47.603965537470401</v>
      </c>
      <c r="D78">
        <v>53.7</v>
      </c>
      <c r="E78" s="2">
        <f t="shared" si="4"/>
        <v>-6.0960344625296017</v>
      </c>
      <c r="F78" s="2">
        <f t="shared" si="5"/>
        <v>37.161636168348572</v>
      </c>
      <c r="S78" s="1"/>
    </row>
    <row r="79" spans="1:19" x14ac:dyDescent="0.25">
      <c r="A79" s="1">
        <v>40603</v>
      </c>
      <c r="B79">
        <v>4.8775000000000004</v>
      </c>
      <c r="C79">
        <v>46.9906526195672</v>
      </c>
      <c r="D79">
        <v>51.17</v>
      </c>
      <c r="E79" s="2">
        <f t="shared" si="4"/>
        <v>-4.1793473804328016</v>
      </c>
      <c r="F79" s="2">
        <f t="shared" si="5"/>
        <v>17.466944526330522</v>
      </c>
      <c r="S79" s="1"/>
    </row>
    <row r="80" spans="1:19" x14ac:dyDescent="0.25">
      <c r="A80" s="1">
        <v>40575</v>
      </c>
      <c r="B80">
        <v>4.6987500000000004</v>
      </c>
      <c r="C80">
        <v>47.584258400171002</v>
      </c>
      <c r="D80">
        <v>58.86</v>
      </c>
      <c r="E80" s="2">
        <f t="shared" si="4"/>
        <v>-11.275741599828997</v>
      </c>
      <c r="F80" s="2">
        <f t="shared" si="5"/>
        <v>127.1423486261142</v>
      </c>
      <c r="S80" s="1"/>
    </row>
    <row r="81" spans="1:19" x14ac:dyDescent="0.25">
      <c r="A81" s="1">
        <v>40544</v>
      </c>
      <c r="B81">
        <v>4.649</v>
      </c>
      <c r="C81">
        <v>54.834349540527903</v>
      </c>
      <c r="D81">
        <v>61.73</v>
      </c>
      <c r="E81" s="2">
        <f t="shared" si="4"/>
        <v>-6.895650459472094</v>
      </c>
      <c r="F81" s="2">
        <f t="shared" si="5"/>
        <v>47.549995259217702</v>
      </c>
      <c r="S81" s="1"/>
    </row>
    <row r="82" spans="1:19" x14ac:dyDescent="0.25">
      <c r="A82" s="1">
        <v>40513</v>
      </c>
      <c r="B82">
        <v>4.2562499999999996</v>
      </c>
      <c r="C82">
        <v>85.206033687715106</v>
      </c>
      <c r="D82">
        <v>82.68</v>
      </c>
      <c r="E82" s="2">
        <f t="shared" si="4"/>
        <v>2.5260336877150991</v>
      </c>
      <c r="F82" s="2">
        <f t="shared" si="5"/>
        <v>6.3808461914715426</v>
      </c>
      <c r="S82" s="1"/>
    </row>
    <row r="83" spans="1:19" x14ac:dyDescent="0.25">
      <c r="A83" s="1">
        <v>40483</v>
      </c>
      <c r="B83">
        <v>4.1749999999999998</v>
      </c>
      <c r="C83">
        <v>90.621125719846006</v>
      </c>
      <c r="D83">
        <v>90.03</v>
      </c>
      <c r="E83" s="2">
        <f t="shared" si="4"/>
        <v>0.59112571984600493</v>
      </c>
      <c r="F83" s="2">
        <f t="shared" si="5"/>
        <v>0.34942961666345751</v>
      </c>
      <c r="S83" s="1"/>
    </row>
    <row r="84" spans="1:19" x14ac:dyDescent="0.25">
      <c r="A84" s="1">
        <v>40452</v>
      </c>
      <c r="B84">
        <v>4.2759999999999998</v>
      </c>
      <c r="C84">
        <v>89.592680876024104</v>
      </c>
      <c r="D84">
        <v>87.26</v>
      </c>
      <c r="E84" s="2">
        <f t="shared" si="4"/>
        <v>2.3326808760240993</v>
      </c>
      <c r="F84" s="2">
        <f t="shared" si="5"/>
        <v>5.4414000693685596</v>
      </c>
      <c r="S84" s="1"/>
    </row>
    <row r="85" spans="1:19" x14ac:dyDescent="0.25">
      <c r="A85" s="1">
        <v>40422</v>
      </c>
      <c r="B85">
        <v>4.3525</v>
      </c>
      <c r="C85">
        <v>91.127784587126399</v>
      </c>
      <c r="D85">
        <v>81.67</v>
      </c>
      <c r="E85" s="2">
        <f t="shared" si="4"/>
        <v>9.4577845871263975</v>
      </c>
      <c r="F85" s="2">
        <f t="shared" si="5"/>
        <v>89.449689296485644</v>
      </c>
      <c r="S85" s="1"/>
    </row>
    <row r="86" spans="1:19" x14ac:dyDescent="0.25">
      <c r="A86" s="1">
        <v>40391</v>
      </c>
      <c r="B86">
        <v>4.4850000000000003</v>
      </c>
      <c r="C86">
        <v>81.651690050379401</v>
      </c>
      <c r="D86">
        <v>73.11</v>
      </c>
      <c r="E86" s="2">
        <f t="shared" si="4"/>
        <v>8.5416900503794011</v>
      </c>
      <c r="F86" s="2">
        <f t="shared" si="5"/>
        <v>72.960468916750457</v>
      </c>
      <c r="S86" s="1"/>
    </row>
    <row r="87" spans="1:19" x14ac:dyDescent="0.25">
      <c r="A87" s="1">
        <v>40360</v>
      </c>
      <c r="B87">
        <v>4.6360000000000001</v>
      </c>
      <c r="C87">
        <v>67.958692599161694</v>
      </c>
      <c r="D87">
        <v>69.709999999999994</v>
      </c>
      <c r="E87" s="2">
        <f t="shared" si="4"/>
        <v>-1.7513074008383001</v>
      </c>
      <c r="F87" s="2">
        <f t="shared" si="5"/>
        <v>3.0670776122310022</v>
      </c>
      <c r="S87" s="1"/>
    </row>
    <row r="88" spans="1:19" x14ac:dyDescent="0.25">
      <c r="A88" s="1">
        <v>40330</v>
      </c>
      <c r="B88">
        <v>4.8125</v>
      </c>
      <c r="C88">
        <v>66.513479500005005</v>
      </c>
      <c r="D88">
        <v>66.47</v>
      </c>
      <c r="E88" s="2">
        <f t="shared" si="4"/>
        <v>4.3479500005005889E-2</v>
      </c>
      <c r="F88" s="2">
        <f t="shared" si="5"/>
        <v>1.890466920685307E-3</v>
      </c>
      <c r="S88" s="1"/>
    </row>
    <row r="89" spans="1:19" x14ac:dyDescent="0.25">
      <c r="A89" s="1">
        <v>40299</v>
      </c>
      <c r="B89">
        <v>5.0149999999999997</v>
      </c>
      <c r="C89">
        <v>60.496670034795599</v>
      </c>
      <c r="D89">
        <v>58.49</v>
      </c>
      <c r="E89" s="2">
        <f t="shared" si="4"/>
        <v>2.0066700347955972</v>
      </c>
      <c r="F89" s="2">
        <f t="shared" si="5"/>
        <v>4.0267246285465639</v>
      </c>
      <c r="S89" s="1"/>
    </row>
    <row r="90" spans="1:19" x14ac:dyDescent="0.25">
      <c r="A90" s="1">
        <v>40269</v>
      </c>
      <c r="B90">
        <v>4.91</v>
      </c>
      <c r="C90">
        <v>63.117919864840097</v>
      </c>
      <c r="D90">
        <v>66.790000000000006</v>
      </c>
      <c r="E90" s="2">
        <f t="shared" si="4"/>
        <v>-3.6720801351599093</v>
      </c>
      <c r="F90" s="2">
        <f t="shared" si="5"/>
        <v>13.484172519036017</v>
      </c>
      <c r="S90" s="1"/>
    </row>
    <row r="91" spans="1:19" x14ac:dyDescent="0.25">
      <c r="A91" s="1">
        <v>40238</v>
      </c>
      <c r="B91">
        <v>4.915</v>
      </c>
      <c r="C91">
        <v>64.716912454517797</v>
      </c>
      <c r="D91">
        <v>66.66</v>
      </c>
      <c r="E91" s="2">
        <f t="shared" si="4"/>
        <v>-1.9430875454822001</v>
      </c>
      <c r="F91" s="2">
        <f t="shared" si="5"/>
        <v>3.7755892094080408</v>
      </c>
      <c r="S91" s="1"/>
    </row>
    <row r="92" spans="1:19" x14ac:dyDescent="0.25">
      <c r="A92" s="1">
        <v>40210</v>
      </c>
      <c r="B92">
        <v>4.9487500000000004</v>
      </c>
      <c r="C92">
        <v>67.1694634227416</v>
      </c>
      <c r="D92">
        <v>66.41</v>
      </c>
      <c r="E92" s="2">
        <f t="shared" si="4"/>
        <v>0.75946342274160372</v>
      </c>
      <c r="F92" s="2">
        <f t="shared" si="5"/>
        <v>0.57678469048239189</v>
      </c>
      <c r="S92" s="1"/>
    </row>
    <row r="93" spans="1:19" x14ac:dyDescent="0.25">
      <c r="A93" s="1">
        <v>40179</v>
      </c>
      <c r="B93">
        <v>4.8550000000000004</v>
      </c>
      <c r="C93">
        <v>73.107640823938297</v>
      </c>
      <c r="D93">
        <v>71.17</v>
      </c>
      <c r="E93" s="2">
        <f t="shared" si="4"/>
        <v>1.9376408239382954</v>
      </c>
      <c r="F93" s="2">
        <f t="shared" si="5"/>
        <v>3.7544519625922761</v>
      </c>
      <c r="S93" s="1"/>
    </row>
    <row r="94" spans="1:19" x14ac:dyDescent="0.25">
      <c r="A94" s="1">
        <v>40148</v>
      </c>
      <c r="B94">
        <v>4.8</v>
      </c>
      <c r="C94">
        <v>75.450586005377801</v>
      </c>
      <c r="D94">
        <v>75.5</v>
      </c>
      <c r="E94" s="2">
        <f t="shared" si="4"/>
        <v>-4.9413994622199198E-2</v>
      </c>
      <c r="F94" s="2">
        <f t="shared" si="5"/>
        <v>2.4417428645227314E-3</v>
      </c>
      <c r="S94" s="1"/>
    </row>
    <row r="95" spans="1:19" x14ac:dyDescent="0.25">
      <c r="A95" s="1">
        <v>40118</v>
      </c>
      <c r="B95">
        <v>4.88</v>
      </c>
      <c r="C95">
        <v>77.107358614644994</v>
      </c>
      <c r="D95">
        <v>74.290000000000006</v>
      </c>
      <c r="E95" s="2">
        <f t="shared" si="4"/>
        <v>2.8173586146449878</v>
      </c>
      <c r="F95" s="2">
        <f t="shared" si="5"/>
        <v>7.9375095635143254</v>
      </c>
      <c r="S95" s="1"/>
    </row>
    <row r="96" spans="1:19" x14ac:dyDescent="0.25">
      <c r="A96" s="1">
        <v>40087</v>
      </c>
      <c r="B96">
        <v>4.9539999999999997</v>
      </c>
      <c r="C96">
        <v>71.669919424124899</v>
      </c>
      <c r="D96">
        <v>70.790000000000006</v>
      </c>
      <c r="E96" s="2">
        <f t="shared" si="4"/>
        <v>0.87991942412489266</v>
      </c>
      <c r="F96" s="2">
        <f t="shared" si="5"/>
        <v>0.77425819295228271</v>
      </c>
      <c r="S96" s="1"/>
    </row>
    <row r="97" spans="1:19" x14ac:dyDescent="0.25">
      <c r="A97" s="1">
        <v>40057</v>
      </c>
      <c r="B97">
        <v>5.1112500000000001</v>
      </c>
      <c r="C97">
        <v>66.903538191199004</v>
      </c>
      <c r="D97">
        <v>65.89</v>
      </c>
      <c r="E97" s="2">
        <f t="shared" si="4"/>
        <v>1.0135381911990038</v>
      </c>
      <c r="F97" s="2">
        <f t="shared" si="5"/>
        <v>1.0272596650189483</v>
      </c>
      <c r="S97" s="1"/>
    </row>
    <row r="98" spans="1:19" x14ac:dyDescent="0.25">
      <c r="A98" s="1">
        <v>40026</v>
      </c>
      <c r="B98">
        <v>5.1470000000000002</v>
      </c>
      <c r="C98">
        <v>69.468712983085496</v>
      </c>
      <c r="D98">
        <v>66.95</v>
      </c>
      <c r="E98" s="2">
        <f t="shared" ref="E98:E128" si="6">C98-D98</f>
        <v>2.5187129830854929</v>
      </c>
      <c r="F98" s="2">
        <f t="shared" ref="F98:F128" si="7">E98^2</f>
        <v>6.3439150911634226</v>
      </c>
      <c r="S98" s="1"/>
    </row>
    <row r="99" spans="1:19" x14ac:dyDescent="0.25">
      <c r="A99" s="1">
        <v>39995</v>
      </c>
      <c r="B99">
        <v>5.3449999999999998</v>
      </c>
      <c r="C99">
        <v>58.5740912795738</v>
      </c>
      <c r="D99">
        <v>24.63</v>
      </c>
      <c r="E99" s="2">
        <f t="shared" si="6"/>
        <v>33.944091279573797</v>
      </c>
      <c r="F99" s="2">
        <f t="shared" si="7"/>
        <v>1152.2013327960378</v>
      </c>
      <c r="S99" s="1"/>
    </row>
    <row r="100" spans="1:19" x14ac:dyDescent="0.25">
      <c r="A100" s="1">
        <v>39965</v>
      </c>
      <c r="B100">
        <v>4.7762500000000001</v>
      </c>
      <c r="C100">
        <v>85.341169766636</v>
      </c>
      <c r="D100">
        <v>74.86</v>
      </c>
      <c r="E100" s="2">
        <f t="shared" si="6"/>
        <v>10.481169766636</v>
      </c>
      <c r="F100" s="2">
        <f t="shared" si="7"/>
        <v>109.85491967704455</v>
      </c>
      <c r="S100" s="1"/>
    </row>
    <row r="101" spans="1:19" x14ac:dyDescent="0.25">
      <c r="A101" s="1">
        <v>39934</v>
      </c>
      <c r="B101">
        <v>4.7300000000000004</v>
      </c>
      <c r="C101">
        <v>88.815093764735806</v>
      </c>
      <c r="D101">
        <v>81.87</v>
      </c>
      <c r="E101" s="2">
        <f t="shared" si="6"/>
        <v>6.9450937647358018</v>
      </c>
      <c r="F101" s="2">
        <f t="shared" si="7"/>
        <v>48.234327400972113</v>
      </c>
      <c r="S101" s="1"/>
    </row>
    <row r="102" spans="1:19" x14ac:dyDescent="0.25">
      <c r="A102" s="1">
        <v>39904</v>
      </c>
      <c r="B102">
        <v>4.9275000000000002</v>
      </c>
      <c r="C102">
        <v>78.428186530917102</v>
      </c>
      <c r="D102">
        <v>70.3</v>
      </c>
      <c r="E102" s="2">
        <f t="shared" si="6"/>
        <v>8.1281865309171053</v>
      </c>
      <c r="F102" s="2">
        <f t="shared" si="7"/>
        <v>66.067416281382251</v>
      </c>
      <c r="S102" s="1"/>
    </row>
    <row r="103" spans="1:19" x14ac:dyDescent="0.25">
      <c r="A103" s="1">
        <v>39873</v>
      </c>
      <c r="B103">
        <v>5.0612500000000002</v>
      </c>
      <c r="C103">
        <v>72.937073032558203</v>
      </c>
      <c r="D103">
        <v>58.21</v>
      </c>
      <c r="E103" s="2">
        <f t="shared" si="6"/>
        <v>14.727073032558202</v>
      </c>
      <c r="F103" s="2">
        <f t="shared" si="7"/>
        <v>216.88668010630303</v>
      </c>
      <c r="S103" s="1"/>
    </row>
    <row r="104" spans="1:19" x14ac:dyDescent="0.25">
      <c r="A104" s="1">
        <v>39845</v>
      </c>
      <c r="B104">
        <v>4.9662499999999996</v>
      </c>
      <c r="C104">
        <v>77.6064305733221</v>
      </c>
      <c r="D104">
        <v>69.290000000000006</v>
      </c>
      <c r="E104" s="2">
        <f t="shared" si="6"/>
        <v>8.3164305733220942</v>
      </c>
      <c r="F104" s="2">
        <f t="shared" si="7"/>
        <v>69.163017480886452</v>
      </c>
      <c r="S104" s="1"/>
    </row>
    <row r="105" spans="1:19" x14ac:dyDescent="0.25">
      <c r="A105" s="1">
        <v>39814</v>
      </c>
      <c r="B105">
        <v>5.2160000000000002</v>
      </c>
      <c r="C105">
        <v>56.735897475421297</v>
      </c>
      <c r="D105">
        <v>47</v>
      </c>
      <c r="E105" s="2">
        <f t="shared" si="6"/>
        <v>9.7358974754212966</v>
      </c>
      <c r="F105" s="2">
        <f t="shared" si="7"/>
        <v>94.787699651914778</v>
      </c>
      <c r="S105" s="1"/>
    </row>
    <row r="106" spans="1:19" x14ac:dyDescent="0.25">
      <c r="A106" s="1">
        <v>39783</v>
      </c>
      <c r="B106">
        <v>6.0125000000000002</v>
      </c>
      <c r="C106">
        <v>2.8707803648429899</v>
      </c>
      <c r="D106">
        <v>6.33</v>
      </c>
      <c r="E106" s="2">
        <f t="shared" si="6"/>
        <v>-3.4592196351570101</v>
      </c>
      <c r="F106" s="2">
        <f t="shared" si="7"/>
        <v>11.966200484255799</v>
      </c>
      <c r="S106" s="1"/>
    </row>
    <row r="107" spans="1:19" x14ac:dyDescent="0.25">
      <c r="A107" s="1">
        <v>39753</v>
      </c>
      <c r="B107">
        <v>6.1050000000000004</v>
      </c>
      <c r="C107">
        <v>2.9600394634026701</v>
      </c>
      <c r="D107">
        <v>6.13</v>
      </c>
      <c r="E107" s="2">
        <f t="shared" si="6"/>
        <v>-3.1699605365973298</v>
      </c>
      <c r="F107" s="2">
        <f t="shared" si="7"/>
        <v>10.04864980358443</v>
      </c>
      <c r="S107" s="1"/>
    </row>
    <row r="108" spans="1:19" x14ac:dyDescent="0.25">
      <c r="A108" s="1">
        <v>39722</v>
      </c>
      <c r="B108">
        <v>5.9562499999999998</v>
      </c>
      <c r="C108">
        <v>4.2269486471612101</v>
      </c>
      <c r="D108">
        <v>8.9700000000000006</v>
      </c>
      <c r="E108" s="2">
        <f t="shared" si="6"/>
        <v>-4.7430513528387905</v>
      </c>
      <c r="F108" s="2">
        <f t="shared" si="7"/>
        <v>22.496536135665881</v>
      </c>
      <c r="S108" s="1"/>
    </row>
    <row r="109" spans="1:19" x14ac:dyDescent="0.25">
      <c r="A109" s="1">
        <v>39692</v>
      </c>
      <c r="B109">
        <v>6.3962500000000002</v>
      </c>
      <c r="C109">
        <v>2.25501933830762</v>
      </c>
      <c r="D109">
        <v>3.32</v>
      </c>
      <c r="E109" s="2">
        <f t="shared" si="6"/>
        <v>-1.0649806616923798</v>
      </c>
      <c r="F109" s="2">
        <f t="shared" si="7"/>
        <v>1.1341838097787391</v>
      </c>
      <c r="S109" s="1"/>
    </row>
    <row r="110" spans="1:19" x14ac:dyDescent="0.25">
      <c r="A110" s="1">
        <v>39661</v>
      </c>
      <c r="B110">
        <v>6.3310000000000004</v>
      </c>
      <c r="C110">
        <v>2.2078021707289301</v>
      </c>
      <c r="D110">
        <v>4</v>
      </c>
      <c r="E110" s="2">
        <f t="shared" si="6"/>
        <v>-1.7921978292710699</v>
      </c>
      <c r="F110" s="2">
        <f t="shared" si="7"/>
        <v>3.2119730592439351</v>
      </c>
      <c r="S110" s="1"/>
    </row>
    <row r="111" spans="1:19" x14ac:dyDescent="0.25">
      <c r="A111" s="1">
        <v>39630</v>
      </c>
      <c r="B111">
        <v>6.2324999999999999</v>
      </c>
      <c r="C111">
        <v>3.0958321731791001</v>
      </c>
      <c r="D111">
        <v>5.29</v>
      </c>
      <c r="E111" s="2">
        <f t="shared" si="6"/>
        <v>-2.1941678268208999</v>
      </c>
      <c r="F111" s="2">
        <f t="shared" si="7"/>
        <v>4.8143724522559506</v>
      </c>
      <c r="S111" s="1"/>
    </row>
    <row r="112" spans="1:19" x14ac:dyDescent="0.25">
      <c r="A112" s="1">
        <v>39600</v>
      </c>
      <c r="B112">
        <v>5.9050000000000002</v>
      </c>
      <c r="C112">
        <v>10.2320748390667</v>
      </c>
      <c r="D112">
        <v>10.83</v>
      </c>
      <c r="E112" s="2">
        <f t="shared" si="6"/>
        <v>-0.5979251609333005</v>
      </c>
      <c r="F112" s="2">
        <f t="shared" si="7"/>
        <v>0.35751449807711333</v>
      </c>
      <c r="S112" s="1"/>
    </row>
    <row r="113" spans="1:19" x14ac:dyDescent="0.25">
      <c r="A113" s="1">
        <v>39569</v>
      </c>
      <c r="B113">
        <v>5.8010000000000002</v>
      </c>
      <c r="C113">
        <v>13.7538897453807</v>
      </c>
      <c r="D113">
        <v>17.63</v>
      </c>
      <c r="E113" s="2">
        <f t="shared" si="6"/>
        <v>-3.8761102546192987</v>
      </c>
      <c r="F113" s="2">
        <f t="shared" si="7"/>
        <v>15.024230705964884</v>
      </c>
      <c r="S113" s="1"/>
    </row>
    <row r="114" spans="1:19" x14ac:dyDescent="0.25">
      <c r="A114" s="1">
        <v>39539</v>
      </c>
      <c r="B114">
        <v>5.8387500000000001</v>
      </c>
      <c r="C114">
        <v>14.174228242966301</v>
      </c>
      <c r="D114">
        <v>19.190000000000001</v>
      </c>
      <c r="E114" s="2">
        <f t="shared" si="6"/>
        <v>-5.0157717570337006</v>
      </c>
      <c r="F114" s="2">
        <f t="shared" si="7"/>
        <v>25.157966318656936</v>
      </c>
      <c r="S114" s="1"/>
    </row>
    <row r="115" spans="1:19" x14ac:dyDescent="0.25">
      <c r="A115" s="1">
        <v>39508</v>
      </c>
      <c r="B115">
        <v>5.7862499999999999</v>
      </c>
      <c r="C115">
        <v>14.788760676970201</v>
      </c>
      <c r="D115">
        <v>26.38</v>
      </c>
      <c r="E115" s="2">
        <f t="shared" si="6"/>
        <v>-11.591239323029798</v>
      </c>
      <c r="F115" s="2">
        <f t="shared" si="7"/>
        <v>134.3568290437523</v>
      </c>
      <c r="S115" s="1"/>
    </row>
    <row r="116" spans="1:19" x14ac:dyDescent="0.25">
      <c r="A116" s="1">
        <v>39479</v>
      </c>
      <c r="B116">
        <v>5.6180000000000003</v>
      </c>
      <c r="C116">
        <v>47.990474880291302</v>
      </c>
      <c r="D116">
        <v>38.49</v>
      </c>
      <c r="E116" s="2">
        <f t="shared" si="6"/>
        <v>9.5004748802912999</v>
      </c>
      <c r="F116" s="2">
        <f t="shared" si="7"/>
        <v>90.259022951045992</v>
      </c>
      <c r="S116" s="1"/>
    </row>
    <row r="117" spans="1:19" x14ac:dyDescent="0.25">
      <c r="A117" s="1">
        <v>39448</v>
      </c>
      <c r="B117">
        <v>5.9574999999999996</v>
      </c>
      <c r="C117">
        <v>16.855267346242201</v>
      </c>
      <c r="D117">
        <v>16.16</v>
      </c>
      <c r="E117" s="2">
        <f t="shared" si="6"/>
        <v>0.69526734624220055</v>
      </c>
      <c r="F117" s="2">
        <f t="shared" si="7"/>
        <v>0.48339668275067199</v>
      </c>
      <c r="S117" s="1"/>
    </row>
    <row r="118" spans="1:19" x14ac:dyDescent="0.25">
      <c r="A118" s="1">
        <v>39417</v>
      </c>
      <c r="B118">
        <v>6.0575000000000001</v>
      </c>
      <c r="C118">
        <v>12.2277772340399</v>
      </c>
      <c r="D118">
        <v>11.53</v>
      </c>
      <c r="E118" s="2">
        <f t="shared" si="6"/>
        <v>0.69777723403990066</v>
      </c>
      <c r="F118" s="2">
        <f t="shared" si="7"/>
        <v>0.48689306834437429</v>
      </c>
      <c r="S118" s="1"/>
    </row>
    <row r="119" spans="1:19" x14ac:dyDescent="0.25">
      <c r="A119" s="1">
        <v>39387</v>
      </c>
      <c r="B119">
        <v>6.2169999999999996</v>
      </c>
      <c r="C119">
        <v>10.657034942078401</v>
      </c>
      <c r="D119">
        <v>7.55</v>
      </c>
      <c r="E119" s="2">
        <f t="shared" si="6"/>
        <v>3.1070349420784007</v>
      </c>
      <c r="F119" s="2">
        <f t="shared" si="7"/>
        <v>9.6536661312961307</v>
      </c>
      <c r="S119" s="1"/>
    </row>
    <row r="120" spans="1:19" x14ac:dyDescent="0.25">
      <c r="A120" s="1">
        <v>39356</v>
      </c>
      <c r="B120">
        <v>6.2575000000000003</v>
      </c>
      <c r="C120">
        <v>6.9653752238819502</v>
      </c>
      <c r="D120">
        <v>7.52</v>
      </c>
      <c r="E120" s="2">
        <f t="shared" si="6"/>
        <v>-0.55462477611804939</v>
      </c>
      <c r="F120" s="2">
        <f t="shared" si="7"/>
        <v>0.30760864228399643</v>
      </c>
      <c r="S120" s="1"/>
    </row>
    <row r="121" spans="1:19" x14ac:dyDescent="0.25">
      <c r="A121" s="1">
        <v>39326</v>
      </c>
      <c r="B121">
        <v>6.4219999999999997</v>
      </c>
      <c r="C121">
        <v>5.0812465895320598</v>
      </c>
      <c r="D121">
        <v>5.49</v>
      </c>
      <c r="E121" s="2">
        <f t="shared" si="6"/>
        <v>-0.40875341046794045</v>
      </c>
      <c r="F121" s="2">
        <f t="shared" si="7"/>
        <v>0.16707935056917261</v>
      </c>
      <c r="S121" s="1"/>
    </row>
    <row r="122" spans="1:19" x14ac:dyDescent="0.25">
      <c r="A122" s="1">
        <v>39295</v>
      </c>
      <c r="B122">
        <v>6.5449999999999999</v>
      </c>
      <c r="C122">
        <v>3.9760186483457698</v>
      </c>
      <c r="D122">
        <v>4.1900000000000004</v>
      </c>
      <c r="E122" s="2">
        <f t="shared" si="6"/>
        <v>-0.2139813516542306</v>
      </c>
      <c r="F122" s="2">
        <f t="shared" si="7"/>
        <v>4.5788018855771495E-2</v>
      </c>
      <c r="S122" s="1"/>
    </row>
    <row r="123" spans="1:19" x14ac:dyDescent="0.25">
      <c r="A123" s="1">
        <v>39264</v>
      </c>
      <c r="B123">
        <v>6.5137499999999999</v>
      </c>
      <c r="C123">
        <v>4.1216963268868501</v>
      </c>
      <c r="D123">
        <v>4.6399999999999997</v>
      </c>
      <c r="E123" s="2">
        <f t="shared" si="6"/>
        <v>-0.51830367311314962</v>
      </c>
      <c r="F123" s="2">
        <f t="shared" si="7"/>
        <v>0.26863869756258268</v>
      </c>
      <c r="S123" s="1"/>
    </row>
    <row r="124" spans="1:19" x14ac:dyDescent="0.25">
      <c r="A124" s="1">
        <v>39234</v>
      </c>
      <c r="B124">
        <v>6.1219999999999999</v>
      </c>
      <c r="C124">
        <v>13.0447730351574</v>
      </c>
      <c r="D124">
        <v>11.53</v>
      </c>
      <c r="E124" s="2">
        <f t="shared" si="6"/>
        <v>1.5147730351574005</v>
      </c>
      <c r="F124" s="2">
        <f t="shared" si="7"/>
        <v>2.2945373480399631</v>
      </c>
      <c r="S124" s="1"/>
    </row>
    <row r="125" spans="1:19" x14ac:dyDescent="0.25">
      <c r="A125" s="1">
        <v>39203</v>
      </c>
      <c r="B125">
        <v>6.0425000000000004</v>
      </c>
      <c r="C125">
        <v>17.195751521568098</v>
      </c>
      <c r="D125">
        <v>13.59</v>
      </c>
      <c r="E125" s="2">
        <f t="shared" si="6"/>
        <v>3.6057515215680986</v>
      </c>
      <c r="F125" s="2">
        <f t="shared" si="7"/>
        <v>13.001444035290659</v>
      </c>
      <c r="S125" s="1"/>
    </row>
    <row r="126" spans="1:19" x14ac:dyDescent="0.25">
      <c r="A126" s="1">
        <v>39173</v>
      </c>
      <c r="B126">
        <v>6.0062499999999996</v>
      </c>
      <c r="C126">
        <v>16.412093954271</v>
      </c>
      <c r="D126">
        <v>15.08</v>
      </c>
      <c r="E126" s="2">
        <f t="shared" si="6"/>
        <v>1.3320939542710004</v>
      </c>
      <c r="F126" s="2">
        <f t="shared" si="7"/>
        <v>1.7744743030053503</v>
      </c>
      <c r="S126" s="1"/>
    </row>
    <row r="127" spans="1:19" x14ac:dyDescent="0.25">
      <c r="A127" s="1">
        <v>39142</v>
      </c>
      <c r="B127">
        <v>6.0949999999999998</v>
      </c>
      <c r="C127">
        <v>15.358715302866999</v>
      </c>
      <c r="D127">
        <v>11.02</v>
      </c>
      <c r="E127" s="2">
        <f t="shared" si="6"/>
        <v>4.3387153028669996</v>
      </c>
      <c r="F127" s="2">
        <f t="shared" si="7"/>
        <v>18.824450479332281</v>
      </c>
      <c r="S127" s="1"/>
    </row>
    <row r="128" spans="1:19" x14ac:dyDescent="0.25">
      <c r="A128" s="1">
        <v>39114</v>
      </c>
      <c r="B128">
        <v>6.0919999999999996</v>
      </c>
      <c r="C128">
        <v>15.1836456926127</v>
      </c>
      <c r="D128">
        <v>13.28</v>
      </c>
      <c r="E128" s="2">
        <f t="shared" si="6"/>
        <v>1.9036456926127006</v>
      </c>
      <c r="F128" s="2">
        <f t="shared" si="7"/>
        <v>3.6238669230028884</v>
      </c>
      <c r="S128" s="1"/>
    </row>
    <row r="129" spans="1:19" x14ac:dyDescent="0.25">
      <c r="A129" s="1"/>
      <c r="E129" s="2"/>
      <c r="F129" s="2"/>
      <c r="S129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9"/>
  <sheetViews>
    <sheetView workbookViewId="0">
      <selection activeCell="K2" sqref="K2:K127"/>
    </sheetView>
  </sheetViews>
  <sheetFormatPr defaultRowHeight="15" x14ac:dyDescent="0.25"/>
  <cols>
    <col min="5" max="5" width="9.140625" style="2"/>
  </cols>
  <sheetData>
    <row r="1" spans="1:21" x14ac:dyDescent="0.25">
      <c r="A1" t="s">
        <v>1</v>
      </c>
      <c r="B1" t="s">
        <v>0</v>
      </c>
      <c r="C1" t="s">
        <v>7</v>
      </c>
      <c r="D1" t="s">
        <v>3</v>
      </c>
      <c r="E1" s="2" t="s">
        <v>6</v>
      </c>
      <c r="F1" t="s">
        <v>8</v>
      </c>
      <c r="G1" s="2" t="s">
        <v>4</v>
      </c>
      <c r="I1" s="2" t="s">
        <v>5</v>
      </c>
      <c r="J1" t="s">
        <v>10</v>
      </c>
    </row>
    <row r="2" spans="1:21" x14ac:dyDescent="0.25">
      <c r="A2" s="1">
        <v>42948</v>
      </c>
      <c r="B2">
        <v>3.855</v>
      </c>
      <c r="C2" s="2">
        <v>24.670663802582098</v>
      </c>
      <c r="D2">
        <v>30.43</v>
      </c>
      <c r="E2" s="2">
        <v>35.504027677864997</v>
      </c>
      <c r="F2" s="2">
        <v>10.833363875282899</v>
      </c>
      <c r="G2" s="2">
        <f>C2-D2</f>
        <v>-5.7593361974179018</v>
      </c>
      <c r="H2" s="2">
        <f>G2^2</f>
        <v>33.1699534348881</v>
      </c>
      <c r="I2">
        <f>SQRT(AVERAGE(H2:H128))</f>
        <v>5.8068073767982034</v>
      </c>
      <c r="J2">
        <f>STDEV(G2:G128)</f>
        <v>5.8296667321718862</v>
      </c>
      <c r="U2" s="1"/>
    </row>
    <row r="3" spans="1:21" x14ac:dyDescent="0.25">
      <c r="A3" s="1">
        <v>42917</v>
      </c>
      <c r="B3">
        <v>3.77</v>
      </c>
      <c r="C3" s="2">
        <v>37.014582313357998</v>
      </c>
      <c r="D3">
        <v>34.19</v>
      </c>
      <c r="E3" s="2">
        <v>45.023363875282897</v>
      </c>
      <c r="F3" s="2">
        <v>8.0087815619248985</v>
      </c>
      <c r="G3" s="2">
        <f t="shared" ref="G3:G66" si="0">C3-D3</f>
        <v>2.8245823133580004</v>
      </c>
      <c r="H3" s="2">
        <f t="shared" ref="H3:H66" si="1">G3^2</f>
        <v>7.9782652449348328</v>
      </c>
      <c r="U3" s="1"/>
    </row>
    <row r="4" spans="1:21" x14ac:dyDescent="0.25">
      <c r="A4" s="1">
        <v>42887</v>
      </c>
      <c r="B4">
        <v>3.871</v>
      </c>
      <c r="C4" s="2">
        <v>35.252240833698096</v>
      </c>
      <c r="D4">
        <v>29.65</v>
      </c>
      <c r="E4" s="2">
        <v>37.658781561924897</v>
      </c>
      <c r="F4" s="2">
        <v>2.4065407282268012</v>
      </c>
      <c r="G4" s="2">
        <f t="shared" si="0"/>
        <v>5.6022408336980973</v>
      </c>
      <c r="H4" s="2">
        <f t="shared" si="1"/>
        <v>31.385102358754352</v>
      </c>
      <c r="I4" s="2"/>
      <c r="U4" s="1"/>
    </row>
    <row r="5" spans="1:21" x14ac:dyDescent="0.25">
      <c r="A5" s="1">
        <v>42856</v>
      </c>
      <c r="B5">
        <v>3.92</v>
      </c>
      <c r="C5" s="2">
        <v>33.492031572820906</v>
      </c>
      <c r="D5">
        <v>28.57</v>
      </c>
      <c r="E5" s="2">
        <v>30.976540728226801</v>
      </c>
      <c r="F5" s="2">
        <v>-2.5154908445941011</v>
      </c>
      <c r="G5" s="2">
        <f t="shared" si="0"/>
        <v>4.9220315728209059</v>
      </c>
      <c r="H5" s="2">
        <f t="shared" si="1"/>
        <v>24.226394803845839</v>
      </c>
      <c r="I5" s="2"/>
      <c r="U5" s="1"/>
    </row>
    <row r="6" spans="1:21" x14ac:dyDescent="0.25">
      <c r="A6" s="1">
        <v>42826</v>
      </c>
      <c r="B6">
        <v>4.0709999999999997</v>
      </c>
      <c r="C6" s="2">
        <v>26.736996863644503</v>
      </c>
      <c r="D6">
        <v>22.67</v>
      </c>
      <c r="E6" s="2">
        <v>20.154509155405901</v>
      </c>
      <c r="F6" s="2">
        <v>-6.5824877082386024</v>
      </c>
      <c r="G6" s="2">
        <f t="shared" si="0"/>
        <v>4.0669968636445013</v>
      </c>
      <c r="H6" s="2">
        <f t="shared" si="1"/>
        <v>16.540463488894211</v>
      </c>
      <c r="I6" s="2"/>
      <c r="U6" s="1"/>
    </row>
    <row r="7" spans="1:21" x14ac:dyDescent="0.25">
      <c r="A7" s="1">
        <v>42795</v>
      </c>
      <c r="B7">
        <v>4.0362499999999999</v>
      </c>
      <c r="C7" s="2">
        <v>16.5712113012593</v>
      </c>
      <c r="D7">
        <v>25.51</v>
      </c>
      <c r="E7" s="2">
        <v>18.927512291761399</v>
      </c>
      <c r="F7" s="2">
        <v>2.3563009905020991</v>
      </c>
      <c r="G7" s="2">
        <f t="shared" si="0"/>
        <v>-8.9387886987407015</v>
      </c>
      <c r="H7" s="2">
        <f t="shared" si="1"/>
        <v>79.901943400734481</v>
      </c>
      <c r="I7" s="2"/>
      <c r="U7" s="1"/>
    </row>
    <row r="8" spans="1:21" x14ac:dyDescent="0.25">
      <c r="A8" s="1">
        <v>42767</v>
      </c>
      <c r="B8">
        <v>4.0187499999999998</v>
      </c>
      <c r="C8" s="2">
        <v>30.9998511286914</v>
      </c>
      <c r="D8">
        <v>27.36</v>
      </c>
      <c r="E8" s="2">
        <v>29.716300990502099</v>
      </c>
      <c r="F8" s="2">
        <v>-1.2835501381893017</v>
      </c>
      <c r="G8" s="2">
        <f t="shared" si="0"/>
        <v>3.6398511286914008</v>
      </c>
      <c r="H8" s="2">
        <f t="shared" si="1"/>
        <v>13.248516239036064</v>
      </c>
      <c r="I8" s="2"/>
      <c r="U8" s="1"/>
    </row>
    <row r="9" spans="1:21" x14ac:dyDescent="0.25">
      <c r="A9" s="1">
        <v>42736</v>
      </c>
      <c r="B9">
        <v>4.1025</v>
      </c>
      <c r="C9" s="2">
        <v>16.172171459885501</v>
      </c>
      <c r="D9">
        <v>20.46</v>
      </c>
      <c r="E9" s="2">
        <v>19.176449861810699</v>
      </c>
      <c r="F9" s="2">
        <v>3.0042784019251982</v>
      </c>
      <c r="G9" s="2">
        <f t="shared" si="0"/>
        <v>-4.2878285401145</v>
      </c>
      <c r="H9" s="2">
        <f t="shared" si="1"/>
        <v>18.385473589420446</v>
      </c>
      <c r="I9" s="2"/>
      <c r="U9" s="1"/>
    </row>
    <row r="10" spans="1:21" x14ac:dyDescent="0.25">
      <c r="A10" s="1">
        <v>42705</v>
      </c>
      <c r="B10">
        <v>3.7069999999999999</v>
      </c>
      <c r="C10" s="2">
        <v>41.787416859105306</v>
      </c>
      <c r="D10">
        <v>38.380000000000003</v>
      </c>
      <c r="E10" s="2">
        <v>41.384278401925201</v>
      </c>
      <c r="F10" s="2">
        <v>-0.40313845718010555</v>
      </c>
      <c r="G10" s="2">
        <f t="shared" si="0"/>
        <v>3.4074168591053038</v>
      </c>
      <c r="H10" s="2">
        <f t="shared" si="1"/>
        <v>11.610489651715053</v>
      </c>
      <c r="I10" s="2"/>
      <c r="U10" s="1"/>
    </row>
    <row r="11" spans="1:21" x14ac:dyDescent="0.25">
      <c r="A11" s="1">
        <v>42675</v>
      </c>
      <c r="B11">
        <v>3.3574999999999999</v>
      </c>
      <c r="C11" s="2">
        <v>72.263709900056909</v>
      </c>
      <c r="D11">
        <v>70.73</v>
      </c>
      <c r="E11" s="2">
        <v>70.326861542819898</v>
      </c>
      <c r="F11" s="2">
        <v>-1.936848357237011</v>
      </c>
      <c r="G11" s="2">
        <f t="shared" si="0"/>
        <v>1.5337099000569054</v>
      </c>
      <c r="H11" s="2">
        <f t="shared" si="1"/>
        <v>2.3522660575325629</v>
      </c>
      <c r="I11" s="2"/>
      <c r="U11" s="1"/>
    </row>
    <row r="12" spans="1:21" x14ac:dyDescent="0.25">
      <c r="A12" s="1">
        <v>42644</v>
      </c>
      <c r="B12">
        <v>3.3475000000000001</v>
      </c>
      <c r="C12" s="2">
        <v>70.032090403222298</v>
      </c>
      <c r="D12">
        <v>73.040000000000006</v>
      </c>
      <c r="E12" s="2">
        <v>71.103151642762995</v>
      </c>
      <c r="F12" s="2">
        <v>1.0710612395406969</v>
      </c>
      <c r="G12" s="2">
        <f t="shared" si="0"/>
        <v>-3.0079095967777079</v>
      </c>
      <c r="H12" s="2">
        <f t="shared" si="1"/>
        <v>9.0475201423874339</v>
      </c>
      <c r="I12" s="2"/>
      <c r="U12" s="1"/>
    </row>
    <row r="13" spans="1:21" x14ac:dyDescent="0.25">
      <c r="A13" s="1">
        <v>42614</v>
      </c>
      <c r="B13">
        <v>3.32</v>
      </c>
      <c r="C13" s="2">
        <v>76.901284369054594</v>
      </c>
      <c r="D13">
        <v>75.78</v>
      </c>
      <c r="E13" s="2">
        <v>76.851061239540698</v>
      </c>
      <c r="F13" s="2">
        <v>-5.0223129513895515E-2</v>
      </c>
      <c r="G13" s="2">
        <f t="shared" si="0"/>
        <v>1.1212843690545924</v>
      </c>
      <c r="H13" s="2">
        <f t="shared" si="1"/>
        <v>1.2572786362861554</v>
      </c>
      <c r="I13" s="2"/>
      <c r="U13" s="1"/>
    </row>
    <row r="14" spans="1:21" x14ac:dyDescent="0.25">
      <c r="A14" s="1">
        <v>42583</v>
      </c>
      <c r="B14">
        <v>3.3149999999999999</v>
      </c>
      <c r="C14" s="2">
        <v>65.262521651978489</v>
      </c>
      <c r="D14">
        <v>76.819999999999993</v>
      </c>
      <c r="E14" s="2">
        <v>76.769776870486098</v>
      </c>
      <c r="F14" s="2">
        <v>11.507255218507609</v>
      </c>
      <c r="G14" s="2">
        <f t="shared" si="0"/>
        <v>-11.557478348021505</v>
      </c>
      <c r="H14" s="2">
        <f t="shared" si="1"/>
        <v>133.5753057649859</v>
      </c>
      <c r="I14" s="2"/>
      <c r="U14" s="1"/>
    </row>
    <row r="15" spans="1:21" x14ac:dyDescent="0.25">
      <c r="A15" s="1">
        <v>42552</v>
      </c>
      <c r="B15">
        <v>3.448</v>
      </c>
      <c r="C15" s="2">
        <v>68.194890553455195</v>
      </c>
      <c r="D15">
        <v>67.739999999999995</v>
      </c>
      <c r="E15" s="2">
        <v>79.247255218507604</v>
      </c>
      <c r="F15" s="2">
        <v>11.052364665052401</v>
      </c>
      <c r="G15" s="2">
        <f t="shared" si="0"/>
        <v>0.45489055345520057</v>
      </c>
      <c r="H15" s="2">
        <f t="shared" si="1"/>
        <v>0.20692541562277869</v>
      </c>
      <c r="I15" s="2"/>
      <c r="U15" s="1"/>
    </row>
    <row r="16" spans="1:21" x14ac:dyDescent="0.25">
      <c r="A16" s="1">
        <v>42522</v>
      </c>
      <c r="B16">
        <v>3.4874999999999998</v>
      </c>
      <c r="C16" s="2">
        <v>59.947131534238494</v>
      </c>
      <c r="D16">
        <v>63.98</v>
      </c>
      <c r="E16" s="2">
        <v>75.032364665052398</v>
      </c>
      <c r="F16" s="2">
        <v>15.085233130813904</v>
      </c>
      <c r="G16" s="2">
        <f t="shared" si="0"/>
        <v>-4.0328684657615028</v>
      </c>
      <c r="H16" s="2">
        <f t="shared" si="1"/>
        <v>16.264028062133537</v>
      </c>
      <c r="I16" s="2"/>
      <c r="U16" s="1"/>
    </row>
    <row r="17" spans="1:21" x14ac:dyDescent="0.25">
      <c r="A17" s="1">
        <v>42491</v>
      </c>
      <c r="B17">
        <v>3.4925000000000002</v>
      </c>
      <c r="C17" s="2">
        <v>67.444164256013408</v>
      </c>
      <c r="D17">
        <v>60.86</v>
      </c>
      <c r="E17" s="2">
        <v>75.945233130813904</v>
      </c>
      <c r="F17" s="2">
        <v>8.5010688748005023</v>
      </c>
      <c r="G17" s="2">
        <f t="shared" si="0"/>
        <v>6.584164256013409</v>
      </c>
      <c r="H17" s="2">
        <f t="shared" si="1"/>
        <v>43.351218950164608</v>
      </c>
      <c r="I17" s="2"/>
      <c r="U17" s="1"/>
    </row>
    <row r="18" spans="1:21" x14ac:dyDescent="0.25">
      <c r="A18" s="1">
        <v>42461</v>
      </c>
      <c r="B18">
        <v>3.569</v>
      </c>
      <c r="C18" s="2">
        <v>56.379820793246296</v>
      </c>
      <c r="D18">
        <v>54.22</v>
      </c>
      <c r="E18" s="2">
        <v>62.721068874800501</v>
      </c>
      <c r="F18" s="2">
        <v>6.3412480815542054</v>
      </c>
      <c r="G18" s="2">
        <f t="shared" si="0"/>
        <v>2.1598207932462969</v>
      </c>
      <c r="H18" s="2">
        <f t="shared" si="1"/>
        <v>4.6648258589390634</v>
      </c>
      <c r="I18" s="2"/>
      <c r="U18" s="1"/>
    </row>
    <row r="19" spans="1:21" x14ac:dyDescent="0.25">
      <c r="A19" s="1">
        <v>42430</v>
      </c>
      <c r="B19">
        <v>3.5474999999999999</v>
      </c>
      <c r="C19" s="2">
        <v>61.179975604888803</v>
      </c>
      <c r="D19">
        <v>56.48</v>
      </c>
      <c r="E19" s="2">
        <v>62.821248081554202</v>
      </c>
      <c r="F19" s="2">
        <v>1.6412724766653994</v>
      </c>
      <c r="G19" s="2">
        <f t="shared" si="0"/>
        <v>4.6999756048888059</v>
      </c>
      <c r="H19" s="2">
        <f t="shared" si="1"/>
        <v>22.089770686549898</v>
      </c>
      <c r="I19" s="2"/>
      <c r="U19" s="1"/>
    </row>
    <row r="20" spans="1:21" x14ac:dyDescent="0.25">
      <c r="A20" s="1">
        <v>42401</v>
      </c>
      <c r="B20">
        <v>3.7725</v>
      </c>
      <c r="C20" s="2">
        <v>45.509053685046197</v>
      </c>
      <c r="D20">
        <v>45.76</v>
      </c>
      <c r="E20" s="2">
        <v>47.401272476665397</v>
      </c>
      <c r="F20" s="2">
        <v>1.8922187916192001</v>
      </c>
      <c r="G20" s="2">
        <f t="shared" si="0"/>
        <v>-0.25094631495380071</v>
      </c>
      <c r="H20" s="2">
        <f t="shared" si="1"/>
        <v>6.2974052988892137E-2</v>
      </c>
      <c r="I20" s="2"/>
      <c r="U20" s="1"/>
    </row>
    <row r="21" spans="1:21" x14ac:dyDescent="0.25">
      <c r="A21" s="1">
        <v>42370</v>
      </c>
      <c r="B21">
        <v>3.8639999999999999</v>
      </c>
      <c r="C21" s="2">
        <v>43.683094476731505</v>
      </c>
      <c r="D21">
        <v>42.56</v>
      </c>
      <c r="E21" s="2">
        <v>44.452218791619202</v>
      </c>
      <c r="F21" s="2">
        <v>0.76912431488769784</v>
      </c>
      <c r="G21" s="2">
        <f t="shared" si="0"/>
        <v>1.1230944767315023</v>
      </c>
      <c r="H21" s="2">
        <f t="shared" si="1"/>
        <v>1.2613412036648071</v>
      </c>
      <c r="I21" s="2"/>
      <c r="U21" s="1"/>
    </row>
    <row r="22" spans="1:21" x14ac:dyDescent="0.25">
      <c r="A22" s="1">
        <v>42339</v>
      </c>
      <c r="B22">
        <v>3.8487499999999999</v>
      </c>
      <c r="C22" s="2">
        <v>45.386777580244299</v>
      </c>
      <c r="D22">
        <v>44.06</v>
      </c>
      <c r="E22" s="2">
        <v>44.8291243148877</v>
      </c>
      <c r="F22" s="2">
        <v>-0.55765326535659909</v>
      </c>
      <c r="G22" s="2">
        <f t="shared" si="0"/>
        <v>1.3267775802442969</v>
      </c>
      <c r="H22" s="2">
        <f t="shared" si="1"/>
        <v>1.7603387474389118</v>
      </c>
      <c r="I22" s="2"/>
      <c r="U22" s="1"/>
    </row>
    <row r="23" spans="1:21" x14ac:dyDescent="0.25">
      <c r="A23" s="1">
        <v>42309</v>
      </c>
      <c r="B23">
        <v>3.6825000000000001</v>
      </c>
      <c r="C23" s="2">
        <v>49.569911635242001</v>
      </c>
      <c r="D23">
        <v>51.65</v>
      </c>
      <c r="E23" s="2">
        <v>51.092346734643399</v>
      </c>
      <c r="F23" s="2">
        <v>1.5224350994013989</v>
      </c>
      <c r="G23" s="2">
        <f t="shared" si="0"/>
        <v>-2.080088364757998</v>
      </c>
      <c r="H23" s="2">
        <f t="shared" si="1"/>
        <v>4.326767605201602</v>
      </c>
      <c r="I23" s="2"/>
      <c r="U23" s="1"/>
    </row>
    <row r="24" spans="1:21" x14ac:dyDescent="0.25">
      <c r="A24" s="1">
        <v>42278</v>
      </c>
      <c r="B24">
        <v>3.7869999999999999</v>
      </c>
      <c r="C24" s="2">
        <v>48.071338737463805</v>
      </c>
      <c r="D24">
        <v>48.14</v>
      </c>
      <c r="E24" s="2">
        <v>49.662435099401399</v>
      </c>
      <c r="F24" s="2">
        <v>1.5910963619375948</v>
      </c>
      <c r="G24" s="2">
        <f t="shared" si="0"/>
        <v>-6.8661262536195977E-2</v>
      </c>
      <c r="H24" s="2">
        <f t="shared" si="1"/>
        <v>4.7143689730644294E-3</v>
      </c>
      <c r="I24" s="2"/>
      <c r="U24" s="1"/>
    </row>
    <row r="25" spans="1:21" x14ac:dyDescent="0.25">
      <c r="A25" s="1">
        <v>42248</v>
      </c>
      <c r="B25">
        <v>3.8050000000000002</v>
      </c>
      <c r="C25" s="2">
        <v>44.490928528271496</v>
      </c>
      <c r="D25">
        <v>48.77</v>
      </c>
      <c r="E25" s="2">
        <v>50.361096361937598</v>
      </c>
      <c r="F25" s="2">
        <v>5.8701678336661018</v>
      </c>
      <c r="G25" s="2">
        <f t="shared" si="0"/>
        <v>-4.279071471728507</v>
      </c>
      <c r="H25" s="2">
        <f t="shared" si="1"/>
        <v>18.31045266016077</v>
      </c>
      <c r="I25" s="2"/>
      <c r="U25" s="1"/>
    </row>
    <row r="26" spans="1:21" x14ac:dyDescent="0.25">
      <c r="A26" s="1">
        <v>42217</v>
      </c>
      <c r="B26">
        <v>3.9460000000000002</v>
      </c>
      <c r="C26" s="2">
        <v>42.487866176243607</v>
      </c>
      <c r="D26">
        <v>41.79</v>
      </c>
      <c r="E26" s="2">
        <v>47.660167833666101</v>
      </c>
      <c r="F26" s="2">
        <v>5.1723016574224943</v>
      </c>
      <c r="G26" s="2">
        <f t="shared" si="0"/>
        <v>0.69786617624360758</v>
      </c>
      <c r="H26" s="2">
        <f t="shared" si="1"/>
        <v>0.48701719994487397</v>
      </c>
      <c r="I26" s="2"/>
      <c r="U26" s="1"/>
    </row>
    <row r="27" spans="1:21" x14ac:dyDescent="0.25">
      <c r="A27" s="1">
        <v>42186</v>
      </c>
      <c r="B27">
        <v>3.895</v>
      </c>
      <c r="C27" s="2">
        <v>47.065462801928398</v>
      </c>
      <c r="D27">
        <v>45.34</v>
      </c>
      <c r="E27" s="2">
        <v>50.512301657422498</v>
      </c>
      <c r="F27" s="2">
        <v>3.4468388554941001</v>
      </c>
      <c r="G27" s="2">
        <f t="shared" si="0"/>
        <v>1.7254628019283942</v>
      </c>
      <c r="H27" s="2">
        <f t="shared" si="1"/>
        <v>2.9772218808385849</v>
      </c>
      <c r="I27" s="2"/>
      <c r="U27" s="1"/>
    </row>
    <row r="28" spans="1:21" x14ac:dyDescent="0.25">
      <c r="A28" s="1">
        <v>42156</v>
      </c>
      <c r="B28">
        <v>3.7462499999999999</v>
      </c>
      <c r="C28" s="2">
        <v>49.320903406752102</v>
      </c>
      <c r="D28">
        <v>53.9</v>
      </c>
      <c r="E28" s="2">
        <v>57.346838855494099</v>
      </c>
      <c r="F28" s="2">
        <v>8.0259354487419969</v>
      </c>
      <c r="G28" s="2">
        <f t="shared" si="0"/>
        <v>-4.5790965932478969</v>
      </c>
      <c r="H28" s="2">
        <f t="shared" si="1"/>
        <v>20.968125610294496</v>
      </c>
      <c r="I28" s="2"/>
      <c r="U28" s="1"/>
    </row>
    <row r="29" spans="1:21" x14ac:dyDescent="0.25">
      <c r="A29" s="1">
        <v>42125</v>
      </c>
      <c r="B29">
        <v>3.577</v>
      </c>
      <c r="C29" s="2">
        <v>66.2566792691551</v>
      </c>
      <c r="D29">
        <v>61.49</v>
      </c>
      <c r="E29" s="2">
        <v>69.515935448741999</v>
      </c>
      <c r="F29" s="2">
        <v>3.2592561795868988</v>
      </c>
      <c r="G29" s="2">
        <f t="shared" si="0"/>
        <v>4.7666792691550981</v>
      </c>
      <c r="H29" s="2">
        <f t="shared" si="1"/>
        <v>22.721231254992979</v>
      </c>
      <c r="I29" s="2"/>
      <c r="U29" s="1"/>
    </row>
    <row r="30" spans="1:21" x14ac:dyDescent="0.25">
      <c r="A30" s="1">
        <v>42095</v>
      </c>
      <c r="B30">
        <v>3.67</v>
      </c>
      <c r="C30" s="2">
        <v>55.415474115299503</v>
      </c>
      <c r="D30">
        <v>58.42</v>
      </c>
      <c r="E30" s="2">
        <v>61.679256179586901</v>
      </c>
      <c r="F30" s="2">
        <v>6.2637820642873976</v>
      </c>
      <c r="G30" s="2">
        <f t="shared" si="0"/>
        <v>-3.0045258847004988</v>
      </c>
      <c r="H30" s="2">
        <f t="shared" si="1"/>
        <v>9.0271757918353153</v>
      </c>
      <c r="I30" s="2"/>
      <c r="U30" s="1"/>
    </row>
    <row r="31" spans="1:21" x14ac:dyDescent="0.25">
      <c r="A31" s="1">
        <v>42064</v>
      </c>
      <c r="B31">
        <v>3.61625</v>
      </c>
      <c r="C31" s="2">
        <v>56.298420114981298</v>
      </c>
      <c r="D31">
        <v>61.22</v>
      </c>
      <c r="E31" s="2">
        <v>67.483782064287396</v>
      </c>
      <c r="F31" s="2">
        <v>11.185361949306099</v>
      </c>
      <c r="G31" s="2">
        <f t="shared" si="0"/>
        <v>-4.9215798850187014</v>
      </c>
      <c r="H31" s="2">
        <f t="shared" si="1"/>
        <v>24.221948564620693</v>
      </c>
      <c r="I31" s="2"/>
      <c r="U31" s="1"/>
    </row>
    <row r="32" spans="1:21" x14ac:dyDescent="0.25">
      <c r="A32" s="1">
        <v>42036</v>
      </c>
      <c r="B32">
        <v>3.5762499999999999</v>
      </c>
      <c r="C32" s="2">
        <v>66.7454816549333</v>
      </c>
      <c r="D32">
        <v>61.42</v>
      </c>
      <c r="E32" s="2">
        <v>72.605361949306101</v>
      </c>
      <c r="F32" s="2">
        <v>5.8598802943728003</v>
      </c>
      <c r="G32" s="2">
        <f t="shared" si="0"/>
        <v>5.3254816549332986</v>
      </c>
      <c r="H32" s="2">
        <f t="shared" si="1"/>
        <v>28.360754857031104</v>
      </c>
      <c r="I32" s="2"/>
      <c r="U32" s="1"/>
    </row>
    <row r="33" spans="1:21" x14ac:dyDescent="0.25">
      <c r="A33" s="1">
        <v>42005</v>
      </c>
      <c r="B33">
        <v>3.754</v>
      </c>
      <c r="C33" s="2">
        <v>51.994520152497898</v>
      </c>
      <c r="D33">
        <v>55.3</v>
      </c>
      <c r="E33" s="2">
        <v>61.159880294372797</v>
      </c>
      <c r="F33" s="2">
        <v>9.1653601418748991</v>
      </c>
      <c r="G33" s="2">
        <f t="shared" si="0"/>
        <v>-3.3054798475020988</v>
      </c>
      <c r="H33" s="2">
        <f t="shared" si="1"/>
        <v>10.926197022242498</v>
      </c>
      <c r="I33" s="2"/>
      <c r="U33" s="1"/>
    </row>
    <row r="34" spans="1:21" x14ac:dyDescent="0.25">
      <c r="A34" s="1">
        <v>41974</v>
      </c>
      <c r="B34">
        <v>3.8725000000000001</v>
      </c>
      <c r="C34" s="2">
        <v>46.941262514503798</v>
      </c>
      <c r="D34">
        <v>49.67</v>
      </c>
      <c r="E34" s="2">
        <v>58.835360141874901</v>
      </c>
      <c r="F34" s="2">
        <v>11.894097627371103</v>
      </c>
      <c r="G34" s="2">
        <f t="shared" si="0"/>
        <v>-2.7287374854962039</v>
      </c>
      <c r="H34" s="2">
        <f t="shared" si="1"/>
        <v>7.4460082647521455</v>
      </c>
      <c r="I34" s="2"/>
      <c r="U34" s="1"/>
    </row>
    <row r="35" spans="1:21" x14ac:dyDescent="0.25">
      <c r="A35" s="1">
        <v>41944</v>
      </c>
      <c r="B35">
        <v>3.9060000000000001</v>
      </c>
      <c r="C35" s="2">
        <v>55.711936794873701</v>
      </c>
      <c r="D35">
        <v>48.29</v>
      </c>
      <c r="E35" s="2">
        <v>60.184097627371102</v>
      </c>
      <c r="F35" s="2">
        <v>4.4721608324974014</v>
      </c>
      <c r="G35" s="2">
        <f t="shared" si="0"/>
        <v>7.4219367948737016</v>
      </c>
      <c r="H35" s="2">
        <f t="shared" si="1"/>
        <v>55.085145787100117</v>
      </c>
      <c r="I35" s="2"/>
      <c r="U35" s="1"/>
    </row>
    <row r="36" spans="1:21" x14ac:dyDescent="0.25">
      <c r="A36" s="1">
        <v>41913</v>
      </c>
      <c r="B36">
        <v>4.0374999999999996</v>
      </c>
      <c r="C36" s="2">
        <v>35.524386436186902</v>
      </c>
      <c r="D36">
        <v>41.33</v>
      </c>
      <c r="E36" s="2">
        <v>45.8021608324974</v>
      </c>
      <c r="F36" s="2">
        <v>10.277774396310498</v>
      </c>
      <c r="G36" s="2">
        <f t="shared" si="0"/>
        <v>-5.8056135638130968</v>
      </c>
      <c r="H36" s="2">
        <f t="shared" si="1"/>
        <v>33.705148852330609</v>
      </c>
      <c r="I36" s="2"/>
      <c r="U36" s="1"/>
    </row>
    <row r="37" spans="1:21" x14ac:dyDescent="0.25">
      <c r="A37" s="1">
        <v>41883</v>
      </c>
      <c r="B37">
        <v>4.00875</v>
      </c>
      <c r="C37" s="2">
        <v>50.3865709456514</v>
      </c>
      <c r="D37">
        <v>43.31</v>
      </c>
      <c r="E37" s="2">
        <v>53.5877743963105</v>
      </c>
      <c r="F37" s="2">
        <v>3.2012034506591007</v>
      </c>
      <c r="G37" s="2">
        <f t="shared" si="0"/>
        <v>7.0765709456513974</v>
      </c>
      <c r="H37" s="2">
        <f t="shared" si="1"/>
        <v>50.077856348837514</v>
      </c>
      <c r="I37" s="2"/>
      <c r="U37" s="1"/>
    </row>
    <row r="38" spans="1:21" x14ac:dyDescent="0.25">
      <c r="A38" s="1">
        <v>41852</v>
      </c>
      <c r="B38">
        <v>4.03</v>
      </c>
      <c r="C38" s="2">
        <v>39.999579344693998</v>
      </c>
      <c r="D38">
        <v>42.58</v>
      </c>
      <c r="E38" s="2">
        <v>45.781203450659099</v>
      </c>
      <c r="F38" s="2">
        <v>5.7816241059651006</v>
      </c>
      <c r="G38" s="2">
        <f t="shared" si="0"/>
        <v>-2.5804206553059998</v>
      </c>
      <c r="H38" s="2">
        <f t="shared" si="1"/>
        <v>6.6585707583298452</v>
      </c>
      <c r="I38" s="2"/>
      <c r="U38" s="1"/>
    </row>
    <row r="39" spans="1:21" x14ac:dyDescent="0.25">
      <c r="A39" s="1">
        <v>41821</v>
      </c>
      <c r="B39">
        <v>4.05</v>
      </c>
      <c r="C39" s="2">
        <v>38.303083267029393</v>
      </c>
      <c r="D39">
        <v>41.87</v>
      </c>
      <c r="E39" s="2">
        <v>47.651624105965098</v>
      </c>
      <c r="F39" s="2">
        <v>9.3485408389357048</v>
      </c>
      <c r="G39" s="2">
        <f t="shared" si="0"/>
        <v>-3.5669167329706042</v>
      </c>
      <c r="H39" s="2">
        <f t="shared" si="1"/>
        <v>12.722894979945689</v>
      </c>
      <c r="I39" s="2"/>
      <c r="U39" s="1"/>
    </row>
    <row r="40" spans="1:21" x14ac:dyDescent="0.25">
      <c r="A40" s="1">
        <v>41791</v>
      </c>
      <c r="B40">
        <v>4.0674999999999999</v>
      </c>
      <c r="C40" s="2">
        <v>45.3524918325055</v>
      </c>
      <c r="D40">
        <v>40.26</v>
      </c>
      <c r="E40" s="2">
        <v>49.608540838935703</v>
      </c>
      <c r="F40" s="2">
        <v>4.256049006430203</v>
      </c>
      <c r="G40" s="2">
        <f t="shared" si="0"/>
        <v>5.0924918325055017</v>
      </c>
      <c r="H40" s="2">
        <f t="shared" si="1"/>
        <v>25.933473064135242</v>
      </c>
      <c r="I40" s="2"/>
      <c r="U40" s="1"/>
    </row>
    <row r="41" spans="1:21" x14ac:dyDescent="0.25">
      <c r="A41" s="1">
        <v>41760</v>
      </c>
      <c r="B41">
        <v>4.2480000000000002</v>
      </c>
      <c r="C41" s="2">
        <v>35.433973593217395</v>
      </c>
      <c r="D41">
        <v>35.049999999999997</v>
      </c>
      <c r="E41" s="2">
        <v>39.3060490064302</v>
      </c>
      <c r="F41" s="2">
        <v>3.872075413212805</v>
      </c>
      <c r="G41" s="2">
        <f t="shared" si="0"/>
        <v>0.38397359321739799</v>
      </c>
      <c r="H41" s="2">
        <f t="shared" si="1"/>
        <v>0.14743572028827984</v>
      </c>
      <c r="I41" s="2"/>
      <c r="U41" s="1"/>
    </row>
    <row r="42" spans="1:21" x14ac:dyDescent="0.25">
      <c r="A42" s="1">
        <v>41730</v>
      </c>
      <c r="B42">
        <v>4.2487500000000002</v>
      </c>
      <c r="C42" s="2">
        <v>34.957854594971607</v>
      </c>
      <c r="D42">
        <v>36.049999999999997</v>
      </c>
      <c r="E42" s="2">
        <v>39.922075413212802</v>
      </c>
      <c r="F42" s="2">
        <v>4.9642208182411949</v>
      </c>
      <c r="G42" s="2">
        <f t="shared" si="0"/>
        <v>-1.0921454050283899</v>
      </c>
      <c r="H42" s="2">
        <f t="shared" si="1"/>
        <v>1.1927815857246258</v>
      </c>
      <c r="I42" s="2"/>
      <c r="U42" s="1"/>
    </row>
    <row r="43" spans="1:21" x14ac:dyDescent="0.25">
      <c r="A43" s="1">
        <v>41699</v>
      </c>
      <c r="B43">
        <v>4.2275</v>
      </c>
      <c r="C43" s="2">
        <v>35.128958861089998</v>
      </c>
      <c r="D43">
        <v>37.340000000000003</v>
      </c>
      <c r="E43" s="2">
        <v>42.304220818241198</v>
      </c>
      <c r="F43" s="2">
        <v>7.1752619571512</v>
      </c>
      <c r="G43" s="2">
        <f t="shared" si="0"/>
        <v>-2.2110411389100051</v>
      </c>
      <c r="H43" s="2">
        <f t="shared" si="1"/>
        <v>4.8887029179524522</v>
      </c>
      <c r="I43" s="2"/>
      <c r="U43" s="1"/>
    </row>
    <row r="44" spans="1:21" x14ac:dyDescent="0.25">
      <c r="A44" s="1">
        <v>41671</v>
      </c>
      <c r="B44">
        <v>4.3620000000000001</v>
      </c>
      <c r="C44" s="2">
        <v>32.088180851694702</v>
      </c>
      <c r="D44">
        <v>31.82</v>
      </c>
      <c r="E44" s="2">
        <v>38.9952619571512</v>
      </c>
      <c r="F44" s="2">
        <v>6.9070811054564984</v>
      </c>
      <c r="G44" s="2">
        <f t="shared" si="0"/>
        <v>0.26818085169470152</v>
      </c>
      <c r="H44" s="2">
        <f t="shared" si="1"/>
        <v>7.1920969215695491E-2</v>
      </c>
      <c r="I44" s="2"/>
      <c r="L44" s="2"/>
      <c r="U44" s="1"/>
    </row>
    <row r="45" spans="1:21" x14ac:dyDescent="0.25">
      <c r="A45" s="1">
        <v>41640</v>
      </c>
      <c r="B45">
        <v>4.37</v>
      </c>
      <c r="C45" s="2">
        <v>40.751623053972096</v>
      </c>
      <c r="D45">
        <v>32.67</v>
      </c>
      <c r="E45" s="2">
        <v>39.5770811054565</v>
      </c>
      <c r="F45" s="2">
        <v>-1.1745419485155963</v>
      </c>
      <c r="G45" s="2">
        <f t="shared" si="0"/>
        <v>8.0816230539720948</v>
      </c>
      <c r="H45" s="2">
        <f t="shared" si="1"/>
        <v>65.312631186493249</v>
      </c>
      <c r="I45" s="2"/>
      <c r="U45" s="1"/>
    </row>
    <row r="46" spans="1:21" x14ac:dyDescent="0.25">
      <c r="A46" s="1">
        <v>41609</v>
      </c>
      <c r="B46">
        <v>4.1862500000000002</v>
      </c>
      <c r="C46" s="2">
        <v>42.802059012762705</v>
      </c>
      <c r="D46">
        <v>41.41</v>
      </c>
      <c r="E46" s="2">
        <v>40.2354580514844</v>
      </c>
      <c r="F46" s="2">
        <v>-2.5666009612783043</v>
      </c>
      <c r="G46" s="2">
        <f t="shared" si="0"/>
        <v>1.3920590127627079</v>
      </c>
      <c r="H46" s="2">
        <f t="shared" si="1"/>
        <v>1.937828295013885</v>
      </c>
      <c r="I46" s="2"/>
      <c r="U46" s="1"/>
    </row>
    <row r="47" spans="1:21" x14ac:dyDescent="0.25">
      <c r="A47" s="1">
        <v>41579</v>
      </c>
      <c r="B47">
        <v>4.1219999999999999</v>
      </c>
      <c r="C47" s="2">
        <v>34.769022724274194</v>
      </c>
      <c r="D47">
        <v>43.99</v>
      </c>
      <c r="E47" s="2">
        <v>41.423399038721698</v>
      </c>
      <c r="F47" s="2">
        <v>6.6543763144475037</v>
      </c>
      <c r="G47" s="2">
        <f t="shared" si="0"/>
        <v>-9.2209772757258079</v>
      </c>
      <c r="H47" s="2">
        <f t="shared" si="1"/>
        <v>85.026421919451749</v>
      </c>
      <c r="I47" s="2"/>
      <c r="U47" s="1"/>
    </row>
    <row r="48" spans="1:21" x14ac:dyDescent="0.25">
      <c r="A48" s="1">
        <v>41548</v>
      </c>
      <c r="B48">
        <v>4.4212499999999997</v>
      </c>
      <c r="C48" s="2">
        <v>36.198750827445302</v>
      </c>
      <c r="D48">
        <v>33.4</v>
      </c>
      <c r="E48" s="2">
        <v>40.054376314447502</v>
      </c>
      <c r="F48" s="2">
        <v>3.8556254870022002</v>
      </c>
      <c r="G48" s="2">
        <f t="shared" si="0"/>
        <v>2.7987508274453035</v>
      </c>
      <c r="H48" s="2">
        <f t="shared" si="1"/>
        <v>7.8330061941257707</v>
      </c>
      <c r="I48" s="2"/>
      <c r="U48" s="1"/>
    </row>
    <row r="49" spans="1:21" x14ac:dyDescent="0.25">
      <c r="A49" s="1">
        <v>41518</v>
      </c>
      <c r="B49">
        <v>4.4037499999999996</v>
      </c>
      <c r="C49" s="2">
        <v>42.885286659668708</v>
      </c>
      <c r="D49">
        <v>37.200000000000003</v>
      </c>
      <c r="E49" s="2">
        <v>41.055625487002203</v>
      </c>
      <c r="F49" s="2">
        <v>-1.8296611726665049</v>
      </c>
      <c r="G49" s="2">
        <f t="shared" si="0"/>
        <v>5.6852866596687051</v>
      </c>
      <c r="H49" s="2">
        <f t="shared" si="1"/>
        <v>32.322484402606939</v>
      </c>
      <c r="I49" s="2"/>
      <c r="U49" s="1"/>
    </row>
    <row r="50" spans="1:21" x14ac:dyDescent="0.25">
      <c r="A50" s="1">
        <v>41487</v>
      </c>
      <c r="B50">
        <v>4.3090000000000002</v>
      </c>
      <c r="C50" s="2">
        <v>39.667621210196593</v>
      </c>
      <c r="D50">
        <v>42.38</v>
      </c>
      <c r="E50" s="2">
        <v>40.550338827333498</v>
      </c>
      <c r="F50" s="2">
        <v>0.88271761713690466</v>
      </c>
      <c r="G50" s="2">
        <f t="shared" si="0"/>
        <v>-2.7123787898034095</v>
      </c>
      <c r="H50" s="2">
        <f t="shared" si="1"/>
        <v>7.3569986993754082</v>
      </c>
      <c r="I50" s="2"/>
      <c r="U50" s="1"/>
    </row>
    <row r="51" spans="1:21" x14ac:dyDescent="0.25">
      <c r="A51" s="1">
        <v>41456</v>
      </c>
      <c r="B51">
        <v>4.0075000000000003</v>
      </c>
      <c r="C51" s="2">
        <v>55.086395626630704</v>
      </c>
      <c r="D51">
        <v>53.22</v>
      </c>
      <c r="E51" s="2">
        <v>54.102717617136904</v>
      </c>
      <c r="F51" s="2">
        <v>-0.98367800949380069</v>
      </c>
      <c r="G51" s="2">
        <f t="shared" si="0"/>
        <v>1.8663956266307054</v>
      </c>
      <c r="H51" s="2">
        <f t="shared" si="1"/>
        <v>3.4834326351062233</v>
      </c>
      <c r="I51" s="2"/>
      <c r="U51" s="1"/>
    </row>
    <row r="52" spans="1:21" x14ac:dyDescent="0.25">
      <c r="A52" s="1">
        <v>41426</v>
      </c>
      <c r="B52">
        <v>3.4660000000000002</v>
      </c>
      <c r="C52" s="2">
        <v>70.792108178261003</v>
      </c>
      <c r="D52">
        <v>74.19</v>
      </c>
      <c r="E52" s="2">
        <v>73.206321990506197</v>
      </c>
      <c r="F52" s="2">
        <v>2.4142138122451939</v>
      </c>
      <c r="G52" s="2">
        <f t="shared" si="0"/>
        <v>-3.3978918217389946</v>
      </c>
      <c r="H52" s="2">
        <f t="shared" si="1"/>
        <v>11.545668832240743</v>
      </c>
      <c r="I52" s="2"/>
      <c r="U52" s="1"/>
    </row>
    <row r="53" spans="1:21" x14ac:dyDescent="0.25">
      <c r="A53" s="1">
        <v>41395</v>
      </c>
      <c r="B53">
        <v>3.3887499999999999</v>
      </c>
      <c r="C53" s="2">
        <v>86.190788367219895</v>
      </c>
      <c r="D53">
        <v>78.95</v>
      </c>
      <c r="E53" s="2">
        <v>81.364213812245197</v>
      </c>
      <c r="F53" s="2">
        <v>-4.8265745549746981</v>
      </c>
      <c r="G53" s="2">
        <f t="shared" si="0"/>
        <v>7.2407883672198921</v>
      </c>
      <c r="H53" s="2">
        <f t="shared" si="1"/>
        <v>52.42901617886691</v>
      </c>
      <c r="I53" s="2"/>
      <c r="U53" s="1"/>
    </row>
    <row r="54" spans="1:21" x14ac:dyDescent="0.25">
      <c r="A54" s="1">
        <v>41365</v>
      </c>
      <c r="B54">
        <v>3.50875</v>
      </c>
      <c r="C54" s="2">
        <v>75.53446503600091</v>
      </c>
      <c r="D54">
        <v>74.56</v>
      </c>
      <c r="E54" s="2">
        <v>69.733425445025304</v>
      </c>
      <c r="F54" s="2">
        <v>-5.8010395909756056</v>
      </c>
      <c r="G54" s="2">
        <f t="shared" si="0"/>
        <v>0.9744650360009075</v>
      </c>
      <c r="H54" s="2">
        <f t="shared" si="1"/>
        <v>0.94958210638824991</v>
      </c>
      <c r="I54" s="2"/>
      <c r="U54" s="1"/>
    </row>
    <row r="55" spans="1:21" x14ac:dyDescent="0.25">
      <c r="A55" s="1">
        <v>41334</v>
      </c>
      <c r="B55">
        <v>3.4824999999999999</v>
      </c>
      <c r="C55" s="2">
        <v>71.4473355726888</v>
      </c>
      <c r="D55">
        <v>77.53</v>
      </c>
      <c r="E55" s="2">
        <v>71.728960409024396</v>
      </c>
      <c r="F55" s="2">
        <v>0.28162483633559532</v>
      </c>
      <c r="G55" s="2">
        <f t="shared" si="0"/>
        <v>-6.0826644273112009</v>
      </c>
      <c r="H55" s="2">
        <f t="shared" si="1"/>
        <v>36.998806535277097</v>
      </c>
      <c r="I55" s="2"/>
      <c r="U55" s="1"/>
    </row>
    <row r="56" spans="1:21" x14ac:dyDescent="0.25">
      <c r="A56" s="1">
        <v>41306</v>
      </c>
      <c r="B56">
        <v>3.339</v>
      </c>
      <c r="C56" s="2">
        <v>90.936375331294997</v>
      </c>
      <c r="D56">
        <v>87.22</v>
      </c>
      <c r="E56" s="2">
        <v>87.501624836335594</v>
      </c>
      <c r="F56" s="2">
        <v>-3.4347504949594025</v>
      </c>
      <c r="G56" s="2">
        <f t="shared" si="0"/>
        <v>3.7163753312949979</v>
      </c>
      <c r="H56" s="2">
        <f t="shared" si="1"/>
        <v>13.811445603058004</v>
      </c>
      <c r="I56" s="2"/>
      <c r="U56" s="1"/>
    </row>
    <row r="57" spans="1:21" x14ac:dyDescent="0.25">
      <c r="A57" s="1">
        <v>41275</v>
      </c>
      <c r="B57">
        <v>3.27</v>
      </c>
      <c r="C57" s="2">
        <v>92.270691992127198</v>
      </c>
      <c r="D57">
        <v>92.87</v>
      </c>
      <c r="E57" s="2">
        <v>89.435249505040602</v>
      </c>
      <c r="F57" s="2">
        <v>-2.8354424870865955</v>
      </c>
      <c r="G57" s="2">
        <f t="shared" si="0"/>
        <v>-0.59930800787280702</v>
      </c>
      <c r="H57" s="2">
        <f t="shared" si="1"/>
        <v>0.35917008830047253</v>
      </c>
      <c r="I57" s="2"/>
      <c r="U57" s="1"/>
    </row>
    <row r="58" spans="1:21" x14ac:dyDescent="0.25">
      <c r="A58" s="1">
        <v>41244</v>
      </c>
      <c r="B58">
        <v>3.2737500000000002</v>
      </c>
      <c r="C58" s="2">
        <v>94.5180059345155</v>
      </c>
      <c r="D58">
        <v>94.5</v>
      </c>
      <c r="E58" s="2">
        <v>91.664557512913404</v>
      </c>
      <c r="F58" s="2">
        <v>-2.8534484216020957</v>
      </c>
      <c r="G58" s="2">
        <f t="shared" si="0"/>
        <v>1.8005934515500144E-2</v>
      </c>
      <c r="H58" s="2">
        <f t="shared" si="1"/>
        <v>3.2421367777647937E-4</v>
      </c>
      <c r="I58" s="2"/>
      <c r="U58" s="1"/>
    </row>
    <row r="59" spans="1:21" x14ac:dyDescent="0.25">
      <c r="A59" s="1">
        <v>41214</v>
      </c>
      <c r="B59">
        <v>3.3039999999999998</v>
      </c>
      <c r="C59" s="2">
        <v>96.867259844471889</v>
      </c>
      <c r="D59">
        <v>96.07</v>
      </c>
      <c r="E59" s="2">
        <v>93.216551578397898</v>
      </c>
      <c r="F59" s="2">
        <v>-3.6507082660739911</v>
      </c>
      <c r="G59" s="2">
        <f t="shared" si="0"/>
        <v>0.79725984447189546</v>
      </c>
      <c r="H59" s="2">
        <f t="shared" si="1"/>
        <v>0.63562325960735089</v>
      </c>
      <c r="I59" s="2"/>
      <c r="U59" s="1"/>
    </row>
    <row r="60" spans="1:21" x14ac:dyDescent="0.25">
      <c r="A60" s="1">
        <v>41183</v>
      </c>
      <c r="B60">
        <v>3.4037500000000001</v>
      </c>
      <c r="C60" s="2">
        <v>84.707437319546713</v>
      </c>
      <c r="D60">
        <v>92.63</v>
      </c>
      <c r="E60" s="2">
        <v>88.979291733926004</v>
      </c>
      <c r="F60" s="2">
        <v>4.2718544143792911</v>
      </c>
      <c r="G60" s="2">
        <f t="shared" si="0"/>
        <v>-7.9225626804532823</v>
      </c>
      <c r="H60" s="2">
        <f t="shared" si="1"/>
        <v>62.766999425711099</v>
      </c>
      <c r="I60" s="2"/>
      <c r="U60" s="1"/>
    </row>
    <row r="61" spans="1:21" x14ac:dyDescent="0.25">
      <c r="A61" s="1">
        <v>41153</v>
      </c>
      <c r="B61">
        <v>3.512</v>
      </c>
      <c r="C61" s="2">
        <v>91.382399707195205</v>
      </c>
      <c r="D61">
        <v>89.15</v>
      </c>
      <c r="E61" s="2">
        <v>93.421854414379297</v>
      </c>
      <c r="F61" s="2">
        <v>2.0394547071840918</v>
      </c>
      <c r="G61" s="2">
        <f t="shared" si="0"/>
        <v>2.2323997071951993</v>
      </c>
      <c r="H61" s="2">
        <f t="shared" si="1"/>
        <v>4.9836084526852114</v>
      </c>
      <c r="I61" s="2"/>
      <c r="U61" s="1"/>
    </row>
    <row r="62" spans="1:21" x14ac:dyDescent="0.25">
      <c r="A62" s="1">
        <v>41122</v>
      </c>
      <c r="B62">
        <v>3.4812500000000002</v>
      </c>
      <c r="C62" s="2">
        <v>93.491634312256792</v>
      </c>
      <c r="D62">
        <v>91.76</v>
      </c>
      <c r="E62" s="2">
        <v>93.799454707184097</v>
      </c>
      <c r="F62" s="2">
        <v>0.30782039492730462</v>
      </c>
      <c r="G62" s="2">
        <f t="shared" si="0"/>
        <v>1.7316343122567872</v>
      </c>
      <c r="H62" s="2">
        <f t="shared" si="1"/>
        <v>2.9985573913850363</v>
      </c>
      <c r="I62" s="2"/>
      <c r="U62" s="1"/>
    </row>
    <row r="63" spans="1:21" x14ac:dyDescent="0.25">
      <c r="A63" s="1">
        <v>41091</v>
      </c>
      <c r="B63">
        <v>3.6</v>
      </c>
      <c r="C63" s="2">
        <v>88.741070311748203</v>
      </c>
      <c r="D63">
        <v>89.97</v>
      </c>
      <c r="E63" s="2">
        <v>90.277820394927303</v>
      </c>
      <c r="F63" s="2">
        <v>1.5367500831791006</v>
      </c>
      <c r="G63" s="2">
        <f t="shared" si="0"/>
        <v>-1.2289296882517959</v>
      </c>
      <c r="H63" s="2">
        <f t="shared" si="1"/>
        <v>1.5102681786666563</v>
      </c>
      <c r="I63" s="2"/>
      <c r="U63" s="1"/>
    </row>
    <row r="64" spans="1:21" x14ac:dyDescent="0.25">
      <c r="A64" s="1">
        <v>41061</v>
      </c>
      <c r="B64">
        <v>3.738</v>
      </c>
      <c r="C64" s="2">
        <v>84.583686850954606</v>
      </c>
      <c r="D64">
        <v>88.11</v>
      </c>
      <c r="E64" s="2">
        <v>89.6467500831791</v>
      </c>
      <c r="F64" s="2">
        <v>5.0630632322244935</v>
      </c>
      <c r="G64" s="2">
        <f t="shared" si="0"/>
        <v>-3.5263131490453929</v>
      </c>
      <c r="H64" s="2">
        <f t="shared" si="1"/>
        <v>12.434884425130436</v>
      </c>
      <c r="I64" s="2"/>
      <c r="U64" s="1"/>
    </row>
    <row r="65" spans="1:21" x14ac:dyDescent="0.25">
      <c r="A65" s="1">
        <v>41030</v>
      </c>
      <c r="B65">
        <v>3.8412500000000001</v>
      </c>
      <c r="C65" s="2">
        <v>88.069408960116306</v>
      </c>
      <c r="D65">
        <v>84.2</v>
      </c>
      <c r="E65" s="2">
        <v>89.263063232224496</v>
      </c>
      <c r="F65" s="2">
        <v>1.1936542721081906</v>
      </c>
      <c r="G65" s="2">
        <f t="shared" si="0"/>
        <v>3.8694089601163029</v>
      </c>
      <c r="H65" s="2">
        <f t="shared" si="1"/>
        <v>14.972325700628328</v>
      </c>
      <c r="I65" s="2"/>
      <c r="U65" s="1"/>
    </row>
    <row r="66" spans="1:21" x14ac:dyDescent="0.25">
      <c r="A66" s="1">
        <v>41000</v>
      </c>
      <c r="B66">
        <v>3.9112499999999999</v>
      </c>
      <c r="C66" s="2">
        <v>86.842007938883896</v>
      </c>
      <c r="D66">
        <v>82.4</v>
      </c>
      <c r="E66" s="2">
        <v>83.593654272108196</v>
      </c>
      <c r="F66" s="2">
        <v>-3.2483536667756994</v>
      </c>
      <c r="G66" s="2">
        <f t="shared" si="0"/>
        <v>4.44200793888389</v>
      </c>
      <c r="H66" s="2">
        <f t="shared" si="1"/>
        <v>19.731434529107506</v>
      </c>
      <c r="I66" s="2"/>
      <c r="U66" s="1"/>
    </row>
    <row r="67" spans="1:21" x14ac:dyDescent="0.25">
      <c r="A67" s="1">
        <v>40969</v>
      </c>
      <c r="B67">
        <v>3.8420000000000001</v>
      </c>
      <c r="C67" s="2">
        <v>86.868149296276684</v>
      </c>
      <c r="D67">
        <v>87.32</v>
      </c>
      <c r="E67" s="2">
        <v>84.071646333224294</v>
      </c>
      <c r="F67" s="2">
        <v>-2.7965029630523901</v>
      </c>
      <c r="G67" s="2">
        <f t="shared" ref="G67:G128" si="2">C67-D67</f>
        <v>-0.45185070372330927</v>
      </c>
      <c r="H67" s="2">
        <f t="shared" ref="H67:H128" si="3">G67^2</f>
        <v>0.2041690584552498</v>
      </c>
      <c r="I67" s="2"/>
      <c r="U67" s="1"/>
    </row>
    <row r="68" spans="1:21" x14ac:dyDescent="0.25">
      <c r="A68" s="1">
        <v>40940</v>
      </c>
      <c r="B68">
        <v>3.8525</v>
      </c>
      <c r="C68" s="2">
        <v>86.084357713682309</v>
      </c>
      <c r="D68">
        <v>88.32</v>
      </c>
      <c r="E68" s="2">
        <v>85.523497036947603</v>
      </c>
      <c r="F68" s="2">
        <v>-0.56086067673470552</v>
      </c>
      <c r="G68" s="2">
        <f t="shared" si="2"/>
        <v>-2.2356422863176846</v>
      </c>
      <c r="H68" s="2">
        <f t="shared" si="3"/>
        <v>4.9980964323717636</v>
      </c>
      <c r="I68" s="2"/>
      <c r="U68" s="1"/>
    </row>
    <row r="69" spans="1:21" x14ac:dyDescent="0.25">
      <c r="A69" s="1">
        <v>40909</v>
      </c>
      <c r="B69">
        <v>3.8787500000000001</v>
      </c>
      <c r="C69" s="2">
        <v>85.806754830294196</v>
      </c>
      <c r="D69">
        <v>88.11</v>
      </c>
      <c r="E69" s="2">
        <v>87.549139323265294</v>
      </c>
      <c r="F69" s="2">
        <v>1.7423844929710981</v>
      </c>
      <c r="G69" s="2">
        <f t="shared" si="2"/>
        <v>-2.3032451697058036</v>
      </c>
      <c r="H69" s="2">
        <f t="shared" si="3"/>
        <v>5.3049383117731157</v>
      </c>
      <c r="I69" s="2"/>
      <c r="U69" s="1"/>
    </row>
    <row r="70" spans="1:21" x14ac:dyDescent="0.25">
      <c r="A70" s="1">
        <v>40878</v>
      </c>
      <c r="B70">
        <v>3.919</v>
      </c>
      <c r="C70" s="2">
        <v>89.003571505900695</v>
      </c>
      <c r="D70">
        <v>87.91</v>
      </c>
      <c r="E70" s="2">
        <v>89.652384492971095</v>
      </c>
      <c r="F70" s="2">
        <v>0.64881298707040003</v>
      </c>
      <c r="G70" s="2">
        <f t="shared" si="2"/>
        <v>1.0935715059006981</v>
      </c>
      <c r="H70" s="2">
        <f t="shared" si="3"/>
        <v>1.1958986385179204</v>
      </c>
      <c r="I70" s="2"/>
      <c r="U70" s="1"/>
    </row>
    <row r="71" spans="1:21" x14ac:dyDescent="0.25">
      <c r="A71" s="1">
        <v>40848</v>
      </c>
      <c r="B71">
        <v>4.0175000000000001</v>
      </c>
      <c r="C71" s="2">
        <v>76.464791210504202</v>
      </c>
      <c r="D71">
        <v>83.43</v>
      </c>
      <c r="E71" s="2">
        <v>84.078812987070407</v>
      </c>
      <c r="F71" s="2">
        <v>7.6140217765662044</v>
      </c>
      <c r="G71" s="2">
        <f t="shared" si="2"/>
        <v>-6.9652087894958044</v>
      </c>
      <c r="H71" s="2">
        <f t="shared" si="3"/>
        <v>48.51413348126961</v>
      </c>
      <c r="I71" s="2"/>
      <c r="U71" s="1"/>
    </row>
    <row r="72" spans="1:21" x14ac:dyDescent="0.25">
      <c r="A72" s="1">
        <v>40817</v>
      </c>
      <c r="B72">
        <v>4.0025000000000004</v>
      </c>
      <c r="C72" s="2">
        <v>85.515088364488292</v>
      </c>
      <c r="D72">
        <v>82.8</v>
      </c>
      <c r="E72" s="2">
        <v>90.414021776566202</v>
      </c>
      <c r="F72" s="2">
        <v>4.8989334120779091</v>
      </c>
      <c r="G72" s="2">
        <f t="shared" si="2"/>
        <v>2.7150883644882953</v>
      </c>
      <c r="H72" s="2">
        <f t="shared" si="3"/>
        <v>7.3717048269797258</v>
      </c>
      <c r="I72" s="2"/>
      <c r="U72" s="1"/>
    </row>
    <row r="73" spans="1:21" x14ac:dyDescent="0.25">
      <c r="A73" s="1">
        <v>40787</v>
      </c>
      <c r="B73">
        <v>4.1900000000000004</v>
      </c>
      <c r="C73" s="2">
        <v>82.973334711337898</v>
      </c>
      <c r="D73">
        <v>73.959999999999994</v>
      </c>
      <c r="E73" s="2">
        <v>78.858933412077903</v>
      </c>
      <c r="F73" s="2">
        <v>-4.1144012992599954</v>
      </c>
      <c r="G73" s="2">
        <f t="shared" si="2"/>
        <v>9.0133347113379045</v>
      </c>
      <c r="H73" s="2">
        <f t="shared" si="3"/>
        <v>81.240202618608748</v>
      </c>
      <c r="I73" s="2"/>
      <c r="U73" s="1"/>
    </row>
    <row r="74" spans="1:21" x14ac:dyDescent="0.25">
      <c r="A74" s="1">
        <v>40756</v>
      </c>
      <c r="B74">
        <v>4.4762500000000003</v>
      </c>
      <c r="C74" s="2">
        <v>56.843065034273707</v>
      </c>
      <c r="D74">
        <v>55.51</v>
      </c>
      <c r="E74" s="2">
        <v>51.395598700740003</v>
      </c>
      <c r="F74" s="2">
        <v>-5.4474663335337041</v>
      </c>
      <c r="G74" s="2">
        <f t="shared" si="2"/>
        <v>1.3330650342737087</v>
      </c>
      <c r="H74" s="2">
        <f t="shared" si="3"/>
        <v>1.7770623856031642</v>
      </c>
      <c r="I74" s="2"/>
      <c r="U74" s="1"/>
    </row>
    <row r="75" spans="1:21" x14ac:dyDescent="0.25">
      <c r="A75" s="1">
        <v>40725</v>
      </c>
      <c r="B75">
        <v>4.4349999999999996</v>
      </c>
      <c r="C75" s="2">
        <v>53.621847019581693</v>
      </c>
      <c r="D75">
        <v>56.99</v>
      </c>
      <c r="E75" s="2">
        <v>51.542533666466298</v>
      </c>
      <c r="F75" s="2">
        <v>-2.0793133531153956</v>
      </c>
      <c r="G75" s="2">
        <f t="shared" si="2"/>
        <v>-3.3681529804183086</v>
      </c>
      <c r="H75" s="2">
        <f t="shared" si="3"/>
        <v>11.344454499500735</v>
      </c>
      <c r="I75" s="2"/>
      <c r="U75" s="1"/>
    </row>
    <row r="76" spans="1:21" x14ac:dyDescent="0.25">
      <c r="A76" s="1">
        <v>40695</v>
      </c>
      <c r="B76">
        <v>4.5625</v>
      </c>
      <c r="C76" s="2">
        <v>57.893162076270407</v>
      </c>
      <c r="D76">
        <v>54.58</v>
      </c>
      <c r="E76" s="2">
        <v>52.500686646884603</v>
      </c>
      <c r="F76" s="2">
        <v>-5.3924754293858044</v>
      </c>
      <c r="G76" s="2">
        <f t="shared" si="2"/>
        <v>3.3131620762704088</v>
      </c>
      <c r="H76" s="2">
        <f t="shared" si="3"/>
        <v>10.977042943636446</v>
      </c>
      <c r="I76" s="2"/>
      <c r="U76" s="1"/>
    </row>
    <row r="77" spans="1:21" x14ac:dyDescent="0.25">
      <c r="A77" s="1">
        <v>40664</v>
      </c>
      <c r="B77">
        <v>4.75875</v>
      </c>
      <c r="C77" s="2">
        <v>52.913559033143798</v>
      </c>
      <c r="D77">
        <v>52.21</v>
      </c>
      <c r="E77" s="2">
        <v>46.817524570614196</v>
      </c>
      <c r="F77" s="2">
        <v>-6.0960344625296017</v>
      </c>
      <c r="G77" s="2">
        <f t="shared" si="2"/>
        <v>0.70355903314379731</v>
      </c>
      <c r="H77" s="2">
        <f t="shared" si="3"/>
        <v>0.49499531311823486</v>
      </c>
      <c r="I77" s="2"/>
      <c r="U77" s="1"/>
    </row>
    <row r="78" spans="1:21" x14ac:dyDescent="0.25">
      <c r="A78" s="1">
        <v>40634</v>
      </c>
      <c r="B78">
        <v>4.7610000000000001</v>
      </c>
      <c r="C78" s="2">
        <v>51.783312917903203</v>
      </c>
      <c r="D78">
        <v>53.7</v>
      </c>
      <c r="E78" s="2">
        <v>47.603965537470401</v>
      </c>
      <c r="F78" s="2">
        <v>-4.1793473804328016</v>
      </c>
      <c r="G78" s="2">
        <f t="shared" si="2"/>
        <v>-1.9166870820968001</v>
      </c>
      <c r="H78" s="2">
        <f t="shared" si="3"/>
        <v>3.6736893706767457</v>
      </c>
      <c r="I78" s="2"/>
      <c r="U78" s="1"/>
    </row>
    <row r="79" spans="1:21" x14ac:dyDescent="0.25">
      <c r="A79" s="1">
        <v>40603</v>
      </c>
      <c r="B79">
        <v>4.8775000000000004</v>
      </c>
      <c r="C79" s="2">
        <v>58.266394219396197</v>
      </c>
      <c r="D79">
        <v>51.17</v>
      </c>
      <c r="E79" s="2">
        <v>46.9906526195672</v>
      </c>
      <c r="F79" s="2">
        <v>-11.275741599828997</v>
      </c>
      <c r="G79" s="2">
        <f t="shared" si="2"/>
        <v>7.0963942193961955</v>
      </c>
      <c r="H79" s="2">
        <f t="shared" si="3"/>
        <v>50.358810917079737</v>
      </c>
      <c r="I79" s="2"/>
      <c r="U79" s="1"/>
    </row>
    <row r="80" spans="1:21" x14ac:dyDescent="0.25">
      <c r="A80" s="1">
        <v>40575</v>
      </c>
      <c r="B80">
        <v>4.6987500000000004</v>
      </c>
      <c r="C80" s="2">
        <v>54.479908859643096</v>
      </c>
      <c r="D80">
        <v>58.86</v>
      </c>
      <c r="E80" s="2">
        <v>47.584258400171002</v>
      </c>
      <c r="F80" s="2">
        <v>-6.895650459472094</v>
      </c>
      <c r="G80" s="2">
        <f t="shared" si="2"/>
        <v>-4.3800911403569032</v>
      </c>
      <c r="H80" s="2">
        <f t="shared" si="3"/>
        <v>19.185198397833037</v>
      </c>
      <c r="I80" s="2"/>
      <c r="U80" s="1"/>
    </row>
    <row r="81" spans="1:21" x14ac:dyDescent="0.25">
      <c r="A81" s="1">
        <v>40544</v>
      </c>
      <c r="B81">
        <v>4.649</v>
      </c>
      <c r="C81" s="2">
        <v>52.308315852812804</v>
      </c>
      <c r="D81">
        <v>61.73</v>
      </c>
      <c r="E81" s="2">
        <v>54.834349540527903</v>
      </c>
      <c r="F81" s="2">
        <v>2.5260336877150991</v>
      </c>
      <c r="G81" s="2">
        <f t="shared" si="2"/>
        <v>-9.421684147187193</v>
      </c>
      <c r="H81" s="2">
        <f t="shared" si="3"/>
        <v>88.768132169358466</v>
      </c>
      <c r="I81" s="2"/>
      <c r="U81" s="1"/>
    </row>
    <row r="82" spans="1:21" x14ac:dyDescent="0.25">
      <c r="A82" s="1">
        <v>40513</v>
      </c>
      <c r="B82">
        <v>4.2562499999999996</v>
      </c>
      <c r="C82" s="2">
        <v>84.614907967869101</v>
      </c>
      <c r="D82">
        <v>82.68</v>
      </c>
      <c r="E82" s="2">
        <v>85.206033687715106</v>
      </c>
      <c r="F82" s="2">
        <v>0.59112571984600493</v>
      </c>
      <c r="G82" s="2">
        <f t="shared" si="2"/>
        <v>1.9349079678690941</v>
      </c>
      <c r="H82" s="2">
        <f t="shared" si="3"/>
        <v>3.7438688441233072</v>
      </c>
      <c r="I82" s="2"/>
      <c r="U82" s="1"/>
    </row>
    <row r="83" spans="1:21" x14ac:dyDescent="0.25">
      <c r="A83" s="1">
        <v>40483</v>
      </c>
      <c r="B83">
        <v>4.1749999999999998</v>
      </c>
      <c r="C83" s="2">
        <v>88.288444843821907</v>
      </c>
      <c r="D83">
        <v>90.03</v>
      </c>
      <c r="E83" s="2">
        <v>90.621125719846006</v>
      </c>
      <c r="F83" s="2">
        <v>2.3326808760240993</v>
      </c>
      <c r="G83" s="2">
        <f t="shared" si="2"/>
        <v>-1.7415551561780944</v>
      </c>
      <c r="H83" s="2">
        <f t="shared" si="3"/>
        <v>3.033014362010507</v>
      </c>
      <c r="I83" s="2"/>
      <c r="U83" s="1"/>
    </row>
    <row r="84" spans="1:21" x14ac:dyDescent="0.25">
      <c r="A84" s="1">
        <v>40452</v>
      </c>
      <c r="B84">
        <v>4.2759999999999998</v>
      </c>
      <c r="C84" s="2">
        <v>80.134896288897707</v>
      </c>
      <c r="D84">
        <v>87.26</v>
      </c>
      <c r="E84" s="2">
        <v>89.592680876024104</v>
      </c>
      <c r="F84" s="2">
        <v>9.4577845871263975</v>
      </c>
      <c r="G84" s="2">
        <f t="shared" si="2"/>
        <v>-7.1251037111022981</v>
      </c>
      <c r="H84" s="2">
        <f t="shared" si="3"/>
        <v>50.767102893963738</v>
      </c>
      <c r="I84" s="2"/>
      <c r="U84" s="1"/>
    </row>
    <row r="85" spans="1:21" x14ac:dyDescent="0.25">
      <c r="A85" s="1">
        <v>40422</v>
      </c>
      <c r="B85">
        <v>4.3525</v>
      </c>
      <c r="C85" s="2">
        <v>82.586094536746998</v>
      </c>
      <c r="D85">
        <v>81.67</v>
      </c>
      <c r="E85" s="2">
        <v>91.127784587126399</v>
      </c>
      <c r="F85" s="2">
        <v>8.5416900503794011</v>
      </c>
      <c r="G85" s="2">
        <f t="shared" si="2"/>
        <v>0.91609453674699637</v>
      </c>
      <c r="H85" s="2">
        <f t="shared" si="3"/>
        <v>0.83922920025769387</v>
      </c>
      <c r="I85" s="2"/>
      <c r="U85" s="1"/>
    </row>
    <row r="86" spans="1:21" x14ac:dyDescent="0.25">
      <c r="A86" s="1">
        <v>40391</v>
      </c>
      <c r="B86">
        <v>4.4850000000000003</v>
      </c>
      <c r="C86" s="2">
        <v>83.402997451217701</v>
      </c>
      <c r="D86">
        <v>73.11</v>
      </c>
      <c r="E86" s="2">
        <v>81.651690050379401</v>
      </c>
      <c r="F86" s="2">
        <v>-1.7513074008383001</v>
      </c>
      <c r="G86" s="2">
        <f t="shared" si="2"/>
        <v>10.292997451217701</v>
      </c>
      <c r="H86" s="2">
        <f t="shared" si="3"/>
        <v>105.94579653077409</v>
      </c>
      <c r="I86" s="2"/>
      <c r="U86" s="1"/>
    </row>
    <row r="87" spans="1:21" x14ac:dyDescent="0.25">
      <c r="A87" s="1">
        <v>40360</v>
      </c>
      <c r="B87">
        <v>4.6360000000000001</v>
      </c>
      <c r="C87" s="2">
        <v>67.915213099156688</v>
      </c>
      <c r="D87">
        <v>69.709999999999994</v>
      </c>
      <c r="E87" s="2">
        <v>67.958692599161694</v>
      </c>
      <c r="F87" s="2">
        <v>4.3479500005005889E-2</v>
      </c>
      <c r="G87" s="2">
        <f t="shared" si="2"/>
        <v>-1.7947869008433059</v>
      </c>
      <c r="H87" s="2">
        <f t="shared" si="3"/>
        <v>3.2212600194387191</v>
      </c>
      <c r="I87" s="2"/>
      <c r="U87" s="1"/>
    </row>
    <row r="88" spans="1:21" x14ac:dyDescent="0.25">
      <c r="A88" s="1">
        <v>40330</v>
      </c>
      <c r="B88">
        <v>4.8125</v>
      </c>
      <c r="C88" s="2">
        <v>64.506809465209415</v>
      </c>
      <c r="D88">
        <v>66.47</v>
      </c>
      <c r="E88" s="2">
        <v>66.513479500005005</v>
      </c>
      <c r="F88" s="2">
        <v>2.0066700347955972</v>
      </c>
      <c r="G88" s="2">
        <f t="shared" si="2"/>
        <v>-1.9631905347905843</v>
      </c>
      <c r="H88" s="2">
        <f t="shared" si="3"/>
        <v>3.8541170758913403</v>
      </c>
      <c r="I88" s="2"/>
      <c r="U88" s="1"/>
    </row>
    <row r="89" spans="1:21" x14ac:dyDescent="0.25">
      <c r="A89" s="1">
        <v>40299</v>
      </c>
      <c r="B89">
        <v>5.0149999999999997</v>
      </c>
      <c r="C89" s="2">
        <v>64.168750169955501</v>
      </c>
      <c r="D89">
        <v>58.49</v>
      </c>
      <c r="E89" s="2">
        <v>60.496670034795599</v>
      </c>
      <c r="F89" s="2">
        <v>-3.6720801351599093</v>
      </c>
      <c r="G89" s="2">
        <f t="shared" si="2"/>
        <v>5.6787501699554994</v>
      </c>
      <c r="H89" s="2">
        <f t="shared" si="3"/>
        <v>32.248203492769612</v>
      </c>
      <c r="I89" s="2"/>
      <c r="U89" s="1"/>
    </row>
    <row r="90" spans="1:21" x14ac:dyDescent="0.25">
      <c r="A90" s="1">
        <v>40269</v>
      </c>
      <c r="B90">
        <v>4.91</v>
      </c>
      <c r="C90" s="2">
        <v>65.061007410322304</v>
      </c>
      <c r="D90">
        <v>66.790000000000006</v>
      </c>
      <c r="E90" s="2">
        <v>63.117919864840097</v>
      </c>
      <c r="F90" s="2">
        <v>-1.9430875454822001</v>
      </c>
      <c r="G90" s="2">
        <f t="shared" si="2"/>
        <v>-1.7289925896777021</v>
      </c>
      <c r="H90" s="2">
        <f t="shared" si="3"/>
        <v>2.9894153751604069</v>
      </c>
      <c r="I90" s="2"/>
      <c r="U90" s="1"/>
    </row>
    <row r="91" spans="1:21" x14ac:dyDescent="0.25">
      <c r="A91" s="1">
        <v>40238</v>
      </c>
      <c r="B91">
        <v>4.915</v>
      </c>
      <c r="C91" s="2">
        <v>63.957449031776193</v>
      </c>
      <c r="D91">
        <v>66.66</v>
      </c>
      <c r="E91" s="2">
        <v>64.716912454517797</v>
      </c>
      <c r="F91" s="2">
        <v>0.75946342274160372</v>
      </c>
      <c r="G91" s="2">
        <f t="shared" si="2"/>
        <v>-2.7025509682238038</v>
      </c>
      <c r="H91" s="2">
        <f t="shared" si="3"/>
        <v>7.3037817358474193</v>
      </c>
      <c r="I91" s="2"/>
      <c r="U91" s="1"/>
    </row>
    <row r="92" spans="1:21" x14ac:dyDescent="0.25">
      <c r="A92" s="1">
        <v>40210</v>
      </c>
      <c r="B92">
        <v>4.9487500000000004</v>
      </c>
      <c r="C92" s="2">
        <v>65.231822598803305</v>
      </c>
      <c r="D92">
        <v>66.41</v>
      </c>
      <c r="E92" s="2">
        <v>67.1694634227416</v>
      </c>
      <c r="F92" s="2">
        <v>1.9376408239382954</v>
      </c>
      <c r="G92" s="2">
        <f t="shared" si="2"/>
        <v>-1.1781774011966917</v>
      </c>
      <c r="H92" s="2">
        <f t="shared" si="3"/>
        <v>1.3881019886905901</v>
      </c>
      <c r="I92" s="2"/>
      <c r="U92" s="1"/>
    </row>
    <row r="93" spans="1:21" x14ac:dyDescent="0.25">
      <c r="A93" s="1">
        <v>40179</v>
      </c>
      <c r="B93">
        <v>4.8550000000000004</v>
      </c>
      <c r="C93" s="2">
        <v>73.157054818560496</v>
      </c>
      <c r="D93">
        <v>71.17</v>
      </c>
      <c r="E93" s="2">
        <v>73.107640823938297</v>
      </c>
      <c r="F93" s="2">
        <v>-4.9413994622199198E-2</v>
      </c>
      <c r="G93" s="2">
        <f t="shared" si="2"/>
        <v>1.9870548185604946</v>
      </c>
      <c r="H93" s="2">
        <f t="shared" si="3"/>
        <v>3.94838685196448</v>
      </c>
      <c r="I93" s="2"/>
      <c r="U93" s="1"/>
    </row>
    <row r="94" spans="1:21" x14ac:dyDescent="0.25">
      <c r="A94" s="1">
        <v>40148</v>
      </c>
      <c r="B94">
        <v>4.8</v>
      </c>
      <c r="C94" s="2">
        <v>72.633227390732813</v>
      </c>
      <c r="D94">
        <v>75.5</v>
      </c>
      <c r="E94" s="2">
        <v>75.450586005377801</v>
      </c>
      <c r="F94" s="2">
        <v>2.8173586146449878</v>
      </c>
      <c r="G94" s="2">
        <f t="shared" si="2"/>
        <v>-2.866772609267187</v>
      </c>
      <c r="H94" s="2">
        <f t="shared" si="3"/>
        <v>8.218385193244595</v>
      </c>
      <c r="I94" s="2"/>
      <c r="U94" s="1"/>
    </row>
    <row r="95" spans="1:21" x14ac:dyDescent="0.25">
      <c r="A95" s="1">
        <v>40118</v>
      </c>
      <c r="B95">
        <v>4.88</v>
      </c>
      <c r="C95" s="2">
        <v>76.227439190520101</v>
      </c>
      <c r="D95">
        <v>74.290000000000006</v>
      </c>
      <c r="E95" s="2">
        <v>77.107358614644994</v>
      </c>
      <c r="F95" s="2">
        <v>0.87991942412489266</v>
      </c>
      <c r="G95" s="2">
        <f t="shared" si="2"/>
        <v>1.9374391905200952</v>
      </c>
      <c r="H95" s="2">
        <f t="shared" si="3"/>
        <v>3.7536706169631615</v>
      </c>
      <c r="I95" s="2"/>
      <c r="U95" s="1"/>
    </row>
    <row r="96" spans="1:21" x14ac:dyDescent="0.25">
      <c r="A96" s="1">
        <v>40087</v>
      </c>
      <c r="B96">
        <v>4.9539999999999997</v>
      </c>
      <c r="C96" s="2">
        <v>70.656381232925895</v>
      </c>
      <c r="D96">
        <v>70.790000000000006</v>
      </c>
      <c r="E96" s="2">
        <v>71.669919424124899</v>
      </c>
      <c r="F96" s="2">
        <v>1.0135381911990038</v>
      </c>
      <c r="G96" s="2">
        <f t="shared" si="2"/>
        <v>-0.13361876707411113</v>
      </c>
      <c r="H96" s="2">
        <f t="shared" si="3"/>
        <v>1.7853974914405567E-2</v>
      </c>
      <c r="I96" s="2"/>
      <c r="U96" s="1"/>
    </row>
    <row r="97" spans="1:21" x14ac:dyDescent="0.25">
      <c r="A97" s="1">
        <v>40057</v>
      </c>
      <c r="B97">
        <v>5.1112500000000001</v>
      </c>
      <c r="C97" s="2">
        <v>64.384825208113512</v>
      </c>
      <c r="D97">
        <v>65.89</v>
      </c>
      <c r="E97" s="2">
        <v>66.903538191199004</v>
      </c>
      <c r="F97" s="2">
        <v>2.5187129830854929</v>
      </c>
      <c r="G97" s="2">
        <f t="shared" si="2"/>
        <v>-1.5051747918864891</v>
      </c>
      <c r="H97" s="2">
        <f t="shared" si="3"/>
        <v>2.2655511541305358</v>
      </c>
      <c r="I97" s="2"/>
      <c r="U97" s="1"/>
    </row>
    <row r="98" spans="1:21" x14ac:dyDescent="0.25">
      <c r="A98" s="1">
        <v>40026</v>
      </c>
      <c r="B98">
        <v>5.1470000000000002</v>
      </c>
      <c r="C98" s="2">
        <v>35.524621703511698</v>
      </c>
      <c r="D98">
        <v>66.95</v>
      </c>
      <c r="E98" s="2">
        <v>69.468712983085496</v>
      </c>
      <c r="F98" s="2">
        <v>33.944091279573797</v>
      </c>
      <c r="G98" s="2">
        <f t="shared" si="2"/>
        <v>-31.425378296488304</v>
      </c>
      <c r="H98" s="2">
        <f t="shared" si="3"/>
        <v>987.55440107739821</v>
      </c>
      <c r="I98" s="2"/>
      <c r="U98" s="1"/>
    </row>
    <row r="99" spans="1:21" x14ac:dyDescent="0.25">
      <c r="A99" s="1">
        <v>39995</v>
      </c>
      <c r="B99">
        <v>5.3449999999999998</v>
      </c>
      <c r="C99" s="2">
        <v>48.092921512937799</v>
      </c>
      <c r="D99">
        <v>24.63</v>
      </c>
      <c r="E99" s="2">
        <v>58.5740912795738</v>
      </c>
      <c r="F99" s="2">
        <v>10.481169766636</v>
      </c>
      <c r="G99" s="2">
        <f t="shared" si="2"/>
        <v>23.4629215129378</v>
      </c>
      <c r="H99" s="2">
        <f t="shared" si="3"/>
        <v>550.50868592227948</v>
      </c>
      <c r="I99" s="2"/>
      <c r="U99" s="1"/>
    </row>
    <row r="100" spans="1:21" x14ac:dyDescent="0.25">
      <c r="A100" s="1">
        <v>39965</v>
      </c>
      <c r="B100">
        <v>4.7762500000000001</v>
      </c>
      <c r="C100" s="2">
        <v>78.396076001900198</v>
      </c>
      <c r="D100">
        <v>74.86</v>
      </c>
      <c r="E100" s="2">
        <v>85.341169766636</v>
      </c>
      <c r="F100" s="2">
        <v>6.9450937647358018</v>
      </c>
      <c r="G100" s="2">
        <f t="shared" si="2"/>
        <v>3.5360760019001987</v>
      </c>
      <c r="H100" s="2">
        <f t="shared" si="3"/>
        <v>12.503833491214493</v>
      </c>
      <c r="I100" s="2"/>
      <c r="U100" s="1"/>
    </row>
    <row r="101" spans="1:21" x14ac:dyDescent="0.25">
      <c r="A101" s="1">
        <v>39934</v>
      </c>
      <c r="B101">
        <v>4.7300000000000004</v>
      </c>
      <c r="C101" s="2">
        <v>80.686907233818701</v>
      </c>
      <c r="D101">
        <v>81.87</v>
      </c>
      <c r="E101" s="2">
        <v>88.815093764735806</v>
      </c>
      <c r="F101" s="2">
        <v>8.1281865309171053</v>
      </c>
      <c r="G101" s="2">
        <f t="shared" si="2"/>
        <v>-1.1830927661813035</v>
      </c>
      <c r="H101" s="2">
        <f t="shared" si="3"/>
        <v>1.3997084933905286</v>
      </c>
      <c r="I101" s="2"/>
      <c r="U101" s="1"/>
    </row>
    <row r="102" spans="1:21" x14ac:dyDescent="0.25">
      <c r="A102" s="1">
        <v>39904</v>
      </c>
      <c r="B102">
        <v>4.9275000000000002</v>
      </c>
      <c r="C102" s="2">
        <v>63.7011134983589</v>
      </c>
      <c r="D102">
        <v>70.3</v>
      </c>
      <c r="E102" s="2">
        <v>78.428186530917102</v>
      </c>
      <c r="F102" s="2">
        <v>14.727073032558202</v>
      </c>
      <c r="G102" s="2">
        <f t="shared" si="2"/>
        <v>-6.5988865016410969</v>
      </c>
      <c r="H102" s="2">
        <f t="shared" si="3"/>
        <v>43.545303061541077</v>
      </c>
      <c r="I102" s="2"/>
      <c r="U102" s="1"/>
    </row>
    <row r="103" spans="1:21" x14ac:dyDescent="0.25">
      <c r="A103" s="1">
        <v>39873</v>
      </c>
      <c r="B103">
        <v>5.0612500000000002</v>
      </c>
      <c r="C103" s="2">
        <v>64.620642459236109</v>
      </c>
      <c r="D103">
        <v>58.21</v>
      </c>
      <c r="E103" s="2">
        <v>72.937073032558203</v>
      </c>
      <c r="F103" s="2">
        <v>8.3164305733220942</v>
      </c>
      <c r="G103" s="2">
        <f t="shared" si="2"/>
        <v>6.410642459236108</v>
      </c>
      <c r="H103" s="2">
        <f t="shared" si="3"/>
        <v>41.096336740160773</v>
      </c>
      <c r="I103" s="2"/>
      <c r="U103" s="1"/>
    </row>
    <row r="104" spans="1:21" x14ac:dyDescent="0.25">
      <c r="A104" s="1">
        <v>39845</v>
      </c>
      <c r="B104">
        <v>4.9662499999999996</v>
      </c>
      <c r="C104" s="2">
        <v>67.870533097900804</v>
      </c>
      <c r="D104">
        <v>69.290000000000006</v>
      </c>
      <c r="E104" s="2">
        <v>77.6064305733221</v>
      </c>
      <c r="F104" s="2">
        <v>9.7358974754212966</v>
      </c>
      <c r="G104" s="2">
        <f t="shared" si="2"/>
        <v>-1.4194669020992023</v>
      </c>
      <c r="H104" s="2">
        <f t="shared" si="3"/>
        <v>2.0148862861551065</v>
      </c>
      <c r="I104" s="2"/>
      <c r="U104" s="1"/>
    </row>
    <row r="105" spans="1:21" x14ac:dyDescent="0.25">
      <c r="A105" s="1">
        <v>39814</v>
      </c>
      <c r="B105">
        <v>5.2160000000000002</v>
      </c>
      <c r="C105" s="2">
        <v>60.195117110578309</v>
      </c>
      <c r="D105">
        <v>47</v>
      </c>
      <c r="E105" s="2">
        <v>56.735897475421297</v>
      </c>
      <c r="F105" s="2">
        <v>-3.4592196351570101</v>
      </c>
      <c r="G105" s="2">
        <f t="shared" si="2"/>
        <v>13.195117110578309</v>
      </c>
      <c r="H105" s="2">
        <f t="shared" si="3"/>
        <v>174.11111556187646</v>
      </c>
      <c r="I105" s="2"/>
      <c r="U105" s="1"/>
    </row>
    <row r="106" spans="1:21" x14ac:dyDescent="0.25">
      <c r="A106" s="1">
        <v>39783</v>
      </c>
      <c r="B106">
        <v>6.0125000000000002</v>
      </c>
      <c r="C106" s="2">
        <v>6.0407409014403193</v>
      </c>
      <c r="D106">
        <v>6.33</v>
      </c>
      <c r="E106" s="2">
        <v>2.8707803648429899</v>
      </c>
      <c r="F106" s="2">
        <v>-3.1699605365973298</v>
      </c>
      <c r="G106" s="2">
        <f t="shared" si="2"/>
        <v>-0.28925909855968079</v>
      </c>
      <c r="H106" s="2">
        <f t="shared" si="3"/>
        <v>8.3670826099559129E-2</v>
      </c>
      <c r="I106" s="2"/>
      <c r="U106" s="1"/>
    </row>
    <row r="107" spans="1:21" x14ac:dyDescent="0.25">
      <c r="A107" s="1">
        <v>39753</v>
      </c>
      <c r="B107">
        <v>6.1050000000000004</v>
      </c>
      <c r="C107" s="2">
        <v>7.7030908162414606</v>
      </c>
      <c r="D107">
        <v>6.13</v>
      </c>
      <c r="E107" s="2">
        <v>2.9600394634026701</v>
      </c>
      <c r="F107" s="2">
        <v>-4.7430513528387905</v>
      </c>
      <c r="G107" s="2">
        <f t="shared" si="2"/>
        <v>1.5730908162414607</v>
      </c>
      <c r="H107" s="2">
        <f t="shared" si="3"/>
        <v>2.474614716143225</v>
      </c>
      <c r="I107" s="2"/>
      <c r="U107" s="1"/>
    </row>
    <row r="108" spans="1:21" x14ac:dyDescent="0.25">
      <c r="A108" s="1">
        <v>39722</v>
      </c>
      <c r="B108">
        <v>5.9562499999999998</v>
      </c>
      <c r="C108" s="2">
        <v>5.2919293088535895</v>
      </c>
      <c r="D108">
        <v>8.9700000000000006</v>
      </c>
      <c r="E108" s="2">
        <v>4.2269486471612101</v>
      </c>
      <c r="F108" s="2">
        <v>-1.0649806616923798</v>
      </c>
      <c r="G108" s="2">
        <f t="shared" si="2"/>
        <v>-3.6780706911464112</v>
      </c>
      <c r="H108" s="2">
        <f t="shared" si="3"/>
        <v>13.528204009070238</v>
      </c>
      <c r="I108" s="2"/>
      <c r="U108" s="1"/>
    </row>
    <row r="109" spans="1:21" x14ac:dyDescent="0.25">
      <c r="A109" s="1">
        <v>39692</v>
      </c>
      <c r="B109">
        <v>6.3962500000000002</v>
      </c>
      <c r="C109" s="2">
        <v>4.0472171675786903</v>
      </c>
      <c r="D109">
        <v>3.32</v>
      </c>
      <c r="E109" s="2">
        <v>2.25501933830762</v>
      </c>
      <c r="F109" s="2">
        <v>-1.7921978292710699</v>
      </c>
      <c r="G109" s="2">
        <f t="shared" si="2"/>
        <v>0.72721716757869048</v>
      </c>
      <c r="H109" s="2">
        <f t="shared" si="3"/>
        <v>0.52884480882117324</v>
      </c>
      <c r="I109" s="2"/>
      <c r="U109" s="1"/>
    </row>
    <row r="110" spans="1:21" x14ac:dyDescent="0.25">
      <c r="A110" s="1">
        <v>39661</v>
      </c>
      <c r="B110">
        <v>6.3310000000000004</v>
      </c>
      <c r="C110" s="2">
        <v>4.4019699975498305</v>
      </c>
      <c r="D110">
        <v>4</v>
      </c>
      <c r="E110" s="2">
        <v>2.2078021707289301</v>
      </c>
      <c r="F110" s="2">
        <v>-2.1941678268208999</v>
      </c>
      <c r="G110" s="2">
        <f t="shared" si="2"/>
        <v>0.40196999754983054</v>
      </c>
      <c r="H110" s="2">
        <f t="shared" si="3"/>
        <v>0.16157987893021078</v>
      </c>
      <c r="I110" s="2"/>
      <c r="U110" s="1"/>
    </row>
    <row r="111" spans="1:21" x14ac:dyDescent="0.25">
      <c r="A111" s="1">
        <v>39630</v>
      </c>
      <c r="B111">
        <v>6.2324999999999999</v>
      </c>
      <c r="C111" s="2">
        <v>3.6937573341124006</v>
      </c>
      <c r="D111">
        <v>5.29</v>
      </c>
      <c r="E111" s="2">
        <v>3.0958321731791001</v>
      </c>
      <c r="F111" s="2">
        <v>-0.5979251609333005</v>
      </c>
      <c r="G111" s="2">
        <f t="shared" si="2"/>
        <v>-1.5962426658875994</v>
      </c>
      <c r="H111" s="2">
        <f t="shared" si="3"/>
        <v>2.5479906483999506</v>
      </c>
      <c r="I111" s="2"/>
      <c r="U111" s="1"/>
    </row>
    <row r="112" spans="1:21" x14ac:dyDescent="0.25">
      <c r="A112" s="1">
        <v>39600</v>
      </c>
      <c r="B112">
        <v>5.9050000000000002</v>
      </c>
      <c r="C112" s="2">
        <v>14.108185093685998</v>
      </c>
      <c r="D112">
        <v>10.83</v>
      </c>
      <c r="E112" s="2">
        <v>10.2320748390667</v>
      </c>
      <c r="F112" s="2">
        <v>-3.8761102546192987</v>
      </c>
      <c r="G112" s="2">
        <f t="shared" si="2"/>
        <v>3.2781850936859982</v>
      </c>
      <c r="H112" s="2">
        <f t="shared" si="3"/>
        <v>10.746497508465076</v>
      </c>
      <c r="I112" s="2"/>
      <c r="U112" s="1"/>
    </row>
    <row r="113" spans="1:21" x14ac:dyDescent="0.25">
      <c r="A113" s="1">
        <v>39569</v>
      </c>
      <c r="B113">
        <v>5.8010000000000002</v>
      </c>
      <c r="C113" s="2">
        <v>18.769661502414401</v>
      </c>
      <c r="D113">
        <v>17.63</v>
      </c>
      <c r="E113" s="2">
        <v>13.7538897453807</v>
      </c>
      <c r="F113" s="2">
        <v>-5.0157717570337006</v>
      </c>
      <c r="G113" s="2">
        <f t="shared" si="2"/>
        <v>1.1396615024144019</v>
      </c>
      <c r="H113" s="2">
        <f t="shared" si="3"/>
        <v>1.2988283400854517</v>
      </c>
      <c r="I113" s="2"/>
      <c r="U113" s="1"/>
    </row>
    <row r="114" spans="1:21" x14ac:dyDescent="0.25">
      <c r="A114" s="1">
        <v>39539</v>
      </c>
      <c r="B114">
        <v>5.8387500000000001</v>
      </c>
      <c r="C114" s="2">
        <v>25.765467565996097</v>
      </c>
      <c r="D114">
        <v>19.190000000000001</v>
      </c>
      <c r="E114" s="2">
        <v>14.174228242966301</v>
      </c>
      <c r="F114" s="2">
        <v>-11.591239323029798</v>
      </c>
      <c r="G114" s="2">
        <f t="shared" si="2"/>
        <v>6.5754675659960959</v>
      </c>
      <c r="H114" s="2">
        <f t="shared" si="3"/>
        <v>43.236773711466626</v>
      </c>
      <c r="I114" s="2"/>
      <c r="U114" s="1"/>
    </row>
    <row r="115" spans="1:21" x14ac:dyDescent="0.25">
      <c r="A115" s="1">
        <v>39508</v>
      </c>
      <c r="B115">
        <v>5.7862499999999999</v>
      </c>
      <c r="C115" s="2">
        <v>5.2882857966789008</v>
      </c>
      <c r="D115">
        <v>26.38</v>
      </c>
      <c r="E115" s="2">
        <v>14.788760676970201</v>
      </c>
      <c r="F115" s="2">
        <v>9.5004748802912999</v>
      </c>
      <c r="G115" s="2">
        <f t="shared" si="2"/>
        <v>-21.091714203321096</v>
      </c>
      <c r="H115" s="2">
        <f t="shared" si="3"/>
        <v>444.86040803457689</v>
      </c>
      <c r="I115" s="2"/>
      <c r="U115" s="1"/>
    </row>
    <row r="116" spans="1:21" x14ac:dyDescent="0.25">
      <c r="A116" s="1">
        <v>39479</v>
      </c>
      <c r="B116">
        <v>5.6180000000000003</v>
      </c>
      <c r="C116" s="2">
        <v>47.295207534049098</v>
      </c>
      <c r="D116">
        <v>38.49</v>
      </c>
      <c r="E116" s="2">
        <v>47.990474880291302</v>
      </c>
      <c r="F116" s="2">
        <v>0.69526734624220055</v>
      </c>
      <c r="G116" s="2">
        <f t="shared" si="2"/>
        <v>8.8052075340490958</v>
      </c>
      <c r="H116" s="2">
        <f t="shared" si="3"/>
        <v>77.531679717674962</v>
      </c>
      <c r="I116" s="2"/>
      <c r="U116" s="1"/>
    </row>
    <row r="117" spans="1:21" x14ac:dyDescent="0.25">
      <c r="A117" s="1">
        <v>39448</v>
      </c>
      <c r="B117">
        <v>5.9574999999999996</v>
      </c>
      <c r="C117" s="2">
        <v>16.1574901122023</v>
      </c>
      <c r="D117">
        <v>16.16</v>
      </c>
      <c r="E117" s="2">
        <v>16.855267346242201</v>
      </c>
      <c r="F117" s="2">
        <v>0.69777723403990066</v>
      </c>
      <c r="G117" s="2">
        <f t="shared" si="2"/>
        <v>-2.5098877977001166E-3</v>
      </c>
      <c r="H117" s="2">
        <f t="shared" si="3"/>
        <v>6.2995367570439413E-6</v>
      </c>
      <c r="I117" s="2"/>
      <c r="U117" s="1"/>
    </row>
    <row r="118" spans="1:21" x14ac:dyDescent="0.25">
      <c r="A118" s="1">
        <v>39417</v>
      </c>
      <c r="B118">
        <v>6.0575000000000001</v>
      </c>
      <c r="C118" s="2">
        <v>9.1207422919614984</v>
      </c>
      <c r="D118">
        <v>11.53</v>
      </c>
      <c r="E118" s="2">
        <v>12.2277772340399</v>
      </c>
      <c r="F118" s="2">
        <v>3.1070349420784007</v>
      </c>
      <c r="G118" s="2">
        <f t="shared" si="2"/>
        <v>-2.4092577080385009</v>
      </c>
      <c r="H118" s="2">
        <f t="shared" si="3"/>
        <v>5.8045227037429301</v>
      </c>
      <c r="I118" s="2"/>
      <c r="U118" s="1"/>
    </row>
    <row r="119" spans="1:21" x14ac:dyDescent="0.25">
      <c r="A119" s="1">
        <v>39387</v>
      </c>
      <c r="B119">
        <v>6.2169999999999996</v>
      </c>
      <c r="C119" s="2">
        <v>11.211659718196451</v>
      </c>
      <c r="D119">
        <v>7.55</v>
      </c>
      <c r="E119" s="2">
        <v>10.657034942078401</v>
      </c>
      <c r="F119" s="2">
        <v>-0.55462477611804939</v>
      </c>
      <c r="G119" s="2">
        <f t="shared" si="2"/>
        <v>3.661659718196451</v>
      </c>
      <c r="H119" s="2">
        <f t="shared" si="3"/>
        <v>13.407751891862512</v>
      </c>
      <c r="I119" s="2"/>
      <c r="U119" s="1"/>
    </row>
    <row r="120" spans="1:21" x14ac:dyDescent="0.25">
      <c r="A120" s="1">
        <v>39356</v>
      </c>
      <c r="B120">
        <v>6.2575000000000003</v>
      </c>
      <c r="C120" s="2">
        <v>7.3741286343498906</v>
      </c>
      <c r="D120">
        <v>7.52</v>
      </c>
      <c r="E120" s="2">
        <v>6.9653752238819502</v>
      </c>
      <c r="F120" s="2">
        <v>-0.40875341046794045</v>
      </c>
      <c r="G120" s="2">
        <f t="shared" si="2"/>
        <v>-0.14587136565010894</v>
      </c>
      <c r="H120" s="2">
        <f t="shared" si="3"/>
        <v>2.1278455316627781E-2</v>
      </c>
      <c r="I120" s="2"/>
      <c r="U120" s="1"/>
    </row>
    <row r="121" spans="1:21" x14ac:dyDescent="0.25">
      <c r="A121" s="1">
        <v>39326</v>
      </c>
      <c r="B121">
        <v>6.4219999999999997</v>
      </c>
      <c r="C121" s="2">
        <v>5.2952279411862904</v>
      </c>
      <c r="D121">
        <v>5.49</v>
      </c>
      <c r="E121" s="2">
        <v>5.0812465895320598</v>
      </c>
      <c r="F121" s="2">
        <v>-0.2139813516542306</v>
      </c>
      <c r="G121" s="2">
        <f t="shared" si="2"/>
        <v>-0.19477205881370985</v>
      </c>
      <c r="H121" s="2">
        <f t="shared" si="3"/>
        <v>3.7936154894531247E-2</v>
      </c>
      <c r="I121" s="2"/>
      <c r="U121" s="1"/>
    </row>
    <row r="122" spans="1:21" x14ac:dyDescent="0.25">
      <c r="A122" s="1">
        <v>39295</v>
      </c>
      <c r="B122">
        <v>6.5449999999999999</v>
      </c>
      <c r="C122" s="2">
        <v>4.4943223214589194</v>
      </c>
      <c r="D122">
        <v>4.1900000000000004</v>
      </c>
      <c r="E122" s="2">
        <v>3.9760186483457698</v>
      </c>
      <c r="F122" s="2">
        <v>-0.51830367311314962</v>
      </c>
      <c r="G122" s="2">
        <f t="shared" si="2"/>
        <v>0.30432232145891902</v>
      </c>
      <c r="H122" s="2">
        <f t="shared" si="3"/>
        <v>9.2612075338145639E-2</v>
      </c>
      <c r="I122" s="2"/>
      <c r="U122" s="1"/>
    </row>
    <row r="123" spans="1:21" x14ac:dyDescent="0.25">
      <c r="A123" s="1">
        <v>39264</v>
      </c>
      <c r="B123">
        <v>6.5137499999999999</v>
      </c>
      <c r="C123" s="2">
        <v>2.6069232917294496</v>
      </c>
      <c r="D123">
        <v>4.6399999999999997</v>
      </c>
      <c r="E123" s="2">
        <v>4.1216963268868501</v>
      </c>
      <c r="F123" s="2">
        <v>1.5147730351574005</v>
      </c>
      <c r="G123" s="2">
        <f t="shared" si="2"/>
        <v>-2.0330767082705501</v>
      </c>
      <c r="H123" s="2">
        <f t="shared" si="3"/>
        <v>4.1334009017122151</v>
      </c>
      <c r="I123" s="2"/>
      <c r="U123" s="1"/>
    </row>
    <row r="124" spans="1:21" x14ac:dyDescent="0.25">
      <c r="A124" s="1">
        <v>39234</v>
      </c>
      <c r="B124">
        <v>6.1219999999999999</v>
      </c>
      <c r="C124" s="2">
        <v>9.4390215135893012</v>
      </c>
      <c r="D124">
        <v>11.53</v>
      </c>
      <c r="E124" s="2">
        <v>13.0447730351574</v>
      </c>
      <c r="F124" s="2">
        <v>3.6057515215680986</v>
      </c>
      <c r="G124" s="2">
        <f t="shared" si="2"/>
        <v>-2.0909784864106982</v>
      </c>
      <c r="H124" s="2">
        <f t="shared" si="3"/>
        <v>4.3721910306323739</v>
      </c>
      <c r="I124" s="2"/>
      <c r="U124" s="1"/>
    </row>
    <row r="125" spans="1:21" x14ac:dyDescent="0.25">
      <c r="A125" s="1">
        <v>39203</v>
      </c>
      <c r="B125">
        <v>6.0425000000000004</v>
      </c>
      <c r="C125" s="2">
        <v>15.863657567297098</v>
      </c>
      <c r="D125">
        <v>13.59</v>
      </c>
      <c r="E125" s="2">
        <v>17.195751521568098</v>
      </c>
      <c r="F125" s="2">
        <v>1.3320939542710004</v>
      </c>
      <c r="G125" s="2">
        <f t="shared" si="2"/>
        <v>2.2736575672970982</v>
      </c>
      <c r="H125" s="2">
        <f t="shared" si="3"/>
        <v>5.1695187333273589</v>
      </c>
      <c r="I125" s="2"/>
      <c r="U125" s="1"/>
    </row>
    <row r="126" spans="1:21" x14ac:dyDescent="0.25">
      <c r="A126" s="1">
        <v>39173</v>
      </c>
      <c r="B126">
        <v>6.0062499999999996</v>
      </c>
      <c r="C126" s="2">
        <v>12.073378651404001</v>
      </c>
      <c r="D126">
        <v>15.08</v>
      </c>
      <c r="E126" s="2">
        <v>16.412093954271</v>
      </c>
      <c r="F126" s="2">
        <v>4.3387153028669996</v>
      </c>
      <c r="G126" s="2">
        <f t="shared" si="2"/>
        <v>-3.0066213485959992</v>
      </c>
      <c r="H126" s="2">
        <f t="shared" si="3"/>
        <v>9.0397719338332241</v>
      </c>
      <c r="I126" s="2"/>
      <c r="U126" s="1"/>
    </row>
    <row r="127" spans="1:21" x14ac:dyDescent="0.25">
      <c r="A127" s="1">
        <v>39142</v>
      </c>
      <c r="B127">
        <v>6.0949999999999998</v>
      </c>
      <c r="C127" s="2">
        <v>13.455069610254299</v>
      </c>
      <c r="D127">
        <v>11.02</v>
      </c>
      <c r="E127" s="2">
        <v>15.358715302866999</v>
      </c>
      <c r="F127" s="2">
        <v>1.9036456926127006</v>
      </c>
      <c r="G127" s="2">
        <f t="shared" si="2"/>
        <v>2.435069610254299</v>
      </c>
      <c r="H127" s="2">
        <f t="shared" si="3"/>
        <v>5.9295640067840241</v>
      </c>
      <c r="I127" s="2"/>
      <c r="U127" s="1"/>
    </row>
    <row r="128" spans="1:21" x14ac:dyDescent="0.25">
      <c r="A128" s="1">
        <v>39114</v>
      </c>
      <c r="B128">
        <v>6.0919999999999996</v>
      </c>
      <c r="C128" s="2">
        <v>15.1836456926127</v>
      </c>
      <c r="D128">
        <v>13.28</v>
      </c>
      <c r="E128" s="2">
        <v>15.1836456926127</v>
      </c>
      <c r="F128" t="s">
        <v>9</v>
      </c>
      <c r="G128" s="2">
        <f t="shared" si="2"/>
        <v>1.9036456926127006</v>
      </c>
      <c r="H128" s="2">
        <f t="shared" si="3"/>
        <v>3.6238669230028884</v>
      </c>
      <c r="U128" s="1"/>
    </row>
    <row r="129" spans="1:21" x14ac:dyDescent="0.25">
      <c r="A129" s="1"/>
      <c r="G129" s="2"/>
      <c r="H129" s="2"/>
      <c r="U129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9"/>
  <sheetViews>
    <sheetView tabSelected="1" workbookViewId="0">
      <selection activeCell="AB37" sqref="AB37"/>
    </sheetView>
  </sheetViews>
  <sheetFormatPr defaultRowHeight="15" x14ac:dyDescent="0.25"/>
  <cols>
    <col min="5" max="5" width="9.140625" style="2"/>
  </cols>
  <sheetData>
    <row r="1" spans="1:21" x14ac:dyDescent="0.25">
      <c r="A1" t="s">
        <v>1</v>
      </c>
      <c r="B1" t="s">
        <v>0</v>
      </c>
      <c r="C1" t="s">
        <v>7</v>
      </c>
      <c r="D1" t="s">
        <v>3</v>
      </c>
      <c r="E1" s="2" t="s">
        <v>6</v>
      </c>
      <c r="F1" t="s">
        <v>8</v>
      </c>
      <c r="G1" s="2" t="s">
        <v>4</v>
      </c>
      <c r="I1" s="2" t="s">
        <v>5</v>
      </c>
      <c r="J1" t="s">
        <v>10</v>
      </c>
    </row>
    <row r="2" spans="1:21" x14ac:dyDescent="0.25">
      <c r="A2" s="1">
        <v>42948</v>
      </c>
      <c r="B2">
        <v>3.855</v>
      </c>
      <c r="C2" s="2">
        <v>29.504027677864997</v>
      </c>
      <c r="D2">
        <v>30.43</v>
      </c>
      <c r="E2" s="2">
        <v>35.504027677864997</v>
      </c>
      <c r="F2" s="2">
        <v>6</v>
      </c>
      <c r="G2" s="2">
        <f>C2-D2</f>
        <v>-0.92597232213500291</v>
      </c>
      <c r="H2" s="2">
        <f>G2^2</f>
        <v>0.85742474136008962</v>
      </c>
      <c r="I2">
        <f>SQRT(AVERAGE(H2:H128))</f>
        <v>4.9697199196660593</v>
      </c>
      <c r="J2">
        <f>STDEV(G2:G128)</f>
        <v>4.9126890126830736</v>
      </c>
      <c r="K2" s="2"/>
      <c r="U2" s="1"/>
    </row>
    <row r="3" spans="1:21" x14ac:dyDescent="0.25">
      <c r="A3" s="1">
        <v>42917</v>
      </c>
      <c r="B3">
        <v>3.77</v>
      </c>
      <c r="C3" s="2">
        <v>39.023363875282897</v>
      </c>
      <c r="D3">
        <v>34.19</v>
      </c>
      <c r="E3" s="2">
        <v>45.023363875282897</v>
      </c>
      <c r="F3" s="2">
        <v>6</v>
      </c>
      <c r="G3" s="2">
        <f t="shared" ref="G3:G66" si="0">C3-D3</f>
        <v>4.8333638752828989</v>
      </c>
      <c r="H3" s="2">
        <f t="shared" ref="H3:H66" si="1">G3^2</f>
        <v>23.361406350889723</v>
      </c>
      <c r="U3" s="1"/>
    </row>
    <row r="4" spans="1:21" x14ac:dyDescent="0.25">
      <c r="A4" s="1">
        <v>42887</v>
      </c>
      <c r="B4">
        <v>3.871</v>
      </c>
      <c r="C4" s="2">
        <v>35.252240833698096</v>
      </c>
      <c r="D4">
        <v>29.65</v>
      </c>
      <c r="E4" s="2">
        <v>37.658781561924897</v>
      </c>
      <c r="F4" s="2">
        <v>2.4065407282268012</v>
      </c>
      <c r="G4" s="2">
        <f t="shared" si="0"/>
        <v>5.6022408336980973</v>
      </c>
      <c r="H4" s="2">
        <f t="shared" si="1"/>
        <v>31.385102358754352</v>
      </c>
      <c r="I4" s="2"/>
      <c r="U4" s="1"/>
    </row>
    <row r="5" spans="1:21" x14ac:dyDescent="0.25">
      <c r="A5" s="1">
        <v>42856</v>
      </c>
      <c r="B5">
        <v>3.92</v>
      </c>
      <c r="C5" s="2">
        <v>33.492031572820906</v>
      </c>
      <c r="D5">
        <v>28.57</v>
      </c>
      <c r="E5" s="2">
        <v>30.976540728226801</v>
      </c>
      <c r="F5" s="2">
        <v>-2.5154908445941011</v>
      </c>
      <c r="G5" s="2">
        <f t="shared" si="0"/>
        <v>4.9220315728209059</v>
      </c>
      <c r="H5" s="2">
        <f t="shared" si="1"/>
        <v>24.226394803845839</v>
      </c>
      <c r="I5" s="2"/>
      <c r="U5" s="1"/>
    </row>
    <row r="6" spans="1:21" x14ac:dyDescent="0.25">
      <c r="A6" s="1">
        <v>42826</v>
      </c>
      <c r="B6">
        <v>4.0709999999999997</v>
      </c>
      <c r="C6" s="2">
        <v>26.154509155405901</v>
      </c>
      <c r="D6">
        <v>22.67</v>
      </c>
      <c r="E6" s="2">
        <v>20.154509155405901</v>
      </c>
      <c r="F6" s="2">
        <v>-6</v>
      </c>
      <c r="G6" s="2">
        <f t="shared" si="0"/>
        <v>3.4845091554058989</v>
      </c>
      <c r="H6" s="2">
        <f t="shared" si="1"/>
        <v>12.141804054107531</v>
      </c>
      <c r="I6" s="2"/>
      <c r="U6" s="1"/>
    </row>
    <row r="7" spans="1:21" x14ac:dyDescent="0.25">
      <c r="A7" s="1">
        <v>42795</v>
      </c>
      <c r="B7">
        <v>4.0362499999999999</v>
      </c>
      <c r="C7" s="2">
        <v>16.5712113012593</v>
      </c>
      <c r="D7">
        <v>25.51</v>
      </c>
      <c r="E7" s="2">
        <v>18.927512291761399</v>
      </c>
      <c r="F7" s="2">
        <v>2.3563009905020991</v>
      </c>
      <c r="G7" s="2">
        <f t="shared" si="0"/>
        <v>-8.9387886987407015</v>
      </c>
      <c r="H7" s="2">
        <f t="shared" si="1"/>
        <v>79.901943400734481</v>
      </c>
      <c r="I7" s="2"/>
      <c r="U7" s="1"/>
    </row>
    <row r="8" spans="1:21" x14ac:dyDescent="0.25">
      <c r="A8" s="1">
        <v>42767</v>
      </c>
      <c r="B8">
        <v>4.0187499999999998</v>
      </c>
      <c r="C8" s="2">
        <v>30.9998511286914</v>
      </c>
      <c r="D8">
        <v>27.36</v>
      </c>
      <c r="E8" s="2">
        <v>29.716300990502099</v>
      </c>
      <c r="F8" s="2">
        <v>-1.2835501381893017</v>
      </c>
      <c r="G8" s="2">
        <f t="shared" si="0"/>
        <v>3.6398511286914008</v>
      </c>
      <c r="H8" s="2">
        <f t="shared" si="1"/>
        <v>13.248516239036064</v>
      </c>
      <c r="I8" s="2"/>
      <c r="U8" s="1"/>
    </row>
    <row r="9" spans="1:21" x14ac:dyDescent="0.25">
      <c r="A9" s="1">
        <v>42736</v>
      </c>
      <c r="B9">
        <v>4.1025</v>
      </c>
      <c r="C9" s="2">
        <v>16.172171459885501</v>
      </c>
      <c r="D9">
        <v>20.46</v>
      </c>
      <c r="E9" s="2">
        <v>19.176449861810699</v>
      </c>
      <c r="F9" s="2">
        <v>3.0042784019251982</v>
      </c>
      <c r="G9" s="2">
        <f t="shared" si="0"/>
        <v>-4.2878285401145</v>
      </c>
      <c r="H9" s="2">
        <f t="shared" si="1"/>
        <v>18.385473589420446</v>
      </c>
      <c r="I9" s="2"/>
      <c r="U9" s="1"/>
    </row>
    <row r="10" spans="1:21" x14ac:dyDescent="0.25">
      <c r="A10" s="1">
        <v>42705</v>
      </c>
      <c r="B10">
        <v>3.7069999999999999</v>
      </c>
      <c r="C10" s="2">
        <v>41.787416859105306</v>
      </c>
      <c r="D10">
        <v>38.380000000000003</v>
      </c>
      <c r="E10" s="2">
        <v>41.384278401925201</v>
      </c>
      <c r="F10" s="2">
        <v>-0.40313845718010555</v>
      </c>
      <c r="G10" s="2">
        <f t="shared" si="0"/>
        <v>3.4074168591053038</v>
      </c>
      <c r="H10" s="2">
        <f t="shared" si="1"/>
        <v>11.610489651715053</v>
      </c>
      <c r="I10" s="2"/>
      <c r="U10" s="1"/>
    </row>
    <row r="11" spans="1:21" x14ac:dyDescent="0.25">
      <c r="A11" s="1">
        <v>42675</v>
      </c>
      <c r="B11">
        <v>3.3574999999999999</v>
      </c>
      <c r="C11" s="2">
        <v>72.263709900056909</v>
      </c>
      <c r="D11">
        <v>70.73</v>
      </c>
      <c r="E11" s="2">
        <v>70.326861542819898</v>
      </c>
      <c r="F11" s="2">
        <v>-1.936848357237011</v>
      </c>
      <c r="G11" s="2">
        <f t="shared" si="0"/>
        <v>1.5337099000569054</v>
      </c>
      <c r="H11" s="2">
        <f t="shared" si="1"/>
        <v>2.3522660575325629</v>
      </c>
      <c r="I11" s="2"/>
      <c r="U11" s="1"/>
    </row>
    <row r="12" spans="1:21" x14ac:dyDescent="0.25">
      <c r="A12" s="1">
        <v>42644</v>
      </c>
      <c r="B12">
        <v>3.3475000000000001</v>
      </c>
      <c r="C12" s="2">
        <v>70.032090403222298</v>
      </c>
      <c r="D12">
        <v>73.040000000000006</v>
      </c>
      <c r="E12" s="2">
        <v>71.103151642762995</v>
      </c>
      <c r="F12" s="2">
        <v>1.0710612395406969</v>
      </c>
      <c r="G12" s="2">
        <f t="shared" si="0"/>
        <v>-3.0079095967777079</v>
      </c>
      <c r="H12" s="2">
        <f t="shared" si="1"/>
        <v>9.0475201423874339</v>
      </c>
      <c r="I12" s="2"/>
      <c r="U12" s="1"/>
    </row>
    <row r="13" spans="1:21" x14ac:dyDescent="0.25">
      <c r="A13" s="1">
        <v>42614</v>
      </c>
      <c r="B13">
        <v>3.32</v>
      </c>
      <c r="C13" s="2">
        <v>76.901284369054594</v>
      </c>
      <c r="D13">
        <v>75.78</v>
      </c>
      <c r="E13" s="2">
        <v>76.851061239540698</v>
      </c>
      <c r="F13" s="2">
        <v>-5.0223129513895515E-2</v>
      </c>
      <c r="G13" s="2">
        <f t="shared" si="0"/>
        <v>1.1212843690545924</v>
      </c>
      <c r="H13" s="2">
        <f t="shared" si="1"/>
        <v>1.2572786362861554</v>
      </c>
      <c r="I13" s="2"/>
      <c r="U13" s="1"/>
    </row>
    <row r="14" spans="1:21" x14ac:dyDescent="0.25">
      <c r="A14" s="1">
        <v>42583</v>
      </c>
      <c r="B14">
        <v>3.3149999999999999</v>
      </c>
      <c r="C14" s="2">
        <v>70.769776870486098</v>
      </c>
      <c r="D14">
        <v>76.819999999999993</v>
      </c>
      <c r="E14" s="2">
        <v>76.769776870486098</v>
      </c>
      <c r="F14" s="2">
        <v>6</v>
      </c>
      <c r="G14" s="2">
        <f t="shared" si="0"/>
        <v>-6.0502231295138955</v>
      </c>
      <c r="H14" s="2">
        <f t="shared" si="1"/>
        <v>36.605199916904915</v>
      </c>
      <c r="I14" s="2"/>
      <c r="U14" s="1"/>
    </row>
    <row r="15" spans="1:21" x14ac:dyDescent="0.25">
      <c r="A15" s="1">
        <v>42552</v>
      </c>
      <c r="B15">
        <v>3.448</v>
      </c>
      <c r="C15" s="2">
        <v>73.247255218507604</v>
      </c>
      <c r="D15">
        <v>67.739999999999995</v>
      </c>
      <c r="E15" s="2">
        <v>79.247255218507604</v>
      </c>
      <c r="F15" s="2">
        <v>6</v>
      </c>
      <c r="G15" s="2">
        <f t="shared" si="0"/>
        <v>5.5072552185076091</v>
      </c>
      <c r="H15" s="2">
        <f t="shared" si="1"/>
        <v>30.329860041779295</v>
      </c>
      <c r="I15" s="2"/>
      <c r="U15" s="1"/>
    </row>
    <row r="16" spans="1:21" x14ac:dyDescent="0.25">
      <c r="A16" s="1">
        <v>42522</v>
      </c>
      <c r="B16">
        <v>3.4874999999999998</v>
      </c>
      <c r="C16" s="2">
        <v>69.032364665052398</v>
      </c>
      <c r="D16">
        <v>63.98</v>
      </c>
      <c r="E16" s="2">
        <v>75.032364665052398</v>
      </c>
      <c r="F16" s="2">
        <v>6</v>
      </c>
      <c r="G16" s="2">
        <f t="shared" si="0"/>
        <v>5.0523646650524014</v>
      </c>
      <c r="H16" s="2">
        <f t="shared" si="1"/>
        <v>25.526388708670066</v>
      </c>
      <c r="I16" s="2"/>
      <c r="U16" s="1"/>
    </row>
    <row r="17" spans="1:21" x14ac:dyDescent="0.25">
      <c r="A17" s="1">
        <v>42491</v>
      </c>
      <c r="B17">
        <v>3.4925000000000002</v>
      </c>
      <c r="C17" s="2">
        <v>69.945233130813904</v>
      </c>
      <c r="D17">
        <v>60.86</v>
      </c>
      <c r="E17" s="2">
        <v>75.945233130813904</v>
      </c>
      <c r="F17" s="2">
        <v>6</v>
      </c>
      <c r="G17" s="2">
        <f t="shared" si="0"/>
        <v>9.0852331308139043</v>
      </c>
      <c r="H17" s="2">
        <f t="shared" si="1"/>
        <v>82.54146104123862</v>
      </c>
      <c r="I17" s="2"/>
      <c r="U17" s="1"/>
    </row>
    <row r="18" spans="1:21" x14ac:dyDescent="0.25">
      <c r="A18" s="1">
        <v>42461</v>
      </c>
      <c r="B18">
        <v>3.569</v>
      </c>
      <c r="C18" s="2">
        <v>56.721068874800501</v>
      </c>
      <c r="D18">
        <v>54.22</v>
      </c>
      <c r="E18" s="2">
        <v>62.721068874800501</v>
      </c>
      <c r="F18" s="2">
        <v>6</v>
      </c>
      <c r="G18" s="2">
        <f t="shared" si="0"/>
        <v>2.5010688748005023</v>
      </c>
      <c r="H18" s="2">
        <f t="shared" si="1"/>
        <v>6.2553455164958507</v>
      </c>
      <c r="I18" s="2"/>
      <c r="U18" s="1"/>
    </row>
    <row r="19" spans="1:21" x14ac:dyDescent="0.25">
      <c r="A19" s="1">
        <v>42430</v>
      </c>
      <c r="B19">
        <v>3.5474999999999999</v>
      </c>
      <c r="C19" s="2">
        <v>61.179975604888803</v>
      </c>
      <c r="D19">
        <v>56.48</v>
      </c>
      <c r="E19" s="2">
        <v>62.821248081554202</v>
      </c>
      <c r="F19" s="2">
        <v>1.6412724766653994</v>
      </c>
      <c r="G19" s="2">
        <f t="shared" si="0"/>
        <v>4.6999756048888059</v>
      </c>
      <c r="H19" s="2">
        <f t="shared" si="1"/>
        <v>22.089770686549898</v>
      </c>
      <c r="I19" s="2"/>
      <c r="U19" s="1"/>
    </row>
    <row r="20" spans="1:21" x14ac:dyDescent="0.25">
      <c r="A20" s="1">
        <v>42401</v>
      </c>
      <c r="B20">
        <v>3.7725</v>
      </c>
      <c r="C20" s="2">
        <v>45.509053685046197</v>
      </c>
      <c r="D20">
        <v>45.76</v>
      </c>
      <c r="E20" s="2">
        <v>47.401272476665397</v>
      </c>
      <c r="F20" s="2">
        <v>1.8922187916192001</v>
      </c>
      <c r="G20" s="2">
        <f t="shared" si="0"/>
        <v>-0.25094631495380071</v>
      </c>
      <c r="H20" s="2">
        <f t="shared" si="1"/>
        <v>6.2974052988892137E-2</v>
      </c>
      <c r="I20" s="2"/>
      <c r="U20" s="1"/>
    </row>
    <row r="21" spans="1:21" x14ac:dyDescent="0.25">
      <c r="A21" s="1">
        <v>42370</v>
      </c>
      <c r="B21">
        <v>3.8639999999999999</v>
      </c>
      <c r="C21" s="2">
        <v>43.683094476731505</v>
      </c>
      <c r="D21">
        <v>42.56</v>
      </c>
      <c r="E21" s="2">
        <v>44.452218791619202</v>
      </c>
      <c r="F21" s="2">
        <v>0.76912431488769784</v>
      </c>
      <c r="G21" s="2">
        <f t="shared" si="0"/>
        <v>1.1230944767315023</v>
      </c>
      <c r="H21" s="2">
        <f t="shared" si="1"/>
        <v>1.2613412036648071</v>
      </c>
      <c r="I21" s="2"/>
      <c r="U21" s="1"/>
    </row>
    <row r="22" spans="1:21" x14ac:dyDescent="0.25">
      <c r="A22" s="1">
        <v>42339</v>
      </c>
      <c r="B22">
        <v>3.8487499999999999</v>
      </c>
      <c r="C22" s="2">
        <v>45.386777580244299</v>
      </c>
      <c r="D22">
        <v>44.06</v>
      </c>
      <c r="E22" s="2">
        <v>44.8291243148877</v>
      </c>
      <c r="F22" s="2">
        <v>-0.55765326535659909</v>
      </c>
      <c r="G22" s="2">
        <f t="shared" si="0"/>
        <v>1.3267775802442969</v>
      </c>
      <c r="H22" s="2">
        <f t="shared" si="1"/>
        <v>1.7603387474389118</v>
      </c>
      <c r="I22" s="2"/>
      <c r="U22" s="1"/>
    </row>
    <row r="23" spans="1:21" x14ac:dyDescent="0.25">
      <c r="A23" s="1">
        <v>42309</v>
      </c>
      <c r="B23">
        <v>3.6825000000000001</v>
      </c>
      <c r="C23" s="2">
        <v>49.569911635242001</v>
      </c>
      <c r="D23">
        <v>51.65</v>
      </c>
      <c r="E23" s="2">
        <v>51.092346734643399</v>
      </c>
      <c r="F23" s="2">
        <v>1.5224350994013989</v>
      </c>
      <c r="G23" s="2">
        <f t="shared" si="0"/>
        <v>-2.080088364757998</v>
      </c>
      <c r="H23" s="2">
        <f t="shared" si="1"/>
        <v>4.326767605201602</v>
      </c>
      <c r="I23" s="2"/>
      <c r="U23" s="1"/>
    </row>
    <row r="24" spans="1:21" x14ac:dyDescent="0.25">
      <c r="A24" s="1">
        <v>42278</v>
      </c>
      <c r="B24">
        <v>3.7869999999999999</v>
      </c>
      <c r="C24" s="2">
        <v>48.071338737463805</v>
      </c>
      <c r="D24">
        <v>48.14</v>
      </c>
      <c r="E24" s="2">
        <v>49.662435099401399</v>
      </c>
      <c r="F24" s="2">
        <v>1.5910963619375948</v>
      </c>
      <c r="G24" s="2">
        <f t="shared" si="0"/>
        <v>-6.8661262536195977E-2</v>
      </c>
      <c r="H24" s="2">
        <f t="shared" si="1"/>
        <v>4.7143689730644294E-3</v>
      </c>
      <c r="I24" s="2"/>
      <c r="U24" s="1"/>
    </row>
    <row r="25" spans="1:21" x14ac:dyDescent="0.25">
      <c r="A25" s="1">
        <v>42248</v>
      </c>
      <c r="B25">
        <v>3.8050000000000002</v>
      </c>
      <c r="C25" s="2">
        <v>44.490928528271496</v>
      </c>
      <c r="D25">
        <v>48.77</v>
      </c>
      <c r="E25" s="2">
        <v>50.361096361937598</v>
      </c>
      <c r="F25" s="2">
        <v>5.8701678336661018</v>
      </c>
      <c r="G25" s="2">
        <f t="shared" si="0"/>
        <v>-4.279071471728507</v>
      </c>
      <c r="H25" s="2">
        <f t="shared" si="1"/>
        <v>18.31045266016077</v>
      </c>
      <c r="I25" s="2"/>
      <c r="U25" s="1"/>
    </row>
    <row r="26" spans="1:21" x14ac:dyDescent="0.25">
      <c r="A26" s="1">
        <v>42217</v>
      </c>
      <c r="B26">
        <v>3.9460000000000002</v>
      </c>
      <c r="C26" s="2">
        <v>42.487866176243607</v>
      </c>
      <c r="D26">
        <v>41.79</v>
      </c>
      <c r="E26" s="2">
        <v>47.660167833666101</v>
      </c>
      <c r="F26" s="2">
        <v>5.1723016574224943</v>
      </c>
      <c r="G26" s="2">
        <f t="shared" si="0"/>
        <v>0.69786617624360758</v>
      </c>
      <c r="H26" s="2">
        <f t="shared" si="1"/>
        <v>0.48701719994487397</v>
      </c>
      <c r="I26" s="2"/>
      <c r="U26" s="1"/>
    </row>
    <row r="27" spans="1:21" x14ac:dyDescent="0.25">
      <c r="A27" s="1">
        <v>42186</v>
      </c>
      <c r="B27">
        <v>3.895</v>
      </c>
      <c r="C27" s="2">
        <v>47.065462801928398</v>
      </c>
      <c r="D27">
        <v>45.34</v>
      </c>
      <c r="E27" s="2">
        <v>50.512301657422498</v>
      </c>
      <c r="F27" s="2">
        <v>3.4468388554941001</v>
      </c>
      <c r="G27" s="2">
        <f t="shared" si="0"/>
        <v>1.7254628019283942</v>
      </c>
      <c r="H27" s="2">
        <f t="shared" si="1"/>
        <v>2.9772218808385849</v>
      </c>
      <c r="I27" s="2"/>
      <c r="U27" s="1"/>
    </row>
    <row r="28" spans="1:21" x14ac:dyDescent="0.25">
      <c r="A28" s="1">
        <v>42156</v>
      </c>
      <c r="B28">
        <v>3.7462499999999999</v>
      </c>
      <c r="C28" s="2">
        <v>51.346838855494099</v>
      </c>
      <c r="D28">
        <v>53.9</v>
      </c>
      <c r="E28" s="2">
        <v>57.346838855494099</v>
      </c>
      <c r="F28" s="2">
        <v>6</v>
      </c>
      <c r="G28" s="2">
        <f t="shared" si="0"/>
        <v>-2.5531611445058999</v>
      </c>
      <c r="H28" s="2">
        <f t="shared" si="1"/>
        <v>6.5186318298146766</v>
      </c>
      <c r="I28" s="2"/>
      <c r="U28" s="1"/>
    </row>
    <row r="29" spans="1:21" x14ac:dyDescent="0.25">
      <c r="A29" s="1">
        <v>42125</v>
      </c>
      <c r="B29">
        <v>3.577</v>
      </c>
      <c r="C29" s="2">
        <v>66.2566792691551</v>
      </c>
      <c r="D29">
        <v>61.49</v>
      </c>
      <c r="E29" s="2">
        <v>69.515935448741999</v>
      </c>
      <c r="F29" s="2">
        <v>3.2592561795868988</v>
      </c>
      <c r="G29" s="2">
        <f t="shared" si="0"/>
        <v>4.7666792691550981</v>
      </c>
      <c r="H29" s="2">
        <f t="shared" si="1"/>
        <v>22.721231254992979</v>
      </c>
      <c r="I29" s="2"/>
      <c r="U29" s="1"/>
    </row>
    <row r="30" spans="1:21" x14ac:dyDescent="0.25">
      <c r="A30" s="1">
        <v>42095</v>
      </c>
      <c r="B30">
        <v>3.67</v>
      </c>
      <c r="C30" s="2">
        <v>55.679256179586901</v>
      </c>
      <c r="D30">
        <v>58.42</v>
      </c>
      <c r="E30" s="2">
        <v>61.679256179586901</v>
      </c>
      <c r="F30" s="2">
        <v>6</v>
      </c>
      <c r="G30" s="2">
        <f t="shared" si="0"/>
        <v>-2.7407438204131012</v>
      </c>
      <c r="H30" s="2">
        <f t="shared" si="1"/>
        <v>7.5116766891326012</v>
      </c>
      <c r="I30" s="2"/>
      <c r="U30" s="1"/>
    </row>
    <row r="31" spans="1:21" x14ac:dyDescent="0.25">
      <c r="A31" s="1">
        <v>42064</v>
      </c>
      <c r="B31">
        <v>3.61625</v>
      </c>
      <c r="C31" s="2">
        <v>61.483782064287396</v>
      </c>
      <c r="D31">
        <v>61.22</v>
      </c>
      <c r="E31" s="2">
        <v>67.483782064287396</v>
      </c>
      <c r="F31" s="2">
        <v>6</v>
      </c>
      <c r="G31" s="2">
        <f t="shared" si="0"/>
        <v>0.26378206428739759</v>
      </c>
      <c r="H31" s="2">
        <f t="shared" si="1"/>
        <v>6.9580977439720748E-2</v>
      </c>
      <c r="I31" s="2"/>
      <c r="U31" s="1"/>
    </row>
    <row r="32" spans="1:21" x14ac:dyDescent="0.25">
      <c r="A32" s="1">
        <v>42036</v>
      </c>
      <c r="B32">
        <v>3.5762499999999999</v>
      </c>
      <c r="C32" s="2">
        <v>66.7454816549333</v>
      </c>
      <c r="D32">
        <v>61.42</v>
      </c>
      <c r="E32" s="2">
        <v>72.605361949306101</v>
      </c>
      <c r="F32" s="2">
        <v>5.8598802943728003</v>
      </c>
      <c r="G32" s="2">
        <f t="shared" si="0"/>
        <v>5.3254816549332986</v>
      </c>
      <c r="H32" s="2">
        <f t="shared" si="1"/>
        <v>28.360754857031104</v>
      </c>
      <c r="I32" s="2"/>
      <c r="U32" s="1"/>
    </row>
    <row r="33" spans="1:21" x14ac:dyDescent="0.25">
      <c r="A33" s="1">
        <v>42005</v>
      </c>
      <c r="B33">
        <v>3.754</v>
      </c>
      <c r="C33" s="2">
        <v>55.159880294372797</v>
      </c>
      <c r="D33">
        <v>55.3</v>
      </c>
      <c r="E33" s="2">
        <v>61.159880294372797</v>
      </c>
      <c r="F33" s="2">
        <v>6</v>
      </c>
      <c r="G33" s="2">
        <f t="shared" si="0"/>
        <v>-0.14011970562719966</v>
      </c>
      <c r="H33" s="2">
        <f t="shared" si="1"/>
        <v>1.9633531905053091E-2</v>
      </c>
      <c r="I33" s="2"/>
      <c r="U33" s="1"/>
    </row>
    <row r="34" spans="1:21" x14ac:dyDescent="0.25">
      <c r="A34" s="1">
        <v>41974</v>
      </c>
      <c r="B34">
        <v>3.8725000000000001</v>
      </c>
      <c r="C34" s="2">
        <v>52.835360141874901</v>
      </c>
      <c r="D34">
        <v>49.67</v>
      </c>
      <c r="E34" s="2">
        <v>58.835360141874901</v>
      </c>
      <c r="F34" s="2">
        <v>6</v>
      </c>
      <c r="G34" s="2">
        <f t="shared" si="0"/>
        <v>3.1653601418748991</v>
      </c>
      <c r="H34" s="2">
        <f t="shared" si="1"/>
        <v>10.019504827770282</v>
      </c>
      <c r="I34" s="2"/>
      <c r="U34" s="1"/>
    </row>
    <row r="35" spans="1:21" x14ac:dyDescent="0.25">
      <c r="A35" s="1">
        <v>41944</v>
      </c>
      <c r="B35">
        <v>3.9060000000000001</v>
      </c>
      <c r="C35" s="2">
        <v>55.711936794873701</v>
      </c>
      <c r="D35">
        <v>48.29</v>
      </c>
      <c r="E35" s="2">
        <v>60.184097627371102</v>
      </c>
      <c r="F35" s="2">
        <v>4.4721608324974014</v>
      </c>
      <c r="G35" s="2">
        <f t="shared" si="0"/>
        <v>7.4219367948737016</v>
      </c>
      <c r="H35" s="2">
        <f t="shared" si="1"/>
        <v>55.085145787100117</v>
      </c>
      <c r="I35" s="2"/>
      <c r="U35" s="1"/>
    </row>
    <row r="36" spans="1:21" x14ac:dyDescent="0.25">
      <c r="A36" s="1">
        <v>41913</v>
      </c>
      <c r="B36">
        <v>4.0374999999999996</v>
      </c>
      <c r="C36" s="2">
        <v>39.8021608324974</v>
      </c>
      <c r="D36">
        <v>41.33</v>
      </c>
      <c r="E36" s="2">
        <v>45.8021608324974</v>
      </c>
      <c r="F36" s="2">
        <v>6</v>
      </c>
      <c r="G36" s="2">
        <f t="shared" si="0"/>
        <v>-1.5278391675025986</v>
      </c>
      <c r="H36" s="2">
        <f t="shared" si="1"/>
        <v>2.3342925217550334</v>
      </c>
      <c r="I36" s="2"/>
      <c r="U36" s="1"/>
    </row>
    <row r="37" spans="1:21" x14ac:dyDescent="0.25">
      <c r="A37" s="1">
        <v>41883</v>
      </c>
      <c r="B37">
        <v>4.00875</v>
      </c>
      <c r="C37" s="2">
        <v>50.3865709456514</v>
      </c>
      <c r="D37">
        <v>43.31</v>
      </c>
      <c r="E37" s="2">
        <v>53.5877743963105</v>
      </c>
      <c r="F37" s="2">
        <v>3.2012034506591007</v>
      </c>
      <c r="G37" s="2">
        <f t="shared" si="0"/>
        <v>7.0765709456513974</v>
      </c>
      <c r="H37" s="2">
        <f t="shared" si="1"/>
        <v>50.077856348837514</v>
      </c>
      <c r="I37" s="2"/>
      <c r="U37" s="1"/>
    </row>
    <row r="38" spans="1:21" x14ac:dyDescent="0.25">
      <c r="A38" s="1">
        <v>41852</v>
      </c>
      <c r="B38">
        <v>4.03</v>
      </c>
      <c r="C38" s="2">
        <v>39.999579344693998</v>
      </c>
      <c r="D38">
        <v>42.58</v>
      </c>
      <c r="E38" s="2">
        <v>45.781203450659099</v>
      </c>
      <c r="F38" s="2">
        <v>5.7816241059651006</v>
      </c>
      <c r="G38" s="2">
        <f t="shared" si="0"/>
        <v>-2.5804206553059998</v>
      </c>
      <c r="H38" s="2">
        <f t="shared" si="1"/>
        <v>6.6585707583298452</v>
      </c>
      <c r="I38" s="2"/>
      <c r="U38" s="1"/>
    </row>
    <row r="39" spans="1:21" x14ac:dyDescent="0.25">
      <c r="A39" s="1">
        <v>41821</v>
      </c>
      <c r="B39">
        <v>4.05</v>
      </c>
      <c r="C39" s="2">
        <v>41.651624105965098</v>
      </c>
      <c r="D39">
        <v>41.87</v>
      </c>
      <c r="E39" s="2">
        <v>47.651624105965098</v>
      </c>
      <c r="F39" s="2">
        <v>6</v>
      </c>
      <c r="G39" s="2">
        <f t="shared" si="0"/>
        <v>-0.21837589403489943</v>
      </c>
      <c r="H39" s="2">
        <f t="shared" si="1"/>
        <v>4.7688031095541622E-2</v>
      </c>
      <c r="I39" s="2"/>
      <c r="U39" s="1"/>
    </row>
    <row r="40" spans="1:21" x14ac:dyDescent="0.25">
      <c r="A40" s="1">
        <v>41791</v>
      </c>
      <c r="B40">
        <v>4.0674999999999999</v>
      </c>
      <c r="C40" s="2">
        <v>45.3524918325055</v>
      </c>
      <c r="D40">
        <v>40.26</v>
      </c>
      <c r="E40" s="2">
        <v>49.608540838935703</v>
      </c>
      <c r="F40" s="2">
        <v>4.256049006430203</v>
      </c>
      <c r="G40" s="2">
        <f t="shared" si="0"/>
        <v>5.0924918325055017</v>
      </c>
      <c r="H40" s="2">
        <f t="shared" si="1"/>
        <v>25.933473064135242</v>
      </c>
      <c r="I40" s="2"/>
      <c r="U40" s="1"/>
    </row>
    <row r="41" spans="1:21" x14ac:dyDescent="0.25">
      <c r="A41" s="1">
        <v>41760</v>
      </c>
      <c r="B41">
        <v>4.2480000000000002</v>
      </c>
      <c r="C41" s="2">
        <v>35.433973593217395</v>
      </c>
      <c r="D41">
        <v>35.049999999999997</v>
      </c>
      <c r="E41" s="2">
        <v>39.3060490064302</v>
      </c>
      <c r="F41" s="2">
        <v>3.872075413212805</v>
      </c>
      <c r="G41" s="2">
        <f t="shared" si="0"/>
        <v>0.38397359321739799</v>
      </c>
      <c r="H41" s="2">
        <f t="shared" si="1"/>
        <v>0.14743572028827984</v>
      </c>
      <c r="I41" s="2"/>
      <c r="U41" s="1"/>
    </row>
    <row r="42" spans="1:21" x14ac:dyDescent="0.25">
      <c r="A42" s="1">
        <v>41730</v>
      </c>
      <c r="B42">
        <v>4.2487500000000002</v>
      </c>
      <c r="C42" s="2">
        <v>34.957854594971607</v>
      </c>
      <c r="D42">
        <v>36.049999999999997</v>
      </c>
      <c r="E42" s="2">
        <v>39.922075413212802</v>
      </c>
      <c r="F42" s="2">
        <v>4.9642208182411949</v>
      </c>
      <c r="G42" s="2">
        <f t="shared" si="0"/>
        <v>-1.0921454050283899</v>
      </c>
      <c r="H42" s="2">
        <f t="shared" si="1"/>
        <v>1.1927815857246258</v>
      </c>
      <c r="I42" s="2"/>
      <c r="U42" s="1"/>
    </row>
    <row r="43" spans="1:21" x14ac:dyDescent="0.25">
      <c r="A43" s="1">
        <v>41699</v>
      </c>
      <c r="B43">
        <v>4.2275</v>
      </c>
      <c r="C43" s="2">
        <v>36.304220818241198</v>
      </c>
      <c r="D43">
        <v>37.340000000000003</v>
      </c>
      <c r="E43" s="2">
        <v>42.304220818241198</v>
      </c>
      <c r="F43" s="2">
        <v>6</v>
      </c>
      <c r="G43" s="2">
        <f t="shared" si="0"/>
        <v>-1.0357791817588051</v>
      </c>
      <c r="H43" s="2">
        <f t="shared" si="1"/>
        <v>1.0728385133649398</v>
      </c>
      <c r="I43" s="2"/>
      <c r="U43" s="1"/>
    </row>
    <row r="44" spans="1:21" x14ac:dyDescent="0.25">
      <c r="A44" s="1">
        <v>41671</v>
      </c>
      <c r="B44">
        <v>4.3620000000000001</v>
      </c>
      <c r="C44" s="2">
        <v>32.9952619571512</v>
      </c>
      <c r="D44">
        <v>31.82</v>
      </c>
      <c r="E44" s="2">
        <v>38.9952619571512</v>
      </c>
      <c r="F44" s="2">
        <v>6</v>
      </c>
      <c r="G44" s="2">
        <f t="shared" si="0"/>
        <v>1.1752619571512</v>
      </c>
      <c r="H44" s="2">
        <f t="shared" si="1"/>
        <v>1.3812406679268689</v>
      </c>
      <c r="I44" s="2"/>
      <c r="L44" s="2"/>
      <c r="U44" s="1"/>
    </row>
    <row r="45" spans="1:21" x14ac:dyDescent="0.25">
      <c r="A45" s="1">
        <v>41640</v>
      </c>
      <c r="B45">
        <v>4.37</v>
      </c>
      <c r="C45" s="2">
        <v>40.751623053972096</v>
      </c>
      <c r="D45">
        <v>32.67</v>
      </c>
      <c r="E45" s="2">
        <v>39.5770811054565</v>
      </c>
      <c r="F45" s="2">
        <v>-1.1745419485155963</v>
      </c>
      <c r="G45" s="2">
        <f t="shared" si="0"/>
        <v>8.0816230539720948</v>
      </c>
      <c r="H45" s="2">
        <f t="shared" si="1"/>
        <v>65.312631186493249</v>
      </c>
      <c r="I45" s="2"/>
      <c r="U45" s="1"/>
    </row>
    <row r="46" spans="1:21" x14ac:dyDescent="0.25">
      <c r="A46" s="1">
        <v>41609</v>
      </c>
      <c r="B46">
        <v>4.1862500000000002</v>
      </c>
      <c r="C46" s="2">
        <v>42.802059012762705</v>
      </c>
      <c r="D46">
        <v>41.41</v>
      </c>
      <c r="E46" s="2">
        <v>40.2354580514844</v>
      </c>
      <c r="F46" s="2">
        <v>-2.5666009612783043</v>
      </c>
      <c r="G46" s="2">
        <f t="shared" si="0"/>
        <v>1.3920590127627079</v>
      </c>
      <c r="H46" s="2">
        <f t="shared" si="1"/>
        <v>1.937828295013885</v>
      </c>
      <c r="I46" s="2"/>
      <c r="U46" s="1"/>
    </row>
    <row r="47" spans="1:21" x14ac:dyDescent="0.25">
      <c r="A47" s="1">
        <v>41579</v>
      </c>
      <c r="B47">
        <v>4.1219999999999999</v>
      </c>
      <c r="C47" s="2">
        <v>35.423399038721698</v>
      </c>
      <c r="D47">
        <v>43.99</v>
      </c>
      <c r="E47" s="2">
        <v>41.423399038721698</v>
      </c>
      <c r="F47" s="2">
        <v>6</v>
      </c>
      <c r="G47" s="2">
        <f t="shared" si="0"/>
        <v>-8.5666009612783043</v>
      </c>
      <c r="H47" s="2">
        <f t="shared" si="1"/>
        <v>73.386652029774368</v>
      </c>
      <c r="I47" s="2"/>
      <c r="U47" s="1"/>
    </row>
    <row r="48" spans="1:21" x14ac:dyDescent="0.25">
      <c r="A48" s="1">
        <v>41548</v>
      </c>
      <c r="B48">
        <v>4.4212499999999997</v>
      </c>
      <c r="C48" s="2">
        <v>36.198750827445302</v>
      </c>
      <c r="D48">
        <v>33.4</v>
      </c>
      <c r="E48" s="2">
        <v>40.054376314447502</v>
      </c>
      <c r="F48" s="2">
        <v>3.8556254870022002</v>
      </c>
      <c r="G48" s="2">
        <f t="shared" si="0"/>
        <v>2.7987508274453035</v>
      </c>
      <c r="H48" s="2">
        <f t="shared" si="1"/>
        <v>7.8330061941257707</v>
      </c>
      <c r="I48" s="2"/>
      <c r="U48" s="1"/>
    </row>
    <row r="49" spans="1:21" x14ac:dyDescent="0.25">
      <c r="A49" s="1">
        <v>41518</v>
      </c>
      <c r="B49">
        <v>4.4037499999999996</v>
      </c>
      <c r="C49" s="2">
        <v>42.885286659668708</v>
      </c>
      <c r="D49">
        <v>37.200000000000003</v>
      </c>
      <c r="E49" s="2">
        <v>41.055625487002203</v>
      </c>
      <c r="F49" s="2">
        <v>-1.8296611726665049</v>
      </c>
      <c r="G49" s="2">
        <f t="shared" si="0"/>
        <v>5.6852866596687051</v>
      </c>
      <c r="H49" s="2">
        <f t="shared" si="1"/>
        <v>32.322484402606939</v>
      </c>
      <c r="I49" s="2"/>
      <c r="U49" s="1"/>
    </row>
    <row r="50" spans="1:21" x14ac:dyDescent="0.25">
      <c r="A50" s="1">
        <v>41487</v>
      </c>
      <c r="B50">
        <v>4.3090000000000002</v>
      </c>
      <c r="C50" s="2">
        <v>39.667621210196593</v>
      </c>
      <c r="D50">
        <v>42.38</v>
      </c>
      <c r="E50" s="2">
        <v>40.550338827333498</v>
      </c>
      <c r="F50" s="2">
        <v>0.88271761713690466</v>
      </c>
      <c r="G50" s="2">
        <f t="shared" si="0"/>
        <v>-2.7123787898034095</v>
      </c>
      <c r="H50" s="2">
        <f t="shared" si="1"/>
        <v>7.3569986993754082</v>
      </c>
      <c r="I50" s="2"/>
      <c r="U50" s="1"/>
    </row>
    <row r="51" spans="1:21" x14ac:dyDescent="0.25">
      <c r="A51" s="1">
        <v>41456</v>
      </c>
      <c r="B51">
        <v>4.0075000000000003</v>
      </c>
      <c r="C51" s="2">
        <v>55.086395626630704</v>
      </c>
      <c r="D51">
        <v>53.22</v>
      </c>
      <c r="E51" s="2">
        <v>54.102717617136904</v>
      </c>
      <c r="F51" s="2">
        <v>-0.98367800949380069</v>
      </c>
      <c r="G51" s="2">
        <f t="shared" si="0"/>
        <v>1.8663956266307054</v>
      </c>
      <c r="H51" s="2">
        <f t="shared" si="1"/>
        <v>3.4834326351062233</v>
      </c>
      <c r="I51" s="2"/>
      <c r="U51" s="1"/>
    </row>
    <row r="52" spans="1:21" x14ac:dyDescent="0.25">
      <c r="A52" s="1">
        <v>41426</v>
      </c>
      <c r="B52">
        <v>3.4660000000000002</v>
      </c>
      <c r="C52" s="2">
        <v>70.792108178261003</v>
      </c>
      <c r="D52">
        <v>74.19</v>
      </c>
      <c r="E52" s="2">
        <v>73.206321990506197</v>
      </c>
      <c r="F52" s="2">
        <v>2.4142138122451939</v>
      </c>
      <c r="G52" s="2">
        <f t="shared" si="0"/>
        <v>-3.3978918217389946</v>
      </c>
      <c r="H52" s="2">
        <f t="shared" si="1"/>
        <v>11.545668832240743</v>
      </c>
      <c r="I52" s="2"/>
      <c r="U52" s="1"/>
    </row>
    <row r="53" spans="1:21" x14ac:dyDescent="0.25">
      <c r="A53" s="1">
        <v>41395</v>
      </c>
      <c r="B53">
        <v>3.3887499999999999</v>
      </c>
      <c r="C53" s="2">
        <v>86.190788367219895</v>
      </c>
      <c r="D53">
        <v>78.95</v>
      </c>
      <c r="E53" s="2">
        <v>81.364213812245197</v>
      </c>
      <c r="F53" s="2">
        <v>-4.8265745549746981</v>
      </c>
      <c r="G53" s="2">
        <f t="shared" si="0"/>
        <v>7.2407883672198921</v>
      </c>
      <c r="H53" s="2">
        <f t="shared" si="1"/>
        <v>52.42901617886691</v>
      </c>
      <c r="I53" s="2"/>
      <c r="U53" s="1"/>
    </row>
    <row r="54" spans="1:21" x14ac:dyDescent="0.25">
      <c r="A54" s="1">
        <v>41365</v>
      </c>
      <c r="B54">
        <v>3.50875</v>
      </c>
      <c r="C54" s="2">
        <v>75.53446503600091</v>
      </c>
      <c r="D54">
        <v>74.56</v>
      </c>
      <c r="E54" s="2">
        <v>69.733425445025304</v>
      </c>
      <c r="F54" s="2">
        <v>-5.8010395909756056</v>
      </c>
      <c r="G54" s="2">
        <f t="shared" si="0"/>
        <v>0.9744650360009075</v>
      </c>
      <c r="H54" s="2">
        <f t="shared" si="1"/>
        <v>0.94958210638824991</v>
      </c>
      <c r="I54" s="2"/>
      <c r="U54" s="1"/>
    </row>
    <row r="55" spans="1:21" x14ac:dyDescent="0.25">
      <c r="A55" s="1">
        <v>41334</v>
      </c>
      <c r="B55">
        <v>3.4824999999999999</v>
      </c>
      <c r="C55" s="2">
        <v>71.4473355726888</v>
      </c>
      <c r="D55">
        <v>77.53</v>
      </c>
      <c r="E55" s="2">
        <v>71.728960409024396</v>
      </c>
      <c r="F55" s="2">
        <v>0.28162483633559532</v>
      </c>
      <c r="G55" s="2">
        <f t="shared" si="0"/>
        <v>-6.0826644273112009</v>
      </c>
      <c r="H55" s="2">
        <f t="shared" si="1"/>
        <v>36.998806535277097</v>
      </c>
      <c r="I55" s="2"/>
      <c r="U55" s="1"/>
    </row>
    <row r="56" spans="1:21" x14ac:dyDescent="0.25">
      <c r="A56" s="1">
        <v>41306</v>
      </c>
      <c r="B56">
        <v>3.339</v>
      </c>
      <c r="C56" s="2">
        <v>90.936375331294997</v>
      </c>
      <c r="D56">
        <v>87.22</v>
      </c>
      <c r="E56" s="2">
        <v>87.501624836335594</v>
      </c>
      <c r="F56" s="2">
        <v>-3.4347504949594025</v>
      </c>
      <c r="G56" s="2">
        <f t="shared" si="0"/>
        <v>3.7163753312949979</v>
      </c>
      <c r="H56" s="2">
        <f t="shared" si="1"/>
        <v>13.811445603058004</v>
      </c>
      <c r="I56" s="2"/>
      <c r="U56" s="1"/>
    </row>
    <row r="57" spans="1:21" x14ac:dyDescent="0.25">
      <c r="A57" s="1">
        <v>41275</v>
      </c>
      <c r="B57">
        <v>3.27</v>
      </c>
      <c r="C57" s="2">
        <v>92.270691992127198</v>
      </c>
      <c r="D57">
        <v>92.87</v>
      </c>
      <c r="E57" s="2">
        <v>89.435249505040602</v>
      </c>
      <c r="F57" s="2">
        <v>-2.8354424870865955</v>
      </c>
      <c r="G57" s="2">
        <f t="shared" si="0"/>
        <v>-0.59930800787280702</v>
      </c>
      <c r="H57" s="2">
        <f t="shared" si="1"/>
        <v>0.35917008830047253</v>
      </c>
      <c r="I57" s="2"/>
      <c r="U57" s="1"/>
    </row>
    <row r="58" spans="1:21" x14ac:dyDescent="0.25">
      <c r="A58" s="1">
        <v>41244</v>
      </c>
      <c r="B58">
        <v>3.2737500000000002</v>
      </c>
      <c r="C58" s="2">
        <v>94.5180059345155</v>
      </c>
      <c r="D58">
        <v>94.5</v>
      </c>
      <c r="E58" s="2">
        <v>91.664557512913404</v>
      </c>
      <c r="F58" s="2">
        <v>-2.8534484216020957</v>
      </c>
      <c r="G58" s="2">
        <f t="shared" si="0"/>
        <v>1.8005934515500144E-2</v>
      </c>
      <c r="H58" s="2">
        <f t="shared" si="1"/>
        <v>3.2421367777647937E-4</v>
      </c>
      <c r="I58" s="2"/>
      <c r="U58" s="1"/>
    </row>
    <row r="59" spans="1:21" x14ac:dyDescent="0.25">
      <c r="A59" s="1">
        <v>41214</v>
      </c>
      <c r="B59">
        <v>3.3039999999999998</v>
      </c>
      <c r="C59" s="2">
        <v>96.867259844471889</v>
      </c>
      <c r="D59">
        <v>96.07</v>
      </c>
      <c r="E59" s="2">
        <v>93.216551578397898</v>
      </c>
      <c r="F59" s="2">
        <v>-3.6507082660739911</v>
      </c>
      <c r="G59" s="2">
        <f t="shared" si="0"/>
        <v>0.79725984447189546</v>
      </c>
      <c r="H59" s="2">
        <f t="shared" si="1"/>
        <v>0.63562325960735089</v>
      </c>
      <c r="I59" s="2"/>
      <c r="U59" s="1"/>
    </row>
    <row r="60" spans="1:21" x14ac:dyDescent="0.25">
      <c r="A60" s="1">
        <v>41183</v>
      </c>
      <c r="B60">
        <v>3.4037500000000001</v>
      </c>
      <c r="C60" s="2">
        <v>84.707437319546713</v>
      </c>
      <c r="D60">
        <v>92.63</v>
      </c>
      <c r="E60" s="2">
        <v>88.979291733926004</v>
      </c>
      <c r="F60" s="2">
        <v>4.2718544143792911</v>
      </c>
      <c r="G60" s="2">
        <f t="shared" si="0"/>
        <v>-7.9225626804532823</v>
      </c>
      <c r="H60" s="2">
        <f t="shared" si="1"/>
        <v>62.766999425711099</v>
      </c>
      <c r="I60" s="2"/>
      <c r="U60" s="1"/>
    </row>
    <row r="61" spans="1:21" x14ac:dyDescent="0.25">
      <c r="A61" s="1">
        <v>41153</v>
      </c>
      <c r="B61">
        <v>3.512</v>
      </c>
      <c r="C61" s="2">
        <v>91.382399707195205</v>
      </c>
      <c r="D61">
        <v>89.15</v>
      </c>
      <c r="E61" s="2">
        <v>93.421854414379297</v>
      </c>
      <c r="F61" s="2">
        <v>2.0394547071840918</v>
      </c>
      <c r="G61" s="2">
        <f t="shared" si="0"/>
        <v>2.2323997071951993</v>
      </c>
      <c r="H61" s="2">
        <f t="shared" si="1"/>
        <v>4.9836084526852114</v>
      </c>
      <c r="I61" s="2"/>
      <c r="U61" s="1"/>
    </row>
    <row r="62" spans="1:21" x14ac:dyDescent="0.25">
      <c r="A62" s="1">
        <v>41122</v>
      </c>
      <c r="B62">
        <v>3.4812500000000002</v>
      </c>
      <c r="C62" s="2">
        <v>93.491634312256792</v>
      </c>
      <c r="D62">
        <v>91.76</v>
      </c>
      <c r="E62" s="2">
        <v>93.799454707184097</v>
      </c>
      <c r="F62" s="2">
        <v>0.30782039492730462</v>
      </c>
      <c r="G62" s="2">
        <f t="shared" si="0"/>
        <v>1.7316343122567872</v>
      </c>
      <c r="H62" s="2">
        <f t="shared" si="1"/>
        <v>2.9985573913850363</v>
      </c>
      <c r="I62" s="2"/>
      <c r="U62" s="1"/>
    </row>
    <row r="63" spans="1:21" x14ac:dyDescent="0.25">
      <c r="A63" s="1">
        <v>41091</v>
      </c>
      <c r="B63">
        <v>3.6</v>
      </c>
      <c r="C63" s="2">
        <v>88.741070311748203</v>
      </c>
      <c r="D63">
        <v>89.97</v>
      </c>
      <c r="E63" s="2">
        <v>90.277820394927303</v>
      </c>
      <c r="F63" s="2">
        <v>1.5367500831791006</v>
      </c>
      <c r="G63" s="2">
        <f t="shared" si="0"/>
        <v>-1.2289296882517959</v>
      </c>
      <c r="H63" s="2">
        <f t="shared" si="1"/>
        <v>1.5102681786666563</v>
      </c>
      <c r="I63" s="2"/>
      <c r="U63" s="1"/>
    </row>
    <row r="64" spans="1:21" x14ac:dyDescent="0.25">
      <c r="A64" s="1">
        <v>41061</v>
      </c>
      <c r="B64">
        <v>3.738</v>
      </c>
      <c r="C64" s="2">
        <v>84.583686850954606</v>
      </c>
      <c r="D64">
        <v>88.11</v>
      </c>
      <c r="E64" s="2">
        <v>89.6467500831791</v>
      </c>
      <c r="F64" s="2">
        <v>5.0630632322244935</v>
      </c>
      <c r="G64" s="2">
        <f t="shared" si="0"/>
        <v>-3.5263131490453929</v>
      </c>
      <c r="H64" s="2">
        <f t="shared" si="1"/>
        <v>12.434884425130436</v>
      </c>
      <c r="I64" s="2"/>
      <c r="U64" s="1"/>
    </row>
    <row r="65" spans="1:21" x14ac:dyDescent="0.25">
      <c r="A65" s="1">
        <v>41030</v>
      </c>
      <c r="B65">
        <v>3.8412500000000001</v>
      </c>
      <c r="C65" s="2">
        <v>88.069408960116306</v>
      </c>
      <c r="D65">
        <v>84.2</v>
      </c>
      <c r="E65" s="2">
        <v>89.263063232224496</v>
      </c>
      <c r="F65" s="2">
        <v>1.1936542721081906</v>
      </c>
      <c r="G65" s="2">
        <f t="shared" si="0"/>
        <v>3.8694089601163029</v>
      </c>
      <c r="H65" s="2">
        <f t="shared" si="1"/>
        <v>14.972325700628328</v>
      </c>
      <c r="I65" s="2"/>
      <c r="U65" s="1"/>
    </row>
    <row r="66" spans="1:21" x14ac:dyDescent="0.25">
      <c r="A66" s="1">
        <v>41000</v>
      </c>
      <c r="B66">
        <v>3.9112499999999999</v>
      </c>
      <c r="C66" s="2">
        <v>86.842007938883896</v>
      </c>
      <c r="D66">
        <v>82.4</v>
      </c>
      <c r="E66" s="2">
        <v>83.593654272108196</v>
      </c>
      <c r="F66" s="2">
        <v>-3.2483536667756994</v>
      </c>
      <c r="G66" s="2">
        <f t="shared" si="0"/>
        <v>4.44200793888389</v>
      </c>
      <c r="H66" s="2">
        <f t="shared" si="1"/>
        <v>19.731434529107506</v>
      </c>
      <c r="I66" s="2"/>
      <c r="U66" s="1"/>
    </row>
    <row r="67" spans="1:21" x14ac:dyDescent="0.25">
      <c r="A67" s="1">
        <v>40969</v>
      </c>
      <c r="B67">
        <v>3.8420000000000001</v>
      </c>
      <c r="C67" s="2">
        <v>86.868149296276684</v>
      </c>
      <c r="D67">
        <v>87.32</v>
      </c>
      <c r="E67" s="2">
        <v>84.071646333224294</v>
      </c>
      <c r="F67" s="2">
        <v>-2.7965029630523901</v>
      </c>
      <c r="G67" s="2">
        <f t="shared" ref="G67:G128" si="2">C67-D67</f>
        <v>-0.45185070372330927</v>
      </c>
      <c r="H67" s="2">
        <f t="shared" ref="H67:H128" si="3">G67^2</f>
        <v>0.2041690584552498</v>
      </c>
      <c r="I67" s="2"/>
      <c r="U67" s="1"/>
    </row>
    <row r="68" spans="1:21" x14ac:dyDescent="0.25">
      <c r="A68" s="1">
        <v>40940</v>
      </c>
      <c r="B68">
        <v>3.8525</v>
      </c>
      <c r="C68" s="2">
        <v>86.084357713682309</v>
      </c>
      <c r="D68">
        <v>88.32</v>
      </c>
      <c r="E68" s="2">
        <v>85.523497036947603</v>
      </c>
      <c r="F68" s="2">
        <v>-0.56086067673470552</v>
      </c>
      <c r="G68" s="2">
        <f t="shared" si="2"/>
        <v>-2.2356422863176846</v>
      </c>
      <c r="H68" s="2">
        <f t="shared" si="3"/>
        <v>4.9980964323717636</v>
      </c>
      <c r="I68" s="2"/>
      <c r="U68" s="1"/>
    </row>
    <row r="69" spans="1:21" x14ac:dyDescent="0.25">
      <c r="A69" s="1">
        <v>40909</v>
      </c>
      <c r="B69">
        <v>3.8787500000000001</v>
      </c>
      <c r="C69" s="2">
        <v>85.806754830294196</v>
      </c>
      <c r="D69">
        <v>88.11</v>
      </c>
      <c r="E69" s="2">
        <v>87.549139323265294</v>
      </c>
      <c r="F69" s="2">
        <v>1.7423844929710981</v>
      </c>
      <c r="G69" s="2">
        <f t="shared" si="2"/>
        <v>-2.3032451697058036</v>
      </c>
      <c r="H69" s="2">
        <f t="shared" si="3"/>
        <v>5.3049383117731157</v>
      </c>
      <c r="I69" s="2"/>
      <c r="U69" s="1"/>
    </row>
    <row r="70" spans="1:21" x14ac:dyDescent="0.25">
      <c r="A70" s="1">
        <v>40878</v>
      </c>
      <c r="B70">
        <v>3.919</v>
      </c>
      <c r="C70" s="2">
        <v>89.003571505900695</v>
      </c>
      <c r="D70">
        <v>87.91</v>
      </c>
      <c r="E70" s="2">
        <v>89.652384492971095</v>
      </c>
      <c r="F70" s="2">
        <v>0.64881298707040003</v>
      </c>
      <c r="G70" s="2">
        <f t="shared" si="2"/>
        <v>1.0935715059006981</v>
      </c>
      <c r="H70" s="2">
        <f t="shared" si="3"/>
        <v>1.1958986385179204</v>
      </c>
      <c r="I70" s="2"/>
      <c r="U70" s="1"/>
    </row>
    <row r="71" spans="1:21" x14ac:dyDescent="0.25">
      <c r="A71" s="1">
        <v>40848</v>
      </c>
      <c r="B71">
        <v>4.0175000000000001</v>
      </c>
      <c r="C71" s="2">
        <v>78.078812987070407</v>
      </c>
      <c r="D71">
        <v>83.43</v>
      </c>
      <c r="E71" s="2">
        <v>84.078812987070407</v>
      </c>
      <c r="F71" s="2">
        <v>6</v>
      </c>
      <c r="G71" s="2">
        <f t="shared" si="2"/>
        <v>-5.3511870129296</v>
      </c>
      <c r="H71" s="2">
        <f t="shared" si="3"/>
        <v>28.635202447346416</v>
      </c>
      <c r="I71" s="2"/>
      <c r="U71" s="1"/>
    </row>
    <row r="72" spans="1:21" x14ac:dyDescent="0.25">
      <c r="A72" s="1">
        <v>40817</v>
      </c>
      <c r="B72">
        <v>4.0025000000000004</v>
      </c>
      <c r="C72" s="2">
        <v>85.515088364488292</v>
      </c>
      <c r="D72">
        <v>82.8</v>
      </c>
      <c r="E72" s="2">
        <v>90.414021776566202</v>
      </c>
      <c r="F72" s="2">
        <v>4.8989334120779091</v>
      </c>
      <c r="G72" s="2">
        <f t="shared" si="2"/>
        <v>2.7150883644882953</v>
      </c>
      <c r="H72" s="2">
        <f t="shared" si="3"/>
        <v>7.3717048269797258</v>
      </c>
      <c r="I72" s="2"/>
      <c r="U72" s="1"/>
    </row>
    <row r="73" spans="1:21" x14ac:dyDescent="0.25">
      <c r="A73" s="1">
        <v>40787</v>
      </c>
      <c r="B73">
        <v>4.1900000000000004</v>
      </c>
      <c r="C73" s="2">
        <v>82.973334711337898</v>
      </c>
      <c r="D73">
        <v>73.959999999999994</v>
      </c>
      <c r="E73" s="2">
        <v>78.858933412077903</v>
      </c>
      <c r="F73" s="2">
        <v>-4.1144012992599954</v>
      </c>
      <c r="G73" s="2">
        <f t="shared" si="2"/>
        <v>9.0133347113379045</v>
      </c>
      <c r="H73" s="2">
        <f t="shared" si="3"/>
        <v>81.240202618608748</v>
      </c>
      <c r="I73" s="2"/>
      <c r="U73" s="1"/>
    </row>
    <row r="74" spans="1:21" x14ac:dyDescent="0.25">
      <c r="A74" s="1">
        <v>40756</v>
      </c>
      <c r="B74">
        <v>4.4762500000000003</v>
      </c>
      <c r="C74" s="2">
        <v>56.843065034273707</v>
      </c>
      <c r="D74">
        <v>55.51</v>
      </c>
      <c r="E74" s="2">
        <v>51.395598700740003</v>
      </c>
      <c r="F74" s="2">
        <v>-5.4474663335337041</v>
      </c>
      <c r="G74" s="2">
        <f t="shared" si="2"/>
        <v>1.3330650342737087</v>
      </c>
      <c r="H74" s="2">
        <f t="shared" si="3"/>
        <v>1.7770623856031642</v>
      </c>
      <c r="I74" s="2"/>
      <c r="U74" s="1"/>
    </row>
    <row r="75" spans="1:21" x14ac:dyDescent="0.25">
      <c r="A75" s="1">
        <v>40725</v>
      </c>
      <c r="B75">
        <v>4.4349999999999996</v>
      </c>
      <c r="C75" s="2">
        <v>53.621847019581693</v>
      </c>
      <c r="D75">
        <v>56.99</v>
      </c>
      <c r="E75" s="2">
        <v>51.542533666466298</v>
      </c>
      <c r="F75" s="2">
        <v>-2.0793133531153956</v>
      </c>
      <c r="G75" s="2">
        <f t="shared" si="2"/>
        <v>-3.3681529804183086</v>
      </c>
      <c r="H75" s="2">
        <f t="shared" si="3"/>
        <v>11.344454499500735</v>
      </c>
      <c r="I75" s="2"/>
      <c r="U75" s="1"/>
    </row>
    <row r="76" spans="1:21" x14ac:dyDescent="0.25">
      <c r="A76" s="1">
        <v>40695</v>
      </c>
      <c r="B76">
        <v>4.5625</v>
      </c>
      <c r="C76" s="2">
        <v>57.893162076270407</v>
      </c>
      <c r="D76">
        <v>54.58</v>
      </c>
      <c r="E76" s="2">
        <v>52.500686646884603</v>
      </c>
      <c r="F76" s="2">
        <v>-5.3924754293858044</v>
      </c>
      <c r="G76" s="2">
        <f t="shared" si="2"/>
        <v>3.3131620762704088</v>
      </c>
      <c r="H76" s="2">
        <f t="shared" si="3"/>
        <v>10.977042943636446</v>
      </c>
      <c r="I76" s="2"/>
      <c r="U76" s="1"/>
    </row>
    <row r="77" spans="1:21" x14ac:dyDescent="0.25">
      <c r="A77" s="1">
        <v>40664</v>
      </c>
      <c r="B77">
        <v>4.75875</v>
      </c>
      <c r="C77" s="2">
        <v>52.817524570614196</v>
      </c>
      <c r="D77">
        <v>52.21</v>
      </c>
      <c r="E77" s="2">
        <v>46.817524570614196</v>
      </c>
      <c r="F77" s="2">
        <v>-6</v>
      </c>
      <c r="G77" s="2">
        <f t="shared" si="2"/>
        <v>0.60752457061419562</v>
      </c>
      <c r="H77" s="2">
        <f t="shared" si="3"/>
        <v>0.36908610389996277</v>
      </c>
      <c r="I77" s="2"/>
      <c r="U77" s="1"/>
    </row>
    <row r="78" spans="1:21" x14ac:dyDescent="0.25">
      <c r="A78" s="1">
        <v>40634</v>
      </c>
      <c r="B78">
        <v>4.7610000000000001</v>
      </c>
      <c r="C78" s="2">
        <v>51.783312917903203</v>
      </c>
      <c r="D78">
        <v>53.7</v>
      </c>
      <c r="E78" s="2">
        <v>47.603965537470401</v>
      </c>
      <c r="F78" s="2">
        <v>-4.1793473804328016</v>
      </c>
      <c r="G78" s="2">
        <f t="shared" si="2"/>
        <v>-1.9166870820968001</v>
      </c>
      <c r="H78" s="2">
        <f t="shared" si="3"/>
        <v>3.6736893706767457</v>
      </c>
      <c r="I78" s="2"/>
      <c r="U78" s="1"/>
    </row>
    <row r="79" spans="1:21" x14ac:dyDescent="0.25">
      <c r="A79" s="1">
        <v>40603</v>
      </c>
      <c r="B79">
        <v>4.8775000000000004</v>
      </c>
      <c r="C79" s="2">
        <v>52.9906526195672</v>
      </c>
      <c r="D79">
        <v>51.17</v>
      </c>
      <c r="E79" s="2">
        <v>46.9906526195672</v>
      </c>
      <c r="F79" s="2">
        <v>-6</v>
      </c>
      <c r="G79" s="2">
        <f t="shared" si="2"/>
        <v>1.8206526195671984</v>
      </c>
      <c r="H79" s="2">
        <f t="shared" si="3"/>
        <v>3.3147759611369016</v>
      </c>
      <c r="I79" s="2"/>
      <c r="U79" s="1"/>
    </row>
    <row r="80" spans="1:21" x14ac:dyDescent="0.25">
      <c r="A80" s="1">
        <v>40575</v>
      </c>
      <c r="B80">
        <v>4.6987500000000004</v>
      </c>
      <c r="C80" s="2">
        <v>53.584258400171002</v>
      </c>
      <c r="D80">
        <v>58.86</v>
      </c>
      <c r="E80" s="2">
        <v>47.584258400171002</v>
      </c>
      <c r="F80" s="2">
        <v>-6</v>
      </c>
      <c r="G80" s="2">
        <f t="shared" si="2"/>
        <v>-5.2757415998289972</v>
      </c>
      <c r="H80" s="2">
        <f t="shared" si="3"/>
        <v>27.833449428166226</v>
      </c>
      <c r="I80" s="2"/>
      <c r="U80" s="1"/>
    </row>
    <row r="81" spans="1:21" x14ac:dyDescent="0.25">
      <c r="A81" s="1">
        <v>40544</v>
      </c>
      <c r="B81">
        <v>4.649</v>
      </c>
      <c r="C81" s="2">
        <v>52.308315852812804</v>
      </c>
      <c r="D81">
        <v>61.73</v>
      </c>
      <c r="E81" s="2">
        <v>54.834349540527903</v>
      </c>
      <c r="F81" s="2">
        <v>2.5260336877150991</v>
      </c>
      <c r="G81" s="2">
        <f t="shared" si="2"/>
        <v>-9.421684147187193</v>
      </c>
      <c r="H81" s="2">
        <f t="shared" si="3"/>
        <v>88.768132169358466</v>
      </c>
      <c r="I81" s="2"/>
      <c r="U81" s="1"/>
    </row>
    <row r="82" spans="1:21" x14ac:dyDescent="0.25">
      <c r="A82" s="1">
        <v>40513</v>
      </c>
      <c r="B82">
        <v>4.2562499999999996</v>
      </c>
      <c r="C82" s="2">
        <v>84.614907967869101</v>
      </c>
      <c r="D82">
        <v>82.68</v>
      </c>
      <c r="E82" s="2">
        <v>85.206033687715106</v>
      </c>
      <c r="F82" s="2">
        <v>0.59112571984600493</v>
      </c>
      <c r="G82" s="2">
        <f t="shared" si="2"/>
        <v>1.9349079678690941</v>
      </c>
      <c r="H82" s="2">
        <f t="shared" si="3"/>
        <v>3.7438688441233072</v>
      </c>
      <c r="I82" s="2"/>
      <c r="U82" s="1"/>
    </row>
    <row r="83" spans="1:21" x14ac:dyDescent="0.25">
      <c r="A83" s="1">
        <v>40483</v>
      </c>
      <c r="B83">
        <v>4.1749999999999998</v>
      </c>
      <c r="C83" s="2">
        <v>88.288444843821907</v>
      </c>
      <c r="D83">
        <v>90.03</v>
      </c>
      <c r="E83" s="2">
        <v>90.621125719846006</v>
      </c>
      <c r="F83" s="2">
        <v>2.3326808760240993</v>
      </c>
      <c r="G83" s="2">
        <f t="shared" si="2"/>
        <v>-1.7415551561780944</v>
      </c>
      <c r="H83" s="2">
        <f t="shared" si="3"/>
        <v>3.033014362010507</v>
      </c>
      <c r="I83" s="2"/>
      <c r="U83" s="1"/>
    </row>
    <row r="84" spans="1:21" x14ac:dyDescent="0.25">
      <c r="A84" s="1">
        <v>40452</v>
      </c>
      <c r="B84">
        <v>4.2759999999999998</v>
      </c>
      <c r="C84" s="2">
        <v>83.592680876024104</v>
      </c>
      <c r="D84">
        <v>87.26</v>
      </c>
      <c r="E84" s="2">
        <v>89.592680876024104</v>
      </c>
      <c r="F84" s="2">
        <v>6</v>
      </c>
      <c r="G84" s="2">
        <f t="shared" si="2"/>
        <v>-3.6673191239759007</v>
      </c>
      <c r="H84" s="2">
        <f t="shared" si="3"/>
        <v>13.449229557079367</v>
      </c>
      <c r="I84" s="2"/>
      <c r="U84" s="1"/>
    </row>
    <row r="85" spans="1:21" x14ac:dyDescent="0.25">
      <c r="A85" s="1">
        <v>40422</v>
      </c>
      <c r="B85">
        <v>4.3525</v>
      </c>
      <c r="C85" s="2">
        <v>85.127784587126399</v>
      </c>
      <c r="D85">
        <v>81.67</v>
      </c>
      <c r="E85" s="2">
        <v>91.127784587126399</v>
      </c>
      <c r="F85" s="2">
        <v>6</v>
      </c>
      <c r="G85" s="2">
        <f t="shared" si="2"/>
        <v>3.4577845871263975</v>
      </c>
      <c r="H85" s="2">
        <f t="shared" si="3"/>
        <v>11.956274250968871</v>
      </c>
      <c r="I85" s="2"/>
      <c r="U85" s="1"/>
    </row>
    <row r="86" spans="1:21" x14ac:dyDescent="0.25">
      <c r="A86" s="1">
        <v>40391</v>
      </c>
      <c r="B86">
        <v>4.4850000000000003</v>
      </c>
      <c r="C86" s="2">
        <v>83.402997451217701</v>
      </c>
      <c r="D86">
        <v>73.11</v>
      </c>
      <c r="E86" s="2">
        <v>81.651690050379401</v>
      </c>
      <c r="F86" s="2">
        <v>-1.7513074008383001</v>
      </c>
      <c r="G86" s="2">
        <f t="shared" si="2"/>
        <v>10.292997451217701</v>
      </c>
      <c r="H86" s="2">
        <f t="shared" si="3"/>
        <v>105.94579653077409</v>
      </c>
      <c r="I86" s="2"/>
      <c r="U86" s="1"/>
    </row>
    <row r="87" spans="1:21" x14ac:dyDescent="0.25">
      <c r="A87" s="1">
        <v>40360</v>
      </c>
      <c r="B87">
        <v>4.6360000000000001</v>
      </c>
      <c r="C87" s="2">
        <v>67.915213099156688</v>
      </c>
      <c r="D87">
        <v>69.709999999999994</v>
      </c>
      <c r="E87" s="2">
        <v>67.958692599161694</v>
      </c>
      <c r="F87" s="2">
        <v>4.3479500005005889E-2</v>
      </c>
      <c r="G87" s="2">
        <f t="shared" si="2"/>
        <v>-1.7947869008433059</v>
      </c>
      <c r="H87" s="2">
        <f t="shared" si="3"/>
        <v>3.2212600194387191</v>
      </c>
      <c r="I87" s="2"/>
      <c r="U87" s="1"/>
    </row>
    <row r="88" spans="1:21" x14ac:dyDescent="0.25">
      <c r="A88" s="1">
        <v>40330</v>
      </c>
      <c r="B88">
        <v>4.8125</v>
      </c>
      <c r="C88" s="2">
        <v>64.506809465209415</v>
      </c>
      <c r="D88">
        <v>66.47</v>
      </c>
      <c r="E88" s="2">
        <v>66.513479500005005</v>
      </c>
      <c r="F88" s="2">
        <v>2.0066700347955972</v>
      </c>
      <c r="G88" s="2">
        <f t="shared" si="2"/>
        <v>-1.9631905347905843</v>
      </c>
      <c r="H88" s="2">
        <f t="shared" si="3"/>
        <v>3.8541170758913403</v>
      </c>
      <c r="I88" s="2"/>
      <c r="U88" s="1"/>
    </row>
    <row r="89" spans="1:21" x14ac:dyDescent="0.25">
      <c r="A89" s="1">
        <v>40299</v>
      </c>
      <c r="B89">
        <v>5.0149999999999997</v>
      </c>
      <c r="C89" s="2">
        <v>64.168750169955501</v>
      </c>
      <c r="D89">
        <v>58.49</v>
      </c>
      <c r="E89" s="2">
        <v>60.496670034795599</v>
      </c>
      <c r="F89" s="2">
        <v>-3.6720801351599093</v>
      </c>
      <c r="G89" s="2">
        <f t="shared" si="2"/>
        <v>5.6787501699554994</v>
      </c>
      <c r="H89" s="2">
        <f t="shared" si="3"/>
        <v>32.248203492769612</v>
      </c>
      <c r="I89" s="2"/>
      <c r="U89" s="1"/>
    </row>
    <row r="90" spans="1:21" x14ac:dyDescent="0.25">
      <c r="A90" s="1">
        <v>40269</v>
      </c>
      <c r="B90">
        <v>4.91</v>
      </c>
      <c r="C90" s="2">
        <v>65.061007410322304</v>
      </c>
      <c r="D90">
        <v>66.790000000000006</v>
      </c>
      <c r="E90" s="2">
        <v>63.117919864840097</v>
      </c>
      <c r="F90" s="2">
        <v>-1.9430875454822001</v>
      </c>
      <c r="G90" s="2">
        <f t="shared" si="2"/>
        <v>-1.7289925896777021</v>
      </c>
      <c r="H90" s="2">
        <f t="shared" si="3"/>
        <v>2.9894153751604069</v>
      </c>
      <c r="I90" s="2"/>
      <c r="U90" s="1"/>
    </row>
    <row r="91" spans="1:21" x14ac:dyDescent="0.25">
      <c r="A91" s="1">
        <v>40238</v>
      </c>
      <c r="B91">
        <v>4.915</v>
      </c>
      <c r="C91" s="2">
        <v>63.957449031776193</v>
      </c>
      <c r="D91">
        <v>66.66</v>
      </c>
      <c r="E91" s="2">
        <v>64.716912454517797</v>
      </c>
      <c r="F91" s="2">
        <v>0.75946342274160372</v>
      </c>
      <c r="G91" s="2">
        <f t="shared" si="2"/>
        <v>-2.7025509682238038</v>
      </c>
      <c r="H91" s="2">
        <f t="shared" si="3"/>
        <v>7.3037817358474193</v>
      </c>
      <c r="I91" s="2"/>
      <c r="U91" s="1"/>
    </row>
    <row r="92" spans="1:21" x14ac:dyDescent="0.25">
      <c r="A92" s="1">
        <v>40210</v>
      </c>
      <c r="B92">
        <v>4.9487500000000004</v>
      </c>
      <c r="C92" s="2">
        <v>65.231822598803305</v>
      </c>
      <c r="D92">
        <v>66.41</v>
      </c>
      <c r="E92" s="2">
        <v>67.1694634227416</v>
      </c>
      <c r="F92" s="2">
        <v>1.9376408239382954</v>
      </c>
      <c r="G92" s="2">
        <f t="shared" si="2"/>
        <v>-1.1781774011966917</v>
      </c>
      <c r="H92" s="2">
        <f t="shared" si="3"/>
        <v>1.3881019886905901</v>
      </c>
      <c r="I92" s="2"/>
      <c r="U92" s="1"/>
    </row>
    <row r="93" spans="1:21" x14ac:dyDescent="0.25">
      <c r="A93" s="1">
        <v>40179</v>
      </c>
      <c r="B93">
        <v>4.8550000000000004</v>
      </c>
      <c r="C93" s="2">
        <v>73.157054818560496</v>
      </c>
      <c r="D93">
        <v>71.17</v>
      </c>
      <c r="E93" s="2">
        <v>73.107640823938297</v>
      </c>
      <c r="F93" s="2">
        <v>-4.9413994622199198E-2</v>
      </c>
      <c r="G93" s="2">
        <f t="shared" si="2"/>
        <v>1.9870548185604946</v>
      </c>
      <c r="H93" s="2">
        <f t="shared" si="3"/>
        <v>3.94838685196448</v>
      </c>
      <c r="I93" s="2"/>
      <c r="U93" s="1"/>
    </row>
    <row r="94" spans="1:21" x14ac:dyDescent="0.25">
      <c r="A94" s="1">
        <v>40148</v>
      </c>
      <c r="B94">
        <v>4.8</v>
      </c>
      <c r="C94" s="2">
        <v>72.633227390732813</v>
      </c>
      <c r="D94">
        <v>75.5</v>
      </c>
      <c r="E94" s="2">
        <v>75.450586005377801</v>
      </c>
      <c r="F94" s="2">
        <v>2.8173586146449878</v>
      </c>
      <c r="G94" s="2">
        <f t="shared" si="2"/>
        <v>-2.866772609267187</v>
      </c>
      <c r="H94" s="2">
        <f t="shared" si="3"/>
        <v>8.218385193244595</v>
      </c>
      <c r="I94" s="2"/>
      <c r="U94" s="1"/>
    </row>
    <row r="95" spans="1:21" x14ac:dyDescent="0.25">
      <c r="A95" s="1">
        <v>40118</v>
      </c>
      <c r="B95">
        <v>4.88</v>
      </c>
      <c r="C95" s="2">
        <v>76.227439190520101</v>
      </c>
      <c r="D95">
        <v>74.290000000000006</v>
      </c>
      <c r="E95" s="2">
        <v>77.107358614644994</v>
      </c>
      <c r="F95" s="2">
        <v>0.87991942412489266</v>
      </c>
      <c r="G95" s="2">
        <f t="shared" si="2"/>
        <v>1.9374391905200952</v>
      </c>
      <c r="H95" s="2">
        <f t="shared" si="3"/>
        <v>3.7536706169631615</v>
      </c>
      <c r="I95" s="2"/>
      <c r="U95" s="1"/>
    </row>
    <row r="96" spans="1:21" x14ac:dyDescent="0.25">
      <c r="A96" s="1">
        <v>40087</v>
      </c>
      <c r="B96">
        <v>4.9539999999999997</v>
      </c>
      <c r="C96" s="2">
        <v>70.656381232925895</v>
      </c>
      <c r="D96">
        <v>70.790000000000006</v>
      </c>
      <c r="E96" s="2">
        <v>71.669919424124899</v>
      </c>
      <c r="F96" s="2">
        <v>1.0135381911990038</v>
      </c>
      <c r="G96" s="2">
        <f t="shared" si="2"/>
        <v>-0.13361876707411113</v>
      </c>
      <c r="H96" s="2">
        <f t="shared" si="3"/>
        <v>1.7853974914405567E-2</v>
      </c>
      <c r="I96" s="2"/>
      <c r="U96" s="1"/>
    </row>
    <row r="97" spans="1:21" x14ac:dyDescent="0.25">
      <c r="A97" s="1">
        <v>40057</v>
      </c>
      <c r="B97">
        <v>5.1112500000000001</v>
      </c>
      <c r="C97" s="2">
        <v>64.384825208113512</v>
      </c>
      <c r="D97">
        <v>65.89</v>
      </c>
      <c r="E97" s="2">
        <v>66.903538191199004</v>
      </c>
      <c r="F97" s="2">
        <v>2.5187129830854929</v>
      </c>
      <c r="G97" s="2">
        <f t="shared" si="2"/>
        <v>-1.5051747918864891</v>
      </c>
      <c r="H97" s="2">
        <f t="shared" si="3"/>
        <v>2.2655511541305358</v>
      </c>
      <c r="I97" s="2"/>
      <c r="U97" s="1"/>
    </row>
    <row r="98" spans="1:21" x14ac:dyDescent="0.25">
      <c r="A98" s="1">
        <v>40026</v>
      </c>
      <c r="B98">
        <v>5.1470000000000002</v>
      </c>
      <c r="C98" s="2">
        <v>63.468712983085496</v>
      </c>
      <c r="D98">
        <v>66.95</v>
      </c>
      <c r="E98" s="2">
        <v>69.468712983085496</v>
      </c>
      <c r="F98" s="2">
        <v>6</v>
      </c>
      <c r="G98" s="2">
        <f t="shared" si="2"/>
        <v>-3.4812870169145071</v>
      </c>
      <c r="H98" s="2">
        <f t="shared" si="3"/>
        <v>12.119359294137508</v>
      </c>
      <c r="I98" s="2"/>
      <c r="U98" s="1"/>
    </row>
    <row r="99" spans="1:21" x14ac:dyDescent="0.25">
      <c r="A99" s="1">
        <v>39995</v>
      </c>
      <c r="B99">
        <v>5.3449999999999998</v>
      </c>
      <c r="C99" s="2">
        <v>52.5740912795738</v>
      </c>
      <c r="D99">
        <v>24.63</v>
      </c>
      <c r="E99" s="2">
        <v>58.5740912795738</v>
      </c>
      <c r="F99" s="2">
        <v>6</v>
      </c>
      <c r="G99" s="2">
        <f t="shared" si="2"/>
        <v>27.944091279573801</v>
      </c>
      <c r="H99" s="2">
        <f t="shared" si="3"/>
        <v>780.87223744115249</v>
      </c>
      <c r="I99" s="2"/>
      <c r="U99" s="1"/>
    </row>
    <row r="100" spans="1:21" x14ac:dyDescent="0.25">
      <c r="A100" s="1">
        <v>39965</v>
      </c>
      <c r="B100">
        <v>4.7762500000000001</v>
      </c>
      <c r="C100" s="2">
        <v>79.341169766636</v>
      </c>
      <c r="D100">
        <v>74.86</v>
      </c>
      <c r="E100" s="2">
        <v>85.341169766636</v>
      </c>
      <c r="F100" s="2">
        <v>6</v>
      </c>
      <c r="G100" s="2">
        <f t="shared" si="2"/>
        <v>4.4811697666360004</v>
      </c>
      <c r="H100" s="2">
        <f t="shared" si="3"/>
        <v>20.080882477412548</v>
      </c>
      <c r="I100" s="2"/>
      <c r="U100" s="1"/>
    </row>
    <row r="101" spans="1:21" x14ac:dyDescent="0.25">
      <c r="A101" s="1">
        <v>39934</v>
      </c>
      <c r="B101">
        <v>4.7300000000000004</v>
      </c>
      <c r="C101" s="2">
        <v>82.815093764735806</v>
      </c>
      <c r="D101">
        <v>81.87</v>
      </c>
      <c r="E101" s="2">
        <v>88.815093764735806</v>
      </c>
      <c r="F101" s="2">
        <v>6</v>
      </c>
      <c r="G101" s="2">
        <f t="shared" si="2"/>
        <v>0.94509376473580176</v>
      </c>
      <c r="H101" s="2">
        <f t="shared" si="3"/>
        <v>0.89320222414249095</v>
      </c>
      <c r="I101" s="2"/>
      <c r="U101" s="1"/>
    </row>
    <row r="102" spans="1:21" x14ac:dyDescent="0.25">
      <c r="A102" s="1">
        <v>39904</v>
      </c>
      <c r="B102">
        <v>4.9275000000000002</v>
      </c>
      <c r="C102" s="2">
        <v>72.428186530917102</v>
      </c>
      <c r="D102">
        <v>70.3</v>
      </c>
      <c r="E102" s="2">
        <v>78.428186530917102</v>
      </c>
      <c r="F102" s="2">
        <v>6</v>
      </c>
      <c r="G102" s="2">
        <f t="shared" si="2"/>
        <v>2.1281865309171053</v>
      </c>
      <c r="H102" s="2">
        <f t="shared" si="3"/>
        <v>4.5291779103769834</v>
      </c>
      <c r="I102" s="2"/>
      <c r="U102" s="1"/>
    </row>
    <row r="103" spans="1:21" x14ac:dyDescent="0.25">
      <c r="A103" s="1">
        <v>39873</v>
      </c>
      <c r="B103">
        <v>5.0612500000000002</v>
      </c>
      <c r="C103" s="2">
        <v>66.937073032558203</v>
      </c>
      <c r="D103">
        <v>58.21</v>
      </c>
      <c r="E103" s="2">
        <v>72.937073032558203</v>
      </c>
      <c r="F103" s="2">
        <v>6</v>
      </c>
      <c r="G103" s="2">
        <f t="shared" si="2"/>
        <v>8.7270730325582022</v>
      </c>
      <c r="H103" s="2">
        <f t="shared" si="3"/>
        <v>76.16180371560462</v>
      </c>
      <c r="I103" s="2"/>
      <c r="U103" s="1"/>
    </row>
    <row r="104" spans="1:21" x14ac:dyDescent="0.25">
      <c r="A104" s="1">
        <v>39845</v>
      </c>
      <c r="B104">
        <v>4.9662499999999996</v>
      </c>
      <c r="C104" s="2">
        <v>71.6064305733221</v>
      </c>
      <c r="D104">
        <v>69.290000000000006</v>
      </c>
      <c r="E104" s="2">
        <v>77.6064305733221</v>
      </c>
      <c r="F104" s="2">
        <v>6</v>
      </c>
      <c r="G104" s="2">
        <f t="shared" si="2"/>
        <v>2.3164305733220942</v>
      </c>
      <c r="H104" s="2">
        <f t="shared" si="3"/>
        <v>5.365850601021326</v>
      </c>
      <c r="I104" s="2"/>
      <c r="U104" s="1"/>
    </row>
    <row r="105" spans="1:21" x14ac:dyDescent="0.25">
      <c r="A105" s="1">
        <v>39814</v>
      </c>
      <c r="B105">
        <v>5.2160000000000002</v>
      </c>
      <c r="C105" s="2">
        <v>60.195117110578309</v>
      </c>
      <c r="D105">
        <v>47</v>
      </c>
      <c r="E105" s="2">
        <v>56.735897475421297</v>
      </c>
      <c r="F105" s="2">
        <v>-3.4592196351570101</v>
      </c>
      <c r="G105" s="2">
        <f t="shared" si="2"/>
        <v>13.195117110578309</v>
      </c>
      <c r="H105" s="2">
        <f t="shared" si="3"/>
        <v>174.11111556187646</v>
      </c>
      <c r="I105" s="2"/>
      <c r="U105" s="1"/>
    </row>
    <row r="106" spans="1:21" x14ac:dyDescent="0.25">
      <c r="A106" s="1">
        <v>39783</v>
      </c>
      <c r="B106">
        <v>6.0125000000000002</v>
      </c>
      <c r="C106" s="2">
        <v>6.0407409014403193</v>
      </c>
      <c r="D106">
        <v>6.33</v>
      </c>
      <c r="E106" s="2">
        <v>2.8707803648429899</v>
      </c>
      <c r="F106" s="2">
        <v>-3.1699605365973298</v>
      </c>
      <c r="G106" s="2">
        <f t="shared" si="2"/>
        <v>-0.28925909855968079</v>
      </c>
      <c r="H106" s="2">
        <f t="shared" si="3"/>
        <v>8.3670826099559129E-2</v>
      </c>
      <c r="I106" s="2"/>
      <c r="U106" s="1"/>
    </row>
    <row r="107" spans="1:21" x14ac:dyDescent="0.25">
      <c r="A107" s="1">
        <v>39753</v>
      </c>
      <c r="B107">
        <v>6.1050000000000004</v>
      </c>
      <c r="C107" s="2">
        <v>7.7030908162414606</v>
      </c>
      <c r="D107">
        <v>6.13</v>
      </c>
      <c r="E107" s="2">
        <v>2.9600394634026701</v>
      </c>
      <c r="F107" s="2">
        <v>-4.7430513528387905</v>
      </c>
      <c r="G107" s="2">
        <f t="shared" si="2"/>
        <v>1.5730908162414607</v>
      </c>
      <c r="H107" s="2">
        <f t="shared" si="3"/>
        <v>2.474614716143225</v>
      </c>
      <c r="I107" s="2"/>
      <c r="U107" s="1"/>
    </row>
    <row r="108" spans="1:21" x14ac:dyDescent="0.25">
      <c r="A108" s="1">
        <v>39722</v>
      </c>
      <c r="B108">
        <v>5.9562499999999998</v>
      </c>
      <c r="C108" s="2">
        <v>5.2919293088535895</v>
      </c>
      <c r="D108">
        <v>8.9700000000000006</v>
      </c>
      <c r="E108" s="2">
        <v>4.2269486471612101</v>
      </c>
      <c r="F108" s="2">
        <v>-1.0649806616923798</v>
      </c>
      <c r="G108" s="2">
        <f t="shared" si="2"/>
        <v>-3.6780706911464112</v>
      </c>
      <c r="H108" s="2">
        <f t="shared" si="3"/>
        <v>13.528204009070238</v>
      </c>
      <c r="I108" s="2"/>
      <c r="U108" s="1"/>
    </row>
    <row r="109" spans="1:21" x14ac:dyDescent="0.25">
      <c r="A109" s="1">
        <v>39692</v>
      </c>
      <c r="B109">
        <v>6.3962500000000002</v>
      </c>
      <c r="C109" s="2">
        <v>4.0472171675786903</v>
      </c>
      <c r="D109">
        <v>3.32</v>
      </c>
      <c r="E109" s="2">
        <v>2.25501933830762</v>
      </c>
      <c r="F109" s="2">
        <v>-1.7921978292710699</v>
      </c>
      <c r="G109" s="2">
        <f t="shared" si="2"/>
        <v>0.72721716757869048</v>
      </c>
      <c r="H109" s="2">
        <f t="shared" si="3"/>
        <v>0.52884480882117324</v>
      </c>
      <c r="I109" s="2"/>
      <c r="U109" s="1"/>
    </row>
    <row r="110" spans="1:21" x14ac:dyDescent="0.25">
      <c r="A110" s="1">
        <v>39661</v>
      </c>
      <c r="B110">
        <v>6.3310000000000004</v>
      </c>
      <c r="C110" s="2">
        <v>4.4019699975498305</v>
      </c>
      <c r="D110">
        <v>4</v>
      </c>
      <c r="E110" s="2">
        <v>2.2078021707289301</v>
      </c>
      <c r="F110" s="2">
        <v>-2.1941678268208999</v>
      </c>
      <c r="G110" s="2">
        <f t="shared" si="2"/>
        <v>0.40196999754983054</v>
      </c>
      <c r="H110" s="2">
        <f t="shared" si="3"/>
        <v>0.16157987893021078</v>
      </c>
      <c r="I110" s="2"/>
      <c r="U110" s="1"/>
    </row>
    <row r="111" spans="1:21" x14ac:dyDescent="0.25">
      <c r="A111" s="1">
        <v>39630</v>
      </c>
      <c r="B111">
        <v>6.2324999999999999</v>
      </c>
      <c r="C111" s="2">
        <v>3.6937573341124006</v>
      </c>
      <c r="D111">
        <v>5.29</v>
      </c>
      <c r="E111" s="2">
        <v>3.0958321731791001</v>
      </c>
      <c r="F111" s="2">
        <v>-0.5979251609333005</v>
      </c>
      <c r="G111" s="2">
        <f t="shared" si="2"/>
        <v>-1.5962426658875994</v>
      </c>
      <c r="H111" s="2">
        <f t="shared" si="3"/>
        <v>2.5479906483999506</v>
      </c>
      <c r="I111" s="2"/>
      <c r="U111" s="1"/>
    </row>
    <row r="112" spans="1:21" x14ac:dyDescent="0.25">
      <c r="A112" s="1">
        <v>39600</v>
      </c>
      <c r="B112">
        <v>5.9050000000000002</v>
      </c>
      <c r="C112" s="2">
        <v>14.108185093685998</v>
      </c>
      <c r="D112">
        <v>10.83</v>
      </c>
      <c r="E112" s="2">
        <v>10.2320748390667</v>
      </c>
      <c r="F112" s="2">
        <v>-3.8761102546192987</v>
      </c>
      <c r="G112" s="2">
        <f t="shared" si="2"/>
        <v>3.2781850936859982</v>
      </c>
      <c r="H112" s="2">
        <f t="shared" si="3"/>
        <v>10.746497508465076</v>
      </c>
      <c r="I112" s="2"/>
      <c r="U112" s="1"/>
    </row>
    <row r="113" spans="1:21" x14ac:dyDescent="0.25">
      <c r="A113" s="1">
        <v>39569</v>
      </c>
      <c r="B113">
        <v>5.8010000000000002</v>
      </c>
      <c r="C113" s="2">
        <v>18.769661502414401</v>
      </c>
      <c r="D113">
        <v>17.63</v>
      </c>
      <c r="E113" s="2">
        <v>13.7538897453807</v>
      </c>
      <c r="F113" s="2">
        <v>-5.0157717570337006</v>
      </c>
      <c r="G113" s="2">
        <f t="shared" si="2"/>
        <v>1.1396615024144019</v>
      </c>
      <c r="H113" s="2">
        <f t="shared" si="3"/>
        <v>1.2988283400854517</v>
      </c>
      <c r="I113" s="2"/>
      <c r="U113" s="1"/>
    </row>
    <row r="114" spans="1:21" x14ac:dyDescent="0.25">
      <c r="A114" s="1">
        <v>39539</v>
      </c>
      <c r="B114">
        <v>5.8387500000000001</v>
      </c>
      <c r="C114" s="2">
        <v>20.174228242966301</v>
      </c>
      <c r="D114">
        <v>19.190000000000001</v>
      </c>
      <c r="E114" s="2">
        <v>14.174228242966301</v>
      </c>
      <c r="F114" s="2">
        <v>-6</v>
      </c>
      <c r="G114" s="2">
        <f t="shared" si="2"/>
        <v>0.9842282429662994</v>
      </c>
      <c r="H114" s="2">
        <f t="shared" si="3"/>
        <v>0.96870523425252886</v>
      </c>
      <c r="I114" s="2"/>
      <c r="U114" s="1"/>
    </row>
    <row r="115" spans="1:21" x14ac:dyDescent="0.25">
      <c r="A115" s="1">
        <v>39508</v>
      </c>
      <c r="B115">
        <v>5.7862499999999999</v>
      </c>
      <c r="C115" s="2">
        <v>8.7887606769702007</v>
      </c>
      <c r="D115">
        <v>26.38</v>
      </c>
      <c r="E115" s="2">
        <v>14.788760676970201</v>
      </c>
      <c r="F115" s="2">
        <v>6</v>
      </c>
      <c r="G115" s="2">
        <f t="shared" si="2"/>
        <v>-17.591239323029797</v>
      </c>
      <c r="H115" s="2">
        <f t="shared" si="3"/>
        <v>309.45170092010983</v>
      </c>
      <c r="I115" s="2"/>
      <c r="U115" s="1"/>
    </row>
    <row r="116" spans="1:21" x14ac:dyDescent="0.25">
      <c r="A116" s="1">
        <v>39479</v>
      </c>
      <c r="B116">
        <v>5.6180000000000003</v>
      </c>
      <c r="C116" s="2">
        <v>47.295207534049098</v>
      </c>
      <c r="D116">
        <v>38.49</v>
      </c>
      <c r="E116" s="2">
        <v>47.990474880291302</v>
      </c>
      <c r="F116" s="2">
        <v>0.69526734624220055</v>
      </c>
      <c r="G116" s="2">
        <f t="shared" si="2"/>
        <v>8.8052075340490958</v>
      </c>
      <c r="H116" s="2">
        <f t="shared" si="3"/>
        <v>77.531679717674962</v>
      </c>
      <c r="I116" s="2"/>
      <c r="U116" s="1"/>
    </row>
    <row r="117" spans="1:21" x14ac:dyDescent="0.25">
      <c r="A117" s="1">
        <v>39448</v>
      </c>
      <c r="B117">
        <v>5.9574999999999996</v>
      </c>
      <c r="C117" s="2">
        <v>16.1574901122023</v>
      </c>
      <c r="D117">
        <v>16.16</v>
      </c>
      <c r="E117" s="2">
        <v>16.855267346242201</v>
      </c>
      <c r="F117" s="2">
        <v>0.69777723403990066</v>
      </c>
      <c r="G117" s="2">
        <f t="shared" si="2"/>
        <v>-2.5098877977001166E-3</v>
      </c>
      <c r="H117" s="2">
        <f t="shared" si="3"/>
        <v>6.2995367570439413E-6</v>
      </c>
      <c r="I117" s="2"/>
      <c r="U117" s="1"/>
    </row>
    <row r="118" spans="1:21" x14ac:dyDescent="0.25">
      <c r="A118" s="1">
        <v>39417</v>
      </c>
      <c r="B118">
        <v>6.0575000000000001</v>
      </c>
      <c r="C118" s="2">
        <v>9.1207422919614984</v>
      </c>
      <c r="D118">
        <v>11.53</v>
      </c>
      <c r="E118" s="2">
        <v>12.2277772340399</v>
      </c>
      <c r="F118" s="2">
        <v>3.1070349420784007</v>
      </c>
      <c r="G118" s="2">
        <f t="shared" si="2"/>
        <v>-2.4092577080385009</v>
      </c>
      <c r="H118" s="2">
        <f t="shared" si="3"/>
        <v>5.8045227037429301</v>
      </c>
      <c r="I118" s="2"/>
      <c r="U118" s="1"/>
    </row>
    <row r="119" spans="1:21" x14ac:dyDescent="0.25">
      <c r="A119" s="1">
        <v>39387</v>
      </c>
      <c r="B119">
        <v>6.2169999999999996</v>
      </c>
      <c r="C119" s="2">
        <v>11.211659718196451</v>
      </c>
      <c r="D119">
        <v>7.55</v>
      </c>
      <c r="E119" s="2">
        <v>10.657034942078401</v>
      </c>
      <c r="F119" s="2">
        <v>-0.55462477611804939</v>
      </c>
      <c r="G119" s="2">
        <f t="shared" si="2"/>
        <v>3.661659718196451</v>
      </c>
      <c r="H119" s="2">
        <f t="shared" si="3"/>
        <v>13.407751891862512</v>
      </c>
      <c r="I119" s="2"/>
      <c r="U119" s="1"/>
    </row>
    <row r="120" spans="1:21" x14ac:dyDescent="0.25">
      <c r="A120" s="1">
        <v>39356</v>
      </c>
      <c r="B120">
        <v>6.2575000000000003</v>
      </c>
      <c r="C120" s="2">
        <v>7.3741286343498906</v>
      </c>
      <c r="D120">
        <v>7.52</v>
      </c>
      <c r="E120" s="2">
        <v>6.9653752238819502</v>
      </c>
      <c r="F120" s="2">
        <v>-0.40875341046794045</v>
      </c>
      <c r="G120" s="2">
        <f t="shared" si="2"/>
        <v>-0.14587136565010894</v>
      </c>
      <c r="H120" s="2">
        <f t="shared" si="3"/>
        <v>2.1278455316627781E-2</v>
      </c>
      <c r="I120" s="2"/>
      <c r="U120" s="1"/>
    </row>
    <row r="121" spans="1:21" x14ac:dyDescent="0.25">
      <c r="A121" s="1">
        <v>39326</v>
      </c>
      <c r="B121">
        <v>6.4219999999999997</v>
      </c>
      <c r="C121" s="2">
        <v>5.2952279411862904</v>
      </c>
      <c r="D121">
        <v>5.49</v>
      </c>
      <c r="E121" s="2">
        <v>5.0812465895320598</v>
      </c>
      <c r="F121" s="2">
        <v>-0.2139813516542306</v>
      </c>
      <c r="G121" s="2">
        <f t="shared" si="2"/>
        <v>-0.19477205881370985</v>
      </c>
      <c r="H121" s="2">
        <f t="shared" si="3"/>
        <v>3.7936154894531247E-2</v>
      </c>
      <c r="I121" s="2"/>
      <c r="U121" s="1"/>
    </row>
    <row r="122" spans="1:21" x14ac:dyDescent="0.25">
      <c r="A122" s="1">
        <v>39295</v>
      </c>
      <c r="B122">
        <v>6.5449999999999999</v>
      </c>
      <c r="C122" s="2">
        <v>4.4943223214589194</v>
      </c>
      <c r="D122">
        <v>4.1900000000000004</v>
      </c>
      <c r="E122" s="2">
        <v>3.9760186483457698</v>
      </c>
      <c r="F122" s="2">
        <v>-0.51830367311314962</v>
      </c>
      <c r="G122" s="2">
        <f t="shared" si="2"/>
        <v>0.30432232145891902</v>
      </c>
      <c r="H122" s="2">
        <f t="shared" si="3"/>
        <v>9.2612075338145639E-2</v>
      </c>
      <c r="I122" s="2"/>
      <c r="U122" s="1"/>
    </row>
    <row r="123" spans="1:21" x14ac:dyDescent="0.25">
      <c r="A123" s="1">
        <v>39264</v>
      </c>
      <c r="B123">
        <v>6.5137499999999999</v>
      </c>
      <c r="C123" s="2">
        <v>2.6069232917294496</v>
      </c>
      <c r="D123">
        <v>4.6399999999999997</v>
      </c>
      <c r="E123" s="2">
        <v>4.1216963268868501</v>
      </c>
      <c r="F123" s="2">
        <v>1.5147730351574005</v>
      </c>
      <c r="G123" s="2">
        <f t="shared" si="2"/>
        <v>-2.0330767082705501</v>
      </c>
      <c r="H123" s="2">
        <f t="shared" si="3"/>
        <v>4.1334009017122151</v>
      </c>
      <c r="I123" s="2"/>
      <c r="U123" s="1"/>
    </row>
    <row r="124" spans="1:21" x14ac:dyDescent="0.25">
      <c r="A124" s="1">
        <v>39234</v>
      </c>
      <c r="B124">
        <v>6.1219999999999999</v>
      </c>
      <c r="C124" s="2">
        <v>9.4390215135893012</v>
      </c>
      <c r="D124">
        <v>11.53</v>
      </c>
      <c r="E124" s="2">
        <v>13.0447730351574</v>
      </c>
      <c r="F124" s="2">
        <v>3.6057515215680986</v>
      </c>
      <c r="G124" s="2">
        <f t="shared" si="2"/>
        <v>-2.0909784864106982</v>
      </c>
      <c r="H124" s="2">
        <f t="shared" si="3"/>
        <v>4.3721910306323739</v>
      </c>
      <c r="I124" s="2"/>
      <c r="U124" s="1"/>
    </row>
    <row r="125" spans="1:21" x14ac:dyDescent="0.25">
      <c r="A125" s="1">
        <v>39203</v>
      </c>
      <c r="B125">
        <v>6.0425000000000004</v>
      </c>
      <c r="C125" s="2">
        <v>15.863657567297098</v>
      </c>
      <c r="D125">
        <v>13.59</v>
      </c>
      <c r="E125" s="2">
        <v>17.195751521568098</v>
      </c>
      <c r="F125" s="2">
        <v>1.3320939542710004</v>
      </c>
      <c r="G125" s="2">
        <f t="shared" si="2"/>
        <v>2.2736575672970982</v>
      </c>
      <c r="H125" s="2">
        <f t="shared" si="3"/>
        <v>5.1695187333273589</v>
      </c>
      <c r="I125" s="2"/>
      <c r="U125" s="1"/>
    </row>
    <row r="126" spans="1:21" x14ac:dyDescent="0.25">
      <c r="A126" s="1">
        <v>39173</v>
      </c>
      <c r="B126">
        <v>6.0062499999999996</v>
      </c>
      <c r="C126" s="2">
        <v>12.073378651404001</v>
      </c>
      <c r="D126">
        <v>15.08</v>
      </c>
      <c r="E126" s="2">
        <v>16.412093954271</v>
      </c>
      <c r="F126" s="2">
        <v>4.3387153028669996</v>
      </c>
      <c r="G126" s="2">
        <f t="shared" si="2"/>
        <v>-3.0066213485959992</v>
      </c>
      <c r="H126" s="2">
        <f t="shared" si="3"/>
        <v>9.0397719338332241</v>
      </c>
      <c r="I126" s="2"/>
      <c r="U126" s="1"/>
    </row>
    <row r="127" spans="1:21" x14ac:dyDescent="0.25">
      <c r="A127" s="1">
        <v>39142</v>
      </c>
      <c r="B127">
        <v>6.0949999999999998</v>
      </c>
      <c r="C127" s="2">
        <v>13.455069610254299</v>
      </c>
      <c r="D127">
        <v>11.02</v>
      </c>
      <c r="E127" s="2">
        <v>15.358715302866999</v>
      </c>
      <c r="F127" s="2">
        <v>1.9036456926127006</v>
      </c>
      <c r="G127" s="2">
        <f t="shared" si="2"/>
        <v>2.435069610254299</v>
      </c>
      <c r="H127" s="2">
        <f t="shared" si="3"/>
        <v>5.9295640067840241</v>
      </c>
      <c r="I127" s="2"/>
      <c r="U127" s="1"/>
    </row>
    <row r="128" spans="1:21" x14ac:dyDescent="0.25">
      <c r="A128" s="1">
        <v>39114</v>
      </c>
      <c r="B128">
        <v>6.0919999999999996</v>
      </c>
      <c r="C128" s="2">
        <v>15.1836456926127</v>
      </c>
      <c r="D128">
        <v>13.28</v>
      </c>
      <c r="E128" s="2">
        <v>15.1836456926127</v>
      </c>
      <c r="F128" t="s">
        <v>9</v>
      </c>
      <c r="G128" s="2">
        <f t="shared" si="2"/>
        <v>1.9036456926127006</v>
      </c>
      <c r="H128" s="2">
        <f t="shared" si="3"/>
        <v>3.6238669230028884</v>
      </c>
      <c r="U128" s="1"/>
    </row>
    <row r="129" spans="1:21" x14ac:dyDescent="0.25">
      <c r="A129" s="1"/>
      <c r="G129" s="2"/>
      <c r="H129" s="2"/>
      <c r="U129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9"/>
  <sheetViews>
    <sheetView workbookViewId="0">
      <selection activeCell="J16" sqref="J16"/>
    </sheetView>
  </sheetViews>
  <sheetFormatPr defaultRowHeight="15" x14ac:dyDescent="0.25"/>
  <cols>
    <col min="5" max="5" width="9.140625" style="2"/>
  </cols>
  <sheetData>
    <row r="1" spans="1:21" x14ac:dyDescent="0.25">
      <c r="A1" t="s">
        <v>1</v>
      </c>
      <c r="B1" t="s">
        <v>0</v>
      </c>
      <c r="C1" t="s">
        <v>7</v>
      </c>
      <c r="D1" t="s">
        <v>3</v>
      </c>
      <c r="E1" s="2" t="s">
        <v>6</v>
      </c>
      <c r="F1" t="s">
        <v>8</v>
      </c>
      <c r="G1" s="2" t="s">
        <v>4</v>
      </c>
      <c r="I1" s="2" t="s">
        <v>5</v>
      </c>
      <c r="J1" t="s">
        <v>10</v>
      </c>
    </row>
    <row r="2" spans="1:21" x14ac:dyDescent="0.25">
      <c r="A2" s="1">
        <v>42948</v>
      </c>
      <c r="B2">
        <v>3.855</v>
      </c>
      <c r="C2" s="2">
        <v>25.504027677864997</v>
      </c>
      <c r="D2">
        <v>30.43</v>
      </c>
      <c r="E2" s="2">
        <v>35.504027677864997</v>
      </c>
      <c r="F2" s="2">
        <v>10</v>
      </c>
      <c r="G2" s="2">
        <f>C2-D2</f>
        <v>-4.9259723221350029</v>
      </c>
      <c r="H2" s="2">
        <f>G2^2</f>
        <v>24.265203318440111</v>
      </c>
      <c r="I2">
        <f>SQRT(AVERAGE(H2:H128))</f>
        <v>5.0383576158205869</v>
      </c>
      <c r="J2">
        <f>STDEV(G2:G128)</f>
        <v>5.0467730855895168</v>
      </c>
      <c r="K2" s="2"/>
      <c r="U2" s="1"/>
    </row>
    <row r="3" spans="1:21" x14ac:dyDescent="0.25">
      <c r="A3" s="1">
        <v>42917</v>
      </c>
      <c r="B3">
        <v>3.77</v>
      </c>
      <c r="C3" s="2">
        <v>37.014582313357998</v>
      </c>
      <c r="D3">
        <v>34.19</v>
      </c>
      <c r="E3" s="2">
        <v>45.023363875282897</v>
      </c>
      <c r="F3" s="2">
        <v>8.0087815619248985</v>
      </c>
      <c r="G3" s="2">
        <f t="shared" ref="G3:G66" si="0">C3-D3</f>
        <v>2.8245823133580004</v>
      </c>
      <c r="H3" s="2">
        <f t="shared" ref="H3:H66" si="1">G3^2</f>
        <v>7.9782652449348328</v>
      </c>
      <c r="U3" s="1"/>
    </row>
    <row r="4" spans="1:21" x14ac:dyDescent="0.25">
      <c r="A4" s="1">
        <v>42887</v>
      </c>
      <c r="B4">
        <v>3.871</v>
      </c>
      <c r="C4" s="2">
        <v>35.252240833698096</v>
      </c>
      <c r="D4">
        <v>29.65</v>
      </c>
      <c r="E4" s="2">
        <v>37.658781561924897</v>
      </c>
      <c r="F4" s="2">
        <v>2.4065407282268012</v>
      </c>
      <c r="G4" s="2">
        <f t="shared" si="0"/>
        <v>5.6022408336980973</v>
      </c>
      <c r="H4" s="2">
        <f t="shared" si="1"/>
        <v>31.385102358754352</v>
      </c>
      <c r="I4" s="2"/>
      <c r="U4" s="1"/>
    </row>
    <row r="5" spans="1:21" x14ac:dyDescent="0.25">
      <c r="A5" s="1">
        <v>42856</v>
      </c>
      <c r="B5">
        <v>3.92</v>
      </c>
      <c r="C5" s="2">
        <v>33.492031572820906</v>
      </c>
      <c r="D5">
        <v>28.57</v>
      </c>
      <c r="E5" s="2">
        <v>30.976540728226801</v>
      </c>
      <c r="F5" s="2">
        <v>-2.5154908445941011</v>
      </c>
      <c r="G5" s="2">
        <f t="shared" si="0"/>
        <v>4.9220315728209059</v>
      </c>
      <c r="H5" s="2">
        <f t="shared" si="1"/>
        <v>24.226394803845839</v>
      </c>
      <c r="I5" s="2"/>
      <c r="U5" s="1"/>
    </row>
    <row r="6" spans="1:21" x14ac:dyDescent="0.25">
      <c r="A6" s="1">
        <v>42826</v>
      </c>
      <c r="B6">
        <v>4.0709999999999997</v>
      </c>
      <c r="C6" s="2">
        <v>26.736996863644503</v>
      </c>
      <c r="D6">
        <v>22.67</v>
      </c>
      <c r="E6" s="2">
        <v>20.154509155405901</v>
      </c>
      <c r="F6" s="2">
        <v>-6.5824877082386024</v>
      </c>
      <c r="G6" s="2">
        <f t="shared" si="0"/>
        <v>4.0669968636445013</v>
      </c>
      <c r="H6" s="2">
        <f t="shared" si="1"/>
        <v>16.540463488894211</v>
      </c>
      <c r="I6" s="2"/>
      <c r="U6" s="1"/>
    </row>
    <row r="7" spans="1:21" x14ac:dyDescent="0.25">
      <c r="A7" s="1">
        <v>42795</v>
      </c>
      <c r="B7">
        <v>4.0362499999999999</v>
      </c>
      <c r="C7" s="2">
        <v>16.5712113012593</v>
      </c>
      <c r="D7">
        <v>25.51</v>
      </c>
      <c r="E7" s="2">
        <v>18.927512291761399</v>
      </c>
      <c r="F7" s="2">
        <v>2.3563009905020991</v>
      </c>
      <c r="G7" s="2">
        <f t="shared" si="0"/>
        <v>-8.9387886987407015</v>
      </c>
      <c r="H7" s="2">
        <f t="shared" si="1"/>
        <v>79.901943400734481</v>
      </c>
      <c r="I7" s="2"/>
      <c r="U7" s="1"/>
    </row>
    <row r="8" spans="1:21" x14ac:dyDescent="0.25">
      <c r="A8" s="1">
        <v>42767</v>
      </c>
      <c r="B8">
        <v>4.0187499999999998</v>
      </c>
      <c r="C8" s="2">
        <v>30.9998511286914</v>
      </c>
      <c r="D8">
        <v>27.36</v>
      </c>
      <c r="E8" s="2">
        <v>29.716300990502099</v>
      </c>
      <c r="F8" s="2">
        <v>-1.2835501381893017</v>
      </c>
      <c r="G8" s="2">
        <f t="shared" si="0"/>
        <v>3.6398511286914008</v>
      </c>
      <c r="H8" s="2">
        <f t="shared" si="1"/>
        <v>13.248516239036064</v>
      </c>
      <c r="I8" s="2"/>
      <c r="U8" s="1"/>
    </row>
    <row r="9" spans="1:21" x14ac:dyDescent="0.25">
      <c r="A9" s="1">
        <v>42736</v>
      </c>
      <c r="B9">
        <v>4.1025</v>
      </c>
      <c r="C9" s="2">
        <v>16.172171459885501</v>
      </c>
      <c r="D9">
        <v>20.46</v>
      </c>
      <c r="E9" s="2">
        <v>19.176449861810699</v>
      </c>
      <c r="F9" s="2">
        <v>3.0042784019251982</v>
      </c>
      <c r="G9" s="2">
        <f t="shared" si="0"/>
        <v>-4.2878285401145</v>
      </c>
      <c r="H9" s="2">
        <f t="shared" si="1"/>
        <v>18.385473589420446</v>
      </c>
      <c r="I9" s="2"/>
      <c r="U9" s="1"/>
    </row>
    <row r="10" spans="1:21" x14ac:dyDescent="0.25">
      <c r="A10" s="1">
        <v>42705</v>
      </c>
      <c r="B10">
        <v>3.7069999999999999</v>
      </c>
      <c r="C10" s="2">
        <v>41.787416859105306</v>
      </c>
      <c r="D10">
        <v>38.380000000000003</v>
      </c>
      <c r="E10" s="2">
        <v>41.384278401925201</v>
      </c>
      <c r="F10" s="2">
        <v>-0.40313845718010555</v>
      </c>
      <c r="G10" s="2">
        <f t="shared" si="0"/>
        <v>3.4074168591053038</v>
      </c>
      <c r="H10" s="2">
        <f t="shared" si="1"/>
        <v>11.610489651715053</v>
      </c>
      <c r="I10" s="2"/>
      <c r="U10" s="1"/>
    </row>
    <row r="11" spans="1:21" x14ac:dyDescent="0.25">
      <c r="A11" s="1">
        <v>42675</v>
      </c>
      <c r="B11">
        <v>3.3574999999999999</v>
      </c>
      <c r="C11" s="2">
        <v>72.263709900056909</v>
      </c>
      <c r="D11">
        <v>70.73</v>
      </c>
      <c r="E11" s="2">
        <v>70.326861542819898</v>
      </c>
      <c r="F11" s="2">
        <v>-1.936848357237011</v>
      </c>
      <c r="G11" s="2">
        <f t="shared" si="0"/>
        <v>1.5337099000569054</v>
      </c>
      <c r="H11" s="2">
        <f t="shared" si="1"/>
        <v>2.3522660575325629</v>
      </c>
      <c r="I11" s="2"/>
      <c r="U11" s="1"/>
    </row>
    <row r="12" spans="1:21" x14ac:dyDescent="0.25">
      <c r="A12" s="1">
        <v>42644</v>
      </c>
      <c r="B12">
        <v>3.3475000000000001</v>
      </c>
      <c r="C12" s="2">
        <v>70.032090403222298</v>
      </c>
      <c r="D12">
        <v>73.040000000000006</v>
      </c>
      <c r="E12" s="2">
        <v>71.103151642762995</v>
      </c>
      <c r="F12" s="2">
        <v>1.0710612395406969</v>
      </c>
      <c r="G12" s="2">
        <f t="shared" si="0"/>
        <v>-3.0079095967777079</v>
      </c>
      <c r="H12" s="2">
        <f t="shared" si="1"/>
        <v>9.0475201423874339</v>
      </c>
      <c r="I12" s="2"/>
      <c r="U12" s="1"/>
    </row>
    <row r="13" spans="1:21" x14ac:dyDescent="0.25">
      <c r="A13" s="1">
        <v>42614</v>
      </c>
      <c r="B13">
        <v>3.32</v>
      </c>
      <c r="C13" s="2">
        <v>76.901284369054594</v>
      </c>
      <c r="D13">
        <v>75.78</v>
      </c>
      <c r="E13" s="2">
        <v>76.851061239540698</v>
      </c>
      <c r="F13" s="2">
        <v>-5.0223129513895515E-2</v>
      </c>
      <c r="G13" s="2">
        <f t="shared" si="0"/>
        <v>1.1212843690545924</v>
      </c>
      <c r="H13" s="2">
        <f t="shared" si="1"/>
        <v>1.2572786362861554</v>
      </c>
      <c r="I13" s="2"/>
      <c r="U13" s="1"/>
    </row>
    <row r="14" spans="1:21" x14ac:dyDescent="0.25">
      <c r="A14" s="1">
        <v>42583</v>
      </c>
      <c r="B14">
        <v>3.3149999999999999</v>
      </c>
      <c r="C14" s="2">
        <v>66.769776870486098</v>
      </c>
      <c r="D14">
        <v>76.819999999999993</v>
      </c>
      <c r="E14" s="2">
        <v>76.769776870486098</v>
      </c>
      <c r="F14" s="2">
        <v>10</v>
      </c>
      <c r="G14" s="2">
        <f t="shared" si="0"/>
        <v>-10.050223129513896</v>
      </c>
      <c r="H14" s="2">
        <f t="shared" si="1"/>
        <v>101.00698495301609</v>
      </c>
      <c r="I14" s="2"/>
      <c r="U14" s="1"/>
    </row>
    <row r="15" spans="1:21" x14ac:dyDescent="0.25">
      <c r="A15" s="1">
        <v>42552</v>
      </c>
      <c r="B15">
        <v>3.448</v>
      </c>
      <c r="C15" s="2">
        <v>69.247255218507604</v>
      </c>
      <c r="D15">
        <v>67.739999999999995</v>
      </c>
      <c r="E15" s="2">
        <v>79.247255218507604</v>
      </c>
      <c r="F15" s="2">
        <v>10</v>
      </c>
      <c r="G15" s="2">
        <f t="shared" si="0"/>
        <v>1.5072552185076091</v>
      </c>
      <c r="H15" s="2">
        <f t="shared" si="1"/>
        <v>2.2718182937184204</v>
      </c>
      <c r="I15" s="2"/>
      <c r="U15" s="1"/>
    </row>
    <row r="16" spans="1:21" x14ac:dyDescent="0.25">
      <c r="A16" s="1">
        <v>42522</v>
      </c>
      <c r="B16">
        <v>3.4874999999999998</v>
      </c>
      <c r="C16" s="2">
        <v>65.032364665052398</v>
      </c>
      <c r="D16">
        <v>63.98</v>
      </c>
      <c r="E16" s="2">
        <v>75.032364665052398</v>
      </c>
      <c r="F16" s="2">
        <v>10</v>
      </c>
      <c r="G16" s="2">
        <f t="shared" si="0"/>
        <v>1.0523646650524014</v>
      </c>
      <c r="H16" s="2">
        <f t="shared" si="1"/>
        <v>1.1074713882508531</v>
      </c>
      <c r="I16" s="2"/>
      <c r="U16" s="1"/>
    </row>
    <row r="17" spans="1:21" x14ac:dyDescent="0.25">
      <c r="A17" s="1">
        <v>42491</v>
      </c>
      <c r="B17">
        <v>3.4925000000000002</v>
      </c>
      <c r="C17" s="2">
        <v>67.444164256013408</v>
      </c>
      <c r="D17">
        <v>60.86</v>
      </c>
      <c r="E17" s="2">
        <v>75.945233130813904</v>
      </c>
      <c r="F17" s="2">
        <v>8.5010688748005023</v>
      </c>
      <c r="G17" s="2">
        <f t="shared" si="0"/>
        <v>6.584164256013409</v>
      </c>
      <c r="H17" s="2">
        <f t="shared" si="1"/>
        <v>43.351218950164608</v>
      </c>
      <c r="I17" s="2"/>
      <c r="U17" s="1"/>
    </row>
    <row r="18" spans="1:21" x14ac:dyDescent="0.25">
      <c r="A18" s="1">
        <v>42461</v>
      </c>
      <c r="B18">
        <v>3.569</v>
      </c>
      <c r="C18" s="2">
        <v>56.379820793246296</v>
      </c>
      <c r="D18">
        <v>54.22</v>
      </c>
      <c r="E18" s="2">
        <v>62.721068874800501</v>
      </c>
      <c r="F18" s="2">
        <v>6.3412480815542054</v>
      </c>
      <c r="G18" s="2">
        <f t="shared" si="0"/>
        <v>2.1598207932462969</v>
      </c>
      <c r="H18" s="2">
        <f t="shared" si="1"/>
        <v>4.6648258589390634</v>
      </c>
      <c r="I18" s="2"/>
      <c r="U18" s="1"/>
    </row>
    <row r="19" spans="1:21" x14ac:dyDescent="0.25">
      <c r="A19" s="1">
        <v>42430</v>
      </c>
      <c r="B19">
        <v>3.5474999999999999</v>
      </c>
      <c r="C19" s="2">
        <v>61.179975604888803</v>
      </c>
      <c r="D19">
        <v>56.48</v>
      </c>
      <c r="E19" s="2">
        <v>62.821248081554202</v>
      </c>
      <c r="F19" s="2">
        <v>1.6412724766653994</v>
      </c>
      <c r="G19" s="2">
        <f t="shared" si="0"/>
        <v>4.6999756048888059</v>
      </c>
      <c r="H19" s="2">
        <f t="shared" si="1"/>
        <v>22.089770686549898</v>
      </c>
      <c r="I19" s="2"/>
      <c r="U19" s="1"/>
    </row>
    <row r="20" spans="1:21" x14ac:dyDescent="0.25">
      <c r="A20" s="1">
        <v>42401</v>
      </c>
      <c r="B20">
        <v>3.7725</v>
      </c>
      <c r="C20" s="2">
        <v>45.509053685046197</v>
      </c>
      <c r="D20">
        <v>45.76</v>
      </c>
      <c r="E20" s="2">
        <v>47.401272476665397</v>
      </c>
      <c r="F20" s="2">
        <v>1.8922187916192001</v>
      </c>
      <c r="G20" s="2">
        <f t="shared" si="0"/>
        <v>-0.25094631495380071</v>
      </c>
      <c r="H20" s="2">
        <f t="shared" si="1"/>
        <v>6.2974052988892137E-2</v>
      </c>
      <c r="I20" s="2"/>
      <c r="U20" s="1"/>
    </row>
    <row r="21" spans="1:21" x14ac:dyDescent="0.25">
      <c r="A21" s="1">
        <v>42370</v>
      </c>
      <c r="B21">
        <v>3.8639999999999999</v>
      </c>
      <c r="C21" s="2">
        <v>43.683094476731505</v>
      </c>
      <c r="D21">
        <v>42.56</v>
      </c>
      <c r="E21" s="2">
        <v>44.452218791619202</v>
      </c>
      <c r="F21" s="2">
        <v>0.76912431488769784</v>
      </c>
      <c r="G21" s="2">
        <f t="shared" si="0"/>
        <v>1.1230944767315023</v>
      </c>
      <c r="H21" s="2">
        <f t="shared" si="1"/>
        <v>1.2613412036648071</v>
      </c>
      <c r="I21" s="2"/>
      <c r="U21" s="1"/>
    </row>
    <row r="22" spans="1:21" x14ac:dyDescent="0.25">
      <c r="A22" s="1">
        <v>42339</v>
      </c>
      <c r="B22">
        <v>3.8487499999999999</v>
      </c>
      <c r="C22" s="2">
        <v>45.386777580244299</v>
      </c>
      <c r="D22">
        <v>44.06</v>
      </c>
      <c r="E22" s="2">
        <v>44.8291243148877</v>
      </c>
      <c r="F22" s="2">
        <v>-0.55765326535659909</v>
      </c>
      <c r="G22" s="2">
        <f t="shared" si="0"/>
        <v>1.3267775802442969</v>
      </c>
      <c r="H22" s="2">
        <f t="shared" si="1"/>
        <v>1.7603387474389118</v>
      </c>
      <c r="I22" s="2"/>
      <c r="U22" s="1"/>
    </row>
    <row r="23" spans="1:21" x14ac:dyDescent="0.25">
      <c r="A23" s="1">
        <v>42309</v>
      </c>
      <c r="B23">
        <v>3.6825000000000001</v>
      </c>
      <c r="C23" s="2">
        <v>49.569911635242001</v>
      </c>
      <c r="D23">
        <v>51.65</v>
      </c>
      <c r="E23" s="2">
        <v>51.092346734643399</v>
      </c>
      <c r="F23" s="2">
        <v>1.5224350994013989</v>
      </c>
      <c r="G23" s="2">
        <f t="shared" si="0"/>
        <v>-2.080088364757998</v>
      </c>
      <c r="H23" s="2">
        <f t="shared" si="1"/>
        <v>4.326767605201602</v>
      </c>
      <c r="I23" s="2"/>
      <c r="U23" s="1"/>
    </row>
    <row r="24" spans="1:21" x14ac:dyDescent="0.25">
      <c r="A24" s="1">
        <v>42278</v>
      </c>
      <c r="B24">
        <v>3.7869999999999999</v>
      </c>
      <c r="C24" s="2">
        <v>48.071338737463805</v>
      </c>
      <c r="D24">
        <v>48.14</v>
      </c>
      <c r="E24" s="2">
        <v>49.662435099401399</v>
      </c>
      <c r="F24" s="2">
        <v>1.5910963619375948</v>
      </c>
      <c r="G24" s="2">
        <f t="shared" si="0"/>
        <v>-6.8661262536195977E-2</v>
      </c>
      <c r="H24" s="2">
        <f t="shared" si="1"/>
        <v>4.7143689730644294E-3</v>
      </c>
      <c r="I24" s="2"/>
      <c r="U24" s="1"/>
    </row>
    <row r="25" spans="1:21" x14ac:dyDescent="0.25">
      <c r="A25" s="1">
        <v>42248</v>
      </c>
      <c r="B25">
        <v>3.8050000000000002</v>
      </c>
      <c r="C25" s="2">
        <v>44.490928528271496</v>
      </c>
      <c r="D25">
        <v>48.77</v>
      </c>
      <c r="E25" s="2">
        <v>50.361096361937598</v>
      </c>
      <c r="F25" s="2">
        <v>5.8701678336661018</v>
      </c>
      <c r="G25" s="2">
        <f t="shared" si="0"/>
        <v>-4.279071471728507</v>
      </c>
      <c r="H25" s="2">
        <f t="shared" si="1"/>
        <v>18.31045266016077</v>
      </c>
      <c r="I25" s="2"/>
      <c r="U25" s="1"/>
    </row>
    <row r="26" spans="1:21" x14ac:dyDescent="0.25">
      <c r="A26" s="1">
        <v>42217</v>
      </c>
      <c r="B26">
        <v>3.9460000000000002</v>
      </c>
      <c r="C26" s="2">
        <v>42.487866176243607</v>
      </c>
      <c r="D26">
        <v>41.79</v>
      </c>
      <c r="E26" s="2">
        <v>47.660167833666101</v>
      </c>
      <c r="F26" s="2">
        <v>5.1723016574224943</v>
      </c>
      <c r="G26" s="2">
        <f t="shared" si="0"/>
        <v>0.69786617624360758</v>
      </c>
      <c r="H26" s="2">
        <f t="shared" si="1"/>
        <v>0.48701719994487397</v>
      </c>
      <c r="I26" s="2"/>
      <c r="U26" s="1"/>
    </row>
    <row r="27" spans="1:21" x14ac:dyDescent="0.25">
      <c r="A27" s="1">
        <v>42186</v>
      </c>
      <c r="B27">
        <v>3.895</v>
      </c>
      <c r="C27" s="2">
        <v>47.065462801928398</v>
      </c>
      <c r="D27">
        <v>45.34</v>
      </c>
      <c r="E27" s="2">
        <v>50.512301657422498</v>
      </c>
      <c r="F27" s="2">
        <v>3.4468388554941001</v>
      </c>
      <c r="G27" s="2">
        <f t="shared" si="0"/>
        <v>1.7254628019283942</v>
      </c>
      <c r="H27" s="2">
        <f t="shared" si="1"/>
        <v>2.9772218808385849</v>
      </c>
      <c r="I27" s="2"/>
      <c r="U27" s="1"/>
    </row>
    <row r="28" spans="1:21" x14ac:dyDescent="0.25">
      <c r="A28" s="1">
        <v>42156</v>
      </c>
      <c r="B28">
        <v>3.7462499999999999</v>
      </c>
      <c r="C28" s="2">
        <v>49.320903406752102</v>
      </c>
      <c r="D28">
        <v>53.9</v>
      </c>
      <c r="E28" s="2">
        <v>57.346838855494099</v>
      </c>
      <c r="F28" s="2">
        <v>8.0259354487419969</v>
      </c>
      <c r="G28" s="2">
        <f t="shared" si="0"/>
        <v>-4.5790965932478969</v>
      </c>
      <c r="H28" s="2">
        <f t="shared" si="1"/>
        <v>20.968125610294496</v>
      </c>
      <c r="I28" s="2"/>
      <c r="U28" s="1"/>
    </row>
    <row r="29" spans="1:21" x14ac:dyDescent="0.25">
      <c r="A29" s="1">
        <v>42125</v>
      </c>
      <c r="B29">
        <v>3.577</v>
      </c>
      <c r="C29" s="2">
        <v>66.2566792691551</v>
      </c>
      <c r="D29">
        <v>61.49</v>
      </c>
      <c r="E29" s="2">
        <v>69.515935448741999</v>
      </c>
      <c r="F29" s="2">
        <v>3.2592561795868988</v>
      </c>
      <c r="G29" s="2">
        <f t="shared" si="0"/>
        <v>4.7666792691550981</v>
      </c>
      <c r="H29" s="2">
        <f t="shared" si="1"/>
        <v>22.721231254992979</v>
      </c>
      <c r="I29" s="2"/>
      <c r="U29" s="1"/>
    </row>
    <row r="30" spans="1:21" x14ac:dyDescent="0.25">
      <c r="A30" s="1">
        <v>42095</v>
      </c>
      <c r="B30">
        <v>3.67</v>
      </c>
      <c r="C30" s="2">
        <v>55.415474115299503</v>
      </c>
      <c r="D30">
        <v>58.42</v>
      </c>
      <c r="E30" s="2">
        <v>61.679256179586901</v>
      </c>
      <c r="F30" s="2">
        <v>6.2637820642873976</v>
      </c>
      <c r="G30" s="2">
        <f t="shared" si="0"/>
        <v>-3.0045258847004988</v>
      </c>
      <c r="H30" s="2">
        <f t="shared" si="1"/>
        <v>9.0271757918353153</v>
      </c>
      <c r="I30" s="2"/>
      <c r="U30" s="1"/>
    </row>
    <row r="31" spans="1:21" x14ac:dyDescent="0.25">
      <c r="A31" s="1">
        <v>42064</v>
      </c>
      <c r="B31">
        <v>3.61625</v>
      </c>
      <c r="C31" s="2">
        <v>57.483782064287396</v>
      </c>
      <c r="D31">
        <v>61.22</v>
      </c>
      <c r="E31" s="2">
        <v>67.483782064287396</v>
      </c>
      <c r="F31" s="2">
        <v>10</v>
      </c>
      <c r="G31" s="2">
        <f t="shared" si="0"/>
        <v>-3.7362179357126024</v>
      </c>
      <c r="H31" s="2">
        <f t="shared" si="1"/>
        <v>13.95932446314054</v>
      </c>
      <c r="I31" s="2"/>
      <c r="U31" s="1"/>
    </row>
    <row r="32" spans="1:21" x14ac:dyDescent="0.25">
      <c r="A32" s="1">
        <v>42036</v>
      </c>
      <c r="B32">
        <v>3.5762499999999999</v>
      </c>
      <c r="C32" s="2">
        <v>66.7454816549333</v>
      </c>
      <c r="D32">
        <v>61.42</v>
      </c>
      <c r="E32" s="2">
        <v>72.605361949306101</v>
      </c>
      <c r="F32" s="2">
        <v>5.8598802943728003</v>
      </c>
      <c r="G32" s="2">
        <f t="shared" si="0"/>
        <v>5.3254816549332986</v>
      </c>
      <c r="H32" s="2">
        <f t="shared" si="1"/>
        <v>28.360754857031104</v>
      </c>
      <c r="I32" s="2"/>
      <c r="U32" s="1"/>
    </row>
    <row r="33" spans="1:21" x14ac:dyDescent="0.25">
      <c r="A33" s="1">
        <v>42005</v>
      </c>
      <c r="B33">
        <v>3.754</v>
      </c>
      <c r="C33" s="2">
        <v>51.994520152497898</v>
      </c>
      <c r="D33">
        <v>55.3</v>
      </c>
      <c r="E33" s="2">
        <v>61.159880294372797</v>
      </c>
      <c r="F33" s="2">
        <v>9.1653601418748991</v>
      </c>
      <c r="G33" s="2">
        <f t="shared" si="0"/>
        <v>-3.3054798475020988</v>
      </c>
      <c r="H33" s="2">
        <f t="shared" si="1"/>
        <v>10.926197022242498</v>
      </c>
      <c r="I33" s="2"/>
      <c r="U33" s="1"/>
    </row>
    <row r="34" spans="1:21" x14ac:dyDescent="0.25">
      <c r="A34" s="1">
        <v>41974</v>
      </c>
      <c r="B34">
        <v>3.8725000000000001</v>
      </c>
      <c r="C34" s="2">
        <v>48.835360141874901</v>
      </c>
      <c r="D34">
        <v>49.67</v>
      </c>
      <c r="E34" s="2">
        <v>58.835360141874901</v>
      </c>
      <c r="F34" s="2">
        <v>10</v>
      </c>
      <c r="G34" s="2">
        <f t="shared" si="0"/>
        <v>-0.83463985812510089</v>
      </c>
      <c r="H34" s="2">
        <f t="shared" si="1"/>
        <v>0.69662369277108849</v>
      </c>
      <c r="I34" s="2"/>
      <c r="U34" s="1"/>
    </row>
    <row r="35" spans="1:21" x14ac:dyDescent="0.25">
      <c r="A35" s="1">
        <v>41944</v>
      </c>
      <c r="B35">
        <v>3.9060000000000001</v>
      </c>
      <c r="C35" s="2">
        <v>55.711936794873701</v>
      </c>
      <c r="D35">
        <v>48.29</v>
      </c>
      <c r="E35" s="2">
        <v>60.184097627371102</v>
      </c>
      <c r="F35" s="2">
        <v>4.4721608324974014</v>
      </c>
      <c r="G35" s="2">
        <f t="shared" si="0"/>
        <v>7.4219367948737016</v>
      </c>
      <c r="H35" s="2">
        <f t="shared" si="1"/>
        <v>55.085145787100117</v>
      </c>
      <c r="I35" s="2"/>
      <c r="U35" s="1"/>
    </row>
    <row r="36" spans="1:21" x14ac:dyDescent="0.25">
      <c r="A36" s="1">
        <v>41913</v>
      </c>
      <c r="B36">
        <v>4.0374999999999996</v>
      </c>
      <c r="C36" s="2">
        <v>35.8021608324974</v>
      </c>
      <c r="D36">
        <v>41.33</v>
      </c>
      <c r="E36" s="2">
        <v>45.8021608324974</v>
      </c>
      <c r="F36" s="2">
        <v>10</v>
      </c>
      <c r="G36" s="2">
        <f t="shared" si="0"/>
        <v>-5.5278391675025986</v>
      </c>
      <c r="H36" s="2">
        <f t="shared" si="1"/>
        <v>30.557005861775824</v>
      </c>
      <c r="I36" s="2"/>
      <c r="U36" s="1"/>
    </row>
    <row r="37" spans="1:21" x14ac:dyDescent="0.25">
      <c r="A37" s="1">
        <v>41883</v>
      </c>
      <c r="B37">
        <v>4.00875</v>
      </c>
      <c r="C37" s="2">
        <v>50.3865709456514</v>
      </c>
      <c r="D37">
        <v>43.31</v>
      </c>
      <c r="E37" s="2">
        <v>53.5877743963105</v>
      </c>
      <c r="F37" s="2">
        <v>3.2012034506591007</v>
      </c>
      <c r="G37" s="2">
        <f t="shared" si="0"/>
        <v>7.0765709456513974</v>
      </c>
      <c r="H37" s="2">
        <f t="shared" si="1"/>
        <v>50.077856348837514</v>
      </c>
      <c r="I37" s="2"/>
      <c r="U37" s="1"/>
    </row>
    <row r="38" spans="1:21" x14ac:dyDescent="0.25">
      <c r="A38" s="1">
        <v>41852</v>
      </c>
      <c r="B38">
        <v>4.03</v>
      </c>
      <c r="C38" s="2">
        <v>39.999579344693998</v>
      </c>
      <c r="D38">
        <v>42.58</v>
      </c>
      <c r="E38" s="2">
        <v>45.781203450659099</v>
      </c>
      <c r="F38" s="2">
        <v>5.7816241059651006</v>
      </c>
      <c r="G38" s="2">
        <f t="shared" si="0"/>
        <v>-2.5804206553059998</v>
      </c>
      <c r="H38" s="2">
        <f t="shared" si="1"/>
        <v>6.6585707583298452</v>
      </c>
      <c r="I38" s="2"/>
      <c r="U38" s="1"/>
    </row>
    <row r="39" spans="1:21" x14ac:dyDescent="0.25">
      <c r="A39" s="1">
        <v>41821</v>
      </c>
      <c r="B39">
        <v>4.05</v>
      </c>
      <c r="C39" s="2">
        <v>38.303083267029393</v>
      </c>
      <c r="D39">
        <v>41.87</v>
      </c>
      <c r="E39" s="2">
        <v>47.651624105965098</v>
      </c>
      <c r="F39" s="2">
        <v>9.3485408389357048</v>
      </c>
      <c r="G39" s="2">
        <f t="shared" si="0"/>
        <v>-3.5669167329706042</v>
      </c>
      <c r="H39" s="2">
        <f t="shared" si="1"/>
        <v>12.722894979945689</v>
      </c>
      <c r="I39" s="2"/>
      <c r="U39" s="1"/>
    </row>
    <row r="40" spans="1:21" x14ac:dyDescent="0.25">
      <c r="A40" s="1">
        <v>41791</v>
      </c>
      <c r="B40">
        <v>4.0674999999999999</v>
      </c>
      <c r="C40" s="2">
        <v>45.3524918325055</v>
      </c>
      <c r="D40">
        <v>40.26</v>
      </c>
      <c r="E40" s="2">
        <v>49.608540838935703</v>
      </c>
      <c r="F40" s="2">
        <v>4.256049006430203</v>
      </c>
      <c r="G40" s="2">
        <f t="shared" si="0"/>
        <v>5.0924918325055017</v>
      </c>
      <c r="H40" s="2">
        <f t="shared" si="1"/>
        <v>25.933473064135242</v>
      </c>
      <c r="I40" s="2"/>
      <c r="U40" s="1"/>
    </row>
    <row r="41" spans="1:21" x14ac:dyDescent="0.25">
      <c r="A41" s="1">
        <v>41760</v>
      </c>
      <c r="B41">
        <v>4.2480000000000002</v>
      </c>
      <c r="C41" s="2">
        <v>35.433973593217395</v>
      </c>
      <c r="D41">
        <v>35.049999999999997</v>
      </c>
      <c r="E41" s="2">
        <v>39.3060490064302</v>
      </c>
      <c r="F41" s="2">
        <v>3.872075413212805</v>
      </c>
      <c r="G41" s="2">
        <f t="shared" si="0"/>
        <v>0.38397359321739799</v>
      </c>
      <c r="H41" s="2">
        <f t="shared" si="1"/>
        <v>0.14743572028827984</v>
      </c>
      <c r="I41" s="2"/>
      <c r="U41" s="1"/>
    </row>
    <row r="42" spans="1:21" x14ac:dyDescent="0.25">
      <c r="A42" s="1">
        <v>41730</v>
      </c>
      <c r="B42">
        <v>4.2487500000000002</v>
      </c>
      <c r="C42" s="2">
        <v>34.957854594971607</v>
      </c>
      <c r="D42">
        <v>36.049999999999997</v>
      </c>
      <c r="E42" s="2">
        <v>39.922075413212802</v>
      </c>
      <c r="F42" s="2">
        <v>4.9642208182411949</v>
      </c>
      <c r="G42" s="2">
        <f t="shared" si="0"/>
        <v>-1.0921454050283899</v>
      </c>
      <c r="H42" s="2">
        <f t="shared" si="1"/>
        <v>1.1927815857246258</v>
      </c>
      <c r="I42" s="2"/>
      <c r="U42" s="1"/>
    </row>
    <row r="43" spans="1:21" x14ac:dyDescent="0.25">
      <c r="A43" s="1">
        <v>41699</v>
      </c>
      <c r="B43">
        <v>4.2275</v>
      </c>
      <c r="C43" s="2">
        <v>35.128958861089998</v>
      </c>
      <c r="D43">
        <v>37.340000000000003</v>
      </c>
      <c r="E43" s="2">
        <v>42.304220818241198</v>
      </c>
      <c r="F43" s="2">
        <v>7.1752619571512</v>
      </c>
      <c r="G43" s="2">
        <f t="shared" si="0"/>
        <v>-2.2110411389100051</v>
      </c>
      <c r="H43" s="2">
        <f t="shared" si="1"/>
        <v>4.8887029179524522</v>
      </c>
      <c r="I43" s="2"/>
      <c r="U43" s="1"/>
    </row>
    <row r="44" spans="1:21" x14ac:dyDescent="0.25">
      <c r="A44" s="1">
        <v>41671</v>
      </c>
      <c r="B44">
        <v>4.3620000000000001</v>
      </c>
      <c r="C44" s="2">
        <v>32.088180851694702</v>
      </c>
      <c r="D44">
        <v>31.82</v>
      </c>
      <c r="E44" s="2">
        <v>38.9952619571512</v>
      </c>
      <c r="F44" s="2">
        <v>6.9070811054564984</v>
      </c>
      <c r="G44" s="2">
        <f t="shared" si="0"/>
        <v>0.26818085169470152</v>
      </c>
      <c r="H44" s="2">
        <f t="shared" si="1"/>
        <v>7.1920969215695491E-2</v>
      </c>
      <c r="I44" s="2"/>
      <c r="L44" s="2"/>
      <c r="U44" s="1"/>
    </row>
    <row r="45" spans="1:21" x14ac:dyDescent="0.25">
      <c r="A45" s="1">
        <v>41640</v>
      </c>
      <c r="B45">
        <v>4.37</v>
      </c>
      <c r="C45" s="2">
        <v>40.751623053972096</v>
      </c>
      <c r="D45">
        <v>32.67</v>
      </c>
      <c r="E45" s="2">
        <v>39.5770811054565</v>
      </c>
      <c r="F45" s="2">
        <v>-1.1745419485155963</v>
      </c>
      <c r="G45" s="2">
        <f t="shared" si="0"/>
        <v>8.0816230539720948</v>
      </c>
      <c r="H45" s="2">
        <f t="shared" si="1"/>
        <v>65.312631186493249</v>
      </c>
      <c r="I45" s="2"/>
      <c r="U45" s="1"/>
    </row>
    <row r="46" spans="1:21" x14ac:dyDescent="0.25">
      <c r="A46" s="1">
        <v>41609</v>
      </c>
      <c r="B46">
        <v>4.1862500000000002</v>
      </c>
      <c r="C46" s="2">
        <v>42.802059012762705</v>
      </c>
      <c r="D46">
        <v>41.41</v>
      </c>
      <c r="E46" s="2">
        <v>40.2354580514844</v>
      </c>
      <c r="F46" s="2">
        <v>-2.5666009612783043</v>
      </c>
      <c r="G46" s="2">
        <f t="shared" si="0"/>
        <v>1.3920590127627079</v>
      </c>
      <c r="H46" s="2">
        <f t="shared" si="1"/>
        <v>1.937828295013885</v>
      </c>
      <c r="I46" s="2"/>
      <c r="U46" s="1"/>
    </row>
    <row r="47" spans="1:21" x14ac:dyDescent="0.25">
      <c r="A47" s="1">
        <v>41579</v>
      </c>
      <c r="B47">
        <v>4.1219999999999999</v>
      </c>
      <c r="C47" s="2">
        <v>34.769022724274194</v>
      </c>
      <c r="D47">
        <v>43.99</v>
      </c>
      <c r="E47" s="2">
        <v>41.423399038721698</v>
      </c>
      <c r="F47" s="2">
        <v>6.6543763144475037</v>
      </c>
      <c r="G47" s="2">
        <f t="shared" si="0"/>
        <v>-9.2209772757258079</v>
      </c>
      <c r="H47" s="2">
        <f t="shared" si="1"/>
        <v>85.026421919451749</v>
      </c>
      <c r="I47" s="2"/>
      <c r="U47" s="1"/>
    </row>
    <row r="48" spans="1:21" x14ac:dyDescent="0.25">
      <c r="A48" s="1">
        <v>41548</v>
      </c>
      <c r="B48">
        <v>4.4212499999999997</v>
      </c>
      <c r="C48" s="2">
        <v>36.198750827445302</v>
      </c>
      <c r="D48">
        <v>33.4</v>
      </c>
      <c r="E48" s="2">
        <v>40.054376314447502</v>
      </c>
      <c r="F48" s="2">
        <v>3.8556254870022002</v>
      </c>
      <c r="G48" s="2">
        <f t="shared" si="0"/>
        <v>2.7987508274453035</v>
      </c>
      <c r="H48" s="2">
        <f t="shared" si="1"/>
        <v>7.8330061941257707</v>
      </c>
      <c r="I48" s="2"/>
      <c r="U48" s="1"/>
    </row>
    <row r="49" spans="1:21" x14ac:dyDescent="0.25">
      <c r="A49" s="1">
        <v>41518</v>
      </c>
      <c r="B49">
        <v>4.4037499999999996</v>
      </c>
      <c r="C49" s="2">
        <v>42.885286659668708</v>
      </c>
      <c r="D49">
        <v>37.200000000000003</v>
      </c>
      <c r="E49" s="2">
        <v>41.055625487002203</v>
      </c>
      <c r="F49" s="2">
        <v>-1.8296611726665049</v>
      </c>
      <c r="G49" s="2">
        <f t="shared" si="0"/>
        <v>5.6852866596687051</v>
      </c>
      <c r="H49" s="2">
        <f t="shared" si="1"/>
        <v>32.322484402606939</v>
      </c>
      <c r="I49" s="2"/>
      <c r="U49" s="1"/>
    </row>
    <row r="50" spans="1:21" x14ac:dyDescent="0.25">
      <c r="A50" s="1">
        <v>41487</v>
      </c>
      <c r="B50">
        <v>4.3090000000000002</v>
      </c>
      <c r="C50" s="2">
        <v>39.667621210196593</v>
      </c>
      <c r="D50">
        <v>42.38</v>
      </c>
      <c r="E50" s="2">
        <v>40.550338827333498</v>
      </c>
      <c r="F50" s="2">
        <v>0.88271761713690466</v>
      </c>
      <c r="G50" s="2">
        <f t="shared" si="0"/>
        <v>-2.7123787898034095</v>
      </c>
      <c r="H50" s="2">
        <f t="shared" si="1"/>
        <v>7.3569986993754082</v>
      </c>
      <c r="I50" s="2"/>
      <c r="U50" s="1"/>
    </row>
    <row r="51" spans="1:21" x14ac:dyDescent="0.25">
      <c r="A51" s="1">
        <v>41456</v>
      </c>
      <c r="B51">
        <v>4.0075000000000003</v>
      </c>
      <c r="C51" s="2">
        <v>55.086395626630704</v>
      </c>
      <c r="D51">
        <v>53.22</v>
      </c>
      <c r="E51" s="2">
        <v>54.102717617136904</v>
      </c>
      <c r="F51" s="2">
        <v>-0.98367800949380069</v>
      </c>
      <c r="G51" s="2">
        <f t="shared" si="0"/>
        <v>1.8663956266307054</v>
      </c>
      <c r="H51" s="2">
        <f t="shared" si="1"/>
        <v>3.4834326351062233</v>
      </c>
      <c r="I51" s="2"/>
      <c r="U51" s="1"/>
    </row>
    <row r="52" spans="1:21" x14ac:dyDescent="0.25">
      <c r="A52" s="1">
        <v>41426</v>
      </c>
      <c r="B52">
        <v>3.4660000000000002</v>
      </c>
      <c r="C52" s="2">
        <v>70.792108178261003</v>
      </c>
      <c r="D52">
        <v>74.19</v>
      </c>
      <c r="E52" s="2">
        <v>73.206321990506197</v>
      </c>
      <c r="F52" s="2">
        <v>2.4142138122451939</v>
      </c>
      <c r="G52" s="2">
        <f t="shared" si="0"/>
        <v>-3.3978918217389946</v>
      </c>
      <c r="H52" s="2">
        <f t="shared" si="1"/>
        <v>11.545668832240743</v>
      </c>
      <c r="I52" s="2"/>
      <c r="U52" s="1"/>
    </row>
    <row r="53" spans="1:21" x14ac:dyDescent="0.25">
      <c r="A53" s="1">
        <v>41395</v>
      </c>
      <c r="B53">
        <v>3.3887499999999999</v>
      </c>
      <c r="C53" s="2">
        <v>86.190788367219895</v>
      </c>
      <c r="D53">
        <v>78.95</v>
      </c>
      <c r="E53" s="2">
        <v>81.364213812245197</v>
      </c>
      <c r="F53" s="2">
        <v>-4.8265745549746981</v>
      </c>
      <c r="G53" s="2">
        <f t="shared" si="0"/>
        <v>7.2407883672198921</v>
      </c>
      <c r="H53" s="2">
        <f t="shared" si="1"/>
        <v>52.42901617886691</v>
      </c>
      <c r="I53" s="2"/>
      <c r="U53" s="1"/>
    </row>
    <row r="54" spans="1:21" x14ac:dyDescent="0.25">
      <c r="A54" s="1">
        <v>41365</v>
      </c>
      <c r="B54">
        <v>3.50875</v>
      </c>
      <c r="C54" s="2">
        <v>75.53446503600091</v>
      </c>
      <c r="D54">
        <v>74.56</v>
      </c>
      <c r="E54" s="2">
        <v>69.733425445025304</v>
      </c>
      <c r="F54" s="2">
        <v>-5.8010395909756056</v>
      </c>
      <c r="G54" s="2">
        <f t="shared" si="0"/>
        <v>0.9744650360009075</v>
      </c>
      <c r="H54" s="2">
        <f t="shared" si="1"/>
        <v>0.94958210638824991</v>
      </c>
      <c r="I54" s="2"/>
      <c r="U54" s="1"/>
    </row>
    <row r="55" spans="1:21" x14ac:dyDescent="0.25">
      <c r="A55" s="1">
        <v>41334</v>
      </c>
      <c r="B55">
        <v>3.4824999999999999</v>
      </c>
      <c r="C55" s="2">
        <v>71.4473355726888</v>
      </c>
      <c r="D55">
        <v>77.53</v>
      </c>
      <c r="E55" s="2">
        <v>71.728960409024396</v>
      </c>
      <c r="F55" s="2">
        <v>0.28162483633559532</v>
      </c>
      <c r="G55" s="2">
        <f t="shared" si="0"/>
        <v>-6.0826644273112009</v>
      </c>
      <c r="H55" s="2">
        <f t="shared" si="1"/>
        <v>36.998806535277097</v>
      </c>
      <c r="I55" s="2"/>
      <c r="U55" s="1"/>
    </row>
    <row r="56" spans="1:21" x14ac:dyDescent="0.25">
      <c r="A56" s="1">
        <v>41306</v>
      </c>
      <c r="B56">
        <v>3.339</v>
      </c>
      <c r="C56" s="2">
        <v>90.936375331294997</v>
      </c>
      <c r="D56">
        <v>87.22</v>
      </c>
      <c r="E56" s="2">
        <v>87.501624836335594</v>
      </c>
      <c r="F56" s="2">
        <v>-3.4347504949594025</v>
      </c>
      <c r="G56" s="2">
        <f t="shared" si="0"/>
        <v>3.7163753312949979</v>
      </c>
      <c r="H56" s="2">
        <f t="shared" si="1"/>
        <v>13.811445603058004</v>
      </c>
      <c r="I56" s="2"/>
      <c r="U56" s="1"/>
    </row>
    <row r="57" spans="1:21" x14ac:dyDescent="0.25">
      <c r="A57" s="1">
        <v>41275</v>
      </c>
      <c r="B57">
        <v>3.27</v>
      </c>
      <c r="C57" s="2">
        <v>92.270691992127198</v>
      </c>
      <c r="D57">
        <v>92.87</v>
      </c>
      <c r="E57" s="2">
        <v>89.435249505040602</v>
      </c>
      <c r="F57" s="2">
        <v>-2.8354424870865955</v>
      </c>
      <c r="G57" s="2">
        <f t="shared" si="0"/>
        <v>-0.59930800787280702</v>
      </c>
      <c r="H57" s="2">
        <f t="shared" si="1"/>
        <v>0.35917008830047253</v>
      </c>
      <c r="I57" s="2"/>
      <c r="U57" s="1"/>
    </row>
    <row r="58" spans="1:21" x14ac:dyDescent="0.25">
      <c r="A58" s="1">
        <v>41244</v>
      </c>
      <c r="B58">
        <v>3.2737500000000002</v>
      </c>
      <c r="C58" s="2">
        <v>94.5180059345155</v>
      </c>
      <c r="D58">
        <v>94.5</v>
      </c>
      <c r="E58" s="2">
        <v>91.664557512913404</v>
      </c>
      <c r="F58" s="2">
        <v>-2.8534484216020957</v>
      </c>
      <c r="G58" s="2">
        <f t="shared" si="0"/>
        <v>1.8005934515500144E-2</v>
      </c>
      <c r="H58" s="2">
        <f t="shared" si="1"/>
        <v>3.2421367777647937E-4</v>
      </c>
      <c r="I58" s="2"/>
      <c r="U58" s="1"/>
    </row>
    <row r="59" spans="1:21" x14ac:dyDescent="0.25">
      <c r="A59" s="1">
        <v>41214</v>
      </c>
      <c r="B59">
        <v>3.3039999999999998</v>
      </c>
      <c r="C59" s="2">
        <v>96.867259844471889</v>
      </c>
      <c r="D59">
        <v>96.07</v>
      </c>
      <c r="E59" s="2">
        <v>93.216551578397898</v>
      </c>
      <c r="F59" s="2">
        <v>-3.6507082660739911</v>
      </c>
      <c r="G59" s="2">
        <f t="shared" si="0"/>
        <v>0.79725984447189546</v>
      </c>
      <c r="H59" s="2">
        <f t="shared" si="1"/>
        <v>0.63562325960735089</v>
      </c>
      <c r="I59" s="2"/>
      <c r="U59" s="1"/>
    </row>
    <row r="60" spans="1:21" x14ac:dyDescent="0.25">
      <c r="A60" s="1">
        <v>41183</v>
      </c>
      <c r="B60">
        <v>3.4037500000000001</v>
      </c>
      <c r="C60" s="2">
        <v>84.707437319546713</v>
      </c>
      <c r="D60">
        <v>92.63</v>
      </c>
      <c r="E60" s="2">
        <v>88.979291733926004</v>
      </c>
      <c r="F60" s="2">
        <v>4.2718544143792911</v>
      </c>
      <c r="G60" s="2">
        <f t="shared" si="0"/>
        <v>-7.9225626804532823</v>
      </c>
      <c r="H60" s="2">
        <f t="shared" si="1"/>
        <v>62.766999425711099</v>
      </c>
      <c r="I60" s="2"/>
      <c r="U60" s="1"/>
    </row>
    <row r="61" spans="1:21" x14ac:dyDescent="0.25">
      <c r="A61" s="1">
        <v>41153</v>
      </c>
      <c r="B61">
        <v>3.512</v>
      </c>
      <c r="C61" s="2">
        <v>91.382399707195205</v>
      </c>
      <c r="D61">
        <v>89.15</v>
      </c>
      <c r="E61" s="2">
        <v>93.421854414379297</v>
      </c>
      <c r="F61" s="2">
        <v>2.0394547071840918</v>
      </c>
      <c r="G61" s="2">
        <f t="shared" si="0"/>
        <v>2.2323997071951993</v>
      </c>
      <c r="H61" s="2">
        <f t="shared" si="1"/>
        <v>4.9836084526852114</v>
      </c>
      <c r="I61" s="2"/>
      <c r="U61" s="1"/>
    </row>
    <row r="62" spans="1:21" x14ac:dyDescent="0.25">
      <c r="A62" s="1">
        <v>41122</v>
      </c>
      <c r="B62">
        <v>3.4812500000000002</v>
      </c>
      <c r="C62" s="2">
        <v>93.491634312256792</v>
      </c>
      <c r="D62">
        <v>91.76</v>
      </c>
      <c r="E62" s="2">
        <v>93.799454707184097</v>
      </c>
      <c r="F62" s="2">
        <v>0.30782039492730462</v>
      </c>
      <c r="G62" s="2">
        <f t="shared" si="0"/>
        <v>1.7316343122567872</v>
      </c>
      <c r="H62" s="2">
        <f t="shared" si="1"/>
        <v>2.9985573913850363</v>
      </c>
      <c r="I62" s="2"/>
      <c r="U62" s="1"/>
    </row>
    <row r="63" spans="1:21" x14ac:dyDescent="0.25">
      <c r="A63" s="1">
        <v>41091</v>
      </c>
      <c r="B63">
        <v>3.6</v>
      </c>
      <c r="C63" s="2">
        <v>88.741070311748203</v>
      </c>
      <c r="D63">
        <v>89.97</v>
      </c>
      <c r="E63" s="2">
        <v>90.277820394927303</v>
      </c>
      <c r="F63" s="2">
        <v>1.5367500831791006</v>
      </c>
      <c r="G63" s="2">
        <f t="shared" si="0"/>
        <v>-1.2289296882517959</v>
      </c>
      <c r="H63" s="2">
        <f t="shared" si="1"/>
        <v>1.5102681786666563</v>
      </c>
      <c r="I63" s="2"/>
      <c r="U63" s="1"/>
    </row>
    <row r="64" spans="1:21" x14ac:dyDescent="0.25">
      <c r="A64" s="1">
        <v>41061</v>
      </c>
      <c r="B64">
        <v>3.738</v>
      </c>
      <c r="C64" s="2">
        <v>84.583686850954606</v>
      </c>
      <c r="D64">
        <v>88.11</v>
      </c>
      <c r="E64" s="2">
        <v>89.6467500831791</v>
      </c>
      <c r="F64" s="2">
        <v>5.0630632322244935</v>
      </c>
      <c r="G64" s="2">
        <f t="shared" si="0"/>
        <v>-3.5263131490453929</v>
      </c>
      <c r="H64" s="2">
        <f t="shared" si="1"/>
        <v>12.434884425130436</v>
      </c>
      <c r="I64" s="2"/>
      <c r="U64" s="1"/>
    </row>
    <row r="65" spans="1:21" x14ac:dyDescent="0.25">
      <c r="A65" s="1">
        <v>41030</v>
      </c>
      <c r="B65">
        <v>3.8412500000000001</v>
      </c>
      <c r="C65" s="2">
        <v>88.069408960116306</v>
      </c>
      <c r="D65">
        <v>84.2</v>
      </c>
      <c r="E65" s="2">
        <v>89.263063232224496</v>
      </c>
      <c r="F65" s="2">
        <v>1.1936542721081906</v>
      </c>
      <c r="G65" s="2">
        <f t="shared" si="0"/>
        <v>3.8694089601163029</v>
      </c>
      <c r="H65" s="2">
        <f t="shared" si="1"/>
        <v>14.972325700628328</v>
      </c>
      <c r="I65" s="2"/>
      <c r="U65" s="1"/>
    </row>
    <row r="66" spans="1:21" x14ac:dyDescent="0.25">
      <c r="A66" s="1">
        <v>41000</v>
      </c>
      <c r="B66">
        <v>3.9112499999999999</v>
      </c>
      <c r="C66" s="2">
        <v>86.842007938883896</v>
      </c>
      <c r="D66">
        <v>82.4</v>
      </c>
      <c r="E66" s="2">
        <v>83.593654272108196</v>
      </c>
      <c r="F66" s="2">
        <v>-3.2483536667756994</v>
      </c>
      <c r="G66" s="2">
        <f t="shared" si="0"/>
        <v>4.44200793888389</v>
      </c>
      <c r="H66" s="2">
        <f t="shared" si="1"/>
        <v>19.731434529107506</v>
      </c>
      <c r="I66" s="2"/>
      <c r="U66" s="1"/>
    </row>
    <row r="67" spans="1:21" x14ac:dyDescent="0.25">
      <c r="A67" s="1">
        <v>40969</v>
      </c>
      <c r="B67">
        <v>3.8420000000000001</v>
      </c>
      <c r="C67" s="2">
        <v>86.868149296276684</v>
      </c>
      <c r="D67">
        <v>87.32</v>
      </c>
      <c r="E67" s="2">
        <v>84.071646333224294</v>
      </c>
      <c r="F67" s="2">
        <v>-2.7965029630523901</v>
      </c>
      <c r="G67" s="2">
        <f t="shared" ref="G67:G128" si="2">C67-D67</f>
        <v>-0.45185070372330927</v>
      </c>
      <c r="H67" s="2">
        <f t="shared" ref="H67:H128" si="3">G67^2</f>
        <v>0.2041690584552498</v>
      </c>
      <c r="I67" s="2"/>
      <c r="U67" s="1"/>
    </row>
    <row r="68" spans="1:21" x14ac:dyDescent="0.25">
      <c r="A68" s="1">
        <v>40940</v>
      </c>
      <c r="B68">
        <v>3.8525</v>
      </c>
      <c r="C68" s="2">
        <v>86.084357713682309</v>
      </c>
      <c r="D68">
        <v>88.32</v>
      </c>
      <c r="E68" s="2">
        <v>85.523497036947603</v>
      </c>
      <c r="F68" s="2">
        <v>-0.56086067673470552</v>
      </c>
      <c r="G68" s="2">
        <f t="shared" si="2"/>
        <v>-2.2356422863176846</v>
      </c>
      <c r="H68" s="2">
        <f t="shared" si="3"/>
        <v>4.9980964323717636</v>
      </c>
      <c r="I68" s="2"/>
      <c r="U68" s="1"/>
    </row>
    <row r="69" spans="1:21" x14ac:dyDescent="0.25">
      <c r="A69" s="1">
        <v>40909</v>
      </c>
      <c r="B69">
        <v>3.8787500000000001</v>
      </c>
      <c r="C69" s="2">
        <v>85.806754830294196</v>
      </c>
      <c r="D69">
        <v>88.11</v>
      </c>
      <c r="E69" s="2">
        <v>87.549139323265294</v>
      </c>
      <c r="F69" s="2">
        <v>1.7423844929710981</v>
      </c>
      <c r="G69" s="2">
        <f t="shared" si="2"/>
        <v>-2.3032451697058036</v>
      </c>
      <c r="H69" s="2">
        <f t="shared" si="3"/>
        <v>5.3049383117731157</v>
      </c>
      <c r="I69" s="2"/>
      <c r="U69" s="1"/>
    </row>
    <row r="70" spans="1:21" x14ac:dyDescent="0.25">
      <c r="A70" s="1">
        <v>40878</v>
      </c>
      <c r="B70">
        <v>3.919</v>
      </c>
      <c r="C70" s="2">
        <v>89.003571505900695</v>
      </c>
      <c r="D70">
        <v>87.91</v>
      </c>
      <c r="E70" s="2">
        <v>89.652384492971095</v>
      </c>
      <c r="F70" s="2">
        <v>0.64881298707040003</v>
      </c>
      <c r="G70" s="2">
        <f t="shared" si="2"/>
        <v>1.0935715059006981</v>
      </c>
      <c r="H70" s="2">
        <f t="shared" si="3"/>
        <v>1.1958986385179204</v>
      </c>
      <c r="I70" s="2"/>
      <c r="U70" s="1"/>
    </row>
    <row r="71" spans="1:21" x14ac:dyDescent="0.25">
      <c r="A71" s="1">
        <v>40848</v>
      </c>
      <c r="B71">
        <v>4.0175000000000001</v>
      </c>
      <c r="C71" s="2">
        <v>76.464791210504202</v>
      </c>
      <c r="D71">
        <v>83.43</v>
      </c>
      <c r="E71" s="2">
        <v>84.078812987070407</v>
      </c>
      <c r="F71" s="2">
        <v>7.6140217765662044</v>
      </c>
      <c r="G71" s="2">
        <f t="shared" si="2"/>
        <v>-6.9652087894958044</v>
      </c>
      <c r="H71" s="2">
        <f t="shared" si="3"/>
        <v>48.51413348126961</v>
      </c>
      <c r="I71" s="2"/>
      <c r="U71" s="1"/>
    </row>
    <row r="72" spans="1:21" x14ac:dyDescent="0.25">
      <c r="A72" s="1">
        <v>40817</v>
      </c>
      <c r="B72">
        <v>4.0025000000000004</v>
      </c>
      <c r="C72" s="2">
        <v>85.515088364488292</v>
      </c>
      <c r="D72">
        <v>82.8</v>
      </c>
      <c r="E72" s="2">
        <v>90.414021776566202</v>
      </c>
      <c r="F72" s="2">
        <v>4.8989334120779091</v>
      </c>
      <c r="G72" s="2">
        <f t="shared" si="2"/>
        <v>2.7150883644882953</v>
      </c>
      <c r="H72" s="2">
        <f t="shared" si="3"/>
        <v>7.3717048269797258</v>
      </c>
      <c r="I72" s="2"/>
      <c r="U72" s="1"/>
    </row>
    <row r="73" spans="1:21" x14ac:dyDescent="0.25">
      <c r="A73" s="1">
        <v>40787</v>
      </c>
      <c r="B73">
        <v>4.1900000000000004</v>
      </c>
      <c r="C73" s="2">
        <v>82.973334711337898</v>
      </c>
      <c r="D73">
        <v>73.959999999999994</v>
      </c>
      <c r="E73" s="2">
        <v>78.858933412077903</v>
      </c>
      <c r="F73" s="2">
        <v>-4.1144012992599954</v>
      </c>
      <c r="G73" s="2">
        <f t="shared" si="2"/>
        <v>9.0133347113379045</v>
      </c>
      <c r="H73" s="2">
        <f t="shared" si="3"/>
        <v>81.240202618608748</v>
      </c>
      <c r="I73" s="2"/>
      <c r="U73" s="1"/>
    </row>
    <row r="74" spans="1:21" x14ac:dyDescent="0.25">
      <c r="A74" s="1">
        <v>40756</v>
      </c>
      <c r="B74">
        <v>4.4762500000000003</v>
      </c>
      <c r="C74" s="2">
        <v>56.843065034273707</v>
      </c>
      <c r="D74">
        <v>55.51</v>
      </c>
      <c r="E74" s="2">
        <v>51.395598700740003</v>
      </c>
      <c r="F74" s="2">
        <v>-5.4474663335337041</v>
      </c>
      <c r="G74" s="2">
        <f t="shared" si="2"/>
        <v>1.3330650342737087</v>
      </c>
      <c r="H74" s="2">
        <f t="shared" si="3"/>
        <v>1.7770623856031642</v>
      </c>
      <c r="I74" s="2"/>
      <c r="U74" s="1"/>
    </row>
    <row r="75" spans="1:21" x14ac:dyDescent="0.25">
      <c r="A75" s="1">
        <v>40725</v>
      </c>
      <c r="B75">
        <v>4.4349999999999996</v>
      </c>
      <c r="C75" s="2">
        <v>53.621847019581693</v>
      </c>
      <c r="D75">
        <v>56.99</v>
      </c>
      <c r="E75" s="2">
        <v>51.542533666466298</v>
      </c>
      <c r="F75" s="2">
        <v>-2.0793133531153956</v>
      </c>
      <c r="G75" s="2">
        <f t="shared" si="2"/>
        <v>-3.3681529804183086</v>
      </c>
      <c r="H75" s="2">
        <f t="shared" si="3"/>
        <v>11.344454499500735</v>
      </c>
      <c r="I75" s="2"/>
      <c r="U75" s="1"/>
    </row>
    <row r="76" spans="1:21" x14ac:dyDescent="0.25">
      <c r="A76" s="1">
        <v>40695</v>
      </c>
      <c r="B76">
        <v>4.5625</v>
      </c>
      <c r="C76" s="2">
        <v>57.893162076270407</v>
      </c>
      <c r="D76">
        <v>54.58</v>
      </c>
      <c r="E76" s="2">
        <v>52.500686646884603</v>
      </c>
      <c r="F76" s="2">
        <v>-5.3924754293858044</v>
      </c>
      <c r="G76" s="2">
        <f t="shared" si="2"/>
        <v>3.3131620762704088</v>
      </c>
      <c r="H76" s="2">
        <f t="shared" si="3"/>
        <v>10.977042943636446</v>
      </c>
      <c r="I76" s="2"/>
      <c r="U76" s="1"/>
    </row>
    <row r="77" spans="1:21" x14ac:dyDescent="0.25">
      <c r="A77" s="1">
        <v>40664</v>
      </c>
      <c r="B77">
        <v>4.75875</v>
      </c>
      <c r="C77" s="2">
        <v>52.913559033143798</v>
      </c>
      <c r="D77">
        <v>52.21</v>
      </c>
      <c r="E77" s="2">
        <v>46.817524570614196</v>
      </c>
      <c r="F77" s="2">
        <v>-6.0960344625296017</v>
      </c>
      <c r="G77" s="2">
        <f t="shared" si="2"/>
        <v>0.70355903314379731</v>
      </c>
      <c r="H77" s="2">
        <f t="shared" si="3"/>
        <v>0.49499531311823486</v>
      </c>
      <c r="I77" s="2"/>
      <c r="U77" s="1"/>
    </row>
    <row r="78" spans="1:21" x14ac:dyDescent="0.25">
      <c r="A78" s="1">
        <v>40634</v>
      </c>
      <c r="B78">
        <v>4.7610000000000001</v>
      </c>
      <c r="C78" s="2">
        <v>51.783312917903203</v>
      </c>
      <c r="D78">
        <v>53.7</v>
      </c>
      <c r="E78" s="2">
        <v>47.603965537470401</v>
      </c>
      <c r="F78" s="2">
        <v>-4.1793473804328016</v>
      </c>
      <c r="G78" s="2">
        <f t="shared" si="2"/>
        <v>-1.9166870820968001</v>
      </c>
      <c r="H78" s="2">
        <f t="shared" si="3"/>
        <v>3.6736893706767457</v>
      </c>
      <c r="I78" s="2"/>
      <c r="U78" s="1"/>
    </row>
    <row r="79" spans="1:21" x14ac:dyDescent="0.25">
      <c r="A79" s="1">
        <v>40603</v>
      </c>
      <c r="B79">
        <v>4.8775000000000004</v>
      </c>
      <c r="C79" s="2">
        <v>56.9906526195672</v>
      </c>
      <c r="D79">
        <v>51.17</v>
      </c>
      <c r="E79" s="2">
        <v>46.9906526195672</v>
      </c>
      <c r="F79" s="2">
        <v>-10</v>
      </c>
      <c r="G79" s="2">
        <f t="shared" si="2"/>
        <v>5.8206526195671984</v>
      </c>
      <c r="H79" s="2">
        <f t="shared" si="3"/>
        <v>33.87999691767449</v>
      </c>
      <c r="I79" s="2"/>
      <c r="U79" s="1"/>
    </row>
    <row r="80" spans="1:21" x14ac:dyDescent="0.25">
      <c r="A80" s="1">
        <v>40575</v>
      </c>
      <c r="B80">
        <v>4.6987500000000004</v>
      </c>
      <c r="C80" s="2">
        <v>54.479908859643096</v>
      </c>
      <c r="D80">
        <v>58.86</v>
      </c>
      <c r="E80" s="2">
        <v>47.584258400171002</v>
      </c>
      <c r="F80" s="2">
        <v>-6.895650459472094</v>
      </c>
      <c r="G80" s="2">
        <f t="shared" si="2"/>
        <v>-4.3800911403569032</v>
      </c>
      <c r="H80" s="2">
        <f t="shared" si="3"/>
        <v>19.185198397833037</v>
      </c>
      <c r="I80" s="2"/>
      <c r="U80" s="1"/>
    </row>
    <row r="81" spans="1:21" x14ac:dyDescent="0.25">
      <c r="A81" s="1">
        <v>40544</v>
      </c>
      <c r="B81">
        <v>4.649</v>
      </c>
      <c r="C81" s="2">
        <v>52.308315852812804</v>
      </c>
      <c r="D81">
        <v>61.73</v>
      </c>
      <c r="E81" s="2">
        <v>54.834349540527903</v>
      </c>
      <c r="F81" s="2">
        <v>2.5260336877150991</v>
      </c>
      <c r="G81" s="2">
        <f t="shared" si="2"/>
        <v>-9.421684147187193</v>
      </c>
      <c r="H81" s="2">
        <f t="shared" si="3"/>
        <v>88.768132169358466</v>
      </c>
      <c r="I81" s="2"/>
      <c r="U81" s="1"/>
    </row>
    <row r="82" spans="1:21" x14ac:dyDescent="0.25">
      <c r="A82" s="1">
        <v>40513</v>
      </c>
      <c r="B82">
        <v>4.2562499999999996</v>
      </c>
      <c r="C82" s="2">
        <v>84.614907967869101</v>
      </c>
      <c r="D82">
        <v>82.68</v>
      </c>
      <c r="E82" s="2">
        <v>85.206033687715106</v>
      </c>
      <c r="F82" s="2">
        <v>0.59112571984600493</v>
      </c>
      <c r="G82" s="2">
        <f t="shared" si="2"/>
        <v>1.9349079678690941</v>
      </c>
      <c r="H82" s="2">
        <f t="shared" si="3"/>
        <v>3.7438688441233072</v>
      </c>
      <c r="I82" s="2"/>
      <c r="U82" s="1"/>
    </row>
    <row r="83" spans="1:21" x14ac:dyDescent="0.25">
      <c r="A83" s="1">
        <v>40483</v>
      </c>
      <c r="B83">
        <v>4.1749999999999998</v>
      </c>
      <c r="C83" s="2">
        <v>88.288444843821907</v>
      </c>
      <c r="D83">
        <v>90.03</v>
      </c>
      <c r="E83" s="2">
        <v>90.621125719846006</v>
      </c>
      <c r="F83" s="2">
        <v>2.3326808760240993</v>
      </c>
      <c r="G83" s="2">
        <f t="shared" si="2"/>
        <v>-1.7415551561780944</v>
      </c>
      <c r="H83" s="2">
        <f t="shared" si="3"/>
        <v>3.033014362010507</v>
      </c>
      <c r="I83" s="2"/>
      <c r="U83" s="1"/>
    </row>
    <row r="84" spans="1:21" x14ac:dyDescent="0.25">
      <c r="A84" s="1">
        <v>40452</v>
      </c>
      <c r="B84">
        <v>4.2759999999999998</v>
      </c>
      <c r="C84" s="2">
        <v>80.134896288897707</v>
      </c>
      <c r="D84">
        <v>87.26</v>
      </c>
      <c r="E84" s="2">
        <v>89.592680876024104</v>
      </c>
      <c r="F84" s="2">
        <v>9.4577845871263975</v>
      </c>
      <c r="G84" s="2">
        <f t="shared" si="2"/>
        <v>-7.1251037111022981</v>
      </c>
      <c r="H84" s="2">
        <f t="shared" si="3"/>
        <v>50.767102893963738</v>
      </c>
      <c r="I84" s="2"/>
      <c r="U84" s="1"/>
    </row>
    <row r="85" spans="1:21" x14ac:dyDescent="0.25">
      <c r="A85" s="1">
        <v>40422</v>
      </c>
      <c r="B85">
        <v>4.3525</v>
      </c>
      <c r="C85" s="2">
        <v>82.586094536746998</v>
      </c>
      <c r="D85">
        <v>81.67</v>
      </c>
      <c r="E85" s="2">
        <v>91.127784587126399</v>
      </c>
      <c r="F85" s="2">
        <v>8.5416900503794011</v>
      </c>
      <c r="G85" s="2">
        <f t="shared" si="2"/>
        <v>0.91609453674699637</v>
      </c>
      <c r="H85" s="2">
        <f t="shared" si="3"/>
        <v>0.83922920025769387</v>
      </c>
      <c r="I85" s="2"/>
      <c r="U85" s="1"/>
    </row>
    <row r="86" spans="1:21" x14ac:dyDescent="0.25">
      <c r="A86" s="1">
        <v>40391</v>
      </c>
      <c r="B86">
        <v>4.4850000000000003</v>
      </c>
      <c r="C86" s="2">
        <v>83.402997451217701</v>
      </c>
      <c r="D86">
        <v>73.11</v>
      </c>
      <c r="E86" s="2">
        <v>81.651690050379401</v>
      </c>
      <c r="F86" s="2">
        <v>-1.7513074008383001</v>
      </c>
      <c r="G86" s="2">
        <f t="shared" si="2"/>
        <v>10.292997451217701</v>
      </c>
      <c r="H86" s="2">
        <f t="shared" si="3"/>
        <v>105.94579653077409</v>
      </c>
      <c r="I86" s="2"/>
      <c r="U86" s="1"/>
    </row>
    <row r="87" spans="1:21" x14ac:dyDescent="0.25">
      <c r="A87" s="1">
        <v>40360</v>
      </c>
      <c r="B87">
        <v>4.6360000000000001</v>
      </c>
      <c r="C87" s="2">
        <v>67.915213099156688</v>
      </c>
      <c r="D87">
        <v>69.709999999999994</v>
      </c>
      <c r="E87" s="2">
        <v>67.958692599161694</v>
      </c>
      <c r="F87" s="2">
        <v>4.3479500005005889E-2</v>
      </c>
      <c r="G87" s="2">
        <f t="shared" si="2"/>
        <v>-1.7947869008433059</v>
      </c>
      <c r="H87" s="2">
        <f t="shared" si="3"/>
        <v>3.2212600194387191</v>
      </c>
      <c r="I87" s="2"/>
      <c r="U87" s="1"/>
    </row>
    <row r="88" spans="1:21" x14ac:dyDescent="0.25">
      <c r="A88" s="1">
        <v>40330</v>
      </c>
      <c r="B88">
        <v>4.8125</v>
      </c>
      <c r="C88" s="2">
        <v>64.506809465209415</v>
      </c>
      <c r="D88">
        <v>66.47</v>
      </c>
      <c r="E88" s="2">
        <v>66.513479500005005</v>
      </c>
      <c r="F88" s="2">
        <v>2.0066700347955972</v>
      </c>
      <c r="G88" s="2">
        <f t="shared" si="2"/>
        <v>-1.9631905347905843</v>
      </c>
      <c r="H88" s="2">
        <f t="shared" si="3"/>
        <v>3.8541170758913403</v>
      </c>
      <c r="I88" s="2"/>
      <c r="U88" s="1"/>
    </row>
    <row r="89" spans="1:21" x14ac:dyDescent="0.25">
      <c r="A89" s="1">
        <v>40299</v>
      </c>
      <c r="B89">
        <v>5.0149999999999997</v>
      </c>
      <c r="C89" s="2">
        <v>64.168750169955501</v>
      </c>
      <c r="D89">
        <v>58.49</v>
      </c>
      <c r="E89" s="2">
        <v>60.496670034795599</v>
      </c>
      <c r="F89" s="2">
        <v>-3.6720801351599093</v>
      </c>
      <c r="G89" s="2">
        <f t="shared" si="2"/>
        <v>5.6787501699554994</v>
      </c>
      <c r="H89" s="2">
        <f t="shared" si="3"/>
        <v>32.248203492769612</v>
      </c>
      <c r="I89" s="2"/>
      <c r="U89" s="1"/>
    </row>
    <row r="90" spans="1:21" x14ac:dyDescent="0.25">
      <c r="A90" s="1">
        <v>40269</v>
      </c>
      <c r="B90">
        <v>4.91</v>
      </c>
      <c r="C90" s="2">
        <v>65.061007410322304</v>
      </c>
      <c r="D90">
        <v>66.790000000000006</v>
      </c>
      <c r="E90" s="2">
        <v>63.117919864840097</v>
      </c>
      <c r="F90" s="2">
        <v>-1.9430875454822001</v>
      </c>
      <c r="G90" s="2">
        <f t="shared" si="2"/>
        <v>-1.7289925896777021</v>
      </c>
      <c r="H90" s="2">
        <f t="shared" si="3"/>
        <v>2.9894153751604069</v>
      </c>
      <c r="I90" s="2"/>
      <c r="U90" s="1"/>
    </row>
    <row r="91" spans="1:21" x14ac:dyDescent="0.25">
      <c r="A91" s="1">
        <v>40238</v>
      </c>
      <c r="B91">
        <v>4.915</v>
      </c>
      <c r="C91" s="2">
        <v>63.957449031776193</v>
      </c>
      <c r="D91">
        <v>66.66</v>
      </c>
      <c r="E91" s="2">
        <v>64.716912454517797</v>
      </c>
      <c r="F91" s="2">
        <v>0.75946342274160372</v>
      </c>
      <c r="G91" s="2">
        <f t="shared" si="2"/>
        <v>-2.7025509682238038</v>
      </c>
      <c r="H91" s="2">
        <f t="shared" si="3"/>
        <v>7.3037817358474193</v>
      </c>
      <c r="I91" s="2"/>
      <c r="U91" s="1"/>
    </row>
    <row r="92" spans="1:21" x14ac:dyDescent="0.25">
      <c r="A92" s="1">
        <v>40210</v>
      </c>
      <c r="B92">
        <v>4.9487500000000004</v>
      </c>
      <c r="C92" s="2">
        <v>65.231822598803305</v>
      </c>
      <c r="D92">
        <v>66.41</v>
      </c>
      <c r="E92" s="2">
        <v>67.1694634227416</v>
      </c>
      <c r="F92" s="2">
        <v>1.9376408239382954</v>
      </c>
      <c r="G92" s="2">
        <f t="shared" si="2"/>
        <v>-1.1781774011966917</v>
      </c>
      <c r="H92" s="2">
        <f t="shared" si="3"/>
        <v>1.3881019886905901</v>
      </c>
      <c r="I92" s="2"/>
      <c r="U92" s="1"/>
    </row>
    <row r="93" spans="1:21" x14ac:dyDescent="0.25">
      <c r="A93" s="1">
        <v>40179</v>
      </c>
      <c r="B93">
        <v>4.8550000000000004</v>
      </c>
      <c r="C93" s="2">
        <v>73.157054818560496</v>
      </c>
      <c r="D93">
        <v>71.17</v>
      </c>
      <c r="E93" s="2">
        <v>73.107640823938297</v>
      </c>
      <c r="F93" s="2">
        <v>-4.9413994622199198E-2</v>
      </c>
      <c r="G93" s="2">
        <f t="shared" si="2"/>
        <v>1.9870548185604946</v>
      </c>
      <c r="H93" s="2">
        <f t="shared" si="3"/>
        <v>3.94838685196448</v>
      </c>
      <c r="I93" s="2"/>
      <c r="U93" s="1"/>
    </row>
    <row r="94" spans="1:21" x14ac:dyDescent="0.25">
      <c r="A94" s="1">
        <v>40148</v>
      </c>
      <c r="B94">
        <v>4.8</v>
      </c>
      <c r="C94" s="2">
        <v>72.633227390732813</v>
      </c>
      <c r="D94">
        <v>75.5</v>
      </c>
      <c r="E94" s="2">
        <v>75.450586005377801</v>
      </c>
      <c r="F94" s="2">
        <v>2.8173586146449878</v>
      </c>
      <c r="G94" s="2">
        <f t="shared" si="2"/>
        <v>-2.866772609267187</v>
      </c>
      <c r="H94" s="2">
        <f t="shared" si="3"/>
        <v>8.218385193244595</v>
      </c>
      <c r="I94" s="2"/>
      <c r="U94" s="1"/>
    </row>
    <row r="95" spans="1:21" x14ac:dyDescent="0.25">
      <c r="A95" s="1">
        <v>40118</v>
      </c>
      <c r="B95">
        <v>4.88</v>
      </c>
      <c r="C95" s="2">
        <v>76.227439190520101</v>
      </c>
      <c r="D95">
        <v>74.290000000000006</v>
      </c>
      <c r="E95" s="2">
        <v>77.107358614644994</v>
      </c>
      <c r="F95" s="2">
        <v>0.87991942412489266</v>
      </c>
      <c r="G95" s="2">
        <f t="shared" si="2"/>
        <v>1.9374391905200952</v>
      </c>
      <c r="H95" s="2">
        <f t="shared" si="3"/>
        <v>3.7536706169631615</v>
      </c>
      <c r="I95" s="2"/>
      <c r="U95" s="1"/>
    </row>
    <row r="96" spans="1:21" x14ac:dyDescent="0.25">
      <c r="A96" s="1">
        <v>40087</v>
      </c>
      <c r="B96">
        <v>4.9539999999999997</v>
      </c>
      <c r="C96" s="2">
        <v>70.656381232925895</v>
      </c>
      <c r="D96">
        <v>70.790000000000006</v>
      </c>
      <c r="E96" s="2">
        <v>71.669919424124899</v>
      </c>
      <c r="F96" s="2">
        <v>1.0135381911990038</v>
      </c>
      <c r="G96" s="2">
        <f t="shared" si="2"/>
        <v>-0.13361876707411113</v>
      </c>
      <c r="H96" s="2">
        <f t="shared" si="3"/>
        <v>1.7853974914405567E-2</v>
      </c>
      <c r="I96" s="2"/>
      <c r="U96" s="1"/>
    </row>
    <row r="97" spans="1:21" x14ac:dyDescent="0.25">
      <c r="A97" s="1">
        <v>40057</v>
      </c>
      <c r="B97">
        <v>5.1112500000000001</v>
      </c>
      <c r="C97" s="2">
        <v>64.384825208113512</v>
      </c>
      <c r="D97">
        <v>65.89</v>
      </c>
      <c r="E97" s="2">
        <v>66.903538191199004</v>
      </c>
      <c r="F97" s="2">
        <v>2.5187129830854929</v>
      </c>
      <c r="G97" s="2">
        <f t="shared" si="2"/>
        <v>-1.5051747918864891</v>
      </c>
      <c r="H97" s="2">
        <f t="shared" si="3"/>
        <v>2.2655511541305358</v>
      </c>
      <c r="I97" s="2"/>
      <c r="U97" s="1"/>
    </row>
    <row r="98" spans="1:21" x14ac:dyDescent="0.25">
      <c r="A98" s="1">
        <v>40026</v>
      </c>
      <c r="B98">
        <v>5.1470000000000002</v>
      </c>
      <c r="C98" s="2">
        <v>59.468712983085496</v>
      </c>
      <c r="D98">
        <v>66.95</v>
      </c>
      <c r="E98" s="2">
        <v>69.468712983085496</v>
      </c>
      <c r="F98" s="2">
        <v>10</v>
      </c>
      <c r="G98" s="2">
        <f t="shared" si="2"/>
        <v>-7.4812870169145071</v>
      </c>
      <c r="H98" s="2">
        <f t="shared" si="3"/>
        <v>55.969655429453567</v>
      </c>
      <c r="I98" s="2"/>
      <c r="U98" s="1"/>
    </row>
    <row r="99" spans="1:21" x14ac:dyDescent="0.25">
      <c r="A99" s="1">
        <v>39995</v>
      </c>
      <c r="B99">
        <v>5.3449999999999998</v>
      </c>
      <c r="C99" s="2">
        <v>48.5740912795738</v>
      </c>
      <c r="D99">
        <v>24.63</v>
      </c>
      <c r="E99" s="2">
        <v>58.5740912795738</v>
      </c>
      <c r="F99" s="2">
        <v>10</v>
      </c>
      <c r="G99" s="2">
        <f t="shared" si="2"/>
        <v>23.944091279573801</v>
      </c>
      <c r="H99" s="2">
        <f t="shared" si="3"/>
        <v>573.31950720456211</v>
      </c>
      <c r="I99" s="2"/>
      <c r="U99" s="1"/>
    </row>
    <row r="100" spans="1:21" x14ac:dyDescent="0.25">
      <c r="A100" s="1">
        <v>39965</v>
      </c>
      <c r="B100">
        <v>4.7762500000000001</v>
      </c>
      <c r="C100" s="2">
        <v>78.396076001900198</v>
      </c>
      <c r="D100">
        <v>74.86</v>
      </c>
      <c r="E100" s="2">
        <v>85.341169766636</v>
      </c>
      <c r="F100" s="2">
        <v>6.9450937647358018</v>
      </c>
      <c r="G100" s="2">
        <f t="shared" si="2"/>
        <v>3.5360760019001987</v>
      </c>
      <c r="H100" s="2">
        <f t="shared" si="3"/>
        <v>12.503833491214493</v>
      </c>
      <c r="I100" s="2"/>
      <c r="U100" s="1"/>
    </row>
    <row r="101" spans="1:21" x14ac:dyDescent="0.25">
      <c r="A101" s="1">
        <v>39934</v>
      </c>
      <c r="B101">
        <v>4.7300000000000004</v>
      </c>
      <c r="C101" s="2">
        <v>80.686907233818701</v>
      </c>
      <c r="D101">
        <v>81.87</v>
      </c>
      <c r="E101" s="2">
        <v>88.815093764735806</v>
      </c>
      <c r="F101" s="2">
        <v>8.1281865309171053</v>
      </c>
      <c r="G101" s="2">
        <f t="shared" si="2"/>
        <v>-1.1830927661813035</v>
      </c>
      <c r="H101" s="2">
        <f t="shared" si="3"/>
        <v>1.3997084933905286</v>
      </c>
      <c r="I101" s="2"/>
      <c r="U101" s="1"/>
    </row>
    <row r="102" spans="1:21" x14ac:dyDescent="0.25">
      <c r="A102" s="1">
        <v>39904</v>
      </c>
      <c r="B102">
        <v>4.9275000000000002</v>
      </c>
      <c r="C102" s="2">
        <v>68.428186530917102</v>
      </c>
      <c r="D102">
        <v>70.3</v>
      </c>
      <c r="E102" s="2">
        <v>78.428186530917102</v>
      </c>
      <c r="F102" s="2">
        <v>10</v>
      </c>
      <c r="G102" s="2">
        <f t="shared" si="2"/>
        <v>-1.8718134690828947</v>
      </c>
      <c r="H102" s="2">
        <f t="shared" si="3"/>
        <v>3.503685663040141</v>
      </c>
      <c r="I102" s="2"/>
      <c r="U102" s="1"/>
    </row>
    <row r="103" spans="1:21" x14ac:dyDescent="0.25">
      <c r="A103" s="1">
        <v>39873</v>
      </c>
      <c r="B103">
        <v>5.0612500000000002</v>
      </c>
      <c r="C103" s="2">
        <v>64.620642459236109</v>
      </c>
      <c r="D103">
        <v>58.21</v>
      </c>
      <c r="E103" s="2">
        <v>72.937073032558203</v>
      </c>
      <c r="F103" s="2">
        <v>8.3164305733220942</v>
      </c>
      <c r="G103" s="2">
        <f t="shared" si="2"/>
        <v>6.410642459236108</v>
      </c>
      <c r="H103" s="2">
        <f t="shared" si="3"/>
        <v>41.096336740160773</v>
      </c>
      <c r="I103" s="2"/>
      <c r="U103" s="1"/>
    </row>
    <row r="104" spans="1:21" x14ac:dyDescent="0.25">
      <c r="A104" s="1">
        <v>39845</v>
      </c>
      <c r="B104">
        <v>4.9662499999999996</v>
      </c>
      <c r="C104" s="2">
        <v>67.870533097900804</v>
      </c>
      <c r="D104">
        <v>69.290000000000006</v>
      </c>
      <c r="E104" s="2">
        <v>77.6064305733221</v>
      </c>
      <c r="F104" s="2">
        <v>9.7358974754212966</v>
      </c>
      <c r="G104" s="2">
        <f t="shared" si="2"/>
        <v>-1.4194669020992023</v>
      </c>
      <c r="H104" s="2">
        <f t="shared" si="3"/>
        <v>2.0148862861551065</v>
      </c>
      <c r="I104" s="2"/>
      <c r="U104" s="1"/>
    </row>
    <row r="105" spans="1:21" x14ac:dyDescent="0.25">
      <c r="A105" s="1">
        <v>39814</v>
      </c>
      <c r="B105">
        <v>5.2160000000000002</v>
      </c>
      <c r="C105" s="2">
        <v>60.195117110578309</v>
      </c>
      <c r="D105">
        <v>47</v>
      </c>
      <c r="E105" s="2">
        <v>56.735897475421297</v>
      </c>
      <c r="F105" s="2">
        <v>-3.4592196351570101</v>
      </c>
      <c r="G105" s="2">
        <f t="shared" si="2"/>
        <v>13.195117110578309</v>
      </c>
      <c r="H105" s="2">
        <f t="shared" si="3"/>
        <v>174.11111556187646</v>
      </c>
      <c r="I105" s="2"/>
      <c r="U105" s="1"/>
    </row>
    <row r="106" spans="1:21" x14ac:dyDescent="0.25">
      <c r="A106" s="1">
        <v>39783</v>
      </c>
      <c r="B106">
        <v>6.0125000000000002</v>
      </c>
      <c r="C106" s="2">
        <v>6.0407409014403193</v>
      </c>
      <c r="D106">
        <v>6.33</v>
      </c>
      <c r="E106" s="2">
        <v>2.8707803648429899</v>
      </c>
      <c r="F106" s="2">
        <v>-3.1699605365973298</v>
      </c>
      <c r="G106" s="2">
        <f t="shared" si="2"/>
        <v>-0.28925909855968079</v>
      </c>
      <c r="H106" s="2">
        <f t="shared" si="3"/>
        <v>8.3670826099559129E-2</v>
      </c>
      <c r="I106" s="2"/>
      <c r="U106" s="1"/>
    </row>
    <row r="107" spans="1:21" x14ac:dyDescent="0.25">
      <c r="A107" s="1">
        <v>39753</v>
      </c>
      <c r="B107">
        <v>6.1050000000000004</v>
      </c>
      <c r="C107" s="2">
        <v>7.7030908162414606</v>
      </c>
      <c r="D107">
        <v>6.13</v>
      </c>
      <c r="E107" s="2">
        <v>2.9600394634026701</v>
      </c>
      <c r="F107" s="2">
        <v>-4.7430513528387905</v>
      </c>
      <c r="G107" s="2">
        <f t="shared" si="2"/>
        <v>1.5730908162414607</v>
      </c>
      <c r="H107" s="2">
        <f t="shared" si="3"/>
        <v>2.474614716143225</v>
      </c>
      <c r="I107" s="2"/>
      <c r="U107" s="1"/>
    </row>
    <row r="108" spans="1:21" x14ac:dyDescent="0.25">
      <c r="A108" s="1">
        <v>39722</v>
      </c>
      <c r="B108">
        <v>5.9562499999999998</v>
      </c>
      <c r="C108" s="2">
        <v>5.2919293088535895</v>
      </c>
      <c r="D108">
        <v>8.9700000000000006</v>
      </c>
      <c r="E108" s="2">
        <v>4.2269486471612101</v>
      </c>
      <c r="F108" s="2">
        <v>-1.0649806616923798</v>
      </c>
      <c r="G108" s="2">
        <f t="shared" si="2"/>
        <v>-3.6780706911464112</v>
      </c>
      <c r="H108" s="2">
        <f t="shared" si="3"/>
        <v>13.528204009070238</v>
      </c>
      <c r="I108" s="2"/>
      <c r="U108" s="1"/>
    </row>
    <row r="109" spans="1:21" x14ac:dyDescent="0.25">
      <c r="A109" s="1">
        <v>39692</v>
      </c>
      <c r="B109">
        <v>6.3962500000000002</v>
      </c>
      <c r="C109" s="2">
        <v>4.0472171675786903</v>
      </c>
      <c r="D109">
        <v>3.32</v>
      </c>
      <c r="E109" s="2">
        <v>2.25501933830762</v>
      </c>
      <c r="F109" s="2">
        <v>-1.7921978292710699</v>
      </c>
      <c r="G109" s="2">
        <f t="shared" si="2"/>
        <v>0.72721716757869048</v>
      </c>
      <c r="H109" s="2">
        <f t="shared" si="3"/>
        <v>0.52884480882117324</v>
      </c>
      <c r="I109" s="2"/>
      <c r="U109" s="1"/>
    </row>
    <row r="110" spans="1:21" x14ac:dyDescent="0.25">
      <c r="A110" s="1">
        <v>39661</v>
      </c>
      <c r="B110">
        <v>6.3310000000000004</v>
      </c>
      <c r="C110" s="2">
        <v>4.4019699975498305</v>
      </c>
      <c r="D110">
        <v>4</v>
      </c>
      <c r="E110" s="2">
        <v>2.2078021707289301</v>
      </c>
      <c r="F110" s="2">
        <v>-2.1941678268208999</v>
      </c>
      <c r="G110" s="2">
        <f t="shared" si="2"/>
        <v>0.40196999754983054</v>
      </c>
      <c r="H110" s="2">
        <f t="shared" si="3"/>
        <v>0.16157987893021078</v>
      </c>
      <c r="I110" s="2"/>
      <c r="U110" s="1"/>
    </row>
    <row r="111" spans="1:21" x14ac:dyDescent="0.25">
      <c r="A111" s="1">
        <v>39630</v>
      </c>
      <c r="B111">
        <v>6.2324999999999999</v>
      </c>
      <c r="C111" s="2">
        <v>3.6937573341124006</v>
      </c>
      <c r="D111">
        <v>5.29</v>
      </c>
      <c r="E111" s="2">
        <v>3.0958321731791001</v>
      </c>
      <c r="F111" s="2">
        <v>-0.5979251609333005</v>
      </c>
      <c r="G111" s="2">
        <f t="shared" si="2"/>
        <v>-1.5962426658875994</v>
      </c>
      <c r="H111" s="2">
        <f t="shared" si="3"/>
        <v>2.5479906483999506</v>
      </c>
      <c r="I111" s="2"/>
      <c r="U111" s="1"/>
    </row>
    <row r="112" spans="1:21" x14ac:dyDescent="0.25">
      <c r="A112" s="1">
        <v>39600</v>
      </c>
      <c r="B112">
        <v>5.9050000000000002</v>
      </c>
      <c r="C112" s="2">
        <v>14.108185093685998</v>
      </c>
      <c r="D112">
        <v>10.83</v>
      </c>
      <c r="E112" s="2">
        <v>10.2320748390667</v>
      </c>
      <c r="F112" s="2">
        <v>-3.8761102546192987</v>
      </c>
      <c r="G112" s="2">
        <f t="shared" si="2"/>
        <v>3.2781850936859982</v>
      </c>
      <c r="H112" s="2">
        <f t="shared" si="3"/>
        <v>10.746497508465076</v>
      </c>
      <c r="I112" s="2"/>
      <c r="U112" s="1"/>
    </row>
    <row r="113" spans="1:21" x14ac:dyDescent="0.25">
      <c r="A113" s="1">
        <v>39569</v>
      </c>
      <c r="B113">
        <v>5.8010000000000002</v>
      </c>
      <c r="C113" s="2">
        <v>18.769661502414401</v>
      </c>
      <c r="D113">
        <v>17.63</v>
      </c>
      <c r="E113" s="2">
        <v>13.7538897453807</v>
      </c>
      <c r="F113" s="2">
        <v>-5.0157717570337006</v>
      </c>
      <c r="G113" s="2">
        <f t="shared" si="2"/>
        <v>1.1396615024144019</v>
      </c>
      <c r="H113" s="2">
        <f t="shared" si="3"/>
        <v>1.2988283400854517</v>
      </c>
      <c r="I113" s="2"/>
      <c r="U113" s="1"/>
    </row>
    <row r="114" spans="1:21" x14ac:dyDescent="0.25">
      <c r="A114" s="1">
        <v>39539</v>
      </c>
      <c r="B114">
        <v>5.8387500000000001</v>
      </c>
      <c r="C114" s="2">
        <v>24.174228242966301</v>
      </c>
      <c r="D114">
        <v>19.190000000000001</v>
      </c>
      <c r="E114" s="2">
        <v>14.174228242966301</v>
      </c>
      <c r="F114" s="2">
        <v>-10</v>
      </c>
      <c r="G114" s="2">
        <f t="shared" si="2"/>
        <v>4.9842282429662994</v>
      </c>
      <c r="H114" s="2">
        <f t="shared" si="3"/>
        <v>24.842531177982924</v>
      </c>
      <c r="I114" s="2"/>
      <c r="U114" s="1"/>
    </row>
    <row r="115" spans="1:21" x14ac:dyDescent="0.25">
      <c r="A115" s="1">
        <v>39508</v>
      </c>
      <c r="B115">
        <v>5.7862499999999999</v>
      </c>
      <c r="C115" s="2">
        <v>5.2882857966789008</v>
      </c>
      <c r="D115">
        <v>26.38</v>
      </c>
      <c r="E115" s="2">
        <v>14.788760676970201</v>
      </c>
      <c r="F115" s="2">
        <v>9.5004748802912999</v>
      </c>
      <c r="G115" s="2">
        <f t="shared" si="2"/>
        <v>-21.091714203321096</v>
      </c>
      <c r="H115" s="2">
        <f t="shared" si="3"/>
        <v>444.86040803457689</v>
      </c>
      <c r="I115" s="2"/>
      <c r="U115" s="1"/>
    </row>
    <row r="116" spans="1:21" x14ac:dyDescent="0.25">
      <c r="A116" s="1">
        <v>39479</v>
      </c>
      <c r="B116">
        <v>5.6180000000000003</v>
      </c>
      <c r="C116" s="2">
        <v>47.295207534049098</v>
      </c>
      <c r="D116">
        <v>38.49</v>
      </c>
      <c r="E116" s="2">
        <v>47.990474880291302</v>
      </c>
      <c r="F116" s="2">
        <v>0.69526734624220055</v>
      </c>
      <c r="G116" s="2">
        <f t="shared" si="2"/>
        <v>8.8052075340490958</v>
      </c>
      <c r="H116" s="2">
        <f t="shared" si="3"/>
        <v>77.531679717674962</v>
      </c>
      <c r="I116" s="2"/>
      <c r="U116" s="1"/>
    </row>
    <row r="117" spans="1:21" x14ac:dyDescent="0.25">
      <c r="A117" s="1">
        <v>39448</v>
      </c>
      <c r="B117">
        <v>5.9574999999999996</v>
      </c>
      <c r="C117" s="2">
        <v>16.1574901122023</v>
      </c>
      <c r="D117">
        <v>16.16</v>
      </c>
      <c r="E117" s="2">
        <v>16.855267346242201</v>
      </c>
      <c r="F117" s="2">
        <v>0.69777723403990066</v>
      </c>
      <c r="G117" s="2">
        <f t="shared" si="2"/>
        <v>-2.5098877977001166E-3</v>
      </c>
      <c r="H117" s="2">
        <f t="shared" si="3"/>
        <v>6.2995367570439413E-6</v>
      </c>
      <c r="I117" s="2"/>
      <c r="U117" s="1"/>
    </row>
    <row r="118" spans="1:21" x14ac:dyDescent="0.25">
      <c r="A118" s="1">
        <v>39417</v>
      </c>
      <c r="B118">
        <v>6.0575000000000001</v>
      </c>
      <c r="C118" s="2">
        <v>9.1207422919614984</v>
      </c>
      <c r="D118">
        <v>11.53</v>
      </c>
      <c r="E118" s="2">
        <v>12.2277772340399</v>
      </c>
      <c r="F118" s="2">
        <v>3.1070349420784007</v>
      </c>
      <c r="G118" s="2">
        <f t="shared" si="2"/>
        <v>-2.4092577080385009</v>
      </c>
      <c r="H118" s="2">
        <f t="shared" si="3"/>
        <v>5.8045227037429301</v>
      </c>
      <c r="I118" s="2"/>
      <c r="U118" s="1"/>
    </row>
    <row r="119" spans="1:21" x14ac:dyDescent="0.25">
      <c r="A119" s="1">
        <v>39387</v>
      </c>
      <c r="B119">
        <v>6.2169999999999996</v>
      </c>
      <c r="C119" s="2">
        <v>11.211659718196451</v>
      </c>
      <c r="D119">
        <v>7.55</v>
      </c>
      <c r="E119" s="2">
        <v>10.657034942078401</v>
      </c>
      <c r="F119" s="2">
        <v>-0.55462477611804939</v>
      </c>
      <c r="G119" s="2">
        <f t="shared" si="2"/>
        <v>3.661659718196451</v>
      </c>
      <c r="H119" s="2">
        <f t="shared" si="3"/>
        <v>13.407751891862512</v>
      </c>
      <c r="I119" s="2"/>
      <c r="U119" s="1"/>
    </row>
    <row r="120" spans="1:21" x14ac:dyDescent="0.25">
      <c r="A120" s="1">
        <v>39356</v>
      </c>
      <c r="B120">
        <v>6.2575000000000003</v>
      </c>
      <c r="C120" s="2">
        <v>7.3741286343498906</v>
      </c>
      <c r="D120">
        <v>7.52</v>
      </c>
      <c r="E120" s="2">
        <v>6.9653752238819502</v>
      </c>
      <c r="F120" s="2">
        <v>-0.40875341046794045</v>
      </c>
      <c r="G120" s="2">
        <f t="shared" si="2"/>
        <v>-0.14587136565010894</v>
      </c>
      <c r="H120" s="2">
        <f t="shared" si="3"/>
        <v>2.1278455316627781E-2</v>
      </c>
      <c r="I120" s="2"/>
      <c r="U120" s="1"/>
    </row>
    <row r="121" spans="1:21" x14ac:dyDescent="0.25">
      <c r="A121" s="1">
        <v>39326</v>
      </c>
      <c r="B121">
        <v>6.4219999999999997</v>
      </c>
      <c r="C121" s="2">
        <v>5.2952279411862904</v>
      </c>
      <c r="D121">
        <v>5.49</v>
      </c>
      <c r="E121" s="2">
        <v>5.0812465895320598</v>
      </c>
      <c r="F121" s="2">
        <v>-0.2139813516542306</v>
      </c>
      <c r="G121" s="2">
        <f t="shared" si="2"/>
        <v>-0.19477205881370985</v>
      </c>
      <c r="H121" s="2">
        <f t="shared" si="3"/>
        <v>3.7936154894531247E-2</v>
      </c>
      <c r="I121" s="2"/>
      <c r="U121" s="1"/>
    </row>
    <row r="122" spans="1:21" x14ac:dyDescent="0.25">
      <c r="A122" s="1">
        <v>39295</v>
      </c>
      <c r="B122">
        <v>6.5449999999999999</v>
      </c>
      <c r="C122" s="2">
        <v>4.4943223214589194</v>
      </c>
      <c r="D122">
        <v>4.1900000000000004</v>
      </c>
      <c r="E122" s="2">
        <v>3.9760186483457698</v>
      </c>
      <c r="F122" s="2">
        <v>-0.51830367311314962</v>
      </c>
      <c r="G122" s="2">
        <f t="shared" si="2"/>
        <v>0.30432232145891902</v>
      </c>
      <c r="H122" s="2">
        <f t="shared" si="3"/>
        <v>9.2612075338145639E-2</v>
      </c>
      <c r="I122" s="2"/>
      <c r="U122" s="1"/>
    </row>
    <row r="123" spans="1:21" x14ac:dyDescent="0.25">
      <c r="A123" s="1">
        <v>39264</v>
      </c>
      <c r="B123">
        <v>6.5137499999999999</v>
      </c>
      <c r="C123" s="2">
        <v>2.6069232917294496</v>
      </c>
      <c r="D123">
        <v>4.6399999999999997</v>
      </c>
      <c r="E123" s="2">
        <v>4.1216963268868501</v>
      </c>
      <c r="F123" s="2">
        <v>1.5147730351574005</v>
      </c>
      <c r="G123" s="2">
        <f t="shared" si="2"/>
        <v>-2.0330767082705501</v>
      </c>
      <c r="H123" s="2">
        <f t="shared" si="3"/>
        <v>4.1334009017122151</v>
      </c>
      <c r="I123" s="2"/>
      <c r="U123" s="1"/>
    </row>
    <row r="124" spans="1:21" x14ac:dyDescent="0.25">
      <c r="A124" s="1">
        <v>39234</v>
      </c>
      <c r="B124">
        <v>6.1219999999999999</v>
      </c>
      <c r="C124" s="2">
        <v>9.4390215135893012</v>
      </c>
      <c r="D124">
        <v>11.53</v>
      </c>
      <c r="E124" s="2">
        <v>13.0447730351574</v>
      </c>
      <c r="F124" s="2">
        <v>3.6057515215680986</v>
      </c>
      <c r="G124" s="2">
        <f t="shared" si="2"/>
        <v>-2.0909784864106982</v>
      </c>
      <c r="H124" s="2">
        <f t="shared" si="3"/>
        <v>4.3721910306323739</v>
      </c>
      <c r="I124" s="2"/>
      <c r="U124" s="1"/>
    </row>
    <row r="125" spans="1:21" x14ac:dyDescent="0.25">
      <c r="A125" s="1">
        <v>39203</v>
      </c>
      <c r="B125">
        <v>6.0425000000000004</v>
      </c>
      <c r="C125" s="2">
        <v>15.863657567297098</v>
      </c>
      <c r="D125">
        <v>13.59</v>
      </c>
      <c r="E125" s="2">
        <v>17.195751521568098</v>
      </c>
      <c r="F125" s="2">
        <v>1.3320939542710004</v>
      </c>
      <c r="G125" s="2">
        <f t="shared" si="2"/>
        <v>2.2736575672970982</v>
      </c>
      <c r="H125" s="2">
        <f t="shared" si="3"/>
        <v>5.1695187333273589</v>
      </c>
      <c r="I125" s="2"/>
      <c r="U125" s="1"/>
    </row>
    <row r="126" spans="1:21" x14ac:dyDescent="0.25">
      <c r="A126" s="1">
        <v>39173</v>
      </c>
      <c r="B126">
        <v>6.0062499999999996</v>
      </c>
      <c r="C126" s="2">
        <v>12.073378651404001</v>
      </c>
      <c r="D126">
        <v>15.08</v>
      </c>
      <c r="E126" s="2">
        <v>16.412093954271</v>
      </c>
      <c r="F126" s="2">
        <v>4.3387153028669996</v>
      </c>
      <c r="G126" s="2">
        <f t="shared" si="2"/>
        <v>-3.0066213485959992</v>
      </c>
      <c r="H126" s="2">
        <f t="shared" si="3"/>
        <v>9.0397719338332241</v>
      </c>
      <c r="I126" s="2"/>
      <c r="U126" s="1"/>
    </row>
    <row r="127" spans="1:21" x14ac:dyDescent="0.25">
      <c r="A127" s="1">
        <v>39142</v>
      </c>
      <c r="B127">
        <v>6.0949999999999998</v>
      </c>
      <c r="C127" s="2">
        <v>13.455069610254299</v>
      </c>
      <c r="D127">
        <v>11.02</v>
      </c>
      <c r="E127" s="2">
        <v>15.358715302866999</v>
      </c>
      <c r="F127" s="2">
        <v>1.9036456926127006</v>
      </c>
      <c r="G127" s="2">
        <f t="shared" si="2"/>
        <v>2.435069610254299</v>
      </c>
      <c r="H127" s="2">
        <f t="shared" si="3"/>
        <v>5.9295640067840241</v>
      </c>
      <c r="I127" s="2"/>
      <c r="U127" s="1"/>
    </row>
    <row r="128" spans="1:21" x14ac:dyDescent="0.25">
      <c r="A128" s="1">
        <v>39114</v>
      </c>
      <c r="B128">
        <v>6.0919999999999996</v>
      </c>
      <c r="C128" s="2">
        <v>15.1836456926127</v>
      </c>
      <c r="D128">
        <v>13.28</v>
      </c>
      <c r="E128" s="2">
        <v>15.1836456926127</v>
      </c>
      <c r="F128" t="s">
        <v>9</v>
      </c>
      <c r="G128" s="2">
        <f t="shared" si="2"/>
        <v>1.9036456926127006</v>
      </c>
      <c r="H128" s="2">
        <f t="shared" si="3"/>
        <v>3.6238669230028884</v>
      </c>
      <c r="U128" s="1"/>
    </row>
    <row r="129" spans="1:21" x14ac:dyDescent="0.25">
      <c r="A129" s="1"/>
      <c r="G129" s="2"/>
      <c r="H129" s="2"/>
      <c r="U129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"/>
  <sheetViews>
    <sheetView workbookViewId="0">
      <selection activeCell="Z50" sqref="Z5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Tracking 12.5bps</vt:lpstr>
      <vt:lpstr>Tracking 5 bps</vt:lpstr>
      <vt:lpstr>Tracking 5 bps-with cost</vt:lpstr>
      <vt:lpstr>Tracking 12.5 bps-with cost</vt:lpstr>
      <vt:lpstr>12.5 cost and mtm </vt:lpstr>
      <vt:lpstr>12.5 cost and mtm cap6%</vt:lpstr>
      <vt:lpstr>12.5 cost and mtm cap10%</vt:lpstr>
      <vt:lpstr>charts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2017-08-02T19:44:46Z</dcterms:created>
  <dcterms:modified xsi:type="dcterms:W3CDTF">2017-08-17T22:18:10Z</dcterms:modified>
</cp:coreProperties>
</file>